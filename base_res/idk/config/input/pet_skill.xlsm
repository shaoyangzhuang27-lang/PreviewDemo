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/>
  <workbookPr codeName="ThisWorkbook"/>
  <mc:AlternateContent xmlns:mc="http://schemas.openxmlformats.org/markup-compatibility/2006">
    <mc:Choice Requires="x15">
      <x15ac:absPath xmlns:x15ac="http://schemas.microsoft.com/office/spreadsheetml/2010/11/ac" url="D:\Works\Cavalry\config\input\"/>
    </mc:Choice>
  </mc:AlternateContent>
  <xr:revisionPtr revIDLastSave="0" documentId="13_ncr:1_{779DC2EF-4F4A-4BD5-90FE-FCC291CDCB9F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pet_skill" sheetId="1" r:id="rId1"/>
  </sheets>
  <calcPr calcId="191029"/>
</workbook>
</file>

<file path=xl/calcChain.xml><?xml version="1.0" encoding="utf-8"?>
<calcChain xmlns="http://schemas.openxmlformats.org/spreadsheetml/2006/main">
  <c r="AB43" i="1" l="1"/>
  <c r="Y43" i="1"/>
  <c r="AB42" i="1"/>
  <c r="AB41" i="1"/>
  <c r="AB39" i="1"/>
  <c r="AB38" i="1"/>
  <c r="Y38" i="1"/>
  <c r="AB37" i="1"/>
  <c r="U37" i="1"/>
  <c r="U36" i="1"/>
  <c r="AB35" i="1"/>
  <c r="V35" i="1"/>
  <c r="AB34" i="1"/>
  <c r="X34" i="1"/>
  <c r="AB33" i="1"/>
  <c r="Y33" i="1"/>
  <c r="Y32" i="1"/>
  <c r="AB31" i="1"/>
  <c r="U31" i="1"/>
  <c r="AB30" i="1"/>
  <c r="V30" i="1"/>
  <c r="AB29" i="1"/>
  <c r="X29" i="1"/>
  <c r="X28" i="1"/>
  <c r="AB27" i="1"/>
  <c r="Y27" i="1"/>
  <c r="AB26" i="1"/>
  <c r="U26" i="1"/>
  <c r="AB25" i="1"/>
  <c r="V25" i="1"/>
  <c r="V24" i="1"/>
  <c r="R22" i="1"/>
  <c r="R20" i="1"/>
  <c r="R15" i="1"/>
  <c r="R13" i="1"/>
  <c r="R6" i="1"/>
  <c r="R4" i="1"/>
  <c r="S2" i="1"/>
  <c r="U43" i="1" s="1"/>
  <c r="R2" i="1"/>
  <c r="X41" i="1" s="1"/>
  <c r="R5" i="1" l="1"/>
  <c r="S4" i="1" s="1"/>
  <c r="R7" i="1"/>
  <c r="S6" i="1" s="1"/>
  <c r="R12" i="1"/>
  <c r="S12" i="1" s="1"/>
  <c r="R14" i="1"/>
  <c r="S13" i="1" s="1"/>
  <c r="R21" i="1"/>
  <c r="S20" i="1" s="1"/>
  <c r="R23" i="1"/>
  <c r="S22" i="1" s="1"/>
  <c r="Y24" i="1"/>
  <c r="Y25" i="1"/>
  <c r="X26" i="1"/>
  <c r="V27" i="1"/>
  <c r="U28" i="1"/>
  <c r="U29" i="1"/>
  <c r="Y30" i="1"/>
  <c r="X31" i="1"/>
  <c r="V32" i="1"/>
  <c r="V33" i="1"/>
  <c r="U34" i="1"/>
  <c r="Y35" i="1"/>
  <c r="X36" i="1"/>
  <c r="X37" i="1"/>
  <c r="V38" i="1"/>
  <c r="U39" i="1"/>
  <c r="Y40" i="1"/>
  <c r="Y41" i="1"/>
  <c r="X42" i="1"/>
  <c r="V43" i="1"/>
  <c r="R8" i="1"/>
  <c r="R10" i="1"/>
  <c r="R17" i="1"/>
  <c r="R19" i="1"/>
  <c r="U24" i="1"/>
  <c r="U25" i="1"/>
  <c r="Y26" i="1"/>
  <c r="X27" i="1"/>
  <c r="V28" i="1"/>
  <c r="V29" i="1"/>
  <c r="U30" i="1"/>
  <c r="Y31" i="1"/>
  <c r="X32" i="1"/>
  <c r="X33" i="1"/>
  <c r="V34" i="1"/>
  <c r="U35" i="1"/>
  <c r="Y36" i="1"/>
  <c r="Y37" i="1"/>
  <c r="X38" i="1"/>
  <c r="V39" i="1"/>
  <c r="U40" i="1"/>
  <c r="U41" i="1"/>
  <c r="Y42" i="1"/>
  <c r="X43" i="1"/>
  <c r="X39" i="1"/>
  <c r="V40" i="1"/>
  <c r="V41" i="1"/>
  <c r="U42" i="1"/>
  <c r="R9" i="1"/>
  <c r="S8" i="1" s="1"/>
  <c r="R11" i="1"/>
  <c r="S10" i="1" s="1"/>
  <c r="R16" i="1"/>
  <c r="R18" i="1"/>
  <c r="S17" i="1" s="1"/>
  <c r="X24" i="1"/>
  <c r="X25" i="1"/>
  <c r="V26" i="1"/>
  <c r="U27" i="1"/>
  <c r="Y28" i="1"/>
  <c r="Y29" i="1"/>
  <c r="X30" i="1"/>
  <c r="V31" i="1"/>
  <c r="U32" i="1"/>
  <c r="U33" i="1"/>
  <c r="Y34" i="1"/>
  <c r="X35" i="1"/>
  <c r="V36" i="1"/>
  <c r="V37" i="1"/>
  <c r="U38" i="1"/>
  <c r="Y39" i="1"/>
  <c r="X40" i="1"/>
  <c r="V42" i="1"/>
  <c r="S9" i="1" l="1"/>
  <c r="S14" i="1"/>
  <c r="S18" i="1"/>
  <c r="S21" i="1"/>
  <c r="S16" i="1"/>
  <c r="S5" i="1"/>
</calcChain>
</file>

<file path=xl/sharedStrings.xml><?xml version="1.0" encoding="utf-8"?>
<sst xmlns="http://schemas.openxmlformats.org/spreadsheetml/2006/main" count="378" uniqueCount="228">
  <si>
    <t>id</t>
  </si>
  <si>
    <t>name</t>
  </si>
  <si>
    <t>skill_type</t>
  </si>
  <si>
    <t>target_type</t>
  </si>
  <si>
    <t>target_number</t>
  </si>
  <si>
    <r>
      <rPr>
        <sz val="11"/>
        <color rgb="FF000000"/>
        <rFont val="宋体"/>
        <family val="3"/>
        <charset val="134"/>
      </rPr>
      <t>r</t>
    </r>
    <r>
      <rPr>
        <sz val="11"/>
        <color rgb="FF000000"/>
        <rFont val="宋体"/>
        <family val="3"/>
        <charset val="134"/>
      </rPr>
      <t>ange</t>
    </r>
  </si>
  <si>
    <t>effect_chance</t>
  </si>
  <si>
    <t>effect_type</t>
  </si>
  <si>
    <t>effect_param1</t>
  </si>
  <si>
    <t>effect_param2</t>
  </si>
  <si>
    <t>effect_levelup</t>
  </si>
  <si>
    <t>image</t>
  </si>
  <si>
    <t>desc</t>
  </si>
  <si>
    <t>星级</t>
  </si>
  <si>
    <t>初始攻击力</t>
  </si>
  <si>
    <t>初始生命值</t>
  </si>
  <si>
    <t>int32</t>
  </si>
  <si>
    <t>string</t>
  </si>
  <si>
    <r>
      <rPr>
        <sz val="11"/>
        <color rgb="FF000000"/>
        <rFont val="宋体"/>
        <family val="3"/>
        <charset val="134"/>
      </rPr>
      <t>l</t>
    </r>
    <r>
      <rPr>
        <sz val="11"/>
        <color rgb="FF000000"/>
        <rFont val="宋体"/>
        <family val="3"/>
        <charset val="134"/>
      </rPr>
      <t>ist&lt;int32&gt;</t>
    </r>
  </si>
  <si>
    <t>list&lt;int32&gt;</t>
  </si>
  <si>
    <t>list&lt;float32&gt;</t>
  </si>
  <si>
    <t>ID</t>
  </si>
  <si>
    <t>名称</t>
  </si>
  <si>
    <t>类型主动/被动</t>
  </si>
  <si>
    <t>技能目标</t>
  </si>
  <si>
    <t>影响人数</t>
  </si>
  <si>
    <t>技能范围</t>
  </si>
  <si>
    <t>效果几率</t>
  </si>
  <si>
    <t>效果类型</t>
  </si>
  <si>
    <t>效果参数</t>
  </si>
  <si>
    <t>每级成长</t>
  </si>
  <si>
    <t>UI图片名字</t>
  </si>
  <si>
    <t>描述</t>
  </si>
  <si>
    <t>参考等级</t>
  </si>
  <si>
    <t>伤害百分比</t>
  </si>
  <si>
    <t>技能伤害</t>
  </si>
  <si>
    <t>成长伤害</t>
  </si>
  <si>
    <t>被动1类型</t>
  </si>
  <si>
    <t>被动1参数</t>
  </si>
  <si>
    <t>被动1成长</t>
  </si>
  <si>
    <t>被动2类型</t>
  </si>
  <si>
    <t>被动2参数</t>
  </si>
  <si>
    <t>被动3类型</t>
  </si>
  <si>
    <t>被动3参数</t>
  </si>
  <si>
    <t>DATA_Pet_Skill1</t>
  </si>
  <si>
    <t>龙息</t>
  </si>
  <si>
    <t>DATA_Pet_Skill2</t>
  </si>
  <si>
    <t>冰龙吐息</t>
  </si>
  <si>
    <t>DATA_Pet_Skill3</t>
  </si>
  <si>
    <t>DATA_Pet_Skill4</t>
  </si>
  <si>
    <t>龙炎爆裂</t>
  </si>
  <si>
    <t>DATA_Pet_Skill5</t>
  </si>
  <si>
    <t>圣龙之息</t>
  </si>
  <si>
    <t>DATA_Pet_Skill6</t>
  </si>
  <si>
    <t>10,10</t>
  </si>
  <si>
    <t>1,2</t>
  </si>
  <si>
    <t>259,12</t>
  </si>
  <si>
    <t>12,1</t>
  </si>
  <si>
    <t>翡翠光环1</t>
  </si>
  <si>
    <t>DATA_Pet_Skill_Desc6</t>
  </si>
  <si>
    <t>DATA_Pet_Skill7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</si>
  <si>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0,10,10</t>
    </r>
  </si>
  <si>
    <t>1,2,7</t>
  </si>
  <si>
    <t>475,23,1</t>
  </si>
  <si>
    <t>23,1,0.1</t>
  </si>
  <si>
    <t>翡翠光环2</t>
  </si>
  <si>
    <t>DATA_Pet_Skill_Desc7</t>
  </si>
  <si>
    <t>DATA_Pet_Skill8</t>
  </si>
  <si>
    <t>1,2,5</t>
  </si>
  <si>
    <t>691,34,2</t>
  </si>
  <si>
    <t>34,2,0.1</t>
  </si>
  <si>
    <t>翡翠光环3</t>
  </si>
  <si>
    <t>DATA_Pet_Skill_Desc8</t>
  </si>
  <si>
    <t>DATA_Pet_Skill9</t>
  </si>
  <si>
    <t>1,2,4</t>
  </si>
  <si>
    <t>907,45,2</t>
  </si>
  <si>
    <t>45,2,0.1</t>
  </si>
  <si>
    <t>翡翠光环4</t>
  </si>
  <si>
    <t>DATA_Pet_Skill_Desc9</t>
  </si>
  <si>
    <t>DATA_Pet_Skill10</t>
  </si>
  <si>
    <t>285,11</t>
  </si>
  <si>
    <t>14,1</t>
  </si>
  <si>
    <t>寒冰光环1</t>
  </si>
  <si>
    <t>DATA_Pet_Skill_Desc10</t>
  </si>
  <si>
    <t>DATA_Pet_Skill11</t>
  </si>
  <si>
    <t>475,23,2</t>
  </si>
  <si>
    <t>寒冰光环2</t>
  </si>
  <si>
    <t>DATA_Pet_Skill_Desc11</t>
  </si>
  <si>
    <t>DATA_Pet_Skill12</t>
  </si>
  <si>
    <t>829,27,1</t>
  </si>
  <si>
    <t>41,1,0.1</t>
  </si>
  <si>
    <t>寒冰光环3</t>
  </si>
  <si>
    <t>DATA_Pet_Skill_Desc12</t>
  </si>
  <si>
    <t>DATA_Pet_Skill13</t>
  </si>
  <si>
    <t>1,2,10</t>
  </si>
  <si>
    <t>1088,36,2</t>
  </si>
  <si>
    <t>54,2,0.1</t>
  </si>
  <si>
    <t>寒冰光环4</t>
  </si>
  <si>
    <t>DATA_Pet_Skill_Desc13</t>
  </si>
  <si>
    <t>DATA_Pet_Skill14</t>
  </si>
  <si>
    <r>
      <rPr>
        <sz val="11"/>
        <color theme="1"/>
        <rFont val="宋体"/>
        <family val="3"/>
        <charset val="134"/>
        <scheme val="minor"/>
      </rPr>
      <t>1,</t>
    </r>
    <r>
      <rPr>
        <sz val="11"/>
        <color theme="1"/>
        <rFont val="宋体"/>
        <family val="3"/>
        <charset val="134"/>
        <scheme val="minor"/>
      </rPr>
      <t>2</t>
    </r>
  </si>
  <si>
    <t>233,14</t>
  </si>
  <si>
    <t>11,1</t>
  </si>
  <si>
    <t>毒龙光环1</t>
  </si>
  <si>
    <t>DATA_Pet_Skill_Desc14</t>
  </si>
  <si>
    <t>DATA_Pet_Skill15</t>
  </si>
  <si>
    <t>毒龙光环2</t>
  </si>
  <si>
    <t>DATA_Pet_Skill_Desc15</t>
  </si>
  <si>
    <t>DATA_Pet_Skill16</t>
  </si>
  <si>
    <t>552,41,3</t>
  </si>
  <si>
    <t>27,2,0.1</t>
  </si>
  <si>
    <t>毒龙光环3</t>
  </si>
  <si>
    <t>DATA_Pet_Skill_Desc16</t>
  </si>
  <si>
    <t>DATA_Pet_Skill17</t>
  </si>
  <si>
    <t>1,2,6</t>
  </si>
  <si>
    <t>725,54,10</t>
  </si>
  <si>
    <t>36,3,0.5</t>
  </si>
  <si>
    <t>毒龙光环4</t>
  </si>
  <si>
    <t>DATA_Pet_Skill_Desc17</t>
  </si>
  <si>
    <t>DATA_Pet_Skill18</t>
  </si>
  <si>
    <t>129,19</t>
  </si>
  <si>
    <t>6,1</t>
  </si>
  <si>
    <t>爆炎光环1</t>
  </si>
  <si>
    <t>DATA_Pet_Skill_Desc18</t>
  </si>
  <si>
    <t>DATA_Pet_Skill19</t>
  </si>
  <si>
    <t>285,33,2</t>
  </si>
  <si>
    <t>14,2,0.1</t>
  </si>
  <si>
    <t>爆炎光环2</t>
  </si>
  <si>
    <t>DATA_Pet_Skill_Desc19</t>
  </si>
  <si>
    <t>DATA_Pet_Skill20</t>
  </si>
  <si>
    <t>483,44,13</t>
  </si>
  <si>
    <t>24,2,0.4</t>
  </si>
  <si>
    <t>爆炎光环3</t>
  </si>
  <si>
    <t>DATA_Pet_Skill_Desc20</t>
  </si>
  <si>
    <t>DATA_Pet_Skill21</t>
  </si>
  <si>
    <t>1,2,9</t>
  </si>
  <si>
    <t>725,54,2</t>
  </si>
  <si>
    <t>36,3,0.1</t>
  </si>
  <si>
    <t>爆炎光环4</t>
  </si>
  <si>
    <t>DATA_Pet_Skill_Desc21</t>
  </si>
  <si>
    <t>DATA_Pet_Skill22</t>
  </si>
  <si>
    <t>圣龙光环1</t>
  </si>
  <si>
    <t>DATA_Pet_Skill_Desc22</t>
  </si>
  <si>
    <t>DATA_Pet_Skill23</t>
  </si>
  <si>
    <t>522,21,2</t>
  </si>
  <si>
    <t>26,1,0.1</t>
  </si>
  <si>
    <t>圣龙光环2</t>
  </si>
  <si>
    <t>DATA_Pet_Skill_Desc23</t>
  </si>
  <si>
    <t>DATA_Pet_Skill24</t>
  </si>
  <si>
    <t>1,2,3</t>
  </si>
  <si>
    <t>829,27,40</t>
  </si>
  <si>
    <t>41,1,2</t>
  </si>
  <si>
    <t>圣龙光环3</t>
  </si>
  <si>
    <t>DATA_Pet_Skill_Desc24</t>
  </si>
  <si>
    <t>DATA_Pet_Skill25</t>
  </si>
  <si>
    <t>1,2,11</t>
  </si>
  <si>
    <t>907,45,4</t>
  </si>
  <si>
    <t>45,2,0.2</t>
  </si>
  <si>
    <t>圣龙光环4</t>
  </si>
  <si>
    <t>DATA_Pet_Skill_Desc25</t>
  </si>
  <si>
    <t>当前攻击目标</t>
  </si>
  <si>
    <t>伤害</t>
  </si>
  <si>
    <t>攻击百分比</t>
  </si>
  <si>
    <t>自身</t>
  </si>
  <si>
    <t>加血</t>
  </si>
  <si>
    <t>自身范围内AOE随机敌方单位</t>
  </si>
  <si>
    <t>生成buff</t>
  </si>
  <si>
    <t>buffID</t>
  </si>
  <si>
    <t>自身范围内AOE血少已方单位</t>
  </si>
  <si>
    <t>加能量</t>
  </si>
  <si>
    <t>数值</t>
  </si>
  <si>
    <t>自身前方直线范围AOE随机敌方单位</t>
  </si>
  <si>
    <t>减能量</t>
  </si>
  <si>
    <t>每个随机敌方单位</t>
  </si>
  <si>
    <t>嘲讽</t>
  </si>
  <si>
    <t>每个血少已方单位</t>
  </si>
  <si>
    <t>多段伤害</t>
  </si>
  <si>
    <t>伤害次数</t>
  </si>
  <si>
    <t>每个血少敌方单位</t>
  </si>
  <si>
    <t>移除BUFF</t>
  </si>
  <si>
    <t>BUFF类型</t>
  </si>
  <si>
    <t>优先后排每个敌方</t>
  </si>
  <si>
    <t>移动到目标位置身后并伤害</t>
  </si>
  <si>
    <t>优先前排每个敌方</t>
  </si>
  <si>
    <t>被动加属性</t>
  </si>
  <si>
    <t>属性数值</t>
  </si>
  <si>
    <t>属性枚举</t>
  </si>
  <si>
    <t>目标范围内的敌方单位</t>
  </si>
  <si>
    <t>加强BUFF时间</t>
  </si>
  <si>
    <t>优先后排每个己方单位</t>
  </si>
  <si>
    <t>伤害或治疗必定暴击</t>
  </si>
  <si>
    <t>优先前排每个已方单位</t>
  </si>
  <si>
    <t xml:space="preserve">  </t>
  </si>
  <si>
    <t>10001</t>
    <phoneticPr fontId="5" type="noConversion"/>
  </si>
  <si>
    <t>10001,10002</t>
    <phoneticPr fontId="5" type="noConversion"/>
  </si>
  <si>
    <t>20001</t>
    <phoneticPr fontId="5" type="noConversion"/>
  </si>
  <si>
    <t>20001,20002</t>
    <phoneticPr fontId="5" type="noConversion"/>
  </si>
  <si>
    <t>30001</t>
    <phoneticPr fontId="5" type="noConversion"/>
  </si>
  <si>
    <t>30001,30002</t>
    <phoneticPr fontId="5" type="noConversion"/>
  </si>
  <si>
    <t>40001</t>
    <phoneticPr fontId="5" type="noConversion"/>
  </si>
  <si>
    <t>0,0</t>
    <phoneticPr fontId="5" type="noConversion"/>
  </si>
  <si>
    <t>增加&lt;tn&gt;名友方目标&lt;ex1&gt;%攻速，持续&lt;bt1&gt;秒。</t>
  </si>
  <si>
    <t>增加&lt;tn&gt;名友方目标&lt;ex1&gt;%攻速和&lt;ex2&gt;%命中率，持续&lt;bt1&gt;秒。</t>
  </si>
  <si>
    <t>增加&lt;tn&gt;名友方目标&lt;ex1&gt;%护甲，持续&lt;bt1&gt;秒。</t>
  </si>
  <si>
    <t>增加&lt;tn&gt;名友方目标&lt;ex1&gt;%护甲和&lt;ex2&gt;%免伤，持续&lt;bt1&gt;秒。</t>
  </si>
  <si>
    <t>增加&lt;tn&gt;名友方目标&lt;ex1&gt;%暴击率，持续&lt;bt1&gt;秒。</t>
  </si>
  <si>
    <t>增加&lt;tn&gt;名友方目标&lt;ex1&gt;%暴击率和&lt;ex2&gt;%暴击伤害，持续&lt;bt1&gt;秒。</t>
  </si>
  <si>
    <t>增加&lt;tn&gt;名友方目标&lt;ex1&gt;%攻击力，持续&lt;bt1&gt;秒。</t>
  </si>
  <si>
    <t>增加&lt;tn&gt;名友方目标&lt;ex1&gt;%攻击力和&lt;ex2&gt;%破甲，持续&lt;bt1&gt;秒。</t>
  </si>
  <si>
    <t>DATA_Pet_Skill_Desc10001</t>
    <phoneticPr fontId="5" type="noConversion"/>
  </si>
  <si>
    <t>DATA_Pet_Skill_Desc10002</t>
    <phoneticPr fontId="5" type="noConversion"/>
  </si>
  <si>
    <t>DATA_Pet_Skill_Desc20001</t>
    <phoneticPr fontId="5" type="noConversion"/>
  </si>
  <si>
    <t>DATA_Pet_Skill_Desc20002</t>
    <phoneticPr fontId="5" type="noConversion"/>
  </si>
  <si>
    <t>DATA_Pet_Skill_Desc30001</t>
    <phoneticPr fontId="5" type="noConversion"/>
  </si>
  <si>
    <t>DATA_Pet_Skill_Desc30002</t>
    <phoneticPr fontId="5" type="noConversion"/>
  </si>
  <si>
    <t>DATA_Pet_Skill_Desc40001</t>
    <phoneticPr fontId="5" type="noConversion"/>
  </si>
  <si>
    <t>DATA_Pet_Skill_Desc40002</t>
    <phoneticPr fontId="5" type="noConversion"/>
  </si>
  <si>
    <t>DATA_Pet_Skill_Desc50001</t>
    <phoneticPr fontId="5" type="noConversion"/>
  </si>
  <si>
    <t>DATA_Pet_Skill_Desc50002</t>
    <phoneticPr fontId="5" type="noConversion"/>
  </si>
  <si>
    <t>3,3</t>
    <phoneticPr fontId="5" type="noConversion"/>
  </si>
  <si>
    <t>20,3</t>
    <phoneticPr fontId="5" type="noConversion"/>
  </si>
  <si>
    <t>0,0</t>
    <phoneticPr fontId="5" type="noConversion"/>
  </si>
  <si>
    <t>恢复&lt;tn&gt;名友方目标&lt;ep1&gt;%生命上限等量的生命值。</t>
    <phoneticPr fontId="5" type="noConversion"/>
  </si>
  <si>
    <t>暗影增幅</t>
    <phoneticPr fontId="5" type="noConversion"/>
  </si>
  <si>
    <t>恢复&lt;tn&gt;名友方目标&lt;ep1&gt;%生命上限等量的生命值,并获得&lt;bt2&gt;秒的免疫控制效果。</t>
    <phoneticPr fontId="5" type="noConversion"/>
  </si>
  <si>
    <t>0.125,0</t>
    <phoneticPr fontId="5" type="noConversion"/>
  </si>
  <si>
    <t>40001,40002</t>
    <phoneticPr fontId="5" type="noConversion"/>
  </si>
  <si>
    <t>5,50001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</si>
</sst>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7" x14ac:knownFonts="1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</font>
    <font>
      <b/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5" tint="0.79992065187536243"/>
        <bgColor indexed="64"/>
      </patternFill>
    </fill>
    <fill>
      <patternFill patternType="solid">
        <fgColor theme="4" tint="0.7999206518753624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2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righ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1" applyFont="1" applyAlignment="1">
      <alignment horizontal="left" vertical="center"/>
    </xf>
    <xf numFmtId="49" fontId="0" fillId="0" borderId="0" xfId="0" applyNumberFormat="1" applyFont="1">
      <alignment vertical="center"/>
    </xf>
    <xf numFmtId="49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176" fontId="0" fillId="2" borderId="0" xfId="0" applyNumberFormat="1" applyFill="1">
      <alignment vertical="center"/>
    </xf>
    <xf numFmtId="176" fontId="0" fillId="3" borderId="0" xfId="0" applyNumberFormat="1" applyFill="1">
      <alignment vertical="center"/>
    </xf>
    <xf numFmtId="0" fontId="6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0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top"/>
    </xf>
    <xf numFmtId="49" fontId="3" fillId="0" borderId="0" xfId="0" applyNumberFormat="1" applyFont="1" applyAlignment="1">
      <alignment horizontal="left" vertical="center"/>
    </xf>
  </cellXfs>
  <cellStyles count="2">
    <cellStyle name="常规" xfId="0" builtinId="0"/>
    <cellStyle name="常规 2" xfId="1" xr:uid="{00000000-0005-0000-0000-00003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82"/>
  <sheetViews>
    <sheetView tabSelected="1" topLeftCell="A4" workbookViewId="0">
      <selection activeCell="I24" sqref="I24"/>
    </sheetView>
  </sheetViews>
  <sheetFormatPr defaultColWidth="9" defaultRowHeight="13.5" x14ac:dyDescent="0.15"/>
  <cols>
    <col min="1" max="1" width="6.5" customWidth="1"/>
    <col min="2" max="2" width="17.25" customWidth="1"/>
    <col min="3" max="3" width="10.5" customWidth="1"/>
    <col min="4" max="4" width="7.625" customWidth="1"/>
    <col min="5" max="5" width="6.125" customWidth="1"/>
    <col min="6" max="7" width="13.875" customWidth="1"/>
    <col min="8" max="8" width="13.875" style="8" customWidth="1"/>
    <col min="9" max="9" width="21.625" customWidth="1"/>
    <col min="10" max="10" width="17.25" customWidth="1"/>
    <col min="11" max="11" width="19.375" customWidth="1"/>
    <col min="13" max="13" width="21.625" customWidth="1"/>
    <col min="14" max="14" width="5" customWidth="1"/>
    <col min="15" max="15" width="46.25" customWidth="1"/>
  </cols>
  <sheetData>
    <row r="1" spans="1:28" x14ac:dyDescent="0.1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3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/>
      <c r="O1" s="1"/>
      <c r="P1" s="1"/>
      <c r="Q1" s="1" t="s">
        <v>13</v>
      </c>
      <c r="R1" s="1" t="s">
        <v>14</v>
      </c>
      <c r="S1" s="1" t="s">
        <v>15</v>
      </c>
      <c r="T1" s="1"/>
      <c r="U1" s="1"/>
      <c r="V1" s="1"/>
    </row>
    <row r="2" spans="1:28" x14ac:dyDescent="0.15">
      <c r="A2" s="1" t="s">
        <v>16</v>
      </c>
      <c r="B2" s="1" t="s">
        <v>17</v>
      </c>
      <c r="C2" t="s">
        <v>16</v>
      </c>
      <c r="D2" s="1" t="s">
        <v>16</v>
      </c>
      <c r="E2" s="1" t="s">
        <v>16</v>
      </c>
      <c r="F2" s="1" t="s">
        <v>16</v>
      </c>
      <c r="G2" s="1" t="s">
        <v>18</v>
      </c>
      <c r="H2" s="3" t="s">
        <v>18</v>
      </c>
      <c r="I2" s="1" t="s">
        <v>19</v>
      </c>
      <c r="J2" s="1" t="s">
        <v>19</v>
      </c>
      <c r="K2" s="1" t="s">
        <v>20</v>
      </c>
      <c r="L2" s="1" t="s">
        <v>17</v>
      </c>
      <c r="M2" s="1" t="s">
        <v>17</v>
      </c>
      <c r="N2" s="1"/>
      <c r="O2" s="1"/>
      <c r="P2" s="1"/>
      <c r="Q2" s="1">
        <v>1.8</v>
      </c>
      <c r="R2" s="1">
        <f>30*Q2</f>
        <v>54</v>
      </c>
      <c r="S2" s="1">
        <f>600*Q2</f>
        <v>1080</v>
      </c>
      <c r="T2" s="1"/>
      <c r="U2" s="1"/>
      <c r="V2" s="1"/>
    </row>
    <row r="3" spans="1:28" x14ac:dyDescent="0.15">
      <c r="A3" t="s">
        <v>21</v>
      </c>
      <c r="B3" t="s">
        <v>22</v>
      </c>
      <c r="C3" t="s">
        <v>23</v>
      </c>
      <c r="D3" t="s">
        <v>24</v>
      </c>
      <c r="E3" t="s">
        <v>25</v>
      </c>
      <c r="F3" t="s">
        <v>26</v>
      </c>
      <c r="G3" s="2" t="s">
        <v>27</v>
      </c>
      <c r="H3" s="18" t="s">
        <v>28</v>
      </c>
      <c r="I3" s="2" t="s">
        <v>29</v>
      </c>
      <c r="J3" s="2" t="s">
        <v>29</v>
      </c>
      <c r="K3" t="s">
        <v>30</v>
      </c>
      <c r="L3" s="1" t="s">
        <v>31</v>
      </c>
      <c r="M3" s="1" t="s">
        <v>32</v>
      </c>
      <c r="N3" s="1"/>
      <c r="O3" s="1"/>
      <c r="P3" s="1" t="s">
        <v>33</v>
      </c>
      <c r="Q3" s="1" t="s">
        <v>34</v>
      </c>
      <c r="R3" s="1" t="s">
        <v>35</v>
      </c>
      <c r="S3" s="1" t="s">
        <v>36</v>
      </c>
      <c r="T3" s="1" t="s">
        <v>37</v>
      </c>
      <c r="U3" s="1" t="s">
        <v>38</v>
      </c>
      <c r="V3" s="1" t="s">
        <v>39</v>
      </c>
      <c r="W3" s="1" t="s">
        <v>40</v>
      </c>
      <c r="X3" s="1" t="s">
        <v>41</v>
      </c>
      <c r="Y3" s="1" t="s">
        <v>39</v>
      </c>
      <c r="Z3" s="1" t="s">
        <v>42</v>
      </c>
      <c r="AA3" s="1" t="s">
        <v>43</v>
      </c>
      <c r="AB3" s="1" t="s">
        <v>39</v>
      </c>
    </row>
    <row r="4" spans="1:28" x14ac:dyDescent="0.15">
      <c r="A4">
        <v>1001</v>
      </c>
      <c r="B4" t="s">
        <v>44</v>
      </c>
      <c r="C4">
        <v>0</v>
      </c>
      <c r="D4">
        <v>7</v>
      </c>
      <c r="E4">
        <v>3</v>
      </c>
      <c r="F4">
        <v>20</v>
      </c>
      <c r="G4" s="8">
        <v>0</v>
      </c>
      <c r="H4" s="8">
        <v>3</v>
      </c>
      <c r="I4" s="21" t="s">
        <v>193</v>
      </c>
      <c r="J4" s="8">
        <v>0</v>
      </c>
      <c r="K4" s="8">
        <v>0</v>
      </c>
      <c r="L4" t="s">
        <v>45</v>
      </c>
      <c r="M4" s="17" t="s">
        <v>209</v>
      </c>
      <c r="O4" s="16" t="s">
        <v>201</v>
      </c>
      <c r="P4">
        <v>50</v>
      </c>
      <c r="Q4">
        <v>3</v>
      </c>
      <c r="R4">
        <f>$R$2+($R$2*0.1*$P4)*$Q4</f>
        <v>864</v>
      </c>
      <c r="S4">
        <f t="shared" ref="S4:S10" si="0">FLOOR((R5-R4)*0.8/30,1)</f>
        <v>36</v>
      </c>
    </row>
    <row r="5" spans="1:28" x14ac:dyDescent="0.15">
      <c r="A5">
        <v>1002</v>
      </c>
      <c r="B5" t="s">
        <v>44</v>
      </c>
      <c r="C5">
        <v>0</v>
      </c>
      <c r="D5">
        <v>7</v>
      </c>
      <c r="E5">
        <v>4</v>
      </c>
      <c r="F5">
        <v>20</v>
      </c>
      <c r="G5" s="8">
        <v>0</v>
      </c>
      <c r="H5" s="8">
        <v>3</v>
      </c>
      <c r="I5" s="21" t="s">
        <v>193</v>
      </c>
      <c r="J5" s="8">
        <v>0</v>
      </c>
      <c r="K5" s="8">
        <v>0</v>
      </c>
      <c r="L5" t="s">
        <v>45</v>
      </c>
      <c r="M5" s="17" t="s">
        <v>209</v>
      </c>
      <c r="O5" s="16" t="s">
        <v>201</v>
      </c>
      <c r="P5">
        <v>100</v>
      </c>
      <c r="Q5">
        <v>4</v>
      </c>
      <c r="R5">
        <f t="shared" ref="R5:R23" si="1">$R$2+($R$2*0.1*$P5)*$Q5</f>
        <v>2214</v>
      </c>
      <c r="S5">
        <f t="shared" si="0"/>
        <v>50</v>
      </c>
    </row>
    <row r="6" spans="1:28" ht="27" x14ac:dyDescent="0.15">
      <c r="A6">
        <v>1003</v>
      </c>
      <c r="B6" t="s">
        <v>44</v>
      </c>
      <c r="C6">
        <v>0</v>
      </c>
      <c r="D6">
        <v>7</v>
      </c>
      <c r="E6">
        <v>5</v>
      </c>
      <c r="F6">
        <v>20</v>
      </c>
      <c r="G6" s="19" t="s">
        <v>221</v>
      </c>
      <c r="H6" s="19" t="s">
        <v>219</v>
      </c>
      <c r="I6" s="21" t="s">
        <v>194</v>
      </c>
      <c r="J6" s="19" t="s">
        <v>200</v>
      </c>
      <c r="K6" s="19" t="s">
        <v>200</v>
      </c>
      <c r="L6" t="s">
        <v>45</v>
      </c>
      <c r="M6" s="17" t="s">
        <v>210</v>
      </c>
      <c r="O6" s="16" t="s">
        <v>202</v>
      </c>
      <c r="P6">
        <v>150</v>
      </c>
      <c r="Q6">
        <v>5</v>
      </c>
      <c r="R6">
        <f t="shared" si="1"/>
        <v>4104</v>
      </c>
      <c r="S6">
        <f t="shared" si="0"/>
        <v>64</v>
      </c>
    </row>
    <row r="7" spans="1:28" ht="27" x14ac:dyDescent="0.15">
      <c r="A7">
        <v>1004</v>
      </c>
      <c r="B7" t="s">
        <v>44</v>
      </c>
      <c r="C7">
        <v>0</v>
      </c>
      <c r="D7">
        <v>7</v>
      </c>
      <c r="E7">
        <v>6</v>
      </c>
      <c r="F7">
        <v>20</v>
      </c>
      <c r="G7" s="19" t="s">
        <v>221</v>
      </c>
      <c r="H7" s="19" t="s">
        <v>219</v>
      </c>
      <c r="I7" s="21" t="s">
        <v>194</v>
      </c>
      <c r="J7" s="19" t="s">
        <v>200</v>
      </c>
      <c r="K7" s="19" t="s">
        <v>200</v>
      </c>
      <c r="L7" t="s">
        <v>45</v>
      </c>
      <c r="M7" s="17" t="s">
        <v>210</v>
      </c>
      <c r="O7" s="16" t="s">
        <v>202</v>
      </c>
      <c r="P7">
        <v>200</v>
      </c>
      <c r="Q7">
        <v>6</v>
      </c>
      <c r="R7">
        <f t="shared" si="1"/>
        <v>6534</v>
      </c>
      <c r="S7">
        <v>0</v>
      </c>
    </row>
    <row r="8" spans="1:28" x14ac:dyDescent="0.15">
      <c r="A8">
        <v>2001</v>
      </c>
      <c r="B8" t="s">
        <v>46</v>
      </c>
      <c r="C8">
        <v>0</v>
      </c>
      <c r="D8">
        <v>7</v>
      </c>
      <c r="E8">
        <v>3</v>
      </c>
      <c r="F8">
        <v>20</v>
      </c>
      <c r="G8" s="8">
        <v>0</v>
      </c>
      <c r="H8" s="8">
        <v>3</v>
      </c>
      <c r="I8" s="21" t="s">
        <v>195</v>
      </c>
      <c r="J8" s="8">
        <v>0</v>
      </c>
      <c r="K8" s="8">
        <v>0</v>
      </c>
      <c r="L8" t="s">
        <v>47</v>
      </c>
      <c r="M8" s="17" t="s">
        <v>211</v>
      </c>
      <c r="O8" s="16" t="s">
        <v>203</v>
      </c>
      <c r="P8">
        <v>50</v>
      </c>
      <c r="Q8">
        <v>2.5</v>
      </c>
      <c r="R8">
        <f t="shared" si="1"/>
        <v>729</v>
      </c>
      <c r="S8">
        <f t="shared" si="0"/>
        <v>32</v>
      </c>
    </row>
    <row r="9" spans="1:28" x14ac:dyDescent="0.15">
      <c r="A9">
        <v>2002</v>
      </c>
      <c r="B9" t="s">
        <v>46</v>
      </c>
      <c r="C9">
        <v>0</v>
      </c>
      <c r="D9">
        <v>7</v>
      </c>
      <c r="E9">
        <v>4</v>
      </c>
      <c r="F9">
        <v>20</v>
      </c>
      <c r="G9" s="8">
        <v>0</v>
      </c>
      <c r="H9" s="8">
        <v>3</v>
      </c>
      <c r="I9" s="21" t="s">
        <v>195</v>
      </c>
      <c r="J9" s="8">
        <v>0</v>
      </c>
      <c r="K9" s="8">
        <v>0</v>
      </c>
      <c r="L9" t="s">
        <v>47</v>
      </c>
      <c r="M9" s="17" t="s">
        <v>211</v>
      </c>
      <c r="O9" s="16" t="s">
        <v>203</v>
      </c>
      <c r="P9">
        <v>100</v>
      </c>
      <c r="Q9">
        <v>3.5</v>
      </c>
      <c r="R9">
        <f t="shared" si="1"/>
        <v>1944</v>
      </c>
      <c r="S9">
        <f t="shared" si="0"/>
        <v>46</v>
      </c>
    </row>
    <row r="10" spans="1:28" ht="27" x14ac:dyDescent="0.15">
      <c r="A10">
        <v>2003</v>
      </c>
      <c r="B10" t="s">
        <v>46</v>
      </c>
      <c r="C10">
        <v>0</v>
      </c>
      <c r="D10">
        <v>7</v>
      </c>
      <c r="E10">
        <v>5</v>
      </c>
      <c r="F10">
        <v>20</v>
      </c>
      <c r="G10" s="19" t="s">
        <v>221</v>
      </c>
      <c r="H10" s="19" t="s">
        <v>219</v>
      </c>
      <c r="I10" s="21" t="s">
        <v>196</v>
      </c>
      <c r="J10" s="19" t="s">
        <v>200</v>
      </c>
      <c r="K10" s="19" t="s">
        <v>200</v>
      </c>
      <c r="L10" t="s">
        <v>47</v>
      </c>
      <c r="M10" s="17" t="s">
        <v>212</v>
      </c>
      <c r="O10" s="16" t="s">
        <v>204</v>
      </c>
      <c r="P10">
        <v>150</v>
      </c>
      <c r="Q10">
        <v>4.5</v>
      </c>
      <c r="R10">
        <f t="shared" si="1"/>
        <v>3699</v>
      </c>
      <c r="S10">
        <f t="shared" si="0"/>
        <v>61</v>
      </c>
    </row>
    <row r="11" spans="1:28" ht="27" x14ac:dyDescent="0.15">
      <c r="A11">
        <v>2004</v>
      </c>
      <c r="B11" t="s">
        <v>46</v>
      </c>
      <c r="C11">
        <v>0</v>
      </c>
      <c r="D11">
        <v>7</v>
      </c>
      <c r="E11">
        <v>6</v>
      </c>
      <c r="F11">
        <v>20</v>
      </c>
      <c r="G11" s="19" t="s">
        <v>221</v>
      </c>
      <c r="H11" s="19" t="s">
        <v>219</v>
      </c>
      <c r="I11" s="21" t="s">
        <v>196</v>
      </c>
      <c r="J11" s="19" t="s">
        <v>200</v>
      </c>
      <c r="K11" s="19" t="s">
        <v>200</v>
      </c>
      <c r="L11" t="s">
        <v>47</v>
      </c>
      <c r="M11" s="17" t="s">
        <v>212</v>
      </c>
      <c r="O11" s="16" t="s">
        <v>204</v>
      </c>
      <c r="P11">
        <v>200</v>
      </c>
      <c r="Q11">
        <v>5.5</v>
      </c>
      <c r="R11">
        <f t="shared" si="1"/>
        <v>5994</v>
      </c>
      <c r="S11">
        <v>0</v>
      </c>
    </row>
    <row r="12" spans="1:28" x14ac:dyDescent="0.15">
      <c r="A12">
        <v>3001</v>
      </c>
      <c r="B12" t="s">
        <v>48</v>
      </c>
      <c r="C12">
        <v>0</v>
      </c>
      <c r="D12">
        <v>7</v>
      </c>
      <c r="E12">
        <v>3</v>
      </c>
      <c r="F12">
        <v>20</v>
      </c>
      <c r="G12" s="8">
        <v>0</v>
      </c>
      <c r="H12" s="8">
        <v>3</v>
      </c>
      <c r="I12" s="21" t="s">
        <v>197</v>
      </c>
      <c r="J12" s="8">
        <v>0</v>
      </c>
      <c r="K12" s="8">
        <v>0</v>
      </c>
      <c r="L12" s="17" t="s">
        <v>223</v>
      </c>
      <c r="M12" s="17" t="s">
        <v>213</v>
      </c>
      <c r="O12" s="16" t="s">
        <v>205</v>
      </c>
      <c r="P12">
        <v>50</v>
      </c>
      <c r="Q12">
        <v>2</v>
      </c>
      <c r="R12">
        <f t="shared" si="1"/>
        <v>594</v>
      </c>
      <c r="S12">
        <f t="shared" ref="S12:S14" si="2">FLOOR((R13-R12)*0.8/30,1)</f>
        <v>28</v>
      </c>
    </row>
    <row r="13" spans="1:28" x14ac:dyDescent="0.15">
      <c r="A13">
        <v>3002</v>
      </c>
      <c r="B13" t="s">
        <v>48</v>
      </c>
      <c r="C13">
        <v>0</v>
      </c>
      <c r="D13">
        <v>7</v>
      </c>
      <c r="E13">
        <v>4</v>
      </c>
      <c r="F13">
        <v>20</v>
      </c>
      <c r="G13" s="8">
        <v>0</v>
      </c>
      <c r="H13" s="8">
        <v>3</v>
      </c>
      <c r="I13" s="21" t="s">
        <v>197</v>
      </c>
      <c r="J13" s="8">
        <v>0</v>
      </c>
      <c r="K13" s="8">
        <v>0</v>
      </c>
      <c r="L13" s="17" t="s">
        <v>223</v>
      </c>
      <c r="M13" s="17" t="s">
        <v>213</v>
      </c>
      <c r="O13" s="16" t="s">
        <v>205</v>
      </c>
      <c r="P13">
        <v>100</v>
      </c>
      <c r="Q13">
        <v>3</v>
      </c>
      <c r="R13">
        <f t="shared" si="1"/>
        <v>1674</v>
      </c>
      <c r="S13">
        <f t="shared" si="2"/>
        <v>43</v>
      </c>
    </row>
    <row r="14" spans="1:28" ht="27" x14ac:dyDescent="0.15">
      <c r="A14">
        <v>3003</v>
      </c>
      <c r="B14" t="s">
        <v>48</v>
      </c>
      <c r="C14">
        <v>0</v>
      </c>
      <c r="D14">
        <v>7</v>
      </c>
      <c r="E14">
        <v>5</v>
      </c>
      <c r="F14">
        <v>20</v>
      </c>
      <c r="G14" s="19" t="s">
        <v>221</v>
      </c>
      <c r="H14" s="19" t="s">
        <v>219</v>
      </c>
      <c r="I14" s="21" t="s">
        <v>198</v>
      </c>
      <c r="J14" s="19" t="s">
        <v>200</v>
      </c>
      <c r="K14" s="19" t="s">
        <v>200</v>
      </c>
      <c r="L14" s="17" t="s">
        <v>223</v>
      </c>
      <c r="M14" s="17" t="s">
        <v>214</v>
      </c>
      <c r="O14" s="16" t="s">
        <v>206</v>
      </c>
      <c r="P14">
        <v>150</v>
      </c>
      <c r="Q14">
        <v>4</v>
      </c>
      <c r="R14">
        <f t="shared" si="1"/>
        <v>3294</v>
      </c>
      <c r="S14">
        <f t="shared" si="2"/>
        <v>57</v>
      </c>
    </row>
    <row r="15" spans="1:28" ht="27" x14ac:dyDescent="0.15">
      <c r="A15">
        <v>3004</v>
      </c>
      <c r="B15" t="s">
        <v>48</v>
      </c>
      <c r="C15">
        <v>0</v>
      </c>
      <c r="D15">
        <v>7</v>
      </c>
      <c r="E15">
        <v>6</v>
      </c>
      <c r="F15">
        <v>20</v>
      </c>
      <c r="G15" s="19" t="s">
        <v>221</v>
      </c>
      <c r="H15" s="19" t="s">
        <v>219</v>
      </c>
      <c r="I15" s="21" t="s">
        <v>198</v>
      </c>
      <c r="J15" s="19" t="s">
        <v>200</v>
      </c>
      <c r="K15" s="19" t="s">
        <v>200</v>
      </c>
      <c r="L15" s="17" t="s">
        <v>223</v>
      </c>
      <c r="M15" s="17" t="s">
        <v>214</v>
      </c>
      <c r="O15" s="16" t="s">
        <v>206</v>
      </c>
      <c r="P15">
        <v>200</v>
      </c>
      <c r="Q15">
        <v>5</v>
      </c>
      <c r="R15">
        <f t="shared" si="1"/>
        <v>5454</v>
      </c>
      <c r="S15">
        <v>0</v>
      </c>
    </row>
    <row r="16" spans="1:28" x14ac:dyDescent="0.15">
      <c r="A16">
        <v>4001</v>
      </c>
      <c r="B16" t="s">
        <v>49</v>
      </c>
      <c r="C16">
        <v>0</v>
      </c>
      <c r="D16">
        <v>7</v>
      </c>
      <c r="E16">
        <v>3</v>
      </c>
      <c r="F16">
        <v>20</v>
      </c>
      <c r="G16" s="8">
        <v>0</v>
      </c>
      <c r="H16" s="8">
        <v>3</v>
      </c>
      <c r="I16" s="21" t="s">
        <v>199</v>
      </c>
      <c r="J16" s="8">
        <v>0</v>
      </c>
      <c r="K16" s="8">
        <v>0</v>
      </c>
      <c r="L16" t="s">
        <v>50</v>
      </c>
      <c r="M16" s="17" t="s">
        <v>215</v>
      </c>
      <c r="O16" s="17" t="s">
        <v>207</v>
      </c>
      <c r="P16">
        <v>50</v>
      </c>
      <c r="Q16">
        <v>2.5</v>
      </c>
      <c r="R16">
        <f t="shared" si="1"/>
        <v>729</v>
      </c>
      <c r="S16">
        <f t="shared" ref="S16:S18" si="3">FLOOR((R17-R16)*0.8/30,1)</f>
        <v>32</v>
      </c>
    </row>
    <row r="17" spans="1:28" x14ac:dyDescent="0.15">
      <c r="A17">
        <v>4002</v>
      </c>
      <c r="B17" t="s">
        <v>49</v>
      </c>
      <c r="C17">
        <v>0</v>
      </c>
      <c r="D17">
        <v>7</v>
      </c>
      <c r="E17">
        <v>4</v>
      </c>
      <c r="F17">
        <v>20</v>
      </c>
      <c r="G17" s="8">
        <v>0</v>
      </c>
      <c r="H17" s="8">
        <v>3</v>
      </c>
      <c r="I17" s="21" t="s">
        <v>199</v>
      </c>
      <c r="J17" s="8">
        <v>0</v>
      </c>
      <c r="K17" s="8">
        <v>0</v>
      </c>
      <c r="L17" t="s">
        <v>50</v>
      </c>
      <c r="M17" s="17" t="s">
        <v>215</v>
      </c>
      <c r="O17" s="17" t="s">
        <v>207</v>
      </c>
      <c r="P17">
        <v>100</v>
      </c>
      <c r="Q17">
        <v>3.5</v>
      </c>
      <c r="R17">
        <f t="shared" si="1"/>
        <v>1944</v>
      </c>
      <c r="S17">
        <f t="shared" si="3"/>
        <v>46</v>
      </c>
    </row>
    <row r="18" spans="1:28" x14ac:dyDescent="0.15">
      <c r="A18">
        <v>4003</v>
      </c>
      <c r="B18" t="s">
        <v>49</v>
      </c>
      <c r="C18">
        <v>0</v>
      </c>
      <c r="D18">
        <v>7</v>
      </c>
      <c r="E18">
        <v>5</v>
      </c>
      <c r="F18">
        <v>20</v>
      </c>
      <c r="G18" s="19" t="s">
        <v>221</v>
      </c>
      <c r="H18" s="19" t="s">
        <v>219</v>
      </c>
      <c r="I18" s="21" t="s">
        <v>226</v>
      </c>
      <c r="J18" s="19" t="s">
        <v>200</v>
      </c>
      <c r="K18" s="19" t="s">
        <v>200</v>
      </c>
      <c r="L18" t="s">
        <v>50</v>
      </c>
      <c r="M18" s="17" t="s">
        <v>216</v>
      </c>
      <c r="O18" s="17" t="s">
        <v>208</v>
      </c>
      <c r="P18">
        <v>150</v>
      </c>
      <c r="Q18">
        <v>4.5</v>
      </c>
      <c r="R18">
        <f t="shared" si="1"/>
        <v>3699</v>
      </c>
      <c r="S18">
        <f t="shared" si="3"/>
        <v>61</v>
      </c>
    </row>
    <row r="19" spans="1:28" x14ac:dyDescent="0.15">
      <c r="A19">
        <v>4004</v>
      </c>
      <c r="B19" t="s">
        <v>49</v>
      </c>
      <c r="C19">
        <v>0</v>
      </c>
      <c r="D19">
        <v>7</v>
      </c>
      <c r="E19">
        <v>6</v>
      </c>
      <c r="F19">
        <v>20</v>
      </c>
      <c r="G19" s="19" t="s">
        <v>221</v>
      </c>
      <c r="H19" s="19" t="s">
        <v>219</v>
      </c>
      <c r="I19" s="21" t="s">
        <v>226</v>
      </c>
      <c r="J19" s="19" t="s">
        <v>200</v>
      </c>
      <c r="K19" s="19" t="s">
        <v>200</v>
      </c>
      <c r="L19" t="s">
        <v>50</v>
      </c>
      <c r="M19" s="17" t="s">
        <v>216</v>
      </c>
      <c r="P19">
        <v>200</v>
      </c>
      <c r="Q19">
        <v>5.5</v>
      </c>
      <c r="R19">
        <f t="shared" si="1"/>
        <v>5994</v>
      </c>
      <c r="S19">
        <v>0</v>
      </c>
    </row>
    <row r="20" spans="1:28" x14ac:dyDescent="0.15">
      <c r="A20">
        <v>5001</v>
      </c>
      <c r="B20" t="s">
        <v>51</v>
      </c>
      <c r="C20">
        <v>0</v>
      </c>
      <c r="D20">
        <v>7</v>
      </c>
      <c r="E20">
        <v>3</v>
      </c>
      <c r="F20">
        <v>20</v>
      </c>
      <c r="G20" s="8">
        <v>0</v>
      </c>
      <c r="H20" s="8">
        <v>20</v>
      </c>
      <c r="I20" s="8">
        <v>5</v>
      </c>
      <c r="J20" s="8">
        <v>0</v>
      </c>
      <c r="K20" s="8">
        <v>0.1</v>
      </c>
      <c r="L20" t="s">
        <v>52</v>
      </c>
      <c r="M20" s="17" t="s">
        <v>217</v>
      </c>
      <c r="O20" s="16" t="s">
        <v>222</v>
      </c>
      <c r="P20">
        <v>50</v>
      </c>
      <c r="Q20">
        <v>3</v>
      </c>
      <c r="R20">
        <f t="shared" si="1"/>
        <v>864</v>
      </c>
      <c r="S20">
        <f t="shared" ref="S20:S22" si="4">FLOOR((R21-R20)*0.8/30,1)</f>
        <v>36</v>
      </c>
    </row>
    <row r="21" spans="1:28" x14ac:dyDescent="0.15">
      <c r="A21">
        <v>5002</v>
      </c>
      <c r="B21" t="s">
        <v>51</v>
      </c>
      <c r="C21">
        <v>0</v>
      </c>
      <c r="D21">
        <v>7</v>
      </c>
      <c r="E21">
        <v>4</v>
      </c>
      <c r="F21">
        <v>20</v>
      </c>
      <c r="G21" s="8">
        <v>0</v>
      </c>
      <c r="H21" s="8">
        <v>20</v>
      </c>
      <c r="I21" s="8">
        <v>5</v>
      </c>
      <c r="J21" s="8">
        <v>0</v>
      </c>
      <c r="K21" s="8">
        <v>0.1</v>
      </c>
      <c r="L21" t="s">
        <v>52</v>
      </c>
      <c r="M21" s="17" t="s">
        <v>217</v>
      </c>
      <c r="O21" s="16" t="s">
        <v>222</v>
      </c>
      <c r="P21">
        <v>100</v>
      </c>
      <c r="Q21">
        <v>4</v>
      </c>
      <c r="R21">
        <f t="shared" si="1"/>
        <v>2214</v>
      </c>
      <c r="S21">
        <f t="shared" si="4"/>
        <v>50</v>
      </c>
    </row>
    <row r="22" spans="1:28" ht="27" x14ac:dyDescent="0.15">
      <c r="A22">
        <v>5003</v>
      </c>
      <c r="B22" t="s">
        <v>51</v>
      </c>
      <c r="C22">
        <v>0</v>
      </c>
      <c r="D22">
        <v>7</v>
      </c>
      <c r="E22">
        <v>5</v>
      </c>
      <c r="F22">
        <v>20</v>
      </c>
      <c r="G22" s="19" t="s">
        <v>221</v>
      </c>
      <c r="H22" s="19" t="s">
        <v>220</v>
      </c>
      <c r="I22" s="21" t="s">
        <v>227</v>
      </c>
      <c r="J22" s="19" t="s">
        <v>200</v>
      </c>
      <c r="K22" s="19" t="s">
        <v>225</v>
      </c>
      <c r="L22" t="s">
        <v>52</v>
      </c>
      <c r="M22" s="17" t="s">
        <v>218</v>
      </c>
      <c r="O22" s="16" t="s">
        <v>224</v>
      </c>
      <c r="P22">
        <v>150</v>
      </c>
      <c r="Q22">
        <v>5</v>
      </c>
      <c r="R22">
        <f t="shared" si="1"/>
        <v>4104</v>
      </c>
      <c r="S22">
        <f t="shared" si="4"/>
        <v>64</v>
      </c>
    </row>
    <row r="23" spans="1:28" ht="27" x14ac:dyDescent="0.15">
      <c r="A23">
        <v>5004</v>
      </c>
      <c r="B23" t="s">
        <v>51</v>
      </c>
      <c r="C23">
        <v>0</v>
      </c>
      <c r="D23">
        <v>7</v>
      </c>
      <c r="E23">
        <v>6</v>
      </c>
      <c r="F23">
        <v>20</v>
      </c>
      <c r="G23" s="19" t="s">
        <v>221</v>
      </c>
      <c r="H23" s="19" t="s">
        <v>220</v>
      </c>
      <c r="I23" s="21" t="s">
        <v>227</v>
      </c>
      <c r="J23" s="19" t="s">
        <v>200</v>
      </c>
      <c r="K23" s="19" t="s">
        <v>225</v>
      </c>
      <c r="L23" t="s">
        <v>52</v>
      </c>
      <c r="M23" s="17" t="s">
        <v>218</v>
      </c>
      <c r="O23" s="16" t="s">
        <v>224</v>
      </c>
      <c r="P23">
        <v>200</v>
      </c>
      <c r="Q23">
        <v>6</v>
      </c>
      <c r="R23">
        <f t="shared" si="1"/>
        <v>6534</v>
      </c>
      <c r="S23">
        <v>0</v>
      </c>
    </row>
    <row r="24" spans="1:28" x14ac:dyDescent="0.15">
      <c r="A24">
        <v>1011</v>
      </c>
      <c r="B24" t="s">
        <v>53</v>
      </c>
      <c r="C24">
        <v>1</v>
      </c>
      <c r="D24">
        <v>0</v>
      </c>
      <c r="E24">
        <v>6</v>
      </c>
      <c r="F24">
        <v>50</v>
      </c>
      <c r="G24">
        <v>0</v>
      </c>
      <c r="H24" s="18" t="s">
        <v>54</v>
      </c>
      <c r="I24" s="10" t="s">
        <v>55</v>
      </c>
      <c r="J24" s="10" t="s">
        <v>56</v>
      </c>
      <c r="K24" s="10" t="s">
        <v>57</v>
      </c>
      <c r="L24" t="s">
        <v>58</v>
      </c>
      <c r="M24" t="s">
        <v>59</v>
      </c>
      <c r="P24">
        <v>50</v>
      </c>
      <c r="Q24" s="12">
        <v>10</v>
      </c>
      <c r="R24" s="13">
        <v>10</v>
      </c>
      <c r="T24">
        <v>1</v>
      </c>
      <c r="U24" s="14">
        <f>FLOOR(($S$2+$P24*$S$2*0.1)*$Q24/100*0.4,1)</f>
        <v>259</v>
      </c>
      <c r="V24" s="14">
        <f>FLOOR(($S$2+$P24*$S$2*0.1)*$Q24/100*0.6/30,1)</f>
        <v>12</v>
      </c>
      <c r="W24">
        <v>2</v>
      </c>
      <c r="X24" s="15">
        <f>FLOOR(($R$2+$P24*$R$2*0.1)*$R24/100*0.4,1)</f>
        <v>12</v>
      </c>
      <c r="Y24" s="15">
        <f>ROUND(($R$2+$P24*$R$2*0.1)*$R24/100*0.6/30,0)</f>
        <v>1</v>
      </c>
      <c r="Z24">
        <v>0</v>
      </c>
      <c r="AA24">
        <v>0</v>
      </c>
      <c r="AB24">
        <v>0</v>
      </c>
    </row>
    <row r="25" spans="1:28" x14ac:dyDescent="0.15">
      <c r="A25">
        <v>1021</v>
      </c>
      <c r="B25" t="s">
        <v>60</v>
      </c>
      <c r="C25">
        <v>1</v>
      </c>
      <c r="D25">
        <v>0</v>
      </c>
      <c r="E25">
        <v>6</v>
      </c>
      <c r="F25">
        <v>50</v>
      </c>
      <c r="G25">
        <v>0</v>
      </c>
      <c r="H25" s="18" t="s">
        <v>61</v>
      </c>
      <c r="I25" s="11" t="s">
        <v>62</v>
      </c>
      <c r="J25" s="11" t="s">
        <v>63</v>
      </c>
      <c r="K25" s="11" t="s">
        <v>64</v>
      </c>
      <c r="L25" t="s">
        <v>65</v>
      </c>
      <c r="M25" t="s">
        <v>66</v>
      </c>
      <c r="P25">
        <v>100</v>
      </c>
      <c r="Q25" s="12">
        <v>10</v>
      </c>
      <c r="R25" s="13">
        <v>10</v>
      </c>
      <c r="T25">
        <v>1</v>
      </c>
      <c r="U25" s="14">
        <f t="shared" ref="U25:U43" si="5">FLOOR(($S$2+$P25*$S$2*0.1)*$Q25/100*0.4,1)</f>
        <v>475</v>
      </c>
      <c r="V25" s="14">
        <f t="shared" ref="V25:V43" si="6">FLOOR(($S$2+$P25*$S$2*0.1)*$Q25/100*0.6/30,1)</f>
        <v>23</v>
      </c>
      <c r="W25">
        <v>2</v>
      </c>
      <c r="X25" s="15">
        <f t="shared" ref="X25:X43" si="7">FLOOR(($R$2+$P25*$R$2*0.1)*$R25/100*0.4,1)</f>
        <v>23</v>
      </c>
      <c r="Y25" s="15">
        <f t="shared" ref="Y25:Y43" si="8">ROUND(($R$2+$P25*$R$2*0.1)*$R25/100*0.6/30,0)</f>
        <v>1</v>
      </c>
      <c r="Z25">
        <v>7</v>
      </c>
      <c r="AA25">
        <v>1</v>
      </c>
      <c r="AB25">
        <f>3/30</f>
        <v>0.1</v>
      </c>
    </row>
    <row r="26" spans="1:28" x14ac:dyDescent="0.15">
      <c r="A26">
        <v>1031</v>
      </c>
      <c r="B26" t="s">
        <v>67</v>
      </c>
      <c r="C26">
        <v>1</v>
      </c>
      <c r="D26">
        <v>0</v>
      </c>
      <c r="E26">
        <v>6</v>
      </c>
      <c r="F26">
        <v>50</v>
      </c>
      <c r="G26">
        <v>0</v>
      </c>
      <c r="H26" s="18" t="s">
        <v>61</v>
      </c>
      <c r="I26" s="11" t="s">
        <v>68</v>
      </c>
      <c r="J26" s="11" t="s">
        <v>69</v>
      </c>
      <c r="K26" s="11" t="s">
        <v>70</v>
      </c>
      <c r="L26" t="s">
        <v>71</v>
      </c>
      <c r="M26" t="s">
        <v>72</v>
      </c>
      <c r="P26">
        <v>150</v>
      </c>
      <c r="Q26" s="12">
        <v>10</v>
      </c>
      <c r="R26" s="13">
        <v>10</v>
      </c>
      <c r="T26">
        <v>1</v>
      </c>
      <c r="U26" s="14">
        <f t="shared" si="5"/>
        <v>691</v>
      </c>
      <c r="V26" s="14">
        <f t="shared" si="6"/>
        <v>34</v>
      </c>
      <c r="W26">
        <v>2</v>
      </c>
      <c r="X26" s="15">
        <f t="shared" si="7"/>
        <v>34</v>
      </c>
      <c r="Y26" s="15">
        <f t="shared" si="8"/>
        <v>2</v>
      </c>
      <c r="Z26">
        <v>5</v>
      </c>
      <c r="AA26">
        <v>2</v>
      </c>
      <c r="AB26">
        <f t="shared" ref="AB26:AB34" si="9">3/30</f>
        <v>0.1</v>
      </c>
    </row>
    <row r="27" spans="1:28" x14ac:dyDescent="0.15">
      <c r="A27">
        <v>1041</v>
      </c>
      <c r="B27" t="s">
        <v>73</v>
      </c>
      <c r="C27">
        <v>1</v>
      </c>
      <c r="D27">
        <v>0</v>
      </c>
      <c r="E27">
        <v>6</v>
      </c>
      <c r="F27">
        <v>50</v>
      </c>
      <c r="G27">
        <v>0</v>
      </c>
      <c r="H27" s="18" t="s">
        <v>61</v>
      </c>
      <c r="I27" s="11" t="s">
        <v>74</v>
      </c>
      <c r="J27" s="11" t="s">
        <v>75</v>
      </c>
      <c r="K27" s="11" t="s">
        <v>76</v>
      </c>
      <c r="L27" t="s">
        <v>77</v>
      </c>
      <c r="M27" t="s">
        <v>78</v>
      </c>
      <c r="P27">
        <v>200</v>
      </c>
      <c r="Q27" s="12">
        <v>10</v>
      </c>
      <c r="R27" s="13">
        <v>10</v>
      </c>
      <c r="T27">
        <v>1</v>
      </c>
      <c r="U27" s="14">
        <f t="shared" si="5"/>
        <v>907</v>
      </c>
      <c r="V27" s="14">
        <f t="shared" si="6"/>
        <v>45</v>
      </c>
      <c r="W27">
        <v>2</v>
      </c>
      <c r="X27" s="15">
        <f t="shared" si="7"/>
        <v>45</v>
      </c>
      <c r="Y27" s="15">
        <f t="shared" si="8"/>
        <v>2</v>
      </c>
      <c r="Z27">
        <v>4</v>
      </c>
      <c r="AA27">
        <v>2</v>
      </c>
      <c r="AB27">
        <f t="shared" si="9"/>
        <v>0.1</v>
      </c>
    </row>
    <row r="28" spans="1:28" x14ac:dyDescent="0.15">
      <c r="A28">
        <v>2011</v>
      </c>
      <c r="B28" t="s">
        <v>79</v>
      </c>
      <c r="C28">
        <v>1</v>
      </c>
      <c r="D28">
        <v>0</v>
      </c>
      <c r="E28">
        <v>6</v>
      </c>
      <c r="F28">
        <v>50</v>
      </c>
      <c r="G28">
        <v>0</v>
      </c>
      <c r="H28" s="18" t="s">
        <v>54</v>
      </c>
      <c r="I28" s="10" t="s">
        <v>55</v>
      </c>
      <c r="J28" s="10" t="s">
        <v>80</v>
      </c>
      <c r="K28" s="10" t="s">
        <v>81</v>
      </c>
      <c r="L28" t="s">
        <v>82</v>
      </c>
      <c r="M28" t="s">
        <v>83</v>
      </c>
      <c r="P28">
        <v>50</v>
      </c>
      <c r="Q28" s="12">
        <v>11</v>
      </c>
      <c r="R28" s="13">
        <v>9</v>
      </c>
      <c r="T28">
        <v>1</v>
      </c>
      <c r="U28" s="14">
        <f t="shared" si="5"/>
        <v>285</v>
      </c>
      <c r="V28" s="14">
        <f t="shared" si="6"/>
        <v>14</v>
      </c>
      <c r="W28">
        <v>2</v>
      </c>
      <c r="X28" s="15">
        <f t="shared" si="7"/>
        <v>11</v>
      </c>
      <c r="Y28" s="15">
        <f t="shared" si="8"/>
        <v>1</v>
      </c>
      <c r="Z28">
        <v>0</v>
      </c>
      <c r="AA28">
        <v>0</v>
      </c>
      <c r="AB28">
        <v>0</v>
      </c>
    </row>
    <row r="29" spans="1:28" x14ac:dyDescent="0.15">
      <c r="A29">
        <v>2021</v>
      </c>
      <c r="B29" t="s">
        <v>84</v>
      </c>
      <c r="C29">
        <v>1</v>
      </c>
      <c r="D29">
        <v>0</v>
      </c>
      <c r="E29">
        <v>6</v>
      </c>
      <c r="F29">
        <v>50</v>
      </c>
      <c r="G29">
        <v>0</v>
      </c>
      <c r="H29" s="18" t="s">
        <v>61</v>
      </c>
      <c r="I29" s="11" t="s">
        <v>62</v>
      </c>
      <c r="J29" s="11" t="s">
        <v>85</v>
      </c>
      <c r="K29" s="11" t="s">
        <v>64</v>
      </c>
      <c r="L29" t="s">
        <v>86</v>
      </c>
      <c r="M29" t="s">
        <v>87</v>
      </c>
      <c r="P29">
        <v>100</v>
      </c>
      <c r="Q29" s="12">
        <v>10</v>
      </c>
      <c r="R29" s="13">
        <v>10</v>
      </c>
      <c r="T29">
        <v>1</v>
      </c>
      <c r="U29" s="14">
        <f t="shared" si="5"/>
        <v>475</v>
      </c>
      <c r="V29" s="14">
        <f t="shared" si="6"/>
        <v>23</v>
      </c>
      <c r="W29">
        <v>2</v>
      </c>
      <c r="X29" s="15">
        <f t="shared" si="7"/>
        <v>23</v>
      </c>
      <c r="Y29" s="15">
        <f t="shared" si="8"/>
        <v>1</v>
      </c>
      <c r="Z29">
        <v>7</v>
      </c>
      <c r="AA29">
        <v>2</v>
      </c>
      <c r="AB29">
        <f t="shared" si="9"/>
        <v>0.1</v>
      </c>
    </row>
    <row r="30" spans="1:28" x14ac:dyDescent="0.15">
      <c r="A30">
        <v>2031</v>
      </c>
      <c r="B30" t="s">
        <v>88</v>
      </c>
      <c r="C30">
        <v>1</v>
      </c>
      <c r="D30">
        <v>0</v>
      </c>
      <c r="E30">
        <v>6</v>
      </c>
      <c r="F30">
        <v>50</v>
      </c>
      <c r="G30">
        <v>0</v>
      </c>
      <c r="H30" s="18" t="s">
        <v>61</v>
      </c>
      <c r="I30" s="11" t="s">
        <v>68</v>
      </c>
      <c r="J30" s="11" t="s">
        <v>89</v>
      </c>
      <c r="K30" s="11" t="s">
        <v>90</v>
      </c>
      <c r="L30" t="s">
        <v>91</v>
      </c>
      <c r="M30" t="s">
        <v>92</v>
      </c>
      <c r="P30">
        <v>150</v>
      </c>
      <c r="Q30" s="12">
        <v>12</v>
      </c>
      <c r="R30" s="13">
        <v>8</v>
      </c>
      <c r="T30">
        <v>1</v>
      </c>
      <c r="U30" s="14">
        <f t="shared" si="5"/>
        <v>829</v>
      </c>
      <c r="V30" s="14">
        <f t="shared" si="6"/>
        <v>41</v>
      </c>
      <c r="W30">
        <v>2</v>
      </c>
      <c r="X30" s="15">
        <f t="shared" si="7"/>
        <v>27</v>
      </c>
      <c r="Y30" s="15">
        <f t="shared" si="8"/>
        <v>1</v>
      </c>
      <c r="Z30">
        <v>5</v>
      </c>
      <c r="AA30">
        <v>1</v>
      </c>
      <c r="AB30">
        <f t="shared" si="9"/>
        <v>0.1</v>
      </c>
    </row>
    <row r="31" spans="1:28" x14ac:dyDescent="0.15">
      <c r="A31">
        <v>2041</v>
      </c>
      <c r="B31" t="s">
        <v>93</v>
      </c>
      <c r="C31">
        <v>1</v>
      </c>
      <c r="D31">
        <v>0</v>
      </c>
      <c r="E31">
        <v>6</v>
      </c>
      <c r="F31">
        <v>50</v>
      </c>
      <c r="G31">
        <v>0</v>
      </c>
      <c r="H31" s="18" t="s">
        <v>61</v>
      </c>
      <c r="I31" s="11" t="s">
        <v>94</v>
      </c>
      <c r="J31" s="11" t="s">
        <v>95</v>
      </c>
      <c r="K31" s="11" t="s">
        <v>96</v>
      </c>
      <c r="L31" t="s">
        <v>97</v>
      </c>
      <c r="M31" t="s">
        <v>98</v>
      </c>
      <c r="P31">
        <v>200</v>
      </c>
      <c r="Q31" s="12">
        <v>12</v>
      </c>
      <c r="R31" s="13">
        <v>8</v>
      </c>
      <c r="T31">
        <v>1</v>
      </c>
      <c r="U31" s="14">
        <f t="shared" si="5"/>
        <v>1088</v>
      </c>
      <c r="V31" s="14">
        <f t="shared" si="6"/>
        <v>54</v>
      </c>
      <c r="W31">
        <v>2</v>
      </c>
      <c r="X31" s="15">
        <f t="shared" si="7"/>
        <v>36</v>
      </c>
      <c r="Y31" s="15">
        <f t="shared" si="8"/>
        <v>2</v>
      </c>
      <c r="Z31">
        <v>3</v>
      </c>
      <c r="AA31">
        <v>2</v>
      </c>
      <c r="AB31">
        <f t="shared" si="9"/>
        <v>0.1</v>
      </c>
    </row>
    <row r="32" spans="1:28" x14ac:dyDescent="0.15">
      <c r="A32">
        <v>3011</v>
      </c>
      <c r="B32" t="s">
        <v>99</v>
      </c>
      <c r="C32">
        <v>1</v>
      </c>
      <c r="D32">
        <v>0</v>
      </c>
      <c r="E32">
        <v>6</v>
      </c>
      <c r="F32">
        <v>50</v>
      </c>
      <c r="G32">
        <v>0</v>
      </c>
      <c r="H32" s="18" t="s">
        <v>54</v>
      </c>
      <c r="I32" s="10" t="s">
        <v>100</v>
      </c>
      <c r="J32" s="10" t="s">
        <v>101</v>
      </c>
      <c r="K32" s="10" t="s">
        <v>102</v>
      </c>
      <c r="L32" t="s">
        <v>103</v>
      </c>
      <c r="M32" t="s">
        <v>104</v>
      </c>
      <c r="P32">
        <v>50</v>
      </c>
      <c r="Q32" s="12">
        <v>9</v>
      </c>
      <c r="R32" s="13">
        <v>11</v>
      </c>
      <c r="T32">
        <v>1</v>
      </c>
      <c r="U32" s="14">
        <f t="shared" si="5"/>
        <v>233</v>
      </c>
      <c r="V32" s="14">
        <f t="shared" si="6"/>
        <v>11</v>
      </c>
      <c r="W32">
        <v>2</v>
      </c>
      <c r="X32" s="15">
        <f t="shared" si="7"/>
        <v>14</v>
      </c>
      <c r="Y32" s="15">
        <f t="shared" si="8"/>
        <v>1</v>
      </c>
      <c r="Z32">
        <v>0</v>
      </c>
      <c r="AA32">
        <v>0</v>
      </c>
      <c r="AB32">
        <v>0</v>
      </c>
    </row>
    <row r="33" spans="1:28" x14ac:dyDescent="0.15">
      <c r="A33">
        <v>3021</v>
      </c>
      <c r="B33" t="s">
        <v>105</v>
      </c>
      <c r="C33">
        <v>1</v>
      </c>
      <c r="D33">
        <v>0</v>
      </c>
      <c r="E33">
        <v>6</v>
      </c>
      <c r="F33">
        <v>50</v>
      </c>
      <c r="G33">
        <v>0</v>
      </c>
      <c r="H33" s="18" t="s">
        <v>61</v>
      </c>
      <c r="I33" s="11" t="s">
        <v>68</v>
      </c>
      <c r="J33" s="11" t="s">
        <v>63</v>
      </c>
      <c r="K33" s="11" t="s">
        <v>64</v>
      </c>
      <c r="L33" t="s">
        <v>106</v>
      </c>
      <c r="M33" t="s">
        <v>107</v>
      </c>
      <c r="P33">
        <v>100</v>
      </c>
      <c r="Q33" s="12">
        <v>10</v>
      </c>
      <c r="R33" s="13">
        <v>10</v>
      </c>
      <c r="T33">
        <v>1</v>
      </c>
      <c r="U33" s="14">
        <f t="shared" si="5"/>
        <v>475</v>
      </c>
      <c r="V33" s="14">
        <f t="shared" si="6"/>
        <v>23</v>
      </c>
      <c r="W33">
        <v>2</v>
      </c>
      <c r="X33" s="15">
        <f t="shared" si="7"/>
        <v>23</v>
      </c>
      <c r="Y33" s="15">
        <f t="shared" si="8"/>
        <v>1</v>
      </c>
      <c r="Z33">
        <v>5</v>
      </c>
      <c r="AA33">
        <v>1</v>
      </c>
      <c r="AB33">
        <f t="shared" si="9"/>
        <v>0.1</v>
      </c>
    </row>
    <row r="34" spans="1:28" x14ac:dyDescent="0.15">
      <c r="A34">
        <v>3031</v>
      </c>
      <c r="B34" t="s">
        <v>108</v>
      </c>
      <c r="C34">
        <v>1</v>
      </c>
      <c r="D34">
        <v>0</v>
      </c>
      <c r="E34">
        <v>6</v>
      </c>
      <c r="F34">
        <v>50</v>
      </c>
      <c r="G34">
        <v>0</v>
      </c>
      <c r="H34" s="18" t="s">
        <v>61</v>
      </c>
      <c r="I34" s="11" t="s">
        <v>62</v>
      </c>
      <c r="J34" s="11" t="s">
        <v>109</v>
      </c>
      <c r="K34" s="11" t="s">
        <v>110</v>
      </c>
      <c r="L34" t="s">
        <v>111</v>
      </c>
      <c r="M34" t="s">
        <v>112</v>
      </c>
      <c r="P34">
        <v>150</v>
      </c>
      <c r="Q34" s="12">
        <v>8</v>
      </c>
      <c r="R34" s="13">
        <v>12</v>
      </c>
      <c r="T34">
        <v>1</v>
      </c>
      <c r="U34" s="14">
        <f t="shared" si="5"/>
        <v>552</v>
      </c>
      <c r="V34" s="14">
        <f t="shared" si="6"/>
        <v>27</v>
      </c>
      <c r="W34">
        <v>2</v>
      </c>
      <c r="X34" s="15">
        <f t="shared" si="7"/>
        <v>41</v>
      </c>
      <c r="Y34" s="15">
        <f t="shared" si="8"/>
        <v>2</v>
      </c>
      <c r="Z34">
        <v>7</v>
      </c>
      <c r="AA34">
        <v>3</v>
      </c>
      <c r="AB34">
        <f t="shared" si="9"/>
        <v>0.1</v>
      </c>
    </row>
    <row r="35" spans="1:28" x14ac:dyDescent="0.15">
      <c r="A35">
        <v>3041</v>
      </c>
      <c r="B35" t="s">
        <v>113</v>
      </c>
      <c r="C35">
        <v>1</v>
      </c>
      <c r="D35">
        <v>0</v>
      </c>
      <c r="E35">
        <v>6</v>
      </c>
      <c r="F35">
        <v>50</v>
      </c>
      <c r="G35">
        <v>0</v>
      </c>
      <c r="H35" s="18" t="s">
        <v>61</v>
      </c>
      <c r="I35" t="s">
        <v>114</v>
      </c>
      <c r="J35" t="s">
        <v>115</v>
      </c>
      <c r="K35" t="s">
        <v>116</v>
      </c>
      <c r="L35" t="s">
        <v>117</v>
      </c>
      <c r="M35" t="s">
        <v>118</v>
      </c>
      <c r="P35">
        <v>200</v>
      </c>
      <c r="Q35" s="12">
        <v>8</v>
      </c>
      <c r="R35" s="13">
        <v>12</v>
      </c>
      <c r="T35">
        <v>1</v>
      </c>
      <c r="U35" s="14">
        <f t="shared" si="5"/>
        <v>725</v>
      </c>
      <c r="V35" s="14">
        <f t="shared" si="6"/>
        <v>36</v>
      </c>
      <c r="W35">
        <v>2</v>
      </c>
      <c r="X35" s="15">
        <f t="shared" si="7"/>
        <v>54</v>
      </c>
      <c r="Y35" s="15">
        <f t="shared" si="8"/>
        <v>3</v>
      </c>
      <c r="Z35">
        <v>6</v>
      </c>
      <c r="AA35">
        <v>10</v>
      </c>
      <c r="AB35">
        <f>15/30</f>
        <v>0.5</v>
      </c>
    </row>
    <row r="36" spans="1:28" x14ac:dyDescent="0.15">
      <c r="A36">
        <v>4011</v>
      </c>
      <c r="B36" t="s">
        <v>119</v>
      </c>
      <c r="C36">
        <v>1</v>
      </c>
      <c r="D36">
        <v>0</v>
      </c>
      <c r="E36">
        <v>6</v>
      </c>
      <c r="F36">
        <v>50</v>
      </c>
      <c r="G36">
        <v>0</v>
      </c>
      <c r="H36" s="18" t="s">
        <v>54</v>
      </c>
      <c r="I36" s="2" t="s">
        <v>55</v>
      </c>
      <c r="J36" s="2" t="s">
        <v>120</v>
      </c>
      <c r="K36" s="2" t="s">
        <v>121</v>
      </c>
      <c r="L36" t="s">
        <v>122</v>
      </c>
      <c r="M36" t="s">
        <v>123</v>
      </c>
      <c r="P36">
        <v>50</v>
      </c>
      <c r="Q36" s="12">
        <v>5</v>
      </c>
      <c r="R36" s="13">
        <v>15</v>
      </c>
      <c r="T36">
        <v>1</v>
      </c>
      <c r="U36" s="14">
        <f t="shared" si="5"/>
        <v>129</v>
      </c>
      <c r="V36" s="14">
        <f t="shared" si="6"/>
        <v>6</v>
      </c>
      <c r="W36">
        <v>2</v>
      </c>
      <c r="X36" s="15">
        <f t="shared" si="7"/>
        <v>19</v>
      </c>
      <c r="Y36" s="15">
        <f t="shared" si="8"/>
        <v>1</v>
      </c>
      <c r="Z36">
        <v>0</v>
      </c>
      <c r="AA36">
        <v>0</v>
      </c>
      <c r="AB36">
        <v>0</v>
      </c>
    </row>
    <row r="37" spans="1:28" x14ac:dyDescent="0.15">
      <c r="A37">
        <v>4021</v>
      </c>
      <c r="B37" t="s">
        <v>124</v>
      </c>
      <c r="C37">
        <v>1</v>
      </c>
      <c r="D37">
        <v>0</v>
      </c>
      <c r="E37">
        <v>6</v>
      </c>
      <c r="F37">
        <v>50</v>
      </c>
      <c r="G37">
        <v>0</v>
      </c>
      <c r="H37" s="18" t="s">
        <v>61</v>
      </c>
      <c r="I37" t="s">
        <v>68</v>
      </c>
      <c r="J37" t="s">
        <v>125</v>
      </c>
      <c r="K37" t="s">
        <v>126</v>
      </c>
      <c r="L37" t="s">
        <v>127</v>
      </c>
      <c r="M37" t="s">
        <v>128</v>
      </c>
      <c r="P37">
        <v>100</v>
      </c>
      <c r="Q37" s="12">
        <v>6</v>
      </c>
      <c r="R37" s="13">
        <v>14</v>
      </c>
      <c r="T37">
        <v>1</v>
      </c>
      <c r="U37" s="14">
        <f t="shared" si="5"/>
        <v>285</v>
      </c>
      <c r="V37" s="14">
        <f t="shared" si="6"/>
        <v>14</v>
      </c>
      <c r="W37">
        <v>2</v>
      </c>
      <c r="X37" s="15">
        <f t="shared" si="7"/>
        <v>33</v>
      </c>
      <c r="Y37" s="15">
        <f t="shared" si="8"/>
        <v>2</v>
      </c>
      <c r="Z37">
        <v>5</v>
      </c>
      <c r="AA37">
        <v>2</v>
      </c>
      <c r="AB37">
        <f t="shared" ref="AB37:AB41" si="10">3/30</f>
        <v>0.1</v>
      </c>
    </row>
    <row r="38" spans="1:28" x14ac:dyDescent="0.15">
      <c r="A38">
        <v>4031</v>
      </c>
      <c r="B38" t="s">
        <v>129</v>
      </c>
      <c r="C38">
        <v>1</v>
      </c>
      <c r="D38">
        <v>0</v>
      </c>
      <c r="E38">
        <v>6</v>
      </c>
      <c r="F38">
        <v>50</v>
      </c>
      <c r="G38">
        <v>0</v>
      </c>
      <c r="H38" s="18" t="s">
        <v>61</v>
      </c>
      <c r="I38" t="s">
        <v>62</v>
      </c>
      <c r="J38" t="s">
        <v>130</v>
      </c>
      <c r="K38" t="s">
        <v>131</v>
      </c>
      <c r="L38" t="s">
        <v>132</v>
      </c>
      <c r="M38" t="s">
        <v>133</v>
      </c>
      <c r="P38">
        <v>150</v>
      </c>
      <c r="Q38" s="12">
        <v>7</v>
      </c>
      <c r="R38" s="13">
        <v>13</v>
      </c>
      <c r="T38">
        <v>1</v>
      </c>
      <c r="U38" s="14">
        <f t="shared" si="5"/>
        <v>483</v>
      </c>
      <c r="V38" s="14">
        <f t="shared" si="6"/>
        <v>24</v>
      </c>
      <c r="W38">
        <v>2</v>
      </c>
      <c r="X38" s="15">
        <f t="shared" si="7"/>
        <v>44</v>
      </c>
      <c r="Y38" s="15">
        <f t="shared" si="8"/>
        <v>2</v>
      </c>
      <c r="Z38">
        <v>7</v>
      </c>
      <c r="AA38">
        <v>13</v>
      </c>
      <c r="AB38">
        <f>12/30</f>
        <v>0.4</v>
      </c>
    </row>
    <row r="39" spans="1:28" x14ac:dyDescent="0.15">
      <c r="A39">
        <v>4041</v>
      </c>
      <c r="B39" t="s">
        <v>134</v>
      </c>
      <c r="C39">
        <v>1</v>
      </c>
      <c r="D39">
        <v>0</v>
      </c>
      <c r="E39">
        <v>6</v>
      </c>
      <c r="F39">
        <v>50</v>
      </c>
      <c r="G39">
        <v>0</v>
      </c>
      <c r="H39" s="18" t="s">
        <v>61</v>
      </c>
      <c r="I39" t="s">
        <v>135</v>
      </c>
      <c r="J39" t="s">
        <v>136</v>
      </c>
      <c r="K39" t="s">
        <v>137</v>
      </c>
      <c r="L39" t="s">
        <v>138</v>
      </c>
      <c r="M39" t="s">
        <v>139</v>
      </c>
      <c r="P39">
        <v>200</v>
      </c>
      <c r="Q39" s="12">
        <v>8</v>
      </c>
      <c r="R39" s="13">
        <v>12</v>
      </c>
      <c r="T39">
        <v>1</v>
      </c>
      <c r="U39" s="14">
        <f t="shared" si="5"/>
        <v>725</v>
      </c>
      <c r="V39" s="14">
        <f t="shared" si="6"/>
        <v>36</v>
      </c>
      <c r="W39">
        <v>2</v>
      </c>
      <c r="X39" s="15">
        <f t="shared" si="7"/>
        <v>54</v>
      </c>
      <c r="Y39" s="15">
        <f t="shared" si="8"/>
        <v>3</v>
      </c>
      <c r="Z39">
        <v>9</v>
      </c>
      <c r="AA39">
        <v>2</v>
      </c>
      <c r="AB39">
        <f t="shared" si="10"/>
        <v>0.1</v>
      </c>
    </row>
    <row r="40" spans="1:28" x14ac:dyDescent="0.15">
      <c r="A40">
        <v>5011</v>
      </c>
      <c r="B40" t="s">
        <v>140</v>
      </c>
      <c r="C40">
        <v>1</v>
      </c>
      <c r="D40">
        <v>0</v>
      </c>
      <c r="E40">
        <v>6</v>
      </c>
      <c r="F40">
        <v>50</v>
      </c>
      <c r="G40">
        <v>0</v>
      </c>
      <c r="H40" s="18" t="s">
        <v>54</v>
      </c>
      <c r="I40" s="2" t="s">
        <v>55</v>
      </c>
      <c r="J40" s="2" t="s">
        <v>56</v>
      </c>
      <c r="K40" s="2" t="s">
        <v>57</v>
      </c>
      <c r="L40" t="s">
        <v>141</v>
      </c>
      <c r="M40" t="s">
        <v>142</v>
      </c>
      <c r="P40">
        <v>50</v>
      </c>
      <c r="Q40" s="12">
        <v>10</v>
      </c>
      <c r="R40" s="13">
        <v>10</v>
      </c>
      <c r="T40">
        <v>1</v>
      </c>
      <c r="U40" s="14">
        <f t="shared" si="5"/>
        <v>259</v>
      </c>
      <c r="V40" s="14">
        <f t="shared" si="6"/>
        <v>12</v>
      </c>
      <c r="W40">
        <v>2</v>
      </c>
      <c r="X40" s="15">
        <f t="shared" si="7"/>
        <v>12</v>
      </c>
      <c r="Y40" s="15">
        <f t="shared" si="8"/>
        <v>1</v>
      </c>
      <c r="Z40">
        <v>0</v>
      </c>
      <c r="AA40">
        <v>0</v>
      </c>
      <c r="AB40">
        <v>0</v>
      </c>
    </row>
    <row r="41" spans="1:28" x14ac:dyDescent="0.15">
      <c r="A41">
        <v>5021</v>
      </c>
      <c r="B41" t="s">
        <v>143</v>
      </c>
      <c r="C41">
        <v>1</v>
      </c>
      <c r="D41">
        <v>0</v>
      </c>
      <c r="E41">
        <v>6</v>
      </c>
      <c r="F41">
        <v>50</v>
      </c>
      <c r="G41">
        <v>0</v>
      </c>
      <c r="H41" s="18" t="s">
        <v>61</v>
      </c>
      <c r="I41" t="s">
        <v>62</v>
      </c>
      <c r="J41" t="s">
        <v>144</v>
      </c>
      <c r="K41" t="s">
        <v>145</v>
      </c>
      <c r="L41" t="s">
        <v>146</v>
      </c>
      <c r="M41" t="s">
        <v>147</v>
      </c>
      <c r="P41">
        <v>100</v>
      </c>
      <c r="Q41" s="12">
        <v>11</v>
      </c>
      <c r="R41" s="13">
        <v>9</v>
      </c>
      <c r="T41">
        <v>1</v>
      </c>
      <c r="U41" s="14">
        <f t="shared" si="5"/>
        <v>522</v>
      </c>
      <c r="V41" s="14">
        <f t="shared" si="6"/>
        <v>26</v>
      </c>
      <c r="W41">
        <v>2</v>
      </c>
      <c r="X41" s="15">
        <f t="shared" si="7"/>
        <v>21</v>
      </c>
      <c r="Y41" s="15">
        <f t="shared" si="8"/>
        <v>1</v>
      </c>
      <c r="Z41">
        <v>7</v>
      </c>
      <c r="AA41">
        <v>2</v>
      </c>
      <c r="AB41">
        <f t="shared" si="10"/>
        <v>0.1</v>
      </c>
    </row>
    <row r="42" spans="1:28" x14ac:dyDescent="0.15">
      <c r="A42">
        <v>5031</v>
      </c>
      <c r="B42" t="s">
        <v>148</v>
      </c>
      <c r="C42">
        <v>1</v>
      </c>
      <c r="D42">
        <v>0</v>
      </c>
      <c r="E42">
        <v>6</v>
      </c>
      <c r="F42">
        <v>50</v>
      </c>
      <c r="G42">
        <v>0</v>
      </c>
      <c r="H42" s="18" t="s">
        <v>61</v>
      </c>
      <c r="I42" t="s">
        <v>149</v>
      </c>
      <c r="J42" t="s">
        <v>150</v>
      </c>
      <c r="K42" t="s">
        <v>151</v>
      </c>
      <c r="L42" t="s">
        <v>152</v>
      </c>
      <c r="M42" t="s">
        <v>153</v>
      </c>
      <c r="P42">
        <v>150</v>
      </c>
      <c r="Q42" s="12">
        <v>12</v>
      </c>
      <c r="R42" s="13">
        <v>8</v>
      </c>
      <c r="T42">
        <v>1</v>
      </c>
      <c r="U42" s="14">
        <f t="shared" si="5"/>
        <v>829</v>
      </c>
      <c r="V42" s="14">
        <f t="shared" si="6"/>
        <v>41</v>
      </c>
      <c r="W42">
        <v>2</v>
      </c>
      <c r="X42" s="15">
        <f t="shared" si="7"/>
        <v>27</v>
      </c>
      <c r="Y42" s="15">
        <f t="shared" si="8"/>
        <v>1</v>
      </c>
      <c r="Z42">
        <v>3</v>
      </c>
      <c r="AA42">
        <v>40</v>
      </c>
      <c r="AB42">
        <f>60/30</f>
        <v>2</v>
      </c>
    </row>
    <row r="43" spans="1:28" x14ac:dyDescent="0.15">
      <c r="A43">
        <v>5041</v>
      </c>
      <c r="B43" t="s">
        <v>154</v>
      </c>
      <c r="C43">
        <v>1</v>
      </c>
      <c r="D43">
        <v>0</v>
      </c>
      <c r="E43">
        <v>6</v>
      </c>
      <c r="F43">
        <v>50</v>
      </c>
      <c r="G43">
        <v>0</v>
      </c>
      <c r="H43" s="18" t="s">
        <v>61</v>
      </c>
      <c r="I43" t="s">
        <v>155</v>
      </c>
      <c r="J43" t="s">
        <v>156</v>
      </c>
      <c r="K43" t="s">
        <v>157</v>
      </c>
      <c r="L43" t="s">
        <v>158</v>
      </c>
      <c r="M43" t="s">
        <v>159</v>
      </c>
      <c r="P43">
        <v>200</v>
      </c>
      <c r="Q43" s="12">
        <v>10</v>
      </c>
      <c r="R43" s="13">
        <v>10</v>
      </c>
      <c r="T43">
        <v>1</v>
      </c>
      <c r="U43" s="14">
        <f t="shared" si="5"/>
        <v>907</v>
      </c>
      <c r="V43" s="14">
        <f t="shared" si="6"/>
        <v>45</v>
      </c>
      <c r="W43">
        <v>2</v>
      </c>
      <c r="X43" s="15">
        <f t="shared" si="7"/>
        <v>45</v>
      </c>
      <c r="Y43" s="15">
        <f t="shared" si="8"/>
        <v>2</v>
      </c>
      <c r="Z43">
        <v>13</v>
      </c>
      <c r="AA43">
        <v>4</v>
      </c>
      <c r="AB43">
        <f>6/30</f>
        <v>0.2</v>
      </c>
    </row>
    <row r="45" spans="1:28" x14ac:dyDescent="0.15">
      <c r="E45" s="3"/>
      <c r="H45" s="3"/>
    </row>
    <row r="46" spans="1:28" x14ac:dyDescent="0.15">
      <c r="D46" s="4" t="s">
        <v>3</v>
      </c>
      <c r="E46" s="5"/>
      <c r="F46" s="6"/>
      <c r="G46" s="6"/>
      <c r="H46" s="20" t="s">
        <v>7</v>
      </c>
      <c r="I46" s="5"/>
      <c r="J46" s="6" t="s">
        <v>8</v>
      </c>
      <c r="K46" t="s">
        <v>9</v>
      </c>
    </row>
    <row r="47" spans="1:28" x14ac:dyDescent="0.15">
      <c r="D47" s="6" t="s">
        <v>160</v>
      </c>
      <c r="E47" s="5">
        <v>1</v>
      </c>
      <c r="F47" s="6"/>
      <c r="G47" s="6"/>
      <c r="H47" s="20" t="s">
        <v>161</v>
      </c>
      <c r="I47" s="5">
        <v>1</v>
      </c>
      <c r="J47" s="6" t="s">
        <v>162</v>
      </c>
    </row>
    <row r="48" spans="1:28" x14ac:dyDescent="0.15">
      <c r="C48" s="7"/>
      <c r="D48" s="6" t="s">
        <v>163</v>
      </c>
      <c r="E48" s="5">
        <v>2</v>
      </c>
      <c r="F48" s="6"/>
      <c r="G48" s="6"/>
      <c r="H48" s="20" t="s">
        <v>164</v>
      </c>
      <c r="I48" s="5">
        <v>2</v>
      </c>
      <c r="J48" s="6" t="s">
        <v>162</v>
      </c>
    </row>
    <row r="49" spans="3:11" x14ac:dyDescent="0.15">
      <c r="C49" s="8"/>
      <c r="D49" s="6" t="s">
        <v>165</v>
      </c>
      <c r="E49" s="5">
        <v>3</v>
      </c>
      <c r="F49" s="6"/>
      <c r="G49" s="6"/>
      <c r="H49" s="20" t="s">
        <v>166</v>
      </c>
      <c r="I49" s="5">
        <v>3</v>
      </c>
      <c r="J49" s="6" t="s">
        <v>167</v>
      </c>
      <c r="K49" s="8"/>
    </row>
    <row r="50" spans="3:11" x14ac:dyDescent="0.15">
      <c r="C50" s="9"/>
      <c r="D50" s="6" t="s">
        <v>168</v>
      </c>
      <c r="E50" s="5">
        <v>4</v>
      </c>
      <c r="F50" s="6"/>
      <c r="G50" s="6"/>
      <c r="H50" s="20" t="s">
        <v>169</v>
      </c>
      <c r="I50" s="5">
        <v>4</v>
      </c>
      <c r="J50" s="6" t="s">
        <v>170</v>
      </c>
    </row>
    <row r="51" spans="3:11" x14ac:dyDescent="0.15">
      <c r="C51" s="9"/>
      <c r="D51" s="6" t="s">
        <v>171</v>
      </c>
      <c r="E51" s="5">
        <v>5</v>
      </c>
      <c r="F51" s="6"/>
      <c r="G51" s="6"/>
      <c r="H51" s="20" t="s">
        <v>172</v>
      </c>
      <c r="I51" s="5">
        <v>5</v>
      </c>
      <c r="J51" s="6" t="s">
        <v>170</v>
      </c>
    </row>
    <row r="52" spans="3:11" x14ac:dyDescent="0.15">
      <c r="C52" s="8"/>
      <c r="D52" s="6" t="s">
        <v>173</v>
      </c>
      <c r="E52" s="5">
        <v>6</v>
      </c>
      <c r="F52" s="6"/>
      <c r="G52" s="6"/>
      <c r="H52" s="20" t="s">
        <v>174</v>
      </c>
      <c r="I52" s="5">
        <v>6</v>
      </c>
      <c r="J52" s="6"/>
    </row>
    <row r="53" spans="3:11" x14ac:dyDescent="0.15">
      <c r="C53" s="8"/>
      <c r="D53" s="6" t="s">
        <v>175</v>
      </c>
      <c r="E53" s="5">
        <v>7</v>
      </c>
      <c r="F53" s="6"/>
      <c r="G53" s="6"/>
      <c r="H53" s="20" t="s">
        <v>176</v>
      </c>
      <c r="I53" s="5">
        <v>7</v>
      </c>
      <c r="J53" s="6" t="s">
        <v>162</v>
      </c>
      <c r="K53" t="s">
        <v>177</v>
      </c>
    </row>
    <row r="54" spans="3:11" x14ac:dyDescent="0.15">
      <c r="C54" s="8"/>
      <c r="D54" s="6" t="s">
        <v>178</v>
      </c>
      <c r="E54" s="5">
        <v>8</v>
      </c>
      <c r="F54" s="6"/>
      <c r="G54" s="6"/>
      <c r="H54" s="20" t="s">
        <v>179</v>
      </c>
      <c r="I54" s="5">
        <v>8</v>
      </c>
      <c r="J54" s="6" t="s">
        <v>180</v>
      </c>
    </row>
    <row r="55" spans="3:11" x14ac:dyDescent="0.15">
      <c r="C55" s="8"/>
      <c r="D55" s="6" t="s">
        <v>181</v>
      </c>
      <c r="E55" s="5">
        <v>9</v>
      </c>
      <c r="F55" s="6"/>
      <c r="G55" s="6"/>
      <c r="H55" s="20" t="s">
        <v>182</v>
      </c>
      <c r="I55" s="5">
        <v>9</v>
      </c>
      <c r="J55" s="6"/>
    </row>
    <row r="56" spans="3:11" x14ac:dyDescent="0.15">
      <c r="C56" s="8"/>
      <c r="D56" s="6" t="s">
        <v>183</v>
      </c>
      <c r="E56" s="5">
        <v>10</v>
      </c>
      <c r="F56" s="6"/>
      <c r="G56" s="6"/>
      <c r="H56" s="20" t="s">
        <v>184</v>
      </c>
      <c r="I56" s="5">
        <v>10</v>
      </c>
      <c r="J56" s="6" t="s">
        <v>185</v>
      </c>
      <c r="K56" t="s">
        <v>186</v>
      </c>
    </row>
    <row r="57" spans="3:11" x14ac:dyDescent="0.15">
      <c r="C57" s="8"/>
      <c r="D57" s="6" t="s">
        <v>187</v>
      </c>
      <c r="E57" s="5">
        <v>11</v>
      </c>
      <c r="F57" s="6"/>
      <c r="G57" s="6"/>
      <c r="H57" s="20" t="s">
        <v>188</v>
      </c>
      <c r="I57" s="5">
        <v>11</v>
      </c>
      <c r="J57" s="6" t="s">
        <v>167</v>
      </c>
    </row>
    <row r="58" spans="3:11" x14ac:dyDescent="0.15">
      <c r="C58" s="8"/>
      <c r="D58" s="6" t="s">
        <v>189</v>
      </c>
      <c r="E58" s="5">
        <v>12</v>
      </c>
      <c r="F58" s="6"/>
      <c r="G58" s="6"/>
      <c r="H58" s="20" t="s">
        <v>190</v>
      </c>
      <c r="I58" s="5">
        <v>12</v>
      </c>
      <c r="J58" s="6"/>
    </row>
    <row r="59" spans="3:11" x14ac:dyDescent="0.15">
      <c r="C59" s="8"/>
      <c r="D59" s="6" t="s">
        <v>191</v>
      </c>
      <c r="E59" s="5">
        <v>13</v>
      </c>
      <c r="F59" s="6"/>
      <c r="G59" s="6"/>
    </row>
    <row r="60" spans="3:11" x14ac:dyDescent="0.15">
      <c r="D60" s="4" t="s">
        <v>192</v>
      </c>
      <c r="E60" s="5"/>
      <c r="F60" s="6"/>
      <c r="G60" s="6"/>
    </row>
    <row r="61" spans="3:11" x14ac:dyDescent="0.15">
      <c r="D61" s="4" t="s">
        <v>192</v>
      </c>
      <c r="E61" s="5"/>
      <c r="F61" s="6"/>
      <c r="G61" s="6"/>
    </row>
    <row r="75" spans="4:7" x14ac:dyDescent="0.15">
      <c r="D75" s="4" t="s">
        <v>192</v>
      </c>
      <c r="E75" s="5"/>
      <c r="F75" s="6"/>
      <c r="G75" s="6"/>
    </row>
    <row r="76" spans="4:7" x14ac:dyDescent="0.15">
      <c r="D76" s="4" t="s">
        <v>192</v>
      </c>
      <c r="E76" s="5"/>
      <c r="F76" s="6"/>
      <c r="G76" s="6"/>
    </row>
    <row r="77" spans="4:7" x14ac:dyDescent="0.15">
      <c r="F77" s="6"/>
      <c r="G77" s="6"/>
    </row>
    <row r="78" spans="4:7" x14ac:dyDescent="0.15">
      <c r="F78" s="6"/>
      <c r="G78" s="6"/>
    </row>
    <row r="79" spans="4:7" x14ac:dyDescent="0.15">
      <c r="F79" s="6"/>
      <c r="G79" s="6"/>
    </row>
    <row r="80" spans="4:7" x14ac:dyDescent="0.15">
      <c r="F80" s="6"/>
      <c r="G80" s="6"/>
    </row>
    <row r="81" spans="4:7" x14ac:dyDescent="0.15">
      <c r="D81" s="4" t="s">
        <v>192</v>
      </c>
      <c r="E81" s="5"/>
      <c r="F81" s="6"/>
      <c r="G81" s="6"/>
    </row>
    <row r="82" spans="4:7" x14ac:dyDescent="0.15">
      <c r="D82" s="4" t="s">
        <v>192</v>
      </c>
      <c r="E82" s="5"/>
      <c r="F82" s="6"/>
      <c r="G82" s="6"/>
    </row>
  </sheetData>
  <phoneticPr fontId="5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pet_skill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zhang</cp:lastModifiedBy>
  <dcterms:created xsi:type="dcterms:W3CDTF">2017-06-13T02:34:00Z</dcterms:created>
  <dcterms:modified xsi:type="dcterms:W3CDTF">2020-10-21T13:01:19Z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2052-11.1.0.9584</vt:lpwstr>
  </property>
</Properties>
</file>