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A2B779B8-8079-4C9E-9380-E7A342079BB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guild_boss" sheetId="1" r:id="rId1"/>
  </sheets>
  <calcPr calcId="191029"/>
</workbook>
</file>

<file path=xl/calcChain.xml><?xml version="1.0" encoding="utf-8"?>
<calcChain xmlns="http://schemas.openxmlformats.org/spreadsheetml/2006/main">
  <c r="AE4" i="1" l="1"/>
  <c r="AF4" i="1"/>
  <c r="AG4" i="1"/>
  <c r="AH4" i="1"/>
  <c r="AI4" i="1"/>
  <c r="AJ4" i="1"/>
  <c r="AE5" i="1"/>
  <c r="AF5" i="1"/>
  <c r="AG5" i="1"/>
  <c r="AH5" i="1"/>
  <c r="AI5" i="1"/>
  <c r="AJ5" i="1"/>
  <c r="AE6" i="1"/>
  <c r="AF6" i="1"/>
  <c r="AG6" i="1"/>
  <c r="AH6" i="1"/>
  <c r="AI6" i="1"/>
  <c r="AJ6" i="1"/>
  <c r="AE7" i="1"/>
  <c r="AF7" i="1"/>
  <c r="AG7" i="1"/>
  <c r="AH7" i="1"/>
  <c r="AI7" i="1"/>
  <c r="AJ7" i="1"/>
  <c r="AE8" i="1"/>
  <c r="AF8" i="1"/>
  <c r="AG8" i="1"/>
  <c r="AH8" i="1"/>
  <c r="AI8" i="1"/>
  <c r="AJ8" i="1"/>
  <c r="AE9" i="1"/>
  <c r="AF9" i="1"/>
  <c r="AG9" i="1"/>
  <c r="AH9" i="1"/>
  <c r="AI9" i="1"/>
  <c r="AJ9" i="1"/>
  <c r="AE10" i="1"/>
  <c r="AF10" i="1"/>
  <c r="AG10" i="1"/>
  <c r="AH10" i="1"/>
  <c r="AI10" i="1"/>
  <c r="AJ10" i="1"/>
  <c r="AE11" i="1"/>
  <c r="AF11" i="1"/>
  <c r="AG11" i="1"/>
  <c r="AH11" i="1"/>
  <c r="AI11" i="1"/>
  <c r="AJ11" i="1"/>
  <c r="AE12" i="1"/>
  <c r="AF12" i="1"/>
  <c r="AG12" i="1"/>
  <c r="AH12" i="1"/>
  <c r="AI12" i="1"/>
  <c r="AJ12" i="1"/>
  <c r="AE13" i="1"/>
  <c r="AF13" i="1"/>
  <c r="AG13" i="1"/>
  <c r="AH13" i="1"/>
  <c r="AI13" i="1"/>
  <c r="AJ13" i="1"/>
  <c r="AE14" i="1"/>
  <c r="AF14" i="1"/>
  <c r="AG14" i="1"/>
  <c r="AH14" i="1"/>
  <c r="AI14" i="1"/>
  <c r="AJ14" i="1"/>
  <c r="AE15" i="1"/>
  <c r="AF15" i="1"/>
  <c r="AG15" i="1"/>
  <c r="AH15" i="1"/>
  <c r="AI15" i="1"/>
  <c r="AJ15" i="1"/>
  <c r="AE16" i="1"/>
  <c r="AF16" i="1"/>
  <c r="AG16" i="1"/>
  <c r="AH16" i="1"/>
  <c r="AI16" i="1"/>
  <c r="AJ16" i="1"/>
  <c r="AE17" i="1"/>
  <c r="AF17" i="1"/>
  <c r="AG17" i="1"/>
  <c r="AH17" i="1"/>
  <c r="AI17" i="1"/>
  <c r="AJ17" i="1"/>
  <c r="AE18" i="1"/>
  <c r="AF18" i="1"/>
  <c r="AG18" i="1"/>
  <c r="AH18" i="1"/>
  <c r="AI18" i="1"/>
  <c r="AJ18" i="1"/>
  <c r="AE19" i="1"/>
  <c r="AF19" i="1"/>
  <c r="AG19" i="1"/>
  <c r="AH19" i="1"/>
  <c r="AI19" i="1"/>
  <c r="AJ19" i="1"/>
  <c r="AE20" i="1"/>
  <c r="AF20" i="1"/>
  <c r="AG20" i="1"/>
  <c r="AH20" i="1"/>
  <c r="AI20" i="1"/>
  <c r="AJ20" i="1"/>
  <c r="AE21" i="1"/>
  <c r="AF21" i="1"/>
  <c r="AG21" i="1"/>
  <c r="AH21" i="1"/>
  <c r="AI21" i="1"/>
  <c r="AJ21" i="1"/>
  <c r="AE22" i="1"/>
  <c r="AF22" i="1"/>
  <c r="AG22" i="1"/>
  <c r="AH22" i="1"/>
  <c r="AI22" i="1"/>
  <c r="AJ22" i="1"/>
  <c r="AE23" i="1"/>
  <c r="AF23" i="1"/>
  <c r="AG23" i="1"/>
  <c r="AH23" i="1"/>
  <c r="AI23" i="1"/>
  <c r="AJ23" i="1"/>
  <c r="AE24" i="1"/>
  <c r="AF24" i="1"/>
  <c r="AG24" i="1"/>
  <c r="AH24" i="1"/>
  <c r="AI24" i="1"/>
  <c r="AJ24" i="1"/>
  <c r="AE25" i="1"/>
  <c r="AF25" i="1"/>
  <c r="AG25" i="1"/>
  <c r="AH25" i="1"/>
  <c r="AI25" i="1"/>
  <c r="AJ25" i="1"/>
  <c r="AE26" i="1"/>
  <c r="AF26" i="1"/>
  <c r="AG26" i="1"/>
  <c r="AH26" i="1"/>
  <c r="AI26" i="1"/>
  <c r="AJ26" i="1"/>
  <c r="AE27" i="1"/>
  <c r="AF27" i="1"/>
  <c r="AG27" i="1"/>
  <c r="AH27" i="1"/>
  <c r="AI27" i="1"/>
  <c r="AJ27" i="1"/>
  <c r="AE28" i="1"/>
  <c r="AF28" i="1"/>
  <c r="AG28" i="1"/>
  <c r="AH28" i="1"/>
  <c r="AI28" i="1"/>
  <c r="AJ28" i="1"/>
  <c r="AE29" i="1"/>
  <c r="AF29" i="1"/>
  <c r="AG29" i="1"/>
  <c r="AH29" i="1"/>
  <c r="AI29" i="1"/>
  <c r="AJ29" i="1"/>
  <c r="AE30" i="1"/>
  <c r="AF30" i="1"/>
  <c r="AG30" i="1"/>
  <c r="AH30" i="1"/>
  <c r="AI30" i="1"/>
  <c r="AJ30" i="1"/>
  <c r="AE31" i="1"/>
  <c r="AF31" i="1"/>
  <c r="AG31" i="1"/>
  <c r="AH31" i="1"/>
  <c r="AI31" i="1"/>
  <c r="AJ31" i="1"/>
  <c r="AE32" i="1"/>
  <c r="AF32" i="1"/>
  <c r="AG32" i="1"/>
  <c r="AH32" i="1"/>
  <c r="AI32" i="1"/>
  <c r="AJ32" i="1"/>
  <c r="AJ3" i="1"/>
  <c r="AI3" i="1"/>
  <c r="AH3" i="1"/>
  <c r="AG3" i="1"/>
  <c r="AF3" i="1"/>
  <c r="AE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" i="1"/>
  <c r="Y12" i="1"/>
  <c r="Z12" i="1" s="1"/>
  <c r="AM34" i="1"/>
  <c r="AM35" i="1"/>
  <c r="AM36" i="1"/>
  <c r="AM37" i="1"/>
  <c r="AM38" i="1"/>
  <c r="AM39" i="1"/>
  <c r="Y4" i="1"/>
  <c r="Y5" i="1"/>
  <c r="Z5" i="1" s="1"/>
  <c r="Y6" i="1"/>
  <c r="Y7" i="1"/>
  <c r="Z7" i="1" s="1"/>
  <c r="Y8" i="1"/>
  <c r="Y9" i="1"/>
  <c r="Y10" i="1"/>
  <c r="Y11" i="1"/>
  <c r="Z11" i="1" s="1"/>
  <c r="Y13" i="1"/>
  <c r="Y14" i="1"/>
  <c r="Y15" i="1"/>
  <c r="Z15" i="1" s="1"/>
  <c r="Y16" i="1"/>
  <c r="Z16" i="1" s="1"/>
  <c r="Y17" i="1"/>
  <c r="Y18" i="1"/>
  <c r="Z18" i="1" s="1"/>
  <c r="Y19" i="1"/>
  <c r="Z19" i="1" s="1"/>
  <c r="Y20" i="1"/>
  <c r="Y21" i="1"/>
  <c r="Z21" i="1" s="1"/>
  <c r="Y22" i="1"/>
  <c r="Z22" i="1" s="1"/>
  <c r="Y23" i="1"/>
  <c r="Y24" i="1"/>
  <c r="Z24" i="1" s="1"/>
  <c r="Y25" i="1"/>
  <c r="Y26" i="1"/>
  <c r="Y27" i="1"/>
  <c r="Y28" i="1"/>
  <c r="Z28" i="1" s="1"/>
  <c r="Y29" i="1"/>
  <c r="Z29" i="1" s="1"/>
  <c r="Y30" i="1"/>
  <c r="Z30" i="1" s="1"/>
  <c r="Y31" i="1"/>
  <c r="Y32" i="1"/>
  <c r="Z32" i="1" s="1"/>
  <c r="Z25" i="1"/>
  <c r="Z14" i="1"/>
  <c r="Y3" i="1"/>
  <c r="Z3" i="1" s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Z23" i="1"/>
  <c r="Z27" i="1"/>
  <c r="Z31" i="1"/>
  <c r="Z4" i="1"/>
  <c r="Z6" i="1"/>
  <c r="Z8" i="1"/>
  <c r="Z9" i="1"/>
  <c r="Z10" i="1"/>
  <c r="Z13" i="1"/>
  <c r="Z17" i="1"/>
  <c r="Z20" i="1"/>
  <c r="Z26" i="1"/>
  <c r="S13" i="1" l="1"/>
  <c r="S14" i="1"/>
  <c r="S15" i="1"/>
  <c r="S16" i="1"/>
  <c r="S17" i="1"/>
  <c r="S18" i="1"/>
  <c r="S19" i="1"/>
  <c r="S20" i="1"/>
  <c r="S21" i="1"/>
  <c r="S22" i="1"/>
  <c r="CW981" i="1" l="1"/>
  <c r="CV981" i="1"/>
  <c r="CU981" i="1"/>
  <c r="CT981" i="1"/>
  <c r="CS981" i="1"/>
  <c r="CR981" i="1"/>
  <c r="CQ981" i="1"/>
  <c r="CP981" i="1"/>
  <c r="CO981" i="1"/>
  <c r="CN981" i="1"/>
  <c r="CM981" i="1"/>
  <c r="CL981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W971" i="1"/>
  <c r="CV971" i="1"/>
  <c r="CU971" i="1"/>
  <c r="CT971" i="1"/>
  <c r="CS971" i="1"/>
  <c r="CR971" i="1"/>
  <c r="CQ971" i="1"/>
  <c r="CP971" i="1"/>
  <c r="CO971" i="1"/>
  <c r="CN971" i="1"/>
  <c r="CM971" i="1"/>
  <c r="CL971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W965" i="1"/>
  <c r="CV965" i="1"/>
  <c r="CU965" i="1"/>
  <c r="CT965" i="1"/>
  <c r="CS965" i="1"/>
  <c r="CR965" i="1"/>
  <c r="CQ965" i="1"/>
  <c r="CP965" i="1"/>
  <c r="CO965" i="1"/>
  <c r="CN965" i="1"/>
  <c r="CM965" i="1"/>
  <c r="CL965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W963" i="1"/>
  <c r="CV963" i="1"/>
  <c r="CU963" i="1"/>
  <c r="CT963" i="1"/>
  <c r="CS963" i="1"/>
  <c r="CR963" i="1"/>
  <c r="CQ963" i="1"/>
  <c r="CP963" i="1"/>
  <c r="CO963" i="1"/>
  <c r="CN963" i="1"/>
  <c r="CM963" i="1"/>
  <c r="CL963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W954" i="1"/>
  <c r="CV954" i="1"/>
  <c r="CU954" i="1"/>
  <c r="CT954" i="1"/>
  <c r="CS954" i="1"/>
  <c r="CR954" i="1"/>
  <c r="CQ954" i="1"/>
  <c r="CP954" i="1"/>
  <c r="CO954" i="1"/>
  <c r="CN954" i="1"/>
  <c r="CM954" i="1"/>
  <c r="CL954" i="1"/>
  <c r="CW953" i="1"/>
  <c r="CV953" i="1"/>
  <c r="CU953" i="1"/>
  <c r="CT953" i="1"/>
  <c r="CS953" i="1"/>
  <c r="CR953" i="1"/>
  <c r="CQ953" i="1"/>
  <c r="CP953" i="1"/>
  <c r="CO953" i="1"/>
  <c r="CN953" i="1"/>
  <c r="CM953" i="1"/>
  <c r="CL953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W947" i="1"/>
  <c r="CV947" i="1"/>
  <c r="CU947" i="1"/>
  <c r="CT947" i="1"/>
  <c r="CS947" i="1"/>
  <c r="CR947" i="1"/>
  <c r="CQ947" i="1"/>
  <c r="CP947" i="1"/>
  <c r="CO947" i="1"/>
  <c r="CN947" i="1"/>
  <c r="CM947" i="1"/>
  <c r="CL947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W905" i="1"/>
  <c r="CV905" i="1"/>
  <c r="CU905" i="1"/>
  <c r="CT905" i="1"/>
  <c r="CS905" i="1"/>
  <c r="CR905" i="1"/>
  <c r="CQ905" i="1"/>
  <c r="CP905" i="1"/>
  <c r="CO905" i="1"/>
  <c r="CN905" i="1"/>
  <c r="CM905" i="1"/>
  <c r="CL905" i="1"/>
  <c r="CW904" i="1"/>
  <c r="CV904" i="1"/>
  <c r="CU904" i="1"/>
  <c r="CT904" i="1"/>
  <c r="CS904" i="1"/>
  <c r="CR904" i="1"/>
  <c r="CQ904" i="1"/>
  <c r="CP904" i="1"/>
  <c r="CO904" i="1"/>
  <c r="CN904" i="1"/>
  <c r="CM904" i="1"/>
  <c r="CL904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W902" i="1"/>
  <c r="CV902" i="1"/>
  <c r="CU902" i="1"/>
  <c r="CT902" i="1"/>
  <c r="CS902" i="1"/>
  <c r="CR902" i="1"/>
  <c r="CQ902" i="1"/>
  <c r="CP902" i="1"/>
  <c r="CO902" i="1"/>
  <c r="CN902" i="1"/>
  <c r="CM902" i="1"/>
  <c r="CL902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W896" i="1"/>
  <c r="CV896" i="1"/>
  <c r="CU896" i="1"/>
  <c r="CT896" i="1"/>
  <c r="CS896" i="1"/>
  <c r="CR896" i="1"/>
  <c r="CQ896" i="1"/>
  <c r="CP896" i="1"/>
  <c r="CO896" i="1"/>
  <c r="CN896" i="1"/>
  <c r="CM896" i="1"/>
  <c r="CL896" i="1"/>
  <c r="CW895" i="1"/>
  <c r="CV895" i="1"/>
  <c r="CU895" i="1"/>
  <c r="CT895" i="1"/>
  <c r="CS895" i="1"/>
  <c r="CR895" i="1"/>
  <c r="CQ895" i="1"/>
  <c r="CP895" i="1"/>
  <c r="CO895" i="1"/>
  <c r="CN895" i="1"/>
  <c r="CM895" i="1"/>
  <c r="CL895" i="1"/>
  <c r="CW894" i="1"/>
  <c r="CV894" i="1"/>
  <c r="CU894" i="1"/>
  <c r="CT894" i="1"/>
  <c r="CS894" i="1"/>
  <c r="CR894" i="1"/>
  <c r="CQ894" i="1"/>
  <c r="CP894" i="1"/>
  <c r="CO894" i="1"/>
  <c r="CN894" i="1"/>
  <c r="CM894" i="1"/>
  <c r="CL894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W891" i="1"/>
  <c r="CV891" i="1"/>
  <c r="CU891" i="1"/>
  <c r="CT891" i="1"/>
  <c r="CS891" i="1"/>
  <c r="CR891" i="1"/>
  <c r="CQ891" i="1"/>
  <c r="CP891" i="1"/>
  <c r="CO891" i="1"/>
  <c r="CN891" i="1"/>
  <c r="CM891" i="1"/>
  <c r="CL891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W887" i="1"/>
  <c r="CV887" i="1"/>
  <c r="CU887" i="1"/>
  <c r="CT887" i="1"/>
  <c r="CS887" i="1"/>
  <c r="CR887" i="1"/>
  <c r="CQ887" i="1"/>
  <c r="CP887" i="1"/>
  <c r="CO887" i="1"/>
  <c r="CN887" i="1"/>
  <c r="CM887" i="1"/>
  <c r="CL887" i="1"/>
  <c r="CW886" i="1"/>
  <c r="CV886" i="1"/>
  <c r="CU886" i="1"/>
  <c r="CT886" i="1"/>
  <c r="CS886" i="1"/>
  <c r="CR886" i="1"/>
  <c r="CQ886" i="1"/>
  <c r="CP886" i="1"/>
  <c r="CO886" i="1"/>
  <c r="CN886" i="1"/>
  <c r="CM886" i="1"/>
  <c r="CL886" i="1"/>
  <c r="CW885" i="1"/>
  <c r="CV885" i="1"/>
  <c r="CU885" i="1"/>
  <c r="CT885" i="1"/>
  <c r="CS885" i="1"/>
  <c r="CR885" i="1"/>
  <c r="CQ885" i="1"/>
  <c r="CP885" i="1"/>
  <c r="CO885" i="1"/>
  <c r="CN885" i="1"/>
  <c r="CM885" i="1"/>
  <c r="CL885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W879" i="1"/>
  <c r="CV879" i="1"/>
  <c r="CU879" i="1"/>
  <c r="CT879" i="1"/>
  <c r="CS879" i="1"/>
  <c r="CR879" i="1"/>
  <c r="CQ879" i="1"/>
  <c r="CP879" i="1"/>
  <c r="CO879" i="1"/>
  <c r="CN879" i="1"/>
  <c r="CM879" i="1"/>
  <c r="CL879" i="1"/>
  <c r="CW878" i="1"/>
  <c r="CV878" i="1"/>
  <c r="CU878" i="1"/>
  <c r="CT878" i="1"/>
  <c r="CS878" i="1"/>
  <c r="CR878" i="1"/>
  <c r="CQ878" i="1"/>
  <c r="CP878" i="1"/>
  <c r="CO878" i="1"/>
  <c r="CN878" i="1"/>
  <c r="CM878" i="1"/>
  <c r="CL878" i="1"/>
  <c r="CW877" i="1"/>
  <c r="CV877" i="1"/>
  <c r="CU877" i="1"/>
  <c r="CT877" i="1"/>
  <c r="CS877" i="1"/>
  <c r="CR877" i="1"/>
  <c r="CQ877" i="1"/>
  <c r="CP877" i="1"/>
  <c r="CO877" i="1"/>
  <c r="CN877" i="1"/>
  <c r="CM877" i="1"/>
  <c r="CL877" i="1"/>
  <c r="CW876" i="1"/>
  <c r="CV876" i="1"/>
  <c r="CU876" i="1"/>
  <c r="CT876" i="1"/>
  <c r="CS876" i="1"/>
  <c r="CR876" i="1"/>
  <c r="CQ876" i="1"/>
  <c r="CP876" i="1"/>
  <c r="CO876" i="1"/>
  <c r="CN876" i="1"/>
  <c r="CM876" i="1"/>
  <c r="CL876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W870" i="1"/>
  <c r="CV870" i="1"/>
  <c r="CU870" i="1"/>
  <c r="CT870" i="1"/>
  <c r="CS870" i="1"/>
  <c r="CR870" i="1"/>
  <c r="CQ870" i="1"/>
  <c r="CP870" i="1"/>
  <c r="CO870" i="1"/>
  <c r="CN870" i="1"/>
  <c r="CM870" i="1"/>
  <c r="CL870" i="1"/>
  <c r="CW869" i="1"/>
  <c r="CV869" i="1"/>
  <c r="CU869" i="1"/>
  <c r="CT869" i="1"/>
  <c r="CS869" i="1"/>
  <c r="CR869" i="1"/>
  <c r="CQ869" i="1"/>
  <c r="CP869" i="1"/>
  <c r="CO869" i="1"/>
  <c r="CN869" i="1"/>
  <c r="CM869" i="1"/>
  <c r="CL869" i="1"/>
  <c r="CW868" i="1"/>
  <c r="CV868" i="1"/>
  <c r="CU868" i="1"/>
  <c r="CT868" i="1"/>
  <c r="CS868" i="1"/>
  <c r="CR868" i="1"/>
  <c r="CQ868" i="1"/>
  <c r="CP868" i="1"/>
  <c r="CO868" i="1"/>
  <c r="CN868" i="1"/>
  <c r="CM868" i="1"/>
  <c r="CL868" i="1"/>
  <c r="CW867" i="1"/>
  <c r="CV867" i="1"/>
  <c r="CU867" i="1"/>
  <c r="CT867" i="1"/>
  <c r="CS867" i="1"/>
  <c r="CR867" i="1"/>
  <c r="CQ867" i="1"/>
  <c r="CP867" i="1"/>
  <c r="CO867" i="1"/>
  <c r="CN867" i="1"/>
  <c r="CM867" i="1"/>
  <c r="CL867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W864" i="1"/>
  <c r="CV864" i="1"/>
  <c r="CU864" i="1"/>
  <c r="CT864" i="1"/>
  <c r="CS864" i="1"/>
  <c r="CR864" i="1"/>
  <c r="CQ864" i="1"/>
  <c r="CP864" i="1"/>
  <c r="CO864" i="1"/>
  <c r="CN864" i="1"/>
  <c r="CM864" i="1"/>
  <c r="CL864" i="1"/>
  <c r="CW863" i="1"/>
  <c r="CV863" i="1"/>
  <c r="CU863" i="1"/>
  <c r="CT863" i="1"/>
  <c r="CS863" i="1"/>
  <c r="CR863" i="1"/>
  <c r="CQ863" i="1"/>
  <c r="CP863" i="1"/>
  <c r="CO863" i="1"/>
  <c r="CN863" i="1"/>
  <c r="CM863" i="1"/>
  <c r="CL863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W861" i="1"/>
  <c r="CV861" i="1"/>
  <c r="CU861" i="1"/>
  <c r="CT861" i="1"/>
  <c r="CS861" i="1"/>
  <c r="CR861" i="1"/>
  <c r="CQ861" i="1"/>
  <c r="CP861" i="1"/>
  <c r="CO861" i="1"/>
  <c r="CN861" i="1"/>
  <c r="CM861" i="1"/>
  <c r="CL861" i="1"/>
  <c r="CW860" i="1"/>
  <c r="CV860" i="1"/>
  <c r="CU860" i="1"/>
  <c r="CT860" i="1"/>
  <c r="CS860" i="1"/>
  <c r="CR860" i="1"/>
  <c r="CQ860" i="1"/>
  <c r="CP860" i="1"/>
  <c r="CO860" i="1"/>
  <c r="CN860" i="1"/>
  <c r="CM860" i="1"/>
  <c r="CL860" i="1"/>
  <c r="CW859" i="1"/>
  <c r="CV859" i="1"/>
  <c r="CU859" i="1"/>
  <c r="CT859" i="1"/>
  <c r="CS859" i="1"/>
  <c r="CR859" i="1"/>
  <c r="CQ859" i="1"/>
  <c r="CP859" i="1"/>
  <c r="CO859" i="1"/>
  <c r="CN859" i="1"/>
  <c r="CM859" i="1"/>
  <c r="CL859" i="1"/>
  <c r="CW858" i="1"/>
  <c r="CV858" i="1"/>
  <c r="CU858" i="1"/>
  <c r="CT858" i="1"/>
  <c r="CS858" i="1"/>
  <c r="CR858" i="1"/>
  <c r="CQ858" i="1"/>
  <c r="CP858" i="1"/>
  <c r="CO858" i="1"/>
  <c r="CN858" i="1"/>
  <c r="CM858" i="1"/>
  <c r="CL858" i="1"/>
  <c r="CW857" i="1"/>
  <c r="CV857" i="1"/>
  <c r="CU857" i="1"/>
  <c r="CT857" i="1"/>
  <c r="CS857" i="1"/>
  <c r="CR857" i="1"/>
  <c r="CQ857" i="1"/>
  <c r="CP857" i="1"/>
  <c r="CO857" i="1"/>
  <c r="CN857" i="1"/>
  <c r="CM857" i="1"/>
  <c r="CL857" i="1"/>
  <c r="CW856" i="1"/>
  <c r="CV856" i="1"/>
  <c r="CU856" i="1"/>
  <c r="CT856" i="1"/>
  <c r="CS856" i="1"/>
  <c r="CR856" i="1"/>
  <c r="CQ856" i="1"/>
  <c r="CP856" i="1"/>
  <c r="CO856" i="1"/>
  <c r="CN856" i="1"/>
  <c r="CM856" i="1"/>
  <c r="CL856" i="1"/>
  <c r="CW855" i="1"/>
  <c r="CV855" i="1"/>
  <c r="CU855" i="1"/>
  <c r="CT855" i="1"/>
  <c r="CS855" i="1"/>
  <c r="CR855" i="1"/>
  <c r="CQ855" i="1"/>
  <c r="CP855" i="1"/>
  <c r="CO855" i="1"/>
  <c r="CN855" i="1"/>
  <c r="CM855" i="1"/>
  <c r="CL855" i="1"/>
  <c r="CW854" i="1"/>
  <c r="CV854" i="1"/>
  <c r="CU854" i="1"/>
  <c r="CT854" i="1"/>
  <c r="CS854" i="1"/>
  <c r="CR854" i="1"/>
  <c r="CQ854" i="1"/>
  <c r="CP854" i="1"/>
  <c r="CO854" i="1"/>
  <c r="CN854" i="1"/>
  <c r="CM854" i="1"/>
  <c r="CL854" i="1"/>
  <c r="CW853" i="1"/>
  <c r="CV853" i="1"/>
  <c r="CU853" i="1"/>
  <c r="CT853" i="1"/>
  <c r="CS853" i="1"/>
  <c r="CR853" i="1"/>
  <c r="CQ853" i="1"/>
  <c r="CP853" i="1"/>
  <c r="CO853" i="1"/>
  <c r="CN853" i="1"/>
  <c r="CM853" i="1"/>
  <c r="CL853" i="1"/>
  <c r="CW852" i="1"/>
  <c r="CV852" i="1"/>
  <c r="CU852" i="1"/>
  <c r="CT852" i="1"/>
  <c r="CS852" i="1"/>
  <c r="CR852" i="1"/>
  <c r="CQ852" i="1"/>
  <c r="CP852" i="1"/>
  <c r="CO852" i="1"/>
  <c r="CN852" i="1"/>
  <c r="CM852" i="1"/>
  <c r="CL852" i="1"/>
  <c r="CW851" i="1"/>
  <c r="CV851" i="1"/>
  <c r="CU851" i="1"/>
  <c r="CT851" i="1"/>
  <c r="CS851" i="1"/>
  <c r="CR851" i="1"/>
  <c r="CQ851" i="1"/>
  <c r="CP851" i="1"/>
  <c r="CO851" i="1"/>
  <c r="CN851" i="1"/>
  <c r="CM851" i="1"/>
  <c r="CL851" i="1"/>
  <c r="CW850" i="1"/>
  <c r="CV850" i="1"/>
  <c r="CU850" i="1"/>
  <c r="CT850" i="1"/>
  <c r="CS850" i="1"/>
  <c r="CR850" i="1"/>
  <c r="CQ850" i="1"/>
  <c r="CP850" i="1"/>
  <c r="CO850" i="1"/>
  <c r="CN850" i="1"/>
  <c r="CM850" i="1"/>
  <c r="CL850" i="1"/>
  <c r="CW849" i="1"/>
  <c r="CV849" i="1"/>
  <c r="CU849" i="1"/>
  <c r="CT849" i="1"/>
  <c r="CS849" i="1"/>
  <c r="CR849" i="1"/>
  <c r="CQ849" i="1"/>
  <c r="CP849" i="1"/>
  <c r="CO849" i="1"/>
  <c r="CN849" i="1"/>
  <c r="CM849" i="1"/>
  <c r="CL849" i="1"/>
  <c r="CW848" i="1"/>
  <c r="CV848" i="1"/>
  <c r="CU848" i="1"/>
  <c r="CT848" i="1"/>
  <c r="CS848" i="1"/>
  <c r="CR848" i="1"/>
  <c r="CQ848" i="1"/>
  <c r="CP848" i="1"/>
  <c r="CO848" i="1"/>
  <c r="CN848" i="1"/>
  <c r="CM848" i="1"/>
  <c r="CL848" i="1"/>
  <c r="CW847" i="1"/>
  <c r="CV847" i="1"/>
  <c r="CU847" i="1"/>
  <c r="CT847" i="1"/>
  <c r="CS847" i="1"/>
  <c r="CR847" i="1"/>
  <c r="CQ847" i="1"/>
  <c r="CP847" i="1"/>
  <c r="CO847" i="1"/>
  <c r="CN847" i="1"/>
  <c r="CM847" i="1"/>
  <c r="CL847" i="1"/>
  <c r="CW846" i="1"/>
  <c r="CV846" i="1"/>
  <c r="CU846" i="1"/>
  <c r="CT846" i="1"/>
  <c r="CS846" i="1"/>
  <c r="CR846" i="1"/>
  <c r="CQ846" i="1"/>
  <c r="CP846" i="1"/>
  <c r="CO846" i="1"/>
  <c r="CN846" i="1"/>
  <c r="CM846" i="1"/>
  <c r="CL846" i="1"/>
  <c r="CW845" i="1"/>
  <c r="CV845" i="1"/>
  <c r="CU845" i="1"/>
  <c r="CT845" i="1"/>
  <c r="CS845" i="1"/>
  <c r="CR845" i="1"/>
  <c r="CQ845" i="1"/>
  <c r="CP845" i="1"/>
  <c r="CO845" i="1"/>
  <c r="CN845" i="1"/>
  <c r="CM845" i="1"/>
  <c r="CL845" i="1"/>
  <c r="CW844" i="1"/>
  <c r="CV844" i="1"/>
  <c r="CU844" i="1"/>
  <c r="CT844" i="1"/>
  <c r="CS844" i="1"/>
  <c r="CR844" i="1"/>
  <c r="CQ844" i="1"/>
  <c r="CP844" i="1"/>
  <c r="CO844" i="1"/>
  <c r="CN844" i="1"/>
  <c r="CM844" i="1"/>
  <c r="CL844" i="1"/>
  <c r="CW843" i="1"/>
  <c r="CV843" i="1"/>
  <c r="CU843" i="1"/>
  <c r="CT843" i="1"/>
  <c r="CS843" i="1"/>
  <c r="CR843" i="1"/>
  <c r="CQ843" i="1"/>
  <c r="CP843" i="1"/>
  <c r="CO843" i="1"/>
  <c r="CN843" i="1"/>
  <c r="CM843" i="1"/>
  <c r="CL843" i="1"/>
  <c r="CW842" i="1"/>
  <c r="CV842" i="1"/>
  <c r="CU842" i="1"/>
  <c r="CT842" i="1"/>
  <c r="CS842" i="1"/>
  <c r="CR842" i="1"/>
  <c r="CQ842" i="1"/>
  <c r="CP842" i="1"/>
  <c r="CO842" i="1"/>
  <c r="CN842" i="1"/>
  <c r="CM842" i="1"/>
  <c r="CL842" i="1"/>
  <c r="CW841" i="1"/>
  <c r="CV841" i="1"/>
  <c r="CU841" i="1"/>
  <c r="CT841" i="1"/>
  <c r="CS841" i="1"/>
  <c r="CR841" i="1"/>
  <c r="CQ841" i="1"/>
  <c r="CP841" i="1"/>
  <c r="CO841" i="1"/>
  <c r="CN841" i="1"/>
  <c r="CM841" i="1"/>
  <c r="CL841" i="1"/>
  <c r="CW840" i="1"/>
  <c r="CV840" i="1"/>
  <c r="CU840" i="1"/>
  <c r="CT840" i="1"/>
  <c r="CS840" i="1"/>
  <c r="CR840" i="1"/>
  <c r="CQ840" i="1"/>
  <c r="CP840" i="1"/>
  <c r="CO840" i="1"/>
  <c r="CN840" i="1"/>
  <c r="CM840" i="1"/>
  <c r="CL840" i="1"/>
  <c r="CW839" i="1"/>
  <c r="CV839" i="1"/>
  <c r="CU839" i="1"/>
  <c r="CT839" i="1"/>
  <c r="CS839" i="1"/>
  <c r="CR839" i="1"/>
  <c r="CQ839" i="1"/>
  <c r="CP839" i="1"/>
  <c r="CO839" i="1"/>
  <c r="CN839" i="1"/>
  <c r="CM839" i="1"/>
  <c r="CL839" i="1"/>
  <c r="CW838" i="1"/>
  <c r="CV838" i="1"/>
  <c r="CU838" i="1"/>
  <c r="CT838" i="1"/>
  <c r="CS838" i="1"/>
  <c r="CR838" i="1"/>
  <c r="CQ838" i="1"/>
  <c r="CP838" i="1"/>
  <c r="CO838" i="1"/>
  <c r="CN838" i="1"/>
  <c r="CM838" i="1"/>
  <c r="CL838" i="1"/>
  <c r="CW837" i="1"/>
  <c r="CV837" i="1"/>
  <c r="CU837" i="1"/>
  <c r="CT837" i="1"/>
  <c r="CS837" i="1"/>
  <c r="CR837" i="1"/>
  <c r="CQ837" i="1"/>
  <c r="CP837" i="1"/>
  <c r="CO837" i="1"/>
  <c r="CN837" i="1"/>
  <c r="CM837" i="1"/>
  <c r="CL837" i="1"/>
  <c r="CW836" i="1"/>
  <c r="CV836" i="1"/>
  <c r="CU836" i="1"/>
  <c r="CT836" i="1"/>
  <c r="CS836" i="1"/>
  <c r="CR836" i="1"/>
  <c r="CQ836" i="1"/>
  <c r="CP836" i="1"/>
  <c r="CO836" i="1"/>
  <c r="CN836" i="1"/>
  <c r="CM836" i="1"/>
  <c r="CL836" i="1"/>
  <c r="CW835" i="1"/>
  <c r="CV835" i="1"/>
  <c r="CU835" i="1"/>
  <c r="CT835" i="1"/>
  <c r="CS835" i="1"/>
  <c r="CR835" i="1"/>
  <c r="CQ835" i="1"/>
  <c r="CP835" i="1"/>
  <c r="CO835" i="1"/>
  <c r="CN835" i="1"/>
  <c r="CM835" i="1"/>
  <c r="CL835" i="1"/>
  <c r="CW834" i="1"/>
  <c r="CV834" i="1"/>
  <c r="CU834" i="1"/>
  <c r="CT834" i="1"/>
  <c r="CS834" i="1"/>
  <c r="CR834" i="1"/>
  <c r="CQ834" i="1"/>
  <c r="CP834" i="1"/>
  <c r="CO834" i="1"/>
  <c r="CN834" i="1"/>
  <c r="CM834" i="1"/>
  <c r="CL834" i="1"/>
  <c r="CW833" i="1"/>
  <c r="CV833" i="1"/>
  <c r="CU833" i="1"/>
  <c r="CT833" i="1"/>
  <c r="CS833" i="1"/>
  <c r="CR833" i="1"/>
  <c r="CQ833" i="1"/>
  <c r="CP833" i="1"/>
  <c r="CO833" i="1"/>
  <c r="CN833" i="1"/>
  <c r="CM833" i="1"/>
  <c r="CL833" i="1"/>
  <c r="CW832" i="1"/>
  <c r="CV832" i="1"/>
  <c r="CU832" i="1"/>
  <c r="CT832" i="1"/>
  <c r="CS832" i="1"/>
  <c r="CR832" i="1"/>
  <c r="CQ832" i="1"/>
  <c r="CP832" i="1"/>
  <c r="CO832" i="1"/>
  <c r="CN832" i="1"/>
  <c r="CM832" i="1"/>
  <c r="CL832" i="1"/>
  <c r="CW831" i="1"/>
  <c r="CV831" i="1"/>
  <c r="CU831" i="1"/>
  <c r="CT831" i="1"/>
  <c r="CS831" i="1"/>
  <c r="CR831" i="1"/>
  <c r="CQ831" i="1"/>
  <c r="CP831" i="1"/>
  <c r="CO831" i="1"/>
  <c r="CN831" i="1"/>
  <c r="CM831" i="1"/>
  <c r="CL831" i="1"/>
  <c r="CW830" i="1"/>
  <c r="CV830" i="1"/>
  <c r="CU830" i="1"/>
  <c r="CT830" i="1"/>
  <c r="CS830" i="1"/>
  <c r="CR830" i="1"/>
  <c r="CQ830" i="1"/>
  <c r="CP830" i="1"/>
  <c r="CO830" i="1"/>
  <c r="CN830" i="1"/>
  <c r="CM830" i="1"/>
  <c r="CL830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W828" i="1"/>
  <c r="CV828" i="1"/>
  <c r="CU828" i="1"/>
  <c r="CT828" i="1"/>
  <c r="CS828" i="1"/>
  <c r="CR828" i="1"/>
  <c r="CQ828" i="1"/>
  <c r="CP828" i="1"/>
  <c r="CO828" i="1"/>
  <c r="CN828" i="1"/>
  <c r="CM828" i="1"/>
  <c r="CL828" i="1"/>
  <c r="CW827" i="1"/>
  <c r="CV827" i="1"/>
  <c r="CU827" i="1"/>
  <c r="CT827" i="1"/>
  <c r="CS827" i="1"/>
  <c r="CR827" i="1"/>
  <c r="CQ827" i="1"/>
  <c r="CP827" i="1"/>
  <c r="CO827" i="1"/>
  <c r="CN827" i="1"/>
  <c r="CM827" i="1"/>
  <c r="CL827" i="1"/>
  <c r="CW826" i="1"/>
  <c r="CV826" i="1"/>
  <c r="CU826" i="1"/>
  <c r="CT826" i="1"/>
  <c r="CS826" i="1"/>
  <c r="CR826" i="1"/>
  <c r="CQ826" i="1"/>
  <c r="CP826" i="1"/>
  <c r="CO826" i="1"/>
  <c r="CN826" i="1"/>
  <c r="CM826" i="1"/>
  <c r="CL826" i="1"/>
  <c r="CW825" i="1"/>
  <c r="CV825" i="1"/>
  <c r="CU825" i="1"/>
  <c r="CT825" i="1"/>
  <c r="CS825" i="1"/>
  <c r="CR825" i="1"/>
  <c r="CQ825" i="1"/>
  <c r="CP825" i="1"/>
  <c r="CO825" i="1"/>
  <c r="CN825" i="1"/>
  <c r="CM825" i="1"/>
  <c r="CL825" i="1"/>
  <c r="CW824" i="1"/>
  <c r="CV824" i="1"/>
  <c r="CU824" i="1"/>
  <c r="CT824" i="1"/>
  <c r="CS824" i="1"/>
  <c r="CR824" i="1"/>
  <c r="CQ824" i="1"/>
  <c r="CP824" i="1"/>
  <c r="CO824" i="1"/>
  <c r="CN824" i="1"/>
  <c r="CM824" i="1"/>
  <c r="CL824" i="1"/>
  <c r="CW823" i="1"/>
  <c r="CV823" i="1"/>
  <c r="CU823" i="1"/>
  <c r="CT823" i="1"/>
  <c r="CS823" i="1"/>
  <c r="CR823" i="1"/>
  <c r="CQ823" i="1"/>
  <c r="CP823" i="1"/>
  <c r="CO823" i="1"/>
  <c r="CN823" i="1"/>
  <c r="CM823" i="1"/>
  <c r="CL823" i="1"/>
  <c r="CW822" i="1"/>
  <c r="CV822" i="1"/>
  <c r="CU822" i="1"/>
  <c r="CT822" i="1"/>
  <c r="CS822" i="1"/>
  <c r="CR822" i="1"/>
  <c r="CQ822" i="1"/>
  <c r="CP822" i="1"/>
  <c r="CO822" i="1"/>
  <c r="CN822" i="1"/>
  <c r="CM822" i="1"/>
  <c r="CL822" i="1"/>
  <c r="CW821" i="1"/>
  <c r="CV821" i="1"/>
  <c r="CU821" i="1"/>
  <c r="CT821" i="1"/>
  <c r="CS821" i="1"/>
  <c r="CR821" i="1"/>
  <c r="CQ821" i="1"/>
  <c r="CP821" i="1"/>
  <c r="CO821" i="1"/>
  <c r="CN821" i="1"/>
  <c r="CM821" i="1"/>
  <c r="CL821" i="1"/>
  <c r="CW820" i="1"/>
  <c r="CV820" i="1"/>
  <c r="CU820" i="1"/>
  <c r="CT820" i="1"/>
  <c r="CS820" i="1"/>
  <c r="CR820" i="1"/>
  <c r="CQ820" i="1"/>
  <c r="CP820" i="1"/>
  <c r="CO820" i="1"/>
  <c r="CN820" i="1"/>
  <c r="CM820" i="1"/>
  <c r="CL820" i="1"/>
  <c r="CW819" i="1"/>
  <c r="CV819" i="1"/>
  <c r="CU819" i="1"/>
  <c r="CT819" i="1"/>
  <c r="CS819" i="1"/>
  <c r="CR819" i="1"/>
  <c r="CQ819" i="1"/>
  <c r="CP819" i="1"/>
  <c r="CO819" i="1"/>
  <c r="CN819" i="1"/>
  <c r="CM819" i="1"/>
  <c r="CL819" i="1"/>
  <c r="CW818" i="1"/>
  <c r="CV818" i="1"/>
  <c r="CU818" i="1"/>
  <c r="CT818" i="1"/>
  <c r="CS818" i="1"/>
  <c r="CR818" i="1"/>
  <c r="CQ818" i="1"/>
  <c r="CP818" i="1"/>
  <c r="CO818" i="1"/>
  <c r="CN818" i="1"/>
  <c r="CM818" i="1"/>
  <c r="CL818" i="1"/>
  <c r="CW817" i="1"/>
  <c r="CV817" i="1"/>
  <c r="CU817" i="1"/>
  <c r="CT817" i="1"/>
  <c r="CS817" i="1"/>
  <c r="CR817" i="1"/>
  <c r="CQ817" i="1"/>
  <c r="CP817" i="1"/>
  <c r="CO817" i="1"/>
  <c r="CN817" i="1"/>
  <c r="CM817" i="1"/>
  <c r="CL817" i="1"/>
  <c r="CW816" i="1"/>
  <c r="CV816" i="1"/>
  <c r="CU816" i="1"/>
  <c r="CT816" i="1"/>
  <c r="CS816" i="1"/>
  <c r="CR816" i="1"/>
  <c r="CQ816" i="1"/>
  <c r="CP816" i="1"/>
  <c r="CO816" i="1"/>
  <c r="CN816" i="1"/>
  <c r="CM816" i="1"/>
  <c r="CL816" i="1"/>
  <c r="CW815" i="1"/>
  <c r="CV815" i="1"/>
  <c r="CU815" i="1"/>
  <c r="CT815" i="1"/>
  <c r="CS815" i="1"/>
  <c r="CR815" i="1"/>
  <c r="CQ815" i="1"/>
  <c r="CP815" i="1"/>
  <c r="CO815" i="1"/>
  <c r="CN815" i="1"/>
  <c r="CM815" i="1"/>
  <c r="CL815" i="1"/>
  <c r="CW814" i="1"/>
  <c r="CV814" i="1"/>
  <c r="CU814" i="1"/>
  <c r="CT814" i="1"/>
  <c r="CS814" i="1"/>
  <c r="CR814" i="1"/>
  <c r="CQ814" i="1"/>
  <c r="CP814" i="1"/>
  <c r="CO814" i="1"/>
  <c r="CN814" i="1"/>
  <c r="CM814" i="1"/>
  <c r="CL814" i="1"/>
  <c r="CW813" i="1"/>
  <c r="CV813" i="1"/>
  <c r="CU813" i="1"/>
  <c r="CT813" i="1"/>
  <c r="CS813" i="1"/>
  <c r="CR813" i="1"/>
  <c r="CQ813" i="1"/>
  <c r="CP813" i="1"/>
  <c r="CO813" i="1"/>
  <c r="CN813" i="1"/>
  <c r="CM813" i="1"/>
  <c r="CL813" i="1"/>
  <c r="CW812" i="1"/>
  <c r="CV812" i="1"/>
  <c r="CU812" i="1"/>
  <c r="CT812" i="1"/>
  <c r="CS812" i="1"/>
  <c r="CR812" i="1"/>
  <c r="CQ812" i="1"/>
  <c r="CP812" i="1"/>
  <c r="CO812" i="1"/>
  <c r="CN812" i="1"/>
  <c r="CM812" i="1"/>
  <c r="CL812" i="1"/>
  <c r="CW811" i="1"/>
  <c r="CV811" i="1"/>
  <c r="CU811" i="1"/>
  <c r="CT811" i="1"/>
  <c r="CS811" i="1"/>
  <c r="CR811" i="1"/>
  <c r="CQ811" i="1"/>
  <c r="CP811" i="1"/>
  <c r="CO811" i="1"/>
  <c r="CN811" i="1"/>
  <c r="CM811" i="1"/>
  <c r="CL811" i="1"/>
  <c r="CW810" i="1"/>
  <c r="CV810" i="1"/>
  <c r="CU810" i="1"/>
  <c r="CT810" i="1"/>
  <c r="CS810" i="1"/>
  <c r="CR810" i="1"/>
  <c r="CQ810" i="1"/>
  <c r="CP810" i="1"/>
  <c r="CO810" i="1"/>
  <c r="CN810" i="1"/>
  <c r="CM810" i="1"/>
  <c r="CL810" i="1"/>
  <c r="CW809" i="1"/>
  <c r="CV809" i="1"/>
  <c r="CU809" i="1"/>
  <c r="CT809" i="1"/>
  <c r="CS809" i="1"/>
  <c r="CR809" i="1"/>
  <c r="CQ809" i="1"/>
  <c r="CP809" i="1"/>
  <c r="CO809" i="1"/>
  <c r="CN809" i="1"/>
  <c r="CM809" i="1"/>
  <c r="CL809" i="1"/>
  <c r="CW808" i="1"/>
  <c r="CV808" i="1"/>
  <c r="CU808" i="1"/>
  <c r="CT808" i="1"/>
  <c r="CS808" i="1"/>
  <c r="CR808" i="1"/>
  <c r="CQ808" i="1"/>
  <c r="CP808" i="1"/>
  <c r="CO808" i="1"/>
  <c r="CN808" i="1"/>
  <c r="CM808" i="1"/>
  <c r="CL808" i="1"/>
  <c r="CW807" i="1"/>
  <c r="CV807" i="1"/>
  <c r="CU807" i="1"/>
  <c r="CT807" i="1"/>
  <c r="CS807" i="1"/>
  <c r="CR807" i="1"/>
  <c r="CQ807" i="1"/>
  <c r="CP807" i="1"/>
  <c r="CO807" i="1"/>
  <c r="CN807" i="1"/>
  <c r="CM807" i="1"/>
  <c r="CL807" i="1"/>
  <c r="CW806" i="1"/>
  <c r="CV806" i="1"/>
  <c r="CU806" i="1"/>
  <c r="CT806" i="1"/>
  <c r="CS806" i="1"/>
  <c r="CR806" i="1"/>
  <c r="CQ806" i="1"/>
  <c r="CP806" i="1"/>
  <c r="CO806" i="1"/>
  <c r="CN806" i="1"/>
  <c r="CM806" i="1"/>
  <c r="CL806" i="1"/>
  <c r="CW805" i="1"/>
  <c r="CV805" i="1"/>
  <c r="CU805" i="1"/>
  <c r="CT805" i="1"/>
  <c r="CS805" i="1"/>
  <c r="CR805" i="1"/>
  <c r="CQ805" i="1"/>
  <c r="CP805" i="1"/>
  <c r="CO805" i="1"/>
  <c r="CN805" i="1"/>
  <c r="CM805" i="1"/>
  <c r="CL805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W800" i="1"/>
  <c r="CV800" i="1"/>
  <c r="CU800" i="1"/>
  <c r="CT800" i="1"/>
  <c r="CS800" i="1"/>
  <c r="CR800" i="1"/>
  <c r="CQ800" i="1"/>
  <c r="CP800" i="1"/>
  <c r="CO800" i="1"/>
  <c r="CN800" i="1"/>
  <c r="CM800" i="1"/>
  <c r="CL800" i="1"/>
  <c r="CW799" i="1"/>
  <c r="CV799" i="1"/>
  <c r="CU799" i="1"/>
  <c r="CT799" i="1"/>
  <c r="CS799" i="1"/>
  <c r="CR799" i="1"/>
  <c r="CQ799" i="1"/>
  <c r="CP799" i="1"/>
  <c r="CO799" i="1"/>
  <c r="CN799" i="1"/>
  <c r="CM799" i="1"/>
  <c r="CL799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W794" i="1"/>
  <c r="CV794" i="1"/>
  <c r="CU794" i="1"/>
  <c r="CT794" i="1"/>
  <c r="CS794" i="1"/>
  <c r="CR794" i="1"/>
  <c r="CQ794" i="1"/>
  <c r="CP794" i="1"/>
  <c r="CO794" i="1"/>
  <c r="CN794" i="1"/>
  <c r="CM794" i="1"/>
  <c r="CL794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W790" i="1"/>
  <c r="CV790" i="1"/>
  <c r="CU790" i="1"/>
  <c r="CT790" i="1"/>
  <c r="CS790" i="1"/>
  <c r="CR790" i="1"/>
  <c r="CQ790" i="1"/>
  <c r="CP790" i="1"/>
  <c r="CO790" i="1"/>
  <c r="CN790" i="1"/>
  <c r="CM790" i="1"/>
  <c r="CL790" i="1"/>
  <c r="CW789" i="1"/>
  <c r="CV789" i="1"/>
  <c r="CU789" i="1"/>
  <c r="CT789" i="1"/>
  <c r="CS789" i="1"/>
  <c r="CR789" i="1"/>
  <c r="CQ789" i="1"/>
  <c r="CP789" i="1"/>
  <c r="CO789" i="1"/>
  <c r="CN789" i="1"/>
  <c r="CM789" i="1"/>
  <c r="CL789" i="1"/>
  <c r="CW788" i="1"/>
  <c r="CV788" i="1"/>
  <c r="CU788" i="1"/>
  <c r="CT788" i="1"/>
  <c r="CS788" i="1"/>
  <c r="CR788" i="1"/>
  <c r="CQ788" i="1"/>
  <c r="CP788" i="1"/>
  <c r="CO788" i="1"/>
  <c r="CN788" i="1"/>
  <c r="CM788" i="1"/>
  <c r="CL788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W784" i="1"/>
  <c r="CV784" i="1"/>
  <c r="CU784" i="1"/>
  <c r="CT784" i="1"/>
  <c r="CS784" i="1"/>
  <c r="CR784" i="1"/>
  <c r="CQ784" i="1"/>
  <c r="CP784" i="1"/>
  <c r="CO784" i="1"/>
  <c r="CN784" i="1"/>
  <c r="CM784" i="1"/>
  <c r="CL784" i="1"/>
  <c r="CW783" i="1"/>
  <c r="CV783" i="1"/>
  <c r="CU783" i="1"/>
  <c r="CT783" i="1"/>
  <c r="CS783" i="1"/>
  <c r="CR783" i="1"/>
  <c r="CQ783" i="1"/>
  <c r="CP783" i="1"/>
  <c r="CO783" i="1"/>
  <c r="CN783" i="1"/>
  <c r="CM783" i="1"/>
  <c r="CL783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W779" i="1"/>
  <c r="CV779" i="1"/>
  <c r="CU779" i="1"/>
  <c r="CT779" i="1"/>
  <c r="CS779" i="1"/>
  <c r="CR779" i="1"/>
  <c r="CQ779" i="1"/>
  <c r="CP779" i="1"/>
  <c r="CO779" i="1"/>
  <c r="CN779" i="1"/>
  <c r="CM779" i="1"/>
  <c r="CL779" i="1"/>
  <c r="CW778" i="1"/>
  <c r="CV778" i="1"/>
  <c r="CU778" i="1"/>
  <c r="CT778" i="1"/>
  <c r="CS778" i="1"/>
  <c r="CR778" i="1"/>
  <c r="CQ778" i="1"/>
  <c r="CP778" i="1"/>
  <c r="CO778" i="1"/>
  <c r="CN778" i="1"/>
  <c r="CM778" i="1"/>
  <c r="CL778" i="1"/>
  <c r="CW777" i="1"/>
  <c r="CV777" i="1"/>
  <c r="CU777" i="1"/>
  <c r="CT777" i="1"/>
  <c r="CS777" i="1"/>
  <c r="CR777" i="1"/>
  <c r="CQ777" i="1"/>
  <c r="CP777" i="1"/>
  <c r="CO777" i="1"/>
  <c r="CN777" i="1"/>
  <c r="CM777" i="1"/>
  <c r="CL777" i="1"/>
  <c r="CW776" i="1"/>
  <c r="CV776" i="1"/>
  <c r="CU776" i="1"/>
  <c r="CT776" i="1"/>
  <c r="CS776" i="1"/>
  <c r="CR776" i="1"/>
  <c r="CQ776" i="1"/>
  <c r="CP776" i="1"/>
  <c r="CO776" i="1"/>
  <c r="CN776" i="1"/>
  <c r="CM776" i="1"/>
  <c r="CL776" i="1"/>
  <c r="CW775" i="1"/>
  <c r="CV775" i="1"/>
  <c r="CU775" i="1"/>
  <c r="CT775" i="1"/>
  <c r="CS775" i="1"/>
  <c r="CR775" i="1"/>
  <c r="CQ775" i="1"/>
  <c r="CP775" i="1"/>
  <c r="CO775" i="1"/>
  <c r="CN775" i="1"/>
  <c r="CM775" i="1"/>
  <c r="CL775" i="1"/>
  <c r="CW774" i="1"/>
  <c r="CV774" i="1"/>
  <c r="CU774" i="1"/>
  <c r="CT774" i="1"/>
  <c r="CS774" i="1"/>
  <c r="CR774" i="1"/>
  <c r="CQ774" i="1"/>
  <c r="CP774" i="1"/>
  <c r="CO774" i="1"/>
  <c r="CN774" i="1"/>
  <c r="CM774" i="1"/>
  <c r="CL774" i="1"/>
  <c r="CW773" i="1"/>
  <c r="CV773" i="1"/>
  <c r="CU773" i="1"/>
  <c r="CT773" i="1"/>
  <c r="CS773" i="1"/>
  <c r="CR773" i="1"/>
  <c r="CQ773" i="1"/>
  <c r="CP773" i="1"/>
  <c r="CO773" i="1"/>
  <c r="CN773" i="1"/>
  <c r="CM773" i="1"/>
  <c r="CL773" i="1"/>
  <c r="CW772" i="1"/>
  <c r="CV772" i="1"/>
  <c r="CU772" i="1"/>
  <c r="CT772" i="1"/>
  <c r="CS772" i="1"/>
  <c r="CR772" i="1"/>
  <c r="CQ772" i="1"/>
  <c r="CP772" i="1"/>
  <c r="CO772" i="1"/>
  <c r="CN772" i="1"/>
  <c r="CM772" i="1"/>
  <c r="CL772" i="1"/>
  <c r="CW771" i="1"/>
  <c r="CV771" i="1"/>
  <c r="CU771" i="1"/>
  <c r="CT771" i="1"/>
  <c r="CS771" i="1"/>
  <c r="CR771" i="1"/>
  <c r="CQ771" i="1"/>
  <c r="CP771" i="1"/>
  <c r="CO771" i="1"/>
  <c r="CN771" i="1"/>
  <c r="CM771" i="1"/>
  <c r="CL771" i="1"/>
  <c r="CW770" i="1"/>
  <c r="CV770" i="1"/>
  <c r="CU770" i="1"/>
  <c r="CT770" i="1"/>
  <c r="CS770" i="1"/>
  <c r="CR770" i="1"/>
  <c r="CQ770" i="1"/>
  <c r="CP770" i="1"/>
  <c r="CO770" i="1"/>
  <c r="CN770" i="1"/>
  <c r="CM770" i="1"/>
  <c r="CL770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W768" i="1"/>
  <c r="CV768" i="1"/>
  <c r="CU768" i="1"/>
  <c r="CT768" i="1"/>
  <c r="CS768" i="1"/>
  <c r="CR768" i="1"/>
  <c r="CQ768" i="1"/>
  <c r="CP768" i="1"/>
  <c r="CO768" i="1"/>
  <c r="CN768" i="1"/>
  <c r="CM768" i="1"/>
  <c r="CL768" i="1"/>
  <c r="CW767" i="1"/>
  <c r="CV767" i="1"/>
  <c r="CU767" i="1"/>
  <c r="CT767" i="1"/>
  <c r="CS767" i="1"/>
  <c r="CR767" i="1"/>
  <c r="CQ767" i="1"/>
  <c r="CP767" i="1"/>
  <c r="CO767" i="1"/>
  <c r="CN767" i="1"/>
  <c r="CM767" i="1"/>
  <c r="CL767" i="1"/>
  <c r="CW766" i="1"/>
  <c r="CV766" i="1"/>
  <c r="CU766" i="1"/>
  <c r="CT766" i="1"/>
  <c r="CS766" i="1"/>
  <c r="CR766" i="1"/>
  <c r="CQ766" i="1"/>
  <c r="CP766" i="1"/>
  <c r="CO766" i="1"/>
  <c r="CN766" i="1"/>
  <c r="CM766" i="1"/>
  <c r="CL766" i="1"/>
  <c r="CW765" i="1"/>
  <c r="CV765" i="1"/>
  <c r="CU765" i="1"/>
  <c r="CT765" i="1"/>
  <c r="CS765" i="1"/>
  <c r="CR765" i="1"/>
  <c r="CQ765" i="1"/>
  <c r="CP765" i="1"/>
  <c r="CO765" i="1"/>
  <c r="CN765" i="1"/>
  <c r="CM765" i="1"/>
  <c r="CL765" i="1"/>
  <c r="CW764" i="1"/>
  <c r="CV764" i="1"/>
  <c r="CU764" i="1"/>
  <c r="CT764" i="1"/>
  <c r="CS764" i="1"/>
  <c r="CR764" i="1"/>
  <c r="CQ764" i="1"/>
  <c r="CP764" i="1"/>
  <c r="CO764" i="1"/>
  <c r="CN764" i="1"/>
  <c r="CM764" i="1"/>
  <c r="CL764" i="1"/>
  <c r="CW763" i="1"/>
  <c r="CV763" i="1"/>
  <c r="CU763" i="1"/>
  <c r="CT763" i="1"/>
  <c r="CS763" i="1"/>
  <c r="CR763" i="1"/>
  <c r="CQ763" i="1"/>
  <c r="CP763" i="1"/>
  <c r="CO763" i="1"/>
  <c r="CN763" i="1"/>
  <c r="CM763" i="1"/>
  <c r="CL763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W750" i="1"/>
  <c r="CV750" i="1"/>
  <c r="CU750" i="1"/>
  <c r="CT750" i="1"/>
  <c r="CS750" i="1"/>
  <c r="CR750" i="1"/>
  <c r="CQ750" i="1"/>
  <c r="CP750" i="1"/>
  <c r="CO750" i="1"/>
  <c r="CN750" i="1"/>
  <c r="CM750" i="1"/>
  <c r="CL750" i="1"/>
  <c r="CW749" i="1"/>
  <c r="CV749" i="1"/>
  <c r="CU749" i="1"/>
  <c r="CT749" i="1"/>
  <c r="CS749" i="1"/>
  <c r="CR749" i="1"/>
  <c r="CQ749" i="1"/>
  <c r="CP749" i="1"/>
  <c r="CO749" i="1"/>
  <c r="CN749" i="1"/>
  <c r="CM749" i="1"/>
  <c r="CL749" i="1"/>
  <c r="CW748" i="1"/>
  <c r="CV748" i="1"/>
  <c r="CU748" i="1"/>
  <c r="CT748" i="1"/>
  <c r="CS748" i="1"/>
  <c r="CR748" i="1"/>
  <c r="CQ748" i="1"/>
  <c r="CP748" i="1"/>
  <c r="CO748" i="1"/>
  <c r="CN748" i="1"/>
  <c r="CM748" i="1"/>
  <c r="CL748" i="1"/>
  <c r="CW747" i="1"/>
  <c r="CV747" i="1"/>
  <c r="CU747" i="1"/>
  <c r="CT747" i="1"/>
  <c r="CS747" i="1"/>
  <c r="CR747" i="1"/>
  <c r="CQ747" i="1"/>
  <c r="CP747" i="1"/>
  <c r="CO747" i="1"/>
  <c r="CN747" i="1"/>
  <c r="CM747" i="1"/>
  <c r="CL747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W745" i="1"/>
  <c r="CV745" i="1"/>
  <c r="CU745" i="1"/>
  <c r="CT745" i="1"/>
  <c r="CS745" i="1"/>
  <c r="CR745" i="1"/>
  <c r="CQ745" i="1"/>
  <c r="CP745" i="1"/>
  <c r="CO745" i="1"/>
  <c r="CN745" i="1"/>
  <c r="CM745" i="1"/>
  <c r="CL745" i="1"/>
  <c r="CW744" i="1"/>
  <c r="CV744" i="1"/>
  <c r="CU744" i="1"/>
  <c r="CT744" i="1"/>
  <c r="CS744" i="1"/>
  <c r="CR744" i="1"/>
  <c r="CQ744" i="1"/>
  <c r="CP744" i="1"/>
  <c r="CO744" i="1"/>
  <c r="CN744" i="1"/>
  <c r="CM744" i="1"/>
  <c r="CL744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W742" i="1"/>
  <c r="CV742" i="1"/>
  <c r="CU742" i="1"/>
  <c r="CT742" i="1"/>
  <c r="CS742" i="1"/>
  <c r="CR742" i="1"/>
  <c r="CQ742" i="1"/>
  <c r="CP742" i="1"/>
  <c r="CO742" i="1"/>
  <c r="CN742" i="1"/>
  <c r="CM742" i="1"/>
  <c r="CL742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W739" i="1"/>
  <c r="CV739" i="1"/>
  <c r="CU739" i="1"/>
  <c r="CT739" i="1"/>
  <c r="CS739" i="1"/>
  <c r="CR739" i="1"/>
  <c r="CQ739" i="1"/>
  <c r="CP739" i="1"/>
  <c r="CO739" i="1"/>
  <c r="CN739" i="1"/>
  <c r="CM739" i="1"/>
  <c r="CL739" i="1"/>
  <c r="CW738" i="1"/>
  <c r="CV738" i="1"/>
  <c r="CU738" i="1"/>
  <c r="CT738" i="1"/>
  <c r="CS738" i="1"/>
  <c r="CR738" i="1"/>
  <c r="CQ738" i="1"/>
  <c r="CP738" i="1"/>
  <c r="CO738" i="1"/>
  <c r="CN738" i="1"/>
  <c r="CM738" i="1"/>
  <c r="CL738" i="1"/>
  <c r="CW737" i="1"/>
  <c r="CV737" i="1"/>
  <c r="CU737" i="1"/>
  <c r="CT737" i="1"/>
  <c r="CS737" i="1"/>
  <c r="CR737" i="1"/>
  <c r="CQ737" i="1"/>
  <c r="CP737" i="1"/>
  <c r="CO737" i="1"/>
  <c r="CN737" i="1"/>
  <c r="CM737" i="1"/>
  <c r="CL737" i="1"/>
  <c r="CW736" i="1"/>
  <c r="CV736" i="1"/>
  <c r="CU736" i="1"/>
  <c r="CT736" i="1"/>
  <c r="CS736" i="1"/>
  <c r="CR736" i="1"/>
  <c r="CQ736" i="1"/>
  <c r="CP736" i="1"/>
  <c r="CO736" i="1"/>
  <c r="CN736" i="1"/>
  <c r="CM736" i="1"/>
  <c r="CL736" i="1"/>
  <c r="CW735" i="1"/>
  <c r="CV735" i="1"/>
  <c r="CU735" i="1"/>
  <c r="CT735" i="1"/>
  <c r="CS735" i="1"/>
  <c r="CR735" i="1"/>
  <c r="CQ735" i="1"/>
  <c r="CP735" i="1"/>
  <c r="CO735" i="1"/>
  <c r="CN735" i="1"/>
  <c r="CM735" i="1"/>
  <c r="CL735" i="1"/>
  <c r="CW734" i="1"/>
  <c r="CV734" i="1"/>
  <c r="CU734" i="1"/>
  <c r="CT734" i="1"/>
  <c r="CS734" i="1"/>
  <c r="CR734" i="1"/>
  <c r="CQ734" i="1"/>
  <c r="CP734" i="1"/>
  <c r="CO734" i="1"/>
  <c r="CN734" i="1"/>
  <c r="CM734" i="1"/>
  <c r="CL734" i="1"/>
  <c r="CW733" i="1"/>
  <c r="CV733" i="1"/>
  <c r="CU733" i="1"/>
  <c r="CT733" i="1"/>
  <c r="CS733" i="1"/>
  <c r="CR733" i="1"/>
  <c r="CQ733" i="1"/>
  <c r="CP733" i="1"/>
  <c r="CO733" i="1"/>
  <c r="CN733" i="1"/>
  <c r="CM733" i="1"/>
  <c r="CL733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W730" i="1"/>
  <c r="CV730" i="1"/>
  <c r="CU730" i="1"/>
  <c r="CT730" i="1"/>
  <c r="CS730" i="1"/>
  <c r="CR730" i="1"/>
  <c r="CQ730" i="1"/>
  <c r="CP730" i="1"/>
  <c r="CO730" i="1"/>
  <c r="CN730" i="1"/>
  <c r="CM730" i="1"/>
  <c r="CL730" i="1"/>
  <c r="CW729" i="1"/>
  <c r="CV729" i="1"/>
  <c r="CU729" i="1"/>
  <c r="CT729" i="1"/>
  <c r="CS729" i="1"/>
  <c r="CR729" i="1"/>
  <c r="CQ729" i="1"/>
  <c r="CP729" i="1"/>
  <c r="CO729" i="1"/>
  <c r="CN729" i="1"/>
  <c r="CM729" i="1"/>
  <c r="CL729" i="1"/>
  <c r="CW728" i="1"/>
  <c r="CV728" i="1"/>
  <c r="CU728" i="1"/>
  <c r="CT728" i="1"/>
  <c r="CS728" i="1"/>
  <c r="CR728" i="1"/>
  <c r="CQ728" i="1"/>
  <c r="CP728" i="1"/>
  <c r="CO728" i="1"/>
  <c r="CN728" i="1"/>
  <c r="CM728" i="1"/>
  <c r="CL728" i="1"/>
  <c r="CW727" i="1"/>
  <c r="CV727" i="1"/>
  <c r="CU727" i="1"/>
  <c r="CT727" i="1"/>
  <c r="CS727" i="1"/>
  <c r="CR727" i="1"/>
  <c r="CQ727" i="1"/>
  <c r="CP727" i="1"/>
  <c r="CO727" i="1"/>
  <c r="CN727" i="1"/>
  <c r="CM727" i="1"/>
  <c r="CL727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W724" i="1"/>
  <c r="CV724" i="1"/>
  <c r="CU724" i="1"/>
  <c r="CT724" i="1"/>
  <c r="CS724" i="1"/>
  <c r="CR724" i="1"/>
  <c r="CQ724" i="1"/>
  <c r="CP724" i="1"/>
  <c r="CO724" i="1"/>
  <c r="CN724" i="1"/>
  <c r="CM724" i="1"/>
  <c r="CL724" i="1"/>
  <c r="CW723" i="1"/>
  <c r="CV723" i="1"/>
  <c r="CU723" i="1"/>
  <c r="CT723" i="1"/>
  <c r="CS723" i="1"/>
  <c r="CR723" i="1"/>
  <c r="CQ723" i="1"/>
  <c r="CP723" i="1"/>
  <c r="CO723" i="1"/>
  <c r="CN723" i="1"/>
  <c r="CM723" i="1"/>
  <c r="CL723" i="1"/>
  <c r="CW722" i="1"/>
  <c r="CV722" i="1"/>
  <c r="CU722" i="1"/>
  <c r="CT722" i="1"/>
  <c r="CS722" i="1"/>
  <c r="CR722" i="1"/>
  <c r="CQ722" i="1"/>
  <c r="CP722" i="1"/>
  <c r="CO722" i="1"/>
  <c r="CN722" i="1"/>
  <c r="CM722" i="1"/>
  <c r="CL722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W720" i="1"/>
  <c r="CV720" i="1"/>
  <c r="CU720" i="1"/>
  <c r="CT720" i="1"/>
  <c r="CS720" i="1"/>
  <c r="CR720" i="1"/>
  <c r="CQ720" i="1"/>
  <c r="CP720" i="1"/>
  <c r="CO720" i="1"/>
  <c r="CN720" i="1"/>
  <c r="CM720" i="1"/>
  <c r="CL720" i="1"/>
  <c r="CW719" i="1"/>
  <c r="CV719" i="1"/>
  <c r="CU719" i="1"/>
  <c r="CT719" i="1"/>
  <c r="CS719" i="1"/>
  <c r="CR719" i="1"/>
  <c r="CQ719" i="1"/>
  <c r="CP719" i="1"/>
  <c r="CO719" i="1"/>
  <c r="CN719" i="1"/>
  <c r="CM719" i="1"/>
  <c r="CL719" i="1"/>
  <c r="CW718" i="1"/>
  <c r="CV718" i="1"/>
  <c r="CU718" i="1"/>
  <c r="CT718" i="1"/>
  <c r="CS718" i="1"/>
  <c r="CR718" i="1"/>
  <c r="CQ718" i="1"/>
  <c r="CP718" i="1"/>
  <c r="CO718" i="1"/>
  <c r="CN718" i="1"/>
  <c r="CM718" i="1"/>
  <c r="CL718" i="1"/>
  <c r="CW717" i="1"/>
  <c r="CV717" i="1"/>
  <c r="CU717" i="1"/>
  <c r="CT717" i="1"/>
  <c r="CS717" i="1"/>
  <c r="CR717" i="1"/>
  <c r="CQ717" i="1"/>
  <c r="CP717" i="1"/>
  <c r="CO717" i="1"/>
  <c r="CN717" i="1"/>
  <c r="CM717" i="1"/>
  <c r="CL717" i="1"/>
  <c r="CW716" i="1"/>
  <c r="CV716" i="1"/>
  <c r="CU716" i="1"/>
  <c r="CT716" i="1"/>
  <c r="CS716" i="1"/>
  <c r="CR716" i="1"/>
  <c r="CQ716" i="1"/>
  <c r="CP716" i="1"/>
  <c r="CO716" i="1"/>
  <c r="CN716" i="1"/>
  <c r="CM716" i="1"/>
  <c r="CL716" i="1"/>
  <c r="CW715" i="1"/>
  <c r="CV715" i="1"/>
  <c r="CU715" i="1"/>
  <c r="CT715" i="1"/>
  <c r="CS715" i="1"/>
  <c r="CR715" i="1"/>
  <c r="CQ715" i="1"/>
  <c r="CP715" i="1"/>
  <c r="CO715" i="1"/>
  <c r="CN715" i="1"/>
  <c r="CM715" i="1"/>
  <c r="CL715" i="1"/>
  <c r="CW714" i="1"/>
  <c r="CV714" i="1"/>
  <c r="CU714" i="1"/>
  <c r="CT714" i="1"/>
  <c r="CS714" i="1"/>
  <c r="CR714" i="1"/>
  <c r="CQ714" i="1"/>
  <c r="CP714" i="1"/>
  <c r="CO714" i="1"/>
  <c r="CN714" i="1"/>
  <c r="CM714" i="1"/>
  <c r="CL714" i="1"/>
  <c r="CW713" i="1"/>
  <c r="CV713" i="1"/>
  <c r="CU713" i="1"/>
  <c r="CT713" i="1"/>
  <c r="CS713" i="1"/>
  <c r="CR713" i="1"/>
  <c r="CQ713" i="1"/>
  <c r="CP713" i="1"/>
  <c r="CO713" i="1"/>
  <c r="CN713" i="1"/>
  <c r="CM713" i="1"/>
  <c r="CL713" i="1"/>
  <c r="CW712" i="1"/>
  <c r="CV712" i="1"/>
  <c r="CU712" i="1"/>
  <c r="CT712" i="1"/>
  <c r="CS712" i="1"/>
  <c r="CR712" i="1"/>
  <c r="CQ712" i="1"/>
  <c r="CP712" i="1"/>
  <c r="CO712" i="1"/>
  <c r="CN712" i="1"/>
  <c r="CM712" i="1"/>
  <c r="CL712" i="1"/>
  <c r="CW711" i="1"/>
  <c r="CV711" i="1"/>
  <c r="CU711" i="1"/>
  <c r="CT711" i="1"/>
  <c r="CS711" i="1"/>
  <c r="CR711" i="1"/>
  <c r="CQ711" i="1"/>
  <c r="CP711" i="1"/>
  <c r="CO711" i="1"/>
  <c r="CN711" i="1"/>
  <c r="CM711" i="1"/>
  <c r="CL711" i="1"/>
  <c r="CW710" i="1"/>
  <c r="CV710" i="1"/>
  <c r="CU710" i="1"/>
  <c r="CT710" i="1"/>
  <c r="CS710" i="1"/>
  <c r="CR710" i="1"/>
  <c r="CQ710" i="1"/>
  <c r="CP710" i="1"/>
  <c r="CO710" i="1"/>
  <c r="CN710" i="1"/>
  <c r="CM710" i="1"/>
  <c r="CL710" i="1"/>
  <c r="CW709" i="1"/>
  <c r="CV709" i="1"/>
  <c r="CU709" i="1"/>
  <c r="CT709" i="1"/>
  <c r="CS709" i="1"/>
  <c r="CR709" i="1"/>
  <c r="CQ709" i="1"/>
  <c r="CP709" i="1"/>
  <c r="CO709" i="1"/>
  <c r="CN709" i="1"/>
  <c r="CM709" i="1"/>
  <c r="CL709" i="1"/>
  <c r="CW708" i="1"/>
  <c r="CV708" i="1"/>
  <c r="CU708" i="1"/>
  <c r="CT708" i="1"/>
  <c r="CS708" i="1"/>
  <c r="CR708" i="1"/>
  <c r="CQ708" i="1"/>
  <c r="CP708" i="1"/>
  <c r="CO708" i="1"/>
  <c r="CN708" i="1"/>
  <c r="CM708" i="1"/>
  <c r="CL708" i="1"/>
  <c r="CW707" i="1"/>
  <c r="CV707" i="1"/>
  <c r="CU707" i="1"/>
  <c r="CT707" i="1"/>
  <c r="CS707" i="1"/>
  <c r="CR707" i="1"/>
  <c r="CQ707" i="1"/>
  <c r="CP707" i="1"/>
  <c r="CO707" i="1"/>
  <c r="CN707" i="1"/>
  <c r="CM707" i="1"/>
  <c r="CL707" i="1"/>
  <c r="CW706" i="1"/>
  <c r="CV706" i="1"/>
  <c r="CU706" i="1"/>
  <c r="CT706" i="1"/>
  <c r="CS706" i="1"/>
  <c r="CR706" i="1"/>
  <c r="CQ706" i="1"/>
  <c r="CP706" i="1"/>
  <c r="CO706" i="1"/>
  <c r="CN706" i="1"/>
  <c r="CM706" i="1"/>
  <c r="CL706" i="1"/>
  <c r="CW705" i="1"/>
  <c r="CV705" i="1"/>
  <c r="CU705" i="1"/>
  <c r="CT705" i="1"/>
  <c r="CS705" i="1"/>
  <c r="CR705" i="1"/>
  <c r="CQ705" i="1"/>
  <c r="CP705" i="1"/>
  <c r="CO705" i="1"/>
  <c r="CN705" i="1"/>
  <c r="CM705" i="1"/>
  <c r="CL705" i="1"/>
  <c r="CW704" i="1"/>
  <c r="CV704" i="1"/>
  <c r="CU704" i="1"/>
  <c r="CT704" i="1"/>
  <c r="CS704" i="1"/>
  <c r="CR704" i="1"/>
  <c r="CQ704" i="1"/>
  <c r="CP704" i="1"/>
  <c r="CO704" i="1"/>
  <c r="CN704" i="1"/>
  <c r="CM704" i="1"/>
  <c r="CL704" i="1"/>
  <c r="CW703" i="1"/>
  <c r="CV703" i="1"/>
  <c r="CU703" i="1"/>
  <c r="CT703" i="1"/>
  <c r="CS703" i="1"/>
  <c r="CR703" i="1"/>
  <c r="CQ703" i="1"/>
  <c r="CP703" i="1"/>
  <c r="CO703" i="1"/>
  <c r="CN703" i="1"/>
  <c r="CM703" i="1"/>
  <c r="CL703" i="1"/>
  <c r="CW702" i="1"/>
  <c r="CV702" i="1"/>
  <c r="CU702" i="1"/>
  <c r="CT702" i="1"/>
  <c r="CS702" i="1"/>
  <c r="CR702" i="1"/>
  <c r="CQ702" i="1"/>
  <c r="CP702" i="1"/>
  <c r="CO702" i="1"/>
  <c r="CN702" i="1"/>
  <c r="CM702" i="1"/>
  <c r="CL702" i="1"/>
  <c r="CW701" i="1"/>
  <c r="CV701" i="1"/>
  <c r="CU701" i="1"/>
  <c r="CT701" i="1"/>
  <c r="CS701" i="1"/>
  <c r="CR701" i="1"/>
  <c r="CQ701" i="1"/>
  <c r="CP701" i="1"/>
  <c r="CO701" i="1"/>
  <c r="CN701" i="1"/>
  <c r="CM701" i="1"/>
  <c r="CL701" i="1"/>
  <c r="CW700" i="1"/>
  <c r="CV700" i="1"/>
  <c r="CU700" i="1"/>
  <c r="CT700" i="1"/>
  <c r="CS700" i="1"/>
  <c r="CR700" i="1"/>
  <c r="CQ700" i="1"/>
  <c r="CP700" i="1"/>
  <c r="CO700" i="1"/>
  <c r="CN700" i="1"/>
  <c r="CM700" i="1"/>
  <c r="CL700" i="1"/>
  <c r="CW699" i="1"/>
  <c r="CV699" i="1"/>
  <c r="CU699" i="1"/>
  <c r="CT699" i="1"/>
  <c r="CS699" i="1"/>
  <c r="CR699" i="1"/>
  <c r="CQ699" i="1"/>
  <c r="CP699" i="1"/>
  <c r="CO699" i="1"/>
  <c r="CN699" i="1"/>
  <c r="CM699" i="1"/>
  <c r="CL699" i="1"/>
  <c r="CW698" i="1"/>
  <c r="CV698" i="1"/>
  <c r="CU698" i="1"/>
  <c r="CT698" i="1"/>
  <c r="CS698" i="1"/>
  <c r="CR698" i="1"/>
  <c r="CQ698" i="1"/>
  <c r="CP698" i="1"/>
  <c r="CO698" i="1"/>
  <c r="CN698" i="1"/>
  <c r="CM698" i="1"/>
  <c r="CL698" i="1"/>
  <c r="CW697" i="1"/>
  <c r="CV697" i="1"/>
  <c r="CU697" i="1"/>
  <c r="CT697" i="1"/>
  <c r="CS697" i="1"/>
  <c r="CR697" i="1"/>
  <c r="CQ697" i="1"/>
  <c r="CP697" i="1"/>
  <c r="CO697" i="1"/>
  <c r="CN697" i="1"/>
  <c r="CM697" i="1"/>
  <c r="CL697" i="1"/>
  <c r="CW696" i="1"/>
  <c r="CV696" i="1"/>
  <c r="CU696" i="1"/>
  <c r="CT696" i="1"/>
  <c r="CS696" i="1"/>
  <c r="CR696" i="1"/>
  <c r="CQ696" i="1"/>
  <c r="CP696" i="1"/>
  <c r="CO696" i="1"/>
  <c r="CN696" i="1"/>
  <c r="CM696" i="1"/>
  <c r="CL696" i="1"/>
  <c r="CW695" i="1"/>
  <c r="CV695" i="1"/>
  <c r="CU695" i="1"/>
  <c r="CT695" i="1"/>
  <c r="CS695" i="1"/>
  <c r="CR695" i="1"/>
  <c r="CQ695" i="1"/>
  <c r="CP695" i="1"/>
  <c r="CO695" i="1"/>
  <c r="CN695" i="1"/>
  <c r="CM695" i="1"/>
  <c r="CL695" i="1"/>
  <c r="CW694" i="1"/>
  <c r="CV694" i="1"/>
  <c r="CU694" i="1"/>
  <c r="CT694" i="1"/>
  <c r="CS694" i="1"/>
  <c r="CR694" i="1"/>
  <c r="CQ694" i="1"/>
  <c r="CP694" i="1"/>
  <c r="CO694" i="1"/>
  <c r="CN694" i="1"/>
  <c r="CM694" i="1"/>
  <c r="CL694" i="1"/>
  <c r="CW693" i="1"/>
  <c r="CV693" i="1"/>
  <c r="CU693" i="1"/>
  <c r="CT693" i="1"/>
  <c r="CS693" i="1"/>
  <c r="CR693" i="1"/>
  <c r="CQ693" i="1"/>
  <c r="CP693" i="1"/>
  <c r="CO693" i="1"/>
  <c r="CN693" i="1"/>
  <c r="CM693" i="1"/>
  <c r="CL693" i="1"/>
  <c r="CW692" i="1"/>
  <c r="CV692" i="1"/>
  <c r="CU692" i="1"/>
  <c r="CT692" i="1"/>
  <c r="CS692" i="1"/>
  <c r="CR692" i="1"/>
  <c r="CQ692" i="1"/>
  <c r="CP692" i="1"/>
  <c r="CO692" i="1"/>
  <c r="CN692" i="1"/>
  <c r="CM692" i="1"/>
  <c r="CL692" i="1"/>
  <c r="CW691" i="1"/>
  <c r="CV691" i="1"/>
  <c r="CU691" i="1"/>
  <c r="CT691" i="1"/>
  <c r="CS691" i="1"/>
  <c r="CR691" i="1"/>
  <c r="CQ691" i="1"/>
  <c r="CP691" i="1"/>
  <c r="CO691" i="1"/>
  <c r="CN691" i="1"/>
  <c r="CM691" i="1"/>
  <c r="CL691" i="1"/>
  <c r="CW690" i="1"/>
  <c r="CV690" i="1"/>
  <c r="CU690" i="1"/>
  <c r="CT690" i="1"/>
  <c r="CS690" i="1"/>
  <c r="CR690" i="1"/>
  <c r="CQ690" i="1"/>
  <c r="CP690" i="1"/>
  <c r="CO690" i="1"/>
  <c r="CN690" i="1"/>
  <c r="CM690" i="1"/>
  <c r="CL690" i="1"/>
  <c r="CW689" i="1"/>
  <c r="CV689" i="1"/>
  <c r="CU689" i="1"/>
  <c r="CT689" i="1"/>
  <c r="CS689" i="1"/>
  <c r="CR689" i="1"/>
  <c r="CQ689" i="1"/>
  <c r="CP689" i="1"/>
  <c r="CO689" i="1"/>
  <c r="CN689" i="1"/>
  <c r="CM689" i="1"/>
  <c r="CL689" i="1"/>
  <c r="CW688" i="1"/>
  <c r="CV688" i="1"/>
  <c r="CU688" i="1"/>
  <c r="CT688" i="1"/>
  <c r="CS688" i="1"/>
  <c r="CR688" i="1"/>
  <c r="CQ688" i="1"/>
  <c r="CP688" i="1"/>
  <c r="CO688" i="1"/>
  <c r="CN688" i="1"/>
  <c r="CM688" i="1"/>
  <c r="CL688" i="1"/>
  <c r="CW687" i="1"/>
  <c r="CV687" i="1"/>
  <c r="CU687" i="1"/>
  <c r="CT687" i="1"/>
  <c r="CS687" i="1"/>
  <c r="CR687" i="1"/>
  <c r="CQ687" i="1"/>
  <c r="CP687" i="1"/>
  <c r="CO687" i="1"/>
  <c r="CN687" i="1"/>
  <c r="CM687" i="1"/>
  <c r="CL687" i="1"/>
  <c r="CW686" i="1"/>
  <c r="CV686" i="1"/>
  <c r="CU686" i="1"/>
  <c r="CT686" i="1"/>
  <c r="CS686" i="1"/>
  <c r="CR686" i="1"/>
  <c r="CQ686" i="1"/>
  <c r="CP686" i="1"/>
  <c r="CO686" i="1"/>
  <c r="CN686" i="1"/>
  <c r="CM686" i="1"/>
  <c r="CL686" i="1"/>
  <c r="CW685" i="1"/>
  <c r="CV685" i="1"/>
  <c r="CU685" i="1"/>
  <c r="CT685" i="1"/>
  <c r="CS685" i="1"/>
  <c r="CR685" i="1"/>
  <c r="CQ685" i="1"/>
  <c r="CP685" i="1"/>
  <c r="CO685" i="1"/>
  <c r="CN685" i="1"/>
  <c r="CM685" i="1"/>
  <c r="CL685" i="1"/>
  <c r="CW684" i="1"/>
  <c r="CV684" i="1"/>
  <c r="CU684" i="1"/>
  <c r="CT684" i="1"/>
  <c r="CS684" i="1"/>
  <c r="CR684" i="1"/>
  <c r="CQ684" i="1"/>
  <c r="CP684" i="1"/>
  <c r="CO684" i="1"/>
  <c r="CN684" i="1"/>
  <c r="CM684" i="1"/>
  <c r="CL684" i="1"/>
  <c r="CW683" i="1"/>
  <c r="CV683" i="1"/>
  <c r="CU683" i="1"/>
  <c r="CT683" i="1"/>
  <c r="CS683" i="1"/>
  <c r="CR683" i="1"/>
  <c r="CQ683" i="1"/>
  <c r="CP683" i="1"/>
  <c r="CO683" i="1"/>
  <c r="CN683" i="1"/>
  <c r="CM683" i="1"/>
  <c r="CL683" i="1"/>
  <c r="CW682" i="1"/>
  <c r="CV682" i="1"/>
  <c r="CU682" i="1"/>
  <c r="CT682" i="1"/>
  <c r="CS682" i="1"/>
  <c r="CR682" i="1"/>
  <c r="CQ682" i="1"/>
  <c r="CP682" i="1"/>
  <c r="CO682" i="1"/>
  <c r="CN682" i="1"/>
  <c r="CM682" i="1"/>
  <c r="CL682" i="1"/>
  <c r="CW681" i="1"/>
  <c r="CV681" i="1"/>
  <c r="CU681" i="1"/>
  <c r="CT681" i="1"/>
  <c r="CS681" i="1"/>
  <c r="CR681" i="1"/>
  <c r="CQ681" i="1"/>
  <c r="CP681" i="1"/>
  <c r="CO681" i="1"/>
  <c r="CN681" i="1"/>
  <c r="CM681" i="1"/>
  <c r="CL681" i="1"/>
  <c r="CW680" i="1"/>
  <c r="CV680" i="1"/>
  <c r="CU680" i="1"/>
  <c r="CT680" i="1"/>
  <c r="CS680" i="1"/>
  <c r="CR680" i="1"/>
  <c r="CQ680" i="1"/>
  <c r="CP680" i="1"/>
  <c r="CO680" i="1"/>
  <c r="CN680" i="1"/>
  <c r="CM680" i="1"/>
  <c r="CL680" i="1"/>
  <c r="CW679" i="1"/>
  <c r="CV679" i="1"/>
  <c r="CU679" i="1"/>
  <c r="CT679" i="1"/>
  <c r="CS679" i="1"/>
  <c r="CR679" i="1"/>
  <c r="CQ679" i="1"/>
  <c r="CP679" i="1"/>
  <c r="CO679" i="1"/>
  <c r="CN679" i="1"/>
  <c r="CM679" i="1"/>
  <c r="CL679" i="1"/>
  <c r="CW678" i="1"/>
  <c r="CV678" i="1"/>
  <c r="CU678" i="1"/>
  <c r="CT678" i="1"/>
  <c r="CS678" i="1"/>
  <c r="CR678" i="1"/>
  <c r="CQ678" i="1"/>
  <c r="CP678" i="1"/>
  <c r="CO678" i="1"/>
  <c r="CN678" i="1"/>
  <c r="CM678" i="1"/>
  <c r="CL678" i="1"/>
  <c r="CW677" i="1"/>
  <c r="CV677" i="1"/>
  <c r="CU677" i="1"/>
  <c r="CT677" i="1"/>
  <c r="CS677" i="1"/>
  <c r="CR677" i="1"/>
  <c r="CQ677" i="1"/>
  <c r="CP677" i="1"/>
  <c r="CO677" i="1"/>
  <c r="CN677" i="1"/>
  <c r="CM677" i="1"/>
  <c r="CL677" i="1"/>
  <c r="CW676" i="1"/>
  <c r="CV676" i="1"/>
  <c r="CU676" i="1"/>
  <c r="CT676" i="1"/>
  <c r="CS676" i="1"/>
  <c r="CR676" i="1"/>
  <c r="CQ676" i="1"/>
  <c r="CP676" i="1"/>
  <c r="CO676" i="1"/>
  <c r="CN676" i="1"/>
  <c r="CM676" i="1"/>
  <c r="CL676" i="1"/>
  <c r="CW675" i="1"/>
  <c r="CV675" i="1"/>
  <c r="CU675" i="1"/>
  <c r="CT675" i="1"/>
  <c r="CS675" i="1"/>
  <c r="CR675" i="1"/>
  <c r="CQ675" i="1"/>
  <c r="CP675" i="1"/>
  <c r="CO675" i="1"/>
  <c r="CN675" i="1"/>
  <c r="CM675" i="1"/>
  <c r="CL675" i="1"/>
  <c r="CW674" i="1"/>
  <c r="CV674" i="1"/>
  <c r="CU674" i="1"/>
  <c r="CT674" i="1"/>
  <c r="CS674" i="1"/>
  <c r="CR674" i="1"/>
  <c r="CQ674" i="1"/>
  <c r="CP674" i="1"/>
  <c r="CO674" i="1"/>
  <c r="CN674" i="1"/>
  <c r="CM674" i="1"/>
  <c r="CL674" i="1"/>
  <c r="CW673" i="1"/>
  <c r="CV673" i="1"/>
  <c r="CU673" i="1"/>
  <c r="CT673" i="1"/>
  <c r="CS673" i="1"/>
  <c r="CR673" i="1"/>
  <c r="CQ673" i="1"/>
  <c r="CP673" i="1"/>
  <c r="CO673" i="1"/>
  <c r="CN673" i="1"/>
  <c r="CM673" i="1"/>
  <c r="CL673" i="1"/>
  <c r="CW672" i="1"/>
  <c r="CV672" i="1"/>
  <c r="CU672" i="1"/>
  <c r="CT672" i="1"/>
  <c r="CS672" i="1"/>
  <c r="CR672" i="1"/>
  <c r="CQ672" i="1"/>
  <c r="CP672" i="1"/>
  <c r="CO672" i="1"/>
  <c r="CN672" i="1"/>
  <c r="CM672" i="1"/>
  <c r="CL672" i="1"/>
  <c r="CW671" i="1"/>
  <c r="CV671" i="1"/>
  <c r="CU671" i="1"/>
  <c r="CT671" i="1"/>
  <c r="CS671" i="1"/>
  <c r="CR671" i="1"/>
  <c r="CQ671" i="1"/>
  <c r="CP671" i="1"/>
  <c r="CO671" i="1"/>
  <c r="CN671" i="1"/>
  <c r="CM671" i="1"/>
  <c r="CL671" i="1"/>
  <c r="CW670" i="1"/>
  <c r="CV670" i="1"/>
  <c r="CU670" i="1"/>
  <c r="CT670" i="1"/>
  <c r="CS670" i="1"/>
  <c r="CR670" i="1"/>
  <c r="CQ670" i="1"/>
  <c r="CP670" i="1"/>
  <c r="CO670" i="1"/>
  <c r="CN670" i="1"/>
  <c r="CM670" i="1"/>
  <c r="CL670" i="1"/>
  <c r="CW669" i="1"/>
  <c r="CV669" i="1"/>
  <c r="CU669" i="1"/>
  <c r="CT669" i="1"/>
  <c r="CS669" i="1"/>
  <c r="CR669" i="1"/>
  <c r="CQ669" i="1"/>
  <c r="CP669" i="1"/>
  <c r="CO669" i="1"/>
  <c r="CN669" i="1"/>
  <c r="CM669" i="1"/>
  <c r="CL669" i="1"/>
  <c r="CW668" i="1"/>
  <c r="CV668" i="1"/>
  <c r="CU668" i="1"/>
  <c r="CT668" i="1"/>
  <c r="CS668" i="1"/>
  <c r="CR668" i="1"/>
  <c r="CQ668" i="1"/>
  <c r="CP668" i="1"/>
  <c r="CO668" i="1"/>
  <c r="CN668" i="1"/>
  <c r="CM668" i="1"/>
  <c r="CL668" i="1"/>
  <c r="CW667" i="1"/>
  <c r="CV667" i="1"/>
  <c r="CU667" i="1"/>
  <c r="CT667" i="1"/>
  <c r="CS667" i="1"/>
  <c r="CR667" i="1"/>
  <c r="CQ667" i="1"/>
  <c r="CP667" i="1"/>
  <c r="CO667" i="1"/>
  <c r="CN667" i="1"/>
  <c r="CM667" i="1"/>
  <c r="CL667" i="1"/>
  <c r="CW666" i="1"/>
  <c r="CV666" i="1"/>
  <c r="CU666" i="1"/>
  <c r="CT666" i="1"/>
  <c r="CS666" i="1"/>
  <c r="CR666" i="1"/>
  <c r="CQ666" i="1"/>
  <c r="CP666" i="1"/>
  <c r="CO666" i="1"/>
  <c r="CN666" i="1"/>
  <c r="CM666" i="1"/>
  <c r="CL666" i="1"/>
  <c r="CW665" i="1"/>
  <c r="CV665" i="1"/>
  <c r="CU665" i="1"/>
  <c r="CT665" i="1"/>
  <c r="CS665" i="1"/>
  <c r="CR665" i="1"/>
  <c r="CQ665" i="1"/>
  <c r="CP665" i="1"/>
  <c r="CO665" i="1"/>
  <c r="CN665" i="1"/>
  <c r="CM665" i="1"/>
  <c r="CL665" i="1"/>
  <c r="CW664" i="1"/>
  <c r="CV664" i="1"/>
  <c r="CU664" i="1"/>
  <c r="CT664" i="1"/>
  <c r="CS664" i="1"/>
  <c r="CR664" i="1"/>
  <c r="CQ664" i="1"/>
  <c r="CP664" i="1"/>
  <c r="CO664" i="1"/>
  <c r="CN664" i="1"/>
  <c r="CM664" i="1"/>
  <c r="CL664" i="1"/>
  <c r="CW663" i="1"/>
  <c r="CV663" i="1"/>
  <c r="CU663" i="1"/>
  <c r="CT663" i="1"/>
  <c r="CS663" i="1"/>
  <c r="CR663" i="1"/>
  <c r="CQ663" i="1"/>
  <c r="CP663" i="1"/>
  <c r="CO663" i="1"/>
  <c r="CN663" i="1"/>
  <c r="CM663" i="1"/>
  <c r="CL663" i="1"/>
  <c r="CW662" i="1"/>
  <c r="CV662" i="1"/>
  <c r="CU662" i="1"/>
  <c r="CT662" i="1"/>
  <c r="CS662" i="1"/>
  <c r="CR662" i="1"/>
  <c r="CQ662" i="1"/>
  <c r="CP662" i="1"/>
  <c r="CO662" i="1"/>
  <c r="CN662" i="1"/>
  <c r="CM662" i="1"/>
  <c r="CL662" i="1"/>
  <c r="CW661" i="1"/>
  <c r="CV661" i="1"/>
  <c r="CU661" i="1"/>
  <c r="CT661" i="1"/>
  <c r="CS661" i="1"/>
  <c r="CR661" i="1"/>
  <c r="CQ661" i="1"/>
  <c r="CP661" i="1"/>
  <c r="CO661" i="1"/>
  <c r="CN661" i="1"/>
  <c r="CM661" i="1"/>
  <c r="CL661" i="1"/>
  <c r="CW660" i="1"/>
  <c r="CV660" i="1"/>
  <c r="CU660" i="1"/>
  <c r="CT660" i="1"/>
  <c r="CS660" i="1"/>
  <c r="CR660" i="1"/>
  <c r="CQ660" i="1"/>
  <c r="CP660" i="1"/>
  <c r="CO660" i="1"/>
  <c r="CN660" i="1"/>
  <c r="CM660" i="1"/>
  <c r="CL660" i="1"/>
  <c r="CW659" i="1"/>
  <c r="CV659" i="1"/>
  <c r="CU659" i="1"/>
  <c r="CT659" i="1"/>
  <c r="CS659" i="1"/>
  <c r="CR659" i="1"/>
  <c r="CQ659" i="1"/>
  <c r="CP659" i="1"/>
  <c r="CO659" i="1"/>
  <c r="CN659" i="1"/>
  <c r="CM659" i="1"/>
  <c r="CL659" i="1"/>
  <c r="CW658" i="1"/>
  <c r="CV658" i="1"/>
  <c r="CU658" i="1"/>
  <c r="CT658" i="1"/>
  <c r="CS658" i="1"/>
  <c r="CR658" i="1"/>
  <c r="CQ658" i="1"/>
  <c r="CP658" i="1"/>
  <c r="CO658" i="1"/>
  <c r="CN658" i="1"/>
  <c r="CM658" i="1"/>
  <c r="CL658" i="1"/>
  <c r="CW657" i="1"/>
  <c r="CV657" i="1"/>
  <c r="CU657" i="1"/>
  <c r="CT657" i="1"/>
  <c r="CS657" i="1"/>
  <c r="CR657" i="1"/>
  <c r="CQ657" i="1"/>
  <c r="CP657" i="1"/>
  <c r="CO657" i="1"/>
  <c r="CN657" i="1"/>
  <c r="CM657" i="1"/>
  <c r="CL657" i="1"/>
  <c r="CW656" i="1"/>
  <c r="CV656" i="1"/>
  <c r="CU656" i="1"/>
  <c r="CT656" i="1"/>
  <c r="CS656" i="1"/>
  <c r="CR656" i="1"/>
  <c r="CQ656" i="1"/>
  <c r="CP656" i="1"/>
  <c r="CO656" i="1"/>
  <c r="CN656" i="1"/>
  <c r="CM656" i="1"/>
  <c r="CL656" i="1"/>
  <c r="CW655" i="1"/>
  <c r="CV655" i="1"/>
  <c r="CU655" i="1"/>
  <c r="CT655" i="1"/>
  <c r="CS655" i="1"/>
  <c r="CR655" i="1"/>
  <c r="CQ655" i="1"/>
  <c r="CP655" i="1"/>
  <c r="CO655" i="1"/>
  <c r="CN655" i="1"/>
  <c r="CM655" i="1"/>
  <c r="CL655" i="1"/>
  <c r="CW654" i="1"/>
  <c r="CV654" i="1"/>
  <c r="CU654" i="1"/>
  <c r="CT654" i="1"/>
  <c r="CS654" i="1"/>
  <c r="CR654" i="1"/>
  <c r="CQ654" i="1"/>
  <c r="CP654" i="1"/>
  <c r="CO654" i="1"/>
  <c r="CN654" i="1"/>
  <c r="CM654" i="1"/>
  <c r="CL654" i="1"/>
  <c r="CW653" i="1"/>
  <c r="CV653" i="1"/>
  <c r="CU653" i="1"/>
  <c r="CT653" i="1"/>
  <c r="CS653" i="1"/>
  <c r="CR653" i="1"/>
  <c r="CQ653" i="1"/>
  <c r="CP653" i="1"/>
  <c r="CO653" i="1"/>
  <c r="CN653" i="1"/>
  <c r="CM653" i="1"/>
  <c r="CL653" i="1"/>
  <c r="CW652" i="1"/>
  <c r="CV652" i="1"/>
  <c r="CU652" i="1"/>
  <c r="CT652" i="1"/>
  <c r="CS652" i="1"/>
  <c r="CR652" i="1"/>
  <c r="CQ652" i="1"/>
  <c r="CP652" i="1"/>
  <c r="CO652" i="1"/>
  <c r="CN652" i="1"/>
  <c r="CM652" i="1"/>
  <c r="CL652" i="1"/>
  <c r="CW651" i="1"/>
  <c r="CV651" i="1"/>
  <c r="CU651" i="1"/>
  <c r="CT651" i="1"/>
  <c r="CS651" i="1"/>
  <c r="CR651" i="1"/>
  <c r="CQ651" i="1"/>
  <c r="CP651" i="1"/>
  <c r="CO651" i="1"/>
  <c r="CN651" i="1"/>
  <c r="CM651" i="1"/>
  <c r="CL651" i="1"/>
  <c r="CW650" i="1"/>
  <c r="CV650" i="1"/>
  <c r="CU650" i="1"/>
  <c r="CT650" i="1"/>
  <c r="CS650" i="1"/>
  <c r="CR650" i="1"/>
  <c r="CQ650" i="1"/>
  <c r="CP650" i="1"/>
  <c r="CO650" i="1"/>
  <c r="CN650" i="1"/>
  <c r="CM650" i="1"/>
  <c r="CL650" i="1"/>
  <c r="CW649" i="1"/>
  <c r="CV649" i="1"/>
  <c r="CU649" i="1"/>
  <c r="CT649" i="1"/>
  <c r="CS649" i="1"/>
  <c r="CR649" i="1"/>
  <c r="CQ649" i="1"/>
  <c r="CP649" i="1"/>
  <c r="CO649" i="1"/>
  <c r="CN649" i="1"/>
  <c r="CM649" i="1"/>
  <c r="CL649" i="1"/>
  <c r="CW648" i="1"/>
  <c r="CV648" i="1"/>
  <c r="CU648" i="1"/>
  <c r="CT648" i="1"/>
  <c r="CS648" i="1"/>
  <c r="CR648" i="1"/>
  <c r="CQ648" i="1"/>
  <c r="CP648" i="1"/>
  <c r="CO648" i="1"/>
  <c r="CN648" i="1"/>
  <c r="CM648" i="1"/>
  <c r="CL648" i="1"/>
  <c r="CW647" i="1"/>
  <c r="CV647" i="1"/>
  <c r="CU647" i="1"/>
  <c r="CT647" i="1"/>
  <c r="CS647" i="1"/>
  <c r="CR647" i="1"/>
  <c r="CQ647" i="1"/>
  <c r="CP647" i="1"/>
  <c r="CO647" i="1"/>
  <c r="CN647" i="1"/>
  <c r="CM647" i="1"/>
  <c r="CL647" i="1"/>
  <c r="CW646" i="1"/>
  <c r="CV646" i="1"/>
  <c r="CU646" i="1"/>
  <c r="CT646" i="1"/>
  <c r="CS646" i="1"/>
  <c r="CR646" i="1"/>
  <c r="CQ646" i="1"/>
  <c r="CP646" i="1"/>
  <c r="CO646" i="1"/>
  <c r="CN646" i="1"/>
  <c r="CM646" i="1"/>
  <c r="CL646" i="1"/>
  <c r="CW645" i="1"/>
  <c r="CV645" i="1"/>
  <c r="CU645" i="1"/>
  <c r="CT645" i="1"/>
  <c r="CS645" i="1"/>
  <c r="CR645" i="1"/>
  <c r="CQ645" i="1"/>
  <c r="CP645" i="1"/>
  <c r="CO645" i="1"/>
  <c r="CN645" i="1"/>
  <c r="CM645" i="1"/>
  <c r="CL645" i="1"/>
  <c r="CW644" i="1"/>
  <c r="CV644" i="1"/>
  <c r="CU644" i="1"/>
  <c r="CT644" i="1"/>
  <c r="CS644" i="1"/>
  <c r="CR644" i="1"/>
  <c r="CQ644" i="1"/>
  <c r="CP644" i="1"/>
  <c r="CO644" i="1"/>
  <c r="CN644" i="1"/>
  <c r="CM644" i="1"/>
  <c r="CL644" i="1"/>
  <c r="CW643" i="1"/>
  <c r="CV643" i="1"/>
  <c r="CU643" i="1"/>
  <c r="CT643" i="1"/>
  <c r="CS643" i="1"/>
  <c r="CR643" i="1"/>
  <c r="CQ643" i="1"/>
  <c r="CP643" i="1"/>
  <c r="CO643" i="1"/>
  <c r="CN643" i="1"/>
  <c r="CM643" i="1"/>
  <c r="CL643" i="1"/>
  <c r="CW642" i="1"/>
  <c r="CV642" i="1"/>
  <c r="CU642" i="1"/>
  <c r="CT642" i="1"/>
  <c r="CS642" i="1"/>
  <c r="CR642" i="1"/>
  <c r="CQ642" i="1"/>
  <c r="CP642" i="1"/>
  <c r="CO642" i="1"/>
  <c r="CN642" i="1"/>
  <c r="CM642" i="1"/>
  <c r="CL642" i="1"/>
  <c r="CW641" i="1"/>
  <c r="CV641" i="1"/>
  <c r="CU641" i="1"/>
  <c r="CT641" i="1"/>
  <c r="CS641" i="1"/>
  <c r="CR641" i="1"/>
  <c r="CQ641" i="1"/>
  <c r="CP641" i="1"/>
  <c r="CO641" i="1"/>
  <c r="CN641" i="1"/>
  <c r="CM641" i="1"/>
  <c r="CL641" i="1"/>
  <c r="CW640" i="1"/>
  <c r="CV640" i="1"/>
  <c r="CU640" i="1"/>
  <c r="CT640" i="1"/>
  <c r="CS640" i="1"/>
  <c r="CR640" i="1"/>
  <c r="CQ640" i="1"/>
  <c r="CP640" i="1"/>
  <c r="CO640" i="1"/>
  <c r="CN640" i="1"/>
  <c r="CM640" i="1"/>
  <c r="CL640" i="1"/>
  <c r="CW639" i="1"/>
  <c r="CV639" i="1"/>
  <c r="CU639" i="1"/>
  <c r="CT639" i="1"/>
  <c r="CS639" i="1"/>
  <c r="CR639" i="1"/>
  <c r="CQ639" i="1"/>
  <c r="CP639" i="1"/>
  <c r="CO639" i="1"/>
  <c r="CN639" i="1"/>
  <c r="CM639" i="1"/>
  <c r="CL639" i="1"/>
  <c r="CW638" i="1"/>
  <c r="CV638" i="1"/>
  <c r="CU638" i="1"/>
  <c r="CT638" i="1"/>
  <c r="CS638" i="1"/>
  <c r="CR638" i="1"/>
  <c r="CQ638" i="1"/>
  <c r="CP638" i="1"/>
  <c r="CO638" i="1"/>
  <c r="CN638" i="1"/>
  <c r="CM638" i="1"/>
  <c r="CL638" i="1"/>
  <c r="CW637" i="1"/>
  <c r="CV637" i="1"/>
  <c r="CU637" i="1"/>
  <c r="CT637" i="1"/>
  <c r="CS637" i="1"/>
  <c r="CR637" i="1"/>
  <c r="CQ637" i="1"/>
  <c r="CP637" i="1"/>
  <c r="CO637" i="1"/>
  <c r="CN637" i="1"/>
  <c r="CM637" i="1"/>
  <c r="CL637" i="1"/>
  <c r="CW636" i="1"/>
  <c r="CV636" i="1"/>
  <c r="CU636" i="1"/>
  <c r="CT636" i="1"/>
  <c r="CS636" i="1"/>
  <c r="CR636" i="1"/>
  <c r="CQ636" i="1"/>
  <c r="CP636" i="1"/>
  <c r="CO636" i="1"/>
  <c r="CN636" i="1"/>
  <c r="CM636" i="1"/>
  <c r="CL636" i="1"/>
  <c r="CW635" i="1"/>
  <c r="CV635" i="1"/>
  <c r="CU635" i="1"/>
  <c r="CT635" i="1"/>
  <c r="CS635" i="1"/>
  <c r="CR635" i="1"/>
  <c r="CQ635" i="1"/>
  <c r="CP635" i="1"/>
  <c r="CO635" i="1"/>
  <c r="CN635" i="1"/>
  <c r="CM635" i="1"/>
  <c r="CL635" i="1"/>
  <c r="CW634" i="1"/>
  <c r="CV634" i="1"/>
  <c r="CU634" i="1"/>
  <c r="CT634" i="1"/>
  <c r="CS634" i="1"/>
  <c r="CR634" i="1"/>
  <c r="CQ634" i="1"/>
  <c r="CP634" i="1"/>
  <c r="CO634" i="1"/>
  <c r="CN634" i="1"/>
  <c r="CM634" i="1"/>
  <c r="CL634" i="1"/>
  <c r="CW633" i="1"/>
  <c r="CV633" i="1"/>
  <c r="CU633" i="1"/>
  <c r="CT633" i="1"/>
  <c r="CS633" i="1"/>
  <c r="CR633" i="1"/>
  <c r="CQ633" i="1"/>
  <c r="CP633" i="1"/>
  <c r="CO633" i="1"/>
  <c r="CN633" i="1"/>
  <c r="CM633" i="1"/>
  <c r="CL633" i="1"/>
  <c r="CW632" i="1"/>
  <c r="CV632" i="1"/>
  <c r="CU632" i="1"/>
  <c r="CT632" i="1"/>
  <c r="CS632" i="1"/>
  <c r="CR632" i="1"/>
  <c r="CQ632" i="1"/>
  <c r="CP632" i="1"/>
  <c r="CO632" i="1"/>
  <c r="CN632" i="1"/>
  <c r="CM632" i="1"/>
  <c r="CL632" i="1"/>
  <c r="CW631" i="1"/>
  <c r="CV631" i="1"/>
  <c r="CU631" i="1"/>
  <c r="CT631" i="1"/>
  <c r="CS631" i="1"/>
  <c r="CR631" i="1"/>
  <c r="CQ631" i="1"/>
  <c r="CP631" i="1"/>
  <c r="CO631" i="1"/>
  <c r="CN631" i="1"/>
  <c r="CM631" i="1"/>
  <c r="CL631" i="1"/>
  <c r="CW630" i="1"/>
  <c r="CV630" i="1"/>
  <c r="CU630" i="1"/>
  <c r="CT630" i="1"/>
  <c r="CS630" i="1"/>
  <c r="CR630" i="1"/>
  <c r="CQ630" i="1"/>
  <c r="CP630" i="1"/>
  <c r="CO630" i="1"/>
  <c r="CN630" i="1"/>
  <c r="CM630" i="1"/>
  <c r="CL630" i="1"/>
  <c r="CW629" i="1"/>
  <c r="CV629" i="1"/>
  <c r="CU629" i="1"/>
  <c r="CT629" i="1"/>
  <c r="CS629" i="1"/>
  <c r="CR629" i="1"/>
  <c r="CQ629" i="1"/>
  <c r="CP629" i="1"/>
  <c r="CO629" i="1"/>
  <c r="CN629" i="1"/>
  <c r="CM629" i="1"/>
  <c r="CL629" i="1"/>
  <c r="CW628" i="1"/>
  <c r="CV628" i="1"/>
  <c r="CU628" i="1"/>
  <c r="CT628" i="1"/>
  <c r="CS628" i="1"/>
  <c r="CR628" i="1"/>
  <c r="CQ628" i="1"/>
  <c r="CP628" i="1"/>
  <c r="CO628" i="1"/>
  <c r="CN628" i="1"/>
  <c r="CM628" i="1"/>
  <c r="CL628" i="1"/>
  <c r="CW627" i="1"/>
  <c r="CV627" i="1"/>
  <c r="CU627" i="1"/>
  <c r="CT627" i="1"/>
  <c r="CS627" i="1"/>
  <c r="CR627" i="1"/>
  <c r="CQ627" i="1"/>
  <c r="CP627" i="1"/>
  <c r="CO627" i="1"/>
  <c r="CN627" i="1"/>
  <c r="CM627" i="1"/>
  <c r="CL627" i="1"/>
  <c r="CW626" i="1"/>
  <c r="CV626" i="1"/>
  <c r="CU626" i="1"/>
  <c r="CT626" i="1"/>
  <c r="CS626" i="1"/>
  <c r="CR626" i="1"/>
  <c r="CQ626" i="1"/>
  <c r="CP626" i="1"/>
  <c r="CO626" i="1"/>
  <c r="CN626" i="1"/>
  <c r="CM626" i="1"/>
  <c r="CL626" i="1"/>
  <c r="CW625" i="1"/>
  <c r="CV625" i="1"/>
  <c r="CU625" i="1"/>
  <c r="CT625" i="1"/>
  <c r="CS625" i="1"/>
  <c r="CR625" i="1"/>
  <c r="CQ625" i="1"/>
  <c r="CP625" i="1"/>
  <c r="CO625" i="1"/>
  <c r="CN625" i="1"/>
  <c r="CM625" i="1"/>
  <c r="CL625" i="1"/>
  <c r="CW624" i="1"/>
  <c r="CV624" i="1"/>
  <c r="CU624" i="1"/>
  <c r="CT624" i="1"/>
  <c r="CS624" i="1"/>
  <c r="CR624" i="1"/>
  <c r="CQ624" i="1"/>
  <c r="CP624" i="1"/>
  <c r="CO624" i="1"/>
  <c r="CN624" i="1"/>
  <c r="CM624" i="1"/>
  <c r="CL624" i="1"/>
  <c r="CW623" i="1"/>
  <c r="CV623" i="1"/>
  <c r="CU623" i="1"/>
  <c r="CT623" i="1"/>
  <c r="CS623" i="1"/>
  <c r="CR623" i="1"/>
  <c r="CQ623" i="1"/>
  <c r="CP623" i="1"/>
  <c r="CO623" i="1"/>
  <c r="CN623" i="1"/>
  <c r="CM623" i="1"/>
  <c r="CL623" i="1"/>
  <c r="CW622" i="1"/>
  <c r="CV622" i="1"/>
  <c r="CU622" i="1"/>
  <c r="CT622" i="1"/>
  <c r="CS622" i="1"/>
  <c r="CR622" i="1"/>
  <c r="CQ622" i="1"/>
  <c r="CP622" i="1"/>
  <c r="CO622" i="1"/>
  <c r="CN622" i="1"/>
  <c r="CM622" i="1"/>
  <c r="CL622" i="1"/>
  <c r="CW621" i="1"/>
  <c r="CV621" i="1"/>
  <c r="CU621" i="1"/>
  <c r="CT621" i="1"/>
  <c r="CS621" i="1"/>
  <c r="CR621" i="1"/>
  <c r="CQ621" i="1"/>
  <c r="CP621" i="1"/>
  <c r="CO621" i="1"/>
  <c r="CN621" i="1"/>
  <c r="CM621" i="1"/>
  <c r="CL621" i="1"/>
  <c r="CW620" i="1"/>
  <c r="CV620" i="1"/>
  <c r="CU620" i="1"/>
  <c r="CT620" i="1"/>
  <c r="CS620" i="1"/>
  <c r="CR620" i="1"/>
  <c r="CQ620" i="1"/>
  <c r="CP620" i="1"/>
  <c r="CO620" i="1"/>
  <c r="CN620" i="1"/>
  <c r="CM620" i="1"/>
  <c r="CL620" i="1"/>
  <c r="CW619" i="1"/>
  <c r="CV619" i="1"/>
  <c r="CU619" i="1"/>
  <c r="CT619" i="1"/>
  <c r="CS619" i="1"/>
  <c r="CR619" i="1"/>
  <c r="CQ619" i="1"/>
  <c r="CP619" i="1"/>
  <c r="CO619" i="1"/>
  <c r="CN619" i="1"/>
  <c r="CM619" i="1"/>
  <c r="CL619" i="1"/>
  <c r="CW618" i="1"/>
  <c r="CV618" i="1"/>
  <c r="CU618" i="1"/>
  <c r="CT618" i="1"/>
  <c r="CS618" i="1"/>
  <c r="CR618" i="1"/>
  <c r="CQ618" i="1"/>
  <c r="CP618" i="1"/>
  <c r="CO618" i="1"/>
  <c r="CN618" i="1"/>
  <c r="CM618" i="1"/>
  <c r="CL618" i="1"/>
  <c r="CW617" i="1"/>
  <c r="CV617" i="1"/>
  <c r="CU617" i="1"/>
  <c r="CT617" i="1"/>
  <c r="CS617" i="1"/>
  <c r="CR617" i="1"/>
  <c r="CQ617" i="1"/>
  <c r="CP617" i="1"/>
  <c r="CO617" i="1"/>
  <c r="CN617" i="1"/>
  <c r="CM617" i="1"/>
  <c r="CL617" i="1"/>
  <c r="CW616" i="1"/>
  <c r="CV616" i="1"/>
  <c r="CU616" i="1"/>
  <c r="CT616" i="1"/>
  <c r="CS616" i="1"/>
  <c r="CR616" i="1"/>
  <c r="CQ616" i="1"/>
  <c r="CP616" i="1"/>
  <c r="CO616" i="1"/>
  <c r="CN616" i="1"/>
  <c r="CM616" i="1"/>
  <c r="CL616" i="1"/>
  <c r="CW615" i="1"/>
  <c r="CV615" i="1"/>
  <c r="CU615" i="1"/>
  <c r="CT615" i="1"/>
  <c r="CS615" i="1"/>
  <c r="CR615" i="1"/>
  <c r="CQ615" i="1"/>
  <c r="CP615" i="1"/>
  <c r="CO615" i="1"/>
  <c r="CN615" i="1"/>
  <c r="CM615" i="1"/>
  <c r="CL615" i="1"/>
  <c r="CW614" i="1"/>
  <c r="CV614" i="1"/>
  <c r="CU614" i="1"/>
  <c r="CT614" i="1"/>
  <c r="CS614" i="1"/>
  <c r="CR614" i="1"/>
  <c r="CQ614" i="1"/>
  <c r="CP614" i="1"/>
  <c r="CO614" i="1"/>
  <c r="CN614" i="1"/>
  <c r="CM614" i="1"/>
  <c r="CL614" i="1"/>
  <c r="CW613" i="1"/>
  <c r="CV613" i="1"/>
  <c r="CU613" i="1"/>
  <c r="CT613" i="1"/>
  <c r="CS613" i="1"/>
  <c r="CR613" i="1"/>
  <c r="CQ613" i="1"/>
  <c r="CP613" i="1"/>
  <c r="CO613" i="1"/>
  <c r="CN613" i="1"/>
  <c r="CM613" i="1"/>
  <c r="CL613" i="1"/>
  <c r="CW612" i="1"/>
  <c r="CV612" i="1"/>
  <c r="CU612" i="1"/>
  <c r="CT612" i="1"/>
  <c r="CS612" i="1"/>
  <c r="CR612" i="1"/>
  <c r="CQ612" i="1"/>
  <c r="CP612" i="1"/>
  <c r="CO612" i="1"/>
  <c r="CN612" i="1"/>
  <c r="CM612" i="1"/>
  <c r="CL612" i="1"/>
  <c r="CW611" i="1"/>
  <c r="CV611" i="1"/>
  <c r="CU611" i="1"/>
  <c r="CT611" i="1"/>
  <c r="CS611" i="1"/>
  <c r="CR611" i="1"/>
  <c r="CQ611" i="1"/>
  <c r="CP611" i="1"/>
  <c r="CO611" i="1"/>
  <c r="CN611" i="1"/>
  <c r="CM611" i="1"/>
  <c r="CL611" i="1"/>
  <c r="CW610" i="1"/>
  <c r="CV610" i="1"/>
  <c r="CU610" i="1"/>
  <c r="CT610" i="1"/>
  <c r="CS610" i="1"/>
  <c r="CR610" i="1"/>
  <c r="CQ610" i="1"/>
  <c r="CP610" i="1"/>
  <c r="CO610" i="1"/>
  <c r="CN610" i="1"/>
  <c r="CM610" i="1"/>
  <c r="CL610" i="1"/>
  <c r="CW609" i="1"/>
  <c r="CV609" i="1"/>
  <c r="CU609" i="1"/>
  <c r="CT609" i="1"/>
  <c r="CS609" i="1"/>
  <c r="CR609" i="1"/>
  <c r="CQ609" i="1"/>
  <c r="CP609" i="1"/>
  <c r="CO609" i="1"/>
  <c r="CN609" i="1"/>
  <c r="CM609" i="1"/>
  <c r="CL609" i="1"/>
  <c r="CW608" i="1"/>
  <c r="CV608" i="1"/>
  <c r="CU608" i="1"/>
  <c r="CT608" i="1"/>
  <c r="CS608" i="1"/>
  <c r="CR608" i="1"/>
  <c r="CQ608" i="1"/>
  <c r="CP608" i="1"/>
  <c r="CO608" i="1"/>
  <c r="CN608" i="1"/>
  <c r="CM608" i="1"/>
  <c r="CL608" i="1"/>
  <c r="CW607" i="1"/>
  <c r="CV607" i="1"/>
  <c r="CU607" i="1"/>
  <c r="CT607" i="1"/>
  <c r="CS607" i="1"/>
  <c r="CR607" i="1"/>
  <c r="CQ607" i="1"/>
  <c r="CP607" i="1"/>
  <c r="CO607" i="1"/>
  <c r="CN607" i="1"/>
  <c r="CM607" i="1"/>
  <c r="CL607" i="1"/>
  <c r="CW606" i="1"/>
  <c r="CV606" i="1"/>
  <c r="CU606" i="1"/>
  <c r="CT606" i="1"/>
  <c r="CS606" i="1"/>
  <c r="CR606" i="1"/>
  <c r="CQ606" i="1"/>
  <c r="CP606" i="1"/>
  <c r="CO606" i="1"/>
  <c r="CN606" i="1"/>
  <c r="CM606" i="1"/>
  <c r="CL606" i="1"/>
  <c r="CW605" i="1"/>
  <c r="CV605" i="1"/>
  <c r="CU605" i="1"/>
  <c r="CT605" i="1"/>
  <c r="CS605" i="1"/>
  <c r="CR605" i="1"/>
  <c r="CQ605" i="1"/>
  <c r="CP605" i="1"/>
  <c r="CO605" i="1"/>
  <c r="CN605" i="1"/>
  <c r="CM605" i="1"/>
  <c r="CL605" i="1"/>
  <c r="CW604" i="1"/>
  <c r="CV604" i="1"/>
  <c r="CU604" i="1"/>
  <c r="CT604" i="1"/>
  <c r="CS604" i="1"/>
  <c r="CR604" i="1"/>
  <c r="CQ604" i="1"/>
  <c r="CP604" i="1"/>
  <c r="CO604" i="1"/>
  <c r="CN604" i="1"/>
  <c r="CM604" i="1"/>
  <c r="CL604" i="1"/>
  <c r="CW603" i="1"/>
  <c r="CV603" i="1"/>
  <c r="CU603" i="1"/>
  <c r="CT603" i="1"/>
  <c r="CS603" i="1"/>
  <c r="CR603" i="1"/>
  <c r="CQ603" i="1"/>
  <c r="CP603" i="1"/>
  <c r="CO603" i="1"/>
  <c r="CN603" i="1"/>
  <c r="CM603" i="1"/>
  <c r="CL603" i="1"/>
  <c r="CW602" i="1"/>
  <c r="CV602" i="1"/>
  <c r="CU602" i="1"/>
  <c r="CT602" i="1"/>
  <c r="CS602" i="1"/>
  <c r="CR602" i="1"/>
  <c r="CQ602" i="1"/>
  <c r="CP602" i="1"/>
  <c r="CO602" i="1"/>
  <c r="CN602" i="1"/>
  <c r="CM602" i="1"/>
  <c r="CL602" i="1"/>
  <c r="CW601" i="1"/>
  <c r="CV601" i="1"/>
  <c r="CU601" i="1"/>
  <c r="CT601" i="1"/>
  <c r="CS601" i="1"/>
  <c r="CR601" i="1"/>
  <c r="CQ601" i="1"/>
  <c r="CP601" i="1"/>
  <c r="CO601" i="1"/>
  <c r="CN601" i="1"/>
  <c r="CM601" i="1"/>
  <c r="CL601" i="1"/>
  <c r="CW600" i="1"/>
  <c r="CV600" i="1"/>
  <c r="CU600" i="1"/>
  <c r="CT600" i="1"/>
  <c r="CS600" i="1"/>
  <c r="CR600" i="1"/>
  <c r="CQ600" i="1"/>
  <c r="CP600" i="1"/>
  <c r="CO600" i="1"/>
  <c r="CN600" i="1"/>
  <c r="CM600" i="1"/>
  <c r="CL600" i="1"/>
  <c r="CW599" i="1"/>
  <c r="CV599" i="1"/>
  <c r="CU599" i="1"/>
  <c r="CT599" i="1"/>
  <c r="CS599" i="1"/>
  <c r="CR599" i="1"/>
  <c r="CQ599" i="1"/>
  <c r="CP599" i="1"/>
  <c r="CO599" i="1"/>
  <c r="CN599" i="1"/>
  <c r="CM599" i="1"/>
  <c r="CL599" i="1"/>
  <c r="CW598" i="1"/>
  <c r="CV598" i="1"/>
  <c r="CU598" i="1"/>
  <c r="CT598" i="1"/>
  <c r="CS598" i="1"/>
  <c r="CR598" i="1"/>
  <c r="CQ598" i="1"/>
  <c r="CP598" i="1"/>
  <c r="CO598" i="1"/>
  <c r="CN598" i="1"/>
  <c r="CM598" i="1"/>
  <c r="CL598" i="1"/>
  <c r="CW597" i="1"/>
  <c r="CV597" i="1"/>
  <c r="CU597" i="1"/>
  <c r="CT597" i="1"/>
  <c r="CS597" i="1"/>
  <c r="CR597" i="1"/>
  <c r="CQ597" i="1"/>
  <c r="CP597" i="1"/>
  <c r="CO597" i="1"/>
  <c r="CN597" i="1"/>
  <c r="CM597" i="1"/>
  <c r="CL597" i="1"/>
  <c r="CW596" i="1"/>
  <c r="CV596" i="1"/>
  <c r="CU596" i="1"/>
  <c r="CT596" i="1"/>
  <c r="CS596" i="1"/>
  <c r="CR596" i="1"/>
  <c r="CQ596" i="1"/>
  <c r="CP596" i="1"/>
  <c r="CO596" i="1"/>
  <c r="CN596" i="1"/>
  <c r="CM596" i="1"/>
  <c r="CL596" i="1"/>
  <c r="CW595" i="1"/>
  <c r="CV595" i="1"/>
  <c r="CU595" i="1"/>
  <c r="CT595" i="1"/>
  <c r="CS595" i="1"/>
  <c r="CR595" i="1"/>
  <c r="CQ595" i="1"/>
  <c r="CP595" i="1"/>
  <c r="CO595" i="1"/>
  <c r="CN595" i="1"/>
  <c r="CM595" i="1"/>
  <c r="CL595" i="1"/>
  <c r="CW594" i="1"/>
  <c r="CV594" i="1"/>
  <c r="CU594" i="1"/>
  <c r="CT594" i="1"/>
  <c r="CS594" i="1"/>
  <c r="CR594" i="1"/>
  <c r="CQ594" i="1"/>
  <c r="CP594" i="1"/>
  <c r="CO594" i="1"/>
  <c r="CN594" i="1"/>
  <c r="CM594" i="1"/>
  <c r="CL594" i="1"/>
  <c r="CW593" i="1"/>
  <c r="CV593" i="1"/>
  <c r="CU593" i="1"/>
  <c r="CT593" i="1"/>
  <c r="CS593" i="1"/>
  <c r="CR593" i="1"/>
  <c r="CQ593" i="1"/>
  <c r="CP593" i="1"/>
  <c r="CO593" i="1"/>
  <c r="CN593" i="1"/>
  <c r="CM593" i="1"/>
  <c r="CL593" i="1"/>
  <c r="CW592" i="1"/>
  <c r="CV592" i="1"/>
  <c r="CU592" i="1"/>
  <c r="CT592" i="1"/>
  <c r="CS592" i="1"/>
  <c r="CR592" i="1"/>
  <c r="CQ592" i="1"/>
  <c r="CP592" i="1"/>
  <c r="CO592" i="1"/>
  <c r="CN592" i="1"/>
  <c r="CM592" i="1"/>
  <c r="CL592" i="1"/>
  <c r="CW591" i="1"/>
  <c r="CV591" i="1"/>
  <c r="CU591" i="1"/>
  <c r="CT591" i="1"/>
  <c r="CS591" i="1"/>
  <c r="CR591" i="1"/>
  <c r="CQ591" i="1"/>
  <c r="CP591" i="1"/>
  <c r="CO591" i="1"/>
  <c r="CN591" i="1"/>
  <c r="CM591" i="1"/>
  <c r="CL591" i="1"/>
  <c r="CW590" i="1"/>
  <c r="CV590" i="1"/>
  <c r="CU590" i="1"/>
  <c r="CT590" i="1"/>
  <c r="CS590" i="1"/>
  <c r="CR590" i="1"/>
  <c r="CQ590" i="1"/>
  <c r="CP590" i="1"/>
  <c r="CO590" i="1"/>
  <c r="CN590" i="1"/>
  <c r="CM590" i="1"/>
  <c r="CL590" i="1"/>
  <c r="CW589" i="1"/>
  <c r="CV589" i="1"/>
  <c r="CU589" i="1"/>
  <c r="CT589" i="1"/>
  <c r="CS589" i="1"/>
  <c r="CR589" i="1"/>
  <c r="CQ589" i="1"/>
  <c r="CP589" i="1"/>
  <c r="CO589" i="1"/>
  <c r="CN589" i="1"/>
  <c r="CM589" i="1"/>
  <c r="CL589" i="1"/>
  <c r="CW588" i="1"/>
  <c r="CV588" i="1"/>
  <c r="CU588" i="1"/>
  <c r="CT588" i="1"/>
  <c r="CS588" i="1"/>
  <c r="CR588" i="1"/>
  <c r="CQ588" i="1"/>
  <c r="CP588" i="1"/>
  <c r="CO588" i="1"/>
  <c r="CN588" i="1"/>
  <c r="CM588" i="1"/>
  <c r="CL588" i="1"/>
  <c r="CW587" i="1"/>
  <c r="CV587" i="1"/>
  <c r="CU587" i="1"/>
  <c r="CT587" i="1"/>
  <c r="CS587" i="1"/>
  <c r="CR587" i="1"/>
  <c r="CQ587" i="1"/>
  <c r="CP587" i="1"/>
  <c r="CO587" i="1"/>
  <c r="CN587" i="1"/>
  <c r="CM587" i="1"/>
  <c r="CL587" i="1"/>
  <c r="CW586" i="1"/>
  <c r="CV586" i="1"/>
  <c r="CU586" i="1"/>
  <c r="CT586" i="1"/>
  <c r="CS586" i="1"/>
  <c r="CR586" i="1"/>
  <c r="CQ586" i="1"/>
  <c r="CP586" i="1"/>
  <c r="CO586" i="1"/>
  <c r="CN586" i="1"/>
  <c r="CM586" i="1"/>
  <c r="CL586" i="1"/>
  <c r="CW585" i="1"/>
  <c r="CV585" i="1"/>
  <c r="CU585" i="1"/>
  <c r="CT585" i="1"/>
  <c r="CS585" i="1"/>
  <c r="CR585" i="1"/>
  <c r="CQ585" i="1"/>
  <c r="CP585" i="1"/>
  <c r="CO585" i="1"/>
  <c r="CN585" i="1"/>
  <c r="CM585" i="1"/>
  <c r="CL585" i="1"/>
  <c r="CW584" i="1"/>
  <c r="CV584" i="1"/>
  <c r="CU584" i="1"/>
  <c r="CT584" i="1"/>
  <c r="CS584" i="1"/>
  <c r="CR584" i="1"/>
  <c r="CQ584" i="1"/>
  <c r="CP584" i="1"/>
  <c r="CO584" i="1"/>
  <c r="CN584" i="1"/>
  <c r="CM584" i="1"/>
  <c r="CL584" i="1"/>
  <c r="CW583" i="1"/>
  <c r="CV583" i="1"/>
  <c r="CU583" i="1"/>
  <c r="CT583" i="1"/>
  <c r="CS583" i="1"/>
  <c r="CR583" i="1"/>
  <c r="CQ583" i="1"/>
  <c r="CP583" i="1"/>
  <c r="CO583" i="1"/>
  <c r="CN583" i="1"/>
  <c r="CM583" i="1"/>
  <c r="CL583" i="1"/>
  <c r="CW582" i="1"/>
  <c r="CV582" i="1"/>
  <c r="CU582" i="1"/>
  <c r="CT582" i="1"/>
  <c r="CS582" i="1"/>
  <c r="CR582" i="1"/>
  <c r="CQ582" i="1"/>
  <c r="CP582" i="1"/>
  <c r="CO582" i="1"/>
  <c r="CN582" i="1"/>
  <c r="CM582" i="1"/>
  <c r="CL582" i="1"/>
  <c r="CW581" i="1"/>
  <c r="CV581" i="1"/>
  <c r="CU581" i="1"/>
  <c r="CT581" i="1"/>
  <c r="CS581" i="1"/>
  <c r="CR581" i="1"/>
  <c r="CQ581" i="1"/>
  <c r="CP581" i="1"/>
  <c r="CO581" i="1"/>
  <c r="CN581" i="1"/>
  <c r="CM581" i="1"/>
  <c r="CL581" i="1"/>
  <c r="CW580" i="1"/>
  <c r="CV580" i="1"/>
  <c r="CU580" i="1"/>
  <c r="CT580" i="1"/>
  <c r="CS580" i="1"/>
  <c r="CR580" i="1"/>
  <c r="CQ580" i="1"/>
  <c r="CP580" i="1"/>
  <c r="CO580" i="1"/>
  <c r="CN580" i="1"/>
  <c r="CM580" i="1"/>
  <c r="CL580" i="1"/>
  <c r="CW579" i="1"/>
  <c r="CV579" i="1"/>
  <c r="CU579" i="1"/>
  <c r="CT579" i="1"/>
  <c r="CS579" i="1"/>
  <c r="CR579" i="1"/>
  <c r="CQ579" i="1"/>
  <c r="CP579" i="1"/>
  <c r="CO579" i="1"/>
  <c r="CN579" i="1"/>
  <c r="CM579" i="1"/>
  <c r="CL579" i="1"/>
  <c r="CW578" i="1"/>
  <c r="CV578" i="1"/>
  <c r="CU578" i="1"/>
  <c r="CT578" i="1"/>
  <c r="CS578" i="1"/>
  <c r="CR578" i="1"/>
  <c r="CQ578" i="1"/>
  <c r="CP578" i="1"/>
  <c r="CO578" i="1"/>
  <c r="CN578" i="1"/>
  <c r="CM578" i="1"/>
  <c r="CL578" i="1"/>
  <c r="CW577" i="1"/>
  <c r="CV577" i="1"/>
  <c r="CU577" i="1"/>
  <c r="CT577" i="1"/>
  <c r="CS577" i="1"/>
  <c r="CR577" i="1"/>
  <c r="CQ577" i="1"/>
  <c r="CP577" i="1"/>
  <c r="CO577" i="1"/>
  <c r="CN577" i="1"/>
  <c r="CM577" i="1"/>
  <c r="CL577" i="1"/>
  <c r="CW576" i="1"/>
  <c r="CV576" i="1"/>
  <c r="CU576" i="1"/>
  <c r="CT576" i="1"/>
  <c r="CS576" i="1"/>
  <c r="CR576" i="1"/>
  <c r="CQ576" i="1"/>
  <c r="CP576" i="1"/>
  <c r="CO576" i="1"/>
  <c r="CN576" i="1"/>
  <c r="CM576" i="1"/>
  <c r="CL576" i="1"/>
  <c r="CW575" i="1"/>
  <c r="CV575" i="1"/>
  <c r="CU575" i="1"/>
  <c r="CT575" i="1"/>
  <c r="CS575" i="1"/>
  <c r="CR575" i="1"/>
  <c r="CQ575" i="1"/>
  <c r="CP575" i="1"/>
  <c r="CO575" i="1"/>
  <c r="CN575" i="1"/>
  <c r="CM575" i="1"/>
  <c r="CL575" i="1"/>
  <c r="CW574" i="1"/>
  <c r="CV574" i="1"/>
  <c r="CU574" i="1"/>
  <c r="CT574" i="1"/>
  <c r="CS574" i="1"/>
  <c r="CR574" i="1"/>
  <c r="CQ574" i="1"/>
  <c r="CP574" i="1"/>
  <c r="CO574" i="1"/>
  <c r="CN574" i="1"/>
  <c r="CM574" i="1"/>
  <c r="CL574" i="1"/>
  <c r="CW573" i="1"/>
  <c r="CV573" i="1"/>
  <c r="CU573" i="1"/>
  <c r="CT573" i="1"/>
  <c r="CS573" i="1"/>
  <c r="CR573" i="1"/>
  <c r="CQ573" i="1"/>
  <c r="CP573" i="1"/>
  <c r="CO573" i="1"/>
  <c r="CN573" i="1"/>
  <c r="CM573" i="1"/>
  <c r="CL573" i="1"/>
  <c r="CW572" i="1"/>
  <c r="CV572" i="1"/>
  <c r="CU572" i="1"/>
  <c r="CT572" i="1"/>
  <c r="CS572" i="1"/>
  <c r="CR572" i="1"/>
  <c r="CQ572" i="1"/>
  <c r="CP572" i="1"/>
  <c r="CO572" i="1"/>
  <c r="CN572" i="1"/>
  <c r="CM572" i="1"/>
  <c r="CL572" i="1"/>
  <c r="CW571" i="1"/>
  <c r="CV571" i="1"/>
  <c r="CU571" i="1"/>
  <c r="CT571" i="1"/>
  <c r="CS571" i="1"/>
  <c r="CR571" i="1"/>
  <c r="CQ571" i="1"/>
  <c r="CP571" i="1"/>
  <c r="CO571" i="1"/>
  <c r="CN571" i="1"/>
  <c r="CM571" i="1"/>
  <c r="CL571" i="1"/>
  <c r="CW570" i="1"/>
  <c r="CV570" i="1"/>
  <c r="CU570" i="1"/>
  <c r="CT570" i="1"/>
  <c r="CS570" i="1"/>
  <c r="CR570" i="1"/>
  <c r="CQ570" i="1"/>
  <c r="CP570" i="1"/>
  <c r="CO570" i="1"/>
  <c r="CN570" i="1"/>
  <c r="CM570" i="1"/>
  <c r="CL570" i="1"/>
  <c r="CW569" i="1"/>
  <c r="CV569" i="1"/>
  <c r="CU569" i="1"/>
  <c r="CT569" i="1"/>
  <c r="CS569" i="1"/>
  <c r="CR569" i="1"/>
  <c r="CQ569" i="1"/>
  <c r="CP569" i="1"/>
  <c r="CO569" i="1"/>
  <c r="CN569" i="1"/>
  <c r="CM569" i="1"/>
  <c r="CL569" i="1"/>
  <c r="CW568" i="1"/>
  <c r="CV568" i="1"/>
  <c r="CU568" i="1"/>
  <c r="CT568" i="1"/>
  <c r="CS568" i="1"/>
  <c r="CR568" i="1"/>
  <c r="CQ568" i="1"/>
  <c r="CP568" i="1"/>
  <c r="CO568" i="1"/>
  <c r="CN568" i="1"/>
  <c r="CM568" i="1"/>
  <c r="CL568" i="1"/>
  <c r="CW567" i="1"/>
  <c r="CV567" i="1"/>
  <c r="CU567" i="1"/>
  <c r="CT567" i="1"/>
  <c r="CS567" i="1"/>
  <c r="CR567" i="1"/>
  <c r="CQ567" i="1"/>
  <c r="CP567" i="1"/>
  <c r="CO567" i="1"/>
  <c r="CN567" i="1"/>
  <c r="CM567" i="1"/>
  <c r="CL567" i="1"/>
  <c r="CW566" i="1"/>
  <c r="CV566" i="1"/>
  <c r="CU566" i="1"/>
  <c r="CT566" i="1"/>
  <c r="CS566" i="1"/>
  <c r="CR566" i="1"/>
  <c r="CQ566" i="1"/>
  <c r="CP566" i="1"/>
  <c r="CO566" i="1"/>
  <c r="CN566" i="1"/>
  <c r="CM566" i="1"/>
  <c r="CL566" i="1"/>
  <c r="CW565" i="1"/>
  <c r="CV565" i="1"/>
  <c r="CU565" i="1"/>
  <c r="CT565" i="1"/>
  <c r="CS565" i="1"/>
  <c r="CR565" i="1"/>
  <c r="CQ565" i="1"/>
  <c r="CP565" i="1"/>
  <c r="CO565" i="1"/>
  <c r="CN565" i="1"/>
  <c r="CM565" i="1"/>
  <c r="CL565" i="1"/>
  <c r="CW564" i="1"/>
  <c r="CV564" i="1"/>
  <c r="CU564" i="1"/>
  <c r="CT564" i="1"/>
  <c r="CS564" i="1"/>
  <c r="CR564" i="1"/>
  <c r="CQ564" i="1"/>
  <c r="CP564" i="1"/>
  <c r="CO564" i="1"/>
  <c r="CN564" i="1"/>
  <c r="CM564" i="1"/>
  <c r="CL564" i="1"/>
  <c r="CW563" i="1"/>
  <c r="CV563" i="1"/>
  <c r="CU563" i="1"/>
  <c r="CT563" i="1"/>
  <c r="CS563" i="1"/>
  <c r="CR563" i="1"/>
  <c r="CQ563" i="1"/>
  <c r="CP563" i="1"/>
  <c r="CO563" i="1"/>
  <c r="CN563" i="1"/>
  <c r="CM563" i="1"/>
  <c r="CL563" i="1"/>
  <c r="CW562" i="1"/>
  <c r="CV562" i="1"/>
  <c r="CU562" i="1"/>
  <c r="CT562" i="1"/>
  <c r="CS562" i="1"/>
  <c r="CR562" i="1"/>
  <c r="CQ562" i="1"/>
  <c r="CP562" i="1"/>
  <c r="CO562" i="1"/>
  <c r="CN562" i="1"/>
  <c r="CM562" i="1"/>
  <c r="CL562" i="1"/>
  <c r="CW561" i="1"/>
  <c r="CV561" i="1"/>
  <c r="CU561" i="1"/>
  <c r="CT561" i="1"/>
  <c r="CS561" i="1"/>
  <c r="CR561" i="1"/>
  <c r="CQ561" i="1"/>
  <c r="CP561" i="1"/>
  <c r="CO561" i="1"/>
  <c r="CN561" i="1"/>
  <c r="CM561" i="1"/>
  <c r="CL561" i="1"/>
  <c r="CW560" i="1"/>
  <c r="CV560" i="1"/>
  <c r="CU560" i="1"/>
  <c r="CT560" i="1"/>
  <c r="CS560" i="1"/>
  <c r="CR560" i="1"/>
  <c r="CQ560" i="1"/>
  <c r="CP560" i="1"/>
  <c r="CO560" i="1"/>
  <c r="CN560" i="1"/>
  <c r="CM560" i="1"/>
  <c r="CL560" i="1"/>
  <c r="CW559" i="1"/>
  <c r="CV559" i="1"/>
  <c r="CU559" i="1"/>
  <c r="CT559" i="1"/>
  <c r="CS559" i="1"/>
  <c r="CR559" i="1"/>
  <c r="CQ559" i="1"/>
  <c r="CP559" i="1"/>
  <c r="CO559" i="1"/>
  <c r="CN559" i="1"/>
  <c r="CM559" i="1"/>
  <c r="CL559" i="1"/>
  <c r="CW558" i="1"/>
  <c r="CV558" i="1"/>
  <c r="CU558" i="1"/>
  <c r="CT558" i="1"/>
  <c r="CS558" i="1"/>
  <c r="CR558" i="1"/>
  <c r="CQ558" i="1"/>
  <c r="CP558" i="1"/>
  <c r="CO558" i="1"/>
  <c r="CN558" i="1"/>
  <c r="CM558" i="1"/>
  <c r="CL558" i="1"/>
  <c r="CW557" i="1"/>
  <c r="CV557" i="1"/>
  <c r="CU557" i="1"/>
  <c r="CT557" i="1"/>
  <c r="CS557" i="1"/>
  <c r="CR557" i="1"/>
  <c r="CQ557" i="1"/>
  <c r="CP557" i="1"/>
  <c r="CO557" i="1"/>
  <c r="CN557" i="1"/>
  <c r="CM557" i="1"/>
  <c r="CL557" i="1"/>
  <c r="CW556" i="1"/>
  <c r="CV556" i="1"/>
  <c r="CU556" i="1"/>
  <c r="CT556" i="1"/>
  <c r="CS556" i="1"/>
  <c r="CR556" i="1"/>
  <c r="CQ556" i="1"/>
  <c r="CP556" i="1"/>
  <c r="CO556" i="1"/>
  <c r="CN556" i="1"/>
  <c r="CM556" i="1"/>
  <c r="CL556" i="1"/>
  <c r="CW555" i="1"/>
  <c r="CV555" i="1"/>
  <c r="CU555" i="1"/>
  <c r="CT555" i="1"/>
  <c r="CS555" i="1"/>
  <c r="CR555" i="1"/>
  <c r="CQ555" i="1"/>
  <c r="CP555" i="1"/>
  <c r="CO555" i="1"/>
  <c r="CN555" i="1"/>
  <c r="CM555" i="1"/>
  <c r="CL555" i="1"/>
  <c r="CW554" i="1"/>
  <c r="CV554" i="1"/>
  <c r="CU554" i="1"/>
  <c r="CT554" i="1"/>
  <c r="CS554" i="1"/>
  <c r="CR554" i="1"/>
  <c r="CQ554" i="1"/>
  <c r="CP554" i="1"/>
  <c r="CO554" i="1"/>
  <c r="CN554" i="1"/>
  <c r="CM554" i="1"/>
  <c r="CL554" i="1"/>
  <c r="CW553" i="1"/>
  <c r="CV553" i="1"/>
  <c r="CU553" i="1"/>
  <c r="CT553" i="1"/>
  <c r="CS553" i="1"/>
  <c r="CR553" i="1"/>
  <c r="CQ553" i="1"/>
  <c r="CP553" i="1"/>
  <c r="CO553" i="1"/>
  <c r="CN553" i="1"/>
  <c r="CM553" i="1"/>
  <c r="CL553" i="1"/>
  <c r="CW552" i="1"/>
  <c r="CV552" i="1"/>
  <c r="CU552" i="1"/>
  <c r="CT552" i="1"/>
  <c r="CS552" i="1"/>
  <c r="CR552" i="1"/>
  <c r="CQ552" i="1"/>
  <c r="CP552" i="1"/>
  <c r="CO552" i="1"/>
  <c r="CN552" i="1"/>
  <c r="CM552" i="1"/>
  <c r="CL552" i="1"/>
  <c r="CW551" i="1"/>
  <c r="CV551" i="1"/>
  <c r="CU551" i="1"/>
  <c r="CT551" i="1"/>
  <c r="CS551" i="1"/>
  <c r="CR551" i="1"/>
  <c r="CQ551" i="1"/>
  <c r="CP551" i="1"/>
  <c r="CO551" i="1"/>
  <c r="CN551" i="1"/>
  <c r="CM551" i="1"/>
  <c r="CL551" i="1"/>
  <c r="CW550" i="1"/>
  <c r="CV550" i="1"/>
  <c r="CU550" i="1"/>
  <c r="CT550" i="1"/>
  <c r="CS550" i="1"/>
  <c r="CR550" i="1"/>
  <c r="CQ550" i="1"/>
  <c r="CP550" i="1"/>
  <c r="CO550" i="1"/>
  <c r="CN550" i="1"/>
  <c r="CM550" i="1"/>
  <c r="CL550" i="1"/>
  <c r="CW549" i="1"/>
  <c r="CV549" i="1"/>
  <c r="CU549" i="1"/>
  <c r="CT549" i="1"/>
  <c r="CS549" i="1"/>
  <c r="CR549" i="1"/>
  <c r="CQ549" i="1"/>
  <c r="CP549" i="1"/>
  <c r="CO549" i="1"/>
  <c r="CN549" i="1"/>
  <c r="CM549" i="1"/>
  <c r="CL549" i="1"/>
  <c r="CW548" i="1"/>
  <c r="CV548" i="1"/>
  <c r="CU548" i="1"/>
  <c r="CT548" i="1"/>
  <c r="CS548" i="1"/>
  <c r="CR548" i="1"/>
  <c r="CQ548" i="1"/>
  <c r="CP548" i="1"/>
  <c r="CO548" i="1"/>
  <c r="CN548" i="1"/>
  <c r="CM548" i="1"/>
  <c r="CL548" i="1"/>
  <c r="CW547" i="1"/>
  <c r="CV547" i="1"/>
  <c r="CU547" i="1"/>
  <c r="CT547" i="1"/>
  <c r="CS547" i="1"/>
  <c r="CR547" i="1"/>
  <c r="CQ547" i="1"/>
  <c r="CP547" i="1"/>
  <c r="CO547" i="1"/>
  <c r="CN547" i="1"/>
  <c r="CM547" i="1"/>
  <c r="CL547" i="1"/>
  <c r="CW546" i="1"/>
  <c r="CV546" i="1"/>
  <c r="CU546" i="1"/>
  <c r="CT546" i="1"/>
  <c r="CS546" i="1"/>
  <c r="CR546" i="1"/>
  <c r="CQ546" i="1"/>
  <c r="CP546" i="1"/>
  <c r="CO546" i="1"/>
  <c r="CN546" i="1"/>
  <c r="CM546" i="1"/>
  <c r="CL546" i="1"/>
  <c r="CW545" i="1"/>
  <c r="CV545" i="1"/>
  <c r="CU545" i="1"/>
  <c r="CT545" i="1"/>
  <c r="CS545" i="1"/>
  <c r="CR545" i="1"/>
  <c r="CQ545" i="1"/>
  <c r="CP545" i="1"/>
  <c r="CO545" i="1"/>
  <c r="CN545" i="1"/>
  <c r="CM545" i="1"/>
  <c r="CL545" i="1"/>
  <c r="CW544" i="1"/>
  <c r="CV544" i="1"/>
  <c r="CU544" i="1"/>
  <c r="CT544" i="1"/>
  <c r="CS544" i="1"/>
  <c r="CR544" i="1"/>
  <c r="CQ544" i="1"/>
  <c r="CP544" i="1"/>
  <c r="CO544" i="1"/>
  <c r="CN544" i="1"/>
  <c r="CM544" i="1"/>
  <c r="CL544" i="1"/>
  <c r="CW543" i="1"/>
  <c r="CV543" i="1"/>
  <c r="CU543" i="1"/>
  <c r="CT543" i="1"/>
  <c r="CS543" i="1"/>
  <c r="CR543" i="1"/>
  <c r="CQ543" i="1"/>
  <c r="CP543" i="1"/>
  <c r="CO543" i="1"/>
  <c r="CN543" i="1"/>
  <c r="CM543" i="1"/>
  <c r="CL543" i="1"/>
  <c r="CW542" i="1"/>
  <c r="CV542" i="1"/>
  <c r="CU542" i="1"/>
  <c r="CT542" i="1"/>
  <c r="CS542" i="1"/>
  <c r="CR542" i="1"/>
  <c r="CQ542" i="1"/>
  <c r="CP542" i="1"/>
  <c r="CO542" i="1"/>
  <c r="CN542" i="1"/>
  <c r="CM542" i="1"/>
  <c r="CL542" i="1"/>
  <c r="CW541" i="1"/>
  <c r="CV541" i="1"/>
  <c r="CU541" i="1"/>
  <c r="CT541" i="1"/>
  <c r="CS541" i="1"/>
  <c r="CR541" i="1"/>
  <c r="CQ541" i="1"/>
  <c r="CP541" i="1"/>
  <c r="CO541" i="1"/>
  <c r="CN541" i="1"/>
  <c r="CM541" i="1"/>
  <c r="CL541" i="1"/>
  <c r="CW540" i="1"/>
  <c r="CV540" i="1"/>
  <c r="CU540" i="1"/>
  <c r="CT540" i="1"/>
  <c r="CS540" i="1"/>
  <c r="CR540" i="1"/>
  <c r="CQ540" i="1"/>
  <c r="CP540" i="1"/>
  <c r="CO540" i="1"/>
  <c r="CN540" i="1"/>
  <c r="CM540" i="1"/>
  <c r="CL540" i="1"/>
  <c r="CW539" i="1"/>
  <c r="CV539" i="1"/>
  <c r="CU539" i="1"/>
  <c r="CT539" i="1"/>
  <c r="CS539" i="1"/>
  <c r="CR539" i="1"/>
  <c r="CQ539" i="1"/>
  <c r="CP539" i="1"/>
  <c r="CO539" i="1"/>
  <c r="CN539" i="1"/>
  <c r="CM539" i="1"/>
  <c r="CL539" i="1"/>
  <c r="CW538" i="1"/>
  <c r="CV538" i="1"/>
  <c r="CU538" i="1"/>
  <c r="CT538" i="1"/>
  <c r="CS538" i="1"/>
  <c r="CR538" i="1"/>
  <c r="CQ538" i="1"/>
  <c r="CP538" i="1"/>
  <c r="CO538" i="1"/>
  <c r="CN538" i="1"/>
  <c r="CM538" i="1"/>
  <c r="CL538" i="1"/>
  <c r="CW537" i="1"/>
  <c r="CV537" i="1"/>
  <c r="CU537" i="1"/>
  <c r="CT537" i="1"/>
  <c r="CS537" i="1"/>
  <c r="CR537" i="1"/>
  <c r="CQ537" i="1"/>
  <c r="CP537" i="1"/>
  <c r="CO537" i="1"/>
  <c r="CN537" i="1"/>
  <c r="CM537" i="1"/>
  <c r="CL537" i="1"/>
  <c r="CW536" i="1"/>
  <c r="CV536" i="1"/>
  <c r="CU536" i="1"/>
  <c r="CT536" i="1"/>
  <c r="CS536" i="1"/>
  <c r="CR536" i="1"/>
  <c r="CQ536" i="1"/>
  <c r="CP536" i="1"/>
  <c r="CO536" i="1"/>
  <c r="CN536" i="1"/>
  <c r="CM536" i="1"/>
  <c r="CL536" i="1"/>
  <c r="CW535" i="1"/>
  <c r="CV535" i="1"/>
  <c r="CU535" i="1"/>
  <c r="CT535" i="1"/>
  <c r="CS535" i="1"/>
  <c r="CR535" i="1"/>
  <c r="CQ535" i="1"/>
  <c r="CP535" i="1"/>
  <c r="CO535" i="1"/>
  <c r="CN535" i="1"/>
  <c r="CM535" i="1"/>
  <c r="CL535" i="1"/>
  <c r="CW534" i="1"/>
  <c r="CV534" i="1"/>
  <c r="CU534" i="1"/>
  <c r="CT534" i="1"/>
  <c r="CS534" i="1"/>
  <c r="CR534" i="1"/>
  <c r="CQ534" i="1"/>
  <c r="CP534" i="1"/>
  <c r="CO534" i="1"/>
  <c r="CN534" i="1"/>
  <c r="CM534" i="1"/>
  <c r="CL534" i="1"/>
  <c r="CW533" i="1"/>
  <c r="CV533" i="1"/>
  <c r="CU533" i="1"/>
  <c r="CT533" i="1"/>
  <c r="CS533" i="1"/>
  <c r="CR533" i="1"/>
  <c r="CQ533" i="1"/>
  <c r="CP533" i="1"/>
  <c r="CO533" i="1"/>
  <c r="CN533" i="1"/>
  <c r="CM533" i="1"/>
  <c r="CL533" i="1"/>
  <c r="CW532" i="1"/>
  <c r="CV532" i="1"/>
  <c r="CU532" i="1"/>
  <c r="CT532" i="1"/>
  <c r="CS532" i="1"/>
  <c r="CR532" i="1"/>
  <c r="CQ532" i="1"/>
  <c r="CP532" i="1"/>
  <c r="CO532" i="1"/>
  <c r="CN532" i="1"/>
  <c r="CM532" i="1"/>
  <c r="CL532" i="1"/>
  <c r="CW531" i="1"/>
  <c r="CV531" i="1"/>
  <c r="CU531" i="1"/>
  <c r="CT531" i="1"/>
  <c r="CS531" i="1"/>
  <c r="CR531" i="1"/>
  <c r="CQ531" i="1"/>
  <c r="CP531" i="1"/>
  <c r="CO531" i="1"/>
  <c r="CN531" i="1"/>
  <c r="CM531" i="1"/>
  <c r="CL531" i="1"/>
  <c r="CW530" i="1"/>
  <c r="CV530" i="1"/>
  <c r="CU530" i="1"/>
  <c r="CT530" i="1"/>
  <c r="CS530" i="1"/>
  <c r="CR530" i="1"/>
  <c r="CQ530" i="1"/>
  <c r="CP530" i="1"/>
  <c r="CO530" i="1"/>
  <c r="CN530" i="1"/>
  <c r="CM530" i="1"/>
  <c r="CL530" i="1"/>
  <c r="CW529" i="1"/>
  <c r="CV529" i="1"/>
  <c r="CU529" i="1"/>
  <c r="CT529" i="1"/>
  <c r="CS529" i="1"/>
  <c r="CR529" i="1"/>
  <c r="CQ529" i="1"/>
  <c r="CP529" i="1"/>
  <c r="CO529" i="1"/>
  <c r="CN529" i="1"/>
  <c r="CM529" i="1"/>
  <c r="CL529" i="1"/>
  <c r="CW528" i="1"/>
  <c r="CV528" i="1"/>
  <c r="CU528" i="1"/>
  <c r="CT528" i="1"/>
  <c r="CS528" i="1"/>
  <c r="CR528" i="1"/>
  <c r="CQ528" i="1"/>
  <c r="CP528" i="1"/>
  <c r="CO528" i="1"/>
  <c r="CN528" i="1"/>
  <c r="CM528" i="1"/>
  <c r="CL528" i="1"/>
  <c r="CW527" i="1"/>
  <c r="CV527" i="1"/>
  <c r="CU527" i="1"/>
  <c r="CT527" i="1"/>
  <c r="CS527" i="1"/>
  <c r="CR527" i="1"/>
  <c r="CQ527" i="1"/>
  <c r="CP527" i="1"/>
  <c r="CO527" i="1"/>
  <c r="CN527" i="1"/>
  <c r="CM527" i="1"/>
  <c r="CL527" i="1"/>
  <c r="CW526" i="1"/>
  <c r="CV526" i="1"/>
  <c r="CU526" i="1"/>
  <c r="CT526" i="1"/>
  <c r="CS526" i="1"/>
  <c r="CR526" i="1"/>
  <c r="CQ526" i="1"/>
  <c r="CP526" i="1"/>
  <c r="CO526" i="1"/>
  <c r="CN526" i="1"/>
  <c r="CM526" i="1"/>
  <c r="CL526" i="1"/>
  <c r="CW525" i="1"/>
  <c r="CV525" i="1"/>
  <c r="CU525" i="1"/>
  <c r="CT525" i="1"/>
  <c r="CS525" i="1"/>
  <c r="CR525" i="1"/>
  <c r="CQ525" i="1"/>
  <c r="CP525" i="1"/>
  <c r="CO525" i="1"/>
  <c r="CN525" i="1"/>
  <c r="CM525" i="1"/>
  <c r="CL525" i="1"/>
  <c r="CW524" i="1"/>
  <c r="CV524" i="1"/>
  <c r="CU524" i="1"/>
  <c r="CT524" i="1"/>
  <c r="CS524" i="1"/>
  <c r="CR524" i="1"/>
  <c r="CQ524" i="1"/>
  <c r="CP524" i="1"/>
  <c r="CO524" i="1"/>
  <c r="CN524" i="1"/>
  <c r="CM524" i="1"/>
  <c r="CL524" i="1"/>
  <c r="CW523" i="1"/>
  <c r="CV523" i="1"/>
  <c r="CU523" i="1"/>
  <c r="CT523" i="1"/>
  <c r="CS523" i="1"/>
  <c r="CR523" i="1"/>
  <c r="CQ523" i="1"/>
  <c r="CP523" i="1"/>
  <c r="CO523" i="1"/>
  <c r="CN523" i="1"/>
  <c r="CM523" i="1"/>
  <c r="CL523" i="1"/>
  <c r="CW522" i="1"/>
  <c r="CV522" i="1"/>
  <c r="CU522" i="1"/>
  <c r="CT522" i="1"/>
  <c r="CS522" i="1"/>
  <c r="CR522" i="1"/>
  <c r="CQ522" i="1"/>
  <c r="CP522" i="1"/>
  <c r="CO522" i="1"/>
  <c r="CN522" i="1"/>
  <c r="CM522" i="1"/>
  <c r="CL522" i="1"/>
  <c r="CW521" i="1"/>
  <c r="CV521" i="1"/>
  <c r="CU521" i="1"/>
  <c r="CT521" i="1"/>
  <c r="CS521" i="1"/>
  <c r="CR521" i="1"/>
  <c r="CQ521" i="1"/>
  <c r="CP521" i="1"/>
  <c r="CO521" i="1"/>
  <c r="CN521" i="1"/>
  <c r="CM521" i="1"/>
  <c r="CL521" i="1"/>
  <c r="CW520" i="1"/>
  <c r="CV520" i="1"/>
  <c r="CU520" i="1"/>
  <c r="CT520" i="1"/>
  <c r="CS520" i="1"/>
  <c r="CR520" i="1"/>
  <c r="CQ520" i="1"/>
  <c r="CP520" i="1"/>
  <c r="CO520" i="1"/>
  <c r="CN520" i="1"/>
  <c r="CM520" i="1"/>
  <c r="CL520" i="1"/>
  <c r="CW519" i="1"/>
  <c r="CV519" i="1"/>
  <c r="CU519" i="1"/>
  <c r="CT519" i="1"/>
  <c r="CS519" i="1"/>
  <c r="CR519" i="1"/>
  <c r="CQ519" i="1"/>
  <c r="CP519" i="1"/>
  <c r="CO519" i="1"/>
  <c r="CN519" i="1"/>
  <c r="CM519" i="1"/>
  <c r="CL519" i="1"/>
  <c r="CW518" i="1"/>
  <c r="CV518" i="1"/>
  <c r="CU518" i="1"/>
  <c r="CT518" i="1"/>
  <c r="CS518" i="1"/>
  <c r="CR518" i="1"/>
  <c r="CQ518" i="1"/>
  <c r="CP518" i="1"/>
  <c r="CO518" i="1"/>
  <c r="CN518" i="1"/>
  <c r="CM518" i="1"/>
  <c r="CL518" i="1"/>
  <c r="CW517" i="1"/>
  <c r="CV517" i="1"/>
  <c r="CU517" i="1"/>
  <c r="CT517" i="1"/>
  <c r="CS517" i="1"/>
  <c r="CR517" i="1"/>
  <c r="CQ517" i="1"/>
  <c r="CP517" i="1"/>
  <c r="CO517" i="1"/>
  <c r="CN517" i="1"/>
  <c r="CM517" i="1"/>
  <c r="CL517" i="1"/>
  <c r="CW516" i="1"/>
  <c r="CV516" i="1"/>
  <c r="CU516" i="1"/>
  <c r="CT516" i="1"/>
  <c r="CS516" i="1"/>
  <c r="CR516" i="1"/>
  <c r="CQ516" i="1"/>
  <c r="CP516" i="1"/>
  <c r="CO516" i="1"/>
  <c r="CN516" i="1"/>
  <c r="CM516" i="1"/>
  <c r="CL516" i="1"/>
  <c r="CW515" i="1"/>
  <c r="CV515" i="1"/>
  <c r="CU515" i="1"/>
  <c r="CT515" i="1"/>
  <c r="CS515" i="1"/>
  <c r="CR515" i="1"/>
  <c r="CQ515" i="1"/>
  <c r="CP515" i="1"/>
  <c r="CO515" i="1"/>
  <c r="CN515" i="1"/>
  <c r="CM515" i="1"/>
  <c r="CL515" i="1"/>
  <c r="CW514" i="1"/>
  <c r="CV514" i="1"/>
  <c r="CU514" i="1"/>
  <c r="CT514" i="1"/>
  <c r="CS514" i="1"/>
  <c r="CR514" i="1"/>
  <c r="CQ514" i="1"/>
  <c r="CP514" i="1"/>
  <c r="CO514" i="1"/>
  <c r="CN514" i="1"/>
  <c r="CM514" i="1"/>
  <c r="CL514" i="1"/>
  <c r="CW513" i="1"/>
  <c r="CV513" i="1"/>
  <c r="CU513" i="1"/>
  <c r="CT513" i="1"/>
  <c r="CS513" i="1"/>
  <c r="CR513" i="1"/>
  <c r="CQ513" i="1"/>
  <c r="CP513" i="1"/>
  <c r="CO513" i="1"/>
  <c r="CN513" i="1"/>
  <c r="CM513" i="1"/>
  <c r="CL513" i="1"/>
  <c r="CW512" i="1"/>
  <c r="CV512" i="1"/>
  <c r="CU512" i="1"/>
  <c r="CT512" i="1"/>
  <c r="CS512" i="1"/>
  <c r="CR512" i="1"/>
  <c r="CQ512" i="1"/>
  <c r="CP512" i="1"/>
  <c r="CO512" i="1"/>
  <c r="CN512" i="1"/>
  <c r="CM512" i="1"/>
  <c r="CL512" i="1"/>
  <c r="CW511" i="1"/>
  <c r="CV511" i="1"/>
  <c r="CU511" i="1"/>
  <c r="CT511" i="1"/>
  <c r="CS511" i="1"/>
  <c r="CR511" i="1"/>
  <c r="CQ511" i="1"/>
  <c r="CP511" i="1"/>
  <c r="CO511" i="1"/>
  <c r="CN511" i="1"/>
  <c r="CM511" i="1"/>
  <c r="CL511" i="1"/>
  <c r="CW510" i="1"/>
  <c r="CV510" i="1"/>
  <c r="CU510" i="1"/>
  <c r="CT510" i="1"/>
  <c r="CS510" i="1"/>
  <c r="CR510" i="1"/>
  <c r="CQ510" i="1"/>
  <c r="CP510" i="1"/>
  <c r="CO510" i="1"/>
  <c r="CN510" i="1"/>
  <c r="CM510" i="1"/>
  <c r="CL510" i="1"/>
  <c r="CW509" i="1"/>
  <c r="CV509" i="1"/>
  <c r="CU509" i="1"/>
  <c r="CT509" i="1"/>
  <c r="CS509" i="1"/>
  <c r="CR509" i="1"/>
  <c r="CQ509" i="1"/>
  <c r="CP509" i="1"/>
  <c r="CO509" i="1"/>
  <c r="CN509" i="1"/>
  <c r="CM509" i="1"/>
  <c r="CL509" i="1"/>
  <c r="CW508" i="1"/>
  <c r="CV508" i="1"/>
  <c r="CU508" i="1"/>
  <c r="CT508" i="1"/>
  <c r="CS508" i="1"/>
  <c r="CR508" i="1"/>
  <c r="CQ508" i="1"/>
  <c r="CP508" i="1"/>
  <c r="CO508" i="1"/>
  <c r="CN508" i="1"/>
  <c r="CM508" i="1"/>
  <c r="CL508" i="1"/>
  <c r="CW507" i="1"/>
  <c r="CV507" i="1"/>
  <c r="CU507" i="1"/>
  <c r="CT507" i="1"/>
  <c r="CS507" i="1"/>
  <c r="CR507" i="1"/>
  <c r="CQ507" i="1"/>
  <c r="CP507" i="1"/>
  <c r="CO507" i="1"/>
  <c r="CN507" i="1"/>
  <c r="CM507" i="1"/>
  <c r="CL507" i="1"/>
  <c r="CW506" i="1"/>
  <c r="CV506" i="1"/>
  <c r="CU506" i="1"/>
  <c r="CT506" i="1"/>
  <c r="CS506" i="1"/>
  <c r="CR506" i="1"/>
  <c r="CQ506" i="1"/>
  <c r="CP506" i="1"/>
  <c r="CO506" i="1"/>
  <c r="CN506" i="1"/>
  <c r="CM506" i="1"/>
  <c r="CL506" i="1"/>
  <c r="CW505" i="1"/>
  <c r="CV505" i="1"/>
  <c r="CU505" i="1"/>
  <c r="CT505" i="1"/>
  <c r="CS505" i="1"/>
  <c r="CR505" i="1"/>
  <c r="CQ505" i="1"/>
  <c r="CP505" i="1"/>
  <c r="CO505" i="1"/>
  <c r="CN505" i="1"/>
  <c r="CM505" i="1"/>
  <c r="CL505" i="1"/>
  <c r="CW504" i="1"/>
  <c r="CV504" i="1"/>
  <c r="CU504" i="1"/>
  <c r="CT504" i="1"/>
  <c r="CS504" i="1"/>
  <c r="CR504" i="1"/>
  <c r="CQ504" i="1"/>
  <c r="CP504" i="1"/>
  <c r="CO504" i="1"/>
  <c r="CN504" i="1"/>
  <c r="CM504" i="1"/>
  <c r="CL504" i="1"/>
  <c r="CW503" i="1"/>
  <c r="CV503" i="1"/>
  <c r="CU503" i="1"/>
  <c r="CT503" i="1"/>
  <c r="CS503" i="1"/>
  <c r="CR503" i="1"/>
  <c r="CQ503" i="1"/>
  <c r="CP503" i="1"/>
  <c r="CO503" i="1"/>
  <c r="CN503" i="1"/>
  <c r="CM503" i="1"/>
  <c r="CL503" i="1"/>
  <c r="CW502" i="1"/>
  <c r="CV502" i="1"/>
  <c r="CU502" i="1"/>
  <c r="CT502" i="1"/>
  <c r="CS502" i="1"/>
  <c r="CR502" i="1"/>
  <c r="CQ502" i="1"/>
  <c r="CP502" i="1"/>
  <c r="CO502" i="1"/>
  <c r="CN502" i="1"/>
  <c r="CM502" i="1"/>
  <c r="CL502" i="1"/>
  <c r="CW501" i="1"/>
  <c r="CV501" i="1"/>
  <c r="CU501" i="1"/>
  <c r="CT501" i="1"/>
  <c r="CS501" i="1"/>
  <c r="CR501" i="1"/>
  <c r="CQ501" i="1"/>
  <c r="CP501" i="1"/>
  <c r="CO501" i="1"/>
  <c r="CN501" i="1"/>
  <c r="CM501" i="1"/>
  <c r="CL501" i="1"/>
  <c r="CW500" i="1"/>
  <c r="CV500" i="1"/>
  <c r="CU500" i="1"/>
  <c r="CT500" i="1"/>
  <c r="CS500" i="1"/>
  <c r="CR500" i="1"/>
  <c r="CQ500" i="1"/>
  <c r="CP500" i="1"/>
  <c r="CO500" i="1"/>
  <c r="CN500" i="1"/>
  <c r="CM500" i="1"/>
  <c r="CL500" i="1"/>
  <c r="CW499" i="1"/>
  <c r="CV499" i="1"/>
  <c r="CU499" i="1"/>
  <c r="CT499" i="1"/>
  <c r="CS499" i="1"/>
  <c r="CR499" i="1"/>
  <c r="CQ499" i="1"/>
  <c r="CP499" i="1"/>
  <c r="CO499" i="1"/>
  <c r="CN499" i="1"/>
  <c r="CM499" i="1"/>
  <c r="CL499" i="1"/>
  <c r="CW498" i="1"/>
  <c r="CV498" i="1"/>
  <c r="CU498" i="1"/>
  <c r="CT498" i="1"/>
  <c r="CS498" i="1"/>
  <c r="CR498" i="1"/>
  <c r="CQ498" i="1"/>
  <c r="CP498" i="1"/>
  <c r="CO498" i="1"/>
  <c r="CN498" i="1"/>
  <c r="CM498" i="1"/>
  <c r="CL498" i="1"/>
  <c r="CW497" i="1"/>
  <c r="CV497" i="1"/>
  <c r="CU497" i="1"/>
  <c r="CT497" i="1"/>
  <c r="CS497" i="1"/>
  <c r="CR497" i="1"/>
  <c r="CQ497" i="1"/>
  <c r="CP497" i="1"/>
  <c r="CO497" i="1"/>
  <c r="CN497" i="1"/>
  <c r="CM497" i="1"/>
  <c r="CL497" i="1"/>
  <c r="CW496" i="1"/>
  <c r="CV496" i="1"/>
  <c r="CU496" i="1"/>
  <c r="CT496" i="1"/>
  <c r="CS496" i="1"/>
  <c r="CR496" i="1"/>
  <c r="CQ496" i="1"/>
  <c r="CP496" i="1"/>
  <c r="CO496" i="1"/>
  <c r="CN496" i="1"/>
  <c r="CM496" i="1"/>
  <c r="CL496" i="1"/>
  <c r="CW495" i="1"/>
  <c r="CV495" i="1"/>
  <c r="CU495" i="1"/>
  <c r="CT495" i="1"/>
  <c r="CS495" i="1"/>
  <c r="CR495" i="1"/>
  <c r="CQ495" i="1"/>
  <c r="CP495" i="1"/>
  <c r="CO495" i="1"/>
  <c r="CN495" i="1"/>
  <c r="CM495" i="1"/>
  <c r="CL495" i="1"/>
  <c r="CW494" i="1"/>
  <c r="CV494" i="1"/>
  <c r="CU494" i="1"/>
  <c r="CT494" i="1"/>
  <c r="CS494" i="1"/>
  <c r="CR494" i="1"/>
  <c r="CQ494" i="1"/>
  <c r="CP494" i="1"/>
  <c r="CO494" i="1"/>
  <c r="CN494" i="1"/>
  <c r="CM494" i="1"/>
  <c r="CL494" i="1"/>
  <c r="CW493" i="1"/>
  <c r="CV493" i="1"/>
  <c r="CU493" i="1"/>
  <c r="CT493" i="1"/>
  <c r="CS493" i="1"/>
  <c r="CR493" i="1"/>
  <c r="CQ493" i="1"/>
  <c r="CP493" i="1"/>
  <c r="CO493" i="1"/>
  <c r="CN493" i="1"/>
  <c r="CM493" i="1"/>
  <c r="CL493" i="1"/>
  <c r="CW492" i="1"/>
  <c r="CV492" i="1"/>
  <c r="CU492" i="1"/>
  <c r="CT492" i="1"/>
  <c r="CS492" i="1"/>
  <c r="CR492" i="1"/>
  <c r="CQ492" i="1"/>
  <c r="CP492" i="1"/>
  <c r="CO492" i="1"/>
  <c r="CN492" i="1"/>
  <c r="CM492" i="1"/>
  <c r="CL492" i="1"/>
  <c r="CW491" i="1"/>
  <c r="CV491" i="1"/>
  <c r="CU491" i="1"/>
  <c r="CT491" i="1"/>
  <c r="CS491" i="1"/>
  <c r="CR491" i="1"/>
  <c r="CQ491" i="1"/>
  <c r="CP491" i="1"/>
  <c r="CO491" i="1"/>
  <c r="CN491" i="1"/>
  <c r="CM491" i="1"/>
  <c r="CL491" i="1"/>
  <c r="CW490" i="1"/>
  <c r="CV490" i="1"/>
  <c r="CU490" i="1"/>
  <c r="CT490" i="1"/>
  <c r="CS490" i="1"/>
  <c r="CR490" i="1"/>
  <c r="CQ490" i="1"/>
  <c r="CP490" i="1"/>
  <c r="CO490" i="1"/>
  <c r="CN490" i="1"/>
  <c r="CM490" i="1"/>
  <c r="CL490" i="1"/>
  <c r="CW489" i="1"/>
  <c r="CV489" i="1"/>
  <c r="CU489" i="1"/>
  <c r="CT489" i="1"/>
  <c r="CS489" i="1"/>
  <c r="CR489" i="1"/>
  <c r="CQ489" i="1"/>
  <c r="CP489" i="1"/>
  <c r="CO489" i="1"/>
  <c r="CN489" i="1"/>
  <c r="CM489" i="1"/>
  <c r="CL489" i="1"/>
  <c r="CW488" i="1"/>
  <c r="CV488" i="1"/>
  <c r="CU488" i="1"/>
  <c r="CT488" i="1"/>
  <c r="CS488" i="1"/>
  <c r="CR488" i="1"/>
  <c r="CQ488" i="1"/>
  <c r="CP488" i="1"/>
  <c r="CO488" i="1"/>
  <c r="CN488" i="1"/>
  <c r="CM488" i="1"/>
  <c r="CL488" i="1"/>
  <c r="CW487" i="1"/>
  <c r="CV487" i="1"/>
  <c r="CU487" i="1"/>
  <c r="CT487" i="1"/>
  <c r="CS487" i="1"/>
  <c r="CR487" i="1"/>
  <c r="CQ487" i="1"/>
  <c r="CP487" i="1"/>
  <c r="CO487" i="1"/>
  <c r="CN487" i="1"/>
  <c r="CM487" i="1"/>
  <c r="CL487" i="1"/>
  <c r="CW486" i="1"/>
  <c r="CV486" i="1"/>
  <c r="CU486" i="1"/>
  <c r="CT486" i="1"/>
  <c r="CS486" i="1"/>
  <c r="CR486" i="1"/>
  <c r="CQ486" i="1"/>
  <c r="CP486" i="1"/>
  <c r="CO486" i="1"/>
  <c r="CN486" i="1"/>
  <c r="CM486" i="1"/>
  <c r="CL486" i="1"/>
  <c r="CW485" i="1"/>
  <c r="CV485" i="1"/>
  <c r="CU485" i="1"/>
  <c r="CT485" i="1"/>
  <c r="CS485" i="1"/>
  <c r="CR485" i="1"/>
  <c r="CQ485" i="1"/>
  <c r="CP485" i="1"/>
  <c r="CO485" i="1"/>
  <c r="CN485" i="1"/>
  <c r="CM485" i="1"/>
  <c r="CL485" i="1"/>
  <c r="CW484" i="1"/>
  <c r="CV484" i="1"/>
  <c r="CU484" i="1"/>
  <c r="CT484" i="1"/>
  <c r="CS484" i="1"/>
  <c r="CR484" i="1"/>
  <c r="CQ484" i="1"/>
  <c r="CP484" i="1"/>
  <c r="CO484" i="1"/>
  <c r="CN484" i="1"/>
  <c r="CM484" i="1"/>
  <c r="CL484" i="1"/>
  <c r="CW483" i="1"/>
  <c r="CV483" i="1"/>
  <c r="CU483" i="1"/>
  <c r="CT483" i="1"/>
  <c r="CS483" i="1"/>
  <c r="CR483" i="1"/>
  <c r="CQ483" i="1"/>
  <c r="CP483" i="1"/>
  <c r="CO483" i="1"/>
  <c r="CN483" i="1"/>
  <c r="CM483" i="1"/>
  <c r="CL483" i="1"/>
  <c r="CW482" i="1"/>
  <c r="CV482" i="1"/>
  <c r="CU482" i="1"/>
  <c r="CT482" i="1"/>
  <c r="CS482" i="1"/>
  <c r="CR482" i="1"/>
  <c r="CQ482" i="1"/>
  <c r="CP482" i="1"/>
  <c r="CO482" i="1"/>
  <c r="CN482" i="1"/>
  <c r="CM482" i="1"/>
  <c r="CL482" i="1"/>
  <c r="CW481" i="1"/>
  <c r="CV481" i="1"/>
  <c r="CU481" i="1"/>
  <c r="CT481" i="1"/>
  <c r="CS481" i="1"/>
  <c r="CR481" i="1"/>
  <c r="CQ481" i="1"/>
  <c r="CP481" i="1"/>
  <c r="CO481" i="1"/>
  <c r="CN481" i="1"/>
  <c r="CM481" i="1"/>
  <c r="CL481" i="1"/>
  <c r="CW480" i="1"/>
  <c r="CV480" i="1"/>
  <c r="CU480" i="1"/>
  <c r="CT480" i="1"/>
  <c r="CS480" i="1"/>
  <c r="CR480" i="1"/>
  <c r="CQ480" i="1"/>
  <c r="CP480" i="1"/>
  <c r="CO480" i="1"/>
  <c r="CN480" i="1"/>
  <c r="CM480" i="1"/>
  <c r="CL480" i="1"/>
  <c r="CW479" i="1"/>
  <c r="CV479" i="1"/>
  <c r="CU479" i="1"/>
  <c r="CT479" i="1"/>
  <c r="CS479" i="1"/>
  <c r="CR479" i="1"/>
  <c r="CQ479" i="1"/>
  <c r="CP479" i="1"/>
  <c r="CO479" i="1"/>
  <c r="CN479" i="1"/>
  <c r="CM479" i="1"/>
  <c r="CL479" i="1"/>
  <c r="CW478" i="1"/>
  <c r="CV478" i="1"/>
  <c r="CU478" i="1"/>
  <c r="CT478" i="1"/>
  <c r="CS478" i="1"/>
  <c r="CR478" i="1"/>
  <c r="CQ478" i="1"/>
  <c r="CP478" i="1"/>
  <c r="CO478" i="1"/>
  <c r="CN478" i="1"/>
  <c r="CM478" i="1"/>
  <c r="CL478" i="1"/>
  <c r="CW477" i="1"/>
  <c r="CV477" i="1"/>
  <c r="CU477" i="1"/>
  <c r="CT477" i="1"/>
  <c r="CS477" i="1"/>
  <c r="CR477" i="1"/>
  <c r="CQ477" i="1"/>
  <c r="CP477" i="1"/>
  <c r="CO477" i="1"/>
  <c r="CN477" i="1"/>
  <c r="CM477" i="1"/>
  <c r="CL477" i="1"/>
  <c r="CW476" i="1"/>
  <c r="CV476" i="1"/>
  <c r="CU476" i="1"/>
  <c r="CT476" i="1"/>
  <c r="CS476" i="1"/>
  <c r="CR476" i="1"/>
  <c r="CQ476" i="1"/>
  <c r="CP476" i="1"/>
  <c r="CO476" i="1"/>
  <c r="CN476" i="1"/>
  <c r="CM476" i="1"/>
  <c r="CL476" i="1"/>
  <c r="CW475" i="1"/>
  <c r="CV475" i="1"/>
  <c r="CU475" i="1"/>
  <c r="CT475" i="1"/>
  <c r="CS475" i="1"/>
  <c r="CR475" i="1"/>
  <c r="CQ475" i="1"/>
  <c r="CP475" i="1"/>
  <c r="CO475" i="1"/>
  <c r="CN475" i="1"/>
  <c r="CM475" i="1"/>
  <c r="CL475" i="1"/>
  <c r="CW474" i="1"/>
  <c r="CV474" i="1"/>
  <c r="CU474" i="1"/>
  <c r="CT474" i="1"/>
  <c r="CS474" i="1"/>
  <c r="CR474" i="1"/>
  <c r="CQ474" i="1"/>
  <c r="CP474" i="1"/>
  <c r="CO474" i="1"/>
  <c r="CN474" i="1"/>
  <c r="CM474" i="1"/>
  <c r="CL474" i="1"/>
  <c r="CW473" i="1"/>
  <c r="CV473" i="1"/>
  <c r="CU473" i="1"/>
  <c r="CT473" i="1"/>
  <c r="CS473" i="1"/>
  <c r="CR473" i="1"/>
  <c r="CQ473" i="1"/>
  <c r="CP473" i="1"/>
  <c r="CO473" i="1"/>
  <c r="CN473" i="1"/>
  <c r="CM473" i="1"/>
  <c r="CL473" i="1"/>
  <c r="CW472" i="1"/>
  <c r="CV472" i="1"/>
  <c r="CU472" i="1"/>
  <c r="CT472" i="1"/>
  <c r="CS472" i="1"/>
  <c r="CR472" i="1"/>
  <c r="CQ472" i="1"/>
  <c r="CP472" i="1"/>
  <c r="CO472" i="1"/>
  <c r="CN472" i="1"/>
  <c r="CM472" i="1"/>
  <c r="CL472" i="1"/>
  <c r="CW471" i="1"/>
  <c r="CV471" i="1"/>
  <c r="CU471" i="1"/>
  <c r="CT471" i="1"/>
  <c r="CS471" i="1"/>
  <c r="CR471" i="1"/>
  <c r="CQ471" i="1"/>
  <c r="CP471" i="1"/>
  <c r="CO471" i="1"/>
  <c r="CN471" i="1"/>
  <c r="CM471" i="1"/>
  <c r="CL471" i="1"/>
  <c r="CW470" i="1"/>
  <c r="CV470" i="1"/>
  <c r="CU470" i="1"/>
  <c r="CT470" i="1"/>
  <c r="CS470" i="1"/>
  <c r="CR470" i="1"/>
  <c r="CQ470" i="1"/>
  <c r="CP470" i="1"/>
  <c r="CO470" i="1"/>
  <c r="CN470" i="1"/>
  <c r="CM470" i="1"/>
  <c r="CL470" i="1"/>
  <c r="CW469" i="1"/>
  <c r="CV469" i="1"/>
  <c r="CU469" i="1"/>
  <c r="CT469" i="1"/>
  <c r="CS469" i="1"/>
  <c r="CR469" i="1"/>
  <c r="CQ469" i="1"/>
  <c r="CP469" i="1"/>
  <c r="CO469" i="1"/>
  <c r="CN469" i="1"/>
  <c r="CM469" i="1"/>
  <c r="CL469" i="1"/>
  <c r="CW468" i="1"/>
  <c r="CV468" i="1"/>
  <c r="CU468" i="1"/>
  <c r="CT468" i="1"/>
  <c r="CS468" i="1"/>
  <c r="CR468" i="1"/>
  <c r="CQ468" i="1"/>
  <c r="CP468" i="1"/>
  <c r="CO468" i="1"/>
  <c r="CN468" i="1"/>
  <c r="CM468" i="1"/>
  <c r="CL468" i="1"/>
  <c r="CW467" i="1"/>
  <c r="CV467" i="1"/>
  <c r="CU467" i="1"/>
  <c r="CT467" i="1"/>
  <c r="CS467" i="1"/>
  <c r="CR467" i="1"/>
  <c r="CQ467" i="1"/>
  <c r="CP467" i="1"/>
  <c r="CO467" i="1"/>
  <c r="CN467" i="1"/>
  <c r="CM467" i="1"/>
  <c r="CL467" i="1"/>
  <c r="CW466" i="1"/>
  <c r="CV466" i="1"/>
  <c r="CU466" i="1"/>
  <c r="CT466" i="1"/>
  <c r="CS466" i="1"/>
  <c r="CR466" i="1"/>
  <c r="CQ466" i="1"/>
  <c r="CP466" i="1"/>
  <c r="CO466" i="1"/>
  <c r="CN466" i="1"/>
  <c r="CM466" i="1"/>
  <c r="CL466" i="1"/>
  <c r="CW465" i="1"/>
  <c r="CV465" i="1"/>
  <c r="CU465" i="1"/>
  <c r="CT465" i="1"/>
  <c r="CS465" i="1"/>
  <c r="CR465" i="1"/>
  <c r="CQ465" i="1"/>
  <c r="CP465" i="1"/>
  <c r="CO465" i="1"/>
  <c r="CN465" i="1"/>
  <c r="CM465" i="1"/>
  <c r="CL465" i="1"/>
  <c r="CW464" i="1"/>
  <c r="CV464" i="1"/>
  <c r="CU464" i="1"/>
  <c r="CT464" i="1"/>
  <c r="CS464" i="1"/>
  <c r="CR464" i="1"/>
  <c r="CQ464" i="1"/>
  <c r="CP464" i="1"/>
  <c r="CO464" i="1"/>
  <c r="CN464" i="1"/>
  <c r="CM464" i="1"/>
  <c r="CL464" i="1"/>
  <c r="CW463" i="1"/>
  <c r="CV463" i="1"/>
  <c r="CU463" i="1"/>
  <c r="CT463" i="1"/>
  <c r="CS463" i="1"/>
  <c r="CR463" i="1"/>
  <c r="CQ463" i="1"/>
  <c r="CP463" i="1"/>
  <c r="CO463" i="1"/>
  <c r="CN463" i="1"/>
  <c r="CM463" i="1"/>
  <c r="CL463" i="1"/>
  <c r="CW462" i="1"/>
  <c r="CV462" i="1"/>
  <c r="CU462" i="1"/>
  <c r="CT462" i="1"/>
  <c r="CS462" i="1"/>
  <c r="CR462" i="1"/>
  <c r="CQ462" i="1"/>
  <c r="CP462" i="1"/>
  <c r="CO462" i="1"/>
  <c r="CN462" i="1"/>
  <c r="CM462" i="1"/>
  <c r="CL462" i="1"/>
  <c r="CW461" i="1"/>
  <c r="CV461" i="1"/>
  <c r="CU461" i="1"/>
  <c r="CT461" i="1"/>
  <c r="CS461" i="1"/>
  <c r="CR461" i="1"/>
  <c r="CQ461" i="1"/>
  <c r="CP461" i="1"/>
  <c r="CO461" i="1"/>
  <c r="CN461" i="1"/>
  <c r="CM461" i="1"/>
  <c r="CL461" i="1"/>
  <c r="CW460" i="1"/>
  <c r="CV460" i="1"/>
  <c r="CU460" i="1"/>
  <c r="CT460" i="1"/>
  <c r="CS460" i="1"/>
  <c r="CR460" i="1"/>
  <c r="CQ460" i="1"/>
  <c r="CP460" i="1"/>
  <c r="CO460" i="1"/>
  <c r="CN460" i="1"/>
  <c r="CM460" i="1"/>
  <c r="CL460" i="1"/>
  <c r="CW459" i="1"/>
  <c r="CV459" i="1"/>
  <c r="CU459" i="1"/>
  <c r="CT459" i="1"/>
  <c r="CS459" i="1"/>
  <c r="CR459" i="1"/>
  <c r="CQ459" i="1"/>
  <c r="CP459" i="1"/>
  <c r="CO459" i="1"/>
  <c r="CN459" i="1"/>
  <c r="CM459" i="1"/>
  <c r="CL459" i="1"/>
  <c r="CW458" i="1"/>
  <c r="CV458" i="1"/>
  <c r="CU458" i="1"/>
  <c r="CT458" i="1"/>
  <c r="CS458" i="1"/>
  <c r="CR458" i="1"/>
  <c r="CQ458" i="1"/>
  <c r="CP458" i="1"/>
  <c r="CO458" i="1"/>
  <c r="CN458" i="1"/>
  <c r="CM458" i="1"/>
  <c r="CL458" i="1"/>
  <c r="CW457" i="1"/>
  <c r="CV457" i="1"/>
  <c r="CU457" i="1"/>
  <c r="CT457" i="1"/>
  <c r="CS457" i="1"/>
  <c r="CR457" i="1"/>
  <c r="CQ457" i="1"/>
  <c r="CP457" i="1"/>
  <c r="CO457" i="1"/>
  <c r="CN457" i="1"/>
  <c r="CM457" i="1"/>
  <c r="CL457" i="1"/>
  <c r="CW456" i="1"/>
  <c r="CV456" i="1"/>
  <c r="CU456" i="1"/>
  <c r="CT456" i="1"/>
  <c r="CS456" i="1"/>
  <c r="CR456" i="1"/>
  <c r="CQ456" i="1"/>
  <c r="CP456" i="1"/>
  <c r="CO456" i="1"/>
  <c r="CN456" i="1"/>
  <c r="CM456" i="1"/>
  <c r="CL456" i="1"/>
  <c r="CW455" i="1"/>
  <c r="CV455" i="1"/>
  <c r="CU455" i="1"/>
  <c r="CT455" i="1"/>
  <c r="CS455" i="1"/>
  <c r="CR455" i="1"/>
  <c r="CQ455" i="1"/>
  <c r="CP455" i="1"/>
  <c r="CO455" i="1"/>
  <c r="CN455" i="1"/>
  <c r="CM455" i="1"/>
  <c r="CL455" i="1"/>
  <c r="CW454" i="1"/>
  <c r="CV454" i="1"/>
  <c r="CU454" i="1"/>
  <c r="CT454" i="1"/>
  <c r="CS454" i="1"/>
  <c r="CR454" i="1"/>
  <c r="CQ454" i="1"/>
  <c r="CP454" i="1"/>
  <c r="CO454" i="1"/>
  <c r="CN454" i="1"/>
  <c r="CM454" i="1"/>
  <c r="CL454" i="1"/>
  <c r="CW453" i="1"/>
  <c r="CV453" i="1"/>
  <c r="CU453" i="1"/>
  <c r="CT453" i="1"/>
  <c r="CS453" i="1"/>
  <c r="CR453" i="1"/>
  <c r="CQ453" i="1"/>
  <c r="CP453" i="1"/>
  <c r="CO453" i="1"/>
  <c r="CN453" i="1"/>
  <c r="CM453" i="1"/>
  <c r="CL453" i="1"/>
  <c r="CW452" i="1"/>
  <c r="CV452" i="1"/>
  <c r="CU452" i="1"/>
  <c r="CT452" i="1"/>
  <c r="CS452" i="1"/>
  <c r="CR452" i="1"/>
  <c r="CQ452" i="1"/>
  <c r="CP452" i="1"/>
  <c r="CO452" i="1"/>
  <c r="CN452" i="1"/>
  <c r="CM452" i="1"/>
  <c r="CL452" i="1"/>
  <c r="CW451" i="1"/>
  <c r="CV451" i="1"/>
  <c r="CU451" i="1"/>
  <c r="CT451" i="1"/>
  <c r="CS451" i="1"/>
  <c r="CR451" i="1"/>
  <c r="CQ451" i="1"/>
  <c r="CP451" i="1"/>
  <c r="CO451" i="1"/>
  <c r="CN451" i="1"/>
  <c r="CM451" i="1"/>
  <c r="CL451" i="1"/>
  <c r="CW450" i="1"/>
  <c r="CV450" i="1"/>
  <c r="CU450" i="1"/>
  <c r="CT450" i="1"/>
  <c r="CS450" i="1"/>
  <c r="CR450" i="1"/>
  <c r="CQ450" i="1"/>
  <c r="CP450" i="1"/>
  <c r="CO450" i="1"/>
  <c r="CN450" i="1"/>
  <c r="CM450" i="1"/>
  <c r="CL450" i="1"/>
  <c r="CW449" i="1"/>
  <c r="CV449" i="1"/>
  <c r="CU449" i="1"/>
  <c r="CT449" i="1"/>
  <c r="CS449" i="1"/>
  <c r="CR449" i="1"/>
  <c r="CQ449" i="1"/>
  <c r="CP449" i="1"/>
  <c r="CO449" i="1"/>
  <c r="CN449" i="1"/>
  <c r="CM449" i="1"/>
  <c r="CL449" i="1"/>
  <c r="CW448" i="1"/>
  <c r="CV448" i="1"/>
  <c r="CU448" i="1"/>
  <c r="CT448" i="1"/>
  <c r="CS448" i="1"/>
  <c r="CR448" i="1"/>
  <c r="CQ448" i="1"/>
  <c r="CP448" i="1"/>
  <c r="CO448" i="1"/>
  <c r="CN448" i="1"/>
  <c r="CM448" i="1"/>
  <c r="CL448" i="1"/>
  <c r="CW447" i="1"/>
  <c r="CV447" i="1"/>
  <c r="CU447" i="1"/>
  <c r="CT447" i="1"/>
  <c r="CS447" i="1"/>
  <c r="CR447" i="1"/>
  <c r="CQ447" i="1"/>
  <c r="CP447" i="1"/>
  <c r="CO447" i="1"/>
  <c r="CN447" i="1"/>
  <c r="CM447" i="1"/>
  <c r="CL447" i="1"/>
  <c r="CW446" i="1"/>
  <c r="CV446" i="1"/>
  <c r="CU446" i="1"/>
  <c r="CT446" i="1"/>
  <c r="CS446" i="1"/>
  <c r="CR446" i="1"/>
  <c r="CQ446" i="1"/>
  <c r="CP446" i="1"/>
  <c r="CO446" i="1"/>
  <c r="CN446" i="1"/>
  <c r="CM446" i="1"/>
  <c r="CL446" i="1"/>
  <c r="CW445" i="1"/>
  <c r="CV445" i="1"/>
  <c r="CU445" i="1"/>
  <c r="CT445" i="1"/>
  <c r="CS445" i="1"/>
  <c r="CR445" i="1"/>
  <c r="CQ445" i="1"/>
  <c r="CP445" i="1"/>
  <c r="CO445" i="1"/>
  <c r="CN445" i="1"/>
  <c r="CM445" i="1"/>
  <c r="CL445" i="1"/>
  <c r="CW444" i="1"/>
  <c r="CV444" i="1"/>
  <c r="CU444" i="1"/>
  <c r="CT444" i="1"/>
  <c r="CS444" i="1"/>
  <c r="CR444" i="1"/>
  <c r="CQ444" i="1"/>
  <c r="CP444" i="1"/>
  <c r="CO444" i="1"/>
  <c r="CN444" i="1"/>
  <c r="CM444" i="1"/>
  <c r="CL444" i="1"/>
  <c r="CW443" i="1"/>
  <c r="CV443" i="1"/>
  <c r="CU443" i="1"/>
  <c r="CT443" i="1"/>
  <c r="CS443" i="1"/>
  <c r="CR443" i="1"/>
  <c r="CQ443" i="1"/>
  <c r="CP443" i="1"/>
  <c r="CO443" i="1"/>
  <c r="CN443" i="1"/>
  <c r="CM443" i="1"/>
  <c r="CL443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W441" i="1"/>
  <c r="CV441" i="1"/>
  <c r="CU441" i="1"/>
  <c r="CT441" i="1"/>
  <c r="CS441" i="1"/>
  <c r="CR441" i="1"/>
  <c r="CQ441" i="1"/>
  <c r="CP441" i="1"/>
  <c r="CO441" i="1"/>
  <c r="CN441" i="1"/>
  <c r="CM441" i="1"/>
  <c r="CL441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W439" i="1"/>
  <c r="CV439" i="1"/>
  <c r="CU439" i="1"/>
  <c r="CT439" i="1"/>
  <c r="CS439" i="1"/>
  <c r="CR439" i="1"/>
  <c r="CQ439" i="1"/>
  <c r="CP439" i="1"/>
  <c r="CO439" i="1"/>
  <c r="CN439" i="1"/>
  <c r="CM439" i="1"/>
  <c r="CL439" i="1"/>
  <c r="CW438" i="1"/>
  <c r="CV438" i="1"/>
  <c r="CU438" i="1"/>
  <c r="CT438" i="1"/>
  <c r="CS438" i="1"/>
  <c r="CR438" i="1"/>
  <c r="CQ438" i="1"/>
  <c r="CP438" i="1"/>
  <c r="CO438" i="1"/>
  <c r="CN438" i="1"/>
  <c r="CM438" i="1"/>
  <c r="CL438" i="1"/>
  <c r="CW437" i="1"/>
  <c r="CV437" i="1"/>
  <c r="CU437" i="1"/>
  <c r="CT437" i="1"/>
  <c r="CS437" i="1"/>
  <c r="CR437" i="1"/>
  <c r="CQ437" i="1"/>
  <c r="CP437" i="1"/>
  <c r="CO437" i="1"/>
  <c r="CN437" i="1"/>
  <c r="CM437" i="1"/>
  <c r="CL437" i="1"/>
  <c r="CW436" i="1"/>
  <c r="CV436" i="1"/>
  <c r="CU436" i="1"/>
  <c r="CT436" i="1"/>
  <c r="CS436" i="1"/>
  <c r="CR436" i="1"/>
  <c r="CQ436" i="1"/>
  <c r="CP436" i="1"/>
  <c r="CO436" i="1"/>
  <c r="CN436" i="1"/>
  <c r="CM436" i="1"/>
  <c r="CL436" i="1"/>
  <c r="CW435" i="1"/>
  <c r="CV435" i="1"/>
  <c r="CU435" i="1"/>
  <c r="CT435" i="1"/>
  <c r="CS435" i="1"/>
  <c r="CR435" i="1"/>
  <c r="CQ435" i="1"/>
  <c r="CP435" i="1"/>
  <c r="CO435" i="1"/>
  <c r="CN435" i="1"/>
  <c r="CM435" i="1"/>
  <c r="CL435" i="1"/>
  <c r="CW434" i="1"/>
  <c r="CV434" i="1"/>
  <c r="CU434" i="1"/>
  <c r="CT434" i="1"/>
  <c r="CS434" i="1"/>
  <c r="CR434" i="1"/>
  <c r="CQ434" i="1"/>
  <c r="CP434" i="1"/>
  <c r="CO434" i="1"/>
  <c r="CN434" i="1"/>
  <c r="CM434" i="1"/>
  <c r="CL434" i="1"/>
  <c r="CW433" i="1"/>
  <c r="CV433" i="1"/>
  <c r="CU433" i="1"/>
  <c r="CT433" i="1"/>
  <c r="CS433" i="1"/>
  <c r="CR433" i="1"/>
  <c r="CQ433" i="1"/>
  <c r="CP433" i="1"/>
  <c r="CO433" i="1"/>
  <c r="CN433" i="1"/>
  <c r="CM433" i="1"/>
  <c r="CL433" i="1"/>
  <c r="CW432" i="1"/>
  <c r="CV432" i="1"/>
  <c r="CU432" i="1"/>
  <c r="CT432" i="1"/>
  <c r="CS432" i="1"/>
  <c r="CR432" i="1"/>
  <c r="CQ432" i="1"/>
  <c r="CP432" i="1"/>
  <c r="CO432" i="1"/>
  <c r="CN432" i="1"/>
  <c r="CM432" i="1"/>
  <c r="CL432" i="1"/>
  <c r="CW431" i="1"/>
  <c r="CV431" i="1"/>
  <c r="CU431" i="1"/>
  <c r="CT431" i="1"/>
  <c r="CS431" i="1"/>
  <c r="CR431" i="1"/>
  <c r="CQ431" i="1"/>
  <c r="CP431" i="1"/>
  <c r="CO431" i="1"/>
  <c r="CN431" i="1"/>
  <c r="CM431" i="1"/>
  <c r="CL431" i="1"/>
  <c r="CW430" i="1"/>
  <c r="CV430" i="1"/>
  <c r="CU430" i="1"/>
  <c r="CT430" i="1"/>
  <c r="CS430" i="1"/>
  <c r="CR430" i="1"/>
  <c r="CQ430" i="1"/>
  <c r="CP430" i="1"/>
  <c r="CO430" i="1"/>
  <c r="CN430" i="1"/>
  <c r="CM430" i="1"/>
  <c r="CL430" i="1"/>
  <c r="CW429" i="1"/>
  <c r="CV429" i="1"/>
  <c r="CU429" i="1"/>
  <c r="CT429" i="1"/>
  <c r="CS429" i="1"/>
  <c r="CR429" i="1"/>
  <c r="CQ429" i="1"/>
  <c r="CP429" i="1"/>
  <c r="CO429" i="1"/>
  <c r="CN429" i="1"/>
  <c r="CM429" i="1"/>
  <c r="CL429" i="1"/>
  <c r="CW428" i="1"/>
  <c r="CV428" i="1"/>
  <c r="CU428" i="1"/>
  <c r="CT428" i="1"/>
  <c r="CS428" i="1"/>
  <c r="CR428" i="1"/>
  <c r="CQ428" i="1"/>
  <c r="CP428" i="1"/>
  <c r="CO428" i="1"/>
  <c r="CN428" i="1"/>
  <c r="CM428" i="1"/>
  <c r="CL428" i="1"/>
  <c r="CW427" i="1"/>
  <c r="CV427" i="1"/>
  <c r="CU427" i="1"/>
  <c r="CT427" i="1"/>
  <c r="CS427" i="1"/>
  <c r="CR427" i="1"/>
  <c r="CQ427" i="1"/>
  <c r="CP427" i="1"/>
  <c r="CO427" i="1"/>
  <c r="CN427" i="1"/>
  <c r="CM427" i="1"/>
  <c r="CL427" i="1"/>
  <c r="CW426" i="1"/>
  <c r="CV426" i="1"/>
  <c r="CU426" i="1"/>
  <c r="CT426" i="1"/>
  <c r="CS426" i="1"/>
  <c r="CR426" i="1"/>
  <c r="CQ426" i="1"/>
  <c r="CP426" i="1"/>
  <c r="CO426" i="1"/>
  <c r="CN426" i="1"/>
  <c r="CM426" i="1"/>
  <c r="CL426" i="1"/>
  <c r="CW425" i="1"/>
  <c r="CV425" i="1"/>
  <c r="CU425" i="1"/>
  <c r="CT425" i="1"/>
  <c r="CS425" i="1"/>
  <c r="CR425" i="1"/>
  <c r="CQ425" i="1"/>
  <c r="CP425" i="1"/>
  <c r="CO425" i="1"/>
  <c r="CN425" i="1"/>
  <c r="CM425" i="1"/>
  <c r="CL425" i="1"/>
  <c r="CW424" i="1"/>
  <c r="CV424" i="1"/>
  <c r="CU424" i="1"/>
  <c r="CT424" i="1"/>
  <c r="CS424" i="1"/>
  <c r="CR424" i="1"/>
  <c r="CQ424" i="1"/>
  <c r="CP424" i="1"/>
  <c r="CO424" i="1"/>
  <c r="CN424" i="1"/>
  <c r="CM424" i="1"/>
  <c r="CL424" i="1"/>
  <c r="CW423" i="1"/>
  <c r="CV423" i="1"/>
  <c r="CU423" i="1"/>
  <c r="CT423" i="1"/>
  <c r="CS423" i="1"/>
  <c r="CR423" i="1"/>
  <c r="CQ423" i="1"/>
  <c r="CP423" i="1"/>
  <c r="CO423" i="1"/>
  <c r="CN423" i="1"/>
  <c r="CM423" i="1"/>
  <c r="CL423" i="1"/>
  <c r="CW422" i="1"/>
  <c r="CV422" i="1"/>
  <c r="CU422" i="1"/>
  <c r="CT422" i="1"/>
  <c r="CS422" i="1"/>
  <c r="CR422" i="1"/>
  <c r="CQ422" i="1"/>
  <c r="CP422" i="1"/>
  <c r="CO422" i="1"/>
  <c r="CN422" i="1"/>
  <c r="CM422" i="1"/>
  <c r="CL422" i="1"/>
  <c r="CW421" i="1"/>
  <c r="CV421" i="1"/>
  <c r="CU421" i="1"/>
  <c r="CT421" i="1"/>
  <c r="CS421" i="1"/>
  <c r="CR421" i="1"/>
  <c r="CQ421" i="1"/>
  <c r="CP421" i="1"/>
  <c r="CO421" i="1"/>
  <c r="CN421" i="1"/>
  <c r="CM421" i="1"/>
  <c r="CL421" i="1"/>
  <c r="CW420" i="1"/>
  <c r="CV420" i="1"/>
  <c r="CU420" i="1"/>
  <c r="CT420" i="1"/>
  <c r="CS420" i="1"/>
  <c r="CR420" i="1"/>
  <c r="CQ420" i="1"/>
  <c r="CP420" i="1"/>
  <c r="CO420" i="1"/>
  <c r="CN420" i="1"/>
  <c r="CM420" i="1"/>
  <c r="CL420" i="1"/>
  <c r="CW419" i="1"/>
  <c r="CV419" i="1"/>
  <c r="CU419" i="1"/>
  <c r="CT419" i="1"/>
  <c r="CS419" i="1"/>
  <c r="CR419" i="1"/>
  <c r="CQ419" i="1"/>
  <c r="CP419" i="1"/>
  <c r="CO419" i="1"/>
  <c r="CN419" i="1"/>
  <c r="CM419" i="1"/>
  <c r="CL419" i="1"/>
  <c r="CW418" i="1"/>
  <c r="CV418" i="1"/>
  <c r="CU418" i="1"/>
  <c r="CT418" i="1"/>
  <c r="CS418" i="1"/>
  <c r="CR418" i="1"/>
  <c r="CQ418" i="1"/>
  <c r="CP418" i="1"/>
  <c r="CO418" i="1"/>
  <c r="CN418" i="1"/>
  <c r="CM418" i="1"/>
  <c r="CL418" i="1"/>
  <c r="CW417" i="1"/>
  <c r="CV417" i="1"/>
  <c r="CU417" i="1"/>
  <c r="CT417" i="1"/>
  <c r="CS417" i="1"/>
  <c r="CR417" i="1"/>
  <c r="CQ417" i="1"/>
  <c r="CP417" i="1"/>
  <c r="CO417" i="1"/>
  <c r="CN417" i="1"/>
  <c r="CM417" i="1"/>
  <c r="CL417" i="1"/>
  <c r="CW416" i="1"/>
  <c r="CV416" i="1"/>
  <c r="CU416" i="1"/>
  <c r="CT416" i="1"/>
  <c r="CS416" i="1"/>
  <c r="CR416" i="1"/>
  <c r="CQ416" i="1"/>
  <c r="CP416" i="1"/>
  <c r="CO416" i="1"/>
  <c r="CN416" i="1"/>
  <c r="CM416" i="1"/>
  <c r="CL416" i="1"/>
  <c r="CW415" i="1"/>
  <c r="CV415" i="1"/>
  <c r="CU415" i="1"/>
  <c r="CT415" i="1"/>
  <c r="CS415" i="1"/>
  <c r="CR415" i="1"/>
  <c r="CQ415" i="1"/>
  <c r="CP415" i="1"/>
  <c r="CO415" i="1"/>
  <c r="CN415" i="1"/>
  <c r="CM415" i="1"/>
  <c r="CL415" i="1"/>
  <c r="CW414" i="1"/>
  <c r="CV414" i="1"/>
  <c r="CU414" i="1"/>
  <c r="CT414" i="1"/>
  <c r="CS414" i="1"/>
  <c r="CR414" i="1"/>
  <c r="CQ414" i="1"/>
  <c r="CP414" i="1"/>
  <c r="CO414" i="1"/>
  <c r="CN414" i="1"/>
  <c r="CM414" i="1"/>
  <c r="CL414" i="1"/>
  <c r="CW413" i="1"/>
  <c r="CV413" i="1"/>
  <c r="CU413" i="1"/>
  <c r="CT413" i="1"/>
  <c r="CS413" i="1"/>
  <c r="CR413" i="1"/>
  <c r="CQ413" i="1"/>
  <c r="CP413" i="1"/>
  <c r="CO413" i="1"/>
  <c r="CN413" i="1"/>
  <c r="CM413" i="1"/>
  <c r="CL413" i="1"/>
  <c r="CW412" i="1"/>
  <c r="CV412" i="1"/>
  <c r="CU412" i="1"/>
  <c r="CT412" i="1"/>
  <c r="CS412" i="1"/>
  <c r="CR412" i="1"/>
  <c r="CQ412" i="1"/>
  <c r="CP412" i="1"/>
  <c r="CO412" i="1"/>
  <c r="CN412" i="1"/>
  <c r="CM412" i="1"/>
  <c r="CL412" i="1"/>
  <c r="CW411" i="1"/>
  <c r="CV411" i="1"/>
  <c r="CU411" i="1"/>
  <c r="CT411" i="1"/>
  <c r="CS411" i="1"/>
  <c r="CR411" i="1"/>
  <c r="CQ411" i="1"/>
  <c r="CP411" i="1"/>
  <c r="CO411" i="1"/>
  <c r="CN411" i="1"/>
  <c r="CM411" i="1"/>
  <c r="CL411" i="1"/>
  <c r="CW410" i="1"/>
  <c r="CV410" i="1"/>
  <c r="CU410" i="1"/>
  <c r="CT410" i="1"/>
  <c r="CS410" i="1"/>
  <c r="CR410" i="1"/>
  <c r="CQ410" i="1"/>
  <c r="CP410" i="1"/>
  <c r="CO410" i="1"/>
  <c r="CN410" i="1"/>
  <c r="CM410" i="1"/>
  <c r="CL410" i="1"/>
  <c r="CW409" i="1"/>
  <c r="CV409" i="1"/>
  <c r="CU409" i="1"/>
  <c r="CT409" i="1"/>
  <c r="CS409" i="1"/>
  <c r="CR409" i="1"/>
  <c r="CQ409" i="1"/>
  <c r="CP409" i="1"/>
  <c r="CO409" i="1"/>
  <c r="CN409" i="1"/>
  <c r="CM409" i="1"/>
  <c r="CL409" i="1"/>
  <c r="CW408" i="1"/>
  <c r="CV408" i="1"/>
  <c r="CU408" i="1"/>
  <c r="CT408" i="1"/>
  <c r="CS408" i="1"/>
  <c r="CR408" i="1"/>
  <c r="CQ408" i="1"/>
  <c r="CP408" i="1"/>
  <c r="CO408" i="1"/>
  <c r="CN408" i="1"/>
  <c r="CM408" i="1"/>
  <c r="CL408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W405" i="1"/>
  <c r="CV405" i="1"/>
  <c r="CU405" i="1"/>
  <c r="CT405" i="1"/>
  <c r="CS405" i="1"/>
  <c r="CR405" i="1"/>
  <c r="CQ405" i="1"/>
  <c r="CP405" i="1"/>
  <c r="CO405" i="1"/>
  <c r="CN405" i="1"/>
  <c r="CM405" i="1"/>
  <c r="CL405" i="1"/>
  <c r="CW404" i="1"/>
  <c r="CV404" i="1"/>
  <c r="CU404" i="1"/>
  <c r="CT404" i="1"/>
  <c r="CS404" i="1"/>
  <c r="CR404" i="1"/>
  <c r="CQ404" i="1"/>
  <c r="CP404" i="1"/>
  <c r="CO404" i="1"/>
  <c r="CN404" i="1"/>
  <c r="CM404" i="1"/>
  <c r="CL404" i="1"/>
  <c r="CW403" i="1"/>
  <c r="CV403" i="1"/>
  <c r="CU403" i="1"/>
  <c r="CT403" i="1"/>
  <c r="CS403" i="1"/>
  <c r="CR403" i="1"/>
  <c r="CQ403" i="1"/>
  <c r="CP403" i="1"/>
  <c r="CO403" i="1"/>
  <c r="CN403" i="1"/>
  <c r="CM403" i="1"/>
  <c r="CL403" i="1"/>
  <c r="CW402" i="1"/>
  <c r="CV402" i="1"/>
  <c r="CU402" i="1"/>
  <c r="CT402" i="1"/>
  <c r="CS402" i="1"/>
  <c r="CR402" i="1"/>
  <c r="CQ402" i="1"/>
  <c r="CP402" i="1"/>
  <c r="CO402" i="1"/>
  <c r="CN402" i="1"/>
  <c r="CM402" i="1"/>
  <c r="CL402" i="1"/>
  <c r="CW401" i="1"/>
  <c r="CV401" i="1"/>
  <c r="CU401" i="1"/>
  <c r="CT401" i="1"/>
  <c r="CS401" i="1"/>
  <c r="CR401" i="1"/>
  <c r="CQ401" i="1"/>
  <c r="CP401" i="1"/>
  <c r="CO401" i="1"/>
  <c r="CN401" i="1"/>
  <c r="CM401" i="1"/>
  <c r="CL401" i="1"/>
  <c r="CW400" i="1"/>
  <c r="CV400" i="1"/>
  <c r="CU400" i="1"/>
  <c r="CT400" i="1"/>
  <c r="CS400" i="1"/>
  <c r="CR400" i="1"/>
  <c r="CQ400" i="1"/>
  <c r="CP400" i="1"/>
  <c r="CO400" i="1"/>
  <c r="CN400" i="1"/>
  <c r="CM400" i="1"/>
  <c r="CL400" i="1"/>
  <c r="CW399" i="1"/>
  <c r="CV399" i="1"/>
  <c r="CU399" i="1"/>
  <c r="CT399" i="1"/>
  <c r="CS399" i="1"/>
  <c r="CR399" i="1"/>
  <c r="CQ399" i="1"/>
  <c r="CP399" i="1"/>
  <c r="CO399" i="1"/>
  <c r="CN399" i="1"/>
  <c r="CM399" i="1"/>
  <c r="CL399" i="1"/>
  <c r="CW398" i="1"/>
  <c r="CV398" i="1"/>
  <c r="CU398" i="1"/>
  <c r="CT398" i="1"/>
  <c r="CS398" i="1"/>
  <c r="CR398" i="1"/>
  <c r="CQ398" i="1"/>
  <c r="CP398" i="1"/>
  <c r="CO398" i="1"/>
  <c r="CN398" i="1"/>
  <c r="CM398" i="1"/>
  <c r="CL398" i="1"/>
  <c r="CW397" i="1"/>
  <c r="CV397" i="1"/>
  <c r="CU397" i="1"/>
  <c r="CT397" i="1"/>
  <c r="CS397" i="1"/>
  <c r="CR397" i="1"/>
  <c r="CQ397" i="1"/>
  <c r="CP397" i="1"/>
  <c r="CO397" i="1"/>
  <c r="CN397" i="1"/>
  <c r="CM397" i="1"/>
  <c r="CL397" i="1"/>
  <c r="CW396" i="1"/>
  <c r="CV396" i="1"/>
  <c r="CU396" i="1"/>
  <c r="CT396" i="1"/>
  <c r="CS396" i="1"/>
  <c r="CR396" i="1"/>
  <c r="CQ396" i="1"/>
  <c r="CP396" i="1"/>
  <c r="CO396" i="1"/>
  <c r="CN396" i="1"/>
  <c r="CM396" i="1"/>
  <c r="CL396" i="1"/>
  <c r="CW395" i="1"/>
  <c r="CV395" i="1"/>
  <c r="CU395" i="1"/>
  <c r="CT395" i="1"/>
  <c r="CS395" i="1"/>
  <c r="CR395" i="1"/>
  <c r="CQ395" i="1"/>
  <c r="CP395" i="1"/>
  <c r="CO395" i="1"/>
  <c r="CN395" i="1"/>
  <c r="CM395" i="1"/>
  <c r="CL395" i="1"/>
  <c r="CW394" i="1"/>
  <c r="CV394" i="1"/>
  <c r="CU394" i="1"/>
  <c r="CT394" i="1"/>
  <c r="CS394" i="1"/>
  <c r="CR394" i="1"/>
  <c r="CQ394" i="1"/>
  <c r="CP394" i="1"/>
  <c r="CO394" i="1"/>
  <c r="CN394" i="1"/>
  <c r="CM394" i="1"/>
  <c r="CL394" i="1"/>
  <c r="CW393" i="1"/>
  <c r="CV393" i="1"/>
  <c r="CU393" i="1"/>
  <c r="CT393" i="1"/>
  <c r="CS393" i="1"/>
  <c r="CR393" i="1"/>
  <c r="CQ393" i="1"/>
  <c r="CP393" i="1"/>
  <c r="CO393" i="1"/>
  <c r="CN393" i="1"/>
  <c r="CM393" i="1"/>
  <c r="CL393" i="1"/>
  <c r="CW392" i="1"/>
  <c r="CV392" i="1"/>
  <c r="CU392" i="1"/>
  <c r="CT392" i="1"/>
  <c r="CS392" i="1"/>
  <c r="CR392" i="1"/>
  <c r="CQ392" i="1"/>
  <c r="CP392" i="1"/>
  <c r="CO392" i="1"/>
  <c r="CN392" i="1"/>
  <c r="CM392" i="1"/>
  <c r="CL392" i="1"/>
  <c r="CW391" i="1"/>
  <c r="CV391" i="1"/>
  <c r="CU391" i="1"/>
  <c r="CT391" i="1"/>
  <c r="CS391" i="1"/>
  <c r="CR391" i="1"/>
  <c r="CQ391" i="1"/>
  <c r="CP391" i="1"/>
  <c r="CO391" i="1"/>
  <c r="CN391" i="1"/>
  <c r="CM391" i="1"/>
  <c r="CL391" i="1"/>
  <c r="CW390" i="1"/>
  <c r="CV390" i="1"/>
  <c r="CU390" i="1"/>
  <c r="CT390" i="1"/>
  <c r="CS390" i="1"/>
  <c r="CR390" i="1"/>
  <c r="CQ390" i="1"/>
  <c r="CP390" i="1"/>
  <c r="CO390" i="1"/>
  <c r="CN390" i="1"/>
  <c r="CM390" i="1"/>
  <c r="CL390" i="1"/>
  <c r="CW389" i="1"/>
  <c r="CV389" i="1"/>
  <c r="CU389" i="1"/>
  <c r="CT389" i="1"/>
  <c r="CS389" i="1"/>
  <c r="CR389" i="1"/>
  <c r="CQ389" i="1"/>
  <c r="CP389" i="1"/>
  <c r="CO389" i="1"/>
  <c r="CN389" i="1"/>
  <c r="CM389" i="1"/>
  <c r="CL389" i="1"/>
  <c r="CW388" i="1"/>
  <c r="CV388" i="1"/>
  <c r="CU388" i="1"/>
  <c r="CT388" i="1"/>
  <c r="CS388" i="1"/>
  <c r="CR388" i="1"/>
  <c r="CQ388" i="1"/>
  <c r="CP388" i="1"/>
  <c r="CO388" i="1"/>
  <c r="CN388" i="1"/>
  <c r="CM388" i="1"/>
  <c r="CL388" i="1"/>
  <c r="CW387" i="1"/>
  <c r="CV387" i="1"/>
  <c r="CU387" i="1"/>
  <c r="CT387" i="1"/>
  <c r="CS387" i="1"/>
  <c r="CR387" i="1"/>
  <c r="CQ387" i="1"/>
  <c r="CP387" i="1"/>
  <c r="CO387" i="1"/>
  <c r="CN387" i="1"/>
  <c r="CM387" i="1"/>
  <c r="CL387" i="1"/>
  <c r="CW386" i="1"/>
  <c r="CV386" i="1"/>
  <c r="CU386" i="1"/>
  <c r="CT386" i="1"/>
  <c r="CS386" i="1"/>
  <c r="CR386" i="1"/>
  <c r="CQ386" i="1"/>
  <c r="CP386" i="1"/>
  <c r="CO386" i="1"/>
  <c r="CN386" i="1"/>
  <c r="CM386" i="1"/>
  <c r="CL386" i="1"/>
  <c r="CW385" i="1"/>
  <c r="CV385" i="1"/>
  <c r="CU385" i="1"/>
  <c r="CT385" i="1"/>
  <c r="CS385" i="1"/>
  <c r="CR385" i="1"/>
  <c r="CQ385" i="1"/>
  <c r="CP385" i="1"/>
  <c r="CO385" i="1"/>
  <c r="CN385" i="1"/>
  <c r="CM385" i="1"/>
  <c r="CL385" i="1"/>
  <c r="CW384" i="1"/>
  <c r="CV384" i="1"/>
  <c r="CU384" i="1"/>
  <c r="CT384" i="1"/>
  <c r="CS384" i="1"/>
  <c r="CR384" i="1"/>
  <c r="CQ384" i="1"/>
  <c r="CP384" i="1"/>
  <c r="CO384" i="1"/>
  <c r="CN384" i="1"/>
  <c r="CM384" i="1"/>
  <c r="CL384" i="1"/>
  <c r="CW383" i="1"/>
  <c r="CV383" i="1"/>
  <c r="CU383" i="1"/>
  <c r="CT383" i="1"/>
  <c r="CS383" i="1"/>
  <c r="CR383" i="1"/>
  <c r="CQ383" i="1"/>
  <c r="CP383" i="1"/>
  <c r="CO383" i="1"/>
  <c r="CN383" i="1"/>
  <c r="CM383" i="1"/>
  <c r="CL383" i="1"/>
  <c r="CW382" i="1"/>
  <c r="CV382" i="1"/>
  <c r="CU382" i="1"/>
  <c r="CT382" i="1"/>
  <c r="CS382" i="1"/>
  <c r="CR382" i="1"/>
  <c r="CQ382" i="1"/>
  <c r="CP382" i="1"/>
  <c r="CO382" i="1"/>
  <c r="CN382" i="1"/>
  <c r="CM382" i="1"/>
  <c r="CL382" i="1"/>
  <c r="CW381" i="1"/>
  <c r="CV381" i="1"/>
  <c r="CU381" i="1"/>
  <c r="CT381" i="1"/>
  <c r="CS381" i="1"/>
  <c r="CR381" i="1"/>
  <c r="CQ381" i="1"/>
  <c r="CP381" i="1"/>
  <c r="CO381" i="1"/>
  <c r="CN381" i="1"/>
  <c r="CM381" i="1"/>
  <c r="CL381" i="1"/>
  <c r="CW380" i="1"/>
  <c r="CV380" i="1"/>
  <c r="CU380" i="1"/>
  <c r="CT380" i="1"/>
  <c r="CS380" i="1"/>
  <c r="CR380" i="1"/>
  <c r="CQ380" i="1"/>
  <c r="CP380" i="1"/>
  <c r="CO380" i="1"/>
  <c r="CN380" i="1"/>
  <c r="CM380" i="1"/>
  <c r="CL380" i="1"/>
  <c r="CW379" i="1"/>
  <c r="CV379" i="1"/>
  <c r="CU379" i="1"/>
  <c r="CT379" i="1"/>
  <c r="CS379" i="1"/>
  <c r="CR379" i="1"/>
  <c r="CQ379" i="1"/>
  <c r="CP379" i="1"/>
  <c r="CO379" i="1"/>
  <c r="CN379" i="1"/>
  <c r="CM379" i="1"/>
  <c r="CL379" i="1"/>
  <c r="CW378" i="1"/>
  <c r="CV378" i="1"/>
  <c r="CU378" i="1"/>
  <c r="CT378" i="1"/>
  <c r="CS378" i="1"/>
  <c r="CR378" i="1"/>
  <c r="CQ378" i="1"/>
  <c r="CP378" i="1"/>
  <c r="CO378" i="1"/>
  <c r="CN378" i="1"/>
  <c r="CM378" i="1"/>
  <c r="CL378" i="1"/>
  <c r="CW377" i="1"/>
  <c r="CV377" i="1"/>
  <c r="CU377" i="1"/>
  <c r="CT377" i="1"/>
  <c r="CS377" i="1"/>
  <c r="CR377" i="1"/>
  <c r="CQ377" i="1"/>
  <c r="CP377" i="1"/>
  <c r="CO377" i="1"/>
  <c r="CN377" i="1"/>
  <c r="CM377" i="1"/>
  <c r="CL377" i="1"/>
  <c r="CW376" i="1"/>
  <c r="CV376" i="1"/>
  <c r="CU376" i="1"/>
  <c r="CT376" i="1"/>
  <c r="CS376" i="1"/>
  <c r="CR376" i="1"/>
  <c r="CQ376" i="1"/>
  <c r="CP376" i="1"/>
  <c r="CO376" i="1"/>
  <c r="CN376" i="1"/>
  <c r="CM376" i="1"/>
  <c r="CL376" i="1"/>
  <c r="CW375" i="1"/>
  <c r="CV375" i="1"/>
  <c r="CU375" i="1"/>
  <c r="CT375" i="1"/>
  <c r="CS375" i="1"/>
  <c r="CR375" i="1"/>
  <c r="CQ375" i="1"/>
  <c r="CP375" i="1"/>
  <c r="CO375" i="1"/>
  <c r="CN375" i="1"/>
  <c r="CM375" i="1"/>
  <c r="CL375" i="1"/>
  <c r="CW374" i="1"/>
  <c r="CV374" i="1"/>
  <c r="CU374" i="1"/>
  <c r="CT374" i="1"/>
  <c r="CS374" i="1"/>
  <c r="CR374" i="1"/>
  <c r="CQ374" i="1"/>
  <c r="CP374" i="1"/>
  <c r="CO374" i="1"/>
  <c r="CN374" i="1"/>
  <c r="CM374" i="1"/>
  <c r="CL374" i="1"/>
  <c r="CW373" i="1"/>
  <c r="CV373" i="1"/>
  <c r="CU373" i="1"/>
  <c r="CT373" i="1"/>
  <c r="CS373" i="1"/>
  <c r="CR373" i="1"/>
  <c r="CQ373" i="1"/>
  <c r="CP373" i="1"/>
  <c r="CO373" i="1"/>
  <c r="CN373" i="1"/>
  <c r="CM373" i="1"/>
  <c r="CL373" i="1"/>
  <c r="CW372" i="1"/>
  <c r="CV372" i="1"/>
  <c r="CU372" i="1"/>
  <c r="CT372" i="1"/>
  <c r="CS372" i="1"/>
  <c r="CR372" i="1"/>
  <c r="CQ372" i="1"/>
  <c r="CP372" i="1"/>
  <c r="CO372" i="1"/>
  <c r="CN372" i="1"/>
  <c r="CM372" i="1"/>
  <c r="CL372" i="1"/>
  <c r="CW371" i="1"/>
  <c r="CV371" i="1"/>
  <c r="CU371" i="1"/>
  <c r="CT371" i="1"/>
  <c r="CS371" i="1"/>
  <c r="CR371" i="1"/>
  <c r="CQ371" i="1"/>
  <c r="CP371" i="1"/>
  <c r="CO371" i="1"/>
  <c r="CN371" i="1"/>
  <c r="CM371" i="1"/>
  <c r="CL371" i="1"/>
  <c r="CW370" i="1"/>
  <c r="CV370" i="1"/>
  <c r="CU370" i="1"/>
  <c r="CT370" i="1"/>
  <c r="CS370" i="1"/>
  <c r="CR370" i="1"/>
  <c r="CQ370" i="1"/>
  <c r="CP370" i="1"/>
  <c r="CO370" i="1"/>
  <c r="CN370" i="1"/>
  <c r="CM370" i="1"/>
  <c r="CL370" i="1"/>
  <c r="CW369" i="1"/>
  <c r="CV369" i="1"/>
  <c r="CU369" i="1"/>
  <c r="CT369" i="1"/>
  <c r="CS369" i="1"/>
  <c r="CR369" i="1"/>
  <c r="CQ369" i="1"/>
  <c r="CP369" i="1"/>
  <c r="CO369" i="1"/>
  <c r="CN369" i="1"/>
  <c r="CM369" i="1"/>
  <c r="CL369" i="1"/>
  <c r="CW368" i="1"/>
  <c r="CV368" i="1"/>
  <c r="CU368" i="1"/>
  <c r="CT368" i="1"/>
  <c r="CS368" i="1"/>
  <c r="CR368" i="1"/>
  <c r="CQ368" i="1"/>
  <c r="CP368" i="1"/>
  <c r="CO368" i="1"/>
  <c r="CN368" i="1"/>
  <c r="CM368" i="1"/>
  <c r="CL368" i="1"/>
  <c r="CW367" i="1"/>
  <c r="CV367" i="1"/>
  <c r="CU367" i="1"/>
  <c r="CT367" i="1"/>
  <c r="CS367" i="1"/>
  <c r="CR367" i="1"/>
  <c r="CQ367" i="1"/>
  <c r="CP367" i="1"/>
  <c r="CO367" i="1"/>
  <c r="CN367" i="1"/>
  <c r="CM367" i="1"/>
  <c r="CL367" i="1"/>
  <c r="CW366" i="1"/>
  <c r="CV366" i="1"/>
  <c r="CU366" i="1"/>
  <c r="CT366" i="1"/>
  <c r="CS366" i="1"/>
  <c r="CR366" i="1"/>
  <c r="CQ366" i="1"/>
  <c r="CP366" i="1"/>
  <c r="CO366" i="1"/>
  <c r="CN366" i="1"/>
  <c r="CM366" i="1"/>
  <c r="CL366" i="1"/>
  <c r="CW365" i="1"/>
  <c r="CV365" i="1"/>
  <c r="CU365" i="1"/>
  <c r="CT365" i="1"/>
  <c r="CS365" i="1"/>
  <c r="CR365" i="1"/>
  <c r="CQ365" i="1"/>
  <c r="CP365" i="1"/>
  <c r="CO365" i="1"/>
  <c r="CN365" i="1"/>
  <c r="CM365" i="1"/>
  <c r="CL365" i="1"/>
  <c r="CW364" i="1"/>
  <c r="CV364" i="1"/>
  <c r="CU364" i="1"/>
  <c r="CT364" i="1"/>
  <c r="CS364" i="1"/>
  <c r="CR364" i="1"/>
  <c r="CQ364" i="1"/>
  <c r="CP364" i="1"/>
  <c r="CO364" i="1"/>
  <c r="CN364" i="1"/>
  <c r="CM364" i="1"/>
  <c r="CL364" i="1"/>
  <c r="CW363" i="1"/>
  <c r="CV363" i="1"/>
  <c r="CU363" i="1"/>
  <c r="CT363" i="1"/>
  <c r="CS363" i="1"/>
  <c r="CR363" i="1"/>
  <c r="CQ363" i="1"/>
  <c r="CP363" i="1"/>
  <c r="CO363" i="1"/>
  <c r="CN363" i="1"/>
  <c r="CM363" i="1"/>
  <c r="CL363" i="1"/>
  <c r="CW362" i="1"/>
  <c r="CV362" i="1"/>
  <c r="CU362" i="1"/>
  <c r="CT362" i="1"/>
  <c r="CS362" i="1"/>
  <c r="CR362" i="1"/>
  <c r="CQ362" i="1"/>
  <c r="CP362" i="1"/>
  <c r="CO362" i="1"/>
  <c r="CN362" i="1"/>
  <c r="CM362" i="1"/>
  <c r="CL362" i="1"/>
  <c r="CW361" i="1"/>
  <c r="CV361" i="1"/>
  <c r="CU361" i="1"/>
  <c r="CT361" i="1"/>
  <c r="CS361" i="1"/>
  <c r="CR361" i="1"/>
  <c r="CQ361" i="1"/>
  <c r="CP361" i="1"/>
  <c r="CO361" i="1"/>
  <c r="CN361" i="1"/>
  <c r="CM361" i="1"/>
  <c r="CL361" i="1"/>
  <c r="CW360" i="1"/>
  <c r="CV360" i="1"/>
  <c r="CU360" i="1"/>
  <c r="CT360" i="1"/>
  <c r="CS360" i="1"/>
  <c r="CR360" i="1"/>
  <c r="CQ360" i="1"/>
  <c r="CP360" i="1"/>
  <c r="CO360" i="1"/>
  <c r="CN360" i="1"/>
  <c r="CM360" i="1"/>
  <c r="CL360" i="1"/>
  <c r="CW359" i="1"/>
  <c r="CV359" i="1"/>
  <c r="CU359" i="1"/>
  <c r="CT359" i="1"/>
  <c r="CS359" i="1"/>
  <c r="CR359" i="1"/>
  <c r="CQ359" i="1"/>
  <c r="CP359" i="1"/>
  <c r="CO359" i="1"/>
  <c r="CN359" i="1"/>
  <c r="CM359" i="1"/>
  <c r="CL359" i="1"/>
  <c r="CW358" i="1"/>
  <c r="CV358" i="1"/>
  <c r="CU358" i="1"/>
  <c r="CT358" i="1"/>
  <c r="CS358" i="1"/>
  <c r="CR358" i="1"/>
  <c r="CQ358" i="1"/>
  <c r="CP358" i="1"/>
  <c r="CO358" i="1"/>
  <c r="CN358" i="1"/>
  <c r="CM358" i="1"/>
  <c r="CL358" i="1"/>
  <c r="CW357" i="1"/>
  <c r="CV357" i="1"/>
  <c r="CU357" i="1"/>
  <c r="CT357" i="1"/>
  <c r="CS357" i="1"/>
  <c r="CR357" i="1"/>
  <c r="CQ357" i="1"/>
  <c r="CP357" i="1"/>
  <c r="CO357" i="1"/>
  <c r="CN357" i="1"/>
  <c r="CM357" i="1"/>
  <c r="CL357" i="1"/>
  <c r="CW356" i="1"/>
  <c r="CV356" i="1"/>
  <c r="CU356" i="1"/>
  <c r="CT356" i="1"/>
  <c r="CS356" i="1"/>
  <c r="CR356" i="1"/>
  <c r="CQ356" i="1"/>
  <c r="CP356" i="1"/>
  <c r="CO356" i="1"/>
  <c r="CN356" i="1"/>
  <c r="CM356" i="1"/>
  <c r="CL356" i="1"/>
  <c r="CW355" i="1"/>
  <c r="CV355" i="1"/>
  <c r="CU355" i="1"/>
  <c r="CT355" i="1"/>
  <c r="CS355" i="1"/>
  <c r="CR355" i="1"/>
  <c r="CQ355" i="1"/>
  <c r="CP355" i="1"/>
  <c r="CO355" i="1"/>
  <c r="CN355" i="1"/>
  <c r="CM355" i="1"/>
  <c r="CL355" i="1"/>
  <c r="CW354" i="1"/>
  <c r="CV354" i="1"/>
  <c r="CU354" i="1"/>
  <c r="CT354" i="1"/>
  <c r="CS354" i="1"/>
  <c r="CR354" i="1"/>
  <c r="CQ354" i="1"/>
  <c r="CP354" i="1"/>
  <c r="CO354" i="1"/>
  <c r="CN354" i="1"/>
  <c r="CM354" i="1"/>
  <c r="CL354" i="1"/>
  <c r="CW353" i="1"/>
  <c r="CV353" i="1"/>
  <c r="CU353" i="1"/>
  <c r="CT353" i="1"/>
  <c r="CS353" i="1"/>
  <c r="CR353" i="1"/>
  <c r="CQ353" i="1"/>
  <c r="CP353" i="1"/>
  <c r="CO353" i="1"/>
  <c r="CN353" i="1"/>
  <c r="CM353" i="1"/>
  <c r="CL353" i="1"/>
  <c r="CW352" i="1"/>
  <c r="CV352" i="1"/>
  <c r="CU352" i="1"/>
  <c r="CT352" i="1"/>
  <c r="CS352" i="1"/>
  <c r="CR352" i="1"/>
  <c r="CQ352" i="1"/>
  <c r="CP352" i="1"/>
  <c r="CO352" i="1"/>
  <c r="CN352" i="1"/>
  <c r="CM352" i="1"/>
  <c r="CL352" i="1"/>
  <c r="CW351" i="1"/>
  <c r="CV351" i="1"/>
  <c r="CU351" i="1"/>
  <c r="CT351" i="1"/>
  <c r="CS351" i="1"/>
  <c r="CR351" i="1"/>
  <c r="CQ351" i="1"/>
  <c r="CP351" i="1"/>
  <c r="CO351" i="1"/>
  <c r="CN351" i="1"/>
  <c r="CM351" i="1"/>
  <c r="CL351" i="1"/>
  <c r="CW350" i="1"/>
  <c r="CV350" i="1"/>
  <c r="CU350" i="1"/>
  <c r="CT350" i="1"/>
  <c r="CS350" i="1"/>
  <c r="CR350" i="1"/>
  <c r="CQ350" i="1"/>
  <c r="CP350" i="1"/>
  <c r="CO350" i="1"/>
  <c r="CN350" i="1"/>
  <c r="CM350" i="1"/>
  <c r="CL350" i="1"/>
  <c r="CW349" i="1"/>
  <c r="CV349" i="1"/>
  <c r="CU349" i="1"/>
  <c r="CT349" i="1"/>
  <c r="CS349" i="1"/>
  <c r="CR349" i="1"/>
  <c r="CQ349" i="1"/>
  <c r="CP349" i="1"/>
  <c r="CO349" i="1"/>
  <c r="CN349" i="1"/>
  <c r="CM349" i="1"/>
  <c r="CL349" i="1"/>
  <c r="CW348" i="1"/>
  <c r="CV348" i="1"/>
  <c r="CU348" i="1"/>
  <c r="CT348" i="1"/>
  <c r="CS348" i="1"/>
  <c r="CR348" i="1"/>
  <c r="CQ348" i="1"/>
  <c r="CP348" i="1"/>
  <c r="CO348" i="1"/>
  <c r="CN348" i="1"/>
  <c r="CM348" i="1"/>
  <c r="CL348" i="1"/>
  <c r="CW347" i="1"/>
  <c r="CV347" i="1"/>
  <c r="CU347" i="1"/>
  <c r="CT347" i="1"/>
  <c r="CS347" i="1"/>
  <c r="CR347" i="1"/>
  <c r="CQ347" i="1"/>
  <c r="CP347" i="1"/>
  <c r="CO347" i="1"/>
  <c r="CN347" i="1"/>
  <c r="CM347" i="1"/>
  <c r="CL347" i="1"/>
  <c r="CW346" i="1"/>
  <c r="CV346" i="1"/>
  <c r="CU346" i="1"/>
  <c r="CT346" i="1"/>
  <c r="CS346" i="1"/>
  <c r="CR346" i="1"/>
  <c r="CQ346" i="1"/>
  <c r="CP346" i="1"/>
  <c r="CO346" i="1"/>
  <c r="CN346" i="1"/>
  <c r="CM346" i="1"/>
  <c r="CL346" i="1"/>
  <c r="CW345" i="1"/>
  <c r="CV345" i="1"/>
  <c r="CU345" i="1"/>
  <c r="CT345" i="1"/>
  <c r="CS345" i="1"/>
  <c r="CR345" i="1"/>
  <c r="CQ345" i="1"/>
  <c r="CP345" i="1"/>
  <c r="CO345" i="1"/>
  <c r="CN345" i="1"/>
  <c r="CM345" i="1"/>
  <c r="CL345" i="1"/>
  <c r="CW344" i="1"/>
  <c r="CV344" i="1"/>
  <c r="CU344" i="1"/>
  <c r="CT344" i="1"/>
  <c r="CS344" i="1"/>
  <c r="CR344" i="1"/>
  <c r="CQ344" i="1"/>
  <c r="CP344" i="1"/>
  <c r="CO344" i="1"/>
  <c r="CN344" i="1"/>
  <c r="CM344" i="1"/>
  <c r="CL344" i="1"/>
  <c r="CW343" i="1"/>
  <c r="CV343" i="1"/>
  <c r="CU343" i="1"/>
  <c r="CT343" i="1"/>
  <c r="CS343" i="1"/>
  <c r="CR343" i="1"/>
  <c r="CQ343" i="1"/>
  <c r="CP343" i="1"/>
  <c r="CO343" i="1"/>
  <c r="CN343" i="1"/>
  <c r="CM343" i="1"/>
  <c r="CL343" i="1"/>
  <c r="CW342" i="1"/>
  <c r="CV342" i="1"/>
  <c r="CU342" i="1"/>
  <c r="CT342" i="1"/>
  <c r="CS342" i="1"/>
  <c r="CR342" i="1"/>
  <c r="CQ342" i="1"/>
  <c r="CP342" i="1"/>
  <c r="CO342" i="1"/>
  <c r="CN342" i="1"/>
  <c r="CM342" i="1"/>
  <c r="CL342" i="1"/>
  <c r="CW341" i="1"/>
  <c r="CV341" i="1"/>
  <c r="CU341" i="1"/>
  <c r="CT341" i="1"/>
  <c r="CS341" i="1"/>
  <c r="CR341" i="1"/>
  <c r="CQ341" i="1"/>
  <c r="CP341" i="1"/>
  <c r="CO341" i="1"/>
  <c r="CN341" i="1"/>
  <c r="CM341" i="1"/>
  <c r="CL341" i="1"/>
  <c r="CW340" i="1"/>
  <c r="CV340" i="1"/>
  <c r="CU340" i="1"/>
  <c r="CT340" i="1"/>
  <c r="CS340" i="1"/>
  <c r="CR340" i="1"/>
  <c r="CQ340" i="1"/>
  <c r="CP340" i="1"/>
  <c r="CO340" i="1"/>
  <c r="CN340" i="1"/>
  <c r="CM340" i="1"/>
  <c r="CL340" i="1"/>
  <c r="CW339" i="1"/>
  <c r="CV339" i="1"/>
  <c r="CU339" i="1"/>
  <c r="CT339" i="1"/>
  <c r="CS339" i="1"/>
  <c r="CR339" i="1"/>
  <c r="CQ339" i="1"/>
  <c r="CP339" i="1"/>
  <c r="CO339" i="1"/>
  <c r="CN339" i="1"/>
  <c r="CM339" i="1"/>
  <c r="CL339" i="1"/>
  <c r="CW338" i="1"/>
  <c r="CV338" i="1"/>
  <c r="CU338" i="1"/>
  <c r="CT338" i="1"/>
  <c r="CS338" i="1"/>
  <c r="CR338" i="1"/>
  <c r="CQ338" i="1"/>
  <c r="CP338" i="1"/>
  <c r="CO338" i="1"/>
  <c r="CN338" i="1"/>
  <c r="CM338" i="1"/>
  <c r="CL338" i="1"/>
  <c r="CW337" i="1"/>
  <c r="CV337" i="1"/>
  <c r="CU337" i="1"/>
  <c r="CT337" i="1"/>
  <c r="CS337" i="1"/>
  <c r="CR337" i="1"/>
  <c r="CQ337" i="1"/>
  <c r="CP337" i="1"/>
  <c r="CO337" i="1"/>
  <c r="CN337" i="1"/>
  <c r="CM337" i="1"/>
  <c r="CL337" i="1"/>
  <c r="CW336" i="1"/>
  <c r="CV336" i="1"/>
  <c r="CU336" i="1"/>
  <c r="CT336" i="1"/>
  <c r="CS336" i="1"/>
  <c r="CR336" i="1"/>
  <c r="CQ336" i="1"/>
  <c r="CP336" i="1"/>
  <c r="CO336" i="1"/>
  <c r="CN336" i="1"/>
  <c r="CM336" i="1"/>
  <c r="CL336" i="1"/>
  <c r="CW335" i="1"/>
  <c r="CV335" i="1"/>
  <c r="CU335" i="1"/>
  <c r="CT335" i="1"/>
  <c r="CS335" i="1"/>
  <c r="CR335" i="1"/>
  <c r="CQ335" i="1"/>
  <c r="CP335" i="1"/>
  <c r="CO335" i="1"/>
  <c r="CN335" i="1"/>
  <c r="CM335" i="1"/>
  <c r="CL335" i="1"/>
  <c r="CW334" i="1"/>
  <c r="CV334" i="1"/>
  <c r="CU334" i="1"/>
  <c r="CT334" i="1"/>
  <c r="CS334" i="1"/>
  <c r="CR334" i="1"/>
  <c r="CQ334" i="1"/>
  <c r="CP334" i="1"/>
  <c r="CO334" i="1"/>
  <c r="CN334" i="1"/>
  <c r="CM334" i="1"/>
  <c r="CL334" i="1"/>
  <c r="CW333" i="1"/>
  <c r="CV333" i="1"/>
  <c r="CU333" i="1"/>
  <c r="CT333" i="1"/>
  <c r="CS333" i="1"/>
  <c r="CR333" i="1"/>
  <c r="CQ333" i="1"/>
  <c r="CP333" i="1"/>
  <c r="CO333" i="1"/>
  <c r="CN333" i="1"/>
  <c r="CM333" i="1"/>
  <c r="CL333" i="1"/>
  <c r="CW332" i="1"/>
  <c r="CV332" i="1"/>
  <c r="CU332" i="1"/>
  <c r="CT332" i="1"/>
  <c r="CS332" i="1"/>
  <c r="CR332" i="1"/>
  <c r="CQ332" i="1"/>
  <c r="CP332" i="1"/>
  <c r="CO332" i="1"/>
  <c r="CN332" i="1"/>
  <c r="CM332" i="1"/>
  <c r="CL332" i="1"/>
  <c r="CW331" i="1"/>
  <c r="CV331" i="1"/>
  <c r="CU331" i="1"/>
  <c r="CT331" i="1"/>
  <c r="CS331" i="1"/>
  <c r="CR331" i="1"/>
  <c r="CQ331" i="1"/>
  <c r="CP331" i="1"/>
  <c r="CO331" i="1"/>
  <c r="CN331" i="1"/>
  <c r="CM331" i="1"/>
  <c r="CL331" i="1"/>
  <c r="CW330" i="1"/>
  <c r="CV330" i="1"/>
  <c r="CU330" i="1"/>
  <c r="CT330" i="1"/>
  <c r="CS330" i="1"/>
  <c r="CR330" i="1"/>
  <c r="CQ330" i="1"/>
  <c r="CP330" i="1"/>
  <c r="CO330" i="1"/>
  <c r="CN330" i="1"/>
  <c r="CM330" i="1"/>
  <c r="CL330" i="1"/>
  <c r="CW329" i="1"/>
  <c r="CV329" i="1"/>
  <c r="CU329" i="1"/>
  <c r="CT329" i="1"/>
  <c r="CS329" i="1"/>
  <c r="CR329" i="1"/>
  <c r="CQ329" i="1"/>
  <c r="CP329" i="1"/>
  <c r="CO329" i="1"/>
  <c r="CN329" i="1"/>
  <c r="CM329" i="1"/>
  <c r="CL329" i="1"/>
  <c r="CW328" i="1"/>
  <c r="CV328" i="1"/>
  <c r="CU328" i="1"/>
  <c r="CT328" i="1"/>
  <c r="CS328" i="1"/>
  <c r="CR328" i="1"/>
  <c r="CQ328" i="1"/>
  <c r="CP328" i="1"/>
  <c r="CO328" i="1"/>
  <c r="CN328" i="1"/>
  <c r="CM328" i="1"/>
  <c r="CL328" i="1"/>
  <c r="CW327" i="1"/>
  <c r="CV327" i="1"/>
  <c r="CU327" i="1"/>
  <c r="CT327" i="1"/>
  <c r="CS327" i="1"/>
  <c r="CR327" i="1"/>
  <c r="CQ327" i="1"/>
  <c r="CP327" i="1"/>
  <c r="CO327" i="1"/>
  <c r="CN327" i="1"/>
  <c r="CM327" i="1"/>
  <c r="CL327" i="1"/>
  <c r="CW326" i="1"/>
  <c r="CV326" i="1"/>
  <c r="CU326" i="1"/>
  <c r="CT326" i="1"/>
  <c r="CS326" i="1"/>
  <c r="CR326" i="1"/>
  <c r="CQ326" i="1"/>
  <c r="CP326" i="1"/>
  <c r="CO326" i="1"/>
  <c r="CN326" i="1"/>
  <c r="CM326" i="1"/>
  <c r="CL326" i="1"/>
  <c r="CW325" i="1"/>
  <c r="CV325" i="1"/>
  <c r="CU325" i="1"/>
  <c r="CT325" i="1"/>
  <c r="CS325" i="1"/>
  <c r="CR325" i="1"/>
  <c r="CQ325" i="1"/>
  <c r="CP325" i="1"/>
  <c r="CO325" i="1"/>
  <c r="CN325" i="1"/>
  <c r="CM325" i="1"/>
  <c r="CL325" i="1"/>
  <c r="CW324" i="1"/>
  <c r="CV324" i="1"/>
  <c r="CU324" i="1"/>
  <c r="CT324" i="1"/>
  <c r="CS324" i="1"/>
  <c r="CR324" i="1"/>
  <c r="CQ324" i="1"/>
  <c r="CP324" i="1"/>
  <c r="CO324" i="1"/>
  <c r="CN324" i="1"/>
  <c r="CM324" i="1"/>
  <c r="CL324" i="1"/>
  <c r="CW323" i="1"/>
  <c r="CV323" i="1"/>
  <c r="CU323" i="1"/>
  <c r="CT323" i="1"/>
  <c r="CS323" i="1"/>
  <c r="CR323" i="1"/>
  <c r="CQ323" i="1"/>
  <c r="CP323" i="1"/>
  <c r="CO323" i="1"/>
  <c r="CN323" i="1"/>
  <c r="CM323" i="1"/>
  <c r="CL323" i="1"/>
  <c r="CW322" i="1"/>
  <c r="CV322" i="1"/>
  <c r="CU322" i="1"/>
  <c r="CT322" i="1"/>
  <c r="CS322" i="1"/>
  <c r="CR322" i="1"/>
  <c r="CQ322" i="1"/>
  <c r="CP322" i="1"/>
  <c r="CO322" i="1"/>
  <c r="CN322" i="1"/>
  <c r="CM322" i="1"/>
  <c r="CL322" i="1"/>
  <c r="CW321" i="1"/>
  <c r="CV321" i="1"/>
  <c r="CU321" i="1"/>
  <c r="CT321" i="1"/>
  <c r="CS321" i="1"/>
  <c r="CR321" i="1"/>
  <c r="CQ321" i="1"/>
  <c r="CP321" i="1"/>
  <c r="CO321" i="1"/>
  <c r="CN321" i="1"/>
  <c r="CM321" i="1"/>
  <c r="CL321" i="1"/>
  <c r="CW320" i="1"/>
  <c r="CV320" i="1"/>
  <c r="CU320" i="1"/>
  <c r="CT320" i="1"/>
  <c r="CS320" i="1"/>
  <c r="CR320" i="1"/>
  <c r="CQ320" i="1"/>
  <c r="CP320" i="1"/>
  <c r="CO320" i="1"/>
  <c r="CN320" i="1"/>
  <c r="CM320" i="1"/>
  <c r="CL320" i="1"/>
  <c r="CW319" i="1"/>
  <c r="CV319" i="1"/>
  <c r="CU319" i="1"/>
  <c r="CT319" i="1"/>
  <c r="CS319" i="1"/>
  <c r="CR319" i="1"/>
  <c r="CQ319" i="1"/>
  <c r="CP319" i="1"/>
  <c r="CO319" i="1"/>
  <c r="CN319" i="1"/>
  <c r="CM319" i="1"/>
  <c r="CL319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W317" i="1"/>
  <c r="CV317" i="1"/>
  <c r="CU317" i="1"/>
  <c r="CT317" i="1"/>
  <c r="CS317" i="1"/>
  <c r="CR317" i="1"/>
  <c r="CQ317" i="1"/>
  <c r="CP317" i="1"/>
  <c r="CO317" i="1"/>
  <c r="CN317" i="1"/>
  <c r="CM317" i="1"/>
  <c r="CL317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W315" i="1"/>
  <c r="CV315" i="1"/>
  <c r="CU315" i="1"/>
  <c r="CT315" i="1"/>
  <c r="CS315" i="1"/>
  <c r="CR315" i="1"/>
  <c r="CQ315" i="1"/>
  <c r="CP315" i="1"/>
  <c r="CO315" i="1"/>
  <c r="CN315" i="1"/>
  <c r="CM315" i="1"/>
  <c r="CL315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W309" i="1"/>
  <c r="CV309" i="1"/>
  <c r="CU309" i="1"/>
  <c r="CT309" i="1"/>
  <c r="CS309" i="1"/>
  <c r="CR309" i="1"/>
  <c r="CQ309" i="1"/>
  <c r="CP309" i="1"/>
  <c r="CO309" i="1"/>
  <c r="CN309" i="1"/>
  <c r="CM309" i="1"/>
  <c r="CL309" i="1"/>
  <c r="CW308" i="1"/>
  <c r="CV308" i="1"/>
  <c r="CU308" i="1"/>
  <c r="CT308" i="1"/>
  <c r="CS308" i="1"/>
  <c r="CR308" i="1"/>
  <c r="CQ308" i="1"/>
  <c r="CP308" i="1"/>
  <c r="CO308" i="1"/>
  <c r="CN308" i="1"/>
  <c r="CM308" i="1"/>
  <c r="CL308" i="1"/>
  <c r="CW307" i="1"/>
  <c r="CV307" i="1"/>
  <c r="CU307" i="1"/>
  <c r="CT307" i="1"/>
  <c r="CS307" i="1"/>
  <c r="CR307" i="1"/>
  <c r="CQ307" i="1"/>
  <c r="CP307" i="1"/>
  <c r="CO307" i="1"/>
  <c r="CN307" i="1"/>
  <c r="CM307" i="1"/>
  <c r="CL307" i="1"/>
  <c r="CW306" i="1"/>
  <c r="CV306" i="1"/>
  <c r="CU306" i="1"/>
  <c r="CT306" i="1"/>
  <c r="CS306" i="1"/>
  <c r="CR306" i="1"/>
  <c r="CQ306" i="1"/>
  <c r="CP306" i="1"/>
  <c r="CO306" i="1"/>
  <c r="CN306" i="1"/>
  <c r="CM306" i="1"/>
  <c r="CL306" i="1"/>
  <c r="CW305" i="1"/>
  <c r="CV305" i="1"/>
  <c r="CU305" i="1"/>
  <c r="CT305" i="1"/>
  <c r="CS305" i="1"/>
  <c r="CR305" i="1"/>
  <c r="CQ305" i="1"/>
  <c r="CP305" i="1"/>
  <c r="CO305" i="1"/>
  <c r="CN305" i="1"/>
  <c r="CM305" i="1"/>
  <c r="CL305" i="1"/>
  <c r="CW304" i="1"/>
  <c r="CV304" i="1"/>
  <c r="CU304" i="1"/>
  <c r="CT304" i="1"/>
  <c r="CS304" i="1"/>
  <c r="CR304" i="1"/>
  <c r="CQ304" i="1"/>
  <c r="CP304" i="1"/>
  <c r="CO304" i="1"/>
  <c r="CN304" i="1"/>
  <c r="CM304" i="1"/>
  <c r="CL304" i="1"/>
  <c r="CW303" i="1"/>
  <c r="CV303" i="1"/>
  <c r="CU303" i="1"/>
  <c r="CT303" i="1"/>
  <c r="CS303" i="1"/>
  <c r="CR303" i="1"/>
  <c r="CQ303" i="1"/>
  <c r="CP303" i="1"/>
  <c r="CO303" i="1"/>
  <c r="CN303" i="1"/>
  <c r="CM303" i="1"/>
  <c r="CL303" i="1"/>
  <c r="CW302" i="1"/>
  <c r="CV302" i="1"/>
  <c r="CU302" i="1"/>
  <c r="CT302" i="1"/>
  <c r="CS302" i="1"/>
  <c r="CR302" i="1"/>
  <c r="CQ302" i="1"/>
  <c r="CP302" i="1"/>
  <c r="CO302" i="1"/>
  <c r="CN302" i="1"/>
  <c r="CM302" i="1"/>
  <c r="CL302" i="1"/>
  <c r="CW301" i="1"/>
  <c r="CV301" i="1"/>
  <c r="CU301" i="1"/>
  <c r="CT301" i="1"/>
  <c r="CS301" i="1"/>
  <c r="CR301" i="1"/>
  <c r="CQ301" i="1"/>
  <c r="CP301" i="1"/>
  <c r="CO301" i="1"/>
  <c r="CN301" i="1"/>
  <c r="CM301" i="1"/>
  <c r="CL301" i="1"/>
  <c r="CW300" i="1"/>
  <c r="CV300" i="1"/>
  <c r="CU300" i="1"/>
  <c r="CT300" i="1"/>
  <c r="CS300" i="1"/>
  <c r="CR300" i="1"/>
  <c r="CQ300" i="1"/>
  <c r="CP300" i="1"/>
  <c r="CO300" i="1"/>
  <c r="CN300" i="1"/>
  <c r="CM300" i="1"/>
  <c r="CL300" i="1"/>
  <c r="CW299" i="1"/>
  <c r="CV299" i="1"/>
  <c r="CU299" i="1"/>
  <c r="CT299" i="1"/>
  <c r="CS299" i="1"/>
  <c r="CR299" i="1"/>
  <c r="CQ299" i="1"/>
  <c r="CP299" i="1"/>
  <c r="CO299" i="1"/>
  <c r="CN299" i="1"/>
  <c r="CM299" i="1"/>
  <c r="CL299" i="1"/>
  <c r="CW298" i="1"/>
  <c r="CV298" i="1"/>
  <c r="CU298" i="1"/>
  <c r="CT298" i="1"/>
  <c r="CS298" i="1"/>
  <c r="CR298" i="1"/>
  <c r="CQ298" i="1"/>
  <c r="CP298" i="1"/>
  <c r="CO298" i="1"/>
  <c r="CN298" i="1"/>
  <c r="CM298" i="1"/>
  <c r="CL298" i="1"/>
  <c r="CW297" i="1"/>
  <c r="CV297" i="1"/>
  <c r="CU297" i="1"/>
  <c r="CT297" i="1"/>
  <c r="CS297" i="1"/>
  <c r="CR297" i="1"/>
  <c r="CQ297" i="1"/>
  <c r="CP297" i="1"/>
  <c r="CO297" i="1"/>
  <c r="CN297" i="1"/>
  <c r="CM297" i="1"/>
  <c r="CL297" i="1"/>
  <c r="CW296" i="1"/>
  <c r="CV296" i="1"/>
  <c r="CU296" i="1"/>
  <c r="CT296" i="1"/>
  <c r="CS296" i="1"/>
  <c r="CR296" i="1"/>
  <c r="CQ296" i="1"/>
  <c r="CP296" i="1"/>
  <c r="CO296" i="1"/>
  <c r="CN296" i="1"/>
  <c r="CM296" i="1"/>
  <c r="CL296" i="1"/>
  <c r="CW295" i="1"/>
  <c r="CV295" i="1"/>
  <c r="CU295" i="1"/>
  <c r="CT295" i="1"/>
  <c r="CS295" i="1"/>
  <c r="CR295" i="1"/>
  <c r="CQ295" i="1"/>
  <c r="CP295" i="1"/>
  <c r="CO295" i="1"/>
  <c r="CN295" i="1"/>
  <c r="CM295" i="1"/>
  <c r="CL295" i="1"/>
  <c r="CW294" i="1"/>
  <c r="CV294" i="1"/>
  <c r="CU294" i="1"/>
  <c r="CT294" i="1"/>
  <c r="CS294" i="1"/>
  <c r="CR294" i="1"/>
  <c r="CQ294" i="1"/>
  <c r="CP294" i="1"/>
  <c r="CO294" i="1"/>
  <c r="CN294" i="1"/>
  <c r="CM294" i="1"/>
  <c r="CL294" i="1"/>
  <c r="CW293" i="1"/>
  <c r="CV293" i="1"/>
  <c r="CU293" i="1"/>
  <c r="CT293" i="1"/>
  <c r="CS293" i="1"/>
  <c r="CR293" i="1"/>
  <c r="CQ293" i="1"/>
  <c r="CP293" i="1"/>
  <c r="CO293" i="1"/>
  <c r="CN293" i="1"/>
  <c r="CM293" i="1"/>
  <c r="CL293" i="1"/>
  <c r="CW292" i="1"/>
  <c r="CV292" i="1"/>
  <c r="CU292" i="1"/>
  <c r="CT292" i="1"/>
  <c r="CS292" i="1"/>
  <c r="CR292" i="1"/>
  <c r="CQ292" i="1"/>
  <c r="CP292" i="1"/>
  <c r="CO292" i="1"/>
  <c r="CN292" i="1"/>
  <c r="CM292" i="1"/>
  <c r="CL292" i="1"/>
  <c r="CW291" i="1"/>
  <c r="CV291" i="1"/>
  <c r="CU291" i="1"/>
  <c r="CT291" i="1"/>
  <c r="CS291" i="1"/>
  <c r="CR291" i="1"/>
  <c r="CQ291" i="1"/>
  <c r="CP291" i="1"/>
  <c r="CO291" i="1"/>
  <c r="CN291" i="1"/>
  <c r="CM291" i="1"/>
  <c r="CL291" i="1"/>
  <c r="CW290" i="1"/>
  <c r="CV290" i="1"/>
  <c r="CU290" i="1"/>
  <c r="CT290" i="1"/>
  <c r="CS290" i="1"/>
  <c r="CR290" i="1"/>
  <c r="CQ290" i="1"/>
  <c r="CP290" i="1"/>
  <c r="CO290" i="1"/>
  <c r="CN290" i="1"/>
  <c r="CM290" i="1"/>
  <c r="CL290" i="1"/>
  <c r="CW289" i="1"/>
  <c r="CV289" i="1"/>
  <c r="CU289" i="1"/>
  <c r="CT289" i="1"/>
  <c r="CS289" i="1"/>
  <c r="CR289" i="1"/>
  <c r="CQ289" i="1"/>
  <c r="CP289" i="1"/>
  <c r="CO289" i="1"/>
  <c r="CN289" i="1"/>
  <c r="CM289" i="1"/>
  <c r="CL289" i="1"/>
  <c r="CW288" i="1"/>
  <c r="CV288" i="1"/>
  <c r="CU288" i="1"/>
  <c r="CT288" i="1"/>
  <c r="CS288" i="1"/>
  <c r="CR288" i="1"/>
  <c r="CQ288" i="1"/>
  <c r="CP288" i="1"/>
  <c r="CO288" i="1"/>
  <c r="CN288" i="1"/>
  <c r="CM288" i="1"/>
  <c r="CL288" i="1"/>
  <c r="CW287" i="1"/>
  <c r="CV287" i="1"/>
  <c r="CU287" i="1"/>
  <c r="CT287" i="1"/>
  <c r="CS287" i="1"/>
  <c r="CR287" i="1"/>
  <c r="CQ287" i="1"/>
  <c r="CP287" i="1"/>
  <c r="CO287" i="1"/>
  <c r="CN287" i="1"/>
  <c r="CM287" i="1"/>
  <c r="CL287" i="1"/>
  <c r="CW286" i="1"/>
  <c r="CV286" i="1"/>
  <c r="CU286" i="1"/>
  <c r="CT286" i="1"/>
  <c r="CS286" i="1"/>
  <c r="CR286" i="1"/>
  <c r="CQ286" i="1"/>
  <c r="CP286" i="1"/>
  <c r="CO286" i="1"/>
  <c r="CN286" i="1"/>
  <c r="CM286" i="1"/>
  <c r="CL286" i="1"/>
  <c r="CW285" i="1"/>
  <c r="CV285" i="1"/>
  <c r="CU285" i="1"/>
  <c r="CT285" i="1"/>
  <c r="CS285" i="1"/>
  <c r="CR285" i="1"/>
  <c r="CQ285" i="1"/>
  <c r="CP285" i="1"/>
  <c r="CO285" i="1"/>
  <c r="CN285" i="1"/>
  <c r="CM285" i="1"/>
  <c r="CL285" i="1"/>
  <c r="CW284" i="1"/>
  <c r="CV284" i="1"/>
  <c r="CU284" i="1"/>
  <c r="CT284" i="1"/>
  <c r="CS284" i="1"/>
  <c r="CR284" i="1"/>
  <c r="CQ284" i="1"/>
  <c r="CP284" i="1"/>
  <c r="CO284" i="1"/>
  <c r="CN284" i="1"/>
  <c r="CM284" i="1"/>
  <c r="CL284" i="1"/>
  <c r="CW283" i="1"/>
  <c r="CV283" i="1"/>
  <c r="CU283" i="1"/>
  <c r="CT283" i="1"/>
  <c r="CS283" i="1"/>
  <c r="CR283" i="1"/>
  <c r="CQ283" i="1"/>
  <c r="CP283" i="1"/>
  <c r="CO283" i="1"/>
  <c r="CN283" i="1"/>
  <c r="CM283" i="1"/>
  <c r="CL283" i="1"/>
  <c r="CW282" i="1"/>
  <c r="CV282" i="1"/>
  <c r="CU282" i="1"/>
  <c r="CT282" i="1"/>
  <c r="CS282" i="1"/>
  <c r="CR282" i="1"/>
  <c r="CQ282" i="1"/>
  <c r="CP282" i="1"/>
  <c r="CO282" i="1"/>
  <c r="CN282" i="1"/>
  <c r="CM282" i="1"/>
  <c r="CL282" i="1"/>
  <c r="CW281" i="1"/>
  <c r="CV281" i="1"/>
  <c r="CU281" i="1"/>
  <c r="CT281" i="1"/>
  <c r="CS281" i="1"/>
  <c r="CR281" i="1"/>
  <c r="CQ281" i="1"/>
  <c r="CP281" i="1"/>
  <c r="CO281" i="1"/>
  <c r="CN281" i="1"/>
  <c r="CM281" i="1"/>
  <c r="CL281" i="1"/>
  <c r="CW280" i="1"/>
  <c r="CV280" i="1"/>
  <c r="CU280" i="1"/>
  <c r="CT280" i="1"/>
  <c r="CS280" i="1"/>
  <c r="CR280" i="1"/>
  <c r="CQ280" i="1"/>
  <c r="CP280" i="1"/>
  <c r="CO280" i="1"/>
  <c r="CN280" i="1"/>
  <c r="CM280" i="1"/>
  <c r="CL280" i="1"/>
  <c r="CW279" i="1"/>
  <c r="CV279" i="1"/>
  <c r="CU279" i="1"/>
  <c r="CT279" i="1"/>
  <c r="CS279" i="1"/>
  <c r="CR279" i="1"/>
  <c r="CQ279" i="1"/>
  <c r="CP279" i="1"/>
  <c r="CO279" i="1"/>
  <c r="CN279" i="1"/>
  <c r="CM279" i="1"/>
  <c r="CL279" i="1"/>
  <c r="CW278" i="1"/>
  <c r="CV278" i="1"/>
  <c r="CU278" i="1"/>
  <c r="CT278" i="1"/>
  <c r="CS278" i="1"/>
  <c r="CR278" i="1"/>
  <c r="CQ278" i="1"/>
  <c r="CP278" i="1"/>
  <c r="CO278" i="1"/>
  <c r="CN278" i="1"/>
  <c r="CM278" i="1"/>
  <c r="CL278" i="1"/>
  <c r="CW277" i="1"/>
  <c r="CV277" i="1"/>
  <c r="CU277" i="1"/>
  <c r="CT277" i="1"/>
  <c r="CS277" i="1"/>
  <c r="CR277" i="1"/>
  <c r="CQ277" i="1"/>
  <c r="CP277" i="1"/>
  <c r="CO277" i="1"/>
  <c r="CN277" i="1"/>
  <c r="CM277" i="1"/>
  <c r="CL277" i="1"/>
  <c r="CW276" i="1"/>
  <c r="CV276" i="1"/>
  <c r="CU276" i="1"/>
  <c r="CT276" i="1"/>
  <c r="CS276" i="1"/>
  <c r="CR276" i="1"/>
  <c r="CQ276" i="1"/>
  <c r="CP276" i="1"/>
  <c r="CO276" i="1"/>
  <c r="CN276" i="1"/>
  <c r="CM276" i="1"/>
  <c r="CL276" i="1"/>
  <c r="CW275" i="1"/>
  <c r="CV275" i="1"/>
  <c r="CU275" i="1"/>
  <c r="CT275" i="1"/>
  <c r="CS275" i="1"/>
  <c r="CR275" i="1"/>
  <c r="CQ275" i="1"/>
  <c r="CP275" i="1"/>
  <c r="CO275" i="1"/>
  <c r="CN275" i="1"/>
  <c r="CM275" i="1"/>
  <c r="CL275" i="1"/>
  <c r="CW274" i="1"/>
  <c r="CV274" i="1"/>
  <c r="CU274" i="1"/>
  <c r="CT274" i="1"/>
  <c r="CS274" i="1"/>
  <c r="CR274" i="1"/>
  <c r="CQ274" i="1"/>
  <c r="CP274" i="1"/>
  <c r="CO274" i="1"/>
  <c r="CN274" i="1"/>
  <c r="CM274" i="1"/>
  <c r="CL274" i="1"/>
  <c r="CW273" i="1"/>
  <c r="CV273" i="1"/>
  <c r="CU273" i="1"/>
  <c r="CT273" i="1"/>
  <c r="CS273" i="1"/>
  <c r="CR273" i="1"/>
  <c r="CQ273" i="1"/>
  <c r="CP273" i="1"/>
  <c r="CO273" i="1"/>
  <c r="CN273" i="1"/>
  <c r="CM273" i="1"/>
  <c r="CL273" i="1"/>
  <c r="CW272" i="1"/>
  <c r="CV272" i="1"/>
  <c r="CU272" i="1"/>
  <c r="CT272" i="1"/>
  <c r="CS272" i="1"/>
  <c r="CR272" i="1"/>
  <c r="CQ272" i="1"/>
  <c r="CP272" i="1"/>
  <c r="CO272" i="1"/>
  <c r="CN272" i="1"/>
  <c r="CM272" i="1"/>
  <c r="CL272" i="1"/>
  <c r="CW271" i="1"/>
  <c r="CV271" i="1"/>
  <c r="CU271" i="1"/>
  <c r="CT271" i="1"/>
  <c r="CS271" i="1"/>
  <c r="CR271" i="1"/>
  <c r="CQ271" i="1"/>
  <c r="CP271" i="1"/>
  <c r="CO271" i="1"/>
  <c r="CN271" i="1"/>
  <c r="CM271" i="1"/>
  <c r="CL271" i="1"/>
  <c r="CW270" i="1"/>
  <c r="CV270" i="1"/>
  <c r="CU270" i="1"/>
  <c r="CT270" i="1"/>
  <c r="CS270" i="1"/>
  <c r="CR270" i="1"/>
  <c r="CQ270" i="1"/>
  <c r="CP270" i="1"/>
  <c r="CO270" i="1"/>
  <c r="CN270" i="1"/>
  <c r="CM270" i="1"/>
  <c r="CL270" i="1"/>
  <c r="CW269" i="1"/>
  <c r="CV269" i="1"/>
  <c r="CU269" i="1"/>
  <c r="CT269" i="1"/>
  <c r="CS269" i="1"/>
  <c r="CR269" i="1"/>
  <c r="CQ269" i="1"/>
  <c r="CP269" i="1"/>
  <c r="CO269" i="1"/>
  <c r="CN269" i="1"/>
  <c r="CM269" i="1"/>
  <c r="CL269" i="1"/>
  <c r="CW268" i="1"/>
  <c r="CV268" i="1"/>
  <c r="CU268" i="1"/>
  <c r="CT268" i="1"/>
  <c r="CS268" i="1"/>
  <c r="CR268" i="1"/>
  <c r="CQ268" i="1"/>
  <c r="CP268" i="1"/>
  <c r="CO268" i="1"/>
  <c r="CN268" i="1"/>
  <c r="CM268" i="1"/>
  <c r="CL268" i="1"/>
  <c r="CW267" i="1"/>
  <c r="CV267" i="1"/>
  <c r="CU267" i="1"/>
  <c r="CT267" i="1"/>
  <c r="CS267" i="1"/>
  <c r="CR267" i="1"/>
  <c r="CQ267" i="1"/>
  <c r="CP267" i="1"/>
  <c r="CO267" i="1"/>
  <c r="CN267" i="1"/>
  <c r="CM267" i="1"/>
  <c r="CL267" i="1"/>
  <c r="CW266" i="1"/>
  <c r="CV266" i="1"/>
  <c r="CU266" i="1"/>
  <c r="CT266" i="1"/>
  <c r="CS266" i="1"/>
  <c r="CR266" i="1"/>
  <c r="CQ266" i="1"/>
  <c r="CP266" i="1"/>
  <c r="CO266" i="1"/>
  <c r="CN266" i="1"/>
  <c r="CM266" i="1"/>
  <c r="CL266" i="1"/>
  <c r="CW265" i="1"/>
  <c r="CV265" i="1"/>
  <c r="CU265" i="1"/>
  <c r="CT265" i="1"/>
  <c r="CS265" i="1"/>
  <c r="CR265" i="1"/>
  <c r="CQ265" i="1"/>
  <c r="CP265" i="1"/>
  <c r="CO265" i="1"/>
  <c r="CN265" i="1"/>
  <c r="CM265" i="1"/>
  <c r="CL265" i="1"/>
  <c r="CW264" i="1"/>
  <c r="CV264" i="1"/>
  <c r="CU264" i="1"/>
  <c r="CT264" i="1"/>
  <c r="CS264" i="1"/>
  <c r="CR264" i="1"/>
  <c r="CQ264" i="1"/>
  <c r="CP264" i="1"/>
  <c r="CO264" i="1"/>
  <c r="CN264" i="1"/>
  <c r="CM264" i="1"/>
  <c r="CL264" i="1"/>
  <c r="CW263" i="1"/>
  <c r="CV263" i="1"/>
  <c r="CU263" i="1"/>
  <c r="CT263" i="1"/>
  <c r="CS263" i="1"/>
  <c r="CR263" i="1"/>
  <c r="CQ263" i="1"/>
  <c r="CP263" i="1"/>
  <c r="CO263" i="1"/>
  <c r="CN263" i="1"/>
  <c r="CM263" i="1"/>
  <c r="CL263" i="1"/>
  <c r="CW262" i="1"/>
  <c r="CV262" i="1"/>
  <c r="CU262" i="1"/>
  <c r="CT262" i="1"/>
  <c r="CS262" i="1"/>
  <c r="CR262" i="1"/>
  <c r="CQ262" i="1"/>
  <c r="CP262" i="1"/>
  <c r="CO262" i="1"/>
  <c r="CN262" i="1"/>
  <c r="CM262" i="1"/>
  <c r="CL262" i="1"/>
  <c r="CW261" i="1"/>
  <c r="CV261" i="1"/>
  <c r="CU261" i="1"/>
  <c r="CT261" i="1"/>
  <c r="CS261" i="1"/>
  <c r="CR261" i="1"/>
  <c r="CQ261" i="1"/>
  <c r="CP261" i="1"/>
  <c r="CO261" i="1"/>
  <c r="CN261" i="1"/>
  <c r="CM261" i="1"/>
  <c r="CL261" i="1"/>
  <c r="CW260" i="1"/>
  <c r="CV260" i="1"/>
  <c r="CU260" i="1"/>
  <c r="CT260" i="1"/>
  <c r="CS260" i="1"/>
  <c r="CR260" i="1"/>
  <c r="CQ260" i="1"/>
  <c r="CP260" i="1"/>
  <c r="CO260" i="1"/>
  <c r="CN260" i="1"/>
  <c r="CM260" i="1"/>
  <c r="CL260" i="1"/>
  <c r="CW259" i="1"/>
  <c r="CV259" i="1"/>
  <c r="CU259" i="1"/>
  <c r="CT259" i="1"/>
  <c r="CS259" i="1"/>
  <c r="CR259" i="1"/>
  <c r="CQ259" i="1"/>
  <c r="CP259" i="1"/>
  <c r="CO259" i="1"/>
  <c r="CN259" i="1"/>
  <c r="CM259" i="1"/>
  <c r="CL259" i="1"/>
  <c r="CW258" i="1"/>
  <c r="CV258" i="1"/>
  <c r="CU258" i="1"/>
  <c r="CT258" i="1"/>
  <c r="CS258" i="1"/>
  <c r="CR258" i="1"/>
  <c r="CQ258" i="1"/>
  <c r="CP258" i="1"/>
  <c r="CO258" i="1"/>
  <c r="CN258" i="1"/>
  <c r="CM258" i="1"/>
  <c r="CL258" i="1"/>
  <c r="CW257" i="1"/>
  <c r="CV257" i="1"/>
  <c r="CU257" i="1"/>
  <c r="CT257" i="1"/>
  <c r="CS257" i="1"/>
  <c r="CR257" i="1"/>
  <c r="CQ257" i="1"/>
  <c r="CP257" i="1"/>
  <c r="CO257" i="1"/>
  <c r="CN257" i="1"/>
  <c r="CM257" i="1"/>
  <c r="CL257" i="1"/>
  <c r="CW256" i="1"/>
  <c r="CV256" i="1"/>
  <c r="CU256" i="1"/>
  <c r="CT256" i="1"/>
  <c r="CS256" i="1"/>
  <c r="CR256" i="1"/>
  <c r="CQ256" i="1"/>
  <c r="CP256" i="1"/>
  <c r="CO256" i="1"/>
  <c r="CN256" i="1"/>
  <c r="CM256" i="1"/>
  <c r="CL256" i="1"/>
  <c r="CW255" i="1"/>
  <c r="CV255" i="1"/>
  <c r="CU255" i="1"/>
  <c r="CT255" i="1"/>
  <c r="CS255" i="1"/>
  <c r="CR255" i="1"/>
  <c r="CQ255" i="1"/>
  <c r="CP255" i="1"/>
  <c r="CO255" i="1"/>
  <c r="CN255" i="1"/>
  <c r="CM255" i="1"/>
  <c r="CL255" i="1"/>
  <c r="CW254" i="1"/>
  <c r="CV254" i="1"/>
  <c r="CU254" i="1"/>
  <c r="CT254" i="1"/>
  <c r="CS254" i="1"/>
  <c r="CR254" i="1"/>
  <c r="CQ254" i="1"/>
  <c r="CP254" i="1"/>
  <c r="CO254" i="1"/>
  <c r="CN254" i="1"/>
  <c r="CM254" i="1"/>
  <c r="CL254" i="1"/>
  <c r="CW253" i="1"/>
  <c r="CV253" i="1"/>
  <c r="CU253" i="1"/>
  <c r="CT253" i="1"/>
  <c r="CS253" i="1"/>
  <c r="CR253" i="1"/>
  <c r="CQ253" i="1"/>
  <c r="CP253" i="1"/>
  <c r="CO253" i="1"/>
  <c r="CN253" i="1"/>
  <c r="CM253" i="1"/>
  <c r="CL253" i="1"/>
  <c r="CW252" i="1"/>
  <c r="CV252" i="1"/>
  <c r="CU252" i="1"/>
  <c r="CT252" i="1"/>
  <c r="CS252" i="1"/>
  <c r="CR252" i="1"/>
  <c r="CQ252" i="1"/>
  <c r="CP252" i="1"/>
  <c r="CO252" i="1"/>
  <c r="CN252" i="1"/>
  <c r="CM252" i="1"/>
  <c r="CL252" i="1"/>
  <c r="CW251" i="1"/>
  <c r="CV251" i="1"/>
  <c r="CU251" i="1"/>
  <c r="CT251" i="1"/>
  <c r="CS251" i="1"/>
  <c r="CR251" i="1"/>
  <c r="CQ251" i="1"/>
  <c r="CP251" i="1"/>
  <c r="CO251" i="1"/>
  <c r="CN251" i="1"/>
  <c r="CM251" i="1"/>
  <c r="CL251" i="1"/>
  <c r="CW250" i="1"/>
  <c r="CV250" i="1"/>
  <c r="CU250" i="1"/>
  <c r="CT250" i="1"/>
  <c r="CS250" i="1"/>
  <c r="CR250" i="1"/>
  <c r="CQ250" i="1"/>
  <c r="CP250" i="1"/>
  <c r="CO250" i="1"/>
  <c r="CN250" i="1"/>
  <c r="CM250" i="1"/>
  <c r="CL250" i="1"/>
  <c r="CW249" i="1"/>
  <c r="CV249" i="1"/>
  <c r="CU249" i="1"/>
  <c r="CT249" i="1"/>
  <c r="CS249" i="1"/>
  <c r="CR249" i="1"/>
  <c r="CQ249" i="1"/>
  <c r="CP249" i="1"/>
  <c r="CO249" i="1"/>
  <c r="CN249" i="1"/>
  <c r="CM249" i="1"/>
  <c r="CL249" i="1"/>
  <c r="CW248" i="1"/>
  <c r="CV248" i="1"/>
  <c r="CU248" i="1"/>
  <c r="CT248" i="1"/>
  <c r="CS248" i="1"/>
  <c r="CR248" i="1"/>
  <c r="CQ248" i="1"/>
  <c r="CP248" i="1"/>
  <c r="CO248" i="1"/>
  <c r="CN248" i="1"/>
  <c r="CM248" i="1"/>
  <c r="CL248" i="1"/>
  <c r="CW247" i="1"/>
  <c r="CV247" i="1"/>
  <c r="CU247" i="1"/>
  <c r="CT247" i="1"/>
  <c r="CS247" i="1"/>
  <c r="CR247" i="1"/>
  <c r="CQ247" i="1"/>
  <c r="CP247" i="1"/>
  <c r="CO247" i="1"/>
  <c r="CN247" i="1"/>
  <c r="CM247" i="1"/>
  <c r="CL247" i="1"/>
  <c r="CW246" i="1"/>
  <c r="CV246" i="1"/>
  <c r="CU246" i="1"/>
  <c r="CT246" i="1"/>
  <c r="CS246" i="1"/>
  <c r="CR246" i="1"/>
  <c r="CQ246" i="1"/>
  <c r="CP246" i="1"/>
  <c r="CO246" i="1"/>
  <c r="CN246" i="1"/>
  <c r="CM246" i="1"/>
  <c r="CL246" i="1"/>
  <c r="CW245" i="1"/>
  <c r="CV245" i="1"/>
  <c r="CU245" i="1"/>
  <c r="CT245" i="1"/>
  <c r="CS245" i="1"/>
  <c r="CR245" i="1"/>
  <c r="CQ245" i="1"/>
  <c r="CP245" i="1"/>
  <c r="CO245" i="1"/>
  <c r="CN245" i="1"/>
  <c r="CM245" i="1"/>
  <c r="CL245" i="1"/>
  <c r="CW244" i="1"/>
  <c r="CV244" i="1"/>
  <c r="CU244" i="1"/>
  <c r="CT244" i="1"/>
  <c r="CS244" i="1"/>
  <c r="CR244" i="1"/>
  <c r="CQ244" i="1"/>
  <c r="CP244" i="1"/>
  <c r="CO244" i="1"/>
  <c r="CN244" i="1"/>
  <c r="CM244" i="1"/>
  <c r="CL244" i="1"/>
  <c r="CW243" i="1"/>
  <c r="CV243" i="1"/>
  <c r="CU243" i="1"/>
  <c r="CT243" i="1"/>
  <c r="CS243" i="1"/>
  <c r="CR243" i="1"/>
  <c r="CQ243" i="1"/>
  <c r="CP243" i="1"/>
  <c r="CO243" i="1"/>
  <c r="CN243" i="1"/>
  <c r="CM243" i="1"/>
  <c r="CL243" i="1"/>
  <c r="CW242" i="1"/>
  <c r="CV242" i="1"/>
  <c r="CU242" i="1"/>
  <c r="CT242" i="1"/>
  <c r="CS242" i="1"/>
  <c r="CR242" i="1"/>
  <c r="CQ242" i="1"/>
  <c r="CP242" i="1"/>
  <c r="CO242" i="1"/>
  <c r="CN242" i="1"/>
  <c r="CM242" i="1"/>
  <c r="CL242" i="1"/>
  <c r="CW241" i="1"/>
  <c r="CV241" i="1"/>
  <c r="CU241" i="1"/>
  <c r="CT241" i="1"/>
  <c r="CS241" i="1"/>
  <c r="CR241" i="1"/>
  <c r="CQ241" i="1"/>
  <c r="CP241" i="1"/>
  <c r="CO241" i="1"/>
  <c r="CN241" i="1"/>
  <c r="CM241" i="1"/>
  <c r="CL241" i="1"/>
  <c r="CW240" i="1"/>
  <c r="CV240" i="1"/>
  <c r="CU240" i="1"/>
  <c r="CT240" i="1"/>
  <c r="CS240" i="1"/>
  <c r="CR240" i="1"/>
  <c r="CQ240" i="1"/>
  <c r="CP240" i="1"/>
  <c r="CO240" i="1"/>
  <c r="CN240" i="1"/>
  <c r="CM240" i="1"/>
  <c r="CL240" i="1"/>
  <c r="CW239" i="1"/>
  <c r="CV239" i="1"/>
  <c r="CU239" i="1"/>
  <c r="CT239" i="1"/>
  <c r="CS239" i="1"/>
  <c r="CR239" i="1"/>
  <c r="CQ239" i="1"/>
  <c r="CP239" i="1"/>
  <c r="CO239" i="1"/>
  <c r="CN239" i="1"/>
  <c r="CM239" i="1"/>
  <c r="CL239" i="1"/>
  <c r="CW238" i="1"/>
  <c r="CV238" i="1"/>
  <c r="CU238" i="1"/>
  <c r="CT238" i="1"/>
  <c r="CS238" i="1"/>
  <c r="CR238" i="1"/>
  <c r="CQ238" i="1"/>
  <c r="CP238" i="1"/>
  <c r="CO238" i="1"/>
  <c r="CN238" i="1"/>
  <c r="CM238" i="1"/>
  <c r="CL238" i="1"/>
  <c r="CW237" i="1"/>
  <c r="CV237" i="1"/>
  <c r="CU237" i="1"/>
  <c r="CT237" i="1"/>
  <c r="CS237" i="1"/>
  <c r="CR237" i="1"/>
  <c r="CQ237" i="1"/>
  <c r="CP237" i="1"/>
  <c r="CO237" i="1"/>
  <c r="CN237" i="1"/>
  <c r="CM237" i="1"/>
  <c r="CL237" i="1"/>
  <c r="CW236" i="1"/>
  <c r="CV236" i="1"/>
  <c r="CU236" i="1"/>
  <c r="CT236" i="1"/>
  <c r="CS236" i="1"/>
  <c r="CR236" i="1"/>
  <c r="CQ236" i="1"/>
  <c r="CP236" i="1"/>
  <c r="CO236" i="1"/>
  <c r="CN236" i="1"/>
  <c r="CM236" i="1"/>
  <c r="CL236" i="1"/>
  <c r="CW235" i="1"/>
  <c r="CV235" i="1"/>
  <c r="CU235" i="1"/>
  <c r="CT235" i="1"/>
  <c r="CS235" i="1"/>
  <c r="CR235" i="1"/>
  <c r="CQ235" i="1"/>
  <c r="CP235" i="1"/>
  <c r="CO235" i="1"/>
  <c r="CN235" i="1"/>
  <c r="CM235" i="1"/>
  <c r="CL235" i="1"/>
  <c r="CW234" i="1"/>
  <c r="CV234" i="1"/>
  <c r="CU234" i="1"/>
  <c r="CT234" i="1"/>
  <c r="CS234" i="1"/>
  <c r="CR234" i="1"/>
  <c r="CQ234" i="1"/>
  <c r="CP234" i="1"/>
  <c r="CO234" i="1"/>
  <c r="CN234" i="1"/>
  <c r="CM234" i="1"/>
  <c r="CL234" i="1"/>
  <c r="CW233" i="1"/>
  <c r="CV233" i="1"/>
  <c r="CU233" i="1"/>
  <c r="CT233" i="1"/>
  <c r="CS233" i="1"/>
  <c r="CR233" i="1"/>
  <c r="CQ233" i="1"/>
  <c r="CP233" i="1"/>
  <c r="CO233" i="1"/>
  <c r="CN233" i="1"/>
  <c r="CM233" i="1"/>
  <c r="CL233" i="1"/>
  <c r="DU232" i="1"/>
  <c r="CW232" i="1"/>
  <c r="CV232" i="1"/>
  <c r="CU232" i="1"/>
  <c r="CT232" i="1"/>
  <c r="CS232" i="1"/>
  <c r="CR232" i="1"/>
  <c r="CQ232" i="1"/>
  <c r="CP232" i="1"/>
  <c r="CO232" i="1"/>
  <c r="CN232" i="1"/>
  <c r="CM232" i="1"/>
  <c r="CL232" i="1"/>
  <c r="DU231" i="1"/>
  <c r="CW231" i="1"/>
  <c r="CV231" i="1"/>
  <c r="CU231" i="1"/>
  <c r="CT231" i="1"/>
  <c r="CS231" i="1"/>
  <c r="CR231" i="1"/>
  <c r="CQ231" i="1"/>
  <c r="CP231" i="1"/>
  <c r="CO231" i="1"/>
  <c r="CN231" i="1"/>
  <c r="CM231" i="1"/>
  <c r="CL231" i="1"/>
  <c r="DU230" i="1"/>
  <c r="CW230" i="1"/>
  <c r="CV230" i="1"/>
  <c r="CU230" i="1"/>
  <c r="CT230" i="1"/>
  <c r="CS230" i="1"/>
  <c r="CR230" i="1"/>
  <c r="CQ230" i="1"/>
  <c r="CP230" i="1"/>
  <c r="CO230" i="1"/>
  <c r="CN230" i="1"/>
  <c r="CM230" i="1"/>
  <c r="CL230" i="1"/>
  <c r="DU229" i="1"/>
  <c r="CW229" i="1"/>
  <c r="CV229" i="1"/>
  <c r="CU229" i="1"/>
  <c r="CT229" i="1"/>
  <c r="CS229" i="1"/>
  <c r="CR229" i="1"/>
  <c r="CQ229" i="1"/>
  <c r="CP229" i="1"/>
  <c r="CO229" i="1"/>
  <c r="CN229" i="1"/>
  <c r="CM229" i="1"/>
  <c r="CL229" i="1"/>
  <c r="DU228" i="1"/>
  <c r="CW228" i="1"/>
  <c r="CV228" i="1"/>
  <c r="CU228" i="1"/>
  <c r="CT228" i="1"/>
  <c r="CS228" i="1"/>
  <c r="CR228" i="1"/>
  <c r="CQ228" i="1"/>
  <c r="CP228" i="1"/>
  <c r="CO228" i="1"/>
  <c r="CN228" i="1"/>
  <c r="CM228" i="1"/>
  <c r="CL228" i="1"/>
  <c r="DU227" i="1"/>
  <c r="CW227" i="1"/>
  <c r="CV227" i="1"/>
  <c r="CU227" i="1"/>
  <c r="CT227" i="1"/>
  <c r="CS227" i="1"/>
  <c r="CR227" i="1"/>
  <c r="CQ227" i="1"/>
  <c r="CP227" i="1"/>
  <c r="CO227" i="1"/>
  <c r="CN227" i="1"/>
  <c r="CM227" i="1"/>
  <c r="CL227" i="1"/>
  <c r="DU226" i="1"/>
  <c r="CW226" i="1"/>
  <c r="CV226" i="1"/>
  <c r="CU226" i="1"/>
  <c r="CT226" i="1"/>
  <c r="CS226" i="1"/>
  <c r="CR226" i="1"/>
  <c r="CQ226" i="1"/>
  <c r="CP226" i="1"/>
  <c r="CO226" i="1"/>
  <c r="CN226" i="1"/>
  <c r="CM226" i="1"/>
  <c r="CL226" i="1"/>
  <c r="DU225" i="1"/>
  <c r="CW225" i="1"/>
  <c r="CV225" i="1"/>
  <c r="CU225" i="1"/>
  <c r="CT225" i="1"/>
  <c r="CS225" i="1"/>
  <c r="CR225" i="1"/>
  <c r="CQ225" i="1"/>
  <c r="CP225" i="1"/>
  <c r="CO225" i="1"/>
  <c r="CN225" i="1"/>
  <c r="CM225" i="1"/>
  <c r="CL225" i="1"/>
  <c r="DU224" i="1"/>
  <c r="CW224" i="1"/>
  <c r="CV224" i="1"/>
  <c r="CU224" i="1"/>
  <c r="CT224" i="1"/>
  <c r="CS224" i="1"/>
  <c r="CR224" i="1"/>
  <c r="CQ224" i="1"/>
  <c r="CP224" i="1"/>
  <c r="CO224" i="1"/>
  <c r="CN224" i="1"/>
  <c r="CM224" i="1"/>
  <c r="CL224" i="1"/>
  <c r="DU223" i="1"/>
  <c r="CW223" i="1"/>
  <c r="CV223" i="1"/>
  <c r="CU223" i="1"/>
  <c r="CT223" i="1"/>
  <c r="CS223" i="1"/>
  <c r="CR223" i="1"/>
  <c r="CQ223" i="1"/>
  <c r="CP223" i="1"/>
  <c r="CO223" i="1"/>
  <c r="CN223" i="1"/>
  <c r="CM223" i="1"/>
  <c r="CL223" i="1"/>
  <c r="DU222" i="1"/>
  <c r="CW222" i="1"/>
  <c r="CV222" i="1"/>
  <c r="CU222" i="1"/>
  <c r="CT222" i="1"/>
  <c r="CS222" i="1"/>
  <c r="CR222" i="1"/>
  <c r="CQ222" i="1"/>
  <c r="CP222" i="1"/>
  <c r="CO222" i="1"/>
  <c r="CN222" i="1"/>
  <c r="CM222" i="1"/>
  <c r="CL222" i="1"/>
  <c r="DU221" i="1"/>
  <c r="CW221" i="1"/>
  <c r="CV221" i="1"/>
  <c r="CU221" i="1"/>
  <c r="CT221" i="1"/>
  <c r="CS221" i="1"/>
  <c r="CR221" i="1"/>
  <c r="CQ221" i="1"/>
  <c r="CP221" i="1"/>
  <c r="CO221" i="1"/>
  <c r="CN221" i="1"/>
  <c r="CM221" i="1"/>
  <c r="CL221" i="1"/>
  <c r="DU220" i="1"/>
  <c r="CW220" i="1"/>
  <c r="CV220" i="1"/>
  <c r="CU220" i="1"/>
  <c r="CT220" i="1"/>
  <c r="CS220" i="1"/>
  <c r="CR220" i="1"/>
  <c r="CQ220" i="1"/>
  <c r="CP220" i="1"/>
  <c r="CO220" i="1"/>
  <c r="CN220" i="1"/>
  <c r="CM220" i="1"/>
  <c r="CL220" i="1"/>
  <c r="DU219" i="1"/>
  <c r="CW219" i="1"/>
  <c r="CV219" i="1"/>
  <c r="CU219" i="1"/>
  <c r="CT219" i="1"/>
  <c r="CS219" i="1"/>
  <c r="CR219" i="1"/>
  <c r="CQ219" i="1"/>
  <c r="CP219" i="1"/>
  <c r="CO219" i="1"/>
  <c r="CN219" i="1"/>
  <c r="CM219" i="1"/>
  <c r="CL219" i="1"/>
  <c r="DU218" i="1"/>
  <c r="CW218" i="1"/>
  <c r="CV218" i="1"/>
  <c r="CU218" i="1"/>
  <c r="CT218" i="1"/>
  <c r="CS218" i="1"/>
  <c r="CR218" i="1"/>
  <c r="CQ218" i="1"/>
  <c r="CP218" i="1"/>
  <c r="CO218" i="1"/>
  <c r="CN218" i="1"/>
  <c r="CM218" i="1"/>
  <c r="CL218" i="1"/>
  <c r="DU217" i="1"/>
  <c r="CW217" i="1"/>
  <c r="CV217" i="1"/>
  <c r="CU217" i="1"/>
  <c r="CT217" i="1"/>
  <c r="CS217" i="1"/>
  <c r="CR217" i="1"/>
  <c r="CQ217" i="1"/>
  <c r="CP217" i="1"/>
  <c r="CO217" i="1"/>
  <c r="CN217" i="1"/>
  <c r="CM217" i="1"/>
  <c r="CL217" i="1"/>
  <c r="DU216" i="1"/>
  <c r="CW216" i="1"/>
  <c r="CV216" i="1"/>
  <c r="CU216" i="1"/>
  <c r="CT216" i="1"/>
  <c r="CS216" i="1"/>
  <c r="CR216" i="1"/>
  <c r="CQ216" i="1"/>
  <c r="CP216" i="1"/>
  <c r="CO216" i="1"/>
  <c r="CN216" i="1"/>
  <c r="CM216" i="1"/>
  <c r="CL216" i="1"/>
  <c r="DU215" i="1"/>
  <c r="CW215" i="1"/>
  <c r="CV215" i="1"/>
  <c r="CU215" i="1"/>
  <c r="CT215" i="1"/>
  <c r="CS215" i="1"/>
  <c r="CR215" i="1"/>
  <c r="CQ215" i="1"/>
  <c r="CP215" i="1"/>
  <c r="CO215" i="1"/>
  <c r="CN215" i="1"/>
  <c r="CM215" i="1"/>
  <c r="CL215" i="1"/>
  <c r="DU214" i="1"/>
  <c r="CW214" i="1"/>
  <c r="CV214" i="1"/>
  <c r="CU214" i="1"/>
  <c r="CT214" i="1"/>
  <c r="CS214" i="1"/>
  <c r="CR214" i="1"/>
  <c r="CQ214" i="1"/>
  <c r="CP214" i="1"/>
  <c r="CO214" i="1"/>
  <c r="CN214" i="1"/>
  <c r="CM214" i="1"/>
  <c r="CL214" i="1"/>
  <c r="DU213" i="1"/>
  <c r="CW213" i="1"/>
  <c r="CV213" i="1"/>
  <c r="CU213" i="1"/>
  <c r="CT213" i="1"/>
  <c r="CS213" i="1"/>
  <c r="CR213" i="1"/>
  <c r="CQ213" i="1"/>
  <c r="CP213" i="1"/>
  <c r="CO213" i="1"/>
  <c r="CN213" i="1"/>
  <c r="CM213" i="1"/>
  <c r="CL213" i="1"/>
  <c r="DU212" i="1"/>
  <c r="CW212" i="1"/>
  <c r="CV212" i="1"/>
  <c r="CU212" i="1"/>
  <c r="CT212" i="1"/>
  <c r="CS212" i="1"/>
  <c r="CR212" i="1"/>
  <c r="CQ212" i="1"/>
  <c r="CP212" i="1"/>
  <c r="CO212" i="1"/>
  <c r="CN212" i="1"/>
  <c r="CM212" i="1"/>
  <c r="CL212" i="1"/>
  <c r="DU211" i="1"/>
  <c r="CW211" i="1"/>
  <c r="CV211" i="1"/>
  <c r="CU211" i="1"/>
  <c r="CT211" i="1"/>
  <c r="CS211" i="1"/>
  <c r="CR211" i="1"/>
  <c r="CQ211" i="1"/>
  <c r="CP211" i="1"/>
  <c r="CO211" i="1"/>
  <c r="CN211" i="1"/>
  <c r="CM211" i="1"/>
  <c r="CL211" i="1"/>
  <c r="DU210" i="1"/>
  <c r="CW210" i="1"/>
  <c r="CV210" i="1"/>
  <c r="CU210" i="1"/>
  <c r="CT210" i="1"/>
  <c r="CS210" i="1"/>
  <c r="CR210" i="1"/>
  <c r="CQ210" i="1"/>
  <c r="CP210" i="1"/>
  <c r="CO210" i="1"/>
  <c r="CN210" i="1"/>
  <c r="CM210" i="1"/>
  <c r="CL210" i="1"/>
  <c r="DU209" i="1"/>
  <c r="CW209" i="1"/>
  <c r="CV209" i="1"/>
  <c r="CU209" i="1"/>
  <c r="CT209" i="1"/>
  <c r="CS209" i="1"/>
  <c r="CR209" i="1"/>
  <c r="CQ209" i="1"/>
  <c r="CP209" i="1"/>
  <c r="CO209" i="1"/>
  <c r="CN209" i="1"/>
  <c r="CM209" i="1"/>
  <c r="CL209" i="1"/>
  <c r="DU208" i="1"/>
  <c r="CW208" i="1"/>
  <c r="CV208" i="1"/>
  <c r="CU208" i="1"/>
  <c r="CT208" i="1"/>
  <c r="CS208" i="1"/>
  <c r="CR208" i="1"/>
  <c r="CQ208" i="1"/>
  <c r="CP208" i="1"/>
  <c r="CO208" i="1"/>
  <c r="CN208" i="1"/>
  <c r="CM208" i="1"/>
  <c r="CL208" i="1"/>
  <c r="DU207" i="1"/>
  <c r="CW207" i="1"/>
  <c r="CV207" i="1"/>
  <c r="CU207" i="1"/>
  <c r="CT207" i="1"/>
  <c r="CS207" i="1"/>
  <c r="CR207" i="1"/>
  <c r="CQ207" i="1"/>
  <c r="CP207" i="1"/>
  <c r="CO207" i="1"/>
  <c r="CN207" i="1"/>
  <c r="CM207" i="1"/>
  <c r="CL207" i="1"/>
  <c r="DU206" i="1"/>
  <c r="CW206" i="1"/>
  <c r="CV206" i="1"/>
  <c r="CU206" i="1"/>
  <c r="CT206" i="1"/>
  <c r="CS206" i="1"/>
  <c r="CR206" i="1"/>
  <c r="CQ206" i="1"/>
  <c r="CP206" i="1"/>
  <c r="CO206" i="1"/>
  <c r="CN206" i="1"/>
  <c r="CM206" i="1"/>
  <c r="CL206" i="1"/>
  <c r="DU205" i="1"/>
  <c r="CW205" i="1"/>
  <c r="CV205" i="1"/>
  <c r="CU205" i="1"/>
  <c r="CT205" i="1"/>
  <c r="CS205" i="1"/>
  <c r="CR205" i="1"/>
  <c r="CQ205" i="1"/>
  <c r="CP205" i="1"/>
  <c r="CO205" i="1"/>
  <c r="CN205" i="1"/>
  <c r="CM205" i="1"/>
  <c r="CL205" i="1"/>
  <c r="DU204" i="1"/>
  <c r="CW204" i="1"/>
  <c r="CV204" i="1"/>
  <c r="CU204" i="1"/>
  <c r="CT204" i="1"/>
  <c r="CS204" i="1"/>
  <c r="CR204" i="1"/>
  <c r="CQ204" i="1"/>
  <c r="CP204" i="1"/>
  <c r="CO204" i="1"/>
  <c r="CN204" i="1"/>
  <c r="CM204" i="1"/>
  <c r="CL204" i="1"/>
  <c r="DU203" i="1"/>
  <c r="CW203" i="1"/>
  <c r="CV203" i="1"/>
  <c r="CU203" i="1"/>
  <c r="CT203" i="1"/>
  <c r="CS203" i="1"/>
  <c r="CR203" i="1"/>
  <c r="CQ203" i="1"/>
  <c r="CP203" i="1"/>
  <c r="CO203" i="1"/>
  <c r="CN203" i="1"/>
  <c r="CM203" i="1"/>
  <c r="CL203" i="1"/>
  <c r="F203" i="1"/>
  <c r="DU202" i="1"/>
  <c r="CW202" i="1"/>
  <c r="CV202" i="1"/>
  <c r="CU202" i="1"/>
  <c r="CT202" i="1"/>
  <c r="CS202" i="1"/>
  <c r="CR202" i="1"/>
  <c r="CQ202" i="1"/>
  <c r="CP202" i="1"/>
  <c r="CO202" i="1"/>
  <c r="CN202" i="1"/>
  <c r="CM202" i="1"/>
  <c r="CL202" i="1"/>
  <c r="F202" i="1"/>
  <c r="DU201" i="1"/>
  <c r="CW201" i="1"/>
  <c r="CV201" i="1"/>
  <c r="CU201" i="1"/>
  <c r="CT201" i="1"/>
  <c r="CS201" i="1"/>
  <c r="CR201" i="1"/>
  <c r="CQ201" i="1"/>
  <c r="CP201" i="1"/>
  <c r="CO201" i="1"/>
  <c r="CN201" i="1"/>
  <c r="CM201" i="1"/>
  <c r="CL201" i="1"/>
  <c r="F201" i="1"/>
  <c r="DU200" i="1"/>
  <c r="CW200" i="1"/>
  <c r="CV200" i="1"/>
  <c r="CU200" i="1"/>
  <c r="CT200" i="1"/>
  <c r="CS200" i="1"/>
  <c r="CR200" i="1"/>
  <c r="CQ200" i="1"/>
  <c r="CP200" i="1"/>
  <c r="CO200" i="1"/>
  <c r="CN200" i="1"/>
  <c r="CM200" i="1"/>
  <c r="CL200" i="1"/>
  <c r="F200" i="1"/>
  <c r="CW199" i="1"/>
  <c r="CV199" i="1"/>
  <c r="CU199" i="1"/>
  <c r="CT199" i="1"/>
  <c r="CS199" i="1"/>
  <c r="CR199" i="1"/>
  <c r="CQ199" i="1"/>
  <c r="CP199" i="1"/>
  <c r="CO199" i="1"/>
  <c r="CN199" i="1"/>
  <c r="CM199" i="1"/>
  <c r="CL199" i="1"/>
  <c r="F199" i="1"/>
  <c r="CW198" i="1"/>
  <c r="CV198" i="1"/>
  <c r="CU198" i="1"/>
  <c r="CT198" i="1"/>
  <c r="CS198" i="1"/>
  <c r="CR198" i="1"/>
  <c r="CQ198" i="1"/>
  <c r="CP198" i="1"/>
  <c r="CO198" i="1"/>
  <c r="CN198" i="1"/>
  <c r="CM198" i="1"/>
  <c r="CL198" i="1"/>
  <c r="F198" i="1"/>
  <c r="CW197" i="1"/>
  <c r="CV197" i="1"/>
  <c r="CU197" i="1"/>
  <c r="CT197" i="1"/>
  <c r="CS197" i="1"/>
  <c r="CR197" i="1"/>
  <c r="CQ197" i="1"/>
  <c r="CP197" i="1"/>
  <c r="CO197" i="1"/>
  <c r="CN197" i="1"/>
  <c r="CM197" i="1"/>
  <c r="CL197" i="1"/>
  <c r="F197" i="1"/>
  <c r="CW196" i="1"/>
  <c r="CV196" i="1"/>
  <c r="CU196" i="1"/>
  <c r="CT196" i="1"/>
  <c r="CS196" i="1"/>
  <c r="CR196" i="1"/>
  <c r="CQ196" i="1"/>
  <c r="CP196" i="1"/>
  <c r="CO196" i="1"/>
  <c r="CN196" i="1"/>
  <c r="CM196" i="1"/>
  <c r="CL196" i="1"/>
  <c r="F196" i="1"/>
  <c r="CW195" i="1"/>
  <c r="CV195" i="1"/>
  <c r="CU195" i="1"/>
  <c r="CT195" i="1"/>
  <c r="CS195" i="1"/>
  <c r="CR195" i="1"/>
  <c r="CQ195" i="1"/>
  <c r="CP195" i="1"/>
  <c r="CO195" i="1"/>
  <c r="CN195" i="1"/>
  <c r="CM195" i="1"/>
  <c r="CL195" i="1"/>
  <c r="F195" i="1"/>
  <c r="CW194" i="1"/>
  <c r="CV194" i="1"/>
  <c r="CU194" i="1"/>
  <c r="CT194" i="1"/>
  <c r="CS194" i="1"/>
  <c r="CR194" i="1"/>
  <c r="CQ194" i="1"/>
  <c r="CP194" i="1"/>
  <c r="CO194" i="1"/>
  <c r="CN194" i="1"/>
  <c r="CM194" i="1"/>
  <c r="CL194" i="1"/>
  <c r="F194" i="1"/>
  <c r="CW193" i="1"/>
  <c r="CV193" i="1"/>
  <c r="CU193" i="1"/>
  <c r="CT193" i="1"/>
  <c r="CS193" i="1"/>
  <c r="CR193" i="1"/>
  <c r="CQ193" i="1"/>
  <c r="CP193" i="1"/>
  <c r="CO193" i="1"/>
  <c r="CN193" i="1"/>
  <c r="CM193" i="1"/>
  <c r="CL193" i="1"/>
  <c r="F193" i="1"/>
  <c r="CW192" i="1"/>
  <c r="CV192" i="1"/>
  <c r="CU192" i="1"/>
  <c r="CT192" i="1"/>
  <c r="CS192" i="1"/>
  <c r="CR192" i="1"/>
  <c r="CQ192" i="1"/>
  <c r="CP192" i="1"/>
  <c r="CO192" i="1"/>
  <c r="CN192" i="1"/>
  <c r="CM192" i="1"/>
  <c r="CL192" i="1"/>
  <c r="F192" i="1"/>
  <c r="CW191" i="1"/>
  <c r="CV191" i="1"/>
  <c r="CU191" i="1"/>
  <c r="CT191" i="1"/>
  <c r="CS191" i="1"/>
  <c r="CR191" i="1"/>
  <c r="CQ191" i="1"/>
  <c r="CP191" i="1"/>
  <c r="CO191" i="1"/>
  <c r="CN191" i="1"/>
  <c r="CM191" i="1"/>
  <c r="CL191" i="1"/>
  <c r="F191" i="1"/>
  <c r="CW190" i="1"/>
  <c r="CV190" i="1"/>
  <c r="CU190" i="1"/>
  <c r="CT190" i="1"/>
  <c r="CS190" i="1"/>
  <c r="CR190" i="1"/>
  <c r="CQ190" i="1"/>
  <c r="CP190" i="1"/>
  <c r="CO190" i="1"/>
  <c r="CN190" i="1"/>
  <c r="CM190" i="1"/>
  <c r="CL190" i="1"/>
  <c r="F190" i="1"/>
  <c r="CW189" i="1"/>
  <c r="CV189" i="1"/>
  <c r="CU189" i="1"/>
  <c r="CT189" i="1"/>
  <c r="CS189" i="1"/>
  <c r="CR189" i="1"/>
  <c r="CQ189" i="1"/>
  <c r="CP189" i="1"/>
  <c r="CO189" i="1"/>
  <c r="CN189" i="1"/>
  <c r="CM189" i="1"/>
  <c r="CL189" i="1"/>
  <c r="F189" i="1"/>
  <c r="CW188" i="1"/>
  <c r="CV188" i="1"/>
  <c r="CU188" i="1"/>
  <c r="CT188" i="1"/>
  <c r="CS188" i="1"/>
  <c r="CR188" i="1"/>
  <c r="CQ188" i="1"/>
  <c r="CP188" i="1"/>
  <c r="CO188" i="1"/>
  <c r="CN188" i="1"/>
  <c r="CM188" i="1"/>
  <c r="CL188" i="1"/>
  <c r="F188" i="1"/>
  <c r="CW187" i="1"/>
  <c r="CV187" i="1"/>
  <c r="CU187" i="1"/>
  <c r="CT187" i="1"/>
  <c r="CS187" i="1"/>
  <c r="CR187" i="1"/>
  <c r="CQ187" i="1"/>
  <c r="CP187" i="1"/>
  <c r="CO187" i="1"/>
  <c r="CN187" i="1"/>
  <c r="CM187" i="1"/>
  <c r="CL187" i="1"/>
  <c r="F187" i="1"/>
  <c r="CW186" i="1"/>
  <c r="CV186" i="1"/>
  <c r="CU186" i="1"/>
  <c r="CT186" i="1"/>
  <c r="CS186" i="1"/>
  <c r="CR186" i="1"/>
  <c r="CQ186" i="1"/>
  <c r="CP186" i="1"/>
  <c r="CO186" i="1"/>
  <c r="CN186" i="1"/>
  <c r="CM186" i="1"/>
  <c r="CL186" i="1"/>
  <c r="F186" i="1"/>
  <c r="CW185" i="1"/>
  <c r="CV185" i="1"/>
  <c r="CU185" i="1"/>
  <c r="CT185" i="1"/>
  <c r="CS185" i="1"/>
  <c r="CR185" i="1"/>
  <c r="CQ185" i="1"/>
  <c r="CP185" i="1"/>
  <c r="CO185" i="1"/>
  <c r="CN185" i="1"/>
  <c r="CM185" i="1"/>
  <c r="CL185" i="1"/>
  <c r="F185" i="1"/>
  <c r="CW184" i="1"/>
  <c r="CV184" i="1"/>
  <c r="CU184" i="1"/>
  <c r="CT184" i="1"/>
  <c r="CS184" i="1"/>
  <c r="CR184" i="1"/>
  <c r="CQ184" i="1"/>
  <c r="CP184" i="1"/>
  <c r="CO184" i="1"/>
  <c r="CN184" i="1"/>
  <c r="CM184" i="1"/>
  <c r="CL184" i="1"/>
  <c r="F184" i="1"/>
  <c r="CW183" i="1"/>
  <c r="CV183" i="1"/>
  <c r="CU183" i="1"/>
  <c r="CT183" i="1"/>
  <c r="CS183" i="1"/>
  <c r="CR183" i="1"/>
  <c r="CQ183" i="1"/>
  <c r="CP183" i="1"/>
  <c r="CO183" i="1"/>
  <c r="CN183" i="1"/>
  <c r="CM183" i="1"/>
  <c r="CL183" i="1"/>
  <c r="F183" i="1"/>
  <c r="CW182" i="1"/>
  <c r="CV182" i="1"/>
  <c r="CU182" i="1"/>
  <c r="CT182" i="1"/>
  <c r="CS182" i="1"/>
  <c r="CR182" i="1"/>
  <c r="CQ182" i="1"/>
  <c r="CP182" i="1"/>
  <c r="CO182" i="1"/>
  <c r="CN182" i="1"/>
  <c r="CM182" i="1"/>
  <c r="CL182" i="1"/>
  <c r="F182" i="1"/>
  <c r="CW181" i="1"/>
  <c r="CV181" i="1"/>
  <c r="CU181" i="1"/>
  <c r="CT181" i="1"/>
  <c r="CS181" i="1"/>
  <c r="CR181" i="1"/>
  <c r="CQ181" i="1"/>
  <c r="CP181" i="1"/>
  <c r="CO181" i="1"/>
  <c r="CN181" i="1"/>
  <c r="CM181" i="1"/>
  <c r="CL181" i="1"/>
  <c r="F181" i="1"/>
  <c r="CW180" i="1"/>
  <c r="CV180" i="1"/>
  <c r="CU180" i="1"/>
  <c r="CT180" i="1"/>
  <c r="CS180" i="1"/>
  <c r="CR180" i="1"/>
  <c r="CQ180" i="1"/>
  <c r="CP180" i="1"/>
  <c r="CO180" i="1"/>
  <c r="CN180" i="1"/>
  <c r="CM180" i="1"/>
  <c r="CL180" i="1"/>
  <c r="F180" i="1"/>
  <c r="CW179" i="1"/>
  <c r="CV179" i="1"/>
  <c r="CU179" i="1"/>
  <c r="CT179" i="1"/>
  <c r="CS179" i="1"/>
  <c r="CR179" i="1"/>
  <c r="CQ179" i="1"/>
  <c r="CP179" i="1"/>
  <c r="CO179" i="1"/>
  <c r="CN179" i="1"/>
  <c r="CM179" i="1"/>
  <c r="CL179" i="1"/>
  <c r="F179" i="1"/>
  <c r="CW178" i="1"/>
  <c r="CV178" i="1"/>
  <c r="CU178" i="1"/>
  <c r="CT178" i="1"/>
  <c r="CS178" i="1"/>
  <c r="CR178" i="1"/>
  <c r="CQ178" i="1"/>
  <c r="CP178" i="1"/>
  <c r="CO178" i="1"/>
  <c r="CN178" i="1"/>
  <c r="CM178" i="1"/>
  <c r="CL178" i="1"/>
  <c r="F178" i="1"/>
  <c r="CW177" i="1"/>
  <c r="CV177" i="1"/>
  <c r="CU177" i="1"/>
  <c r="CT177" i="1"/>
  <c r="CS177" i="1"/>
  <c r="CR177" i="1"/>
  <c r="CQ177" i="1"/>
  <c r="CP177" i="1"/>
  <c r="CO177" i="1"/>
  <c r="CN177" i="1"/>
  <c r="CM177" i="1"/>
  <c r="CL177" i="1"/>
  <c r="F177" i="1"/>
  <c r="CW176" i="1"/>
  <c r="CV176" i="1"/>
  <c r="CU176" i="1"/>
  <c r="CT176" i="1"/>
  <c r="CS176" i="1"/>
  <c r="CR176" i="1"/>
  <c r="CQ176" i="1"/>
  <c r="CP176" i="1"/>
  <c r="CO176" i="1"/>
  <c r="CN176" i="1"/>
  <c r="CM176" i="1"/>
  <c r="CL176" i="1"/>
  <c r="F176" i="1"/>
  <c r="CW175" i="1"/>
  <c r="CV175" i="1"/>
  <c r="CU175" i="1"/>
  <c r="CT175" i="1"/>
  <c r="CS175" i="1"/>
  <c r="CR175" i="1"/>
  <c r="CQ175" i="1"/>
  <c r="CP175" i="1"/>
  <c r="CO175" i="1"/>
  <c r="CN175" i="1"/>
  <c r="CM175" i="1"/>
  <c r="CL175" i="1"/>
  <c r="F175" i="1"/>
  <c r="CW174" i="1"/>
  <c r="CV174" i="1"/>
  <c r="CU174" i="1"/>
  <c r="CT174" i="1"/>
  <c r="CS174" i="1"/>
  <c r="CR174" i="1"/>
  <c r="CQ174" i="1"/>
  <c r="CP174" i="1"/>
  <c r="CO174" i="1"/>
  <c r="CN174" i="1"/>
  <c r="CM174" i="1"/>
  <c r="CL174" i="1"/>
  <c r="F174" i="1"/>
  <c r="CW173" i="1"/>
  <c r="CV173" i="1"/>
  <c r="CU173" i="1"/>
  <c r="CT173" i="1"/>
  <c r="CS173" i="1"/>
  <c r="CR173" i="1"/>
  <c r="CQ173" i="1"/>
  <c r="CP173" i="1"/>
  <c r="CO173" i="1"/>
  <c r="CN173" i="1"/>
  <c r="CM173" i="1"/>
  <c r="CL173" i="1"/>
  <c r="F173" i="1"/>
  <c r="CW172" i="1"/>
  <c r="CV172" i="1"/>
  <c r="CU172" i="1"/>
  <c r="CT172" i="1"/>
  <c r="CS172" i="1"/>
  <c r="CR172" i="1"/>
  <c r="CQ172" i="1"/>
  <c r="CP172" i="1"/>
  <c r="CO172" i="1"/>
  <c r="CN172" i="1"/>
  <c r="CM172" i="1"/>
  <c r="CL172" i="1"/>
  <c r="F172" i="1"/>
  <c r="CW171" i="1"/>
  <c r="CV171" i="1"/>
  <c r="CU171" i="1"/>
  <c r="CT171" i="1"/>
  <c r="CS171" i="1"/>
  <c r="CR171" i="1"/>
  <c r="CQ171" i="1"/>
  <c r="CP171" i="1"/>
  <c r="CO171" i="1"/>
  <c r="CN171" i="1"/>
  <c r="CM171" i="1"/>
  <c r="CL171" i="1"/>
  <c r="F171" i="1"/>
  <c r="CW170" i="1"/>
  <c r="CV170" i="1"/>
  <c r="CU170" i="1"/>
  <c r="CT170" i="1"/>
  <c r="CS170" i="1"/>
  <c r="CR170" i="1"/>
  <c r="CQ170" i="1"/>
  <c r="CP170" i="1"/>
  <c r="CO170" i="1"/>
  <c r="CN170" i="1"/>
  <c r="CM170" i="1"/>
  <c r="CL170" i="1"/>
  <c r="F170" i="1"/>
  <c r="CW169" i="1"/>
  <c r="CV169" i="1"/>
  <c r="CU169" i="1"/>
  <c r="CT169" i="1"/>
  <c r="CS169" i="1"/>
  <c r="CR169" i="1"/>
  <c r="CQ169" i="1"/>
  <c r="CP169" i="1"/>
  <c r="CO169" i="1"/>
  <c r="CN169" i="1"/>
  <c r="CM169" i="1"/>
  <c r="CL169" i="1"/>
  <c r="F169" i="1"/>
  <c r="CW168" i="1"/>
  <c r="CV168" i="1"/>
  <c r="CU168" i="1"/>
  <c r="CT168" i="1"/>
  <c r="CS168" i="1"/>
  <c r="CR168" i="1"/>
  <c r="CQ168" i="1"/>
  <c r="CP168" i="1"/>
  <c r="CO168" i="1"/>
  <c r="CN168" i="1"/>
  <c r="CM168" i="1"/>
  <c r="CL168" i="1"/>
  <c r="F168" i="1"/>
  <c r="CW167" i="1"/>
  <c r="CV167" i="1"/>
  <c r="CU167" i="1"/>
  <c r="CT167" i="1"/>
  <c r="CS167" i="1"/>
  <c r="CR167" i="1"/>
  <c r="CQ167" i="1"/>
  <c r="CP167" i="1"/>
  <c r="CO167" i="1"/>
  <c r="CN167" i="1"/>
  <c r="CM167" i="1"/>
  <c r="CL167" i="1"/>
  <c r="F167" i="1"/>
  <c r="CW166" i="1"/>
  <c r="CV166" i="1"/>
  <c r="CU166" i="1"/>
  <c r="CT166" i="1"/>
  <c r="CS166" i="1"/>
  <c r="CR166" i="1"/>
  <c r="CQ166" i="1"/>
  <c r="CP166" i="1"/>
  <c r="CO166" i="1"/>
  <c r="CN166" i="1"/>
  <c r="CM166" i="1"/>
  <c r="CL166" i="1"/>
  <c r="F166" i="1"/>
  <c r="CW165" i="1"/>
  <c r="CV165" i="1"/>
  <c r="CU165" i="1"/>
  <c r="CT165" i="1"/>
  <c r="CS165" i="1"/>
  <c r="CR165" i="1"/>
  <c r="CQ165" i="1"/>
  <c r="CP165" i="1"/>
  <c r="CO165" i="1"/>
  <c r="CN165" i="1"/>
  <c r="CM165" i="1"/>
  <c r="CL165" i="1"/>
  <c r="F165" i="1"/>
  <c r="CW164" i="1"/>
  <c r="CV164" i="1"/>
  <c r="CU164" i="1"/>
  <c r="CT164" i="1"/>
  <c r="CS164" i="1"/>
  <c r="CR164" i="1"/>
  <c r="CQ164" i="1"/>
  <c r="CP164" i="1"/>
  <c r="CO164" i="1"/>
  <c r="CN164" i="1"/>
  <c r="CM164" i="1"/>
  <c r="CL164" i="1"/>
  <c r="F164" i="1"/>
  <c r="CW163" i="1"/>
  <c r="CV163" i="1"/>
  <c r="CU163" i="1"/>
  <c r="CT163" i="1"/>
  <c r="CS163" i="1"/>
  <c r="CR163" i="1"/>
  <c r="CQ163" i="1"/>
  <c r="CP163" i="1"/>
  <c r="CO163" i="1"/>
  <c r="CN163" i="1"/>
  <c r="CM163" i="1"/>
  <c r="CL163" i="1"/>
  <c r="F163" i="1"/>
  <c r="CW162" i="1"/>
  <c r="CV162" i="1"/>
  <c r="CU162" i="1"/>
  <c r="CT162" i="1"/>
  <c r="CS162" i="1"/>
  <c r="CR162" i="1"/>
  <c r="CQ162" i="1"/>
  <c r="CP162" i="1"/>
  <c r="CO162" i="1"/>
  <c r="CN162" i="1"/>
  <c r="CM162" i="1"/>
  <c r="CL162" i="1"/>
  <c r="F162" i="1"/>
  <c r="CW161" i="1"/>
  <c r="CV161" i="1"/>
  <c r="CU161" i="1"/>
  <c r="CT161" i="1"/>
  <c r="CS161" i="1"/>
  <c r="CR161" i="1"/>
  <c r="CQ161" i="1"/>
  <c r="CP161" i="1"/>
  <c r="CO161" i="1"/>
  <c r="CN161" i="1"/>
  <c r="CM161" i="1"/>
  <c r="CL161" i="1"/>
  <c r="F161" i="1"/>
  <c r="CW160" i="1"/>
  <c r="CV160" i="1"/>
  <c r="CU160" i="1"/>
  <c r="CT160" i="1"/>
  <c r="CS160" i="1"/>
  <c r="CR160" i="1"/>
  <c r="CQ160" i="1"/>
  <c r="CP160" i="1"/>
  <c r="CO160" i="1"/>
  <c r="CN160" i="1"/>
  <c r="CM160" i="1"/>
  <c r="CL160" i="1"/>
  <c r="F160" i="1"/>
  <c r="CW159" i="1"/>
  <c r="CV159" i="1"/>
  <c r="CU159" i="1"/>
  <c r="CT159" i="1"/>
  <c r="CS159" i="1"/>
  <c r="CR159" i="1"/>
  <c r="CQ159" i="1"/>
  <c r="CP159" i="1"/>
  <c r="CO159" i="1"/>
  <c r="CN159" i="1"/>
  <c r="CM159" i="1"/>
  <c r="CL159" i="1"/>
  <c r="F159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F158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F157" i="1"/>
  <c r="CW156" i="1"/>
  <c r="CV156" i="1"/>
  <c r="CU156" i="1"/>
  <c r="CT156" i="1"/>
  <c r="CS156" i="1"/>
  <c r="CR156" i="1"/>
  <c r="CQ156" i="1"/>
  <c r="CP156" i="1"/>
  <c r="CO156" i="1"/>
  <c r="CN156" i="1"/>
  <c r="CM156" i="1"/>
  <c r="CL156" i="1"/>
  <c r="F156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F155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F154" i="1"/>
  <c r="CW153" i="1"/>
  <c r="CV153" i="1"/>
  <c r="CU153" i="1"/>
  <c r="CT153" i="1"/>
  <c r="CS153" i="1"/>
  <c r="CR153" i="1"/>
  <c r="CL153" i="1" s="1"/>
  <c r="CQ153" i="1"/>
  <c r="CP153" i="1"/>
  <c r="CO153" i="1"/>
  <c r="CN153" i="1"/>
  <c r="CM153" i="1"/>
  <c r="F153" i="1"/>
  <c r="CW152" i="1"/>
  <c r="CV152" i="1"/>
  <c r="CU152" i="1"/>
  <c r="CT152" i="1"/>
  <c r="CS152" i="1"/>
  <c r="CR152" i="1"/>
  <c r="CL152" i="1" s="1"/>
  <c r="CQ152" i="1"/>
  <c r="CP152" i="1"/>
  <c r="CO152" i="1"/>
  <c r="CN152" i="1"/>
  <c r="CM152" i="1"/>
  <c r="F152" i="1"/>
  <c r="CW151" i="1"/>
  <c r="CV151" i="1"/>
  <c r="CU151" i="1"/>
  <c r="CT151" i="1"/>
  <c r="CS151" i="1"/>
  <c r="CR151" i="1"/>
  <c r="CL151" i="1" s="1"/>
  <c r="CQ151" i="1"/>
  <c r="CP151" i="1"/>
  <c r="CO151" i="1"/>
  <c r="CN151" i="1"/>
  <c r="CM151" i="1"/>
  <c r="F151" i="1"/>
  <c r="CW150" i="1"/>
  <c r="CV150" i="1"/>
  <c r="CU150" i="1"/>
  <c r="CT150" i="1"/>
  <c r="CS150" i="1"/>
  <c r="CR150" i="1"/>
  <c r="CL150" i="1" s="1"/>
  <c r="CQ150" i="1"/>
  <c r="CP150" i="1"/>
  <c r="CO150" i="1"/>
  <c r="CN150" i="1"/>
  <c r="CM150" i="1"/>
  <c r="F150" i="1"/>
  <c r="CW149" i="1"/>
  <c r="CV149" i="1"/>
  <c r="CU149" i="1"/>
  <c r="CT149" i="1"/>
  <c r="CS149" i="1"/>
  <c r="CR149" i="1"/>
  <c r="CL149" i="1" s="1"/>
  <c r="CQ149" i="1"/>
  <c r="CP149" i="1"/>
  <c r="CO149" i="1"/>
  <c r="CN149" i="1"/>
  <c r="CM149" i="1"/>
  <c r="F149" i="1"/>
  <c r="CW148" i="1"/>
  <c r="CV148" i="1"/>
  <c r="CU148" i="1"/>
  <c r="CT148" i="1"/>
  <c r="CS148" i="1"/>
  <c r="CR148" i="1"/>
  <c r="CL148" i="1" s="1"/>
  <c r="CQ148" i="1"/>
  <c r="CP148" i="1"/>
  <c r="CO148" i="1"/>
  <c r="CN148" i="1"/>
  <c r="CM148" i="1"/>
  <c r="F148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F147" i="1"/>
  <c r="CW146" i="1"/>
  <c r="CV146" i="1"/>
  <c r="CU146" i="1"/>
  <c r="CT146" i="1"/>
  <c r="CS146" i="1"/>
  <c r="CR146" i="1"/>
  <c r="CL146" i="1" s="1"/>
  <c r="CQ146" i="1"/>
  <c r="CP146" i="1"/>
  <c r="CO146" i="1"/>
  <c r="CN146" i="1"/>
  <c r="CM146" i="1"/>
  <c r="F146" i="1"/>
  <c r="CW145" i="1"/>
  <c r="CV145" i="1"/>
  <c r="CU145" i="1"/>
  <c r="CT145" i="1"/>
  <c r="CS145" i="1"/>
  <c r="CR145" i="1"/>
  <c r="CL145" i="1" s="1"/>
  <c r="CQ145" i="1"/>
  <c r="CP145" i="1"/>
  <c r="CO145" i="1"/>
  <c r="CN145" i="1"/>
  <c r="CM145" i="1"/>
  <c r="F145" i="1"/>
  <c r="CW144" i="1"/>
  <c r="CV144" i="1"/>
  <c r="CU144" i="1"/>
  <c r="CT144" i="1"/>
  <c r="CS144" i="1"/>
  <c r="CR144" i="1"/>
  <c r="CL144" i="1" s="1"/>
  <c r="CQ144" i="1"/>
  <c r="CP144" i="1"/>
  <c r="CO144" i="1"/>
  <c r="CN144" i="1"/>
  <c r="CM144" i="1"/>
  <c r="F144" i="1"/>
  <c r="CW143" i="1"/>
  <c r="CV143" i="1"/>
  <c r="CU143" i="1"/>
  <c r="CT143" i="1"/>
  <c r="CS143" i="1"/>
  <c r="CR143" i="1"/>
  <c r="CL143" i="1" s="1"/>
  <c r="CQ143" i="1"/>
  <c r="CP143" i="1"/>
  <c r="CO143" i="1"/>
  <c r="CN143" i="1"/>
  <c r="CM143" i="1"/>
  <c r="F143" i="1"/>
  <c r="CW142" i="1"/>
  <c r="CV142" i="1"/>
  <c r="CU142" i="1"/>
  <c r="CT142" i="1"/>
  <c r="CS142" i="1"/>
  <c r="CR142" i="1"/>
  <c r="CL142" i="1" s="1"/>
  <c r="CQ142" i="1"/>
  <c r="CP142" i="1"/>
  <c r="CO142" i="1"/>
  <c r="CN142" i="1"/>
  <c r="CM142" i="1"/>
  <c r="F142" i="1"/>
  <c r="CW141" i="1"/>
  <c r="CV141" i="1"/>
  <c r="CU141" i="1"/>
  <c r="CT141" i="1"/>
  <c r="CS141" i="1"/>
  <c r="CR141" i="1"/>
  <c r="CL141" i="1" s="1"/>
  <c r="CQ141" i="1"/>
  <c r="CP141" i="1"/>
  <c r="CO141" i="1"/>
  <c r="CN141" i="1"/>
  <c r="CM141" i="1"/>
  <c r="F141" i="1"/>
  <c r="CW140" i="1"/>
  <c r="CV140" i="1"/>
  <c r="CU140" i="1"/>
  <c r="CT140" i="1"/>
  <c r="CS140" i="1"/>
  <c r="CR140" i="1"/>
  <c r="CL140" i="1" s="1"/>
  <c r="CQ140" i="1"/>
  <c r="CP140" i="1"/>
  <c r="CO140" i="1"/>
  <c r="CN140" i="1"/>
  <c r="CM140" i="1"/>
  <c r="F140" i="1"/>
  <c r="CW139" i="1"/>
  <c r="CV139" i="1"/>
  <c r="CU139" i="1"/>
  <c r="CT139" i="1"/>
  <c r="CS139" i="1"/>
  <c r="CR139" i="1"/>
  <c r="CL139" i="1" s="1"/>
  <c r="CQ139" i="1"/>
  <c r="CP139" i="1"/>
  <c r="CO139" i="1"/>
  <c r="CN139" i="1"/>
  <c r="CM139" i="1"/>
  <c r="F139" i="1"/>
  <c r="CW138" i="1"/>
  <c r="CV138" i="1"/>
  <c r="CU138" i="1"/>
  <c r="CT138" i="1"/>
  <c r="CS138" i="1"/>
  <c r="CR138" i="1"/>
  <c r="CL138" i="1" s="1"/>
  <c r="CQ138" i="1"/>
  <c r="CP138" i="1"/>
  <c r="CO138" i="1"/>
  <c r="CN138" i="1"/>
  <c r="CM138" i="1"/>
  <c r="F138" i="1"/>
  <c r="CW137" i="1"/>
  <c r="CV137" i="1"/>
  <c r="CU137" i="1"/>
  <c r="CT137" i="1"/>
  <c r="CS137" i="1"/>
  <c r="CR137" i="1"/>
  <c r="CL137" i="1" s="1"/>
  <c r="CQ137" i="1"/>
  <c r="CP137" i="1"/>
  <c r="CO137" i="1"/>
  <c r="CN137" i="1"/>
  <c r="CM137" i="1"/>
  <c r="F137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F136" i="1"/>
  <c r="CW135" i="1"/>
  <c r="CV135" i="1"/>
  <c r="CU135" i="1"/>
  <c r="CT135" i="1"/>
  <c r="CS135" i="1"/>
  <c r="CR135" i="1"/>
  <c r="CL135" i="1" s="1"/>
  <c r="CQ135" i="1"/>
  <c r="CP135" i="1"/>
  <c r="CO135" i="1"/>
  <c r="CN135" i="1"/>
  <c r="CM135" i="1"/>
  <c r="F135" i="1"/>
  <c r="CW134" i="1"/>
  <c r="CV134" i="1"/>
  <c r="CU134" i="1"/>
  <c r="CT134" i="1"/>
  <c r="CS134" i="1"/>
  <c r="CR134" i="1"/>
  <c r="CL134" i="1" s="1"/>
  <c r="CQ134" i="1"/>
  <c r="CP134" i="1"/>
  <c r="CO134" i="1"/>
  <c r="CN134" i="1"/>
  <c r="CM134" i="1"/>
  <c r="F134" i="1"/>
  <c r="CW133" i="1"/>
  <c r="CV133" i="1"/>
  <c r="CU133" i="1"/>
  <c r="CT133" i="1"/>
  <c r="CS133" i="1"/>
  <c r="CR133" i="1"/>
  <c r="CL133" i="1" s="1"/>
  <c r="CQ133" i="1"/>
  <c r="CP133" i="1"/>
  <c r="CO133" i="1"/>
  <c r="CN133" i="1"/>
  <c r="CM133" i="1"/>
  <c r="F133" i="1"/>
  <c r="CW132" i="1"/>
  <c r="CV132" i="1"/>
  <c r="CU132" i="1"/>
  <c r="CT132" i="1"/>
  <c r="CS132" i="1"/>
  <c r="CR132" i="1"/>
  <c r="CL132" i="1" s="1"/>
  <c r="CQ132" i="1"/>
  <c r="CP132" i="1"/>
  <c r="CO132" i="1"/>
  <c r="CN132" i="1"/>
  <c r="CM132" i="1"/>
  <c r="F132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F131" i="1"/>
  <c r="CW130" i="1"/>
  <c r="CV130" i="1"/>
  <c r="CU130" i="1"/>
  <c r="CT130" i="1"/>
  <c r="CS130" i="1"/>
  <c r="CR130" i="1"/>
  <c r="CL130" i="1" s="1"/>
  <c r="CQ130" i="1"/>
  <c r="CP130" i="1"/>
  <c r="CO130" i="1"/>
  <c r="CN130" i="1"/>
  <c r="CM130" i="1"/>
  <c r="F130" i="1"/>
  <c r="CW129" i="1"/>
  <c r="CV129" i="1"/>
  <c r="CU129" i="1"/>
  <c r="CT129" i="1"/>
  <c r="CS129" i="1"/>
  <c r="CR129" i="1"/>
  <c r="CL129" i="1" s="1"/>
  <c r="CQ129" i="1"/>
  <c r="CP129" i="1"/>
  <c r="CO129" i="1"/>
  <c r="CN129" i="1"/>
  <c r="CM129" i="1"/>
  <c r="F129" i="1"/>
  <c r="CW128" i="1"/>
  <c r="CV128" i="1"/>
  <c r="CU128" i="1"/>
  <c r="CT128" i="1"/>
  <c r="CS128" i="1"/>
  <c r="CR128" i="1"/>
  <c r="CL128" i="1" s="1"/>
  <c r="CQ128" i="1"/>
  <c r="CP128" i="1"/>
  <c r="CO128" i="1"/>
  <c r="CN128" i="1"/>
  <c r="CM128" i="1"/>
  <c r="F128" i="1"/>
  <c r="CW127" i="1"/>
  <c r="CV127" i="1"/>
  <c r="CU127" i="1"/>
  <c r="CT127" i="1"/>
  <c r="CS127" i="1"/>
  <c r="CR127" i="1"/>
  <c r="CL127" i="1" s="1"/>
  <c r="CQ127" i="1"/>
  <c r="CP127" i="1"/>
  <c r="CO127" i="1"/>
  <c r="CN127" i="1"/>
  <c r="CM127" i="1"/>
  <c r="F127" i="1"/>
  <c r="CW126" i="1"/>
  <c r="CV126" i="1"/>
  <c r="CU126" i="1"/>
  <c r="CT126" i="1"/>
  <c r="CS126" i="1"/>
  <c r="CR126" i="1"/>
  <c r="CL126" i="1" s="1"/>
  <c r="CQ126" i="1"/>
  <c r="CP126" i="1"/>
  <c r="CO126" i="1"/>
  <c r="CN126" i="1"/>
  <c r="CM126" i="1"/>
  <c r="F126" i="1"/>
  <c r="CW125" i="1"/>
  <c r="CV125" i="1"/>
  <c r="CU125" i="1"/>
  <c r="CT125" i="1"/>
  <c r="CS125" i="1"/>
  <c r="CR125" i="1"/>
  <c r="CL125" i="1" s="1"/>
  <c r="CQ125" i="1"/>
  <c r="CP125" i="1"/>
  <c r="CO125" i="1"/>
  <c r="CN125" i="1"/>
  <c r="CM125" i="1"/>
  <c r="F125" i="1"/>
  <c r="CW124" i="1"/>
  <c r="CV124" i="1"/>
  <c r="CU124" i="1"/>
  <c r="CT124" i="1"/>
  <c r="CS124" i="1"/>
  <c r="CR124" i="1"/>
  <c r="CL124" i="1" s="1"/>
  <c r="CQ124" i="1"/>
  <c r="CP124" i="1"/>
  <c r="CO124" i="1"/>
  <c r="CN124" i="1"/>
  <c r="CM124" i="1"/>
  <c r="F124" i="1"/>
  <c r="CW123" i="1"/>
  <c r="CV123" i="1"/>
  <c r="CU123" i="1"/>
  <c r="CT123" i="1"/>
  <c r="CS123" i="1"/>
  <c r="CR123" i="1"/>
  <c r="CL123" i="1" s="1"/>
  <c r="CQ123" i="1"/>
  <c r="CP123" i="1"/>
  <c r="CO123" i="1"/>
  <c r="CN123" i="1"/>
  <c r="CM123" i="1"/>
  <c r="F123" i="1"/>
  <c r="CW122" i="1"/>
  <c r="CV122" i="1"/>
  <c r="CU122" i="1"/>
  <c r="CT122" i="1"/>
  <c r="CS122" i="1"/>
  <c r="CR122" i="1"/>
  <c r="CL122" i="1" s="1"/>
  <c r="CQ122" i="1"/>
  <c r="CP122" i="1"/>
  <c r="CO122" i="1"/>
  <c r="CN122" i="1"/>
  <c r="CM122" i="1"/>
  <c r="F122" i="1"/>
  <c r="CW121" i="1"/>
  <c r="CV121" i="1"/>
  <c r="CU121" i="1"/>
  <c r="CT121" i="1"/>
  <c r="CS121" i="1"/>
  <c r="CR121" i="1"/>
  <c r="CL121" i="1" s="1"/>
  <c r="CQ121" i="1"/>
  <c r="CP121" i="1"/>
  <c r="CO121" i="1"/>
  <c r="CN121" i="1"/>
  <c r="CM121" i="1"/>
  <c r="F121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F120" i="1"/>
  <c r="CW119" i="1"/>
  <c r="CV119" i="1"/>
  <c r="CU119" i="1"/>
  <c r="CT119" i="1"/>
  <c r="CS119" i="1"/>
  <c r="CR119" i="1"/>
  <c r="CL119" i="1" s="1"/>
  <c r="CQ119" i="1"/>
  <c r="CP119" i="1"/>
  <c r="CO119" i="1"/>
  <c r="CN119" i="1"/>
  <c r="CM119" i="1"/>
  <c r="F119" i="1"/>
  <c r="CW118" i="1"/>
  <c r="CV118" i="1"/>
  <c r="CU118" i="1"/>
  <c r="CT118" i="1"/>
  <c r="CS118" i="1"/>
  <c r="CR118" i="1"/>
  <c r="CL118" i="1" s="1"/>
  <c r="CQ118" i="1"/>
  <c r="CP118" i="1"/>
  <c r="CO118" i="1"/>
  <c r="CN118" i="1"/>
  <c r="CM118" i="1"/>
  <c r="F118" i="1"/>
  <c r="CW117" i="1"/>
  <c r="CV117" i="1"/>
  <c r="CU117" i="1"/>
  <c r="CT117" i="1"/>
  <c r="CS117" i="1"/>
  <c r="CR117" i="1"/>
  <c r="CL117" i="1" s="1"/>
  <c r="CQ117" i="1"/>
  <c r="CP117" i="1"/>
  <c r="CO117" i="1"/>
  <c r="CN117" i="1"/>
  <c r="CM117" i="1"/>
  <c r="F117" i="1"/>
  <c r="CW116" i="1"/>
  <c r="CV116" i="1"/>
  <c r="CU116" i="1"/>
  <c r="CT116" i="1"/>
  <c r="CS116" i="1"/>
  <c r="CR116" i="1"/>
  <c r="CL116" i="1" s="1"/>
  <c r="CQ116" i="1"/>
  <c r="CP116" i="1"/>
  <c r="CO116" i="1"/>
  <c r="CN116" i="1"/>
  <c r="CM116" i="1"/>
  <c r="F116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F115" i="1"/>
  <c r="CW114" i="1"/>
  <c r="CV114" i="1"/>
  <c r="CU114" i="1"/>
  <c r="CT114" i="1"/>
  <c r="CS114" i="1"/>
  <c r="CR114" i="1"/>
  <c r="CL114" i="1" s="1"/>
  <c r="CQ114" i="1"/>
  <c r="CP114" i="1"/>
  <c r="CO114" i="1"/>
  <c r="CN114" i="1"/>
  <c r="CM114" i="1"/>
  <c r="F114" i="1"/>
  <c r="CW113" i="1"/>
  <c r="CV113" i="1"/>
  <c r="CU113" i="1"/>
  <c r="CT113" i="1"/>
  <c r="CS113" i="1"/>
  <c r="CR113" i="1"/>
  <c r="CL113" i="1" s="1"/>
  <c r="CQ113" i="1"/>
  <c r="CP113" i="1"/>
  <c r="CO113" i="1"/>
  <c r="CN113" i="1"/>
  <c r="CM113" i="1"/>
  <c r="F113" i="1"/>
  <c r="CW112" i="1"/>
  <c r="CV112" i="1"/>
  <c r="CU112" i="1"/>
  <c r="CT112" i="1"/>
  <c r="CS112" i="1"/>
  <c r="CR112" i="1"/>
  <c r="CL112" i="1" s="1"/>
  <c r="CQ112" i="1"/>
  <c r="CP112" i="1"/>
  <c r="CO112" i="1"/>
  <c r="CN112" i="1"/>
  <c r="CM112" i="1"/>
  <c r="F112" i="1"/>
  <c r="CW111" i="1"/>
  <c r="CV111" i="1"/>
  <c r="CU111" i="1"/>
  <c r="CT111" i="1"/>
  <c r="CS111" i="1"/>
  <c r="CR111" i="1"/>
  <c r="CL111" i="1" s="1"/>
  <c r="CQ111" i="1"/>
  <c r="CP111" i="1"/>
  <c r="CO111" i="1"/>
  <c r="CN111" i="1"/>
  <c r="CM111" i="1"/>
  <c r="F111" i="1"/>
  <c r="CW110" i="1"/>
  <c r="CV110" i="1"/>
  <c r="CU110" i="1"/>
  <c r="CT110" i="1"/>
  <c r="CS110" i="1"/>
  <c r="CR110" i="1"/>
  <c r="CL110" i="1" s="1"/>
  <c r="CQ110" i="1"/>
  <c r="CP110" i="1"/>
  <c r="CO110" i="1"/>
  <c r="CN110" i="1"/>
  <c r="CM110" i="1"/>
  <c r="F110" i="1"/>
  <c r="CW109" i="1"/>
  <c r="CV109" i="1"/>
  <c r="CU109" i="1"/>
  <c r="CT109" i="1"/>
  <c r="CS109" i="1"/>
  <c r="CR109" i="1"/>
  <c r="CL109" i="1" s="1"/>
  <c r="CQ109" i="1"/>
  <c r="CP109" i="1"/>
  <c r="CO109" i="1"/>
  <c r="CN109" i="1"/>
  <c r="CM109" i="1"/>
  <c r="F109" i="1"/>
  <c r="CW108" i="1"/>
  <c r="CV108" i="1"/>
  <c r="CU108" i="1"/>
  <c r="CT108" i="1"/>
  <c r="CS108" i="1"/>
  <c r="CR108" i="1"/>
  <c r="CL108" i="1" s="1"/>
  <c r="CQ108" i="1"/>
  <c r="CP108" i="1"/>
  <c r="CO108" i="1"/>
  <c r="CN108" i="1"/>
  <c r="CM108" i="1"/>
  <c r="F108" i="1"/>
  <c r="CW107" i="1"/>
  <c r="CV107" i="1"/>
  <c r="CU107" i="1"/>
  <c r="CT107" i="1"/>
  <c r="CS107" i="1"/>
  <c r="CR107" i="1"/>
  <c r="CL107" i="1" s="1"/>
  <c r="CQ107" i="1"/>
  <c r="CP107" i="1"/>
  <c r="CO107" i="1"/>
  <c r="CN107" i="1"/>
  <c r="CM107" i="1"/>
  <c r="F107" i="1"/>
  <c r="CW106" i="1"/>
  <c r="CV106" i="1"/>
  <c r="CU106" i="1"/>
  <c r="CT106" i="1"/>
  <c r="CS106" i="1"/>
  <c r="CR106" i="1"/>
  <c r="CL106" i="1" s="1"/>
  <c r="CQ106" i="1"/>
  <c r="CP106" i="1"/>
  <c r="CO106" i="1"/>
  <c r="CN106" i="1"/>
  <c r="CM106" i="1"/>
  <c r="F106" i="1"/>
  <c r="CW105" i="1"/>
  <c r="CV105" i="1"/>
  <c r="CU105" i="1"/>
  <c r="CT105" i="1"/>
  <c r="CS105" i="1"/>
  <c r="CR105" i="1"/>
  <c r="CL105" i="1" s="1"/>
  <c r="CQ105" i="1"/>
  <c r="CP105" i="1"/>
  <c r="CO105" i="1"/>
  <c r="CN105" i="1"/>
  <c r="CM105" i="1"/>
  <c r="F105" i="1"/>
  <c r="CW104" i="1"/>
  <c r="CV104" i="1"/>
  <c r="CU104" i="1"/>
  <c r="CT104" i="1"/>
  <c r="CS104" i="1"/>
  <c r="CR104" i="1"/>
  <c r="CQ104" i="1"/>
  <c r="CP104" i="1"/>
  <c r="CO104" i="1"/>
  <c r="CN104" i="1"/>
  <c r="CM104" i="1"/>
  <c r="CL104" i="1"/>
  <c r="F104" i="1"/>
  <c r="CW103" i="1"/>
  <c r="CV103" i="1"/>
  <c r="CU103" i="1"/>
  <c r="CT103" i="1"/>
  <c r="CS103" i="1"/>
  <c r="CR103" i="1"/>
  <c r="CL103" i="1" s="1"/>
  <c r="CQ103" i="1"/>
  <c r="CP103" i="1"/>
  <c r="CO103" i="1"/>
  <c r="CN103" i="1"/>
  <c r="CM103" i="1"/>
  <c r="F103" i="1"/>
  <c r="CW102" i="1"/>
  <c r="CV102" i="1"/>
  <c r="CU102" i="1"/>
  <c r="CT102" i="1"/>
  <c r="CS102" i="1"/>
  <c r="CR102" i="1"/>
  <c r="CL102" i="1" s="1"/>
  <c r="CQ102" i="1"/>
  <c r="CP102" i="1"/>
  <c r="CO102" i="1"/>
  <c r="CN102" i="1"/>
  <c r="CM102" i="1"/>
  <c r="F102" i="1"/>
  <c r="CW101" i="1"/>
  <c r="CV101" i="1"/>
  <c r="CU101" i="1"/>
  <c r="CT101" i="1"/>
  <c r="CS101" i="1"/>
  <c r="CR101" i="1"/>
  <c r="CL101" i="1" s="1"/>
  <c r="CQ101" i="1"/>
  <c r="CP101" i="1"/>
  <c r="CO101" i="1"/>
  <c r="CN101" i="1"/>
  <c r="CM101" i="1"/>
  <c r="F101" i="1"/>
  <c r="CW100" i="1"/>
  <c r="CV100" i="1"/>
  <c r="CU100" i="1"/>
  <c r="CT100" i="1"/>
  <c r="CS100" i="1"/>
  <c r="CR100" i="1"/>
  <c r="CL100" i="1" s="1"/>
  <c r="CQ100" i="1"/>
  <c r="CP100" i="1"/>
  <c r="CO100" i="1"/>
  <c r="CN100" i="1"/>
  <c r="CM100" i="1"/>
  <c r="F100" i="1"/>
  <c r="CW99" i="1"/>
  <c r="CV99" i="1"/>
  <c r="CU99" i="1"/>
  <c r="CT99" i="1"/>
  <c r="CS99" i="1"/>
  <c r="CR99" i="1"/>
  <c r="CQ99" i="1"/>
  <c r="CP99" i="1"/>
  <c r="CO99" i="1"/>
  <c r="CN99" i="1"/>
  <c r="CM99" i="1"/>
  <c r="CL99" i="1"/>
  <c r="F99" i="1"/>
  <c r="CW98" i="1"/>
  <c r="CV98" i="1"/>
  <c r="CU98" i="1"/>
  <c r="CT98" i="1"/>
  <c r="CS98" i="1"/>
  <c r="CR98" i="1"/>
  <c r="CL98" i="1" s="1"/>
  <c r="CQ98" i="1"/>
  <c r="CP98" i="1"/>
  <c r="CO98" i="1"/>
  <c r="CN98" i="1"/>
  <c r="CM98" i="1"/>
  <c r="F98" i="1"/>
  <c r="CW97" i="1"/>
  <c r="CV97" i="1"/>
  <c r="CU97" i="1"/>
  <c r="CT97" i="1"/>
  <c r="CS97" i="1"/>
  <c r="CR97" i="1"/>
  <c r="CL97" i="1" s="1"/>
  <c r="CQ97" i="1"/>
  <c r="CP97" i="1"/>
  <c r="CO97" i="1"/>
  <c r="CN97" i="1"/>
  <c r="CM97" i="1"/>
  <c r="F97" i="1"/>
  <c r="CW96" i="1"/>
  <c r="CV96" i="1"/>
  <c r="CU96" i="1"/>
  <c r="CT96" i="1"/>
  <c r="CS96" i="1"/>
  <c r="CR96" i="1"/>
  <c r="CL96" i="1" s="1"/>
  <c r="CQ96" i="1"/>
  <c r="CP96" i="1"/>
  <c r="CO96" i="1"/>
  <c r="CN96" i="1"/>
  <c r="CM96" i="1"/>
  <c r="F96" i="1"/>
  <c r="CW95" i="1"/>
  <c r="CV95" i="1"/>
  <c r="CU95" i="1"/>
  <c r="CT95" i="1"/>
  <c r="CS95" i="1"/>
  <c r="CR95" i="1"/>
  <c r="CL95" i="1" s="1"/>
  <c r="CQ95" i="1"/>
  <c r="CP95" i="1"/>
  <c r="CO95" i="1"/>
  <c r="CN95" i="1"/>
  <c r="CM95" i="1"/>
  <c r="F95" i="1"/>
  <c r="CW94" i="1"/>
  <c r="CV94" i="1"/>
  <c r="CU94" i="1"/>
  <c r="CT94" i="1"/>
  <c r="CS94" i="1"/>
  <c r="CR94" i="1"/>
  <c r="CL94" i="1" s="1"/>
  <c r="CQ94" i="1"/>
  <c r="CP94" i="1"/>
  <c r="CO94" i="1"/>
  <c r="CN94" i="1"/>
  <c r="CM94" i="1"/>
  <c r="F94" i="1"/>
  <c r="CW93" i="1"/>
  <c r="CV93" i="1"/>
  <c r="CU93" i="1"/>
  <c r="CT93" i="1"/>
  <c r="CS93" i="1"/>
  <c r="CR93" i="1"/>
  <c r="CL93" i="1" s="1"/>
  <c r="CQ93" i="1"/>
  <c r="CP93" i="1"/>
  <c r="CO93" i="1"/>
  <c r="CN93" i="1"/>
  <c r="CM93" i="1"/>
  <c r="F93" i="1"/>
  <c r="CW92" i="1"/>
  <c r="CV92" i="1"/>
  <c r="CU92" i="1"/>
  <c r="CT92" i="1"/>
  <c r="CS92" i="1"/>
  <c r="CR92" i="1"/>
  <c r="CL92" i="1" s="1"/>
  <c r="CQ92" i="1"/>
  <c r="CP92" i="1"/>
  <c r="CO92" i="1"/>
  <c r="CN92" i="1"/>
  <c r="CM92" i="1"/>
  <c r="F92" i="1"/>
  <c r="CW91" i="1"/>
  <c r="CV91" i="1"/>
  <c r="CU91" i="1"/>
  <c r="CT91" i="1"/>
  <c r="CS91" i="1"/>
  <c r="CR91" i="1"/>
  <c r="CL91" i="1" s="1"/>
  <c r="CQ91" i="1"/>
  <c r="CP91" i="1"/>
  <c r="CO91" i="1"/>
  <c r="CN91" i="1"/>
  <c r="CM91" i="1"/>
  <c r="F91" i="1"/>
  <c r="CW90" i="1"/>
  <c r="CV90" i="1"/>
  <c r="CU90" i="1"/>
  <c r="CT90" i="1"/>
  <c r="CS90" i="1"/>
  <c r="CR90" i="1"/>
  <c r="CL90" i="1" s="1"/>
  <c r="CQ90" i="1"/>
  <c r="CP90" i="1"/>
  <c r="CO90" i="1"/>
  <c r="CN90" i="1"/>
  <c r="CM90" i="1"/>
  <c r="F90" i="1"/>
  <c r="CW89" i="1"/>
  <c r="CV89" i="1"/>
  <c r="CU89" i="1"/>
  <c r="CT89" i="1"/>
  <c r="CS89" i="1"/>
  <c r="CR89" i="1"/>
  <c r="CL89" i="1" s="1"/>
  <c r="CQ89" i="1"/>
  <c r="CP89" i="1"/>
  <c r="CO89" i="1"/>
  <c r="CN89" i="1"/>
  <c r="CM89" i="1"/>
  <c r="F89" i="1"/>
  <c r="CW88" i="1"/>
  <c r="CV88" i="1"/>
  <c r="CU88" i="1"/>
  <c r="CT88" i="1"/>
  <c r="CS88" i="1"/>
  <c r="CR88" i="1"/>
  <c r="CL88" i="1" s="1"/>
  <c r="CQ88" i="1"/>
  <c r="CP88" i="1"/>
  <c r="CO88" i="1"/>
  <c r="CN88" i="1"/>
  <c r="CM88" i="1"/>
  <c r="F88" i="1"/>
  <c r="CW87" i="1"/>
  <c r="CV87" i="1"/>
  <c r="CU87" i="1"/>
  <c r="CT87" i="1"/>
  <c r="CS87" i="1"/>
  <c r="CR87" i="1"/>
  <c r="CL87" i="1" s="1"/>
  <c r="CQ87" i="1"/>
  <c r="CP87" i="1"/>
  <c r="CO87" i="1"/>
  <c r="CN87" i="1"/>
  <c r="CM87" i="1"/>
  <c r="F87" i="1"/>
  <c r="CW86" i="1"/>
  <c r="CV86" i="1"/>
  <c r="CU86" i="1"/>
  <c r="CT86" i="1"/>
  <c r="CS86" i="1"/>
  <c r="CR86" i="1"/>
  <c r="CL86" i="1" s="1"/>
  <c r="CQ86" i="1"/>
  <c r="CP86" i="1"/>
  <c r="CO86" i="1"/>
  <c r="CN86" i="1"/>
  <c r="CM86" i="1"/>
  <c r="F86" i="1"/>
  <c r="CW85" i="1"/>
  <c r="CV85" i="1"/>
  <c r="CU85" i="1"/>
  <c r="CT85" i="1"/>
  <c r="CS85" i="1"/>
  <c r="CR85" i="1"/>
  <c r="CL85" i="1" s="1"/>
  <c r="CQ85" i="1"/>
  <c r="CP85" i="1"/>
  <c r="CO85" i="1"/>
  <c r="CN85" i="1"/>
  <c r="CM85" i="1"/>
  <c r="F85" i="1"/>
  <c r="CW84" i="1"/>
  <c r="CV84" i="1"/>
  <c r="CU84" i="1"/>
  <c r="CT84" i="1"/>
  <c r="CS84" i="1"/>
  <c r="CR84" i="1"/>
  <c r="CQ84" i="1"/>
  <c r="CP84" i="1"/>
  <c r="CO84" i="1"/>
  <c r="CN84" i="1"/>
  <c r="CM84" i="1"/>
  <c r="CL84" i="1"/>
  <c r="F84" i="1"/>
  <c r="CW83" i="1"/>
  <c r="CV83" i="1"/>
  <c r="CU83" i="1"/>
  <c r="CT83" i="1"/>
  <c r="CS83" i="1"/>
  <c r="CR83" i="1"/>
  <c r="CQ83" i="1"/>
  <c r="CP83" i="1"/>
  <c r="CO83" i="1"/>
  <c r="CN83" i="1"/>
  <c r="CM83" i="1"/>
  <c r="CL83" i="1"/>
  <c r="F83" i="1"/>
  <c r="CW82" i="1"/>
  <c r="CV82" i="1"/>
  <c r="CU82" i="1"/>
  <c r="CT82" i="1"/>
  <c r="CS82" i="1"/>
  <c r="CR82" i="1"/>
  <c r="CL82" i="1" s="1"/>
  <c r="CQ82" i="1"/>
  <c r="CP82" i="1"/>
  <c r="CO82" i="1"/>
  <c r="CN82" i="1"/>
  <c r="CM82" i="1"/>
  <c r="F82" i="1"/>
  <c r="CW81" i="1"/>
  <c r="CV81" i="1"/>
  <c r="CU81" i="1"/>
  <c r="CT81" i="1"/>
  <c r="CS81" i="1"/>
  <c r="CR81" i="1"/>
  <c r="CL81" i="1" s="1"/>
  <c r="CQ81" i="1"/>
  <c r="CP81" i="1"/>
  <c r="CO81" i="1"/>
  <c r="CN81" i="1"/>
  <c r="CM81" i="1"/>
  <c r="F81" i="1"/>
  <c r="CW80" i="1"/>
  <c r="CV80" i="1"/>
  <c r="CU80" i="1"/>
  <c r="CT80" i="1"/>
  <c r="CS80" i="1"/>
  <c r="CR80" i="1"/>
  <c r="CL80" i="1" s="1"/>
  <c r="CQ80" i="1"/>
  <c r="CP80" i="1"/>
  <c r="CO80" i="1"/>
  <c r="CN80" i="1"/>
  <c r="CM80" i="1"/>
  <c r="F80" i="1"/>
  <c r="CW79" i="1"/>
  <c r="CV79" i="1"/>
  <c r="CU79" i="1"/>
  <c r="CT79" i="1"/>
  <c r="CS79" i="1"/>
  <c r="CR79" i="1"/>
  <c r="CL79" i="1" s="1"/>
  <c r="CQ79" i="1"/>
  <c r="CP79" i="1"/>
  <c r="CO79" i="1"/>
  <c r="CN79" i="1"/>
  <c r="CM79" i="1"/>
  <c r="F79" i="1"/>
  <c r="CW78" i="1"/>
  <c r="CV78" i="1"/>
  <c r="CU78" i="1"/>
  <c r="CT78" i="1"/>
  <c r="CS78" i="1"/>
  <c r="CR78" i="1"/>
  <c r="CL78" i="1" s="1"/>
  <c r="CQ78" i="1"/>
  <c r="CP78" i="1"/>
  <c r="CO78" i="1"/>
  <c r="CN78" i="1"/>
  <c r="CM78" i="1"/>
  <c r="F78" i="1"/>
  <c r="CW77" i="1"/>
  <c r="CV77" i="1"/>
  <c r="CU77" i="1"/>
  <c r="CT77" i="1"/>
  <c r="CS77" i="1"/>
  <c r="CR77" i="1"/>
  <c r="CL77" i="1" s="1"/>
  <c r="CQ77" i="1"/>
  <c r="CP77" i="1"/>
  <c r="CO77" i="1"/>
  <c r="CN77" i="1"/>
  <c r="CM77" i="1"/>
  <c r="F77" i="1"/>
  <c r="CW76" i="1"/>
  <c r="CV76" i="1"/>
  <c r="CU76" i="1"/>
  <c r="CT76" i="1"/>
  <c r="CS76" i="1"/>
  <c r="CR76" i="1"/>
  <c r="CL76" i="1" s="1"/>
  <c r="CQ76" i="1"/>
  <c r="CP76" i="1"/>
  <c r="CO76" i="1"/>
  <c r="CN76" i="1"/>
  <c r="CM76" i="1"/>
  <c r="F76" i="1"/>
  <c r="CW75" i="1"/>
  <c r="CV75" i="1"/>
  <c r="CU75" i="1"/>
  <c r="CT75" i="1"/>
  <c r="CS75" i="1"/>
  <c r="CR75" i="1"/>
  <c r="CL75" i="1" s="1"/>
  <c r="CQ75" i="1"/>
  <c r="CP75" i="1"/>
  <c r="CO75" i="1"/>
  <c r="CN75" i="1"/>
  <c r="CM75" i="1"/>
  <c r="F75" i="1"/>
  <c r="CW74" i="1"/>
  <c r="CV74" i="1"/>
  <c r="CU74" i="1"/>
  <c r="CT74" i="1"/>
  <c r="CS74" i="1"/>
  <c r="CR74" i="1"/>
  <c r="CL74" i="1" s="1"/>
  <c r="CQ74" i="1"/>
  <c r="CP74" i="1"/>
  <c r="CO74" i="1"/>
  <c r="CN74" i="1"/>
  <c r="CM74" i="1"/>
  <c r="F74" i="1"/>
  <c r="CW73" i="1"/>
  <c r="CV73" i="1"/>
  <c r="CU73" i="1"/>
  <c r="CT73" i="1"/>
  <c r="CS73" i="1"/>
  <c r="CR73" i="1"/>
  <c r="CL73" i="1" s="1"/>
  <c r="CQ73" i="1"/>
  <c r="CP73" i="1"/>
  <c r="CO73" i="1"/>
  <c r="CN73" i="1"/>
  <c r="CM73" i="1"/>
  <c r="F73" i="1"/>
  <c r="CW72" i="1"/>
  <c r="CV72" i="1"/>
  <c r="CU72" i="1"/>
  <c r="CT72" i="1"/>
  <c r="CS72" i="1"/>
  <c r="CR72" i="1"/>
  <c r="CL72" i="1" s="1"/>
  <c r="CQ72" i="1"/>
  <c r="CP72" i="1"/>
  <c r="CO72" i="1"/>
  <c r="CN72" i="1"/>
  <c r="CM72" i="1"/>
  <c r="F72" i="1"/>
  <c r="CW71" i="1"/>
  <c r="CV71" i="1"/>
  <c r="CU71" i="1"/>
  <c r="CT71" i="1"/>
  <c r="CS71" i="1"/>
  <c r="CR71" i="1"/>
  <c r="CL71" i="1" s="1"/>
  <c r="CQ71" i="1"/>
  <c r="CP71" i="1"/>
  <c r="CO71" i="1"/>
  <c r="CN71" i="1"/>
  <c r="CM71" i="1"/>
  <c r="F71" i="1"/>
  <c r="CW70" i="1"/>
  <c r="CV70" i="1"/>
  <c r="CU70" i="1"/>
  <c r="CT70" i="1"/>
  <c r="CS70" i="1"/>
  <c r="CR70" i="1"/>
  <c r="CL70" i="1" s="1"/>
  <c r="CQ70" i="1"/>
  <c r="CP70" i="1"/>
  <c r="CO70" i="1"/>
  <c r="CN70" i="1"/>
  <c r="CM70" i="1"/>
  <c r="F70" i="1"/>
  <c r="CW69" i="1"/>
  <c r="CV69" i="1"/>
  <c r="CU69" i="1"/>
  <c r="CT69" i="1"/>
  <c r="CS69" i="1"/>
  <c r="CR69" i="1"/>
  <c r="CL69" i="1" s="1"/>
  <c r="CQ69" i="1"/>
  <c r="CP69" i="1"/>
  <c r="CO69" i="1"/>
  <c r="CN69" i="1"/>
  <c r="CM69" i="1"/>
  <c r="F69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F68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F67" i="1"/>
  <c r="CW66" i="1"/>
  <c r="CV66" i="1"/>
  <c r="CU66" i="1"/>
  <c r="CT66" i="1"/>
  <c r="CS66" i="1"/>
  <c r="CR66" i="1"/>
  <c r="CL66" i="1" s="1"/>
  <c r="CQ66" i="1"/>
  <c r="CP66" i="1"/>
  <c r="CO66" i="1"/>
  <c r="CN66" i="1"/>
  <c r="CM66" i="1"/>
  <c r="F66" i="1"/>
  <c r="CW65" i="1"/>
  <c r="CV65" i="1"/>
  <c r="CU65" i="1"/>
  <c r="CT65" i="1"/>
  <c r="CS65" i="1"/>
  <c r="CR65" i="1"/>
  <c r="CL65" i="1" s="1"/>
  <c r="CQ65" i="1"/>
  <c r="CP65" i="1"/>
  <c r="CO65" i="1"/>
  <c r="CN65" i="1"/>
  <c r="CM65" i="1"/>
  <c r="F65" i="1"/>
  <c r="CW64" i="1"/>
  <c r="CV64" i="1"/>
  <c r="CU64" i="1"/>
  <c r="CT64" i="1"/>
  <c r="CS64" i="1"/>
  <c r="CR64" i="1"/>
  <c r="CL64" i="1" s="1"/>
  <c r="CQ64" i="1"/>
  <c r="CP64" i="1"/>
  <c r="CO64" i="1"/>
  <c r="CN64" i="1"/>
  <c r="CM64" i="1"/>
  <c r="F64" i="1"/>
  <c r="CW63" i="1"/>
  <c r="CV63" i="1"/>
  <c r="CU63" i="1"/>
  <c r="CT63" i="1"/>
  <c r="CS63" i="1"/>
  <c r="CR63" i="1"/>
  <c r="CL63" i="1" s="1"/>
  <c r="CQ63" i="1"/>
  <c r="CP63" i="1"/>
  <c r="CO63" i="1"/>
  <c r="CN63" i="1"/>
  <c r="CM63" i="1"/>
  <c r="F63" i="1"/>
  <c r="CW62" i="1"/>
  <c r="CV62" i="1"/>
  <c r="CU62" i="1"/>
  <c r="CT62" i="1"/>
  <c r="CS62" i="1"/>
  <c r="CR62" i="1"/>
  <c r="CL62" i="1" s="1"/>
  <c r="CQ62" i="1"/>
  <c r="CP62" i="1"/>
  <c r="CO62" i="1"/>
  <c r="CN62" i="1"/>
  <c r="CM62" i="1"/>
  <c r="F62" i="1"/>
  <c r="CW61" i="1"/>
  <c r="CV61" i="1"/>
  <c r="CU61" i="1"/>
  <c r="CT61" i="1"/>
  <c r="CS61" i="1"/>
  <c r="CR61" i="1"/>
  <c r="CL61" i="1" s="1"/>
  <c r="CQ61" i="1"/>
  <c r="CP61" i="1"/>
  <c r="CO61" i="1"/>
  <c r="CN61" i="1"/>
  <c r="CM61" i="1"/>
  <c r="F61" i="1"/>
  <c r="CW60" i="1"/>
  <c r="CV60" i="1"/>
  <c r="CU60" i="1"/>
  <c r="CT60" i="1"/>
  <c r="CS60" i="1"/>
  <c r="CR60" i="1"/>
  <c r="CL60" i="1" s="1"/>
  <c r="CQ60" i="1"/>
  <c r="CP60" i="1"/>
  <c r="CO60" i="1"/>
  <c r="CN60" i="1"/>
  <c r="CM60" i="1"/>
  <c r="F60" i="1"/>
  <c r="CW59" i="1"/>
  <c r="CV59" i="1"/>
  <c r="CU59" i="1"/>
  <c r="CT59" i="1"/>
  <c r="CS59" i="1"/>
  <c r="CR59" i="1"/>
  <c r="CL59" i="1" s="1"/>
  <c r="CQ59" i="1"/>
  <c r="CP59" i="1"/>
  <c r="CO59" i="1"/>
  <c r="CN59" i="1"/>
  <c r="CM59" i="1"/>
  <c r="F59" i="1"/>
  <c r="CW58" i="1"/>
  <c r="CV58" i="1"/>
  <c r="CU58" i="1"/>
  <c r="CT58" i="1"/>
  <c r="CS58" i="1"/>
  <c r="CR58" i="1"/>
  <c r="CL58" i="1" s="1"/>
  <c r="CQ58" i="1"/>
  <c r="CP58" i="1"/>
  <c r="CO58" i="1"/>
  <c r="CN58" i="1"/>
  <c r="CM58" i="1"/>
  <c r="F58" i="1"/>
  <c r="CW57" i="1"/>
  <c r="CV57" i="1"/>
  <c r="CU57" i="1"/>
  <c r="CT57" i="1"/>
  <c r="CS57" i="1"/>
  <c r="CR57" i="1"/>
  <c r="CL57" i="1" s="1"/>
  <c r="CQ57" i="1"/>
  <c r="CP57" i="1"/>
  <c r="CO57" i="1"/>
  <c r="CN57" i="1"/>
  <c r="CM57" i="1"/>
  <c r="F57" i="1"/>
  <c r="CW56" i="1"/>
  <c r="CV56" i="1"/>
  <c r="CU56" i="1"/>
  <c r="CT56" i="1"/>
  <c r="CS56" i="1"/>
  <c r="CR56" i="1"/>
  <c r="CL56" i="1" s="1"/>
  <c r="CQ56" i="1"/>
  <c r="CP56" i="1"/>
  <c r="CO56" i="1"/>
  <c r="CN56" i="1"/>
  <c r="CM56" i="1"/>
  <c r="F56" i="1"/>
  <c r="CW55" i="1"/>
  <c r="CV55" i="1"/>
  <c r="CU55" i="1"/>
  <c r="CT55" i="1"/>
  <c r="CS55" i="1"/>
  <c r="CR55" i="1"/>
  <c r="CL55" i="1" s="1"/>
  <c r="CQ55" i="1"/>
  <c r="CP55" i="1"/>
  <c r="CO55" i="1"/>
  <c r="CN55" i="1"/>
  <c r="CM55" i="1"/>
  <c r="F55" i="1"/>
  <c r="CW54" i="1"/>
  <c r="CV54" i="1"/>
  <c r="CU54" i="1"/>
  <c r="CT54" i="1"/>
  <c r="CS54" i="1"/>
  <c r="CR54" i="1"/>
  <c r="CL54" i="1" s="1"/>
  <c r="CQ54" i="1"/>
  <c r="CP54" i="1"/>
  <c r="CO54" i="1"/>
  <c r="CN54" i="1"/>
  <c r="CM54" i="1"/>
  <c r="F54" i="1"/>
  <c r="CW53" i="1"/>
  <c r="CV53" i="1"/>
  <c r="CU53" i="1"/>
  <c r="CT53" i="1"/>
  <c r="CR53" i="1"/>
  <c r="CL53" i="1" s="1"/>
  <c r="CQ53" i="1"/>
  <c r="CP53" i="1"/>
  <c r="CO53" i="1"/>
  <c r="CN53" i="1"/>
  <c r="F53" i="1"/>
  <c r="CW52" i="1"/>
  <c r="CV52" i="1"/>
  <c r="CU52" i="1"/>
  <c r="CT52" i="1"/>
  <c r="CR52" i="1"/>
  <c r="CL52" i="1" s="1"/>
  <c r="CQ52" i="1"/>
  <c r="CP52" i="1"/>
  <c r="CO52" i="1"/>
  <c r="CN52" i="1"/>
  <c r="F52" i="1"/>
  <c r="CW51" i="1"/>
  <c r="CV51" i="1"/>
  <c r="CU51" i="1"/>
  <c r="CT51" i="1"/>
  <c r="CR51" i="1"/>
  <c r="CL51" i="1" s="1"/>
  <c r="CQ51" i="1"/>
  <c r="CP51" i="1"/>
  <c r="CO51" i="1"/>
  <c r="CN51" i="1"/>
  <c r="F51" i="1"/>
  <c r="CW50" i="1"/>
  <c r="CV50" i="1"/>
  <c r="CU50" i="1"/>
  <c r="CT50" i="1"/>
  <c r="CR50" i="1"/>
  <c r="CL50" i="1" s="1"/>
  <c r="CQ50" i="1"/>
  <c r="CP50" i="1"/>
  <c r="CO50" i="1"/>
  <c r="CN50" i="1"/>
  <c r="F50" i="1"/>
  <c r="CW49" i="1"/>
  <c r="CV49" i="1"/>
  <c r="CU49" i="1"/>
  <c r="CT49" i="1"/>
  <c r="CR49" i="1"/>
  <c r="CL49" i="1" s="1"/>
  <c r="CQ49" i="1"/>
  <c r="CP49" i="1"/>
  <c r="CO49" i="1"/>
  <c r="CN49" i="1"/>
  <c r="F49" i="1"/>
  <c r="CW48" i="1"/>
  <c r="CV48" i="1"/>
  <c r="CU48" i="1"/>
  <c r="CT48" i="1"/>
  <c r="CR48" i="1"/>
  <c r="CL48" i="1" s="1"/>
  <c r="CQ48" i="1"/>
  <c r="CP48" i="1"/>
  <c r="CO48" i="1"/>
  <c r="CN48" i="1"/>
  <c r="F48" i="1"/>
  <c r="CW47" i="1"/>
  <c r="CV47" i="1"/>
  <c r="CU47" i="1"/>
  <c r="CT47" i="1"/>
  <c r="CR47" i="1"/>
  <c r="CL47" i="1" s="1"/>
  <c r="CQ47" i="1"/>
  <c r="CP47" i="1"/>
  <c r="CO47" i="1"/>
  <c r="CN47" i="1"/>
  <c r="F47" i="1"/>
  <c r="CW46" i="1"/>
  <c r="CV46" i="1"/>
  <c r="CU46" i="1"/>
  <c r="CT46" i="1"/>
  <c r="CR46" i="1"/>
  <c r="CL46" i="1" s="1"/>
  <c r="CQ46" i="1"/>
  <c r="CP46" i="1"/>
  <c r="CO46" i="1"/>
  <c r="CN46" i="1"/>
  <c r="F46" i="1"/>
  <c r="CW45" i="1"/>
  <c r="CV45" i="1"/>
  <c r="CU45" i="1"/>
  <c r="CT45" i="1"/>
  <c r="CR45" i="1"/>
  <c r="CL45" i="1" s="1"/>
  <c r="CQ45" i="1"/>
  <c r="CP45" i="1"/>
  <c r="CO45" i="1"/>
  <c r="CN45" i="1"/>
  <c r="F45" i="1"/>
  <c r="CW44" i="1"/>
  <c r="CV44" i="1"/>
  <c r="CU44" i="1"/>
  <c r="CT44" i="1"/>
  <c r="CR44" i="1"/>
  <c r="CL44" i="1" s="1"/>
  <c r="CQ44" i="1"/>
  <c r="CP44" i="1"/>
  <c r="CO44" i="1"/>
  <c r="CN44" i="1"/>
  <c r="N44" i="1"/>
  <c r="F44" i="1"/>
  <c r="CW43" i="1"/>
  <c r="CV43" i="1"/>
  <c r="CU43" i="1"/>
  <c r="CT43" i="1"/>
  <c r="CR43" i="1"/>
  <c r="CL43" i="1" s="1"/>
  <c r="CQ43" i="1"/>
  <c r="CP43" i="1"/>
  <c r="CO43" i="1"/>
  <c r="CN43" i="1"/>
  <c r="N43" i="1"/>
  <c r="F43" i="1"/>
  <c r="CW42" i="1"/>
  <c r="CV42" i="1"/>
  <c r="CU42" i="1"/>
  <c r="CT42" i="1"/>
  <c r="CR42" i="1"/>
  <c r="CL42" i="1" s="1"/>
  <c r="CQ42" i="1"/>
  <c r="CP42" i="1"/>
  <c r="CO42" i="1"/>
  <c r="CN42" i="1"/>
  <c r="N42" i="1"/>
  <c r="F42" i="1"/>
  <c r="CW41" i="1"/>
  <c r="CV41" i="1"/>
  <c r="CU41" i="1"/>
  <c r="CT41" i="1"/>
  <c r="CR41" i="1"/>
  <c r="CL41" i="1" s="1"/>
  <c r="CQ41" i="1"/>
  <c r="CP41" i="1"/>
  <c r="CO41" i="1"/>
  <c r="CN41" i="1"/>
  <c r="N41" i="1"/>
  <c r="F41" i="1"/>
  <c r="CW40" i="1"/>
  <c r="CV40" i="1"/>
  <c r="CU40" i="1"/>
  <c r="CT40" i="1"/>
  <c r="CR40" i="1"/>
  <c r="CL40" i="1" s="1"/>
  <c r="CQ40" i="1"/>
  <c r="CP40" i="1"/>
  <c r="CO40" i="1"/>
  <c r="CN40" i="1"/>
  <c r="N40" i="1"/>
  <c r="F40" i="1"/>
  <c r="CW39" i="1"/>
  <c r="CV39" i="1"/>
  <c r="CU39" i="1"/>
  <c r="CT39" i="1"/>
  <c r="CR39" i="1"/>
  <c r="CL39" i="1" s="1"/>
  <c r="CQ39" i="1"/>
  <c r="CP39" i="1"/>
  <c r="CO39" i="1"/>
  <c r="CN39" i="1"/>
  <c r="N39" i="1"/>
  <c r="F39" i="1"/>
  <c r="CW38" i="1"/>
  <c r="CV38" i="1"/>
  <c r="CU38" i="1"/>
  <c r="CT38" i="1"/>
  <c r="CR38" i="1"/>
  <c r="CL38" i="1" s="1"/>
  <c r="CQ38" i="1"/>
  <c r="CP38" i="1"/>
  <c r="CO38" i="1"/>
  <c r="CN38" i="1"/>
  <c r="N38" i="1"/>
  <c r="F38" i="1"/>
  <c r="CW37" i="1"/>
  <c r="CV37" i="1"/>
  <c r="CU37" i="1"/>
  <c r="CT37" i="1"/>
  <c r="CR37" i="1"/>
  <c r="CL37" i="1" s="1"/>
  <c r="CQ37" i="1"/>
  <c r="CP37" i="1"/>
  <c r="CO37" i="1"/>
  <c r="CN37" i="1"/>
  <c r="N37" i="1"/>
  <c r="F37" i="1"/>
  <c r="CW36" i="1"/>
  <c r="CV36" i="1"/>
  <c r="CU36" i="1"/>
  <c r="CT36" i="1"/>
  <c r="CR36" i="1"/>
  <c r="CL36" i="1" s="1"/>
  <c r="CQ36" i="1"/>
  <c r="CP36" i="1"/>
  <c r="CO36" i="1"/>
  <c r="CN36" i="1"/>
  <c r="N36" i="1"/>
  <c r="F36" i="1"/>
  <c r="CW35" i="1"/>
  <c r="CV35" i="1"/>
  <c r="CU35" i="1"/>
  <c r="CT35" i="1"/>
  <c r="CR35" i="1"/>
  <c r="CL35" i="1" s="1"/>
  <c r="CQ35" i="1"/>
  <c r="CP35" i="1"/>
  <c r="CO35" i="1"/>
  <c r="CN35" i="1"/>
  <c r="N35" i="1"/>
  <c r="F35" i="1"/>
  <c r="CW34" i="1"/>
  <c r="CV34" i="1"/>
  <c r="CU34" i="1"/>
  <c r="CT34" i="1"/>
  <c r="CR34" i="1"/>
  <c r="CL34" i="1" s="1"/>
  <c r="CQ34" i="1"/>
  <c r="CP34" i="1"/>
  <c r="CO34" i="1"/>
  <c r="CN34" i="1"/>
  <c r="N34" i="1"/>
  <c r="F34" i="1"/>
  <c r="CW33" i="1"/>
  <c r="CV33" i="1"/>
  <c r="CU33" i="1"/>
  <c r="CT33" i="1"/>
  <c r="CR33" i="1"/>
  <c r="CL33" i="1" s="1"/>
  <c r="CQ33" i="1"/>
  <c r="CP33" i="1"/>
  <c r="CO33" i="1"/>
  <c r="CN33" i="1"/>
  <c r="N33" i="1"/>
  <c r="F33" i="1"/>
  <c r="CW32" i="1"/>
  <c r="CV32" i="1"/>
  <c r="CU32" i="1"/>
  <c r="CT32" i="1"/>
  <c r="CR32" i="1"/>
  <c r="CQ32" i="1"/>
  <c r="CO32" i="1"/>
  <c r="CN32" i="1"/>
  <c r="CL32" i="1"/>
  <c r="N32" i="1"/>
  <c r="F32" i="1"/>
  <c r="CW31" i="1"/>
  <c r="CV31" i="1"/>
  <c r="CU31" i="1"/>
  <c r="CT31" i="1"/>
  <c r="CR31" i="1"/>
  <c r="CQ31" i="1"/>
  <c r="CO31" i="1"/>
  <c r="CN31" i="1"/>
  <c r="CL31" i="1"/>
  <c r="N31" i="1"/>
  <c r="F31" i="1"/>
  <c r="CW30" i="1"/>
  <c r="CV30" i="1"/>
  <c r="CU30" i="1"/>
  <c r="CT30" i="1"/>
  <c r="CR30" i="1"/>
  <c r="CL30" i="1" s="1"/>
  <c r="CQ30" i="1"/>
  <c r="CO30" i="1"/>
  <c r="CN30" i="1"/>
  <c r="N30" i="1"/>
  <c r="F30" i="1"/>
  <c r="CW29" i="1"/>
  <c r="CV29" i="1"/>
  <c r="CU29" i="1"/>
  <c r="CT29" i="1"/>
  <c r="CR29" i="1"/>
  <c r="CQ29" i="1"/>
  <c r="CO29" i="1"/>
  <c r="CN29" i="1"/>
  <c r="CL29" i="1"/>
  <c r="N29" i="1"/>
  <c r="F29" i="1"/>
  <c r="CW28" i="1"/>
  <c r="CV28" i="1"/>
  <c r="CU28" i="1"/>
  <c r="CT28" i="1"/>
  <c r="CR28" i="1"/>
  <c r="CL28" i="1" s="1"/>
  <c r="CQ28" i="1"/>
  <c r="CO28" i="1"/>
  <c r="CN28" i="1"/>
  <c r="N28" i="1"/>
  <c r="F28" i="1"/>
  <c r="CW27" i="1"/>
  <c r="CV27" i="1"/>
  <c r="CU27" i="1"/>
  <c r="CT27" i="1"/>
  <c r="CR27" i="1"/>
  <c r="CL27" i="1" s="1"/>
  <c r="CQ27" i="1"/>
  <c r="CO27" i="1"/>
  <c r="CN27" i="1"/>
  <c r="N27" i="1"/>
  <c r="F27" i="1"/>
  <c r="CW26" i="1"/>
  <c r="CV26" i="1"/>
  <c r="CU26" i="1"/>
  <c r="CT26" i="1"/>
  <c r="CR26" i="1"/>
  <c r="CQ26" i="1"/>
  <c r="CO26" i="1"/>
  <c r="CN26" i="1"/>
  <c r="CL26" i="1"/>
  <c r="N26" i="1"/>
  <c r="F26" i="1"/>
  <c r="CW25" i="1"/>
  <c r="CV25" i="1"/>
  <c r="CU25" i="1"/>
  <c r="CT25" i="1"/>
  <c r="CR25" i="1"/>
  <c r="CQ25" i="1"/>
  <c r="CO25" i="1"/>
  <c r="CN25" i="1"/>
  <c r="CL25" i="1"/>
  <c r="N25" i="1"/>
  <c r="F25" i="1"/>
  <c r="CW24" i="1"/>
  <c r="CV24" i="1"/>
  <c r="CU24" i="1"/>
  <c r="CT24" i="1"/>
  <c r="CR24" i="1"/>
  <c r="CL24" i="1" s="1"/>
  <c r="CQ24" i="1"/>
  <c r="CO24" i="1"/>
  <c r="CN24" i="1"/>
  <c r="N24" i="1"/>
  <c r="F24" i="1"/>
  <c r="CW23" i="1"/>
  <c r="CV23" i="1"/>
  <c r="CU23" i="1"/>
  <c r="CT23" i="1"/>
  <c r="CR23" i="1"/>
  <c r="CQ23" i="1"/>
  <c r="CO23" i="1"/>
  <c r="CN23" i="1"/>
  <c r="CL23" i="1"/>
  <c r="N23" i="1"/>
  <c r="F23" i="1"/>
  <c r="CW22" i="1"/>
  <c r="CV22" i="1"/>
  <c r="CU22" i="1"/>
  <c r="CT22" i="1"/>
  <c r="CR22" i="1"/>
  <c r="CL22" i="1" s="1"/>
  <c r="CQ22" i="1"/>
  <c r="CP22" i="1"/>
  <c r="CO22" i="1"/>
  <c r="CN22" i="1"/>
  <c r="N22" i="1"/>
  <c r="F22" i="1"/>
  <c r="CW21" i="1"/>
  <c r="CV21" i="1"/>
  <c r="CU21" i="1"/>
  <c r="CT21" i="1"/>
  <c r="CR21" i="1"/>
  <c r="CL21" i="1" s="1"/>
  <c r="CQ21" i="1"/>
  <c r="CP21" i="1"/>
  <c r="CO21" i="1"/>
  <c r="CN21" i="1"/>
  <c r="N21" i="1"/>
  <c r="F21" i="1"/>
  <c r="CW20" i="1"/>
  <c r="CV20" i="1"/>
  <c r="CU20" i="1"/>
  <c r="CT20" i="1"/>
  <c r="CR20" i="1"/>
  <c r="CL20" i="1" s="1"/>
  <c r="CQ20" i="1"/>
  <c r="CP20" i="1"/>
  <c r="CO20" i="1"/>
  <c r="CN20" i="1"/>
  <c r="N20" i="1"/>
  <c r="F20" i="1"/>
  <c r="CW19" i="1"/>
  <c r="CV19" i="1"/>
  <c r="CU19" i="1"/>
  <c r="CT19" i="1"/>
  <c r="CR19" i="1"/>
  <c r="CL19" i="1" s="1"/>
  <c r="CQ19" i="1"/>
  <c r="CP19" i="1"/>
  <c r="CO19" i="1"/>
  <c r="CN19" i="1"/>
  <c r="N19" i="1"/>
  <c r="F19" i="1"/>
  <c r="CW18" i="1"/>
  <c r="CV18" i="1"/>
  <c r="CU18" i="1"/>
  <c r="CT18" i="1"/>
  <c r="CR18" i="1"/>
  <c r="CL18" i="1" s="1"/>
  <c r="CQ18" i="1"/>
  <c r="CP18" i="1"/>
  <c r="CO18" i="1"/>
  <c r="CN18" i="1"/>
  <c r="N18" i="1"/>
  <c r="F18" i="1"/>
  <c r="CW17" i="1"/>
  <c r="CV17" i="1"/>
  <c r="CU17" i="1"/>
  <c r="CT17" i="1"/>
  <c r="CR17" i="1"/>
  <c r="CQ17" i="1"/>
  <c r="CP17" i="1"/>
  <c r="CO17" i="1"/>
  <c r="CN17" i="1"/>
  <c r="CL17" i="1"/>
  <c r="N17" i="1"/>
  <c r="F17" i="1"/>
  <c r="CW16" i="1"/>
  <c r="CV16" i="1"/>
  <c r="CU16" i="1"/>
  <c r="CT16" i="1"/>
  <c r="CR16" i="1"/>
  <c r="CL16" i="1" s="1"/>
  <c r="CQ16" i="1"/>
  <c r="CP16" i="1"/>
  <c r="CO16" i="1"/>
  <c r="CN16" i="1"/>
  <c r="N16" i="1"/>
  <c r="F16" i="1"/>
  <c r="CW15" i="1"/>
  <c r="CV15" i="1"/>
  <c r="CU15" i="1"/>
  <c r="CT15" i="1"/>
  <c r="CR15" i="1"/>
  <c r="CL15" i="1" s="1"/>
  <c r="CQ15" i="1"/>
  <c r="CP15" i="1"/>
  <c r="CO15" i="1"/>
  <c r="CN15" i="1"/>
  <c r="N15" i="1"/>
  <c r="F15" i="1"/>
  <c r="CW14" i="1"/>
  <c r="CV14" i="1"/>
  <c r="CU14" i="1"/>
  <c r="CT14" i="1"/>
  <c r="CR14" i="1"/>
  <c r="CL14" i="1" s="1"/>
  <c r="CQ14" i="1"/>
  <c r="CP14" i="1"/>
  <c r="CO14" i="1"/>
  <c r="CN14" i="1"/>
  <c r="N14" i="1"/>
  <c r="F14" i="1"/>
  <c r="CW13" i="1"/>
  <c r="CV13" i="1"/>
  <c r="CU13" i="1"/>
  <c r="CT13" i="1"/>
  <c r="CR13" i="1"/>
  <c r="CQ13" i="1"/>
  <c r="CP13" i="1"/>
  <c r="CO13" i="1"/>
  <c r="CN13" i="1"/>
  <c r="CL13" i="1"/>
  <c r="N13" i="1"/>
  <c r="F13" i="1"/>
  <c r="CW12" i="1"/>
  <c r="CV12" i="1"/>
  <c r="CU12" i="1"/>
  <c r="CT12" i="1"/>
  <c r="CR12" i="1"/>
  <c r="CQ12" i="1"/>
  <c r="CP12" i="1"/>
  <c r="CO12" i="1"/>
  <c r="CN12" i="1"/>
  <c r="CL12" i="1"/>
  <c r="S12" i="1"/>
  <c r="N12" i="1"/>
  <c r="F12" i="1"/>
  <c r="CW11" i="1"/>
  <c r="CV11" i="1"/>
  <c r="CU11" i="1"/>
  <c r="CT11" i="1"/>
  <c r="CR11" i="1"/>
  <c r="CL11" i="1" s="1"/>
  <c r="CQ11" i="1"/>
  <c r="CP11" i="1"/>
  <c r="CO11" i="1"/>
  <c r="CN11" i="1"/>
  <c r="S11" i="1"/>
  <c r="N11" i="1"/>
  <c r="F11" i="1"/>
  <c r="CW10" i="1"/>
  <c r="CV10" i="1"/>
  <c r="CU10" i="1"/>
  <c r="CT10" i="1"/>
  <c r="CR10" i="1"/>
  <c r="CQ10" i="1"/>
  <c r="CP10" i="1"/>
  <c r="CO10" i="1"/>
  <c r="CN10" i="1"/>
  <c r="CL10" i="1"/>
  <c r="S10" i="1"/>
  <c r="N10" i="1"/>
  <c r="F10" i="1"/>
  <c r="CW9" i="1"/>
  <c r="CV9" i="1"/>
  <c r="CU9" i="1"/>
  <c r="CT9" i="1"/>
  <c r="CR9" i="1"/>
  <c r="CL9" i="1" s="1"/>
  <c r="CQ9" i="1"/>
  <c r="CP9" i="1"/>
  <c r="CO9" i="1"/>
  <c r="CN9" i="1"/>
  <c r="S9" i="1"/>
  <c r="N9" i="1"/>
  <c r="F9" i="1"/>
  <c r="CW8" i="1"/>
  <c r="CV8" i="1"/>
  <c r="CU8" i="1"/>
  <c r="CT8" i="1"/>
  <c r="CR8" i="1"/>
  <c r="CQ8" i="1"/>
  <c r="CP8" i="1"/>
  <c r="CO8" i="1"/>
  <c r="CN8" i="1"/>
  <c r="CL8" i="1"/>
  <c r="S8" i="1"/>
  <c r="N8" i="1"/>
  <c r="F8" i="1"/>
  <c r="CW7" i="1"/>
  <c r="CV7" i="1"/>
  <c r="CU7" i="1"/>
  <c r="CT7" i="1"/>
  <c r="CR7" i="1"/>
  <c r="CQ7" i="1"/>
  <c r="CP7" i="1"/>
  <c r="CO7" i="1"/>
  <c r="CN7" i="1"/>
  <c r="CL7" i="1"/>
  <c r="S7" i="1"/>
  <c r="N7" i="1"/>
  <c r="F7" i="1"/>
  <c r="CW6" i="1"/>
  <c r="CV6" i="1"/>
  <c r="CU6" i="1"/>
  <c r="CT6" i="1"/>
  <c r="CR6" i="1"/>
  <c r="CL6" i="1" s="1"/>
  <c r="CQ6" i="1"/>
  <c r="CP6" i="1"/>
  <c r="CO6" i="1"/>
  <c r="CN6" i="1"/>
  <c r="S6" i="1"/>
  <c r="N6" i="1"/>
  <c r="F6" i="1"/>
  <c r="CW5" i="1"/>
  <c r="CV5" i="1"/>
  <c r="CU5" i="1"/>
  <c r="CT5" i="1"/>
  <c r="CR5" i="1"/>
  <c r="CL5" i="1" s="1"/>
  <c r="CQ5" i="1"/>
  <c r="CP5" i="1"/>
  <c r="CO5" i="1"/>
  <c r="S5" i="1"/>
  <c r="N5" i="1"/>
  <c r="F5" i="1"/>
  <c r="CW4" i="1"/>
  <c r="CV4" i="1"/>
  <c r="CU4" i="1"/>
  <c r="CT4" i="1"/>
  <c r="CR4" i="1"/>
  <c r="CL4" i="1" s="1"/>
  <c r="CQ4" i="1"/>
  <c r="CP4" i="1"/>
  <c r="CO4" i="1"/>
  <c r="S4" i="1"/>
  <c r="N4" i="1"/>
  <c r="F4" i="1"/>
  <c r="S3" i="1"/>
  <c r="N3" i="1"/>
  <c r="S28" i="1" l="1"/>
  <c r="AA5" i="1" s="1"/>
  <c r="AB5" i="1" s="1"/>
  <c r="AA30" i="1"/>
  <c r="AB30" i="1" s="1"/>
  <c r="AA7" i="1"/>
  <c r="AB7" i="1" s="1"/>
  <c r="AA23" i="1"/>
  <c r="AB23" i="1" s="1"/>
  <c r="AA27" i="1"/>
  <c r="AB27" i="1" s="1"/>
  <c r="AA31" i="1"/>
  <c r="AB31" i="1" s="1"/>
  <c r="AA8" i="1"/>
  <c r="AB8" i="1" s="1"/>
  <c r="AA12" i="1"/>
  <c r="AB12" i="1" s="1"/>
  <c r="AA16" i="1"/>
  <c r="AB16" i="1" s="1"/>
  <c r="AA24" i="1"/>
  <c r="AB24" i="1" s="1"/>
  <c r="AA28" i="1"/>
  <c r="AB28" i="1" s="1"/>
  <c r="AA32" i="1"/>
  <c r="AB32" i="1" s="1"/>
  <c r="AA18" i="1" l="1"/>
  <c r="AB18" i="1" s="1"/>
  <c r="AA20" i="1"/>
  <c r="AB20" i="1" s="1"/>
  <c r="AA4" i="1"/>
  <c r="AB4" i="1" s="1"/>
  <c r="AA19" i="1"/>
  <c r="AB19" i="1" s="1"/>
  <c r="AD7" i="1"/>
  <c r="AC7" i="1"/>
  <c r="AC28" i="1"/>
  <c r="AD28" i="1"/>
  <c r="AC12" i="1"/>
  <c r="AD12" i="1"/>
  <c r="AD27" i="1"/>
  <c r="AC27" i="1"/>
  <c r="AC30" i="1"/>
  <c r="AD30" i="1"/>
  <c r="AC32" i="1"/>
  <c r="AD32" i="1"/>
  <c r="AD31" i="1"/>
  <c r="AC31" i="1"/>
  <c r="AC24" i="1"/>
  <c r="AD24" i="1"/>
  <c r="AC8" i="1"/>
  <c r="AD8" i="1"/>
  <c r="AD23" i="1"/>
  <c r="AC23" i="1"/>
  <c r="AC18" i="1"/>
  <c r="AD18" i="1"/>
  <c r="AC16" i="1"/>
  <c r="AD16" i="1"/>
  <c r="AD20" i="1"/>
  <c r="AC4" i="1"/>
  <c r="AD4" i="1"/>
  <c r="AD5" i="1"/>
  <c r="AC5" i="1"/>
  <c r="AA14" i="1"/>
  <c r="AB14" i="1" s="1"/>
  <c r="AA29" i="1"/>
  <c r="AB29" i="1" s="1"/>
  <c r="AA25" i="1"/>
  <c r="AB25" i="1" s="1"/>
  <c r="AA15" i="1"/>
  <c r="AB15" i="1" s="1"/>
  <c r="AA26" i="1"/>
  <c r="AB26" i="1" s="1"/>
  <c r="AA10" i="1"/>
  <c r="AB10" i="1" s="1"/>
  <c r="AA21" i="1"/>
  <c r="AB21" i="1" s="1"/>
  <c r="AA11" i="1"/>
  <c r="AB11" i="1" s="1"/>
  <c r="AA22" i="1"/>
  <c r="AB22" i="1" s="1"/>
  <c r="AA6" i="1"/>
  <c r="AB6" i="1" s="1"/>
  <c r="AA3" i="1"/>
  <c r="AB3" i="1" s="1"/>
  <c r="AA17" i="1"/>
  <c r="AB17" i="1" s="1"/>
  <c r="AA13" i="1"/>
  <c r="AB13" i="1" s="1"/>
  <c r="AA9" i="1"/>
  <c r="AB9" i="1" s="1"/>
  <c r="AD19" i="1" l="1"/>
  <c r="AC20" i="1"/>
  <c r="AC19" i="1"/>
  <c r="AD11" i="1"/>
  <c r="AC11" i="1"/>
  <c r="AC3" i="1"/>
  <c r="AD3" i="1"/>
  <c r="AD21" i="1"/>
  <c r="AC21" i="1"/>
  <c r="AD25" i="1"/>
  <c r="AC25" i="1"/>
  <c r="AD17" i="1"/>
  <c r="AC17" i="1"/>
  <c r="AD15" i="1"/>
  <c r="AC15" i="1"/>
  <c r="AD9" i="1"/>
  <c r="AC9" i="1"/>
  <c r="AC6" i="1"/>
  <c r="AD6" i="1"/>
  <c r="AC10" i="1"/>
  <c r="AD10" i="1"/>
  <c r="AD29" i="1"/>
  <c r="AC29" i="1"/>
  <c r="AD13" i="1"/>
  <c r="AC13" i="1"/>
  <c r="AC22" i="1"/>
  <c r="AD22" i="1"/>
  <c r="AC26" i="1"/>
  <c r="AD26" i="1"/>
  <c r="AC14" i="1"/>
  <c r="AD14" i="1"/>
</calcChain>
</file>

<file path=xl/sharedStrings.xml><?xml version="1.0" encoding="utf-8"?>
<sst xmlns="http://schemas.openxmlformats.org/spreadsheetml/2006/main" count="1914" uniqueCount="442">
  <si>
    <t>id</t>
  </si>
  <si>
    <t>monster_id</t>
  </si>
  <si>
    <t>monster_level</t>
  </si>
  <si>
    <r>
      <rPr>
        <sz val="11"/>
        <color theme="1"/>
        <rFont val="宋体"/>
        <family val="3"/>
        <charset val="134"/>
        <scheme val="minor"/>
      </rPr>
      <t>bat</t>
    </r>
    <r>
      <rPr>
        <sz val="11"/>
        <color theme="1"/>
        <rFont val="宋体"/>
        <family val="3"/>
        <charset val="134"/>
        <scheme val="minor"/>
      </rPr>
      <t>tle_level</t>
    </r>
  </si>
  <si>
    <t>duration</t>
  </si>
  <si>
    <t>map</t>
  </si>
  <si>
    <t>新怪物数据制作</t>
  </si>
  <si>
    <t>int32</t>
  </si>
  <si>
    <t>list&lt;int32&gt;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</si>
  <si>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</si>
  <si>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float32</t>
  </si>
  <si>
    <t>怪波数</t>
  </si>
  <si>
    <t>产出</t>
  </si>
  <si>
    <t>阶段序号</t>
  </si>
  <si>
    <t>每阶段怪数量</t>
  </si>
  <si>
    <t>单只掉落公会币</t>
  </si>
  <si>
    <t>公会币总产出</t>
  </si>
  <si>
    <t>公会等级</t>
  </si>
  <si>
    <t>单个怪掉落</t>
  </si>
  <si>
    <t>修改时需要注意怪的初始星级，验证中如果出现FALSE,可能是名称不对或者初始星级不对应。</t>
  </si>
  <si>
    <t>拨数</t>
  </si>
  <si>
    <t>怪ID列表</t>
  </si>
  <si>
    <t>怪等级列表</t>
  </si>
  <si>
    <t>战斗等级</t>
  </si>
  <si>
    <t>几秒后自动刷新下一拨</t>
  </si>
  <si>
    <t>刷怪点id</t>
  </si>
  <si>
    <t>刷怪点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</si>
  <si>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</si>
  <si>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</si>
  <si>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</si>
  <si>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</si>
  <si>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</si>
  <si>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</si>
  <si>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</si>
  <si>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</si>
  <si>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</si>
  <si>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</si>
  <si>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</si>
  <si>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</si>
  <si>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怪1星级</t>
  </si>
  <si>
    <t>怪2星级</t>
  </si>
  <si>
    <t>怪3星级</t>
  </si>
  <si>
    <t>怪4星级</t>
  </si>
  <si>
    <t>怪5星级</t>
  </si>
  <si>
    <t>怪6星级</t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</si>
  <si>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</si>
  <si>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</si>
  <si>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</si>
  <si>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</si>
  <si>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</si>
  <si>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</si>
  <si>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</si>
  <si>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</si>
  <si>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</si>
  <si>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</si>
  <si>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</si>
  <si>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</si>
  <si>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</si>
  <si>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</si>
  <si>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</si>
  <si>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1203031</t>
  </si>
  <si>
    <t>水兽人战士</t>
  </si>
  <si>
    <t>水刀客</t>
  </si>
  <si>
    <t>对距离最近的1名敌人造成320%攻击伤害。</t>
  </si>
  <si>
    <t>水骷髅战士</t>
  </si>
  <si>
    <t>水骑兵</t>
  </si>
  <si>
    <t>对随机2名敌人造成173%攻击伤害，并嘲讽目标，使对方强制攻击自己。</t>
  </si>
  <si>
    <t>水鹰人战士</t>
  </si>
  <si>
    <t>水维京武士</t>
  </si>
  <si>
    <t>对随机3名敌人造成124%攻击伤害。</t>
  </si>
  <si>
    <t>水恶魔战士</t>
  </si>
  <si>
    <t>水剑士</t>
  </si>
  <si>
    <t>对距离最远的1名敌人造成431%攻击伤害。</t>
  </si>
  <si>
    <t>水魔法师</t>
  </si>
  <si>
    <t>对随机3名敌人造成141%攻击伤害。</t>
  </si>
  <si>
    <t>水狼人</t>
  </si>
  <si>
    <t>水女巫</t>
  </si>
  <si>
    <t>对随机2名敌人造成181%攻击伤害。</t>
  </si>
  <si>
    <t>火兽人战士</t>
  </si>
  <si>
    <t>水海盗</t>
  </si>
  <si>
    <t>对随机3名敌人造成132%攻击伤害。</t>
  </si>
  <si>
    <t>水火枪手</t>
  </si>
  <si>
    <t>对距离最近的2名敌人造成221%攻击伤害。</t>
  </si>
  <si>
    <t>水树人</t>
  </si>
  <si>
    <t>水修女</t>
  </si>
  <si>
    <t>治疗血量最少的2名友军，恢复206%攻击等量的生命。</t>
  </si>
  <si>
    <t>Total</t>
  </si>
  <si>
    <t>火骷髅战士</t>
  </si>
  <si>
    <t>火刀客</t>
  </si>
  <si>
    <t>对随机1名敌人造成160%攻击伤害。</t>
  </si>
  <si>
    <t>1406031</t>
  </si>
  <si>
    <t>单个怪掉落公会币公式：</t>
  </si>
  <si>
    <t>火骑兵</t>
  </si>
  <si>
    <t>1403031</t>
  </si>
  <si>
    <t>公会币=基础产出+公会产出提升</t>
  </si>
  <si>
    <t>火维京武士</t>
  </si>
  <si>
    <t>对距离最远的1名敌人造成350%攻击伤害。</t>
  </si>
  <si>
    <t>火鹰人战士</t>
  </si>
  <si>
    <t>火剑士</t>
  </si>
  <si>
    <t>对随机3名敌人造成151%攻击伤害。</t>
  </si>
  <si>
    <t>基础产出=进一法取整（击杀数量/阶段规划）</t>
  </si>
  <si>
    <t>火魔法师</t>
  </si>
  <si>
    <t>击杀数量=杀死怪的数量</t>
  </si>
  <si>
    <t>火女巫</t>
  </si>
  <si>
    <t>1204032</t>
  </si>
  <si>
    <t>阶段规划：杀多少怪掉落宝箱。当前版本为每10个怪掉一次宝箱。1阶段规划=消灭10个怪</t>
  </si>
  <si>
    <t>火恶魔战士</t>
  </si>
  <si>
    <t>火海盗</t>
  </si>
  <si>
    <t>对随机1名敌人造成373%攻击伤害。</t>
  </si>
  <si>
    <t>设定第一版为10阶段（100个怪数据），那么基础公会币总产出=550</t>
  </si>
  <si>
    <t>木鹰人战士</t>
  </si>
  <si>
    <t>火火枪手</t>
  </si>
  <si>
    <t>对血最少的1名敌人造成431%攻击伤害。</t>
  </si>
  <si>
    <t>公会产出=（公会等级-1）*系数</t>
  </si>
  <si>
    <t>火修女</t>
  </si>
  <si>
    <t>对距离最远的2名敌人造成206%攻击伤害。</t>
  </si>
  <si>
    <t>当前系数=1</t>
  </si>
  <si>
    <t>火狼人</t>
  </si>
  <si>
    <t>木刀客</t>
  </si>
  <si>
    <t>对随机2名敌人造成166%攻击伤害。</t>
  </si>
  <si>
    <t>光狼人</t>
  </si>
  <si>
    <t>木骑兵</t>
  </si>
  <si>
    <t>对随机1名敌人造成335%攻击伤害，并嘲讽目标，使对方强制攻击自己。</t>
  </si>
  <si>
    <t>暗兽人战士</t>
  </si>
  <si>
    <t>木维京武士</t>
  </si>
  <si>
    <t>光鹰人战士</t>
  </si>
  <si>
    <t>木剑士</t>
  </si>
  <si>
    <t>对随机2名敌人造成221%攻击伤害。</t>
  </si>
  <si>
    <t>1304043</t>
  </si>
  <si>
    <t>木狼人</t>
  </si>
  <si>
    <t>木魔法师</t>
  </si>
  <si>
    <t>时间</t>
  </si>
  <si>
    <t>2分钟</t>
  </si>
  <si>
    <t>120秒</t>
  </si>
  <si>
    <t>光树人</t>
  </si>
  <si>
    <t>木女巫</t>
  </si>
  <si>
    <t>对距离最远的2名敌人造成181%攻击伤害。</t>
  </si>
  <si>
    <t>预期玩家等级阵容</t>
  </si>
  <si>
    <t>木骷髅战士</t>
  </si>
  <si>
    <t>木海盗</t>
  </si>
  <si>
    <t>木兽人战士</t>
  </si>
  <si>
    <t>木火枪手</t>
  </si>
  <si>
    <t>木恶魔战士</t>
  </si>
  <si>
    <t>木修女</t>
  </si>
  <si>
    <t>1404042</t>
  </si>
  <si>
    <t>光猎人</t>
  </si>
  <si>
    <t>对随机3名敌人造成137%攻击伤害。</t>
  </si>
  <si>
    <t>暗骷髅战士</t>
  </si>
  <si>
    <t>光熊猫</t>
  </si>
  <si>
    <t>治疗血量最少的3名友军，恢复147%攻击等量的生命。</t>
  </si>
  <si>
    <t>光学者</t>
  </si>
  <si>
    <t>治疗血量最少的3名友军，恢复124%攻击等量的生命。</t>
  </si>
  <si>
    <t>暗恶魔战士</t>
  </si>
  <si>
    <t>暗忍者</t>
  </si>
  <si>
    <t>对随机1名敌人造成419%攻击伤害。</t>
  </si>
  <si>
    <t>暗狼人</t>
  </si>
  <si>
    <t>暗盗贼</t>
  </si>
  <si>
    <t>对距离最远的1名敌人造成413%攻击伤害。</t>
  </si>
  <si>
    <t>暗鹰人战士</t>
  </si>
  <si>
    <t>暗巫师</t>
  </si>
  <si>
    <t>对随机4名敌人造成102%攻击伤害。</t>
  </si>
  <si>
    <t>火树人</t>
  </si>
  <si>
    <t>暗树人</t>
  </si>
  <si>
    <t>木树人</t>
  </si>
  <si>
    <t>100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</si>
  <si>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</si>
  <si>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</si>
  <si>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</si>
  <si>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</si>
  <si>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</si>
  <si>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</si>
  <si>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</si>
  <si>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</si>
  <si>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</si>
  <si>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3502051</t>
  </si>
  <si>
    <t>120</t>
  </si>
  <si>
    <t>131</t>
  </si>
  <si>
    <t>3200053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</si>
  <si>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</si>
  <si>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</si>
  <si>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</si>
  <si>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</si>
  <si>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</si>
  <si>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</si>
  <si>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</si>
  <si>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</si>
  <si>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</si>
  <si>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151</t>
  </si>
  <si>
    <t>152</t>
  </si>
  <si>
    <t>3301061</t>
  </si>
  <si>
    <t>153</t>
  </si>
  <si>
    <t>154</t>
  </si>
  <si>
    <t>3201062</t>
  </si>
  <si>
    <t>155</t>
  </si>
  <si>
    <t>156</t>
  </si>
  <si>
    <t>157</t>
  </si>
  <si>
    <t>158</t>
  </si>
  <si>
    <t>159</t>
  </si>
  <si>
    <t>160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</si>
  <si>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</si>
  <si>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</si>
  <si>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</si>
  <si>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</si>
  <si>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</si>
  <si>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</si>
  <si>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</si>
  <si>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</si>
  <si>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</si>
  <si>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</si>
  <si>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</si>
  <si>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</si>
  <si>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</si>
  <si>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</si>
  <si>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</si>
  <si>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</si>
  <si>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</si>
  <si>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</si>
  <si>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</si>
  <si>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</si>
  <si>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231</t>
  </si>
  <si>
    <t>232</t>
  </si>
  <si>
    <t>233</t>
  </si>
  <si>
    <t>234</t>
  </si>
  <si>
    <t>235</t>
  </si>
  <si>
    <t>236</t>
  </si>
  <si>
    <t>237</t>
  </si>
  <si>
    <t>238</t>
  </si>
  <si>
    <t>3301071</t>
  </si>
  <si>
    <t>239</t>
  </si>
  <si>
    <t>240</t>
  </si>
  <si>
    <t>5201082</t>
  </si>
  <si>
    <t>251</t>
  </si>
  <si>
    <t>5200082</t>
  </si>
  <si>
    <t>252</t>
  </si>
  <si>
    <t>5502081</t>
  </si>
  <si>
    <t>253</t>
  </si>
  <si>
    <t>5202082</t>
  </si>
  <si>
    <t>254</t>
  </si>
  <si>
    <t>255</t>
  </si>
  <si>
    <t>5201083</t>
  </si>
  <si>
    <t>256</t>
  </si>
  <si>
    <t>5500083</t>
  </si>
  <si>
    <t>257</t>
  </si>
  <si>
    <t>5401081</t>
  </si>
  <si>
    <t>258</t>
  </si>
  <si>
    <t>5202083</t>
  </si>
  <si>
    <t>259</t>
  </si>
  <si>
    <t>5401083</t>
  </si>
  <si>
    <t>260</t>
  </si>
  <si>
    <t>5301082</t>
  </si>
  <si>
    <t>271</t>
  </si>
  <si>
    <t>5301081</t>
  </si>
  <si>
    <t>272</t>
  </si>
  <si>
    <t>5201081</t>
  </si>
  <si>
    <t>273</t>
  </si>
  <si>
    <t>274</t>
  </si>
  <si>
    <t>5202081</t>
  </si>
  <si>
    <t>275</t>
  </si>
  <si>
    <t>5302085</t>
  </si>
  <si>
    <t>276</t>
  </si>
  <si>
    <t>5402082</t>
  </si>
  <si>
    <t>277</t>
  </si>
  <si>
    <t>278</t>
  </si>
  <si>
    <t>5402083</t>
  </si>
  <si>
    <t>279</t>
  </si>
  <si>
    <t>5602084</t>
  </si>
  <si>
    <t>280</t>
  </si>
  <si>
    <t>5302095</t>
  </si>
  <si>
    <t>5502091</t>
  </si>
  <si>
    <t>5202092</t>
  </si>
  <si>
    <t>5200093</t>
  </si>
  <si>
    <t>5500093</t>
  </si>
  <si>
    <t>5200091</t>
  </si>
  <si>
    <t>5400095</t>
  </si>
  <si>
    <t>5601092</t>
  </si>
  <si>
    <t>5301092</t>
  </si>
  <si>
    <t>5201093</t>
  </si>
  <si>
    <t>5501094</t>
  </si>
  <si>
    <t>5201091</t>
  </si>
  <si>
    <t>5301091</t>
  </si>
  <si>
    <t>5201092</t>
  </si>
  <si>
    <t>5200092</t>
  </si>
  <si>
    <t>5401091</t>
  </si>
  <si>
    <t>5202093</t>
  </si>
  <si>
    <t>5401093</t>
  </si>
  <si>
    <t>5300095</t>
  </si>
  <si>
    <t>5600094</t>
  </si>
  <si>
    <t>黑水刀客</t>
  </si>
  <si>
    <t>黑水骑兵</t>
  </si>
  <si>
    <t>黑水维京武士</t>
  </si>
  <si>
    <t>黑水剑士</t>
  </si>
  <si>
    <t>黑水魔法师</t>
  </si>
  <si>
    <t>黑水女巫</t>
  </si>
  <si>
    <t>黑水海盗</t>
  </si>
  <si>
    <t>黑水火枪手</t>
  </si>
  <si>
    <t>黑水修女</t>
  </si>
  <si>
    <t>黑火刀客</t>
  </si>
  <si>
    <t>黑火骑兵</t>
  </si>
  <si>
    <t>黑火维京武士</t>
  </si>
  <si>
    <t>黑火剑士</t>
  </si>
  <si>
    <t>黑火魔法师</t>
  </si>
  <si>
    <t>黑火女巫</t>
  </si>
  <si>
    <t>黑火海盗</t>
  </si>
  <si>
    <t>黑火火枪手</t>
  </si>
  <si>
    <t>黑火修女</t>
  </si>
  <si>
    <t>黑木刀客</t>
  </si>
  <si>
    <t>黑木骑兵</t>
  </si>
  <si>
    <t>黑木维京武士</t>
  </si>
  <si>
    <t>黑木剑士</t>
  </si>
  <si>
    <t>黑木魔法师</t>
  </si>
  <si>
    <t>黑木女巫</t>
  </si>
  <si>
    <t>黑木海盗</t>
  </si>
  <si>
    <t>黑木火枪手</t>
  </si>
  <si>
    <t>黑木修女</t>
  </si>
  <si>
    <t>黑光猎人</t>
  </si>
  <si>
    <t>黑光熊猫</t>
  </si>
  <si>
    <t>黑光学者</t>
  </si>
  <si>
    <t>黑暗忍者</t>
  </si>
  <si>
    <t>黑暗盗贼</t>
  </si>
  <si>
    <t>黑暗巫师</t>
  </si>
  <si>
    <t>水兽人法师</t>
  </si>
  <si>
    <t>水骷髅法师</t>
  </si>
  <si>
    <t>水史莱姆</t>
  </si>
  <si>
    <t>水熊</t>
  </si>
  <si>
    <t>水鹰人法师</t>
  </si>
  <si>
    <t>水恶魔法师</t>
  </si>
  <si>
    <t>火兽人法师</t>
  </si>
  <si>
    <t>火骷髅法师</t>
  </si>
  <si>
    <t>火史莱姆</t>
  </si>
  <si>
    <t>火熊</t>
  </si>
  <si>
    <t>火鹰人法师</t>
  </si>
  <si>
    <t>火恶魔法师</t>
  </si>
  <si>
    <t>木兽人法师</t>
  </si>
  <si>
    <t>木骷髅法师</t>
  </si>
  <si>
    <t>木史莱姆</t>
  </si>
  <si>
    <t>木熊</t>
  </si>
  <si>
    <t>木鹰人法师</t>
  </si>
  <si>
    <t>木恶魔法师</t>
  </si>
  <si>
    <t>光兽人战士</t>
  </si>
  <si>
    <t>光兽人法师</t>
  </si>
  <si>
    <t>光骷髅战士</t>
  </si>
  <si>
    <t>光骷髅法师</t>
  </si>
  <si>
    <t>光史莱姆</t>
  </si>
  <si>
    <t>光熊</t>
  </si>
  <si>
    <t>光鹰人法师</t>
  </si>
  <si>
    <t>光恶魔战士</t>
  </si>
  <si>
    <t>光恶魔法师</t>
  </si>
  <si>
    <t>暗兽人法师</t>
  </si>
  <si>
    <t>暗骷髅法师</t>
  </si>
  <si>
    <t>暗史莱姆</t>
  </si>
  <si>
    <t>暗熊</t>
  </si>
  <si>
    <t>暗鹰人法师</t>
  </si>
  <si>
    <t>暗恶魔法师</t>
  </si>
  <si>
    <t>水黑骑士</t>
  </si>
  <si>
    <t>火黑骑士</t>
  </si>
  <si>
    <t>木黑骑士</t>
  </si>
  <si>
    <t>光黑骑士</t>
  </si>
  <si>
    <t>暗黑骑士</t>
  </si>
  <si>
    <t>水狼骑兵</t>
  </si>
  <si>
    <t>火狼骑兵</t>
  </si>
  <si>
    <t>木狼骑兵</t>
  </si>
  <si>
    <t>光狼骑兵</t>
  </si>
  <si>
    <t>暗狼骑兵</t>
  </si>
  <si>
    <t>水龙王</t>
  </si>
  <si>
    <t>火龙王</t>
  </si>
  <si>
    <t>木龙王</t>
  </si>
  <si>
    <t>光龙王</t>
  </si>
  <si>
    <t>暗龙王</t>
  </si>
  <si>
    <t>1304033</t>
    <phoneticPr fontId="4" type="noConversion"/>
  </si>
  <si>
    <t>1203031</t>
    <phoneticPr fontId="4" type="noConversion"/>
  </si>
  <si>
    <t>1404032</t>
    <phoneticPr fontId="4" type="noConversion"/>
  </si>
  <si>
    <t>1503033</t>
    <phoneticPr fontId="4" type="noConversion"/>
  </si>
  <si>
    <t>1206031</t>
    <phoneticPr fontId="4" type="noConversion"/>
  </si>
  <si>
    <t>1403031</t>
    <phoneticPr fontId="4" type="noConversion"/>
  </si>
  <si>
    <t>1405032</t>
    <phoneticPr fontId="4" type="noConversion"/>
  </si>
  <si>
    <t>1406031</t>
    <phoneticPr fontId="4" type="noConversion"/>
  </si>
  <si>
    <t>1203041</t>
    <phoneticPr fontId="4" type="noConversion"/>
  </si>
  <si>
    <t>1206041</t>
    <phoneticPr fontId="4" type="noConversion"/>
  </si>
  <si>
    <t>1503043</t>
    <phoneticPr fontId="4" type="noConversion"/>
  </si>
  <si>
    <t>1405042</t>
    <phoneticPr fontId="4" type="noConversion"/>
  </si>
  <si>
    <t>1204042</t>
    <phoneticPr fontId="4" type="noConversion"/>
  </si>
  <si>
    <t>1205042</t>
    <phoneticPr fontId="4" type="noConversion"/>
  </si>
  <si>
    <t>1304043</t>
    <phoneticPr fontId="4" type="noConversion"/>
  </si>
  <si>
    <t>1403041</t>
    <phoneticPr fontId="4" type="noConversion"/>
  </si>
  <si>
    <t>1406041</t>
    <phoneticPr fontId="4" type="noConversion"/>
  </si>
  <si>
    <t>1404042</t>
    <phoneticPr fontId="4" type="noConversion"/>
  </si>
  <si>
    <t>3200053</t>
    <phoneticPr fontId="4" type="noConversion"/>
  </si>
  <si>
    <t>3202051</t>
    <phoneticPr fontId="4" type="noConversion"/>
  </si>
  <si>
    <t>3402053</t>
    <phoneticPr fontId="4" type="noConversion"/>
  </si>
  <si>
    <t>3301051</t>
    <phoneticPr fontId="4" type="noConversion"/>
  </si>
  <si>
    <t>3500052</t>
    <phoneticPr fontId="4" type="noConversion"/>
  </si>
  <si>
    <t>3601052</t>
    <phoneticPr fontId="4" type="noConversion"/>
  </si>
  <si>
    <t>3201052</t>
    <phoneticPr fontId="4" type="noConversion"/>
  </si>
  <si>
    <t>3201062</t>
    <phoneticPr fontId="4" type="noConversion"/>
  </si>
  <si>
    <t>3202061</t>
    <phoneticPr fontId="4" type="noConversion"/>
  </si>
  <si>
    <t>3200063</t>
    <phoneticPr fontId="4" type="noConversion"/>
  </si>
  <si>
    <t>3502061</t>
    <phoneticPr fontId="4" type="noConversion"/>
  </si>
  <si>
    <t>3500062</t>
    <phoneticPr fontId="4" type="noConversion"/>
  </si>
  <si>
    <t>3301061</t>
    <phoneticPr fontId="4" type="noConversion"/>
  </si>
  <si>
    <t>3402073</t>
    <phoneticPr fontId="4" type="noConversion"/>
  </si>
  <si>
    <t>3301071</t>
    <phoneticPr fontId="4" type="noConversion"/>
  </si>
  <si>
    <t>3502071</t>
    <phoneticPr fontId="4" type="noConversion"/>
  </si>
  <si>
    <t>3202071</t>
    <phoneticPr fontId="4" type="noConversion"/>
  </si>
  <si>
    <t>3200073</t>
    <phoneticPr fontId="4" type="noConversion"/>
  </si>
  <si>
    <t>3500072</t>
    <phoneticPr fontId="4" type="noConversion"/>
  </si>
  <si>
    <t>3601072</t>
    <phoneticPr fontId="4" type="noConversion"/>
  </si>
  <si>
    <t>3201072</t>
    <phoneticPr fontId="4" type="noConversion"/>
  </si>
  <si>
    <t>5200083</t>
    <phoneticPr fontId="4" type="noConversion"/>
  </si>
  <si>
    <t>5502081</t>
    <phoneticPr fontId="4" type="noConversion"/>
  </si>
  <si>
    <t>5202081</t>
    <phoneticPr fontId="4" type="noConversion"/>
  </si>
  <si>
    <t>5201082</t>
    <phoneticPr fontId="4" type="noConversion"/>
  </si>
  <si>
    <t>5500082</t>
    <phoneticPr fontId="4" type="noConversion"/>
  </si>
  <si>
    <t>5401083</t>
    <phoneticPr fontId="4" type="noConversion"/>
  </si>
  <si>
    <t>5301081</t>
    <phoneticPr fontId="4" type="noConversion"/>
  </si>
  <si>
    <t>3602051</t>
    <phoneticPr fontId="4" type="noConversion"/>
  </si>
  <si>
    <t>3302053</t>
    <phoneticPr fontId="4" type="noConversion"/>
  </si>
  <si>
    <t>3400052</t>
    <phoneticPr fontId="4" type="noConversion"/>
  </si>
  <si>
    <t>3501053</t>
    <phoneticPr fontId="4" type="noConversion"/>
  </si>
  <si>
    <t>3302063</t>
    <phoneticPr fontId="4" type="noConversion"/>
  </si>
  <si>
    <t>3602071</t>
    <phoneticPr fontId="4" type="noConversion"/>
  </si>
  <si>
    <t>3302073</t>
    <phoneticPr fontId="4" type="noConversion"/>
  </si>
  <si>
    <t>3400072</t>
    <phoneticPr fontId="4" type="noConversion"/>
  </si>
  <si>
    <t>3501073</t>
    <phoneticPr fontId="4" type="noConversion"/>
  </si>
  <si>
    <t>3302053</t>
    <phoneticPr fontId="4" type="noConversion"/>
  </si>
  <si>
    <t>1205032</t>
    <phoneticPr fontId="4" type="noConversion"/>
  </si>
  <si>
    <t>1206031</t>
    <phoneticPr fontId="4" type="noConversion"/>
  </si>
  <si>
    <t>3401061</t>
    <phoneticPr fontId="4" type="noConversion"/>
  </si>
  <si>
    <t>总公会币产出</t>
    <phoneticPr fontId="4" type="noConversion"/>
  </si>
  <si>
    <t xml:space="preserve"> </t>
    <phoneticPr fontId="4" type="noConversion"/>
  </si>
  <si>
    <t>怪序号</t>
    <phoneticPr fontId="4" type="noConversion"/>
  </si>
  <si>
    <t>单个怪的公会币</t>
    <phoneticPr fontId="4" type="noConversion"/>
  </si>
  <si>
    <t>7天公会币产出(按平均杀100只怪计算)</t>
    <phoneticPr fontId="4" type="noConversion"/>
  </si>
  <si>
    <t>公会币加成</t>
    <phoneticPr fontId="4" type="noConversion"/>
  </si>
  <si>
    <t>每日2次</t>
    <phoneticPr fontId="4" type="noConversion"/>
  </si>
  <si>
    <t>每日3次</t>
    <phoneticPr fontId="4" type="noConversion"/>
  </si>
  <si>
    <t>每日4次</t>
    <phoneticPr fontId="4" type="noConversion"/>
  </si>
  <si>
    <t>每日5次</t>
  </si>
  <si>
    <t>每日6次</t>
  </si>
  <si>
    <t>每日7次</t>
  </si>
  <si>
    <t>每日8次</t>
  </si>
  <si>
    <t>每日9次</t>
  </si>
  <si>
    <t>每日10次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</si>
</sst>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9" tint="0.799829096346934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Font="1" applyAlignme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49" fontId="1" fillId="0" borderId="0" xfId="0" applyNumberFormat="1" applyFont="1" applyAlignment="1">
      <alignment horizontal="left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常规" xfId="0" builtinId="0"/>
  </cellStyles>
  <dxfs count="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82299264503923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1366"/>
  <sheetViews>
    <sheetView tabSelected="1" topLeftCell="J1" workbookViewId="0">
      <selection activeCell="AN15" sqref="AN15"/>
    </sheetView>
  </sheetViews>
  <sheetFormatPr defaultColWidth="9" defaultRowHeight="13.5" x14ac:dyDescent="0.15"/>
  <cols>
    <col min="1" max="1" width="6.5" customWidth="1"/>
    <col min="2" max="2" width="53.5" customWidth="1"/>
    <col min="3" max="3" width="26.5" style="1" customWidth="1"/>
    <col min="4" max="4" width="13.875" style="1" customWidth="1"/>
    <col min="5" max="5" width="21.375" customWidth="1"/>
    <col min="6" max="6" width="13.875" customWidth="1"/>
    <col min="7" max="7" width="8.5" customWidth="1"/>
    <col min="8" max="8" width="10.5" customWidth="1"/>
    <col min="9" max="9" width="11.625" customWidth="1"/>
    <col min="10" max="10" width="9.5" customWidth="1"/>
    <col min="17" max="17" width="13" customWidth="1"/>
    <col min="18" max="18" width="15.125" customWidth="1"/>
    <col min="19" max="19" width="13" customWidth="1"/>
    <col min="25" max="25" width="11" customWidth="1"/>
    <col min="26" max="26" width="11.875" bestFit="1" customWidth="1"/>
    <col min="27" max="27" width="14.125" bestFit="1" customWidth="1"/>
    <col min="28" max="28" width="9" customWidth="1"/>
    <col min="29" max="29" width="8.75" customWidth="1"/>
    <col min="30" max="30" width="8.625" customWidth="1"/>
    <col min="31" max="31" width="8.875" bestFit="1" customWidth="1"/>
    <col min="32" max="32" width="8.875" hidden="1" customWidth="1"/>
    <col min="33" max="36" width="0" hidden="1" customWidth="1"/>
    <col min="122" max="122" width="8.875" customWidth="1"/>
    <col min="123" max="123" width="11" customWidth="1"/>
    <col min="124" max="124" width="10.5" customWidth="1"/>
    <col min="125" max="125" width="96.125" customWidth="1"/>
  </cols>
  <sheetData>
    <row r="1" spans="1:125" x14ac:dyDescent="0.15">
      <c r="A1" s="2" t="s">
        <v>0</v>
      </c>
      <c r="B1" s="3" t="s">
        <v>1</v>
      </c>
      <c r="C1" s="4" t="s">
        <v>2</v>
      </c>
      <c r="D1" s="5" t="s">
        <v>3</v>
      </c>
      <c r="E1" s="3" t="s">
        <v>4</v>
      </c>
      <c r="F1" t="s">
        <v>5</v>
      </c>
      <c r="H1" s="2"/>
      <c r="I1" s="2"/>
      <c r="J1" s="2"/>
      <c r="K1" s="2"/>
      <c r="L1" s="2"/>
      <c r="M1" s="3"/>
      <c r="Q1" s="10"/>
      <c r="R1">
        <v>2</v>
      </c>
      <c r="AB1" s="9" t="s">
        <v>431</v>
      </c>
      <c r="AC1" s="9"/>
      <c r="AD1" s="9"/>
      <c r="AE1" s="9"/>
      <c r="AF1" s="9"/>
      <c r="AG1" s="9"/>
      <c r="AH1" s="9"/>
      <c r="AI1" s="9"/>
      <c r="AJ1" s="9"/>
      <c r="CL1" s="11" t="s">
        <v>6</v>
      </c>
    </row>
    <row r="2" spans="1:125" x14ac:dyDescent="0.15">
      <c r="A2" s="2" t="s">
        <v>7</v>
      </c>
      <c r="B2" s="3" t="s">
        <v>8</v>
      </c>
      <c r="C2" s="4" t="s">
        <v>8</v>
      </c>
      <c r="D2" s="5" t="s">
        <v>9</v>
      </c>
      <c r="E2" s="3" t="s">
        <v>10</v>
      </c>
      <c r="F2" t="s">
        <v>7</v>
      </c>
      <c r="H2" s="2"/>
      <c r="K2" s="8"/>
      <c r="L2" s="8"/>
      <c r="M2" s="9" t="s">
        <v>11</v>
      </c>
      <c r="N2" s="9" t="s">
        <v>12</v>
      </c>
      <c r="P2" s="10" t="s">
        <v>13</v>
      </c>
      <c r="Q2" s="10" t="s">
        <v>14</v>
      </c>
      <c r="R2" s="10" t="s">
        <v>15</v>
      </c>
      <c r="S2" s="10" t="s">
        <v>16</v>
      </c>
      <c r="U2" s="10"/>
      <c r="V2" s="10"/>
      <c r="X2" s="11" t="s">
        <v>17</v>
      </c>
      <c r="Y2" s="11" t="s">
        <v>18</v>
      </c>
      <c r="Z2" s="11" t="s">
        <v>432</v>
      </c>
      <c r="AA2" s="11" t="s">
        <v>427</v>
      </c>
      <c r="AB2" s="11" t="s">
        <v>433</v>
      </c>
      <c r="AC2" s="11" t="s">
        <v>434</v>
      </c>
      <c r="AD2" s="11" t="s">
        <v>435</v>
      </c>
      <c r="AE2" s="11" t="s">
        <v>436</v>
      </c>
      <c r="AF2" s="11" t="s">
        <v>437</v>
      </c>
      <c r="AG2" s="11" t="s">
        <v>438</v>
      </c>
      <c r="AH2" s="11" t="s">
        <v>439</v>
      </c>
      <c r="AI2" s="11" t="s">
        <v>440</v>
      </c>
      <c r="AJ2" s="11" t="s">
        <v>441</v>
      </c>
      <c r="AK2" s="11"/>
      <c r="AL2" s="10" t="s">
        <v>429</v>
      </c>
      <c r="AM2" s="10" t="s">
        <v>430</v>
      </c>
      <c r="CL2" t="s">
        <v>19</v>
      </c>
    </row>
    <row r="3" spans="1:125" x14ac:dyDescent="0.15">
      <c r="A3" s="2" t="s">
        <v>20</v>
      </c>
      <c r="B3" s="3" t="s">
        <v>21</v>
      </c>
      <c r="C3" s="4" t="s">
        <v>22</v>
      </c>
      <c r="D3" s="5" t="s">
        <v>23</v>
      </c>
      <c r="E3" s="3" t="s">
        <v>24</v>
      </c>
      <c r="F3" t="s">
        <v>25</v>
      </c>
      <c r="H3" s="3" t="s">
        <v>26</v>
      </c>
      <c r="L3" s="3"/>
      <c r="M3" s="3">
        <v>1</v>
      </c>
      <c r="N3" s="2">
        <f>ROUNDUP(M3/10,0)</f>
        <v>1</v>
      </c>
      <c r="P3">
        <v>1</v>
      </c>
      <c r="Q3">
        <v>10</v>
      </c>
      <c r="R3" s="10">
        <f>P3+4</f>
        <v>5</v>
      </c>
      <c r="S3">
        <f>R3*10</f>
        <v>50</v>
      </c>
      <c r="V3" s="10"/>
      <c r="X3">
        <v>1</v>
      </c>
      <c r="Y3">
        <f>FLOOR((X3)/5,1)*1</f>
        <v>0</v>
      </c>
      <c r="Z3">
        <f>Y3*200</f>
        <v>0</v>
      </c>
      <c r="AA3">
        <f>$S$28+Z3</f>
        <v>950</v>
      </c>
      <c r="AB3">
        <f t="shared" ref="AB3:AB32" si="0">AA3*2*7</f>
        <v>13300</v>
      </c>
      <c r="AC3">
        <f t="shared" ref="AC3:AC32" si="1">AA3*3*7</f>
        <v>19950</v>
      </c>
      <c r="AD3">
        <f t="shared" ref="AD3:AD32" si="2">AA3*4*7</f>
        <v>26600</v>
      </c>
      <c r="AE3">
        <f>AA3*5*7</f>
        <v>33250</v>
      </c>
      <c r="AF3">
        <f>AA3*6*7</f>
        <v>39900</v>
      </c>
      <c r="AG3">
        <f>AA3*7*7</f>
        <v>46550</v>
      </c>
      <c r="AH3">
        <f>AA3*8*7</f>
        <v>53200</v>
      </c>
      <c r="AI3">
        <f>AA3*9*7</f>
        <v>59850</v>
      </c>
      <c r="AJ3">
        <f>AA3*10*7</f>
        <v>66500</v>
      </c>
      <c r="AL3">
        <v>1</v>
      </c>
      <c r="AM3">
        <f>_xlfn.CEILING.MATH((AL3/10)+4+FLOOR(($X$12-1)/5,1))</f>
        <v>6</v>
      </c>
      <c r="CL3" s="13" t="s">
        <v>27</v>
      </c>
      <c r="CM3" s="13" t="s">
        <v>28</v>
      </c>
      <c r="CN3" s="13" t="s">
        <v>29</v>
      </c>
      <c r="CO3" s="13" t="s">
        <v>30</v>
      </c>
      <c r="CP3" s="13" t="s">
        <v>31</v>
      </c>
      <c r="CQ3" s="13" t="s">
        <v>32</v>
      </c>
      <c r="CR3" s="13" t="s">
        <v>33</v>
      </c>
      <c r="CS3" s="13" t="s">
        <v>34</v>
      </c>
      <c r="CT3" s="13" t="s">
        <v>35</v>
      </c>
      <c r="CU3" s="13" t="s">
        <v>36</v>
      </c>
      <c r="CV3" s="13" t="s">
        <v>37</v>
      </c>
      <c r="CW3" s="13" t="s">
        <v>38</v>
      </c>
      <c r="CX3" s="13" t="s">
        <v>39</v>
      </c>
      <c r="CY3" s="13" t="s">
        <v>40</v>
      </c>
      <c r="CZ3" s="13" t="s">
        <v>41</v>
      </c>
      <c r="DA3" s="13" t="s">
        <v>42</v>
      </c>
      <c r="DB3" s="13" t="s">
        <v>43</v>
      </c>
      <c r="DC3" s="13" t="s">
        <v>44</v>
      </c>
      <c r="DD3" s="13" t="s">
        <v>45</v>
      </c>
      <c r="DE3" s="13" t="s">
        <v>46</v>
      </c>
      <c r="DF3" s="13" t="s">
        <v>47</v>
      </c>
      <c r="DG3" s="13" t="s">
        <v>48</v>
      </c>
      <c r="DH3" s="13" t="s">
        <v>49</v>
      </c>
      <c r="DI3" s="13" t="s">
        <v>50</v>
      </c>
      <c r="DJ3" s="13" t="s">
        <v>51</v>
      </c>
      <c r="DK3" s="13" t="s">
        <v>52</v>
      </c>
      <c r="DL3" s="13" t="s">
        <v>53</v>
      </c>
      <c r="DM3" s="13" t="s">
        <v>54</v>
      </c>
      <c r="DN3" s="13" t="s">
        <v>55</v>
      </c>
      <c r="DO3" s="13" t="s">
        <v>56</v>
      </c>
      <c r="DP3" s="13"/>
      <c r="DR3" s="13" t="s">
        <v>57</v>
      </c>
      <c r="DS3" s="13" t="s">
        <v>58</v>
      </c>
      <c r="DT3" s="13" t="s">
        <v>59</v>
      </c>
    </row>
    <row r="4" spans="1:125" x14ac:dyDescent="0.15">
      <c r="A4">
        <v>1</v>
      </c>
      <c r="B4" s="6" t="s">
        <v>60</v>
      </c>
      <c r="C4" s="1">
        <v>21</v>
      </c>
      <c r="D4" s="1">
        <v>1</v>
      </c>
      <c r="E4">
        <v>1</v>
      </c>
      <c r="F4">
        <f>H4+5000</f>
        <v>5003</v>
      </c>
      <c r="H4">
        <v>3</v>
      </c>
      <c r="M4" s="3">
        <v>2</v>
      </c>
      <c r="N4" s="2">
        <f t="shared" ref="N4:N32" si="3">ROUNDUP(M4/10,0)</f>
        <v>1</v>
      </c>
      <c r="P4">
        <v>2</v>
      </c>
      <c r="Q4">
        <v>10</v>
      </c>
      <c r="R4" s="10">
        <f t="shared" ref="R4:R22" si="4">P4+4</f>
        <v>6</v>
      </c>
      <c r="S4">
        <f t="shared" ref="S4:S22" si="5">R4*10</f>
        <v>60</v>
      </c>
      <c r="X4">
        <v>2</v>
      </c>
      <c r="Y4">
        <f t="shared" ref="Y4:Y32" si="6">FLOOR((X4-1)/5,1)*1</f>
        <v>0</v>
      </c>
      <c r="Z4">
        <f t="shared" ref="Z4:Z32" si="7">Y4*200</f>
        <v>0</v>
      </c>
      <c r="AA4">
        <f t="shared" ref="AA4:AA32" si="8">$S$28+Z4</f>
        <v>950</v>
      </c>
      <c r="AB4">
        <f t="shared" si="0"/>
        <v>13300</v>
      </c>
      <c r="AC4">
        <f t="shared" si="1"/>
        <v>19950</v>
      </c>
      <c r="AD4">
        <f t="shared" si="2"/>
        <v>26600</v>
      </c>
      <c r="AE4">
        <f t="shared" ref="AE4:AE32" si="9">AA4*5*7</f>
        <v>33250</v>
      </c>
      <c r="AF4">
        <f t="shared" ref="AF4:AF32" si="10">AA4*6*7</f>
        <v>39900</v>
      </c>
      <c r="AG4">
        <f t="shared" ref="AG4:AG32" si="11">AA4*7*7</f>
        <v>46550</v>
      </c>
      <c r="AH4">
        <f t="shared" ref="AH4:AH32" si="12">AA4*8*7</f>
        <v>53200</v>
      </c>
      <c r="AI4">
        <f t="shared" ref="AI4:AI32" si="13">AA4*9*7</f>
        <v>59850</v>
      </c>
      <c r="AJ4">
        <f t="shared" ref="AJ4:AJ32" si="14">AA4*10*7</f>
        <v>66500</v>
      </c>
      <c r="AL4">
        <v>2</v>
      </c>
      <c r="AM4">
        <f t="shared" ref="AM4:AM33" si="15">_xlfn.CEILING.MATH((AL4/10)+4+FLOOR(($X$12-1)/5,1))</f>
        <v>6</v>
      </c>
      <c r="CK4">
        <v>1</v>
      </c>
      <c r="CL4" s="13" t="b">
        <f>IF(DJ4&lt;&gt;"",IF(ISERROR(MATCH(INT(CR4),$DR$4:$DR$1516,0))=FALSE,TRUE),"")</f>
        <v>1</v>
      </c>
      <c r="CM4" s="13"/>
      <c r="CN4" s="13"/>
      <c r="CO4" s="13" t="str">
        <f t="shared" ref="CO4:CQ19" si="16">IF(DM4&lt;&gt;"",IF(ISERROR(MATCH(INT(CU4),$DR$4:$DR$1516,0))=FALSE,TRUE),"")</f>
        <v/>
      </c>
      <c r="CP4" s="13" t="str">
        <f t="shared" si="16"/>
        <v/>
      </c>
      <c r="CQ4" s="13" t="str">
        <f t="shared" si="16"/>
        <v/>
      </c>
      <c r="CR4" t="str">
        <f>IF(DJ4&lt;&gt;"",REPLACE(REPLACE(INDEX($DR$4:$DR$1516,MATCH(DJ4,$DS$4:$DS$1516,0)),6,1,CX4),1,1,DD4),"")</f>
        <v>1203031</v>
      </c>
      <c r="CT4" t="str">
        <f>IF(DL4&lt;&gt;"",REPLACE(REPLACE(INDEX($DR$4:$DR$1516,MATCH(DL4,$DS$4:$DS$1516,0)),6,1,CZ4),1,1,DF4),"")</f>
        <v/>
      </c>
      <c r="CU4" t="str">
        <f>IF(DM4&lt;&gt;"",REPLACE(REPLACE(INDEX($DR$4:$DR$1516,MATCH(DM4,$DS$4:$DS$1516,0)),6,1,DA4),1,1,DG4),"")</f>
        <v/>
      </c>
      <c r="CV4" t="str">
        <f>IF(DN4&lt;&gt;"",REPLACE(REPLACE(INDEX($DR$4:$DR$1516,MATCH(DN4,$DS$4:$DS$1516,0)),6,1,DB4),1,1,DH4),"")</f>
        <v/>
      </c>
      <c r="CW4" t="str">
        <f>IF(DO4&lt;&gt;"",REPLACE(REPLACE(INDEX($DR$4:$DR$1516,MATCH(DO4,$DS$4:$DS$1516,0)),6,1,DC4),1,1,DI4),"")</f>
        <v/>
      </c>
      <c r="CX4">
        <v>3</v>
      </c>
      <c r="DD4">
        <v>1</v>
      </c>
      <c r="DJ4" t="s">
        <v>61</v>
      </c>
      <c r="DR4">
        <v>3200031</v>
      </c>
      <c r="DS4" s="14" t="s">
        <v>62</v>
      </c>
      <c r="DT4">
        <v>303120001</v>
      </c>
      <c r="DU4" s="13" t="s">
        <v>63</v>
      </c>
    </row>
    <row r="5" spans="1:125" x14ac:dyDescent="0.15">
      <c r="A5">
        <v>2</v>
      </c>
      <c r="B5" s="6">
        <v>1205032</v>
      </c>
      <c r="C5" s="1">
        <v>22</v>
      </c>
      <c r="D5" s="1">
        <v>3</v>
      </c>
      <c r="E5">
        <v>1</v>
      </c>
      <c r="F5">
        <f t="shared" ref="F5:F68" si="17">H5+5000</f>
        <v>5002</v>
      </c>
      <c r="H5">
        <v>2</v>
      </c>
      <c r="M5" s="3">
        <v>3</v>
      </c>
      <c r="N5" s="2">
        <f t="shared" si="3"/>
        <v>1</v>
      </c>
      <c r="P5">
        <v>3</v>
      </c>
      <c r="Q5">
        <v>10</v>
      </c>
      <c r="R5" s="10">
        <f t="shared" si="4"/>
        <v>7</v>
      </c>
      <c r="S5">
        <f t="shared" si="5"/>
        <v>70</v>
      </c>
      <c r="X5">
        <v>3</v>
      </c>
      <c r="Y5">
        <f t="shared" si="6"/>
        <v>0</v>
      </c>
      <c r="Z5">
        <f t="shared" si="7"/>
        <v>0</v>
      </c>
      <c r="AA5">
        <f t="shared" si="8"/>
        <v>950</v>
      </c>
      <c r="AB5">
        <f t="shared" si="0"/>
        <v>13300</v>
      </c>
      <c r="AC5">
        <f t="shared" si="1"/>
        <v>19950</v>
      </c>
      <c r="AD5">
        <f t="shared" si="2"/>
        <v>26600</v>
      </c>
      <c r="AE5">
        <f t="shared" si="9"/>
        <v>33250</v>
      </c>
      <c r="AF5">
        <f t="shared" si="10"/>
        <v>39900</v>
      </c>
      <c r="AG5">
        <f t="shared" si="11"/>
        <v>46550</v>
      </c>
      <c r="AH5">
        <f t="shared" si="12"/>
        <v>53200</v>
      </c>
      <c r="AI5">
        <f t="shared" si="13"/>
        <v>59850</v>
      </c>
      <c r="AJ5">
        <f t="shared" si="14"/>
        <v>66500</v>
      </c>
      <c r="AL5">
        <v>3</v>
      </c>
      <c r="AM5">
        <f t="shared" si="15"/>
        <v>6</v>
      </c>
      <c r="CK5">
        <v>2</v>
      </c>
      <c r="CL5" s="13" t="b">
        <f t="shared" ref="CL5:CL68" si="18">IF(DJ5&lt;&gt;"",IF(ISERROR(MATCH(INT(CR5),$DR$4:$DR$1516,0))=FALSE,TRUE),"")</f>
        <v>1</v>
      </c>
      <c r="CM5" s="13"/>
      <c r="CN5" s="13"/>
      <c r="CO5" s="13" t="str">
        <f t="shared" si="16"/>
        <v/>
      </c>
      <c r="CP5" s="13" t="str">
        <f t="shared" si="16"/>
        <v/>
      </c>
      <c r="CQ5" s="13" t="str">
        <f t="shared" si="16"/>
        <v/>
      </c>
      <c r="CR5" t="str">
        <f t="shared" ref="CR5:CR68" si="19">IF(DJ5&lt;&gt;"",REPLACE(REPLACE(INDEX($DR$4:$DR$1516,MATCH(DJ5,$DS$4:$DS$1516,0)),6,1,CX5),1,1,DD5),"")</f>
        <v>1205031</v>
      </c>
      <c r="CT5" t="str">
        <f t="shared" ref="CT5:CT68" si="20">IF(DL5&lt;&gt;"",REPLACE(REPLACE(INDEX($DR$4:$DR$1516,MATCH(DL5,$DS$4:$DS$1516,0)),6,1,CZ5),1,1,DF5),"")</f>
        <v/>
      </c>
      <c r="CU5" t="str">
        <f t="shared" ref="CU5:CU68" si="21">IF(DM5&lt;&gt;"",REPLACE(REPLACE(INDEX($DR$4:$DR$1516,MATCH(DM5,$DS$4:$DS$1516,0)),6,1,DA5),1,1,DG5),"")</f>
        <v/>
      </c>
      <c r="CV5" t="str">
        <f t="shared" ref="CV5:CV68" si="22">IF(DN5&lt;&gt;"",REPLACE(REPLACE(INDEX($DR$4:$DR$1516,MATCH(DN5,$DS$4:$DS$1516,0)),6,1,DB5),1,1,DH5),"")</f>
        <v/>
      </c>
      <c r="CW5" t="str">
        <f t="shared" ref="CW5:CW68" si="23">IF(DO5&lt;&gt;"",REPLACE(REPLACE(INDEX($DR$4:$DR$1516,MATCH(DO5,$DS$4:$DS$1516,0)),6,1,DC5),1,1,DI5),"")</f>
        <v/>
      </c>
      <c r="CX5">
        <v>3</v>
      </c>
      <c r="DD5">
        <v>1</v>
      </c>
      <c r="DJ5" t="s">
        <v>64</v>
      </c>
      <c r="DR5">
        <v>3201031</v>
      </c>
      <c r="DS5" s="14" t="s">
        <v>65</v>
      </c>
      <c r="DT5">
        <v>303120101</v>
      </c>
      <c r="DU5" s="13" t="s">
        <v>66</v>
      </c>
    </row>
    <row r="6" spans="1:125" x14ac:dyDescent="0.15">
      <c r="A6">
        <v>3</v>
      </c>
      <c r="B6" s="6">
        <v>1206031</v>
      </c>
      <c r="C6" s="1">
        <v>23</v>
      </c>
      <c r="D6" s="1">
        <v>5</v>
      </c>
      <c r="E6">
        <v>1</v>
      </c>
      <c r="F6">
        <f t="shared" si="17"/>
        <v>5005</v>
      </c>
      <c r="H6">
        <v>5</v>
      </c>
      <c r="M6" s="3">
        <v>4</v>
      </c>
      <c r="N6" s="2">
        <f t="shared" si="3"/>
        <v>1</v>
      </c>
      <c r="P6">
        <v>4</v>
      </c>
      <c r="Q6">
        <v>10</v>
      </c>
      <c r="R6" s="10">
        <f t="shared" si="4"/>
        <v>8</v>
      </c>
      <c r="S6">
        <f t="shared" si="5"/>
        <v>80</v>
      </c>
      <c r="X6">
        <v>4</v>
      </c>
      <c r="Y6">
        <f t="shared" si="6"/>
        <v>0</v>
      </c>
      <c r="Z6">
        <f t="shared" si="7"/>
        <v>0</v>
      </c>
      <c r="AA6">
        <f t="shared" si="8"/>
        <v>950</v>
      </c>
      <c r="AB6">
        <f t="shared" si="0"/>
        <v>13300</v>
      </c>
      <c r="AC6">
        <f t="shared" si="1"/>
        <v>19950</v>
      </c>
      <c r="AD6">
        <f t="shared" si="2"/>
        <v>26600</v>
      </c>
      <c r="AE6">
        <f t="shared" si="9"/>
        <v>33250</v>
      </c>
      <c r="AF6">
        <f t="shared" si="10"/>
        <v>39900</v>
      </c>
      <c r="AG6">
        <f t="shared" si="11"/>
        <v>46550</v>
      </c>
      <c r="AH6">
        <f t="shared" si="12"/>
        <v>53200</v>
      </c>
      <c r="AI6">
        <f t="shared" si="13"/>
        <v>59850</v>
      </c>
      <c r="AJ6">
        <f t="shared" si="14"/>
        <v>66500</v>
      </c>
      <c r="AL6">
        <v>4</v>
      </c>
      <c r="AM6">
        <f t="shared" si="15"/>
        <v>6</v>
      </c>
      <c r="CK6">
        <v>3</v>
      </c>
      <c r="CL6" s="13" t="b">
        <f t="shared" si="18"/>
        <v>1</v>
      </c>
      <c r="CM6" s="13"/>
      <c r="CN6" s="13" t="str">
        <f t="shared" ref="CN6:CQ43" si="24">IF(DL6&lt;&gt;"",IF(ISERROR(MATCH(INT(CT6),$DR$4:$DR$1516,0))=FALSE,TRUE),"")</f>
        <v/>
      </c>
      <c r="CO6" s="13" t="str">
        <f t="shared" si="16"/>
        <v/>
      </c>
      <c r="CP6" s="13" t="str">
        <f t="shared" si="16"/>
        <v/>
      </c>
      <c r="CQ6" s="13" t="str">
        <f t="shared" si="16"/>
        <v/>
      </c>
      <c r="CR6" t="str">
        <f t="shared" si="19"/>
        <v>1206031</v>
      </c>
      <c r="CT6" t="str">
        <f t="shared" si="20"/>
        <v/>
      </c>
      <c r="CU6" t="str">
        <f t="shared" si="21"/>
        <v/>
      </c>
      <c r="CV6" t="str">
        <f t="shared" si="22"/>
        <v/>
      </c>
      <c r="CW6" t="str">
        <f t="shared" si="23"/>
        <v/>
      </c>
      <c r="CX6">
        <v>3</v>
      </c>
      <c r="DD6">
        <v>1</v>
      </c>
      <c r="DJ6" t="s">
        <v>67</v>
      </c>
      <c r="DR6">
        <v>3202031</v>
      </c>
      <c r="DS6" s="14" t="s">
        <v>68</v>
      </c>
      <c r="DT6">
        <v>303120201</v>
      </c>
      <c r="DU6" s="13" t="s">
        <v>69</v>
      </c>
    </row>
    <row r="7" spans="1:125" x14ac:dyDescent="0.15">
      <c r="A7">
        <v>4</v>
      </c>
      <c r="B7" s="16" t="s">
        <v>425</v>
      </c>
      <c r="C7" s="1">
        <v>24</v>
      </c>
      <c r="D7" s="1">
        <v>7</v>
      </c>
      <c r="E7">
        <v>1</v>
      </c>
      <c r="F7">
        <f t="shared" si="17"/>
        <v>5004</v>
      </c>
      <c r="H7">
        <v>4</v>
      </c>
      <c r="M7" s="3">
        <v>5</v>
      </c>
      <c r="N7" s="2">
        <f t="shared" si="3"/>
        <v>1</v>
      </c>
      <c r="P7">
        <v>5</v>
      </c>
      <c r="Q7">
        <v>10</v>
      </c>
      <c r="R7" s="10">
        <f t="shared" si="4"/>
        <v>9</v>
      </c>
      <c r="S7">
        <f t="shared" si="5"/>
        <v>90</v>
      </c>
      <c r="X7">
        <v>5</v>
      </c>
      <c r="Y7">
        <f t="shared" si="6"/>
        <v>0</v>
      </c>
      <c r="Z7">
        <f t="shared" si="7"/>
        <v>0</v>
      </c>
      <c r="AA7">
        <f t="shared" si="8"/>
        <v>950</v>
      </c>
      <c r="AB7">
        <f t="shared" si="0"/>
        <v>13300</v>
      </c>
      <c r="AC7">
        <f t="shared" si="1"/>
        <v>19950</v>
      </c>
      <c r="AD7">
        <f t="shared" si="2"/>
        <v>26600</v>
      </c>
      <c r="AE7">
        <f t="shared" si="9"/>
        <v>33250</v>
      </c>
      <c r="AF7">
        <f t="shared" si="10"/>
        <v>39900</v>
      </c>
      <c r="AG7">
        <f t="shared" si="11"/>
        <v>46550</v>
      </c>
      <c r="AH7">
        <f t="shared" si="12"/>
        <v>53200</v>
      </c>
      <c r="AI7">
        <f t="shared" si="13"/>
        <v>59850</v>
      </c>
      <c r="AJ7">
        <f t="shared" si="14"/>
        <v>66500</v>
      </c>
      <c r="AL7">
        <v>5</v>
      </c>
      <c r="AM7">
        <f t="shared" si="15"/>
        <v>6</v>
      </c>
      <c r="CK7">
        <v>4</v>
      </c>
      <c r="CL7" s="13" t="b">
        <f t="shared" si="18"/>
        <v>1</v>
      </c>
      <c r="CM7" s="13"/>
      <c r="CN7" s="13" t="str">
        <f t="shared" si="24"/>
        <v/>
      </c>
      <c r="CO7" s="13" t="str">
        <f t="shared" si="16"/>
        <v/>
      </c>
      <c r="CP7" s="13" t="str">
        <f t="shared" si="16"/>
        <v/>
      </c>
      <c r="CQ7" s="13" t="str">
        <f t="shared" si="16"/>
        <v/>
      </c>
      <c r="CR7" t="str">
        <f t="shared" si="19"/>
        <v>1204031</v>
      </c>
      <c r="CT7" t="str">
        <f t="shared" si="20"/>
        <v/>
      </c>
      <c r="CU7" t="str">
        <f t="shared" si="21"/>
        <v/>
      </c>
      <c r="CV7" t="str">
        <f t="shared" si="22"/>
        <v/>
      </c>
      <c r="CW7" t="str">
        <f t="shared" si="23"/>
        <v/>
      </c>
      <c r="CX7">
        <v>3</v>
      </c>
      <c r="DD7">
        <v>1</v>
      </c>
      <c r="DJ7" t="s">
        <v>70</v>
      </c>
      <c r="DR7">
        <v>3301031</v>
      </c>
      <c r="DS7" s="14" t="s">
        <v>71</v>
      </c>
      <c r="DT7">
        <v>303130101</v>
      </c>
      <c r="DU7" s="13" t="s">
        <v>72</v>
      </c>
    </row>
    <row r="8" spans="1:125" x14ac:dyDescent="0.15">
      <c r="A8">
        <v>5</v>
      </c>
      <c r="B8" s="6">
        <v>1405032</v>
      </c>
      <c r="C8" s="1">
        <v>25</v>
      </c>
      <c r="D8" s="1">
        <v>9</v>
      </c>
      <c r="E8">
        <v>1</v>
      </c>
      <c r="F8">
        <f t="shared" si="17"/>
        <v>5003</v>
      </c>
      <c r="H8">
        <v>3</v>
      </c>
      <c r="M8" s="3">
        <v>6</v>
      </c>
      <c r="N8" s="2">
        <f t="shared" si="3"/>
        <v>1</v>
      </c>
      <c r="P8">
        <v>6</v>
      </c>
      <c r="Q8">
        <v>10</v>
      </c>
      <c r="R8" s="10">
        <f t="shared" si="4"/>
        <v>10</v>
      </c>
      <c r="S8">
        <f t="shared" si="5"/>
        <v>100</v>
      </c>
      <c r="X8">
        <v>6</v>
      </c>
      <c r="Y8">
        <f t="shared" si="6"/>
        <v>1</v>
      </c>
      <c r="Z8">
        <f t="shared" si="7"/>
        <v>200</v>
      </c>
      <c r="AA8">
        <f t="shared" si="8"/>
        <v>1150</v>
      </c>
      <c r="AB8">
        <f t="shared" si="0"/>
        <v>16100</v>
      </c>
      <c r="AC8">
        <f t="shared" si="1"/>
        <v>24150</v>
      </c>
      <c r="AD8">
        <f t="shared" si="2"/>
        <v>32200</v>
      </c>
      <c r="AE8">
        <f t="shared" si="9"/>
        <v>40250</v>
      </c>
      <c r="AF8">
        <f t="shared" si="10"/>
        <v>48300</v>
      </c>
      <c r="AG8">
        <f t="shared" si="11"/>
        <v>56350</v>
      </c>
      <c r="AH8">
        <f t="shared" si="12"/>
        <v>64400</v>
      </c>
      <c r="AI8">
        <f t="shared" si="13"/>
        <v>72450</v>
      </c>
      <c r="AJ8">
        <f t="shared" si="14"/>
        <v>80500</v>
      </c>
      <c r="AL8">
        <v>6</v>
      </c>
      <c r="AM8">
        <f t="shared" si="15"/>
        <v>6</v>
      </c>
      <c r="CK8">
        <v>5</v>
      </c>
      <c r="CL8" s="13" t="b">
        <f t="shared" si="18"/>
        <v>1</v>
      </c>
      <c r="CM8" s="13"/>
      <c r="CN8" s="13" t="str">
        <f t="shared" si="24"/>
        <v/>
      </c>
      <c r="CO8" s="13" t="str">
        <f t="shared" si="16"/>
        <v/>
      </c>
      <c r="CP8" s="13" t="str">
        <f t="shared" si="16"/>
        <v/>
      </c>
      <c r="CQ8" s="13" t="str">
        <f t="shared" si="16"/>
        <v/>
      </c>
      <c r="CR8" t="str">
        <f t="shared" si="19"/>
        <v>1205031</v>
      </c>
      <c r="CT8" t="str">
        <f t="shared" si="20"/>
        <v/>
      </c>
      <c r="CU8" t="str">
        <f t="shared" si="21"/>
        <v/>
      </c>
      <c r="CV8" t="str">
        <f t="shared" si="22"/>
        <v/>
      </c>
      <c r="CW8" t="str">
        <f t="shared" si="23"/>
        <v/>
      </c>
      <c r="CX8">
        <v>3</v>
      </c>
      <c r="DD8">
        <v>1</v>
      </c>
      <c r="DJ8" t="s">
        <v>64</v>
      </c>
      <c r="DR8">
        <v>3401031</v>
      </c>
      <c r="DS8" s="14" t="s">
        <v>73</v>
      </c>
      <c r="DT8">
        <v>303140101</v>
      </c>
      <c r="DU8" s="13" t="s">
        <v>74</v>
      </c>
    </row>
    <row r="9" spans="1:125" x14ac:dyDescent="0.15">
      <c r="A9">
        <v>6</v>
      </c>
      <c r="B9" s="16" t="s">
        <v>368</v>
      </c>
      <c r="C9" s="1">
        <v>26</v>
      </c>
      <c r="D9" s="1">
        <v>11</v>
      </c>
      <c r="E9">
        <v>1</v>
      </c>
      <c r="F9">
        <f t="shared" si="17"/>
        <v>5002</v>
      </c>
      <c r="H9">
        <v>2</v>
      </c>
      <c r="M9" s="3">
        <v>7</v>
      </c>
      <c r="N9" s="2">
        <f t="shared" si="3"/>
        <v>1</v>
      </c>
      <c r="P9">
        <v>7</v>
      </c>
      <c r="Q9">
        <v>10</v>
      </c>
      <c r="R9" s="10">
        <f t="shared" si="4"/>
        <v>11</v>
      </c>
      <c r="S9">
        <f t="shared" si="5"/>
        <v>110</v>
      </c>
      <c r="X9">
        <v>7</v>
      </c>
      <c r="Y9">
        <f t="shared" si="6"/>
        <v>1</v>
      </c>
      <c r="Z9">
        <f t="shared" si="7"/>
        <v>200</v>
      </c>
      <c r="AA9">
        <f t="shared" si="8"/>
        <v>1150</v>
      </c>
      <c r="AB9">
        <f t="shared" si="0"/>
        <v>16100</v>
      </c>
      <c r="AC9">
        <f t="shared" si="1"/>
        <v>24150</v>
      </c>
      <c r="AD9">
        <f t="shared" si="2"/>
        <v>32200</v>
      </c>
      <c r="AE9">
        <f t="shared" si="9"/>
        <v>40250</v>
      </c>
      <c r="AF9">
        <f t="shared" si="10"/>
        <v>48300</v>
      </c>
      <c r="AG9">
        <f t="shared" si="11"/>
        <v>56350</v>
      </c>
      <c r="AH9">
        <f t="shared" si="12"/>
        <v>64400</v>
      </c>
      <c r="AI9">
        <f t="shared" si="13"/>
        <v>72450</v>
      </c>
      <c r="AJ9">
        <f t="shared" si="14"/>
        <v>80500</v>
      </c>
      <c r="AL9">
        <v>7</v>
      </c>
      <c r="AM9">
        <f t="shared" si="15"/>
        <v>6</v>
      </c>
      <c r="CK9">
        <v>6</v>
      </c>
      <c r="CL9" s="13" t="b">
        <f t="shared" si="18"/>
        <v>1</v>
      </c>
      <c r="CM9" s="13"/>
      <c r="CN9" s="13" t="str">
        <f t="shared" si="24"/>
        <v/>
      </c>
      <c r="CO9" s="13" t="str">
        <f t="shared" si="16"/>
        <v/>
      </c>
      <c r="CP9" s="13" t="str">
        <f t="shared" si="16"/>
        <v/>
      </c>
      <c r="CQ9" s="13" t="str">
        <f t="shared" si="16"/>
        <v/>
      </c>
      <c r="CR9" t="str">
        <f t="shared" si="19"/>
        <v>1304031</v>
      </c>
      <c r="CT9" t="str">
        <f t="shared" si="20"/>
        <v/>
      </c>
      <c r="CU9" t="str">
        <f t="shared" si="21"/>
        <v/>
      </c>
      <c r="CV9" t="str">
        <f t="shared" si="22"/>
        <v/>
      </c>
      <c r="CW9" t="str">
        <f t="shared" si="23"/>
        <v/>
      </c>
      <c r="CX9">
        <v>3</v>
      </c>
      <c r="DD9">
        <v>1</v>
      </c>
      <c r="DJ9" t="s">
        <v>75</v>
      </c>
      <c r="DR9">
        <v>3402031</v>
      </c>
      <c r="DS9" s="14" t="s">
        <v>76</v>
      </c>
      <c r="DT9">
        <v>303140201</v>
      </c>
      <c r="DU9" s="13" t="s">
        <v>77</v>
      </c>
    </row>
    <row r="10" spans="1:125" x14ac:dyDescent="0.15">
      <c r="A10">
        <v>7</v>
      </c>
      <c r="B10" s="16" t="s">
        <v>369</v>
      </c>
      <c r="C10" s="1">
        <v>27</v>
      </c>
      <c r="D10" s="1">
        <v>13</v>
      </c>
      <c r="E10">
        <v>1</v>
      </c>
      <c r="F10">
        <f t="shared" si="17"/>
        <v>5005</v>
      </c>
      <c r="H10">
        <v>5</v>
      </c>
      <c r="M10" s="3">
        <v>8</v>
      </c>
      <c r="N10" s="2">
        <f t="shared" si="3"/>
        <v>1</v>
      </c>
      <c r="P10">
        <v>8</v>
      </c>
      <c r="Q10">
        <v>10</v>
      </c>
      <c r="R10" s="10">
        <f t="shared" si="4"/>
        <v>12</v>
      </c>
      <c r="S10">
        <f t="shared" si="5"/>
        <v>120</v>
      </c>
      <c r="X10">
        <v>8</v>
      </c>
      <c r="Y10">
        <f t="shared" si="6"/>
        <v>1</v>
      </c>
      <c r="Z10">
        <f t="shared" si="7"/>
        <v>200</v>
      </c>
      <c r="AA10">
        <f t="shared" si="8"/>
        <v>1150</v>
      </c>
      <c r="AB10">
        <f t="shared" si="0"/>
        <v>16100</v>
      </c>
      <c r="AC10">
        <f t="shared" si="1"/>
        <v>24150</v>
      </c>
      <c r="AD10">
        <f t="shared" si="2"/>
        <v>32200</v>
      </c>
      <c r="AE10">
        <f t="shared" si="9"/>
        <v>40250</v>
      </c>
      <c r="AF10">
        <f t="shared" si="10"/>
        <v>48300</v>
      </c>
      <c r="AG10">
        <f t="shared" si="11"/>
        <v>56350</v>
      </c>
      <c r="AH10">
        <f t="shared" si="12"/>
        <v>64400</v>
      </c>
      <c r="AI10">
        <f t="shared" si="13"/>
        <v>72450</v>
      </c>
      <c r="AJ10">
        <f t="shared" si="14"/>
        <v>80500</v>
      </c>
      <c r="AL10">
        <v>8</v>
      </c>
      <c r="AM10">
        <f t="shared" si="15"/>
        <v>6</v>
      </c>
      <c r="CK10">
        <v>7</v>
      </c>
      <c r="CL10" s="13" t="b">
        <f t="shared" si="18"/>
        <v>1</v>
      </c>
      <c r="CM10" s="13"/>
      <c r="CN10" s="13" t="str">
        <f t="shared" si="24"/>
        <v/>
      </c>
      <c r="CO10" s="13" t="str">
        <f t="shared" si="16"/>
        <v/>
      </c>
      <c r="CP10" s="13" t="str">
        <f t="shared" si="16"/>
        <v/>
      </c>
      <c r="CQ10" s="13" t="str">
        <f t="shared" si="16"/>
        <v/>
      </c>
      <c r="CR10" t="str">
        <f t="shared" si="19"/>
        <v>1203032</v>
      </c>
      <c r="CT10" t="str">
        <f t="shared" si="20"/>
        <v/>
      </c>
      <c r="CU10" t="str">
        <f t="shared" si="21"/>
        <v/>
      </c>
      <c r="CV10" t="str">
        <f t="shared" si="22"/>
        <v/>
      </c>
      <c r="CW10" t="str">
        <f t="shared" si="23"/>
        <v/>
      </c>
      <c r="CX10">
        <v>3</v>
      </c>
      <c r="DD10">
        <v>1</v>
      </c>
      <c r="DJ10" t="s">
        <v>78</v>
      </c>
      <c r="DR10">
        <v>3500031</v>
      </c>
      <c r="DS10" s="14" t="s">
        <v>79</v>
      </c>
      <c r="DT10">
        <v>303150001</v>
      </c>
      <c r="DU10" s="13" t="s">
        <v>80</v>
      </c>
    </row>
    <row r="11" spans="1:125" x14ac:dyDescent="0.15">
      <c r="A11">
        <v>8</v>
      </c>
      <c r="B11" s="16" t="s">
        <v>370</v>
      </c>
      <c r="C11" s="1">
        <v>28</v>
      </c>
      <c r="D11" s="1">
        <v>15</v>
      </c>
      <c r="E11">
        <v>1</v>
      </c>
      <c r="F11">
        <f t="shared" si="17"/>
        <v>5004</v>
      </c>
      <c r="H11">
        <v>4</v>
      </c>
      <c r="M11" s="3">
        <v>9</v>
      </c>
      <c r="N11" s="2">
        <f t="shared" si="3"/>
        <v>1</v>
      </c>
      <c r="P11">
        <v>9</v>
      </c>
      <c r="Q11">
        <v>10</v>
      </c>
      <c r="R11" s="10">
        <f t="shared" si="4"/>
        <v>13</v>
      </c>
      <c r="S11">
        <f t="shared" si="5"/>
        <v>130</v>
      </c>
      <c r="V11" s="10" t="s">
        <v>428</v>
      </c>
      <c r="X11">
        <v>9</v>
      </c>
      <c r="Y11">
        <f t="shared" si="6"/>
        <v>1</v>
      </c>
      <c r="Z11">
        <f t="shared" si="7"/>
        <v>200</v>
      </c>
      <c r="AA11">
        <f t="shared" si="8"/>
        <v>1150</v>
      </c>
      <c r="AB11">
        <f t="shared" si="0"/>
        <v>16100</v>
      </c>
      <c r="AC11">
        <f t="shared" si="1"/>
        <v>24150</v>
      </c>
      <c r="AD11">
        <f t="shared" si="2"/>
        <v>32200</v>
      </c>
      <c r="AE11">
        <f t="shared" si="9"/>
        <v>40250</v>
      </c>
      <c r="AF11">
        <f t="shared" si="10"/>
        <v>48300</v>
      </c>
      <c r="AG11">
        <f t="shared" si="11"/>
        <v>56350</v>
      </c>
      <c r="AH11">
        <f t="shared" si="12"/>
        <v>64400</v>
      </c>
      <c r="AI11">
        <f t="shared" si="13"/>
        <v>72450</v>
      </c>
      <c r="AJ11">
        <f t="shared" si="14"/>
        <v>80500</v>
      </c>
      <c r="AL11">
        <v>9</v>
      </c>
      <c r="AM11">
        <f t="shared" si="15"/>
        <v>6</v>
      </c>
      <c r="CK11">
        <v>8</v>
      </c>
      <c r="CL11" s="13" t="b">
        <f t="shared" si="18"/>
        <v>1</v>
      </c>
      <c r="CM11" s="13"/>
      <c r="CN11" s="13" t="str">
        <f t="shared" si="24"/>
        <v/>
      </c>
      <c r="CO11" s="13" t="str">
        <f t="shared" si="16"/>
        <v/>
      </c>
      <c r="CP11" s="13" t="str">
        <f t="shared" si="16"/>
        <v/>
      </c>
      <c r="CQ11" s="13" t="str">
        <f t="shared" si="16"/>
        <v/>
      </c>
      <c r="CR11" t="str">
        <f t="shared" si="19"/>
        <v>1204031</v>
      </c>
      <c r="CT11" t="str">
        <f t="shared" si="20"/>
        <v/>
      </c>
      <c r="CU11" t="str">
        <f t="shared" si="21"/>
        <v/>
      </c>
      <c r="CV11" t="str">
        <f t="shared" si="22"/>
        <v/>
      </c>
      <c r="CW11" t="str">
        <f t="shared" si="23"/>
        <v/>
      </c>
      <c r="CX11">
        <v>3</v>
      </c>
      <c r="DD11">
        <v>1</v>
      </c>
      <c r="DJ11" t="s">
        <v>70</v>
      </c>
      <c r="DR11">
        <v>3502031</v>
      </c>
      <c r="DS11" s="14" t="s">
        <v>81</v>
      </c>
      <c r="DT11">
        <v>303150201</v>
      </c>
      <c r="DU11" s="13" t="s">
        <v>82</v>
      </c>
    </row>
    <row r="12" spans="1:125" x14ac:dyDescent="0.15">
      <c r="A12">
        <v>9</v>
      </c>
      <c r="B12" s="16" t="s">
        <v>371</v>
      </c>
      <c r="C12" s="1">
        <v>29</v>
      </c>
      <c r="D12" s="1">
        <v>17</v>
      </c>
      <c r="E12">
        <v>1</v>
      </c>
      <c r="F12">
        <f t="shared" si="17"/>
        <v>5003</v>
      </c>
      <c r="H12">
        <v>3</v>
      </c>
      <c r="L12" s="10"/>
      <c r="M12" s="3">
        <v>10</v>
      </c>
      <c r="N12" s="2">
        <f t="shared" si="3"/>
        <v>1</v>
      </c>
      <c r="P12">
        <v>10</v>
      </c>
      <c r="Q12">
        <v>10</v>
      </c>
      <c r="R12" s="10">
        <f t="shared" si="4"/>
        <v>14</v>
      </c>
      <c r="S12">
        <f t="shared" si="5"/>
        <v>140</v>
      </c>
      <c r="X12">
        <v>10</v>
      </c>
      <c r="Y12">
        <f t="shared" si="6"/>
        <v>1</v>
      </c>
      <c r="Z12">
        <f t="shared" si="7"/>
        <v>200</v>
      </c>
      <c r="AA12">
        <f t="shared" si="8"/>
        <v>1150</v>
      </c>
      <c r="AB12">
        <f t="shared" si="0"/>
        <v>16100</v>
      </c>
      <c r="AC12">
        <f t="shared" si="1"/>
        <v>24150</v>
      </c>
      <c r="AD12">
        <f t="shared" si="2"/>
        <v>32200</v>
      </c>
      <c r="AE12">
        <f t="shared" si="9"/>
        <v>40250</v>
      </c>
      <c r="AF12">
        <f t="shared" si="10"/>
        <v>48300</v>
      </c>
      <c r="AG12">
        <f t="shared" si="11"/>
        <v>56350</v>
      </c>
      <c r="AH12">
        <f t="shared" si="12"/>
        <v>64400</v>
      </c>
      <c r="AI12">
        <f t="shared" si="13"/>
        <v>72450</v>
      </c>
      <c r="AJ12">
        <f t="shared" si="14"/>
        <v>80500</v>
      </c>
      <c r="AL12">
        <v>10</v>
      </c>
      <c r="AM12">
        <f t="shared" si="15"/>
        <v>6</v>
      </c>
      <c r="CK12">
        <v>9</v>
      </c>
      <c r="CL12" s="13" t="b">
        <f t="shared" si="18"/>
        <v>1</v>
      </c>
      <c r="CM12" s="13"/>
      <c r="CN12" s="13" t="str">
        <f t="shared" si="24"/>
        <v/>
      </c>
      <c r="CO12" s="13" t="str">
        <f t="shared" si="16"/>
        <v/>
      </c>
      <c r="CP12" s="13" t="str">
        <f t="shared" si="16"/>
        <v/>
      </c>
      <c r="CQ12" s="13" t="str">
        <f t="shared" si="16"/>
        <v/>
      </c>
      <c r="CR12" t="str">
        <f t="shared" si="19"/>
        <v>1503031</v>
      </c>
      <c r="CT12" t="str">
        <f t="shared" si="20"/>
        <v/>
      </c>
      <c r="CU12" t="str">
        <f t="shared" si="21"/>
        <v/>
      </c>
      <c r="CV12" t="str">
        <f t="shared" si="22"/>
        <v/>
      </c>
      <c r="CW12" t="str">
        <f t="shared" si="23"/>
        <v/>
      </c>
      <c r="CX12">
        <v>3</v>
      </c>
      <c r="DD12">
        <v>1</v>
      </c>
      <c r="DJ12" t="s">
        <v>83</v>
      </c>
      <c r="DR12">
        <v>3601031</v>
      </c>
      <c r="DS12" s="14" t="s">
        <v>84</v>
      </c>
      <c r="DT12">
        <v>303160101</v>
      </c>
      <c r="DU12" s="13" t="s">
        <v>85</v>
      </c>
    </row>
    <row r="13" spans="1:125" x14ac:dyDescent="0.15">
      <c r="A13">
        <v>10</v>
      </c>
      <c r="B13" s="16" t="s">
        <v>424</v>
      </c>
      <c r="C13" s="1">
        <v>30</v>
      </c>
      <c r="D13" s="1">
        <v>19</v>
      </c>
      <c r="E13">
        <v>1</v>
      </c>
      <c r="F13">
        <f t="shared" si="17"/>
        <v>5002</v>
      </c>
      <c r="H13">
        <v>2</v>
      </c>
      <c r="L13" s="10"/>
      <c r="M13" s="3">
        <v>11</v>
      </c>
      <c r="N13" s="2">
        <f t="shared" si="3"/>
        <v>2</v>
      </c>
      <c r="P13">
        <v>11</v>
      </c>
      <c r="Q13">
        <v>10</v>
      </c>
      <c r="R13" s="10">
        <f t="shared" si="4"/>
        <v>15</v>
      </c>
      <c r="S13">
        <f t="shared" si="5"/>
        <v>150</v>
      </c>
      <c r="X13">
        <v>11</v>
      </c>
      <c r="Y13">
        <f t="shared" si="6"/>
        <v>2</v>
      </c>
      <c r="Z13">
        <f t="shared" si="7"/>
        <v>400</v>
      </c>
      <c r="AA13">
        <f t="shared" si="8"/>
        <v>1350</v>
      </c>
      <c r="AB13">
        <f t="shared" si="0"/>
        <v>18900</v>
      </c>
      <c r="AC13">
        <f t="shared" si="1"/>
        <v>28350</v>
      </c>
      <c r="AD13">
        <f t="shared" si="2"/>
        <v>37800</v>
      </c>
      <c r="AE13">
        <f t="shared" si="9"/>
        <v>47250</v>
      </c>
      <c r="AF13">
        <f t="shared" si="10"/>
        <v>56700</v>
      </c>
      <c r="AG13">
        <f t="shared" si="11"/>
        <v>66150</v>
      </c>
      <c r="AH13">
        <f t="shared" si="12"/>
        <v>75600</v>
      </c>
      <c r="AI13">
        <f t="shared" si="13"/>
        <v>85050</v>
      </c>
      <c r="AJ13">
        <f t="shared" si="14"/>
        <v>94500</v>
      </c>
      <c r="AL13">
        <v>11</v>
      </c>
      <c r="AM13">
        <f t="shared" si="15"/>
        <v>7</v>
      </c>
      <c r="CK13">
        <v>10</v>
      </c>
      <c r="CL13" s="13" t="b">
        <f t="shared" si="18"/>
        <v>1</v>
      </c>
      <c r="CM13" s="13"/>
      <c r="CN13" s="13" t="str">
        <f t="shared" si="24"/>
        <v/>
      </c>
      <c r="CO13" s="13" t="str">
        <f t="shared" si="16"/>
        <v/>
      </c>
      <c r="CP13" s="13" t="str">
        <f t="shared" si="16"/>
        <v/>
      </c>
      <c r="CQ13" s="13" t="str">
        <f t="shared" si="16"/>
        <v/>
      </c>
      <c r="CR13" t="str">
        <f t="shared" si="19"/>
        <v>1205032</v>
      </c>
      <c r="CT13" t="str">
        <f t="shared" si="20"/>
        <v/>
      </c>
      <c r="CU13" t="str">
        <f t="shared" si="21"/>
        <v/>
      </c>
      <c r="CV13" t="str">
        <f t="shared" si="22"/>
        <v/>
      </c>
      <c r="CW13" t="str">
        <f t="shared" si="23"/>
        <v/>
      </c>
      <c r="CX13">
        <v>3</v>
      </c>
      <c r="DD13">
        <v>1</v>
      </c>
      <c r="DJ13" t="s">
        <v>87</v>
      </c>
      <c r="DR13">
        <v>3200032</v>
      </c>
      <c r="DS13" s="14" t="s">
        <v>88</v>
      </c>
      <c r="DT13">
        <v>303220001</v>
      </c>
      <c r="DU13" s="13" t="s">
        <v>89</v>
      </c>
    </row>
    <row r="14" spans="1:125" x14ac:dyDescent="0.15">
      <c r="A14">
        <v>11</v>
      </c>
      <c r="B14" s="6" t="s">
        <v>90</v>
      </c>
      <c r="C14" s="1">
        <v>41</v>
      </c>
      <c r="D14" s="1">
        <v>21</v>
      </c>
      <c r="E14">
        <v>1</v>
      </c>
      <c r="F14">
        <f t="shared" si="17"/>
        <v>5005</v>
      </c>
      <c r="H14">
        <v>5</v>
      </c>
      <c r="L14" s="10"/>
      <c r="M14" s="3">
        <v>12</v>
      </c>
      <c r="N14" s="2">
        <f t="shared" si="3"/>
        <v>2</v>
      </c>
      <c r="P14">
        <v>12</v>
      </c>
      <c r="Q14">
        <v>10</v>
      </c>
      <c r="R14" s="10">
        <f t="shared" si="4"/>
        <v>16</v>
      </c>
      <c r="S14">
        <f t="shared" si="5"/>
        <v>160</v>
      </c>
      <c r="X14">
        <v>12</v>
      </c>
      <c r="Y14">
        <f t="shared" si="6"/>
        <v>2</v>
      </c>
      <c r="Z14">
        <f t="shared" si="7"/>
        <v>400</v>
      </c>
      <c r="AA14">
        <f t="shared" si="8"/>
        <v>1350</v>
      </c>
      <c r="AB14">
        <f t="shared" si="0"/>
        <v>18900</v>
      </c>
      <c r="AC14">
        <f t="shared" si="1"/>
        <v>28350</v>
      </c>
      <c r="AD14">
        <f t="shared" si="2"/>
        <v>37800</v>
      </c>
      <c r="AE14">
        <f t="shared" si="9"/>
        <v>47250</v>
      </c>
      <c r="AF14">
        <f t="shared" si="10"/>
        <v>56700</v>
      </c>
      <c r="AG14">
        <f t="shared" si="11"/>
        <v>66150</v>
      </c>
      <c r="AH14">
        <f t="shared" si="12"/>
        <v>75600</v>
      </c>
      <c r="AI14">
        <f t="shared" si="13"/>
        <v>85050</v>
      </c>
      <c r="AJ14">
        <f t="shared" si="14"/>
        <v>94500</v>
      </c>
      <c r="AL14">
        <v>12</v>
      </c>
      <c r="AM14">
        <f t="shared" si="15"/>
        <v>7</v>
      </c>
      <c r="CK14">
        <v>11</v>
      </c>
      <c r="CL14" s="13" t="b">
        <f t="shared" si="18"/>
        <v>1</v>
      </c>
      <c r="CM14" s="13"/>
      <c r="CN14" s="13" t="str">
        <f t="shared" si="24"/>
        <v/>
      </c>
      <c r="CO14" s="13" t="str">
        <f t="shared" si="16"/>
        <v/>
      </c>
      <c r="CP14" s="13" t="str">
        <f t="shared" si="16"/>
        <v/>
      </c>
      <c r="CQ14" s="13" t="str">
        <f t="shared" si="16"/>
        <v/>
      </c>
      <c r="CR14" t="str">
        <f t="shared" si="19"/>
        <v>1206031</v>
      </c>
      <c r="CT14" t="str">
        <f t="shared" si="20"/>
        <v/>
      </c>
      <c r="CU14" t="str">
        <f t="shared" si="21"/>
        <v/>
      </c>
      <c r="CV14" t="str">
        <f t="shared" si="22"/>
        <v/>
      </c>
      <c r="CW14" t="str">
        <f t="shared" si="23"/>
        <v/>
      </c>
      <c r="CX14">
        <v>3</v>
      </c>
      <c r="DD14">
        <v>1</v>
      </c>
      <c r="DJ14" t="s">
        <v>67</v>
      </c>
      <c r="DR14">
        <v>3201032</v>
      </c>
      <c r="DS14" s="14" t="s">
        <v>92</v>
      </c>
      <c r="DT14">
        <v>303220101</v>
      </c>
      <c r="DU14" s="13" t="s">
        <v>66</v>
      </c>
    </row>
    <row r="15" spans="1:125" x14ac:dyDescent="0.15">
      <c r="A15">
        <v>12</v>
      </c>
      <c r="B15" s="6" t="s">
        <v>93</v>
      </c>
      <c r="C15" s="1">
        <v>42</v>
      </c>
      <c r="D15" s="1">
        <v>23</v>
      </c>
      <c r="E15">
        <v>1</v>
      </c>
      <c r="F15">
        <f t="shared" si="17"/>
        <v>5004</v>
      </c>
      <c r="H15">
        <v>4</v>
      </c>
      <c r="L15" s="10"/>
      <c r="M15" s="3">
        <v>13</v>
      </c>
      <c r="N15" s="2">
        <f t="shared" si="3"/>
        <v>2</v>
      </c>
      <c r="P15">
        <v>13</v>
      </c>
      <c r="Q15">
        <v>10</v>
      </c>
      <c r="R15" s="10">
        <f t="shared" si="4"/>
        <v>17</v>
      </c>
      <c r="S15">
        <f t="shared" si="5"/>
        <v>170</v>
      </c>
      <c r="X15">
        <v>13</v>
      </c>
      <c r="Y15">
        <f t="shared" si="6"/>
        <v>2</v>
      </c>
      <c r="Z15">
        <f t="shared" si="7"/>
        <v>400</v>
      </c>
      <c r="AA15">
        <f t="shared" si="8"/>
        <v>1350</v>
      </c>
      <c r="AB15">
        <f t="shared" si="0"/>
        <v>18900</v>
      </c>
      <c r="AC15">
        <f t="shared" si="1"/>
        <v>28350</v>
      </c>
      <c r="AD15">
        <f t="shared" si="2"/>
        <v>37800</v>
      </c>
      <c r="AE15">
        <f t="shared" si="9"/>
        <v>47250</v>
      </c>
      <c r="AF15">
        <f t="shared" si="10"/>
        <v>56700</v>
      </c>
      <c r="AG15">
        <f t="shared" si="11"/>
        <v>66150</v>
      </c>
      <c r="AH15">
        <f t="shared" si="12"/>
        <v>75600</v>
      </c>
      <c r="AI15">
        <f t="shared" si="13"/>
        <v>85050</v>
      </c>
      <c r="AJ15">
        <f t="shared" si="14"/>
        <v>94500</v>
      </c>
      <c r="AL15">
        <v>13</v>
      </c>
      <c r="AM15">
        <f t="shared" si="15"/>
        <v>7</v>
      </c>
      <c r="CK15">
        <v>12</v>
      </c>
      <c r="CL15" s="13" t="b">
        <f t="shared" si="18"/>
        <v>1</v>
      </c>
      <c r="CM15" s="13"/>
      <c r="CN15" s="13" t="str">
        <f t="shared" si="24"/>
        <v/>
      </c>
      <c r="CO15" s="13" t="str">
        <f t="shared" si="16"/>
        <v/>
      </c>
      <c r="CP15" s="13" t="str">
        <f t="shared" si="16"/>
        <v/>
      </c>
      <c r="CQ15" s="13" t="str">
        <f t="shared" si="16"/>
        <v/>
      </c>
      <c r="CR15" t="str">
        <f t="shared" si="19"/>
        <v>1203031</v>
      </c>
      <c r="CT15" t="str">
        <f t="shared" si="20"/>
        <v/>
      </c>
      <c r="CU15" t="str">
        <f t="shared" si="21"/>
        <v/>
      </c>
      <c r="CV15" t="str">
        <f t="shared" si="22"/>
        <v/>
      </c>
      <c r="CW15" t="str">
        <f t="shared" si="23"/>
        <v/>
      </c>
      <c r="CX15">
        <v>3</v>
      </c>
      <c r="DD15">
        <v>1</v>
      </c>
      <c r="DJ15" t="s">
        <v>61</v>
      </c>
      <c r="DR15">
        <v>3202032</v>
      </c>
      <c r="DS15" s="14" t="s">
        <v>95</v>
      </c>
      <c r="DT15">
        <v>303220201</v>
      </c>
      <c r="DU15" s="13" t="s">
        <v>96</v>
      </c>
    </row>
    <row r="16" spans="1:125" x14ac:dyDescent="0.15">
      <c r="A16">
        <v>13</v>
      </c>
      <c r="B16" s="16" t="s">
        <v>372</v>
      </c>
      <c r="C16" s="1">
        <v>43</v>
      </c>
      <c r="D16" s="1">
        <v>25</v>
      </c>
      <c r="E16">
        <v>1</v>
      </c>
      <c r="F16">
        <f t="shared" si="17"/>
        <v>5003</v>
      </c>
      <c r="H16">
        <v>3</v>
      </c>
      <c r="L16" s="10"/>
      <c r="M16" s="3">
        <v>14</v>
      </c>
      <c r="N16" s="2">
        <f t="shared" si="3"/>
        <v>2</v>
      </c>
      <c r="P16">
        <v>14</v>
      </c>
      <c r="Q16">
        <v>10</v>
      </c>
      <c r="R16" s="10">
        <f t="shared" si="4"/>
        <v>18</v>
      </c>
      <c r="S16">
        <f t="shared" si="5"/>
        <v>180</v>
      </c>
      <c r="X16">
        <v>14</v>
      </c>
      <c r="Y16">
        <f t="shared" si="6"/>
        <v>2</v>
      </c>
      <c r="Z16">
        <f t="shared" si="7"/>
        <v>400</v>
      </c>
      <c r="AA16">
        <f t="shared" si="8"/>
        <v>1350</v>
      </c>
      <c r="AB16">
        <f t="shared" si="0"/>
        <v>18900</v>
      </c>
      <c r="AC16">
        <f t="shared" si="1"/>
        <v>28350</v>
      </c>
      <c r="AD16">
        <f t="shared" si="2"/>
        <v>37800</v>
      </c>
      <c r="AE16">
        <f t="shared" si="9"/>
        <v>47250</v>
      </c>
      <c r="AF16">
        <f t="shared" si="10"/>
        <v>56700</v>
      </c>
      <c r="AG16">
        <f t="shared" si="11"/>
        <v>66150</v>
      </c>
      <c r="AH16">
        <f t="shared" si="12"/>
        <v>75600</v>
      </c>
      <c r="AI16">
        <f t="shared" si="13"/>
        <v>85050</v>
      </c>
      <c r="AJ16">
        <f t="shared" si="14"/>
        <v>94500</v>
      </c>
      <c r="AL16">
        <v>14</v>
      </c>
      <c r="AM16">
        <f t="shared" si="15"/>
        <v>7</v>
      </c>
      <c r="CK16">
        <v>13</v>
      </c>
      <c r="CL16" s="13" t="b">
        <f t="shared" si="18"/>
        <v>1</v>
      </c>
      <c r="CM16" s="13"/>
      <c r="CN16" s="13" t="str">
        <f t="shared" si="24"/>
        <v/>
      </c>
      <c r="CO16" s="13" t="str">
        <f t="shared" si="16"/>
        <v/>
      </c>
      <c r="CP16" s="13" t="str">
        <f t="shared" si="16"/>
        <v/>
      </c>
      <c r="CQ16" s="13" t="str">
        <f t="shared" si="16"/>
        <v/>
      </c>
      <c r="CR16" t="str">
        <f t="shared" si="19"/>
        <v>1206032</v>
      </c>
      <c r="CT16" t="str">
        <f t="shared" si="20"/>
        <v/>
      </c>
      <c r="CU16" t="str">
        <f t="shared" si="21"/>
        <v/>
      </c>
      <c r="CV16" t="str">
        <f t="shared" si="22"/>
        <v/>
      </c>
      <c r="CW16" t="str">
        <f t="shared" si="23"/>
        <v/>
      </c>
      <c r="CX16">
        <v>3</v>
      </c>
      <c r="DD16">
        <v>1</v>
      </c>
      <c r="DJ16" t="s">
        <v>97</v>
      </c>
      <c r="DR16">
        <v>3301032</v>
      </c>
      <c r="DS16" s="14" t="s">
        <v>98</v>
      </c>
      <c r="DT16">
        <v>303230101</v>
      </c>
      <c r="DU16" s="13" t="s">
        <v>99</v>
      </c>
    </row>
    <row r="17" spans="1:125" x14ac:dyDescent="0.15">
      <c r="A17">
        <v>14</v>
      </c>
      <c r="B17" s="16" t="s">
        <v>373</v>
      </c>
      <c r="C17" s="1">
        <v>44</v>
      </c>
      <c r="D17" s="1">
        <v>27</v>
      </c>
      <c r="E17">
        <v>1</v>
      </c>
      <c r="F17">
        <f t="shared" si="17"/>
        <v>5002</v>
      </c>
      <c r="H17">
        <v>2</v>
      </c>
      <c r="L17" s="10"/>
      <c r="M17" s="3">
        <v>15</v>
      </c>
      <c r="N17" s="2">
        <f t="shared" si="3"/>
        <v>2</v>
      </c>
      <c r="P17">
        <v>15</v>
      </c>
      <c r="Q17">
        <v>10</v>
      </c>
      <c r="R17" s="10">
        <f t="shared" si="4"/>
        <v>19</v>
      </c>
      <c r="S17">
        <f t="shared" si="5"/>
        <v>190</v>
      </c>
      <c r="X17">
        <v>15</v>
      </c>
      <c r="Y17">
        <f t="shared" si="6"/>
        <v>2</v>
      </c>
      <c r="Z17">
        <f t="shared" si="7"/>
        <v>400</v>
      </c>
      <c r="AA17">
        <f t="shared" si="8"/>
        <v>1350</v>
      </c>
      <c r="AB17">
        <f t="shared" si="0"/>
        <v>18900</v>
      </c>
      <c r="AC17">
        <f t="shared" si="1"/>
        <v>28350</v>
      </c>
      <c r="AD17">
        <f t="shared" si="2"/>
        <v>37800</v>
      </c>
      <c r="AE17">
        <f t="shared" si="9"/>
        <v>47250</v>
      </c>
      <c r="AF17">
        <f t="shared" si="10"/>
        <v>56700</v>
      </c>
      <c r="AG17">
        <f t="shared" si="11"/>
        <v>66150</v>
      </c>
      <c r="AH17">
        <f t="shared" si="12"/>
        <v>75600</v>
      </c>
      <c r="AI17">
        <f t="shared" si="13"/>
        <v>85050</v>
      </c>
      <c r="AJ17">
        <f t="shared" si="14"/>
        <v>94500</v>
      </c>
      <c r="AL17">
        <v>15</v>
      </c>
      <c r="AM17">
        <f t="shared" si="15"/>
        <v>7</v>
      </c>
      <c r="CK17">
        <v>14</v>
      </c>
      <c r="CL17" s="13" t="b">
        <f t="shared" si="18"/>
        <v>1</v>
      </c>
      <c r="CM17" s="13"/>
      <c r="CN17" s="13" t="str">
        <f t="shared" si="24"/>
        <v/>
      </c>
      <c r="CO17" s="13" t="str">
        <f t="shared" si="16"/>
        <v/>
      </c>
      <c r="CP17" s="13" t="str">
        <f t="shared" si="16"/>
        <v/>
      </c>
      <c r="CQ17" s="13" t="str">
        <f t="shared" si="16"/>
        <v/>
      </c>
      <c r="CR17" t="str">
        <f t="shared" si="19"/>
        <v>1203032</v>
      </c>
      <c r="CT17" t="str">
        <f t="shared" si="20"/>
        <v/>
      </c>
      <c r="CU17" t="str">
        <f t="shared" si="21"/>
        <v/>
      </c>
      <c r="CV17" t="str">
        <f t="shared" si="22"/>
        <v/>
      </c>
      <c r="CW17" t="str">
        <f t="shared" si="23"/>
        <v/>
      </c>
      <c r="CX17">
        <v>3</v>
      </c>
      <c r="DD17">
        <v>1</v>
      </c>
      <c r="DJ17" t="s">
        <v>78</v>
      </c>
      <c r="DR17">
        <v>3401032</v>
      </c>
      <c r="DS17" s="14" t="s">
        <v>101</v>
      </c>
      <c r="DT17">
        <v>303240101</v>
      </c>
      <c r="DU17" s="13" t="s">
        <v>74</v>
      </c>
    </row>
    <row r="18" spans="1:125" x14ac:dyDescent="0.15">
      <c r="A18">
        <v>15</v>
      </c>
      <c r="B18" s="16" t="s">
        <v>374</v>
      </c>
      <c r="C18" s="1">
        <v>45</v>
      </c>
      <c r="D18" s="1">
        <v>29</v>
      </c>
      <c r="E18">
        <v>1</v>
      </c>
      <c r="F18">
        <f t="shared" si="17"/>
        <v>5005</v>
      </c>
      <c r="H18">
        <v>5</v>
      </c>
      <c r="L18" s="10"/>
      <c r="M18" s="3">
        <v>16</v>
      </c>
      <c r="N18" s="2">
        <f t="shared" si="3"/>
        <v>2</v>
      </c>
      <c r="P18">
        <v>16</v>
      </c>
      <c r="Q18">
        <v>10</v>
      </c>
      <c r="R18" s="10">
        <f t="shared" si="4"/>
        <v>20</v>
      </c>
      <c r="S18">
        <f t="shared" si="5"/>
        <v>200</v>
      </c>
      <c r="X18">
        <v>16</v>
      </c>
      <c r="Y18">
        <f t="shared" si="6"/>
        <v>3</v>
      </c>
      <c r="Z18">
        <f t="shared" si="7"/>
        <v>600</v>
      </c>
      <c r="AA18">
        <f t="shared" si="8"/>
        <v>1550</v>
      </c>
      <c r="AB18">
        <f t="shared" si="0"/>
        <v>21700</v>
      </c>
      <c r="AC18">
        <f t="shared" si="1"/>
        <v>32550</v>
      </c>
      <c r="AD18">
        <f t="shared" si="2"/>
        <v>43400</v>
      </c>
      <c r="AE18">
        <f t="shared" si="9"/>
        <v>54250</v>
      </c>
      <c r="AF18">
        <f t="shared" si="10"/>
        <v>65100</v>
      </c>
      <c r="AG18">
        <f t="shared" si="11"/>
        <v>75950</v>
      </c>
      <c r="AH18">
        <f t="shared" si="12"/>
        <v>86800</v>
      </c>
      <c r="AI18">
        <f t="shared" si="13"/>
        <v>97650</v>
      </c>
      <c r="AJ18">
        <f t="shared" si="14"/>
        <v>108500</v>
      </c>
      <c r="AL18">
        <v>16</v>
      </c>
      <c r="AM18">
        <f t="shared" si="15"/>
        <v>7</v>
      </c>
      <c r="CK18">
        <v>15</v>
      </c>
      <c r="CL18" s="13" t="b">
        <f t="shared" si="18"/>
        <v>1</v>
      </c>
      <c r="CM18" s="13"/>
      <c r="CN18" s="13" t="str">
        <f t="shared" si="24"/>
        <v/>
      </c>
      <c r="CO18" s="13" t="str">
        <f t="shared" si="16"/>
        <v/>
      </c>
      <c r="CP18" s="13" t="str">
        <f t="shared" si="16"/>
        <v/>
      </c>
      <c r="CQ18" s="13" t="str">
        <f t="shared" si="16"/>
        <v/>
      </c>
      <c r="CR18" t="str">
        <f t="shared" si="19"/>
        <v>1205032</v>
      </c>
      <c r="CT18" t="str">
        <f t="shared" si="20"/>
        <v/>
      </c>
      <c r="CU18" t="str">
        <f t="shared" si="21"/>
        <v/>
      </c>
      <c r="CV18" t="str">
        <f t="shared" si="22"/>
        <v/>
      </c>
      <c r="CW18" t="str">
        <f t="shared" si="23"/>
        <v/>
      </c>
      <c r="CX18">
        <v>3</v>
      </c>
      <c r="DD18">
        <v>1</v>
      </c>
      <c r="DJ18" t="s">
        <v>87</v>
      </c>
      <c r="DR18">
        <v>3402032</v>
      </c>
      <c r="DS18" s="14" t="s">
        <v>103</v>
      </c>
      <c r="DT18">
        <v>303240201</v>
      </c>
      <c r="DU18" s="13" t="s">
        <v>77</v>
      </c>
    </row>
    <row r="19" spans="1:125" x14ac:dyDescent="0.15">
      <c r="A19">
        <v>16</v>
      </c>
      <c r="B19" s="6" t="s">
        <v>104</v>
      </c>
      <c r="C19" s="1">
        <v>46</v>
      </c>
      <c r="D19" s="1">
        <v>31</v>
      </c>
      <c r="E19">
        <v>1</v>
      </c>
      <c r="F19">
        <f t="shared" si="17"/>
        <v>5004</v>
      </c>
      <c r="H19">
        <v>4</v>
      </c>
      <c r="L19" s="10"/>
      <c r="M19" s="3">
        <v>17</v>
      </c>
      <c r="N19" s="2">
        <f t="shared" si="3"/>
        <v>2</v>
      </c>
      <c r="P19">
        <v>17</v>
      </c>
      <c r="Q19">
        <v>10</v>
      </c>
      <c r="R19" s="10">
        <f t="shared" si="4"/>
        <v>21</v>
      </c>
      <c r="S19">
        <f t="shared" si="5"/>
        <v>210</v>
      </c>
      <c r="X19">
        <v>17</v>
      </c>
      <c r="Y19">
        <f t="shared" si="6"/>
        <v>3</v>
      </c>
      <c r="Z19">
        <f t="shared" si="7"/>
        <v>600</v>
      </c>
      <c r="AA19">
        <f t="shared" si="8"/>
        <v>1550</v>
      </c>
      <c r="AB19">
        <f t="shared" si="0"/>
        <v>21700</v>
      </c>
      <c r="AC19">
        <f t="shared" si="1"/>
        <v>32550</v>
      </c>
      <c r="AD19">
        <f t="shared" si="2"/>
        <v>43400</v>
      </c>
      <c r="AE19">
        <f t="shared" si="9"/>
        <v>54250</v>
      </c>
      <c r="AF19">
        <f t="shared" si="10"/>
        <v>65100</v>
      </c>
      <c r="AG19">
        <f t="shared" si="11"/>
        <v>75950</v>
      </c>
      <c r="AH19">
        <f t="shared" si="12"/>
        <v>86800</v>
      </c>
      <c r="AI19">
        <f t="shared" si="13"/>
        <v>97650</v>
      </c>
      <c r="AJ19">
        <f t="shared" si="14"/>
        <v>108500</v>
      </c>
      <c r="AL19">
        <v>17</v>
      </c>
      <c r="AM19">
        <f t="shared" si="15"/>
        <v>7</v>
      </c>
      <c r="CK19">
        <v>16</v>
      </c>
      <c r="CL19" s="13" t="b">
        <f t="shared" si="18"/>
        <v>1</v>
      </c>
      <c r="CM19" s="13"/>
      <c r="CN19" s="13" t="str">
        <f t="shared" si="24"/>
        <v/>
      </c>
      <c r="CO19" s="13" t="str">
        <f t="shared" si="16"/>
        <v/>
      </c>
      <c r="CP19" s="13" t="str">
        <f t="shared" si="16"/>
        <v/>
      </c>
      <c r="CQ19" s="13" t="str">
        <f t="shared" si="16"/>
        <v/>
      </c>
      <c r="CR19" t="str">
        <f t="shared" si="19"/>
        <v>1204032</v>
      </c>
      <c r="CT19" t="str">
        <f t="shared" si="20"/>
        <v/>
      </c>
      <c r="CU19" t="str">
        <f t="shared" si="21"/>
        <v/>
      </c>
      <c r="CV19" t="str">
        <f t="shared" si="22"/>
        <v/>
      </c>
      <c r="CW19" t="str">
        <f t="shared" si="23"/>
        <v/>
      </c>
      <c r="CX19">
        <v>3</v>
      </c>
      <c r="DD19">
        <v>1</v>
      </c>
      <c r="DJ19" t="s">
        <v>106</v>
      </c>
      <c r="DR19">
        <v>3500032</v>
      </c>
      <c r="DS19" s="14" t="s">
        <v>107</v>
      </c>
      <c r="DT19">
        <v>303250001</v>
      </c>
      <c r="DU19" s="13" t="s">
        <v>108</v>
      </c>
    </row>
    <row r="20" spans="1:125" x14ac:dyDescent="0.15">
      <c r="A20">
        <v>17</v>
      </c>
      <c r="B20" s="16" t="s">
        <v>372</v>
      </c>
      <c r="C20" s="1">
        <v>47</v>
      </c>
      <c r="D20" s="1">
        <v>33</v>
      </c>
      <c r="E20">
        <v>1</v>
      </c>
      <c r="F20">
        <f t="shared" si="17"/>
        <v>5003</v>
      </c>
      <c r="H20">
        <v>3</v>
      </c>
      <c r="L20" s="10"/>
      <c r="M20" s="3">
        <v>18</v>
      </c>
      <c r="N20" s="2">
        <f t="shared" si="3"/>
        <v>2</v>
      </c>
      <c r="P20">
        <v>18</v>
      </c>
      <c r="Q20">
        <v>10</v>
      </c>
      <c r="R20" s="10">
        <f t="shared" si="4"/>
        <v>22</v>
      </c>
      <c r="S20">
        <f t="shared" si="5"/>
        <v>220</v>
      </c>
      <c r="X20">
        <v>18</v>
      </c>
      <c r="Y20">
        <f t="shared" si="6"/>
        <v>3</v>
      </c>
      <c r="Z20">
        <f t="shared" si="7"/>
        <v>600</v>
      </c>
      <c r="AA20">
        <f t="shared" si="8"/>
        <v>1550</v>
      </c>
      <c r="AB20">
        <f t="shared" si="0"/>
        <v>21700</v>
      </c>
      <c r="AC20">
        <f t="shared" si="1"/>
        <v>32550</v>
      </c>
      <c r="AD20">
        <f t="shared" si="2"/>
        <v>43400</v>
      </c>
      <c r="AE20">
        <f t="shared" si="9"/>
        <v>54250</v>
      </c>
      <c r="AF20">
        <f t="shared" si="10"/>
        <v>65100</v>
      </c>
      <c r="AG20">
        <f t="shared" si="11"/>
        <v>75950</v>
      </c>
      <c r="AH20">
        <f t="shared" si="12"/>
        <v>86800</v>
      </c>
      <c r="AI20">
        <f t="shared" si="13"/>
        <v>97650</v>
      </c>
      <c r="AJ20">
        <f t="shared" si="14"/>
        <v>108500</v>
      </c>
      <c r="AL20">
        <v>18</v>
      </c>
      <c r="AM20">
        <f t="shared" si="15"/>
        <v>7</v>
      </c>
      <c r="CK20">
        <v>17</v>
      </c>
      <c r="CL20" s="13" t="b">
        <f t="shared" si="18"/>
        <v>1</v>
      </c>
      <c r="CM20" s="13"/>
      <c r="CN20" s="13" t="str">
        <f t="shared" si="24"/>
        <v/>
      </c>
      <c r="CO20" s="13" t="str">
        <f t="shared" si="24"/>
        <v/>
      </c>
      <c r="CP20" s="13" t="str">
        <f t="shared" si="24"/>
        <v/>
      </c>
      <c r="CQ20" s="13" t="str">
        <f t="shared" si="24"/>
        <v/>
      </c>
      <c r="CR20" t="str">
        <f t="shared" si="19"/>
        <v>1206033</v>
      </c>
      <c r="CT20" t="str">
        <f t="shared" si="20"/>
        <v/>
      </c>
      <c r="CU20" t="str">
        <f t="shared" si="21"/>
        <v/>
      </c>
      <c r="CV20" t="str">
        <f t="shared" si="22"/>
        <v/>
      </c>
      <c r="CW20" t="str">
        <f t="shared" si="23"/>
        <v/>
      </c>
      <c r="CX20">
        <v>3</v>
      </c>
      <c r="DD20">
        <v>1</v>
      </c>
      <c r="DJ20" t="s">
        <v>110</v>
      </c>
      <c r="DR20">
        <v>3502032</v>
      </c>
      <c r="DS20" s="14" t="s">
        <v>111</v>
      </c>
      <c r="DT20">
        <v>303250201</v>
      </c>
      <c r="DU20" s="13" t="s">
        <v>112</v>
      </c>
    </row>
    <row r="21" spans="1:125" x14ac:dyDescent="0.15">
      <c r="A21">
        <v>18</v>
      </c>
      <c r="B21" s="16" t="s">
        <v>375</v>
      </c>
      <c r="C21" s="1">
        <v>48</v>
      </c>
      <c r="D21" s="1">
        <v>35</v>
      </c>
      <c r="E21">
        <v>1</v>
      </c>
      <c r="F21">
        <f t="shared" si="17"/>
        <v>5002</v>
      </c>
      <c r="H21">
        <v>2</v>
      </c>
      <c r="L21" s="10"/>
      <c r="M21" s="3">
        <v>19</v>
      </c>
      <c r="N21" s="2">
        <f t="shared" si="3"/>
        <v>2</v>
      </c>
      <c r="P21">
        <v>19</v>
      </c>
      <c r="Q21">
        <v>10</v>
      </c>
      <c r="R21" s="10">
        <f t="shared" si="4"/>
        <v>23</v>
      </c>
      <c r="S21">
        <f t="shared" si="5"/>
        <v>230</v>
      </c>
      <c r="X21">
        <v>19</v>
      </c>
      <c r="Y21">
        <f t="shared" si="6"/>
        <v>3</v>
      </c>
      <c r="Z21">
        <f t="shared" si="7"/>
        <v>600</v>
      </c>
      <c r="AA21">
        <f t="shared" si="8"/>
        <v>1550</v>
      </c>
      <c r="AB21">
        <f t="shared" si="0"/>
        <v>21700</v>
      </c>
      <c r="AC21">
        <f t="shared" si="1"/>
        <v>32550</v>
      </c>
      <c r="AD21">
        <f t="shared" si="2"/>
        <v>43400</v>
      </c>
      <c r="AE21">
        <f t="shared" si="9"/>
        <v>54250</v>
      </c>
      <c r="AF21">
        <f t="shared" si="10"/>
        <v>65100</v>
      </c>
      <c r="AG21">
        <f t="shared" si="11"/>
        <v>75950</v>
      </c>
      <c r="AH21">
        <f t="shared" si="12"/>
        <v>86800</v>
      </c>
      <c r="AI21">
        <f t="shared" si="13"/>
        <v>97650</v>
      </c>
      <c r="AJ21">
        <f t="shared" si="14"/>
        <v>108500</v>
      </c>
      <c r="AL21">
        <v>19</v>
      </c>
      <c r="AM21">
        <f t="shared" si="15"/>
        <v>7</v>
      </c>
      <c r="CK21">
        <v>18</v>
      </c>
      <c r="CL21" s="13" t="b">
        <f t="shared" si="18"/>
        <v>1</v>
      </c>
      <c r="CM21" s="13"/>
      <c r="CN21" s="13" t="str">
        <f t="shared" si="24"/>
        <v/>
      </c>
      <c r="CO21" s="13" t="str">
        <f t="shared" si="24"/>
        <v/>
      </c>
      <c r="CP21" s="13" t="str">
        <f t="shared" si="24"/>
        <v/>
      </c>
      <c r="CQ21" s="13" t="str">
        <f t="shared" si="24"/>
        <v/>
      </c>
      <c r="CR21" t="str">
        <f t="shared" si="19"/>
        <v>1206032</v>
      </c>
      <c r="CT21" t="str">
        <f t="shared" si="20"/>
        <v/>
      </c>
      <c r="CU21" t="str">
        <f t="shared" si="21"/>
        <v/>
      </c>
      <c r="CV21" t="str">
        <f t="shared" si="22"/>
        <v/>
      </c>
      <c r="CW21" t="str">
        <f t="shared" si="23"/>
        <v/>
      </c>
      <c r="CX21">
        <v>3</v>
      </c>
      <c r="DD21">
        <v>1</v>
      </c>
      <c r="DJ21" t="s">
        <v>97</v>
      </c>
      <c r="DR21">
        <v>3601032</v>
      </c>
      <c r="DS21" s="14" t="s">
        <v>114</v>
      </c>
      <c r="DT21">
        <v>303260101</v>
      </c>
      <c r="DU21" s="13" t="s">
        <v>115</v>
      </c>
    </row>
    <row r="22" spans="1:125" x14ac:dyDescent="0.15">
      <c r="A22">
        <v>19</v>
      </c>
      <c r="B22" s="16" t="s">
        <v>368</v>
      </c>
      <c r="C22" s="1">
        <v>49</v>
      </c>
      <c r="D22" s="1">
        <v>37</v>
      </c>
      <c r="E22">
        <v>1</v>
      </c>
      <c r="F22">
        <f t="shared" si="17"/>
        <v>5005</v>
      </c>
      <c r="H22">
        <v>5</v>
      </c>
      <c r="L22" s="10"/>
      <c r="M22" s="3">
        <v>20</v>
      </c>
      <c r="N22" s="2">
        <f t="shared" si="3"/>
        <v>2</v>
      </c>
      <c r="P22">
        <v>20</v>
      </c>
      <c r="Q22">
        <v>10</v>
      </c>
      <c r="R22" s="10">
        <f t="shared" si="4"/>
        <v>24</v>
      </c>
      <c r="S22">
        <f t="shared" si="5"/>
        <v>240</v>
      </c>
      <c r="X22">
        <v>20</v>
      </c>
      <c r="Y22">
        <f t="shared" si="6"/>
        <v>3</v>
      </c>
      <c r="Z22">
        <f t="shared" si="7"/>
        <v>600</v>
      </c>
      <c r="AA22">
        <f t="shared" si="8"/>
        <v>1550</v>
      </c>
      <c r="AB22">
        <f t="shared" si="0"/>
        <v>21700</v>
      </c>
      <c r="AC22">
        <f t="shared" si="1"/>
        <v>32550</v>
      </c>
      <c r="AD22">
        <f t="shared" si="2"/>
        <v>43400</v>
      </c>
      <c r="AE22">
        <f t="shared" si="9"/>
        <v>54250</v>
      </c>
      <c r="AF22">
        <f t="shared" si="10"/>
        <v>65100</v>
      </c>
      <c r="AG22">
        <f t="shared" si="11"/>
        <v>75950</v>
      </c>
      <c r="AH22">
        <f t="shared" si="12"/>
        <v>86800</v>
      </c>
      <c r="AI22">
        <f t="shared" si="13"/>
        <v>97650</v>
      </c>
      <c r="AJ22">
        <f t="shared" si="14"/>
        <v>108500</v>
      </c>
      <c r="AL22">
        <v>20</v>
      </c>
      <c r="AM22">
        <f t="shared" si="15"/>
        <v>7</v>
      </c>
      <c r="CK22">
        <v>19</v>
      </c>
      <c r="CL22" s="13" t="b">
        <f t="shared" si="18"/>
        <v>1</v>
      </c>
      <c r="CM22" s="13"/>
      <c r="CN22" s="13" t="str">
        <f t="shared" si="24"/>
        <v/>
      </c>
      <c r="CO22" s="13" t="str">
        <f t="shared" si="24"/>
        <v/>
      </c>
      <c r="CP22" s="13" t="str">
        <f t="shared" si="24"/>
        <v/>
      </c>
      <c r="CQ22" s="13" t="str">
        <f t="shared" si="24"/>
        <v/>
      </c>
      <c r="CR22" t="str">
        <f t="shared" si="19"/>
        <v>1304032</v>
      </c>
      <c r="CT22" t="str">
        <f t="shared" si="20"/>
        <v/>
      </c>
      <c r="CU22" t="str">
        <f t="shared" si="21"/>
        <v/>
      </c>
      <c r="CV22" t="str">
        <f t="shared" si="22"/>
        <v/>
      </c>
      <c r="CW22" t="str">
        <f t="shared" si="23"/>
        <v/>
      </c>
      <c r="CX22">
        <v>3</v>
      </c>
      <c r="DD22">
        <v>1</v>
      </c>
      <c r="DJ22" t="s">
        <v>117</v>
      </c>
      <c r="DR22">
        <v>3200033</v>
      </c>
      <c r="DS22" s="14" t="s">
        <v>118</v>
      </c>
      <c r="DT22">
        <v>303320001</v>
      </c>
      <c r="DU22" s="13" t="s">
        <v>119</v>
      </c>
    </row>
    <row r="23" spans="1:125" x14ac:dyDescent="0.15">
      <c r="A23">
        <v>20</v>
      </c>
      <c r="B23" s="16" t="s">
        <v>368</v>
      </c>
      <c r="C23" s="1">
        <v>50</v>
      </c>
      <c r="D23" s="1">
        <v>39</v>
      </c>
      <c r="E23">
        <v>1</v>
      </c>
      <c r="F23">
        <f t="shared" si="17"/>
        <v>5004</v>
      </c>
      <c r="H23">
        <v>4</v>
      </c>
      <c r="L23" s="10"/>
      <c r="M23" s="3">
        <v>21</v>
      </c>
      <c r="N23" s="2">
        <f t="shared" si="3"/>
        <v>3</v>
      </c>
      <c r="X23">
        <v>21</v>
      </c>
      <c r="Y23">
        <f t="shared" si="6"/>
        <v>4</v>
      </c>
      <c r="Z23">
        <f t="shared" si="7"/>
        <v>800</v>
      </c>
      <c r="AA23">
        <f t="shared" si="8"/>
        <v>1750</v>
      </c>
      <c r="AB23">
        <f t="shared" si="0"/>
        <v>24500</v>
      </c>
      <c r="AC23">
        <f t="shared" si="1"/>
        <v>36750</v>
      </c>
      <c r="AD23">
        <f t="shared" si="2"/>
        <v>49000</v>
      </c>
      <c r="AE23">
        <f t="shared" si="9"/>
        <v>61250</v>
      </c>
      <c r="AF23">
        <f t="shared" si="10"/>
        <v>73500</v>
      </c>
      <c r="AG23">
        <f t="shared" si="11"/>
        <v>85750</v>
      </c>
      <c r="AH23">
        <f t="shared" si="12"/>
        <v>98000</v>
      </c>
      <c r="AI23">
        <f t="shared" si="13"/>
        <v>110250</v>
      </c>
      <c r="AJ23">
        <f t="shared" si="14"/>
        <v>122500</v>
      </c>
      <c r="AL23">
        <v>21</v>
      </c>
      <c r="AM23">
        <f t="shared" si="15"/>
        <v>8</v>
      </c>
      <c r="CK23">
        <v>20</v>
      </c>
      <c r="CL23" s="13" t="b">
        <f t="shared" si="18"/>
        <v>1</v>
      </c>
      <c r="CM23" s="13"/>
      <c r="CN23" s="13" t="str">
        <f t="shared" si="24"/>
        <v/>
      </c>
      <c r="CO23" s="13" t="str">
        <f t="shared" si="24"/>
        <v/>
      </c>
      <c r="CP23" s="13"/>
      <c r="CQ23" s="13" t="str">
        <f t="shared" si="24"/>
        <v/>
      </c>
      <c r="CR23" t="str">
        <f t="shared" si="19"/>
        <v>1304034</v>
      </c>
      <c r="CT23" t="str">
        <f t="shared" si="20"/>
        <v/>
      </c>
      <c r="CU23" t="str">
        <f t="shared" si="21"/>
        <v/>
      </c>
      <c r="CV23" t="str">
        <f t="shared" si="22"/>
        <v/>
      </c>
      <c r="CW23" t="str">
        <f t="shared" si="23"/>
        <v/>
      </c>
      <c r="CX23">
        <v>3</v>
      </c>
      <c r="DD23">
        <v>1</v>
      </c>
      <c r="DJ23" t="s">
        <v>120</v>
      </c>
      <c r="DR23">
        <v>3201033</v>
      </c>
      <c r="DS23" s="14" t="s">
        <v>121</v>
      </c>
      <c r="DT23">
        <v>303320101</v>
      </c>
      <c r="DU23" s="13" t="s">
        <v>122</v>
      </c>
    </row>
    <row r="24" spans="1:125" x14ac:dyDescent="0.15">
      <c r="A24">
        <v>21</v>
      </c>
      <c r="B24" s="16" t="s">
        <v>376</v>
      </c>
      <c r="C24" s="1">
        <v>61</v>
      </c>
      <c r="D24" s="1">
        <v>41</v>
      </c>
      <c r="E24">
        <v>1</v>
      </c>
      <c r="F24">
        <f t="shared" si="17"/>
        <v>5003</v>
      </c>
      <c r="H24">
        <v>3</v>
      </c>
      <c r="L24" s="10"/>
      <c r="M24" s="3">
        <v>22</v>
      </c>
      <c r="N24" s="2">
        <f t="shared" si="3"/>
        <v>3</v>
      </c>
      <c r="X24">
        <v>22</v>
      </c>
      <c r="Y24">
        <f t="shared" si="6"/>
        <v>4</v>
      </c>
      <c r="Z24">
        <f t="shared" si="7"/>
        <v>800</v>
      </c>
      <c r="AA24">
        <f t="shared" si="8"/>
        <v>1750</v>
      </c>
      <c r="AB24">
        <f t="shared" si="0"/>
        <v>24500</v>
      </c>
      <c r="AC24">
        <f t="shared" si="1"/>
        <v>36750</v>
      </c>
      <c r="AD24">
        <f t="shared" si="2"/>
        <v>49000</v>
      </c>
      <c r="AE24">
        <f t="shared" si="9"/>
        <v>61250</v>
      </c>
      <c r="AF24">
        <f t="shared" si="10"/>
        <v>73500</v>
      </c>
      <c r="AG24">
        <f t="shared" si="11"/>
        <v>85750</v>
      </c>
      <c r="AH24">
        <f t="shared" si="12"/>
        <v>98000</v>
      </c>
      <c r="AI24">
        <f t="shared" si="13"/>
        <v>110250</v>
      </c>
      <c r="AJ24">
        <f t="shared" si="14"/>
        <v>122500</v>
      </c>
      <c r="AL24">
        <v>22</v>
      </c>
      <c r="AM24">
        <f t="shared" si="15"/>
        <v>8</v>
      </c>
      <c r="CK24">
        <v>21</v>
      </c>
      <c r="CL24" s="13" t="b">
        <f t="shared" si="18"/>
        <v>1</v>
      </c>
      <c r="CM24" s="13"/>
      <c r="CN24" s="13" t="str">
        <f t="shared" si="24"/>
        <v/>
      </c>
      <c r="CO24" s="13" t="str">
        <f t="shared" si="24"/>
        <v/>
      </c>
      <c r="CP24" s="13"/>
      <c r="CQ24" s="13" t="str">
        <f t="shared" si="24"/>
        <v/>
      </c>
      <c r="CR24" t="str">
        <f t="shared" si="19"/>
        <v>1203045</v>
      </c>
      <c r="CT24" t="str">
        <f t="shared" si="20"/>
        <v/>
      </c>
      <c r="CU24" t="str">
        <f t="shared" si="21"/>
        <v/>
      </c>
      <c r="CV24" t="str">
        <f t="shared" si="22"/>
        <v/>
      </c>
      <c r="CW24" t="str">
        <f t="shared" si="23"/>
        <v/>
      </c>
      <c r="CX24">
        <v>4</v>
      </c>
      <c r="DD24">
        <v>1</v>
      </c>
      <c r="DJ24" t="s">
        <v>123</v>
      </c>
      <c r="DR24">
        <v>3202033</v>
      </c>
      <c r="DS24" s="14" t="s">
        <v>124</v>
      </c>
      <c r="DT24">
        <v>303320201</v>
      </c>
      <c r="DU24" s="13" t="s">
        <v>77</v>
      </c>
    </row>
    <row r="25" spans="1:125" x14ac:dyDescent="0.15">
      <c r="A25">
        <v>22</v>
      </c>
      <c r="B25" s="16" t="s">
        <v>377</v>
      </c>
      <c r="C25" s="1">
        <v>62</v>
      </c>
      <c r="D25" s="1">
        <v>43</v>
      </c>
      <c r="E25">
        <v>1</v>
      </c>
      <c r="F25">
        <f t="shared" si="17"/>
        <v>5002</v>
      </c>
      <c r="H25">
        <v>2</v>
      </c>
      <c r="L25" s="10"/>
      <c r="M25" s="3">
        <v>23</v>
      </c>
      <c r="N25" s="2">
        <f t="shared" si="3"/>
        <v>3</v>
      </c>
      <c r="X25">
        <v>23</v>
      </c>
      <c r="Y25">
        <f t="shared" si="6"/>
        <v>4</v>
      </c>
      <c r="Z25">
        <f t="shared" si="7"/>
        <v>800</v>
      </c>
      <c r="AA25">
        <f t="shared" si="8"/>
        <v>1750</v>
      </c>
      <c r="AB25">
        <f t="shared" si="0"/>
        <v>24500</v>
      </c>
      <c r="AC25">
        <f t="shared" si="1"/>
        <v>36750</v>
      </c>
      <c r="AD25">
        <f t="shared" si="2"/>
        <v>49000</v>
      </c>
      <c r="AE25">
        <f t="shared" si="9"/>
        <v>61250</v>
      </c>
      <c r="AF25">
        <f t="shared" si="10"/>
        <v>73500</v>
      </c>
      <c r="AG25">
        <f t="shared" si="11"/>
        <v>85750</v>
      </c>
      <c r="AH25">
        <f t="shared" si="12"/>
        <v>98000</v>
      </c>
      <c r="AI25">
        <f t="shared" si="13"/>
        <v>110250</v>
      </c>
      <c r="AJ25">
        <f t="shared" si="14"/>
        <v>122500</v>
      </c>
      <c r="AL25">
        <v>23</v>
      </c>
      <c r="AM25">
        <f t="shared" si="15"/>
        <v>8</v>
      </c>
      <c r="CK25">
        <v>22</v>
      </c>
      <c r="CL25" s="13" t="b">
        <f t="shared" si="18"/>
        <v>1</v>
      </c>
      <c r="CM25" s="13"/>
      <c r="CN25" s="13" t="str">
        <f t="shared" si="24"/>
        <v/>
      </c>
      <c r="CO25" s="13" t="str">
        <f t="shared" si="24"/>
        <v/>
      </c>
      <c r="CP25" s="13"/>
      <c r="CQ25" s="13" t="str">
        <f t="shared" si="24"/>
        <v/>
      </c>
      <c r="CR25" t="str">
        <f t="shared" si="19"/>
        <v>1206044</v>
      </c>
      <c r="CT25" t="str">
        <f t="shared" si="20"/>
        <v/>
      </c>
      <c r="CU25" t="str">
        <f t="shared" si="21"/>
        <v/>
      </c>
      <c r="CV25" t="str">
        <f t="shared" si="22"/>
        <v/>
      </c>
      <c r="CW25" t="str">
        <f t="shared" si="23"/>
        <v/>
      </c>
      <c r="CX25">
        <v>4</v>
      </c>
      <c r="DD25">
        <v>1</v>
      </c>
      <c r="DJ25" t="s">
        <v>125</v>
      </c>
      <c r="DR25">
        <v>3301033</v>
      </c>
      <c r="DS25" s="14" t="s">
        <v>126</v>
      </c>
      <c r="DT25">
        <v>303330101</v>
      </c>
      <c r="DU25" s="13" t="s">
        <v>127</v>
      </c>
    </row>
    <row r="26" spans="1:125" x14ac:dyDescent="0.15">
      <c r="A26">
        <v>23</v>
      </c>
      <c r="B26" s="6" t="s">
        <v>128</v>
      </c>
      <c r="C26" s="1">
        <v>63</v>
      </c>
      <c r="D26" s="1">
        <v>45</v>
      </c>
      <c r="E26">
        <v>1</v>
      </c>
      <c r="F26">
        <f t="shared" si="17"/>
        <v>5005</v>
      </c>
      <c r="H26">
        <v>5</v>
      </c>
      <c r="L26" s="10"/>
      <c r="M26" s="3">
        <v>24</v>
      </c>
      <c r="N26" s="2">
        <f t="shared" si="3"/>
        <v>3</v>
      </c>
      <c r="X26">
        <v>24</v>
      </c>
      <c r="Y26">
        <f t="shared" si="6"/>
        <v>4</v>
      </c>
      <c r="Z26">
        <f t="shared" si="7"/>
        <v>800</v>
      </c>
      <c r="AA26">
        <f t="shared" si="8"/>
        <v>1750</v>
      </c>
      <c r="AB26">
        <f t="shared" si="0"/>
        <v>24500</v>
      </c>
      <c r="AC26">
        <f t="shared" si="1"/>
        <v>36750</v>
      </c>
      <c r="AD26">
        <f t="shared" si="2"/>
        <v>49000</v>
      </c>
      <c r="AE26">
        <f t="shared" si="9"/>
        <v>61250</v>
      </c>
      <c r="AF26">
        <f t="shared" si="10"/>
        <v>73500</v>
      </c>
      <c r="AG26">
        <f t="shared" si="11"/>
        <v>85750</v>
      </c>
      <c r="AH26">
        <f t="shared" si="12"/>
        <v>98000</v>
      </c>
      <c r="AI26">
        <f t="shared" si="13"/>
        <v>110250</v>
      </c>
      <c r="AJ26">
        <f t="shared" si="14"/>
        <v>122500</v>
      </c>
      <c r="AL26">
        <v>24</v>
      </c>
      <c r="AM26">
        <f t="shared" si="15"/>
        <v>8</v>
      </c>
      <c r="CK26">
        <v>23</v>
      </c>
      <c r="CL26" s="13" t="b">
        <f t="shared" si="18"/>
        <v>1</v>
      </c>
      <c r="CM26" s="13"/>
      <c r="CN26" s="13" t="str">
        <f t="shared" si="24"/>
        <v/>
      </c>
      <c r="CO26" s="13" t="str">
        <f t="shared" si="24"/>
        <v/>
      </c>
      <c r="CP26" s="13"/>
      <c r="CQ26" s="13" t="str">
        <f t="shared" si="24"/>
        <v/>
      </c>
      <c r="CR26" t="str">
        <f t="shared" si="19"/>
        <v>1304043</v>
      </c>
      <c r="CT26" t="str">
        <f t="shared" si="20"/>
        <v/>
      </c>
      <c r="CU26" t="str">
        <f t="shared" si="21"/>
        <v/>
      </c>
      <c r="CV26" t="str">
        <f t="shared" si="22"/>
        <v/>
      </c>
      <c r="CW26" t="str">
        <f t="shared" si="23"/>
        <v/>
      </c>
      <c r="CX26">
        <v>4</v>
      </c>
      <c r="DD26">
        <v>1</v>
      </c>
      <c r="DJ26" t="s">
        <v>129</v>
      </c>
      <c r="DR26">
        <v>3401033</v>
      </c>
      <c r="DS26" s="14" t="s">
        <v>130</v>
      </c>
      <c r="DT26">
        <v>303340101</v>
      </c>
      <c r="DU26" s="13" t="s">
        <v>74</v>
      </c>
    </row>
    <row r="27" spans="1:125" x14ac:dyDescent="0.15">
      <c r="A27">
        <v>24</v>
      </c>
      <c r="B27" s="16" t="s">
        <v>378</v>
      </c>
      <c r="C27" s="1">
        <v>64</v>
      </c>
      <c r="D27" s="1">
        <v>47</v>
      </c>
      <c r="E27">
        <v>1</v>
      </c>
      <c r="F27">
        <f t="shared" si="17"/>
        <v>5004</v>
      </c>
      <c r="H27">
        <v>4</v>
      </c>
      <c r="L27" s="10"/>
      <c r="M27" s="3">
        <v>25</v>
      </c>
      <c r="N27" s="2">
        <f t="shared" si="3"/>
        <v>3</v>
      </c>
      <c r="X27">
        <v>25</v>
      </c>
      <c r="Y27">
        <f t="shared" si="6"/>
        <v>4</v>
      </c>
      <c r="Z27">
        <f t="shared" si="7"/>
        <v>800</v>
      </c>
      <c r="AA27">
        <f t="shared" si="8"/>
        <v>1750</v>
      </c>
      <c r="AB27">
        <f t="shared" si="0"/>
        <v>24500</v>
      </c>
      <c r="AC27">
        <f t="shared" si="1"/>
        <v>36750</v>
      </c>
      <c r="AD27">
        <f t="shared" si="2"/>
        <v>49000</v>
      </c>
      <c r="AE27">
        <f t="shared" si="9"/>
        <v>61250</v>
      </c>
      <c r="AF27">
        <f t="shared" si="10"/>
        <v>73500</v>
      </c>
      <c r="AG27">
        <f t="shared" si="11"/>
        <v>85750</v>
      </c>
      <c r="AH27">
        <f t="shared" si="12"/>
        <v>98000</v>
      </c>
      <c r="AI27">
        <f t="shared" si="13"/>
        <v>110250</v>
      </c>
      <c r="AJ27">
        <f t="shared" si="14"/>
        <v>122500</v>
      </c>
      <c r="AL27">
        <v>25</v>
      </c>
      <c r="AM27">
        <f t="shared" si="15"/>
        <v>8</v>
      </c>
      <c r="CK27">
        <v>24</v>
      </c>
      <c r="CL27" s="13" t="b">
        <f t="shared" si="18"/>
        <v>1</v>
      </c>
      <c r="CM27" s="13"/>
      <c r="CN27" s="13" t="str">
        <f t="shared" si="24"/>
        <v/>
      </c>
      <c r="CO27" s="13" t="str">
        <f t="shared" si="24"/>
        <v/>
      </c>
      <c r="CP27" s="13"/>
      <c r="CQ27" s="13" t="str">
        <f t="shared" si="24"/>
        <v/>
      </c>
      <c r="CR27" t="str">
        <f t="shared" si="19"/>
        <v>1503044</v>
      </c>
      <c r="CT27" t="str">
        <f t="shared" si="20"/>
        <v/>
      </c>
      <c r="CU27" t="str">
        <f t="shared" si="21"/>
        <v/>
      </c>
      <c r="CV27" t="str">
        <f t="shared" si="22"/>
        <v/>
      </c>
      <c r="CW27" t="str">
        <f t="shared" si="23"/>
        <v/>
      </c>
      <c r="CX27">
        <v>4</v>
      </c>
      <c r="DD27">
        <v>1</v>
      </c>
      <c r="DJ27" t="s">
        <v>134</v>
      </c>
      <c r="DR27">
        <v>3402033</v>
      </c>
      <c r="DS27" s="15" t="s">
        <v>135</v>
      </c>
      <c r="DT27">
        <v>303340201</v>
      </c>
      <c r="DU27" s="13" t="s">
        <v>136</v>
      </c>
    </row>
    <row r="28" spans="1:125" x14ac:dyDescent="0.15">
      <c r="A28">
        <v>25</v>
      </c>
      <c r="B28" s="16" t="s">
        <v>379</v>
      </c>
      <c r="C28" s="1">
        <v>65</v>
      </c>
      <c r="D28" s="1">
        <v>49</v>
      </c>
      <c r="E28">
        <v>1</v>
      </c>
      <c r="F28">
        <f t="shared" si="17"/>
        <v>5003</v>
      </c>
      <c r="H28">
        <v>3</v>
      </c>
      <c r="L28" s="10"/>
      <c r="M28" s="3">
        <v>26</v>
      </c>
      <c r="N28" s="2">
        <f t="shared" si="3"/>
        <v>3</v>
      </c>
      <c r="R28" s="12" t="s">
        <v>86</v>
      </c>
      <c r="S28">
        <f>SUM(S3:S12)</f>
        <v>950</v>
      </c>
      <c r="X28">
        <v>26</v>
      </c>
      <c r="Y28">
        <f t="shared" si="6"/>
        <v>5</v>
      </c>
      <c r="Z28">
        <f t="shared" si="7"/>
        <v>1000</v>
      </c>
      <c r="AA28">
        <f t="shared" si="8"/>
        <v>1950</v>
      </c>
      <c r="AB28">
        <f t="shared" si="0"/>
        <v>27300</v>
      </c>
      <c r="AC28">
        <f t="shared" si="1"/>
        <v>40950</v>
      </c>
      <c r="AD28">
        <f t="shared" si="2"/>
        <v>54600</v>
      </c>
      <c r="AE28">
        <f t="shared" si="9"/>
        <v>68250</v>
      </c>
      <c r="AF28">
        <f t="shared" si="10"/>
        <v>81900</v>
      </c>
      <c r="AG28">
        <f t="shared" si="11"/>
        <v>95550</v>
      </c>
      <c r="AH28">
        <f t="shared" si="12"/>
        <v>109200</v>
      </c>
      <c r="AI28">
        <f t="shared" si="13"/>
        <v>122850</v>
      </c>
      <c r="AJ28">
        <f t="shared" si="14"/>
        <v>136500</v>
      </c>
      <c r="AL28">
        <v>26</v>
      </c>
      <c r="AM28">
        <f t="shared" si="15"/>
        <v>8</v>
      </c>
      <c r="CK28">
        <v>25</v>
      </c>
      <c r="CL28" s="13" t="b">
        <f t="shared" si="18"/>
        <v>1</v>
      </c>
      <c r="CM28" s="13"/>
      <c r="CN28" s="13" t="str">
        <f t="shared" si="24"/>
        <v/>
      </c>
      <c r="CO28" s="13" t="str">
        <f t="shared" si="24"/>
        <v/>
      </c>
      <c r="CP28" s="13"/>
      <c r="CQ28" s="13" t="str">
        <f t="shared" si="24"/>
        <v/>
      </c>
      <c r="CR28" t="str">
        <f t="shared" si="19"/>
        <v>1205043</v>
      </c>
      <c r="CT28" t="str">
        <f t="shared" si="20"/>
        <v/>
      </c>
      <c r="CU28" t="str">
        <f t="shared" si="21"/>
        <v/>
      </c>
      <c r="CV28" t="str">
        <f t="shared" si="22"/>
        <v/>
      </c>
      <c r="CW28" t="str">
        <f t="shared" si="23"/>
        <v/>
      </c>
      <c r="CX28">
        <v>4</v>
      </c>
      <c r="DD28">
        <v>1</v>
      </c>
      <c r="DJ28" t="s">
        <v>138</v>
      </c>
      <c r="DR28">
        <v>3500033</v>
      </c>
      <c r="DS28" s="14" t="s">
        <v>139</v>
      </c>
      <c r="DT28">
        <v>303350001</v>
      </c>
      <c r="DU28" s="13" t="s">
        <v>80</v>
      </c>
    </row>
    <row r="29" spans="1:125" x14ac:dyDescent="0.15">
      <c r="A29">
        <v>26</v>
      </c>
      <c r="B29" s="16" t="s">
        <v>376</v>
      </c>
      <c r="C29" s="1">
        <v>66</v>
      </c>
      <c r="D29" s="1">
        <v>51</v>
      </c>
      <c r="E29">
        <v>1</v>
      </c>
      <c r="F29">
        <f t="shared" si="17"/>
        <v>5002</v>
      </c>
      <c r="H29">
        <v>2</v>
      </c>
      <c r="L29" s="10"/>
      <c r="M29" s="3">
        <v>27</v>
      </c>
      <c r="N29" s="2">
        <f t="shared" si="3"/>
        <v>3</v>
      </c>
      <c r="P29" s="11" t="s">
        <v>91</v>
      </c>
      <c r="X29">
        <v>27</v>
      </c>
      <c r="Y29">
        <f t="shared" si="6"/>
        <v>5</v>
      </c>
      <c r="Z29">
        <f t="shared" si="7"/>
        <v>1000</v>
      </c>
      <c r="AA29">
        <f t="shared" si="8"/>
        <v>1950</v>
      </c>
      <c r="AB29">
        <f t="shared" si="0"/>
        <v>27300</v>
      </c>
      <c r="AC29">
        <f t="shared" si="1"/>
        <v>40950</v>
      </c>
      <c r="AD29">
        <f t="shared" si="2"/>
        <v>54600</v>
      </c>
      <c r="AE29">
        <f t="shared" si="9"/>
        <v>68250</v>
      </c>
      <c r="AF29">
        <f t="shared" si="10"/>
        <v>81900</v>
      </c>
      <c r="AG29">
        <f t="shared" si="11"/>
        <v>95550</v>
      </c>
      <c r="AH29">
        <f t="shared" si="12"/>
        <v>109200</v>
      </c>
      <c r="AI29">
        <f t="shared" si="13"/>
        <v>122850</v>
      </c>
      <c r="AJ29">
        <f t="shared" si="14"/>
        <v>136500</v>
      </c>
      <c r="AL29">
        <v>27</v>
      </c>
      <c r="AM29">
        <f t="shared" si="15"/>
        <v>8</v>
      </c>
      <c r="CK29">
        <v>26</v>
      </c>
      <c r="CL29" s="13" t="b">
        <f t="shared" si="18"/>
        <v>1</v>
      </c>
      <c r="CM29" s="13"/>
      <c r="CN29" s="13" t="str">
        <f t="shared" si="24"/>
        <v/>
      </c>
      <c r="CO29" s="13" t="str">
        <f t="shared" si="24"/>
        <v/>
      </c>
      <c r="CP29" s="13"/>
      <c r="CQ29" s="13" t="str">
        <f t="shared" si="24"/>
        <v/>
      </c>
      <c r="CR29" t="str">
        <f t="shared" si="19"/>
        <v>1203043</v>
      </c>
      <c r="CT29" t="str">
        <f t="shared" si="20"/>
        <v/>
      </c>
      <c r="CU29" t="str">
        <f t="shared" si="21"/>
        <v/>
      </c>
      <c r="CV29" t="str">
        <f t="shared" si="22"/>
        <v/>
      </c>
      <c r="CW29" t="str">
        <f t="shared" si="23"/>
        <v/>
      </c>
      <c r="CX29">
        <v>4</v>
      </c>
      <c r="DD29">
        <v>1</v>
      </c>
      <c r="DJ29" t="s">
        <v>140</v>
      </c>
      <c r="DR29">
        <v>3502033</v>
      </c>
      <c r="DS29" s="14" t="s">
        <v>141</v>
      </c>
      <c r="DT29">
        <v>303350201</v>
      </c>
      <c r="DU29" s="13" t="s">
        <v>99</v>
      </c>
    </row>
    <row r="30" spans="1:125" x14ac:dyDescent="0.15">
      <c r="A30">
        <v>27</v>
      </c>
      <c r="B30" s="16" t="s">
        <v>380</v>
      </c>
      <c r="C30" s="1">
        <v>67</v>
      </c>
      <c r="D30" s="1">
        <v>53</v>
      </c>
      <c r="E30">
        <v>1</v>
      </c>
      <c r="F30">
        <f t="shared" si="17"/>
        <v>5005</v>
      </c>
      <c r="H30">
        <v>5</v>
      </c>
      <c r="M30" s="3">
        <v>28</v>
      </c>
      <c r="N30" s="2">
        <f t="shared" si="3"/>
        <v>3</v>
      </c>
      <c r="P30" s="11" t="s">
        <v>94</v>
      </c>
      <c r="X30">
        <v>28</v>
      </c>
      <c r="Y30">
        <f t="shared" si="6"/>
        <v>5</v>
      </c>
      <c r="Z30">
        <f t="shared" si="7"/>
        <v>1000</v>
      </c>
      <c r="AA30">
        <f t="shared" si="8"/>
        <v>1950</v>
      </c>
      <c r="AB30">
        <f t="shared" si="0"/>
        <v>27300</v>
      </c>
      <c r="AC30">
        <f t="shared" si="1"/>
        <v>40950</v>
      </c>
      <c r="AD30">
        <f t="shared" si="2"/>
        <v>54600</v>
      </c>
      <c r="AE30">
        <f t="shared" si="9"/>
        <v>68250</v>
      </c>
      <c r="AF30">
        <f t="shared" si="10"/>
        <v>81900</v>
      </c>
      <c r="AG30">
        <f t="shared" si="11"/>
        <v>95550</v>
      </c>
      <c r="AH30">
        <f t="shared" si="12"/>
        <v>109200</v>
      </c>
      <c r="AI30">
        <f t="shared" si="13"/>
        <v>122850</v>
      </c>
      <c r="AJ30">
        <f t="shared" si="14"/>
        <v>136500</v>
      </c>
      <c r="AL30">
        <v>28</v>
      </c>
      <c r="AM30">
        <f t="shared" si="15"/>
        <v>8</v>
      </c>
      <c r="CK30">
        <v>27</v>
      </c>
      <c r="CL30" s="13" t="b">
        <f t="shared" si="18"/>
        <v>1</v>
      </c>
      <c r="CM30" s="13"/>
      <c r="CN30" s="13" t="str">
        <f t="shared" si="24"/>
        <v/>
      </c>
      <c r="CO30" s="13" t="str">
        <f t="shared" si="24"/>
        <v/>
      </c>
      <c r="CP30" s="13"/>
      <c r="CQ30" s="13" t="str">
        <f t="shared" si="24"/>
        <v/>
      </c>
      <c r="CR30" t="str">
        <f t="shared" si="19"/>
        <v>1204043</v>
      </c>
      <c r="CT30" t="str">
        <f t="shared" si="20"/>
        <v/>
      </c>
      <c r="CU30" t="str">
        <f t="shared" si="21"/>
        <v/>
      </c>
      <c r="CV30" t="str">
        <f t="shared" si="22"/>
        <v/>
      </c>
      <c r="CW30" t="str">
        <f t="shared" si="23"/>
        <v/>
      </c>
      <c r="CX30">
        <v>4</v>
      </c>
      <c r="DD30">
        <v>1</v>
      </c>
      <c r="DJ30" t="s">
        <v>142</v>
      </c>
      <c r="DR30">
        <v>3601033</v>
      </c>
      <c r="DS30" s="14" t="s">
        <v>143</v>
      </c>
      <c r="DT30">
        <v>303360101</v>
      </c>
      <c r="DU30" s="13" t="s">
        <v>85</v>
      </c>
    </row>
    <row r="31" spans="1:125" x14ac:dyDescent="0.15">
      <c r="A31">
        <v>28</v>
      </c>
      <c r="B31" s="6" t="s">
        <v>144</v>
      </c>
      <c r="C31" s="1">
        <v>68</v>
      </c>
      <c r="D31" s="1">
        <v>55</v>
      </c>
      <c r="E31">
        <v>1</v>
      </c>
      <c r="F31">
        <f t="shared" si="17"/>
        <v>5004</v>
      </c>
      <c r="H31">
        <v>4</v>
      </c>
      <c r="M31" s="3">
        <v>29</v>
      </c>
      <c r="N31" s="2">
        <f t="shared" si="3"/>
        <v>3</v>
      </c>
      <c r="X31">
        <v>29</v>
      </c>
      <c r="Y31">
        <f t="shared" si="6"/>
        <v>5</v>
      </c>
      <c r="Z31">
        <f t="shared" si="7"/>
        <v>1000</v>
      </c>
      <c r="AA31">
        <f t="shared" si="8"/>
        <v>1950</v>
      </c>
      <c r="AB31">
        <f t="shared" si="0"/>
        <v>27300</v>
      </c>
      <c r="AC31">
        <f t="shared" si="1"/>
        <v>40950</v>
      </c>
      <c r="AD31">
        <f t="shared" si="2"/>
        <v>54600</v>
      </c>
      <c r="AE31">
        <f t="shared" si="9"/>
        <v>68250</v>
      </c>
      <c r="AF31">
        <f t="shared" si="10"/>
        <v>81900</v>
      </c>
      <c r="AG31">
        <f t="shared" si="11"/>
        <v>95550</v>
      </c>
      <c r="AH31">
        <f t="shared" si="12"/>
        <v>109200</v>
      </c>
      <c r="AI31">
        <f t="shared" si="13"/>
        <v>122850</v>
      </c>
      <c r="AJ31">
        <f t="shared" si="14"/>
        <v>136500</v>
      </c>
      <c r="AL31">
        <v>29</v>
      </c>
      <c r="AM31">
        <f t="shared" si="15"/>
        <v>8</v>
      </c>
      <c r="CK31">
        <v>28</v>
      </c>
      <c r="CL31" s="13" t="b">
        <f t="shared" si="18"/>
        <v>1</v>
      </c>
      <c r="CM31" s="13"/>
      <c r="CN31" s="13" t="str">
        <f t="shared" si="24"/>
        <v/>
      </c>
      <c r="CO31" s="13" t="str">
        <f t="shared" si="24"/>
        <v/>
      </c>
      <c r="CP31" s="13"/>
      <c r="CQ31" s="13" t="str">
        <f t="shared" si="24"/>
        <v/>
      </c>
      <c r="CR31" t="str">
        <f t="shared" si="19"/>
        <v>1204042</v>
      </c>
      <c r="CT31" t="str">
        <f t="shared" si="20"/>
        <v/>
      </c>
      <c r="CU31" t="str">
        <f t="shared" si="21"/>
        <v/>
      </c>
      <c r="CV31" t="str">
        <f t="shared" si="22"/>
        <v/>
      </c>
      <c r="CW31" t="str">
        <f t="shared" si="23"/>
        <v/>
      </c>
      <c r="CX31">
        <v>4</v>
      </c>
      <c r="DD31">
        <v>1</v>
      </c>
      <c r="DJ31" t="s">
        <v>106</v>
      </c>
      <c r="DR31">
        <v>3501034</v>
      </c>
      <c r="DS31" s="14" t="s">
        <v>145</v>
      </c>
      <c r="DT31">
        <v>303450101</v>
      </c>
      <c r="DU31" s="13" t="s">
        <v>146</v>
      </c>
    </row>
    <row r="32" spans="1:125" x14ac:dyDescent="0.15">
      <c r="A32">
        <v>29</v>
      </c>
      <c r="B32" s="16" t="s">
        <v>379</v>
      </c>
      <c r="C32" s="1">
        <v>69</v>
      </c>
      <c r="D32" s="1">
        <v>57</v>
      </c>
      <c r="E32">
        <v>1</v>
      </c>
      <c r="F32">
        <f t="shared" si="17"/>
        <v>5003</v>
      </c>
      <c r="H32">
        <v>3</v>
      </c>
      <c r="M32" s="3">
        <v>30</v>
      </c>
      <c r="N32" s="2">
        <f t="shared" si="3"/>
        <v>3</v>
      </c>
      <c r="P32" s="11" t="s">
        <v>100</v>
      </c>
      <c r="X32">
        <v>30</v>
      </c>
      <c r="Y32">
        <f t="shared" si="6"/>
        <v>5</v>
      </c>
      <c r="Z32">
        <f t="shared" si="7"/>
        <v>1000</v>
      </c>
      <c r="AA32">
        <f t="shared" si="8"/>
        <v>1950</v>
      </c>
      <c r="AB32">
        <f t="shared" si="0"/>
        <v>27300</v>
      </c>
      <c r="AC32">
        <f t="shared" si="1"/>
        <v>40950</v>
      </c>
      <c r="AD32">
        <f t="shared" si="2"/>
        <v>54600</v>
      </c>
      <c r="AE32">
        <f t="shared" si="9"/>
        <v>68250</v>
      </c>
      <c r="AF32">
        <f t="shared" si="10"/>
        <v>81900</v>
      </c>
      <c r="AG32">
        <f t="shared" si="11"/>
        <v>95550</v>
      </c>
      <c r="AH32">
        <f t="shared" si="12"/>
        <v>109200</v>
      </c>
      <c r="AI32">
        <f t="shared" si="13"/>
        <v>122850</v>
      </c>
      <c r="AJ32">
        <f t="shared" si="14"/>
        <v>136500</v>
      </c>
      <c r="AL32">
        <v>30</v>
      </c>
      <c r="AM32">
        <f t="shared" si="15"/>
        <v>8</v>
      </c>
      <c r="CK32">
        <v>29</v>
      </c>
      <c r="CL32" s="13" t="b">
        <f t="shared" si="18"/>
        <v>1</v>
      </c>
      <c r="CM32" s="13"/>
      <c r="CN32" s="13" t="str">
        <f t="shared" si="24"/>
        <v/>
      </c>
      <c r="CO32" s="13" t="str">
        <f t="shared" si="24"/>
        <v/>
      </c>
      <c r="CP32" s="13"/>
      <c r="CQ32" s="13" t="str">
        <f t="shared" si="24"/>
        <v/>
      </c>
      <c r="CR32" t="str">
        <f t="shared" si="19"/>
        <v>1205045</v>
      </c>
      <c r="CT32" t="str">
        <f t="shared" si="20"/>
        <v/>
      </c>
      <c r="CU32" t="str">
        <f t="shared" si="21"/>
        <v/>
      </c>
      <c r="CV32" t="str">
        <f t="shared" si="22"/>
        <v/>
      </c>
      <c r="CW32" t="str">
        <f t="shared" si="23"/>
        <v/>
      </c>
      <c r="CX32">
        <v>4</v>
      </c>
      <c r="DD32">
        <v>1</v>
      </c>
      <c r="DJ32" t="s">
        <v>147</v>
      </c>
      <c r="DR32">
        <v>3600034</v>
      </c>
      <c r="DS32" s="14" t="s">
        <v>148</v>
      </c>
      <c r="DT32">
        <v>303460001</v>
      </c>
      <c r="DU32" s="13" t="s">
        <v>149</v>
      </c>
    </row>
    <row r="33" spans="1:125" x14ac:dyDescent="0.15">
      <c r="A33">
        <v>30</v>
      </c>
      <c r="B33" s="16" t="s">
        <v>381</v>
      </c>
      <c r="C33" s="1">
        <v>70</v>
      </c>
      <c r="D33" s="1">
        <v>59</v>
      </c>
      <c r="E33">
        <v>1</v>
      </c>
      <c r="F33">
        <f t="shared" si="17"/>
        <v>5002</v>
      </c>
      <c r="H33">
        <v>2</v>
      </c>
      <c r="M33" s="3">
        <v>31</v>
      </c>
      <c r="N33" s="2">
        <f t="shared" ref="N33:N42" si="25">ROUNDUP(M33/10,0)</f>
        <v>4</v>
      </c>
      <c r="P33" s="10" t="s">
        <v>102</v>
      </c>
      <c r="AL33">
        <v>31</v>
      </c>
      <c r="AM33">
        <f t="shared" si="15"/>
        <v>9</v>
      </c>
      <c r="CK33">
        <v>30</v>
      </c>
      <c r="CL33" s="13" t="b">
        <f t="shared" si="18"/>
        <v>1</v>
      </c>
      <c r="CM33" s="13"/>
      <c r="CN33" s="13" t="str">
        <f t="shared" si="24"/>
        <v/>
      </c>
      <c r="CO33" s="13" t="str">
        <f t="shared" si="24"/>
        <v/>
      </c>
      <c r="CP33" s="13" t="str">
        <f t="shared" si="24"/>
        <v/>
      </c>
      <c r="CQ33" s="13" t="str">
        <f t="shared" si="24"/>
        <v/>
      </c>
      <c r="CR33" t="str">
        <f t="shared" si="19"/>
        <v>1205045</v>
      </c>
      <c r="CT33" t="str">
        <f t="shared" si="20"/>
        <v/>
      </c>
      <c r="CU33" t="str">
        <f t="shared" si="21"/>
        <v/>
      </c>
      <c r="CV33" t="str">
        <f t="shared" si="22"/>
        <v/>
      </c>
      <c r="CW33" t="str">
        <f t="shared" si="23"/>
        <v/>
      </c>
      <c r="CX33">
        <v>4</v>
      </c>
      <c r="DD33">
        <v>1</v>
      </c>
      <c r="DJ33" t="s">
        <v>147</v>
      </c>
      <c r="DR33">
        <v>3602034</v>
      </c>
      <c r="DS33" s="14" t="s">
        <v>150</v>
      </c>
      <c r="DT33">
        <v>303460201</v>
      </c>
      <c r="DU33" s="13" t="s">
        <v>151</v>
      </c>
    </row>
    <row r="34" spans="1:125" x14ac:dyDescent="0.15">
      <c r="A34">
        <v>31</v>
      </c>
      <c r="B34" s="16" t="s">
        <v>380</v>
      </c>
      <c r="C34" s="1">
        <v>81</v>
      </c>
      <c r="D34" s="1">
        <v>61</v>
      </c>
      <c r="E34">
        <v>1</v>
      </c>
      <c r="F34">
        <f t="shared" si="17"/>
        <v>5005</v>
      </c>
      <c r="H34">
        <v>5</v>
      </c>
      <c r="M34" s="3">
        <v>32</v>
      </c>
      <c r="N34" s="2">
        <f t="shared" si="25"/>
        <v>4</v>
      </c>
      <c r="P34" s="10" t="s">
        <v>105</v>
      </c>
      <c r="AL34">
        <v>32</v>
      </c>
      <c r="AM34">
        <f t="shared" ref="AM34:AM67" si="26">_xlfn.CEILING.MATH(AL34/10)+4</f>
        <v>8</v>
      </c>
      <c r="CK34">
        <v>31</v>
      </c>
      <c r="CL34" s="13" t="b">
        <f t="shared" si="18"/>
        <v>1</v>
      </c>
      <c r="CM34" s="13"/>
      <c r="CN34" s="13" t="str">
        <f t="shared" si="24"/>
        <v/>
      </c>
      <c r="CO34" s="13" t="str">
        <f t="shared" si="24"/>
        <v/>
      </c>
      <c r="CP34" s="13" t="str">
        <f t="shared" si="24"/>
        <v/>
      </c>
      <c r="CQ34" s="13" t="str">
        <f t="shared" si="24"/>
        <v/>
      </c>
      <c r="CR34" t="str">
        <f t="shared" si="19"/>
        <v>1204045</v>
      </c>
      <c r="CT34" t="str">
        <f t="shared" si="20"/>
        <v/>
      </c>
      <c r="CU34" t="str">
        <f t="shared" si="21"/>
        <v/>
      </c>
      <c r="CV34" t="str">
        <f t="shared" si="22"/>
        <v/>
      </c>
      <c r="CW34" t="str">
        <f t="shared" si="23"/>
        <v/>
      </c>
      <c r="CX34">
        <v>4</v>
      </c>
      <c r="DD34">
        <v>1</v>
      </c>
      <c r="DJ34" t="s">
        <v>152</v>
      </c>
      <c r="DR34">
        <v>3300035</v>
      </c>
      <c r="DS34" s="14" t="s">
        <v>153</v>
      </c>
      <c r="DT34">
        <v>303530001</v>
      </c>
      <c r="DU34" s="13" t="s">
        <v>154</v>
      </c>
    </row>
    <row r="35" spans="1:125" x14ac:dyDescent="0.15">
      <c r="A35">
        <v>32</v>
      </c>
      <c r="B35" s="16" t="s">
        <v>382</v>
      </c>
      <c r="C35" s="1">
        <v>82</v>
      </c>
      <c r="D35" s="1">
        <v>63</v>
      </c>
      <c r="E35">
        <v>1</v>
      </c>
      <c r="F35">
        <f t="shared" si="17"/>
        <v>5004</v>
      </c>
      <c r="H35">
        <v>4</v>
      </c>
      <c r="M35" s="3">
        <v>33</v>
      </c>
      <c r="N35" s="2">
        <f t="shared" si="25"/>
        <v>4</v>
      </c>
      <c r="P35" s="10" t="s">
        <v>109</v>
      </c>
      <c r="R35" s="10"/>
      <c r="AL35">
        <v>33</v>
      </c>
      <c r="AM35">
        <f t="shared" si="26"/>
        <v>8</v>
      </c>
      <c r="CK35">
        <v>32</v>
      </c>
      <c r="CL35" s="13" t="b">
        <f t="shared" si="18"/>
        <v>1</v>
      </c>
      <c r="CM35" s="13"/>
      <c r="CN35" s="13" t="str">
        <f t="shared" si="24"/>
        <v/>
      </c>
      <c r="CO35" s="13" t="str">
        <f t="shared" si="24"/>
        <v/>
      </c>
      <c r="CP35" s="13" t="str">
        <f t="shared" si="24"/>
        <v/>
      </c>
      <c r="CQ35" s="13" t="str">
        <f t="shared" si="24"/>
        <v/>
      </c>
      <c r="CR35" t="str">
        <f t="shared" si="19"/>
        <v>1304045</v>
      </c>
      <c r="CT35" t="str">
        <f t="shared" si="20"/>
        <v/>
      </c>
      <c r="CU35" t="str">
        <f t="shared" si="21"/>
        <v/>
      </c>
      <c r="CV35" t="str">
        <f t="shared" si="22"/>
        <v/>
      </c>
      <c r="CW35" t="str">
        <f t="shared" si="23"/>
        <v/>
      </c>
      <c r="CX35">
        <v>4</v>
      </c>
      <c r="DD35">
        <v>1</v>
      </c>
      <c r="DJ35" t="s">
        <v>155</v>
      </c>
      <c r="DR35">
        <v>3302035</v>
      </c>
      <c r="DS35" s="14" t="s">
        <v>156</v>
      </c>
      <c r="DT35">
        <v>303530201</v>
      </c>
      <c r="DU35" s="13" t="s">
        <v>157</v>
      </c>
    </row>
    <row r="36" spans="1:125" x14ac:dyDescent="0.15">
      <c r="A36">
        <v>33</v>
      </c>
      <c r="B36" s="16" t="s">
        <v>377</v>
      </c>
      <c r="C36" s="1">
        <v>83</v>
      </c>
      <c r="D36" s="1">
        <v>65</v>
      </c>
      <c r="E36">
        <v>1</v>
      </c>
      <c r="F36">
        <f t="shared" si="17"/>
        <v>5003</v>
      </c>
      <c r="H36">
        <v>3</v>
      </c>
      <c r="M36" s="3">
        <v>34</v>
      </c>
      <c r="N36" s="2">
        <f t="shared" si="25"/>
        <v>4</v>
      </c>
      <c r="P36" s="11" t="s">
        <v>113</v>
      </c>
      <c r="AL36">
        <v>34</v>
      </c>
      <c r="AM36">
        <f t="shared" si="26"/>
        <v>8</v>
      </c>
      <c r="CK36">
        <v>33</v>
      </c>
      <c r="CL36" s="13" t="b">
        <f t="shared" si="18"/>
        <v>1</v>
      </c>
      <c r="CM36" s="13"/>
      <c r="CN36" s="13" t="str">
        <f t="shared" si="24"/>
        <v/>
      </c>
      <c r="CO36" s="13" t="str">
        <f t="shared" si="24"/>
        <v/>
      </c>
      <c r="CP36" s="13" t="str">
        <f t="shared" si="24"/>
        <v/>
      </c>
      <c r="CQ36" s="13" t="str">
        <f t="shared" si="24"/>
        <v/>
      </c>
      <c r="CR36" t="str">
        <f t="shared" si="19"/>
        <v>1206045</v>
      </c>
      <c r="CT36" t="str">
        <f t="shared" si="20"/>
        <v/>
      </c>
      <c r="CU36" t="str">
        <f t="shared" si="21"/>
        <v/>
      </c>
      <c r="CV36" t="str">
        <f t="shared" si="22"/>
        <v/>
      </c>
      <c r="CW36" t="str">
        <f t="shared" si="23"/>
        <v/>
      </c>
      <c r="CX36">
        <v>4</v>
      </c>
      <c r="DD36">
        <v>1</v>
      </c>
      <c r="DJ36" t="s">
        <v>158</v>
      </c>
      <c r="DR36">
        <v>3400035</v>
      </c>
      <c r="DS36" s="14" t="s">
        <v>159</v>
      </c>
      <c r="DT36">
        <v>303540001</v>
      </c>
      <c r="DU36" s="13" t="s">
        <v>160</v>
      </c>
    </row>
    <row r="37" spans="1:125" x14ac:dyDescent="0.15">
      <c r="A37">
        <v>34</v>
      </c>
      <c r="B37" s="16" t="s">
        <v>378</v>
      </c>
      <c r="C37" s="1">
        <v>84</v>
      </c>
      <c r="D37" s="1">
        <v>67</v>
      </c>
      <c r="E37">
        <v>1</v>
      </c>
      <c r="F37">
        <f t="shared" si="17"/>
        <v>5002</v>
      </c>
      <c r="H37">
        <v>2</v>
      </c>
      <c r="M37" s="3">
        <v>35</v>
      </c>
      <c r="N37" s="2">
        <f t="shared" si="25"/>
        <v>4</v>
      </c>
      <c r="P37" s="10" t="s">
        <v>116</v>
      </c>
      <c r="AL37">
        <v>35</v>
      </c>
      <c r="AM37">
        <f t="shared" si="26"/>
        <v>8</v>
      </c>
      <c r="CK37">
        <v>34</v>
      </c>
      <c r="CL37" s="13" t="b">
        <f t="shared" si="18"/>
        <v>1</v>
      </c>
      <c r="CM37" s="13"/>
      <c r="CN37" s="13" t="str">
        <f t="shared" si="24"/>
        <v/>
      </c>
      <c r="CO37" s="13" t="str">
        <f t="shared" si="24"/>
        <v/>
      </c>
      <c r="CP37" s="13" t="str">
        <f t="shared" si="24"/>
        <v/>
      </c>
      <c r="CQ37" s="13" t="str">
        <f t="shared" si="24"/>
        <v/>
      </c>
      <c r="CR37" t="str">
        <f t="shared" si="19"/>
        <v>1503042</v>
      </c>
      <c r="CT37" t="str">
        <f t="shared" si="20"/>
        <v/>
      </c>
      <c r="CU37" t="str">
        <f t="shared" si="21"/>
        <v/>
      </c>
      <c r="CV37" t="str">
        <f t="shared" si="22"/>
        <v/>
      </c>
      <c r="CW37" t="str">
        <f t="shared" si="23"/>
        <v/>
      </c>
      <c r="CX37">
        <v>4</v>
      </c>
      <c r="DD37">
        <v>1</v>
      </c>
      <c r="DJ37" t="s">
        <v>161</v>
      </c>
      <c r="DR37">
        <v>3200041</v>
      </c>
      <c r="DS37" s="14" t="s">
        <v>62</v>
      </c>
    </row>
    <row r="38" spans="1:125" x14ac:dyDescent="0.15">
      <c r="A38">
        <v>35</v>
      </c>
      <c r="B38" s="16" t="s">
        <v>383</v>
      </c>
      <c r="C38" s="1">
        <v>85</v>
      </c>
      <c r="D38" s="1">
        <v>69</v>
      </c>
      <c r="E38">
        <v>1</v>
      </c>
      <c r="F38">
        <f t="shared" si="17"/>
        <v>5005</v>
      </c>
      <c r="H38">
        <v>5</v>
      </c>
      <c r="M38" s="3">
        <v>36</v>
      </c>
      <c r="N38" s="2">
        <f t="shared" si="25"/>
        <v>4</v>
      </c>
      <c r="AL38">
        <v>36</v>
      </c>
      <c r="AM38">
        <f t="shared" si="26"/>
        <v>8</v>
      </c>
      <c r="CK38">
        <v>35</v>
      </c>
      <c r="CL38" s="13" t="b">
        <f t="shared" si="18"/>
        <v>1</v>
      </c>
      <c r="CM38" s="13"/>
      <c r="CN38" s="13" t="str">
        <f t="shared" si="24"/>
        <v/>
      </c>
      <c r="CO38" s="13" t="str">
        <f t="shared" si="24"/>
        <v/>
      </c>
      <c r="CP38" s="13" t="str">
        <f t="shared" si="24"/>
        <v/>
      </c>
      <c r="CQ38" s="13" t="str">
        <f t="shared" si="24"/>
        <v/>
      </c>
      <c r="CR38" t="str">
        <f t="shared" si="19"/>
        <v>1203043</v>
      </c>
      <c r="CT38" t="str">
        <f t="shared" si="20"/>
        <v/>
      </c>
      <c r="CU38" t="str">
        <f t="shared" si="21"/>
        <v/>
      </c>
      <c r="CV38" t="str">
        <f t="shared" si="22"/>
        <v/>
      </c>
      <c r="CW38" t="str">
        <f t="shared" si="23"/>
        <v/>
      </c>
      <c r="CX38">
        <v>4</v>
      </c>
      <c r="DD38">
        <v>1</v>
      </c>
      <c r="DJ38" t="s">
        <v>140</v>
      </c>
      <c r="DR38">
        <v>3201041</v>
      </c>
      <c r="DS38" s="14" t="s">
        <v>65</v>
      </c>
    </row>
    <row r="39" spans="1:125" x14ac:dyDescent="0.15">
      <c r="A39">
        <v>36</v>
      </c>
      <c r="B39" s="16" t="s">
        <v>378</v>
      </c>
      <c r="C39" s="1">
        <v>86</v>
      </c>
      <c r="D39" s="1">
        <v>71</v>
      </c>
      <c r="E39">
        <v>1</v>
      </c>
      <c r="F39">
        <f t="shared" si="17"/>
        <v>5004</v>
      </c>
      <c r="H39">
        <v>4</v>
      </c>
      <c r="M39" s="3">
        <v>37</v>
      </c>
      <c r="N39" s="2">
        <f t="shared" si="25"/>
        <v>4</v>
      </c>
      <c r="AL39">
        <v>37</v>
      </c>
      <c r="AM39">
        <f t="shared" si="26"/>
        <v>8</v>
      </c>
      <c r="CK39">
        <v>36</v>
      </c>
      <c r="CL39" s="13" t="b">
        <f t="shared" si="18"/>
        <v>1</v>
      </c>
      <c r="CM39" s="13"/>
      <c r="CN39" s="13" t="str">
        <f t="shared" si="24"/>
        <v/>
      </c>
      <c r="CO39" s="13" t="str">
        <f t="shared" si="24"/>
        <v/>
      </c>
      <c r="CP39" s="13" t="str">
        <f t="shared" si="24"/>
        <v/>
      </c>
      <c r="CQ39" s="13" t="str">
        <f t="shared" si="24"/>
        <v/>
      </c>
      <c r="CR39" t="str">
        <f t="shared" si="19"/>
        <v>1503045</v>
      </c>
      <c r="CT39" t="str">
        <f t="shared" si="20"/>
        <v/>
      </c>
      <c r="CU39" t="str">
        <f t="shared" si="21"/>
        <v/>
      </c>
      <c r="CV39" t="str">
        <f t="shared" si="22"/>
        <v/>
      </c>
      <c r="CW39" t="str">
        <f t="shared" si="23"/>
        <v/>
      </c>
      <c r="CX39">
        <v>4</v>
      </c>
      <c r="DD39">
        <v>1</v>
      </c>
      <c r="DJ39" t="s">
        <v>162</v>
      </c>
      <c r="DR39">
        <v>3202041</v>
      </c>
      <c r="DS39" s="14" t="s">
        <v>68</v>
      </c>
    </row>
    <row r="40" spans="1:125" x14ac:dyDescent="0.15">
      <c r="A40">
        <v>37</v>
      </c>
      <c r="B40" s="16" t="s">
        <v>384</v>
      </c>
      <c r="C40" s="1">
        <v>87</v>
      </c>
      <c r="D40" s="1">
        <v>73</v>
      </c>
      <c r="E40">
        <v>1</v>
      </c>
      <c r="F40">
        <f t="shared" si="17"/>
        <v>5003</v>
      </c>
      <c r="H40">
        <v>3</v>
      </c>
      <c r="M40" s="3">
        <v>38</v>
      </c>
      <c r="N40" s="2">
        <f t="shared" si="25"/>
        <v>4</v>
      </c>
      <c r="AL40">
        <v>38</v>
      </c>
      <c r="AM40">
        <f t="shared" si="26"/>
        <v>8</v>
      </c>
      <c r="CK40">
        <v>37</v>
      </c>
      <c r="CL40" s="13" t="b">
        <f t="shared" si="18"/>
        <v>1</v>
      </c>
      <c r="CM40" s="13"/>
      <c r="CN40" s="13" t="str">
        <f t="shared" si="24"/>
        <v/>
      </c>
      <c r="CO40" s="13" t="str">
        <f t="shared" si="24"/>
        <v/>
      </c>
      <c r="CP40" s="13" t="str">
        <f t="shared" si="24"/>
        <v/>
      </c>
      <c r="CQ40" s="13" t="str">
        <f t="shared" si="24"/>
        <v/>
      </c>
      <c r="CR40" t="str">
        <f t="shared" si="19"/>
        <v>1206045</v>
      </c>
      <c r="CT40" t="str">
        <f t="shared" si="20"/>
        <v/>
      </c>
      <c r="CU40" t="str">
        <f t="shared" si="21"/>
        <v/>
      </c>
      <c r="CV40" t="str">
        <f t="shared" si="22"/>
        <v/>
      </c>
      <c r="CW40" t="str">
        <f t="shared" si="23"/>
        <v/>
      </c>
      <c r="CX40">
        <v>4</v>
      </c>
      <c r="DD40">
        <v>1</v>
      </c>
      <c r="DJ40" t="s">
        <v>158</v>
      </c>
      <c r="DR40">
        <v>3301041</v>
      </c>
      <c r="DS40" s="14" t="s">
        <v>71</v>
      </c>
    </row>
    <row r="41" spans="1:125" x14ac:dyDescent="0.15">
      <c r="A41">
        <v>38</v>
      </c>
      <c r="B41" s="16" t="s">
        <v>381</v>
      </c>
      <c r="C41" s="1">
        <v>88</v>
      </c>
      <c r="D41" s="1">
        <v>75</v>
      </c>
      <c r="E41">
        <v>1</v>
      </c>
      <c r="F41">
        <f t="shared" si="17"/>
        <v>5002</v>
      </c>
      <c r="H41">
        <v>2</v>
      </c>
      <c r="M41" s="3">
        <v>39</v>
      </c>
      <c r="N41" s="2">
        <f t="shared" si="25"/>
        <v>4</v>
      </c>
      <c r="AL41">
        <v>39</v>
      </c>
      <c r="AM41">
        <f t="shared" si="26"/>
        <v>8</v>
      </c>
      <c r="CK41">
        <v>38</v>
      </c>
      <c r="CL41" s="13" t="b">
        <f t="shared" si="18"/>
        <v>1</v>
      </c>
      <c r="CM41" s="13"/>
      <c r="CN41" s="13" t="str">
        <f t="shared" si="24"/>
        <v/>
      </c>
      <c r="CO41" s="13" t="str">
        <f t="shared" si="24"/>
        <v/>
      </c>
      <c r="CP41" s="13" t="str">
        <f t="shared" si="24"/>
        <v/>
      </c>
      <c r="CQ41" s="13" t="str">
        <f t="shared" si="24"/>
        <v/>
      </c>
      <c r="CR41" t="str">
        <f t="shared" si="19"/>
        <v>1205043</v>
      </c>
      <c r="CT41" t="str">
        <f t="shared" si="20"/>
        <v/>
      </c>
      <c r="CU41" t="str">
        <f t="shared" si="21"/>
        <v/>
      </c>
      <c r="CV41" t="str">
        <f t="shared" si="22"/>
        <v/>
      </c>
      <c r="CW41" t="str">
        <f t="shared" si="23"/>
        <v/>
      </c>
      <c r="CX41">
        <v>4</v>
      </c>
      <c r="DD41">
        <v>1</v>
      </c>
      <c r="DJ41" t="s">
        <v>138</v>
      </c>
      <c r="DR41">
        <v>3401041</v>
      </c>
      <c r="DS41" s="14" t="s">
        <v>73</v>
      </c>
    </row>
    <row r="42" spans="1:125" x14ac:dyDescent="0.15">
      <c r="A42">
        <v>39</v>
      </c>
      <c r="B42" s="16" t="s">
        <v>378</v>
      </c>
      <c r="C42" s="1">
        <v>89</v>
      </c>
      <c r="D42" s="1">
        <v>77</v>
      </c>
      <c r="E42">
        <v>1</v>
      </c>
      <c r="F42">
        <f t="shared" si="17"/>
        <v>5005</v>
      </c>
      <c r="H42">
        <v>5</v>
      </c>
      <c r="M42" s="3">
        <v>40</v>
      </c>
      <c r="N42" s="2">
        <f t="shared" si="25"/>
        <v>4</v>
      </c>
      <c r="P42" s="11" t="s">
        <v>131</v>
      </c>
      <c r="Q42" s="10" t="s">
        <v>132</v>
      </c>
      <c r="R42" s="10" t="s">
        <v>133</v>
      </c>
      <c r="AL42">
        <v>40</v>
      </c>
      <c r="AM42">
        <f t="shared" si="26"/>
        <v>8</v>
      </c>
      <c r="CK42">
        <v>39</v>
      </c>
      <c r="CL42" s="13" t="b">
        <f t="shared" si="18"/>
        <v>1</v>
      </c>
      <c r="CM42" s="13"/>
      <c r="CN42" s="13" t="str">
        <f t="shared" si="24"/>
        <v/>
      </c>
      <c r="CO42" s="13" t="str">
        <f t="shared" si="24"/>
        <v/>
      </c>
      <c r="CP42" s="13" t="str">
        <f t="shared" si="24"/>
        <v/>
      </c>
      <c r="CQ42" s="13" t="str">
        <f t="shared" si="24"/>
        <v/>
      </c>
      <c r="CR42" t="str">
        <f t="shared" si="19"/>
        <v>1503043</v>
      </c>
      <c r="CT42" t="str">
        <f t="shared" si="20"/>
        <v/>
      </c>
      <c r="CU42" t="str">
        <f t="shared" si="21"/>
        <v/>
      </c>
      <c r="CV42" t="str">
        <f t="shared" si="22"/>
        <v/>
      </c>
      <c r="CW42" t="str">
        <f t="shared" si="23"/>
        <v/>
      </c>
      <c r="CX42">
        <v>4</v>
      </c>
      <c r="DD42">
        <v>1</v>
      </c>
      <c r="DJ42" t="s">
        <v>163</v>
      </c>
      <c r="DR42">
        <v>3402041</v>
      </c>
      <c r="DS42" s="14" t="s">
        <v>76</v>
      </c>
    </row>
    <row r="43" spans="1:125" x14ac:dyDescent="0.15">
      <c r="A43">
        <v>40</v>
      </c>
      <c r="B43" s="16" t="s">
        <v>385</v>
      </c>
      <c r="C43" s="7" t="s">
        <v>164</v>
      </c>
      <c r="D43" s="1">
        <v>79</v>
      </c>
      <c r="E43">
        <v>1</v>
      </c>
      <c r="F43">
        <f t="shared" si="17"/>
        <v>5004</v>
      </c>
      <c r="H43">
        <v>4</v>
      </c>
      <c r="M43" s="3">
        <v>41</v>
      </c>
      <c r="N43" s="2">
        <f t="shared" ref="N43:N44" si="27">ROUNDUP(M43/10,0)</f>
        <v>5</v>
      </c>
      <c r="P43" s="10" t="s">
        <v>13</v>
      </c>
      <c r="Q43" s="10" t="s">
        <v>137</v>
      </c>
      <c r="AL43">
        <v>41</v>
      </c>
      <c r="AM43">
        <f t="shared" si="26"/>
        <v>9</v>
      </c>
      <c r="CK43">
        <v>40</v>
      </c>
      <c r="CL43" s="13" t="b">
        <f t="shared" si="18"/>
        <v>1</v>
      </c>
      <c r="CM43" s="13"/>
      <c r="CN43" s="13" t="str">
        <f t="shared" si="24"/>
        <v/>
      </c>
      <c r="CO43" s="13" t="str">
        <f t="shared" si="24"/>
        <v/>
      </c>
      <c r="CP43" s="13" t="str">
        <f t="shared" si="24"/>
        <v/>
      </c>
      <c r="CQ43" s="13" t="str">
        <f t="shared" si="24"/>
        <v/>
      </c>
      <c r="CR43" t="str">
        <f t="shared" si="19"/>
        <v>1204045</v>
      </c>
      <c r="CT43" t="str">
        <f t="shared" si="20"/>
        <v/>
      </c>
      <c r="CU43" t="str">
        <f t="shared" si="21"/>
        <v/>
      </c>
      <c r="CV43" t="str">
        <f t="shared" si="22"/>
        <v/>
      </c>
      <c r="CW43" t="str">
        <f t="shared" si="23"/>
        <v/>
      </c>
      <c r="CX43">
        <v>4</v>
      </c>
      <c r="DD43">
        <v>1</v>
      </c>
      <c r="DJ43" t="s">
        <v>152</v>
      </c>
      <c r="DR43">
        <v>3500041</v>
      </c>
      <c r="DS43" s="14" t="s">
        <v>79</v>
      </c>
    </row>
    <row r="44" spans="1:125" x14ac:dyDescent="0.15">
      <c r="A44">
        <v>41</v>
      </c>
      <c r="B44" s="6">
        <v>3202051</v>
      </c>
      <c r="C44" s="7" t="s">
        <v>165</v>
      </c>
      <c r="D44" s="1">
        <v>81</v>
      </c>
      <c r="E44">
        <v>1</v>
      </c>
      <c r="F44">
        <f t="shared" si="17"/>
        <v>5003</v>
      </c>
      <c r="H44">
        <v>3</v>
      </c>
      <c r="M44" s="3">
        <v>42</v>
      </c>
      <c r="N44" s="2">
        <f t="shared" si="27"/>
        <v>5</v>
      </c>
      <c r="P44">
        <v>1</v>
      </c>
      <c r="Q44">
        <v>30</v>
      </c>
      <c r="S44">
        <v>550000</v>
      </c>
      <c r="AL44">
        <v>42</v>
      </c>
      <c r="AM44">
        <f t="shared" si="26"/>
        <v>9</v>
      </c>
      <c r="CK44">
        <v>41</v>
      </c>
      <c r="CL44" s="13" t="b">
        <f t="shared" si="18"/>
        <v>1</v>
      </c>
      <c r="CM44" s="13"/>
      <c r="CN44" s="13" t="str">
        <f t="shared" ref="CM44:CQ86" si="28">IF(DL44&lt;&gt;"",IF(ISERROR(MATCH(INT(CT44),$DR$4:$DR$1516,0))=FALSE,TRUE),"")</f>
        <v/>
      </c>
      <c r="CO44" s="13" t="str">
        <f t="shared" si="28"/>
        <v/>
      </c>
      <c r="CP44" s="13" t="str">
        <f t="shared" si="28"/>
        <v/>
      </c>
      <c r="CQ44" s="13" t="str">
        <f t="shared" si="28"/>
        <v/>
      </c>
      <c r="CR44" t="str">
        <f t="shared" si="19"/>
        <v>3201051</v>
      </c>
      <c r="CT44" t="str">
        <f t="shared" si="20"/>
        <v/>
      </c>
      <c r="CU44" t="str">
        <f t="shared" si="21"/>
        <v/>
      </c>
      <c r="CV44" t="str">
        <f t="shared" si="22"/>
        <v/>
      </c>
      <c r="CW44" t="str">
        <f t="shared" si="23"/>
        <v/>
      </c>
      <c r="CX44">
        <v>5</v>
      </c>
      <c r="DD44">
        <v>3</v>
      </c>
      <c r="DJ44" s="10" t="s">
        <v>65</v>
      </c>
      <c r="DR44">
        <v>3502041</v>
      </c>
      <c r="DS44" s="14" t="s">
        <v>81</v>
      </c>
    </row>
    <row r="45" spans="1:125" x14ac:dyDescent="0.15">
      <c r="A45">
        <v>42</v>
      </c>
      <c r="B45" s="16" t="s">
        <v>386</v>
      </c>
      <c r="C45" s="7" t="s">
        <v>166</v>
      </c>
      <c r="D45" s="1">
        <v>83</v>
      </c>
      <c r="E45">
        <v>1</v>
      </c>
      <c r="F45">
        <f t="shared" si="17"/>
        <v>5002</v>
      </c>
      <c r="H45">
        <v>2</v>
      </c>
      <c r="P45">
        <v>2</v>
      </c>
      <c r="Q45">
        <v>50</v>
      </c>
      <c r="S45">
        <v>3450000</v>
      </c>
      <c r="AL45">
        <v>43</v>
      </c>
      <c r="AM45">
        <f t="shared" si="26"/>
        <v>9</v>
      </c>
      <c r="CK45">
        <v>42</v>
      </c>
      <c r="CL45" s="13" t="b">
        <f t="shared" si="18"/>
        <v>1</v>
      </c>
      <c r="CM45" s="13"/>
      <c r="CN45" s="13" t="str">
        <f t="shared" si="28"/>
        <v/>
      </c>
      <c r="CO45" s="13" t="str">
        <f t="shared" si="28"/>
        <v/>
      </c>
      <c r="CP45" s="13" t="str">
        <f t="shared" si="28"/>
        <v/>
      </c>
      <c r="CQ45" s="13" t="str">
        <f t="shared" si="28"/>
        <v/>
      </c>
      <c r="CR45" t="str">
        <f t="shared" si="19"/>
        <v>3200052</v>
      </c>
      <c r="CT45" t="str">
        <f t="shared" si="20"/>
        <v/>
      </c>
      <c r="CU45" t="str">
        <f t="shared" si="21"/>
        <v/>
      </c>
      <c r="CV45" t="str">
        <f t="shared" si="22"/>
        <v/>
      </c>
      <c r="CW45" t="str">
        <f t="shared" si="23"/>
        <v/>
      </c>
      <c r="CX45">
        <v>5</v>
      </c>
      <c r="DD45">
        <v>3</v>
      </c>
      <c r="DJ45" s="10" t="s">
        <v>88</v>
      </c>
      <c r="DR45">
        <v>3601041</v>
      </c>
      <c r="DS45" s="14" t="s">
        <v>84</v>
      </c>
    </row>
    <row r="46" spans="1:125" x14ac:dyDescent="0.15">
      <c r="A46">
        <v>43</v>
      </c>
      <c r="B46" s="16" t="s">
        <v>387</v>
      </c>
      <c r="C46" s="7" t="s">
        <v>167</v>
      </c>
      <c r="D46" s="1">
        <v>85</v>
      </c>
      <c r="E46">
        <v>1</v>
      </c>
      <c r="F46">
        <f t="shared" si="17"/>
        <v>5005</v>
      </c>
      <c r="H46">
        <v>5</v>
      </c>
      <c r="P46">
        <v>3</v>
      </c>
      <c r="Q46">
        <v>70</v>
      </c>
      <c r="AL46">
        <v>44</v>
      </c>
      <c r="AM46">
        <f t="shared" si="26"/>
        <v>9</v>
      </c>
      <c r="CK46">
        <v>43</v>
      </c>
      <c r="CL46" s="13" t="b">
        <f t="shared" si="18"/>
        <v>1</v>
      </c>
      <c r="CM46" s="13"/>
      <c r="CN46" s="13" t="str">
        <f t="shared" si="28"/>
        <v/>
      </c>
      <c r="CO46" s="13" t="str">
        <f t="shared" si="28"/>
        <v/>
      </c>
      <c r="CP46" s="13" t="str">
        <f t="shared" si="28"/>
        <v/>
      </c>
      <c r="CQ46" s="13" t="str">
        <f t="shared" si="28"/>
        <v/>
      </c>
      <c r="CR46" t="str">
        <f t="shared" si="19"/>
        <v>3202051</v>
      </c>
      <c r="CT46" t="str">
        <f t="shared" si="20"/>
        <v/>
      </c>
      <c r="CU46" t="str">
        <f t="shared" si="21"/>
        <v/>
      </c>
      <c r="CV46" t="str">
        <f t="shared" si="22"/>
        <v/>
      </c>
      <c r="CW46" t="str">
        <f t="shared" si="23"/>
        <v/>
      </c>
      <c r="CX46">
        <v>5</v>
      </c>
      <c r="DD46">
        <v>3</v>
      </c>
      <c r="DJ46" s="10" t="s">
        <v>68</v>
      </c>
      <c r="DR46">
        <v>3200042</v>
      </c>
      <c r="DS46" s="14" t="s">
        <v>88</v>
      </c>
    </row>
    <row r="47" spans="1:125" x14ac:dyDescent="0.15">
      <c r="A47">
        <v>44</v>
      </c>
      <c r="B47" s="16" t="s">
        <v>423</v>
      </c>
      <c r="C47" s="7" t="s">
        <v>168</v>
      </c>
      <c r="D47" s="1">
        <v>87</v>
      </c>
      <c r="E47">
        <v>1</v>
      </c>
      <c r="F47">
        <f t="shared" si="17"/>
        <v>5004</v>
      </c>
      <c r="H47">
        <v>4</v>
      </c>
      <c r="P47">
        <v>4</v>
      </c>
      <c r="Q47">
        <v>90</v>
      </c>
      <c r="AL47">
        <v>45</v>
      </c>
      <c r="AM47">
        <f t="shared" si="26"/>
        <v>9</v>
      </c>
      <c r="CK47">
        <v>44</v>
      </c>
      <c r="CL47" s="13" t="b">
        <f t="shared" si="18"/>
        <v>1</v>
      </c>
      <c r="CM47" s="13"/>
      <c r="CN47" s="13" t="str">
        <f t="shared" si="28"/>
        <v/>
      </c>
      <c r="CO47" s="13" t="str">
        <f t="shared" si="28"/>
        <v/>
      </c>
      <c r="CP47" s="13" t="str">
        <f t="shared" si="28"/>
        <v/>
      </c>
      <c r="CQ47" s="13" t="str">
        <f t="shared" si="28"/>
        <v/>
      </c>
      <c r="CR47" t="str">
        <f t="shared" si="19"/>
        <v>3302055</v>
      </c>
      <c r="CT47" t="str">
        <f t="shared" si="20"/>
        <v/>
      </c>
      <c r="CU47" t="str">
        <f t="shared" si="21"/>
        <v/>
      </c>
      <c r="CV47" t="str">
        <f t="shared" si="22"/>
        <v/>
      </c>
      <c r="CW47" t="str">
        <f t="shared" si="23"/>
        <v/>
      </c>
      <c r="CX47">
        <v>5</v>
      </c>
      <c r="DD47">
        <v>3</v>
      </c>
      <c r="DJ47" s="10" t="s">
        <v>156</v>
      </c>
      <c r="DR47">
        <v>3201042</v>
      </c>
      <c r="DS47" s="14" t="s">
        <v>92</v>
      </c>
    </row>
    <row r="48" spans="1:125" x14ac:dyDescent="0.15">
      <c r="A48">
        <v>45</v>
      </c>
      <c r="B48" s="16" t="s">
        <v>388</v>
      </c>
      <c r="C48" s="7" t="s">
        <v>169</v>
      </c>
      <c r="D48" s="1">
        <v>89</v>
      </c>
      <c r="E48">
        <v>1</v>
      </c>
      <c r="F48">
        <f t="shared" si="17"/>
        <v>5003</v>
      </c>
      <c r="H48">
        <v>3</v>
      </c>
      <c r="P48">
        <v>5</v>
      </c>
      <c r="Q48">
        <v>110</v>
      </c>
      <c r="AL48">
        <v>46</v>
      </c>
      <c r="AM48">
        <f t="shared" si="26"/>
        <v>9</v>
      </c>
      <c r="CK48">
        <v>45</v>
      </c>
      <c r="CL48" s="13" t="b">
        <f t="shared" si="18"/>
        <v>1</v>
      </c>
      <c r="CM48" s="13"/>
      <c r="CN48" s="13" t="str">
        <f t="shared" si="28"/>
        <v/>
      </c>
      <c r="CO48" s="13" t="str">
        <f t="shared" si="28"/>
        <v/>
      </c>
      <c r="CP48" s="13" t="str">
        <f t="shared" si="28"/>
        <v/>
      </c>
      <c r="CQ48" s="13" t="str">
        <f t="shared" si="28"/>
        <v/>
      </c>
      <c r="CR48" t="str">
        <f t="shared" si="19"/>
        <v>3402052</v>
      </c>
      <c r="CT48" t="str">
        <f t="shared" si="20"/>
        <v/>
      </c>
      <c r="CU48" t="str">
        <f t="shared" si="21"/>
        <v/>
      </c>
      <c r="CV48" t="str">
        <f t="shared" si="22"/>
        <v/>
      </c>
      <c r="CW48" t="str">
        <f t="shared" si="23"/>
        <v/>
      </c>
      <c r="CX48">
        <v>5</v>
      </c>
      <c r="DD48">
        <v>3</v>
      </c>
      <c r="DJ48" s="10" t="s">
        <v>103</v>
      </c>
      <c r="DR48">
        <v>3202042</v>
      </c>
      <c r="DS48" s="14" t="s">
        <v>95</v>
      </c>
    </row>
    <row r="49" spans="1:123" x14ac:dyDescent="0.15">
      <c r="A49">
        <v>46</v>
      </c>
      <c r="B49" s="16" t="s">
        <v>389</v>
      </c>
      <c r="C49" s="7" t="s">
        <v>170</v>
      </c>
      <c r="D49" s="1">
        <v>91</v>
      </c>
      <c r="E49">
        <v>1</v>
      </c>
      <c r="F49">
        <f t="shared" si="17"/>
        <v>5002</v>
      </c>
      <c r="H49">
        <v>2</v>
      </c>
      <c r="P49">
        <v>6</v>
      </c>
      <c r="Q49">
        <v>130</v>
      </c>
      <c r="AL49">
        <v>47</v>
      </c>
      <c r="AM49">
        <f t="shared" si="26"/>
        <v>9</v>
      </c>
      <c r="CK49">
        <v>46</v>
      </c>
      <c r="CL49" s="13" t="b">
        <f t="shared" si="18"/>
        <v>1</v>
      </c>
      <c r="CM49" s="13"/>
      <c r="CN49" s="13" t="str">
        <f t="shared" si="28"/>
        <v/>
      </c>
      <c r="CO49" s="13" t="str">
        <f t="shared" si="28"/>
        <v/>
      </c>
      <c r="CP49" s="13" t="str">
        <f t="shared" si="28"/>
        <v/>
      </c>
      <c r="CQ49" s="13" t="str">
        <f t="shared" si="28"/>
        <v/>
      </c>
      <c r="CR49" t="str">
        <f t="shared" si="19"/>
        <v>3301052</v>
      </c>
      <c r="CT49" t="str">
        <f t="shared" si="20"/>
        <v/>
      </c>
      <c r="CU49" t="str">
        <f t="shared" si="21"/>
        <v/>
      </c>
      <c r="CV49" t="str">
        <f t="shared" si="22"/>
        <v/>
      </c>
      <c r="CW49" t="str">
        <f t="shared" si="23"/>
        <v/>
      </c>
      <c r="CX49">
        <v>5</v>
      </c>
      <c r="DD49">
        <v>3</v>
      </c>
      <c r="DJ49" s="14" t="s">
        <v>98</v>
      </c>
      <c r="DR49">
        <v>3301042</v>
      </c>
      <c r="DS49" s="14" t="s">
        <v>98</v>
      </c>
    </row>
    <row r="50" spans="1:123" x14ac:dyDescent="0.15">
      <c r="A50">
        <v>47</v>
      </c>
      <c r="B50" s="16" t="s">
        <v>388</v>
      </c>
      <c r="C50" s="7" t="s">
        <v>171</v>
      </c>
      <c r="D50" s="1">
        <v>93</v>
      </c>
      <c r="E50">
        <v>1</v>
      </c>
      <c r="F50">
        <f t="shared" si="17"/>
        <v>5005</v>
      </c>
      <c r="H50">
        <v>5</v>
      </c>
      <c r="P50">
        <v>7</v>
      </c>
      <c r="Q50">
        <v>150</v>
      </c>
      <c r="T50" s="10"/>
      <c r="AL50">
        <v>48</v>
      </c>
      <c r="AM50">
        <f t="shared" si="26"/>
        <v>9</v>
      </c>
      <c r="CK50">
        <v>47</v>
      </c>
      <c r="CL50" s="13" t="b">
        <f t="shared" si="18"/>
        <v>1</v>
      </c>
      <c r="CM50" s="13"/>
      <c r="CN50" s="13" t="str">
        <f t="shared" si="28"/>
        <v/>
      </c>
      <c r="CO50" s="13" t="str">
        <f t="shared" si="28"/>
        <v/>
      </c>
      <c r="CP50" s="13" t="str">
        <f t="shared" si="28"/>
        <v/>
      </c>
      <c r="CQ50" s="13" t="str">
        <f t="shared" si="28"/>
        <v/>
      </c>
      <c r="CR50" t="str">
        <f t="shared" si="19"/>
        <v>3402053</v>
      </c>
      <c r="CT50" t="str">
        <f t="shared" si="20"/>
        <v/>
      </c>
      <c r="CU50" t="str">
        <f t="shared" si="21"/>
        <v/>
      </c>
      <c r="CV50" t="str">
        <f t="shared" si="22"/>
        <v/>
      </c>
      <c r="CW50" t="str">
        <f t="shared" si="23"/>
        <v/>
      </c>
      <c r="CX50">
        <v>5</v>
      </c>
      <c r="DD50">
        <v>3</v>
      </c>
      <c r="DJ50" s="15" t="s">
        <v>135</v>
      </c>
      <c r="DR50">
        <v>3401042</v>
      </c>
      <c r="DS50" s="14" t="s">
        <v>101</v>
      </c>
    </row>
    <row r="51" spans="1:123" x14ac:dyDescent="0.15">
      <c r="A51">
        <v>48</v>
      </c>
      <c r="B51" s="16" t="s">
        <v>414</v>
      </c>
      <c r="C51" s="7" t="s">
        <v>172</v>
      </c>
      <c r="D51" s="1">
        <v>95</v>
      </c>
      <c r="E51">
        <v>1</v>
      </c>
      <c r="F51">
        <f t="shared" si="17"/>
        <v>5004</v>
      </c>
      <c r="H51">
        <v>4</v>
      </c>
      <c r="P51">
        <v>8</v>
      </c>
      <c r="Q51">
        <v>170</v>
      </c>
      <c r="AL51">
        <v>49</v>
      </c>
      <c r="AM51">
        <f t="shared" si="26"/>
        <v>9</v>
      </c>
      <c r="CK51">
        <v>48</v>
      </c>
      <c r="CL51" s="13" t="b">
        <f t="shared" si="18"/>
        <v>1</v>
      </c>
      <c r="CM51" s="13"/>
      <c r="CN51" s="13" t="str">
        <f t="shared" si="28"/>
        <v/>
      </c>
      <c r="CO51" s="13" t="str">
        <f t="shared" si="28"/>
        <v/>
      </c>
      <c r="CP51" s="13" t="str">
        <f t="shared" si="28"/>
        <v/>
      </c>
      <c r="CQ51" s="13" t="str">
        <f t="shared" si="28"/>
        <v/>
      </c>
      <c r="CR51" t="str">
        <f t="shared" si="19"/>
        <v>3602054</v>
      </c>
      <c r="CT51" t="str">
        <f t="shared" si="20"/>
        <v/>
      </c>
      <c r="CU51" t="str">
        <f t="shared" si="21"/>
        <v/>
      </c>
      <c r="CV51" t="str">
        <f t="shared" si="22"/>
        <v/>
      </c>
      <c r="CW51" t="str">
        <f t="shared" si="23"/>
        <v/>
      </c>
      <c r="CX51">
        <v>5</v>
      </c>
      <c r="DD51">
        <v>3</v>
      </c>
      <c r="DJ51" s="14" t="s">
        <v>150</v>
      </c>
      <c r="DR51">
        <v>3402042</v>
      </c>
      <c r="DS51" s="14" t="s">
        <v>103</v>
      </c>
    </row>
    <row r="52" spans="1:123" x14ac:dyDescent="0.15">
      <c r="A52">
        <v>49</v>
      </c>
      <c r="B52" s="16" t="s">
        <v>415</v>
      </c>
      <c r="C52" s="7" t="s">
        <v>173</v>
      </c>
      <c r="D52" s="1">
        <v>97</v>
      </c>
      <c r="E52">
        <v>1</v>
      </c>
      <c r="F52">
        <f t="shared" si="17"/>
        <v>5003</v>
      </c>
      <c r="H52">
        <v>3</v>
      </c>
      <c r="P52">
        <v>9</v>
      </c>
      <c r="Q52">
        <v>190</v>
      </c>
      <c r="AL52">
        <v>50</v>
      </c>
      <c r="AM52">
        <f t="shared" si="26"/>
        <v>9</v>
      </c>
      <c r="CK52">
        <v>49</v>
      </c>
      <c r="CL52" s="13" t="b">
        <f t="shared" si="18"/>
        <v>1</v>
      </c>
      <c r="CM52" s="13"/>
      <c r="CN52" s="13" t="str">
        <f t="shared" si="28"/>
        <v/>
      </c>
      <c r="CO52" s="13" t="str">
        <f t="shared" si="28"/>
        <v/>
      </c>
      <c r="CP52" s="13" t="str">
        <f t="shared" si="28"/>
        <v/>
      </c>
      <c r="CQ52" s="13" t="str">
        <f t="shared" si="28"/>
        <v/>
      </c>
      <c r="CR52" t="str">
        <f t="shared" si="19"/>
        <v>3302055</v>
      </c>
      <c r="CT52" t="str">
        <f t="shared" si="20"/>
        <v/>
      </c>
      <c r="CU52" t="str">
        <f t="shared" si="21"/>
        <v/>
      </c>
      <c r="CV52" t="str">
        <f t="shared" si="22"/>
        <v/>
      </c>
      <c r="CW52" t="str">
        <f t="shared" si="23"/>
        <v/>
      </c>
      <c r="CX52">
        <v>5</v>
      </c>
      <c r="DD52">
        <v>3</v>
      </c>
      <c r="DJ52" s="14" t="s">
        <v>156</v>
      </c>
      <c r="DR52">
        <v>3500042</v>
      </c>
      <c r="DS52" s="14" t="s">
        <v>107</v>
      </c>
    </row>
    <row r="53" spans="1:123" x14ac:dyDescent="0.15">
      <c r="A53">
        <v>50</v>
      </c>
      <c r="B53" s="6" t="s">
        <v>174</v>
      </c>
      <c r="C53" s="7" t="s">
        <v>175</v>
      </c>
      <c r="D53" s="1">
        <v>99</v>
      </c>
      <c r="E53">
        <v>1</v>
      </c>
      <c r="F53">
        <f t="shared" si="17"/>
        <v>5002</v>
      </c>
      <c r="H53">
        <v>2</v>
      </c>
      <c r="P53">
        <v>10</v>
      </c>
      <c r="Q53">
        <v>210</v>
      </c>
      <c r="AL53">
        <v>51</v>
      </c>
      <c r="AM53">
        <f t="shared" si="26"/>
        <v>10</v>
      </c>
      <c r="CK53">
        <v>50</v>
      </c>
      <c r="CL53" s="13" t="b">
        <f t="shared" si="18"/>
        <v>1</v>
      </c>
      <c r="CM53" s="13"/>
      <c r="CN53" s="13" t="str">
        <f t="shared" si="28"/>
        <v/>
      </c>
      <c r="CO53" s="13" t="str">
        <f t="shared" si="28"/>
        <v/>
      </c>
      <c r="CP53" s="13" t="str">
        <f t="shared" si="28"/>
        <v/>
      </c>
      <c r="CQ53" s="13" t="str">
        <f t="shared" si="28"/>
        <v/>
      </c>
      <c r="CR53" t="str">
        <f t="shared" si="19"/>
        <v>3502051</v>
      </c>
      <c r="CT53" t="str">
        <f t="shared" si="20"/>
        <v/>
      </c>
      <c r="CU53" t="str">
        <f t="shared" si="21"/>
        <v/>
      </c>
      <c r="CV53" t="str">
        <f t="shared" si="22"/>
        <v/>
      </c>
      <c r="CW53" t="str">
        <f t="shared" si="23"/>
        <v/>
      </c>
      <c r="CX53">
        <v>5</v>
      </c>
      <c r="DD53">
        <v>3</v>
      </c>
      <c r="DJ53" s="14" t="s">
        <v>81</v>
      </c>
      <c r="DR53">
        <v>3502042</v>
      </c>
      <c r="DS53" s="14" t="s">
        <v>111</v>
      </c>
    </row>
    <row r="54" spans="1:123" x14ac:dyDescent="0.15">
      <c r="A54">
        <v>51</v>
      </c>
      <c r="B54" s="16" t="s">
        <v>387</v>
      </c>
      <c r="C54" s="7" t="s">
        <v>176</v>
      </c>
      <c r="D54" s="1">
        <v>101</v>
      </c>
      <c r="E54">
        <v>1</v>
      </c>
      <c r="F54">
        <f t="shared" si="17"/>
        <v>5005</v>
      </c>
      <c r="H54">
        <v>5</v>
      </c>
      <c r="AL54">
        <v>52</v>
      </c>
      <c r="AM54">
        <f t="shared" si="26"/>
        <v>10</v>
      </c>
      <c r="CK54">
        <v>51</v>
      </c>
      <c r="CL54" s="13" t="b">
        <f t="shared" si="18"/>
        <v>1</v>
      </c>
      <c r="CM54" s="13" t="str">
        <f t="shared" si="28"/>
        <v/>
      </c>
      <c r="CN54" s="13" t="str">
        <f t="shared" si="28"/>
        <v/>
      </c>
      <c r="CO54" s="13" t="str">
        <f t="shared" si="28"/>
        <v/>
      </c>
      <c r="CP54" s="13" t="str">
        <f t="shared" si="28"/>
        <v/>
      </c>
      <c r="CQ54" s="13" t="str">
        <f t="shared" si="28"/>
        <v/>
      </c>
      <c r="CR54" t="str">
        <f t="shared" si="19"/>
        <v>3202052</v>
      </c>
      <c r="CS54" t="str">
        <f t="shared" ref="CS54:CS68" si="29">IF(DK54&lt;&gt;"",REPLACE(REPLACE(INDEX($DR$4:$DR$1516,MATCH(DK54,$DS$4:$DS$1516,0)),6,1,CY54),1,1,DE54),"")</f>
        <v/>
      </c>
      <c r="CT54" t="str">
        <f t="shared" si="20"/>
        <v/>
      </c>
      <c r="CU54" t="str">
        <f t="shared" si="21"/>
        <v/>
      </c>
      <c r="CV54" t="str">
        <f t="shared" si="22"/>
        <v/>
      </c>
      <c r="CW54" t="str">
        <f t="shared" si="23"/>
        <v/>
      </c>
      <c r="CX54">
        <v>5</v>
      </c>
      <c r="DD54">
        <v>3</v>
      </c>
      <c r="DJ54" s="14" t="s">
        <v>95</v>
      </c>
      <c r="DR54">
        <v>3601042</v>
      </c>
      <c r="DS54" s="14" t="s">
        <v>114</v>
      </c>
    </row>
    <row r="55" spans="1:123" x14ac:dyDescent="0.15">
      <c r="A55">
        <v>52</v>
      </c>
      <c r="B55" s="6" t="s">
        <v>177</v>
      </c>
      <c r="C55" s="7" t="s">
        <v>178</v>
      </c>
      <c r="D55" s="1">
        <v>103</v>
      </c>
      <c r="E55">
        <v>1</v>
      </c>
      <c r="F55">
        <f t="shared" si="17"/>
        <v>5004</v>
      </c>
      <c r="H55">
        <v>4</v>
      </c>
      <c r="AL55">
        <v>53</v>
      </c>
      <c r="AM55">
        <f t="shared" si="26"/>
        <v>10</v>
      </c>
      <c r="CK55">
        <v>52</v>
      </c>
      <c r="CL55" s="13" t="b">
        <f t="shared" si="18"/>
        <v>1</v>
      </c>
      <c r="CM55" s="13" t="str">
        <f t="shared" si="28"/>
        <v/>
      </c>
      <c r="CN55" s="13" t="str">
        <f t="shared" si="28"/>
        <v/>
      </c>
      <c r="CO55" s="13" t="str">
        <f t="shared" si="28"/>
        <v/>
      </c>
      <c r="CP55" s="13" t="str">
        <f t="shared" si="28"/>
        <v/>
      </c>
      <c r="CQ55" s="13" t="str">
        <f t="shared" si="28"/>
        <v/>
      </c>
      <c r="CR55" t="str">
        <f t="shared" si="19"/>
        <v>3200053</v>
      </c>
      <c r="CS55" t="str">
        <f t="shared" si="29"/>
        <v/>
      </c>
      <c r="CT55" t="str">
        <f t="shared" si="20"/>
        <v/>
      </c>
      <c r="CU55" t="str">
        <f t="shared" si="21"/>
        <v/>
      </c>
      <c r="CV55" t="str">
        <f t="shared" si="22"/>
        <v/>
      </c>
      <c r="CW55" t="str">
        <f t="shared" si="23"/>
        <v/>
      </c>
      <c r="CX55">
        <v>5</v>
      </c>
      <c r="DD55">
        <v>3</v>
      </c>
      <c r="DJ55" s="14" t="s">
        <v>118</v>
      </c>
      <c r="DR55">
        <v>3200043</v>
      </c>
      <c r="DS55" s="14" t="s">
        <v>118</v>
      </c>
    </row>
    <row r="56" spans="1:123" x14ac:dyDescent="0.15">
      <c r="A56">
        <v>53</v>
      </c>
      <c r="B56" s="16" t="s">
        <v>390</v>
      </c>
      <c r="C56" s="7" t="s">
        <v>179</v>
      </c>
      <c r="D56" s="1">
        <v>105</v>
      </c>
      <c r="E56">
        <v>1</v>
      </c>
      <c r="F56">
        <f t="shared" si="17"/>
        <v>5003</v>
      </c>
      <c r="H56">
        <v>3</v>
      </c>
      <c r="AL56">
        <v>54</v>
      </c>
      <c r="AM56">
        <f t="shared" si="26"/>
        <v>10</v>
      </c>
      <c r="CK56">
        <v>53</v>
      </c>
      <c r="CL56" s="13" t="b">
        <f t="shared" si="18"/>
        <v>1</v>
      </c>
      <c r="CM56" s="13" t="str">
        <f t="shared" si="28"/>
        <v/>
      </c>
      <c r="CN56" s="13" t="str">
        <f t="shared" si="28"/>
        <v/>
      </c>
      <c r="CO56" s="13" t="str">
        <f t="shared" si="28"/>
        <v/>
      </c>
      <c r="CP56" s="13" t="str">
        <f t="shared" si="28"/>
        <v/>
      </c>
      <c r="CQ56" s="13" t="str">
        <f t="shared" si="28"/>
        <v/>
      </c>
      <c r="CR56" t="str">
        <f t="shared" si="19"/>
        <v>3500053</v>
      </c>
      <c r="CS56" t="str">
        <f t="shared" si="29"/>
        <v/>
      </c>
      <c r="CT56" t="str">
        <f t="shared" si="20"/>
        <v/>
      </c>
      <c r="CU56" t="str">
        <f t="shared" si="21"/>
        <v/>
      </c>
      <c r="CV56" t="str">
        <f t="shared" si="22"/>
        <v/>
      </c>
      <c r="CW56" t="str">
        <f t="shared" si="23"/>
        <v/>
      </c>
      <c r="CX56">
        <v>5</v>
      </c>
      <c r="DD56">
        <v>3</v>
      </c>
      <c r="DJ56" s="14" t="s">
        <v>139</v>
      </c>
      <c r="DR56">
        <v>3201043</v>
      </c>
      <c r="DS56" s="14" t="s">
        <v>121</v>
      </c>
    </row>
    <row r="57" spans="1:123" x14ac:dyDescent="0.15">
      <c r="A57">
        <v>54</v>
      </c>
      <c r="B57" s="16" t="s">
        <v>387</v>
      </c>
      <c r="C57" s="7" t="s">
        <v>180</v>
      </c>
      <c r="D57" s="1">
        <v>107</v>
      </c>
      <c r="E57">
        <v>1</v>
      </c>
      <c r="F57">
        <f t="shared" si="17"/>
        <v>5002</v>
      </c>
      <c r="H57">
        <v>2</v>
      </c>
      <c r="AL57">
        <v>55</v>
      </c>
      <c r="AM57">
        <f t="shared" si="26"/>
        <v>10</v>
      </c>
      <c r="CK57">
        <v>54</v>
      </c>
      <c r="CL57" s="13" t="b">
        <f t="shared" si="18"/>
        <v>1</v>
      </c>
      <c r="CM57" s="13" t="str">
        <f t="shared" si="28"/>
        <v/>
      </c>
      <c r="CN57" s="13" t="str">
        <f t="shared" si="28"/>
        <v/>
      </c>
      <c r="CO57" s="13" t="str">
        <f t="shared" si="28"/>
        <v/>
      </c>
      <c r="CP57" s="13" t="str">
        <f t="shared" si="28"/>
        <v/>
      </c>
      <c r="CQ57" s="13" t="str">
        <f t="shared" si="28"/>
        <v/>
      </c>
      <c r="CR57" t="str">
        <f t="shared" si="19"/>
        <v>3200051</v>
      </c>
      <c r="CS57" t="str">
        <f t="shared" si="29"/>
        <v/>
      </c>
      <c r="CT57" t="str">
        <f t="shared" si="20"/>
        <v/>
      </c>
      <c r="CU57" t="str">
        <f t="shared" si="21"/>
        <v/>
      </c>
      <c r="CV57" t="str">
        <f t="shared" si="22"/>
        <v/>
      </c>
      <c r="CW57" t="str">
        <f t="shared" si="23"/>
        <v/>
      </c>
      <c r="CX57">
        <v>5</v>
      </c>
      <c r="DD57">
        <v>3</v>
      </c>
      <c r="DJ57" s="14" t="s">
        <v>62</v>
      </c>
      <c r="DR57">
        <v>3202043</v>
      </c>
      <c r="DS57" s="14" t="s">
        <v>124</v>
      </c>
    </row>
    <row r="58" spans="1:123" x14ac:dyDescent="0.15">
      <c r="A58">
        <v>55</v>
      </c>
      <c r="B58" s="16" t="s">
        <v>416</v>
      </c>
      <c r="C58" s="7" t="s">
        <v>181</v>
      </c>
      <c r="D58" s="1">
        <v>109</v>
      </c>
      <c r="E58">
        <v>1</v>
      </c>
      <c r="F58">
        <f t="shared" si="17"/>
        <v>5005</v>
      </c>
      <c r="H58">
        <v>5</v>
      </c>
      <c r="AL58">
        <v>56</v>
      </c>
      <c r="AM58">
        <f t="shared" si="26"/>
        <v>10</v>
      </c>
      <c r="CK58">
        <v>55</v>
      </c>
      <c r="CL58" s="13" t="b">
        <f t="shared" si="18"/>
        <v>1</v>
      </c>
      <c r="CM58" s="13" t="str">
        <f t="shared" si="28"/>
        <v/>
      </c>
      <c r="CN58" s="13" t="str">
        <f t="shared" si="28"/>
        <v/>
      </c>
      <c r="CO58" s="13" t="str">
        <f t="shared" si="28"/>
        <v/>
      </c>
      <c r="CP58" s="13" t="str">
        <f t="shared" si="28"/>
        <v/>
      </c>
      <c r="CQ58" s="13" t="str">
        <f t="shared" si="28"/>
        <v/>
      </c>
      <c r="CR58" t="str">
        <f t="shared" si="19"/>
        <v>3400055</v>
      </c>
      <c r="CS58" t="str">
        <f t="shared" si="29"/>
        <v/>
      </c>
      <c r="CT58" t="str">
        <f t="shared" si="20"/>
        <v/>
      </c>
      <c r="CU58" t="str">
        <f t="shared" si="21"/>
        <v/>
      </c>
      <c r="CV58" t="str">
        <f t="shared" si="22"/>
        <v/>
      </c>
      <c r="CW58" t="str">
        <f t="shared" si="23"/>
        <v/>
      </c>
      <c r="CX58">
        <v>5</v>
      </c>
      <c r="DD58">
        <v>3</v>
      </c>
      <c r="DJ58" s="14" t="s">
        <v>159</v>
      </c>
      <c r="DR58">
        <v>3301043</v>
      </c>
      <c r="DS58" s="14" t="s">
        <v>126</v>
      </c>
    </row>
    <row r="59" spans="1:123" x14ac:dyDescent="0.15">
      <c r="A59">
        <v>56</v>
      </c>
      <c r="B59" s="16" t="s">
        <v>391</v>
      </c>
      <c r="C59" s="7" t="s">
        <v>182</v>
      </c>
      <c r="D59" s="1">
        <v>111</v>
      </c>
      <c r="E59">
        <v>1</v>
      </c>
      <c r="F59">
        <f t="shared" si="17"/>
        <v>5004</v>
      </c>
      <c r="H59">
        <v>4</v>
      </c>
      <c r="AL59">
        <v>57</v>
      </c>
      <c r="AM59">
        <f t="shared" si="26"/>
        <v>10</v>
      </c>
      <c r="CK59">
        <v>56</v>
      </c>
      <c r="CL59" s="13" t="b">
        <f t="shared" si="18"/>
        <v>1</v>
      </c>
      <c r="CM59" s="13" t="str">
        <f t="shared" si="28"/>
        <v/>
      </c>
      <c r="CN59" s="13" t="str">
        <f t="shared" si="28"/>
        <v/>
      </c>
      <c r="CO59" s="13" t="str">
        <f t="shared" si="28"/>
        <v/>
      </c>
      <c r="CP59" s="13" t="str">
        <f t="shared" si="28"/>
        <v/>
      </c>
      <c r="CQ59" s="13" t="str">
        <f t="shared" si="28"/>
        <v/>
      </c>
      <c r="CR59" t="str">
        <f t="shared" si="19"/>
        <v>3601052</v>
      </c>
      <c r="CS59" t="str">
        <f t="shared" si="29"/>
        <v/>
      </c>
      <c r="CT59" t="str">
        <f t="shared" si="20"/>
        <v/>
      </c>
      <c r="CU59" t="str">
        <f t="shared" si="21"/>
        <v/>
      </c>
      <c r="CV59" t="str">
        <f t="shared" si="22"/>
        <v/>
      </c>
      <c r="CW59" t="str">
        <f t="shared" si="23"/>
        <v/>
      </c>
      <c r="CX59">
        <v>5</v>
      </c>
      <c r="DD59">
        <v>3</v>
      </c>
      <c r="DJ59" s="14" t="s">
        <v>114</v>
      </c>
      <c r="DR59">
        <v>3401043</v>
      </c>
      <c r="DS59" s="14" t="s">
        <v>130</v>
      </c>
    </row>
    <row r="60" spans="1:123" x14ac:dyDescent="0.15">
      <c r="A60">
        <v>57</v>
      </c>
      <c r="B60" s="16" t="s">
        <v>389</v>
      </c>
      <c r="C60" s="7" t="s">
        <v>183</v>
      </c>
      <c r="D60" s="1">
        <v>113</v>
      </c>
      <c r="E60">
        <v>1</v>
      </c>
      <c r="F60">
        <f t="shared" si="17"/>
        <v>5003</v>
      </c>
      <c r="H60">
        <v>3</v>
      </c>
      <c r="AL60">
        <v>58</v>
      </c>
      <c r="AM60">
        <f t="shared" si="26"/>
        <v>10</v>
      </c>
      <c r="CK60">
        <v>57</v>
      </c>
      <c r="CL60" s="13" t="b">
        <f t="shared" si="18"/>
        <v>1</v>
      </c>
      <c r="CM60" s="13" t="str">
        <f t="shared" si="28"/>
        <v/>
      </c>
      <c r="CN60" s="13" t="str">
        <f t="shared" si="28"/>
        <v/>
      </c>
      <c r="CO60" s="13" t="str">
        <f t="shared" si="28"/>
        <v/>
      </c>
      <c r="CP60" s="13" t="str">
        <f t="shared" si="28"/>
        <v/>
      </c>
      <c r="CQ60" s="13" t="str">
        <f t="shared" si="28"/>
        <v/>
      </c>
      <c r="CR60" t="str">
        <f t="shared" si="19"/>
        <v>3301052</v>
      </c>
      <c r="CS60" t="str">
        <f t="shared" si="29"/>
        <v/>
      </c>
      <c r="CT60" t="str">
        <f t="shared" si="20"/>
        <v/>
      </c>
      <c r="CU60" t="str">
        <f t="shared" si="21"/>
        <v/>
      </c>
      <c r="CV60" t="str">
        <f t="shared" si="22"/>
        <v/>
      </c>
      <c r="CW60" t="str">
        <f t="shared" si="23"/>
        <v/>
      </c>
      <c r="CX60">
        <v>5</v>
      </c>
      <c r="DD60">
        <v>3</v>
      </c>
      <c r="DJ60" s="14" t="s">
        <v>98</v>
      </c>
      <c r="DR60">
        <v>3402043</v>
      </c>
      <c r="DS60" s="14" t="s">
        <v>135</v>
      </c>
    </row>
    <row r="61" spans="1:123" x14ac:dyDescent="0.15">
      <c r="A61">
        <v>58</v>
      </c>
      <c r="B61" s="16" t="s">
        <v>386</v>
      </c>
      <c r="C61" s="7" t="s">
        <v>184</v>
      </c>
      <c r="D61" s="1">
        <v>115</v>
      </c>
      <c r="E61">
        <v>1</v>
      </c>
      <c r="F61">
        <f t="shared" si="17"/>
        <v>5002</v>
      </c>
      <c r="H61">
        <v>2</v>
      </c>
      <c r="AL61">
        <v>59</v>
      </c>
      <c r="AM61">
        <f t="shared" si="26"/>
        <v>10</v>
      </c>
      <c r="CK61">
        <v>58</v>
      </c>
      <c r="CL61" s="13" t="b">
        <f t="shared" si="18"/>
        <v>1</v>
      </c>
      <c r="CM61" s="13" t="str">
        <f t="shared" si="28"/>
        <v/>
      </c>
      <c r="CN61" s="13" t="str">
        <f t="shared" si="28"/>
        <v/>
      </c>
      <c r="CO61" s="13" t="str">
        <f t="shared" si="28"/>
        <v/>
      </c>
      <c r="CP61" s="13" t="str">
        <f t="shared" si="28"/>
        <v/>
      </c>
      <c r="CQ61" s="13" t="str">
        <f t="shared" si="28"/>
        <v/>
      </c>
      <c r="CR61" t="str">
        <f t="shared" si="19"/>
        <v>3200053</v>
      </c>
      <c r="CS61" t="str">
        <f t="shared" si="29"/>
        <v/>
      </c>
      <c r="CT61" t="str">
        <f t="shared" si="20"/>
        <v/>
      </c>
      <c r="CU61" t="str">
        <f t="shared" si="21"/>
        <v/>
      </c>
      <c r="CV61" t="str">
        <f t="shared" si="22"/>
        <v/>
      </c>
      <c r="CW61" t="str">
        <f t="shared" si="23"/>
        <v/>
      </c>
      <c r="CX61">
        <v>5</v>
      </c>
      <c r="DD61">
        <v>3</v>
      </c>
      <c r="DJ61" s="14" t="s">
        <v>118</v>
      </c>
      <c r="DR61">
        <v>3500043</v>
      </c>
      <c r="DS61" s="14" t="s">
        <v>139</v>
      </c>
    </row>
    <row r="62" spans="1:123" x14ac:dyDescent="0.15">
      <c r="A62">
        <v>59</v>
      </c>
      <c r="B62" s="16" t="s">
        <v>392</v>
      </c>
      <c r="C62" s="7" t="s">
        <v>185</v>
      </c>
      <c r="D62" s="1">
        <v>117</v>
      </c>
      <c r="E62">
        <v>1</v>
      </c>
      <c r="F62">
        <f t="shared" si="17"/>
        <v>5005</v>
      </c>
      <c r="H62">
        <v>5</v>
      </c>
      <c r="AL62">
        <v>60</v>
      </c>
      <c r="AM62">
        <f t="shared" si="26"/>
        <v>10</v>
      </c>
      <c r="CK62">
        <v>59</v>
      </c>
      <c r="CL62" s="13" t="b">
        <f t="shared" si="18"/>
        <v>1</v>
      </c>
      <c r="CM62" s="13" t="str">
        <f t="shared" si="28"/>
        <v/>
      </c>
      <c r="CN62" s="13" t="str">
        <f t="shared" si="28"/>
        <v/>
      </c>
      <c r="CO62" s="13" t="str">
        <f t="shared" si="28"/>
        <v/>
      </c>
      <c r="CP62" s="13" t="str">
        <f t="shared" si="28"/>
        <v/>
      </c>
      <c r="CQ62" s="13" t="str">
        <f t="shared" si="28"/>
        <v/>
      </c>
      <c r="CR62" t="str">
        <f t="shared" si="19"/>
        <v>3201053</v>
      </c>
      <c r="CS62" t="str">
        <f t="shared" si="29"/>
        <v/>
      </c>
      <c r="CT62" t="str">
        <f t="shared" si="20"/>
        <v/>
      </c>
      <c r="CU62" t="str">
        <f t="shared" si="21"/>
        <v/>
      </c>
      <c r="CV62" t="str">
        <f t="shared" si="22"/>
        <v/>
      </c>
      <c r="CW62" t="str">
        <f t="shared" si="23"/>
        <v/>
      </c>
      <c r="CX62">
        <v>5</v>
      </c>
      <c r="DD62">
        <v>3</v>
      </c>
      <c r="DJ62" s="14" t="s">
        <v>121</v>
      </c>
      <c r="DR62">
        <v>3502043</v>
      </c>
      <c r="DS62" s="14" t="s">
        <v>141</v>
      </c>
    </row>
    <row r="63" spans="1:123" x14ac:dyDescent="0.15">
      <c r="A63">
        <v>60</v>
      </c>
      <c r="B63" s="16" t="s">
        <v>417</v>
      </c>
      <c r="C63" s="7" t="s">
        <v>186</v>
      </c>
      <c r="D63" s="1">
        <v>119</v>
      </c>
      <c r="E63">
        <v>1</v>
      </c>
      <c r="F63">
        <f t="shared" si="17"/>
        <v>5004</v>
      </c>
      <c r="H63">
        <v>4</v>
      </c>
      <c r="AL63">
        <v>61</v>
      </c>
      <c r="AM63">
        <f t="shared" si="26"/>
        <v>11</v>
      </c>
      <c r="CK63">
        <v>60</v>
      </c>
      <c r="CL63" s="13" t="b">
        <f t="shared" si="18"/>
        <v>1</v>
      </c>
      <c r="CM63" s="13" t="str">
        <f t="shared" si="28"/>
        <v/>
      </c>
      <c r="CN63" s="13" t="str">
        <f t="shared" si="28"/>
        <v/>
      </c>
      <c r="CO63" s="13" t="str">
        <f t="shared" si="28"/>
        <v/>
      </c>
      <c r="CP63" s="13" t="str">
        <f t="shared" si="28"/>
        <v/>
      </c>
      <c r="CQ63" s="13" t="str">
        <f t="shared" si="28"/>
        <v/>
      </c>
      <c r="CR63" t="str">
        <f t="shared" si="19"/>
        <v>3501054</v>
      </c>
      <c r="CS63" t="str">
        <f t="shared" si="29"/>
        <v/>
      </c>
      <c r="CT63" t="str">
        <f t="shared" si="20"/>
        <v/>
      </c>
      <c r="CU63" t="str">
        <f t="shared" si="21"/>
        <v/>
      </c>
      <c r="CV63" t="str">
        <f t="shared" si="22"/>
        <v/>
      </c>
      <c r="CW63" t="str">
        <f t="shared" si="23"/>
        <v/>
      </c>
      <c r="CX63">
        <v>5</v>
      </c>
      <c r="DD63">
        <v>3</v>
      </c>
      <c r="DJ63" s="14" t="s">
        <v>145</v>
      </c>
      <c r="DR63">
        <v>3601043</v>
      </c>
      <c r="DS63" s="14" t="s">
        <v>143</v>
      </c>
    </row>
    <row r="64" spans="1:123" x14ac:dyDescent="0.15">
      <c r="A64">
        <v>61</v>
      </c>
      <c r="B64" s="16" t="s">
        <v>393</v>
      </c>
      <c r="C64" s="7" t="s">
        <v>187</v>
      </c>
      <c r="D64" s="1">
        <v>121</v>
      </c>
      <c r="E64">
        <v>1</v>
      </c>
      <c r="F64">
        <f t="shared" si="17"/>
        <v>5003</v>
      </c>
      <c r="H64">
        <v>3</v>
      </c>
      <c r="AL64">
        <v>62</v>
      </c>
      <c r="AM64">
        <f t="shared" si="26"/>
        <v>11</v>
      </c>
      <c r="CK64">
        <v>61</v>
      </c>
      <c r="CL64" s="13" t="b">
        <f t="shared" si="18"/>
        <v>1</v>
      </c>
      <c r="CM64" s="13" t="str">
        <f t="shared" si="28"/>
        <v/>
      </c>
      <c r="CN64" s="13" t="str">
        <f t="shared" si="28"/>
        <v/>
      </c>
      <c r="CO64" s="13" t="str">
        <f t="shared" si="28"/>
        <v/>
      </c>
      <c r="CP64" s="13" t="str">
        <f t="shared" si="28"/>
        <v/>
      </c>
      <c r="CQ64" s="13" t="str">
        <f t="shared" si="28"/>
        <v/>
      </c>
      <c r="CR64" t="str">
        <f t="shared" si="19"/>
        <v>3201061</v>
      </c>
      <c r="CS64" t="str">
        <f t="shared" si="29"/>
        <v/>
      </c>
      <c r="CT64" t="str">
        <f t="shared" si="20"/>
        <v/>
      </c>
      <c r="CU64" t="str">
        <f t="shared" si="21"/>
        <v/>
      </c>
      <c r="CV64" t="str">
        <f t="shared" si="22"/>
        <v/>
      </c>
      <c r="CW64" t="str">
        <f t="shared" si="23"/>
        <v/>
      </c>
      <c r="CX64">
        <v>6</v>
      </c>
      <c r="DD64">
        <v>3</v>
      </c>
      <c r="DJ64" s="14" t="s">
        <v>65</v>
      </c>
      <c r="DR64">
        <v>3501044</v>
      </c>
      <c r="DS64" s="14" t="s">
        <v>145</v>
      </c>
    </row>
    <row r="65" spans="1:123" x14ac:dyDescent="0.15">
      <c r="A65">
        <v>62</v>
      </c>
      <c r="B65" s="16" t="s">
        <v>394</v>
      </c>
      <c r="C65" s="7" t="s">
        <v>188</v>
      </c>
      <c r="D65" s="1">
        <v>123</v>
      </c>
      <c r="E65">
        <v>1</v>
      </c>
      <c r="F65">
        <f t="shared" si="17"/>
        <v>5002</v>
      </c>
      <c r="H65">
        <v>2</v>
      </c>
      <c r="AL65">
        <v>63</v>
      </c>
      <c r="AM65">
        <f t="shared" si="26"/>
        <v>11</v>
      </c>
      <c r="CK65">
        <v>62</v>
      </c>
      <c r="CL65" s="13" t="b">
        <f t="shared" si="18"/>
        <v>1</v>
      </c>
      <c r="CM65" s="13" t="str">
        <f t="shared" si="28"/>
        <v/>
      </c>
      <c r="CN65" s="13" t="str">
        <f t="shared" si="28"/>
        <v/>
      </c>
      <c r="CO65" s="13" t="str">
        <f t="shared" si="28"/>
        <v/>
      </c>
      <c r="CP65" s="13" t="str">
        <f t="shared" si="28"/>
        <v/>
      </c>
      <c r="CQ65" s="13" t="str">
        <f t="shared" si="28"/>
        <v/>
      </c>
      <c r="CR65" t="str">
        <f t="shared" si="19"/>
        <v>3201061</v>
      </c>
      <c r="CS65" t="str">
        <f t="shared" si="29"/>
        <v/>
      </c>
      <c r="CT65" t="str">
        <f t="shared" si="20"/>
        <v/>
      </c>
      <c r="CU65" t="str">
        <f t="shared" si="21"/>
        <v/>
      </c>
      <c r="CV65" t="str">
        <f t="shared" si="22"/>
        <v/>
      </c>
      <c r="CW65" t="str">
        <f t="shared" si="23"/>
        <v/>
      </c>
      <c r="CX65">
        <v>6</v>
      </c>
      <c r="DD65">
        <v>3</v>
      </c>
      <c r="DJ65" s="14" t="s">
        <v>65</v>
      </c>
      <c r="DR65">
        <v>3600044</v>
      </c>
      <c r="DS65" s="14" t="s">
        <v>148</v>
      </c>
    </row>
    <row r="66" spans="1:123" x14ac:dyDescent="0.15">
      <c r="A66">
        <v>63</v>
      </c>
      <c r="B66" s="6" t="s">
        <v>189</v>
      </c>
      <c r="C66" s="7" t="s">
        <v>190</v>
      </c>
      <c r="D66" s="1">
        <v>125</v>
      </c>
      <c r="E66">
        <v>1</v>
      </c>
      <c r="F66">
        <f t="shared" si="17"/>
        <v>5005</v>
      </c>
      <c r="H66">
        <v>5</v>
      </c>
      <c r="AL66">
        <v>64</v>
      </c>
      <c r="AM66">
        <f t="shared" si="26"/>
        <v>11</v>
      </c>
      <c r="CK66">
        <v>63</v>
      </c>
      <c r="CL66" s="13" t="b">
        <f t="shared" si="18"/>
        <v>1</v>
      </c>
      <c r="CM66" s="13" t="str">
        <f t="shared" si="28"/>
        <v/>
      </c>
      <c r="CN66" s="13" t="str">
        <f t="shared" si="28"/>
        <v/>
      </c>
      <c r="CO66" s="13" t="str">
        <f t="shared" si="28"/>
        <v/>
      </c>
      <c r="CP66" s="13" t="str">
        <f t="shared" si="28"/>
        <v/>
      </c>
      <c r="CQ66" s="13" t="str">
        <f t="shared" si="28"/>
        <v/>
      </c>
      <c r="CR66" t="str">
        <f t="shared" si="19"/>
        <v>3301061</v>
      </c>
      <c r="CS66" t="str">
        <f t="shared" si="29"/>
        <v/>
      </c>
      <c r="CT66" t="str">
        <f t="shared" si="20"/>
        <v/>
      </c>
      <c r="CU66" t="str">
        <f t="shared" si="21"/>
        <v/>
      </c>
      <c r="CV66" t="str">
        <f t="shared" si="22"/>
        <v/>
      </c>
      <c r="CW66" t="str">
        <f t="shared" si="23"/>
        <v/>
      </c>
      <c r="CX66">
        <v>6</v>
      </c>
      <c r="DD66">
        <v>3</v>
      </c>
      <c r="DJ66" s="14" t="s">
        <v>71</v>
      </c>
      <c r="DR66">
        <v>3602044</v>
      </c>
      <c r="DS66" s="14" t="s">
        <v>150</v>
      </c>
    </row>
    <row r="67" spans="1:123" x14ac:dyDescent="0.15">
      <c r="A67">
        <v>64</v>
      </c>
      <c r="B67" s="6" t="s">
        <v>189</v>
      </c>
      <c r="C67" s="7" t="s">
        <v>191</v>
      </c>
      <c r="D67" s="1">
        <v>127</v>
      </c>
      <c r="E67">
        <v>1</v>
      </c>
      <c r="F67">
        <f t="shared" si="17"/>
        <v>5004</v>
      </c>
      <c r="H67">
        <v>4</v>
      </c>
      <c r="AL67">
        <v>65</v>
      </c>
      <c r="AM67">
        <f t="shared" si="26"/>
        <v>11</v>
      </c>
      <c r="CK67">
        <v>64</v>
      </c>
      <c r="CL67" s="13" t="b">
        <f t="shared" si="18"/>
        <v>1</v>
      </c>
      <c r="CM67" s="13" t="str">
        <f t="shared" si="28"/>
        <v/>
      </c>
      <c r="CN67" s="13" t="str">
        <f t="shared" si="28"/>
        <v/>
      </c>
      <c r="CO67" s="13" t="str">
        <f t="shared" si="28"/>
        <v/>
      </c>
      <c r="CP67" s="13" t="str">
        <f t="shared" si="28"/>
        <v/>
      </c>
      <c r="CQ67" s="13" t="str">
        <f t="shared" si="28"/>
        <v/>
      </c>
      <c r="CR67" t="str">
        <f t="shared" si="19"/>
        <v>3301061</v>
      </c>
      <c r="CS67" t="str">
        <f t="shared" si="29"/>
        <v/>
      </c>
      <c r="CT67" t="str">
        <f t="shared" si="20"/>
        <v/>
      </c>
      <c r="CU67" t="str">
        <f t="shared" si="21"/>
        <v/>
      </c>
      <c r="CV67" t="str">
        <f t="shared" si="22"/>
        <v/>
      </c>
      <c r="CW67" t="str">
        <f t="shared" si="23"/>
        <v/>
      </c>
      <c r="CX67">
        <v>6</v>
      </c>
      <c r="DD67">
        <v>3</v>
      </c>
      <c r="DJ67" s="14" t="s">
        <v>71</v>
      </c>
      <c r="DR67">
        <v>3300045</v>
      </c>
      <c r="DS67" s="14" t="s">
        <v>153</v>
      </c>
    </row>
    <row r="68" spans="1:123" x14ac:dyDescent="0.15">
      <c r="A68">
        <v>65</v>
      </c>
      <c r="B68" s="6" t="s">
        <v>192</v>
      </c>
      <c r="C68" s="7" t="s">
        <v>193</v>
      </c>
      <c r="D68" s="1">
        <v>129</v>
      </c>
      <c r="E68">
        <v>1</v>
      </c>
      <c r="F68">
        <f t="shared" si="17"/>
        <v>5003</v>
      </c>
      <c r="H68">
        <v>3</v>
      </c>
      <c r="AL68">
        <v>66</v>
      </c>
      <c r="AM68">
        <f t="shared" ref="AM68:AM131" si="30">_xlfn.CEILING.MATH(AL68/10)+4</f>
        <v>11</v>
      </c>
      <c r="CK68">
        <v>65</v>
      </c>
      <c r="CL68" s="13" t="b">
        <f t="shared" si="18"/>
        <v>1</v>
      </c>
      <c r="CM68" s="13" t="str">
        <f t="shared" si="28"/>
        <v/>
      </c>
      <c r="CN68" s="13" t="str">
        <f t="shared" si="28"/>
        <v/>
      </c>
      <c r="CO68" s="13" t="str">
        <f t="shared" si="28"/>
        <v/>
      </c>
      <c r="CP68" s="13" t="str">
        <f t="shared" si="28"/>
        <v/>
      </c>
      <c r="CQ68" s="13" t="str">
        <f t="shared" si="28"/>
        <v/>
      </c>
      <c r="CR68" t="str">
        <f t="shared" si="19"/>
        <v>3201062</v>
      </c>
      <c r="CS68" t="str">
        <f t="shared" si="29"/>
        <v/>
      </c>
      <c r="CT68" t="str">
        <f t="shared" si="20"/>
        <v/>
      </c>
      <c r="CU68" t="str">
        <f t="shared" si="21"/>
        <v/>
      </c>
      <c r="CV68" t="str">
        <f t="shared" si="22"/>
        <v/>
      </c>
      <c r="CW68" t="str">
        <f t="shared" si="23"/>
        <v/>
      </c>
      <c r="CX68">
        <v>6</v>
      </c>
      <c r="DD68">
        <v>3</v>
      </c>
      <c r="DJ68" s="14" t="s">
        <v>92</v>
      </c>
      <c r="DR68">
        <v>3302045</v>
      </c>
      <c r="DS68" s="14" t="s">
        <v>156</v>
      </c>
    </row>
    <row r="69" spans="1:123" x14ac:dyDescent="0.15">
      <c r="A69">
        <v>66</v>
      </c>
      <c r="B69" s="16" t="s">
        <v>395</v>
      </c>
      <c r="C69" s="7" t="s">
        <v>194</v>
      </c>
      <c r="D69" s="1">
        <v>131</v>
      </c>
      <c r="E69">
        <v>1</v>
      </c>
      <c r="F69">
        <f t="shared" ref="F69:F118" si="31">H69+5000</f>
        <v>5002</v>
      </c>
      <c r="H69">
        <v>2</v>
      </c>
      <c r="AL69">
        <v>67</v>
      </c>
      <c r="AM69">
        <f t="shared" si="30"/>
        <v>11</v>
      </c>
      <c r="CK69">
        <v>66</v>
      </c>
      <c r="CL69" s="13" t="b">
        <f t="shared" ref="CL69:CL132" si="32">IF(DJ69&lt;&gt;"",IF(ISERROR(MATCH(INT(CR69),$DR$4:$DR$1516,0))=FALSE,TRUE),"")</f>
        <v>1</v>
      </c>
      <c r="CM69" s="13" t="str">
        <f t="shared" si="28"/>
        <v/>
      </c>
      <c r="CN69" s="13" t="str">
        <f t="shared" si="28"/>
        <v/>
      </c>
      <c r="CO69" s="13" t="str">
        <f t="shared" si="28"/>
        <v/>
      </c>
      <c r="CP69" s="13" t="str">
        <f t="shared" si="28"/>
        <v/>
      </c>
      <c r="CQ69" s="13" t="str">
        <f t="shared" si="28"/>
        <v/>
      </c>
      <c r="CR69" t="str">
        <f t="shared" ref="CR69:CR132" si="33">IF(DJ69&lt;&gt;"",REPLACE(REPLACE(INDEX($DR$4:$DR$1516,MATCH(DJ69,$DS$4:$DS$1516,0)),6,1,CX69),1,1,DD69),"")</f>
        <v>3200062</v>
      </c>
      <c r="CS69" t="str">
        <f t="shared" ref="CS69:CS132" si="34">IF(DK69&lt;&gt;"",REPLACE(REPLACE(INDEX($DR$4:$DR$1516,MATCH(DK69,$DS$4:$DS$1516,0)),6,1,CY69),1,1,DE69),"")</f>
        <v/>
      </c>
      <c r="CT69" t="str">
        <f t="shared" ref="CT69:CT132" si="35">IF(DL69&lt;&gt;"",REPLACE(REPLACE(INDEX($DR$4:$DR$1516,MATCH(DL69,$DS$4:$DS$1516,0)),6,1,CZ69),1,1,DF69),"")</f>
        <v/>
      </c>
      <c r="CU69" t="str">
        <f t="shared" ref="CU69:CU132" si="36">IF(DM69&lt;&gt;"",REPLACE(REPLACE(INDEX($DR$4:$DR$1516,MATCH(DM69,$DS$4:$DS$1516,0)),6,1,DA69),1,1,DG69),"")</f>
        <v/>
      </c>
      <c r="CV69" t="str">
        <f t="shared" ref="CV69:CV132" si="37">IF(DN69&lt;&gt;"",REPLACE(REPLACE(INDEX($DR$4:$DR$1516,MATCH(DN69,$DS$4:$DS$1516,0)),6,1,DB69),1,1,DH69),"")</f>
        <v/>
      </c>
      <c r="CW69" t="str">
        <f t="shared" ref="CW69:CW132" si="38">IF(DO69&lt;&gt;"",REPLACE(REPLACE(INDEX($DR$4:$DR$1516,MATCH(DO69,$DS$4:$DS$1516,0)),6,1,DC69),1,1,DI69),"")</f>
        <v/>
      </c>
      <c r="CX69">
        <v>6</v>
      </c>
      <c r="DD69">
        <v>3</v>
      </c>
      <c r="DJ69" s="14" t="s">
        <v>88</v>
      </c>
      <c r="DR69">
        <v>3400045</v>
      </c>
      <c r="DS69" s="14" t="s">
        <v>159</v>
      </c>
    </row>
    <row r="70" spans="1:123" x14ac:dyDescent="0.15">
      <c r="A70">
        <v>67</v>
      </c>
      <c r="B70" s="16" t="s">
        <v>396</v>
      </c>
      <c r="C70" s="7" t="s">
        <v>195</v>
      </c>
      <c r="D70" s="1">
        <v>133</v>
      </c>
      <c r="E70">
        <v>1</v>
      </c>
      <c r="F70">
        <f t="shared" si="31"/>
        <v>5005</v>
      </c>
      <c r="H70">
        <v>5</v>
      </c>
      <c r="AL70">
        <v>68</v>
      </c>
      <c r="AM70">
        <f t="shared" si="30"/>
        <v>11</v>
      </c>
      <c r="CK70">
        <v>67</v>
      </c>
      <c r="CL70" s="13" t="b">
        <f t="shared" si="32"/>
        <v>1</v>
      </c>
      <c r="CM70" s="13" t="str">
        <f t="shared" si="28"/>
        <v/>
      </c>
      <c r="CN70" s="13" t="str">
        <f t="shared" si="28"/>
        <v/>
      </c>
      <c r="CO70" s="13" t="str">
        <f t="shared" si="28"/>
        <v/>
      </c>
      <c r="CP70" s="13" t="str">
        <f t="shared" si="28"/>
        <v/>
      </c>
      <c r="CQ70" s="13" t="str">
        <f t="shared" si="28"/>
        <v/>
      </c>
      <c r="CR70" t="str">
        <f t="shared" si="33"/>
        <v>3502061</v>
      </c>
      <c r="CS70" t="str">
        <f t="shared" si="34"/>
        <v/>
      </c>
      <c r="CT70" t="str">
        <f t="shared" si="35"/>
        <v/>
      </c>
      <c r="CU70" t="str">
        <f t="shared" si="36"/>
        <v/>
      </c>
      <c r="CV70" t="str">
        <f t="shared" si="37"/>
        <v/>
      </c>
      <c r="CW70" t="str">
        <f t="shared" si="38"/>
        <v/>
      </c>
      <c r="CX70">
        <v>6</v>
      </c>
      <c r="DD70">
        <v>3</v>
      </c>
      <c r="DJ70" s="14" t="s">
        <v>81</v>
      </c>
      <c r="DR70">
        <v>3200051</v>
      </c>
      <c r="DS70" s="14" t="s">
        <v>62</v>
      </c>
    </row>
    <row r="71" spans="1:123" x14ac:dyDescent="0.15">
      <c r="A71">
        <v>68</v>
      </c>
      <c r="B71" s="16" t="s">
        <v>394</v>
      </c>
      <c r="C71" s="7" t="s">
        <v>196</v>
      </c>
      <c r="D71" s="1">
        <v>135</v>
      </c>
      <c r="E71">
        <v>1</v>
      </c>
      <c r="F71">
        <f t="shared" si="31"/>
        <v>5004</v>
      </c>
      <c r="H71">
        <v>4</v>
      </c>
      <c r="AL71">
        <v>69</v>
      </c>
      <c r="AM71">
        <f t="shared" si="30"/>
        <v>11</v>
      </c>
      <c r="CK71">
        <v>68</v>
      </c>
      <c r="CL71" s="13" t="b">
        <f t="shared" si="32"/>
        <v>1</v>
      </c>
      <c r="CM71" s="13" t="str">
        <f t="shared" si="28"/>
        <v/>
      </c>
      <c r="CN71" s="13" t="str">
        <f t="shared" si="28"/>
        <v/>
      </c>
      <c r="CO71" s="13" t="str">
        <f t="shared" si="28"/>
        <v/>
      </c>
      <c r="CP71" s="13" t="str">
        <f t="shared" si="28"/>
        <v/>
      </c>
      <c r="CQ71" s="13" t="str">
        <f t="shared" si="28"/>
        <v/>
      </c>
      <c r="CR71" t="str">
        <f t="shared" si="33"/>
        <v>3202062</v>
      </c>
      <c r="CS71" t="str">
        <f t="shared" si="34"/>
        <v/>
      </c>
      <c r="CT71" t="str">
        <f t="shared" si="35"/>
        <v/>
      </c>
      <c r="CU71" t="str">
        <f t="shared" si="36"/>
        <v/>
      </c>
      <c r="CV71" t="str">
        <f t="shared" si="37"/>
        <v/>
      </c>
      <c r="CW71" t="str">
        <f t="shared" si="38"/>
        <v/>
      </c>
      <c r="CX71">
        <v>6</v>
      </c>
      <c r="DD71">
        <v>3</v>
      </c>
      <c r="DJ71" s="14" t="s">
        <v>95</v>
      </c>
      <c r="DR71">
        <v>3201051</v>
      </c>
      <c r="DS71" s="14" t="s">
        <v>65</v>
      </c>
    </row>
    <row r="72" spans="1:123" x14ac:dyDescent="0.15">
      <c r="A72">
        <v>69</v>
      </c>
      <c r="B72" s="16" t="s">
        <v>395</v>
      </c>
      <c r="C72" s="7" t="s">
        <v>197</v>
      </c>
      <c r="D72" s="1">
        <v>137</v>
      </c>
      <c r="E72">
        <v>1</v>
      </c>
      <c r="F72">
        <f t="shared" si="31"/>
        <v>5003</v>
      </c>
      <c r="H72">
        <v>3</v>
      </c>
      <c r="AL72">
        <v>70</v>
      </c>
      <c r="AM72">
        <f t="shared" si="30"/>
        <v>11</v>
      </c>
      <c r="CK72">
        <v>69</v>
      </c>
      <c r="CL72" s="13" t="b">
        <f t="shared" si="32"/>
        <v>1</v>
      </c>
      <c r="CM72" s="13" t="str">
        <f t="shared" si="28"/>
        <v/>
      </c>
      <c r="CN72" s="13" t="str">
        <f t="shared" si="28"/>
        <v/>
      </c>
      <c r="CO72" s="13" t="str">
        <f t="shared" si="28"/>
        <v/>
      </c>
      <c r="CP72" s="13" t="str">
        <f t="shared" si="28"/>
        <v/>
      </c>
      <c r="CQ72" s="13" t="str">
        <f t="shared" si="28"/>
        <v/>
      </c>
      <c r="CR72" t="str">
        <f t="shared" si="33"/>
        <v>3200062</v>
      </c>
      <c r="CS72" t="str">
        <f t="shared" si="34"/>
        <v/>
      </c>
      <c r="CT72" t="str">
        <f t="shared" si="35"/>
        <v/>
      </c>
      <c r="CU72" t="str">
        <f t="shared" si="36"/>
        <v/>
      </c>
      <c r="CV72" t="str">
        <f t="shared" si="37"/>
        <v/>
      </c>
      <c r="CW72" t="str">
        <f t="shared" si="38"/>
        <v/>
      </c>
      <c r="CX72">
        <v>6</v>
      </c>
      <c r="DD72">
        <v>3</v>
      </c>
      <c r="DJ72" s="14" t="s">
        <v>88</v>
      </c>
      <c r="DR72">
        <v>3202051</v>
      </c>
      <c r="DS72" s="14" t="s">
        <v>68</v>
      </c>
    </row>
    <row r="73" spans="1:123" x14ac:dyDescent="0.15">
      <c r="A73">
        <v>70</v>
      </c>
      <c r="B73" s="16" t="s">
        <v>393</v>
      </c>
      <c r="C73" s="7" t="s">
        <v>198</v>
      </c>
      <c r="D73" s="1">
        <v>139</v>
      </c>
      <c r="E73">
        <v>1</v>
      </c>
      <c r="F73">
        <f t="shared" si="31"/>
        <v>5002</v>
      </c>
      <c r="H73">
        <v>2</v>
      </c>
      <c r="AL73">
        <v>71</v>
      </c>
      <c r="AM73">
        <f t="shared" si="30"/>
        <v>12</v>
      </c>
      <c r="CK73">
        <v>70</v>
      </c>
      <c r="CL73" s="13" t="b">
        <f t="shared" si="32"/>
        <v>1</v>
      </c>
      <c r="CM73" s="13" t="str">
        <f t="shared" si="28"/>
        <v/>
      </c>
      <c r="CN73" s="13" t="str">
        <f t="shared" si="28"/>
        <v/>
      </c>
      <c r="CO73" s="13" t="str">
        <f t="shared" si="28"/>
        <v/>
      </c>
      <c r="CP73" s="13" t="str">
        <f t="shared" si="28"/>
        <v/>
      </c>
      <c r="CQ73" s="13" t="str">
        <f t="shared" si="28"/>
        <v/>
      </c>
      <c r="CR73" t="str">
        <f t="shared" si="33"/>
        <v>3201063</v>
      </c>
      <c r="CS73" t="str">
        <f t="shared" si="34"/>
        <v/>
      </c>
      <c r="CT73" t="str">
        <f t="shared" si="35"/>
        <v/>
      </c>
      <c r="CU73" t="str">
        <f t="shared" si="36"/>
        <v/>
      </c>
      <c r="CV73" t="str">
        <f t="shared" si="37"/>
        <v/>
      </c>
      <c r="CW73" t="str">
        <f t="shared" si="38"/>
        <v/>
      </c>
      <c r="CX73">
        <v>6</v>
      </c>
      <c r="DD73">
        <v>3</v>
      </c>
      <c r="DJ73" s="14" t="s">
        <v>121</v>
      </c>
      <c r="DR73">
        <v>3301051</v>
      </c>
      <c r="DS73" s="14" t="s">
        <v>71</v>
      </c>
    </row>
    <row r="74" spans="1:123" x14ac:dyDescent="0.15">
      <c r="A74">
        <v>71</v>
      </c>
      <c r="B74" s="16" t="s">
        <v>397</v>
      </c>
      <c r="C74" s="7" t="s">
        <v>199</v>
      </c>
      <c r="D74" s="1">
        <v>141</v>
      </c>
      <c r="E74">
        <v>1</v>
      </c>
      <c r="F74">
        <f t="shared" si="31"/>
        <v>5005</v>
      </c>
      <c r="H74">
        <v>5</v>
      </c>
      <c r="AL74">
        <v>72</v>
      </c>
      <c r="AM74">
        <f t="shared" si="30"/>
        <v>12</v>
      </c>
      <c r="CK74">
        <v>71</v>
      </c>
      <c r="CL74" s="13" t="b">
        <f t="shared" si="32"/>
        <v>1</v>
      </c>
      <c r="CM74" s="13" t="str">
        <f t="shared" si="28"/>
        <v/>
      </c>
      <c r="CN74" s="13" t="str">
        <f t="shared" si="28"/>
        <v/>
      </c>
      <c r="CO74" s="13" t="str">
        <f t="shared" si="28"/>
        <v/>
      </c>
      <c r="CP74" s="13" t="str">
        <f t="shared" si="28"/>
        <v/>
      </c>
      <c r="CQ74" s="13" t="str">
        <f t="shared" si="28"/>
        <v/>
      </c>
      <c r="CR74" t="str">
        <f t="shared" si="33"/>
        <v>3500063</v>
      </c>
      <c r="CS74" t="str">
        <f t="shared" si="34"/>
        <v/>
      </c>
      <c r="CT74" t="str">
        <f t="shared" si="35"/>
        <v/>
      </c>
      <c r="CU74" t="str">
        <f t="shared" si="36"/>
        <v/>
      </c>
      <c r="CV74" t="str">
        <f t="shared" si="37"/>
        <v/>
      </c>
      <c r="CW74" t="str">
        <f t="shared" si="38"/>
        <v/>
      </c>
      <c r="CX74">
        <v>6</v>
      </c>
      <c r="DD74">
        <v>3</v>
      </c>
      <c r="DJ74" s="14" t="s">
        <v>139</v>
      </c>
      <c r="DR74">
        <v>3401051</v>
      </c>
      <c r="DS74" s="14" t="s">
        <v>73</v>
      </c>
    </row>
    <row r="75" spans="1:123" x14ac:dyDescent="0.15">
      <c r="A75">
        <v>72</v>
      </c>
      <c r="B75" s="16" t="s">
        <v>426</v>
      </c>
      <c r="C75" s="7" t="s">
        <v>200</v>
      </c>
      <c r="D75" s="1">
        <v>143</v>
      </c>
      <c r="E75">
        <v>1</v>
      </c>
      <c r="F75">
        <f t="shared" si="31"/>
        <v>5004</v>
      </c>
      <c r="H75">
        <v>4</v>
      </c>
      <c r="AL75">
        <v>73</v>
      </c>
      <c r="AM75">
        <f t="shared" si="30"/>
        <v>12</v>
      </c>
      <c r="CK75">
        <v>72</v>
      </c>
      <c r="CL75" s="13" t="b">
        <f t="shared" si="32"/>
        <v>1</v>
      </c>
      <c r="CM75" s="13" t="str">
        <f t="shared" si="28"/>
        <v/>
      </c>
      <c r="CN75" s="13" t="str">
        <f t="shared" si="28"/>
        <v/>
      </c>
      <c r="CO75" s="13" t="str">
        <f t="shared" si="28"/>
        <v/>
      </c>
      <c r="CP75" s="13" t="str">
        <f t="shared" si="28"/>
        <v/>
      </c>
      <c r="CQ75" s="13" t="str">
        <f t="shared" si="28"/>
        <v/>
      </c>
      <c r="CR75" t="str">
        <f t="shared" si="33"/>
        <v>3401061</v>
      </c>
      <c r="CS75" t="str">
        <f t="shared" si="34"/>
        <v/>
      </c>
      <c r="CT75" t="str">
        <f t="shared" si="35"/>
        <v/>
      </c>
      <c r="CU75" t="str">
        <f t="shared" si="36"/>
        <v/>
      </c>
      <c r="CV75" t="str">
        <f t="shared" si="37"/>
        <v/>
      </c>
      <c r="CW75" t="str">
        <f t="shared" si="38"/>
        <v/>
      </c>
      <c r="CX75">
        <v>6</v>
      </c>
      <c r="DD75">
        <v>3</v>
      </c>
      <c r="DJ75" s="15" t="s">
        <v>73</v>
      </c>
      <c r="DR75">
        <v>3402051</v>
      </c>
      <c r="DS75" s="14" t="s">
        <v>76</v>
      </c>
    </row>
    <row r="76" spans="1:123" x14ac:dyDescent="0.15">
      <c r="A76">
        <v>73</v>
      </c>
      <c r="B76" s="16" t="s">
        <v>394</v>
      </c>
      <c r="C76" s="7" t="s">
        <v>201</v>
      </c>
      <c r="D76" s="1">
        <v>145</v>
      </c>
      <c r="E76">
        <v>1</v>
      </c>
      <c r="F76">
        <f t="shared" si="31"/>
        <v>5003</v>
      </c>
      <c r="H76">
        <v>3</v>
      </c>
      <c r="AL76">
        <v>74</v>
      </c>
      <c r="AM76">
        <f t="shared" si="30"/>
        <v>12</v>
      </c>
      <c r="CK76">
        <v>73</v>
      </c>
      <c r="CL76" s="13" t="b">
        <f t="shared" si="32"/>
        <v>1</v>
      </c>
      <c r="CM76" s="13" t="str">
        <f t="shared" si="28"/>
        <v/>
      </c>
      <c r="CN76" s="13" t="str">
        <f t="shared" si="28"/>
        <v/>
      </c>
      <c r="CO76" s="13" t="str">
        <f t="shared" si="28"/>
        <v/>
      </c>
      <c r="CP76" s="13" t="str">
        <f t="shared" si="28"/>
        <v/>
      </c>
      <c r="CQ76" s="13" t="str">
        <f t="shared" si="28"/>
        <v/>
      </c>
      <c r="CR76" t="str">
        <f t="shared" si="33"/>
        <v>3202063</v>
      </c>
      <c r="CS76" t="str">
        <f t="shared" si="34"/>
        <v/>
      </c>
      <c r="CT76" t="str">
        <f t="shared" si="35"/>
        <v/>
      </c>
      <c r="CU76" t="str">
        <f t="shared" si="36"/>
        <v/>
      </c>
      <c r="CV76" t="str">
        <f t="shared" si="37"/>
        <v/>
      </c>
      <c r="CW76" t="str">
        <f t="shared" si="38"/>
        <v/>
      </c>
      <c r="CX76">
        <v>6</v>
      </c>
      <c r="DD76">
        <v>3</v>
      </c>
      <c r="DJ76" s="14" t="s">
        <v>124</v>
      </c>
      <c r="DR76">
        <v>3500051</v>
      </c>
      <c r="DS76" s="14" t="s">
        <v>79</v>
      </c>
    </row>
    <row r="77" spans="1:123" x14ac:dyDescent="0.15">
      <c r="A77">
        <v>74</v>
      </c>
      <c r="B77" s="16" t="s">
        <v>426</v>
      </c>
      <c r="C77" s="7" t="s">
        <v>202</v>
      </c>
      <c r="D77" s="1">
        <v>147</v>
      </c>
      <c r="E77">
        <v>1</v>
      </c>
      <c r="F77">
        <f t="shared" si="31"/>
        <v>5002</v>
      </c>
      <c r="H77">
        <v>2</v>
      </c>
      <c r="AL77">
        <v>75</v>
      </c>
      <c r="AM77">
        <f t="shared" si="30"/>
        <v>12</v>
      </c>
      <c r="CK77">
        <v>74</v>
      </c>
      <c r="CL77" s="13" t="b">
        <f t="shared" si="32"/>
        <v>1</v>
      </c>
      <c r="CM77" s="13" t="str">
        <f t="shared" si="28"/>
        <v/>
      </c>
      <c r="CN77" s="13" t="str">
        <f t="shared" si="28"/>
        <v/>
      </c>
      <c r="CO77" s="13" t="str">
        <f t="shared" si="28"/>
        <v/>
      </c>
      <c r="CP77" s="13" t="str">
        <f t="shared" si="28"/>
        <v/>
      </c>
      <c r="CQ77" s="13" t="str">
        <f t="shared" si="28"/>
        <v/>
      </c>
      <c r="CR77" t="str">
        <f t="shared" si="33"/>
        <v>3401063</v>
      </c>
      <c r="CS77" t="str">
        <f t="shared" si="34"/>
        <v/>
      </c>
      <c r="CT77" t="str">
        <f t="shared" si="35"/>
        <v/>
      </c>
      <c r="CU77" t="str">
        <f t="shared" si="36"/>
        <v/>
      </c>
      <c r="CV77" t="str">
        <f t="shared" si="37"/>
        <v/>
      </c>
      <c r="CW77" t="str">
        <f t="shared" si="38"/>
        <v/>
      </c>
      <c r="CX77">
        <v>6</v>
      </c>
      <c r="DD77">
        <v>3</v>
      </c>
      <c r="DJ77" s="14" t="s">
        <v>130</v>
      </c>
      <c r="DR77">
        <v>3502051</v>
      </c>
      <c r="DS77" s="14" t="s">
        <v>81</v>
      </c>
    </row>
    <row r="78" spans="1:123" x14ac:dyDescent="0.15">
      <c r="A78">
        <v>75</v>
      </c>
      <c r="B78" s="16" t="s">
        <v>398</v>
      </c>
      <c r="C78" s="7" t="s">
        <v>203</v>
      </c>
      <c r="D78" s="1">
        <v>149</v>
      </c>
      <c r="E78">
        <v>1</v>
      </c>
      <c r="F78">
        <f t="shared" si="31"/>
        <v>5005</v>
      </c>
      <c r="H78">
        <v>5</v>
      </c>
      <c r="AL78">
        <v>76</v>
      </c>
      <c r="AM78">
        <f t="shared" si="30"/>
        <v>12</v>
      </c>
      <c r="CK78">
        <v>75</v>
      </c>
      <c r="CL78" s="13" t="b">
        <f t="shared" si="32"/>
        <v>1</v>
      </c>
      <c r="CM78" s="13" t="str">
        <f t="shared" si="28"/>
        <v/>
      </c>
      <c r="CN78" s="13" t="str">
        <f t="shared" si="28"/>
        <v/>
      </c>
      <c r="CO78" s="13" t="str">
        <f t="shared" si="28"/>
        <v/>
      </c>
      <c r="CP78" s="13" t="str">
        <f t="shared" si="28"/>
        <v/>
      </c>
      <c r="CQ78" s="13" t="str">
        <f t="shared" si="28"/>
        <v/>
      </c>
      <c r="CR78" t="str">
        <f t="shared" si="33"/>
        <v>3301062</v>
      </c>
      <c r="CS78" t="str">
        <f t="shared" si="34"/>
        <v/>
      </c>
      <c r="CT78" t="str">
        <f t="shared" si="35"/>
        <v/>
      </c>
      <c r="CU78" t="str">
        <f t="shared" si="36"/>
        <v/>
      </c>
      <c r="CV78" t="str">
        <f t="shared" si="37"/>
        <v/>
      </c>
      <c r="CW78" t="str">
        <f t="shared" si="38"/>
        <v/>
      </c>
      <c r="CX78">
        <v>6</v>
      </c>
      <c r="DD78">
        <v>3</v>
      </c>
      <c r="DJ78" s="14" t="s">
        <v>98</v>
      </c>
      <c r="DR78">
        <v>3601051</v>
      </c>
      <c r="DS78" s="14" t="s">
        <v>84</v>
      </c>
    </row>
    <row r="79" spans="1:123" x14ac:dyDescent="0.15">
      <c r="A79">
        <v>76</v>
      </c>
      <c r="B79" s="16" t="s">
        <v>398</v>
      </c>
      <c r="C79" s="7" t="s">
        <v>204</v>
      </c>
      <c r="D79" s="1">
        <v>151</v>
      </c>
      <c r="E79">
        <v>1</v>
      </c>
      <c r="F79">
        <f t="shared" si="31"/>
        <v>5004</v>
      </c>
      <c r="H79">
        <v>4</v>
      </c>
      <c r="AL79">
        <v>77</v>
      </c>
      <c r="AM79">
        <f t="shared" si="30"/>
        <v>12</v>
      </c>
      <c r="CK79">
        <v>76</v>
      </c>
      <c r="CL79" s="13" t="b">
        <f t="shared" si="32"/>
        <v>1</v>
      </c>
      <c r="CM79" s="13" t="str">
        <f t="shared" si="28"/>
        <v/>
      </c>
      <c r="CN79" s="13" t="str">
        <f t="shared" si="28"/>
        <v/>
      </c>
      <c r="CO79" s="13" t="str">
        <f t="shared" si="28"/>
        <v/>
      </c>
      <c r="CP79" s="13" t="str">
        <f t="shared" si="28"/>
        <v/>
      </c>
      <c r="CQ79" s="13" t="str">
        <f t="shared" si="28"/>
        <v/>
      </c>
      <c r="CR79" t="str">
        <f t="shared" si="33"/>
        <v>3301061</v>
      </c>
      <c r="CS79" t="str">
        <f t="shared" si="34"/>
        <v/>
      </c>
      <c r="CT79" t="str">
        <f t="shared" si="35"/>
        <v/>
      </c>
      <c r="CU79" t="str">
        <f t="shared" si="36"/>
        <v/>
      </c>
      <c r="CV79" t="str">
        <f t="shared" si="37"/>
        <v/>
      </c>
      <c r="CW79" t="str">
        <f t="shared" si="38"/>
        <v/>
      </c>
      <c r="CX79">
        <v>6</v>
      </c>
      <c r="DD79">
        <v>3</v>
      </c>
      <c r="DJ79" s="14" t="s">
        <v>71</v>
      </c>
      <c r="DR79">
        <v>3200052</v>
      </c>
      <c r="DS79" s="14" t="s">
        <v>88</v>
      </c>
    </row>
    <row r="80" spans="1:123" x14ac:dyDescent="0.15">
      <c r="A80">
        <v>77</v>
      </c>
      <c r="B80" s="16" t="s">
        <v>393</v>
      </c>
      <c r="C80" s="7" t="s">
        <v>205</v>
      </c>
      <c r="D80" s="1">
        <v>153</v>
      </c>
      <c r="E80">
        <v>1</v>
      </c>
      <c r="F80">
        <f t="shared" si="31"/>
        <v>5003</v>
      </c>
      <c r="H80">
        <v>3</v>
      </c>
      <c r="AL80">
        <v>78</v>
      </c>
      <c r="AM80">
        <f t="shared" si="30"/>
        <v>12</v>
      </c>
      <c r="CK80">
        <v>77</v>
      </c>
      <c r="CL80" s="13" t="b">
        <f t="shared" si="32"/>
        <v>1</v>
      </c>
      <c r="CM80" s="13" t="str">
        <f t="shared" si="28"/>
        <v/>
      </c>
      <c r="CN80" s="13" t="str">
        <f t="shared" si="28"/>
        <v/>
      </c>
      <c r="CO80" s="13" t="str">
        <f t="shared" si="28"/>
        <v/>
      </c>
      <c r="CP80" s="13" t="str">
        <f t="shared" si="28"/>
        <v/>
      </c>
      <c r="CQ80" s="13" t="str">
        <f t="shared" si="28"/>
        <v/>
      </c>
      <c r="CR80" t="str">
        <f t="shared" si="33"/>
        <v>3201061</v>
      </c>
      <c r="CS80" t="str">
        <f t="shared" si="34"/>
        <v/>
      </c>
      <c r="CT80" t="str">
        <f t="shared" si="35"/>
        <v/>
      </c>
      <c r="CU80" t="str">
        <f t="shared" si="36"/>
        <v/>
      </c>
      <c r="CV80" t="str">
        <f t="shared" si="37"/>
        <v/>
      </c>
      <c r="CW80" t="str">
        <f t="shared" si="38"/>
        <v/>
      </c>
      <c r="CX80">
        <v>6</v>
      </c>
      <c r="DD80">
        <v>3</v>
      </c>
      <c r="DJ80" s="10" t="s">
        <v>65</v>
      </c>
      <c r="DR80">
        <v>3201052</v>
      </c>
      <c r="DS80" s="14" t="s">
        <v>92</v>
      </c>
    </row>
    <row r="81" spans="1:123" x14ac:dyDescent="0.15">
      <c r="A81">
        <v>78</v>
      </c>
      <c r="B81" s="16" t="s">
        <v>395</v>
      </c>
      <c r="C81" s="7" t="s">
        <v>206</v>
      </c>
      <c r="D81" s="1">
        <v>155</v>
      </c>
      <c r="E81">
        <v>1</v>
      </c>
      <c r="F81">
        <f t="shared" si="31"/>
        <v>5002</v>
      </c>
      <c r="H81">
        <v>2</v>
      </c>
      <c r="AL81">
        <v>79</v>
      </c>
      <c r="AM81">
        <f t="shared" si="30"/>
        <v>12</v>
      </c>
      <c r="CK81">
        <v>78</v>
      </c>
      <c r="CL81" s="13" t="b">
        <f t="shared" si="32"/>
        <v>1</v>
      </c>
      <c r="CM81" s="13" t="str">
        <f t="shared" si="28"/>
        <v/>
      </c>
      <c r="CN81" s="13" t="str">
        <f t="shared" si="28"/>
        <v/>
      </c>
      <c r="CO81" s="13" t="str">
        <f t="shared" si="28"/>
        <v/>
      </c>
      <c r="CP81" s="13" t="str">
        <f t="shared" si="28"/>
        <v/>
      </c>
      <c r="CQ81" s="13" t="str">
        <f t="shared" si="28"/>
        <v/>
      </c>
      <c r="CR81" t="str">
        <f t="shared" si="33"/>
        <v>3200062</v>
      </c>
      <c r="CS81" t="str">
        <f t="shared" si="34"/>
        <v/>
      </c>
      <c r="CT81" t="str">
        <f t="shared" si="35"/>
        <v/>
      </c>
      <c r="CU81" t="str">
        <f t="shared" si="36"/>
        <v/>
      </c>
      <c r="CV81" t="str">
        <f t="shared" si="37"/>
        <v/>
      </c>
      <c r="CW81" t="str">
        <f t="shared" si="38"/>
        <v/>
      </c>
      <c r="CX81">
        <v>6</v>
      </c>
      <c r="DD81">
        <v>3</v>
      </c>
      <c r="DJ81" s="10" t="s">
        <v>88</v>
      </c>
      <c r="DR81">
        <v>3202052</v>
      </c>
      <c r="DS81" s="14" t="s">
        <v>95</v>
      </c>
    </row>
    <row r="82" spans="1:123" x14ac:dyDescent="0.15">
      <c r="A82">
        <v>79</v>
      </c>
      <c r="B82" s="16" t="s">
        <v>394</v>
      </c>
      <c r="C82" s="7" t="s">
        <v>207</v>
      </c>
      <c r="D82" s="1">
        <v>157</v>
      </c>
      <c r="E82">
        <v>1</v>
      </c>
      <c r="F82">
        <f t="shared" si="31"/>
        <v>5005</v>
      </c>
      <c r="H82">
        <v>5</v>
      </c>
      <c r="AL82">
        <v>80</v>
      </c>
      <c r="AM82">
        <f t="shared" si="30"/>
        <v>12</v>
      </c>
      <c r="CK82">
        <v>79</v>
      </c>
      <c r="CL82" s="13" t="b">
        <f t="shared" si="32"/>
        <v>1</v>
      </c>
      <c r="CM82" s="13" t="str">
        <f t="shared" si="28"/>
        <v/>
      </c>
      <c r="CN82" s="13" t="str">
        <f t="shared" si="28"/>
        <v/>
      </c>
      <c r="CO82" s="13" t="str">
        <f t="shared" si="28"/>
        <v/>
      </c>
      <c r="CP82" s="13" t="str">
        <f t="shared" si="28"/>
        <v/>
      </c>
      <c r="CQ82" s="13" t="str">
        <f t="shared" si="28"/>
        <v/>
      </c>
      <c r="CR82" t="str">
        <f t="shared" si="33"/>
        <v>3202061</v>
      </c>
      <c r="CS82" t="str">
        <f t="shared" si="34"/>
        <v/>
      </c>
      <c r="CT82" t="str">
        <f t="shared" si="35"/>
        <v/>
      </c>
      <c r="CU82" t="str">
        <f t="shared" si="36"/>
        <v/>
      </c>
      <c r="CV82" t="str">
        <f t="shared" si="37"/>
        <v/>
      </c>
      <c r="CW82" t="str">
        <f t="shared" si="38"/>
        <v/>
      </c>
      <c r="CX82">
        <v>6</v>
      </c>
      <c r="DD82">
        <v>3</v>
      </c>
      <c r="DJ82" s="10" t="s">
        <v>68</v>
      </c>
      <c r="DR82">
        <v>3301052</v>
      </c>
      <c r="DS82" s="14" t="s">
        <v>98</v>
      </c>
    </row>
    <row r="83" spans="1:123" x14ac:dyDescent="0.15">
      <c r="A83">
        <v>80</v>
      </c>
      <c r="B83" s="16" t="s">
        <v>418</v>
      </c>
      <c r="C83" s="7" t="s">
        <v>208</v>
      </c>
      <c r="D83" s="1">
        <v>159</v>
      </c>
      <c r="E83">
        <v>1</v>
      </c>
      <c r="F83">
        <f t="shared" si="31"/>
        <v>5004</v>
      </c>
      <c r="H83">
        <v>4</v>
      </c>
      <c r="AL83">
        <v>81</v>
      </c>
      <c r="AM83">
        <f t="shared" si="30"/>
        <v>13</v>
      </c>
      <c r="CK83">
        <v>80</v>
      </c>
      <c r="CL83" s="13" t="b">
        <f t="shared" si="32"/>
        <v>1</v>
      </c>
      <c r="CM83" s="13" t="str">
        <f t="shared" si="28"/>
        <v/>
      </c>
      <c r="CN83" s="13" t="str">
        <f t="shared" si="28"/>
        <v/>
      </c>
      <c r="CO83" s="13" t="str">
        <f t="shared" si="28"/>
        <v/>
      </c>
      <c r="CP83" s="13" t="str">
        <f t="shared" si="28"/>
        <v/>
      </c>
      <c r="CQ83" s="13" t="str">
        <f t="shared" si="28"/>
        <v/>
      </c>
      <c r="CR83" t="str">
        <f t="shared" si="33"/>
        <v>3302065</v>
      </c>
      <c r="CS83" t="str">
        <f t="shared" si="34"/>
        <v/>
      </c>
      <c r="CT83" t="str">
        <f t="shared" si="35"/>
        <v/>
      </c>
      <c r="CU83" t="str">
        <f t="shared" si="36"/>
        <v/>
      </c>
      <c r="CV83" t="str">
        <f t="shared" si="37"/>
        <v/>
      </c>
      <c r="CW83" t="str">
        <f t="shared" si="38"/>
        <v/>
      </c>
      <c r="CX83">
        <v>6</v>
      </c>
      <c r="DD83">
        <v>3</v>
      </c>
      <c r="DJ83" s="10" t="s">
        <v>156</v>
      </c>
      <c r="DR83">
        <v>3401052</v>
      </c>
      <c r="DS83" s="14" t="s">
        <v>101</v>
      </c>
    </row>
    <row r="84" spans="1:123" x14ac:dyDescent="0.15">
      <c r="A84">
        <v>81</v>
      </c>
      <c r="B84" s="16" t="s">
        <v>399</v>
      </c>
      <c r="C84" s="7" t="s">
        <v>209</v>
      </c>
      <c r="D84" s="1">
        <v>161</v>
      </c>
      <c r="E84">
        <v>1</v>
      </c>
      <c r="F84">
        <f t="shared" si="31"/>
        <v>5003</v>
      </c>
      <c r="H84">
        <v>3</v>
      </c>
      <c r="AL84">
        <v>82</v>
      </c>
      <c r="AM84">
        <f t="shared" si="30"/>
        <v>13</v>
      </c>
      <c r="CK84">
        <v>81</v>
      </c>
      <c r="CL84" s="13" t="b">
        <f t="shared" si="32"/>
        <v>1</v>
      </c>
      <c r="CM84" s="13" t="str">
        <f t="shared" si="28"/>
        <v/>
      </c>
      <c r="CN84" s="13" t="str">
        <f t="shared" si="28"/>
        <v/>
      </c>
      <c r="CO84" s="13" t="str">
        <f t="shared" si="28"/>
        <v/>
      </c>
      <c r="CP84" s="13" t="str">
        <f t="shared" si="28"/>
        <v/>
      </c>
      <c r="CQ84" s="13" t="str">
        <f t="shared" si="28"/>
        <v/>
      </c>
      <c r="CR84" t="str">
        <f t="shared" si="33"/>
        <v>3402072</v>
      </c>
      <c r="CS84" t="str">
        <f t="shared" si="34"/>
        <v/>
      </c>
      <c r="CT84" t="str">
        <f t="shared" si="35"/>
        <v/>
      </c>
      <c r="CU84" t="str">
        <f t="shared" si="36"/>
        <v/>
      </c>
      <c r="CV84" t="str">
        <f t="shared" si="37"/>
        <v/>
      </c>
      <c r="CW84" t="str">
        <f t="shared" si="38"/>
        <v/>
      </c>
      <c r="CX84">
        <v>7</v>
      </c>
      <c r="DD84">
        <v>3</v>
      </c>
      <c r="DJ84" s="10" t="s">
        <v>103</v>
      </c>
      <c r="DR84">
        <v>3402052</v>
      </c>
      <c r="DS84" s="14" t="s">
        <v>103</v>
      </c>
    </row>
    <row r="85" spans="1:123" x14ac:dyDescent="0.15">
      <c r="A85">
        <v>82</v>
      </c>
      <c r="B85" s="16" t="s">
        <v>400</v>
      </c>
      <c r="C85" s="7" t="s">
        <v>210</v>
      </c>
      <c r="D85" s="1">
        <v>163</v>
      </c>
      <c r="E85">
        <v>1</v>
      </c>
      <c r="F85">
        <f t="shared" si="31"/>
        <v>5002</v>
      </c>
      <c r="H85">
        <v>2</v>
      </c>
      <c r="AL85">
        <v>83</v>
      </c>
      <c r="AM85">
        <f t="shared" si="30"/>
        <v>13</v>
      </c>
      <c r="CK85">
        <v>82</v>
      </c>
      <c r="CL85" s="13" t="b">
        <f t="shared" si="32"/>
        <v>1</v>
      </c>
      <c r="CM85" s="13" t="str">
        <f t="shared" si="28"/>
        <v/>
      </c>
      <c r="CN85" s="13" t="str">
        <f t="shared" si="28"/>
        <v/>
      </c>
      <c r="CO85" s="13" t="str">
        <f t="shared" si="28"/>
        <v/>
      </c>
      <c r="CP85" s="13" t="str">
        <f t="shared" si="28"/>
        <v/>
      </c>
      <c r="CQ85" s="13" t="str">
        <f t="shared" si="28"/>
        <v/>
      </c>
      <c r="CR85" t="str">
        <f t="shared" si="33"/>
        <v>3301072</v>
      </c>
      <c r="CS85" t="str">
        <f t="shared" si="34"/>
        <v/>
      </c>
      <c r="CT85" t="str">
        <f t="shared" si="35"/>
        <v/>
      </c>
      <c r="CU85" t="str">
        <f t="shared" si="36"/>
        <v/>
      </c>
      <c r="CV85" t="str">
        <f t="shared" si="37"/>
        <v/>
      </c>
      <c r="CW85" t="str">
        <f t="shared" si="38"/>
        <v/>
      </c>
      <c r="CX85">
        <v>7</v>
      </c>
      <c r="DD85">
        <v>3</v>
      </c>
      <c r="DJ85" s="14" t="s">
        <v>98</v>
      </c>
      <c r="DR85">
        <v>3500052</v>
      </c>
      <c r="DS85" s="14" t="s">
        <v>107</v>
      </c>
    </row>
    <row r="86" spans="1:123" x14ac:dyDescent="0.15">
      <c r="A86">
        <v>83</v>
      </c>
      <c r="B86" s="16" t="s">
        <v>399</v>
      </c>
      <c r="C86" s="7" t="s">
        <v>211</v>
      </c>
      <c r="D86" s="1">
        <v>165</v>
      </c>
      <c r="E86">
        <v>1</v>
      </c>
      <c r="F86">
        <f t="shared" si="31"/>
        <v>5005</v>
      </c>
      <c r="H86">
        <v>5</v>
      </c>
      <c r="AL86">
        <v>84</v>
      </c>
      <c r="AM86">
        <f t="shared" si="30"/>
        <v>13</v>
      </c>
      <c r="CK86">
        <v>83</v>
      </c>
      <c r="CL86" s="13" t="b">
        <f t="shared" si="32"/>
        <v>1</v>
      </c>
      <c r="CM86" s="13" t="str">
        <f t="shared" si="28"/>
        <v/>
      </c>
      <c r="CN86" s="13" t="str">
        <f t="shared" si="28"/>
        <v/>
      </c>
      <c r="CO86" s="13" t="str">
        <f t="shared" ref="CO86:CQ149" si="39">IF(DM86&lt;&gt;"",IF(ISERROR(MATCH(INT(CU86),$DR$4:$DR$1516,0))=FALSE,TRUE),"")</f>
        <v/>
      </c>
      <c r="CP86" s="13" t="str">
        <f t="shared" si="39"/>
        <v/>
      </c>
      <c r="CQ86" s="13" t="str">
        <f t="shared" si="39"/>
        <v/>
      </c>
      <c r="CR86" t="str">
        <f t="shared" si="33"/>
        <v>3402073</v>
      </c>
      <c r="CS86" t="str">
        <f t="shared" si="34"/>
        <v/>
      </c>
      <c r="CT86" t="str">
        <f t="shared" si="35"/>
        <v/>
      </c>
      <c r="CU86" t="str">
        <f t="shared" si="36"/>
        <v/>
      </c>
      <c r="CV86" t="str">
        <f t="shared" si="37"/>
        <v/>
      </c>
      <c r="CW86" t="str">
        <f t="shared" si="38"/>
        <v/>
      </c>
      <c r="CX86">
        <v>7</v>
      </c>
      <c r="DD86">
        <v>3</v>
      </c>
      <c r="DJ86" s="15" t="s">
        <v>135</v>
      </c>
      <c r="DR86">
        <v>3502052</v>
      </c>
      <c r="DS86" s="14" t="s">
        <v>111</v>
      </c>
    </row>
    <row r="87" spans="1:123" x14ac:dyDescent="0.15">
      <c r="A87">
        <v>84</v>
      </c>
      <c r="B87" s="16" t="s">
        <v>419</v>
      </c>
      <c r="C87" s="7" t="s">
        <v>212</v>
      </c>
      <c r="D87" s="1">
        <v>167</v>
      </c>
      <c r="E87">
        <v>1</v>
      </c>
      <c r="F87">
        <f t="shared" si="31"/>
        <v>5004</v>
      </c>
      <c r="H87">
        <v>4</v>
      </c>
      <c r="AL87">
        <v>85</v>
      </c>
      <c r="AM87">
        <f t="shared" si="30"/>
        <v>13</v>
      </c>
      <c r="CK87">
        <v>84</v>
      </c>
      <c r="CL87" s="13" t="b">
        <f t="shared" si="32"/>
        <v>1</v>
      </c>
      <c r="CM87" s="13" t="str">
        <f t="shared" ref="CM87:CQ150" si="40">IF(DK87&lt;&gt;"",IF(ISERROR(MATCH(INT(CS87),$DR$4:$DR$1516,0))=FALSE,TRUE),"")</f>
        <v/>
      </c>
      <c r="CN87" s="13" t="str">
        <f t="shared" si="40"/>
        <v/>
      </c>
      <c r="CO87" s="13" t="str">
        <f t="shared" si="39"/>
        <v/>
      </c>
      <c r="CP87" s="13" t="str">
        <f t="shared" si="39"/>
        <v/>
      </c>
      <c r="CQ87" s="13" t="str">
        <f t="shared" si="39"/>
        <v/>
      </c>
      <c r="CR87" t="str">
        <f t="shared" si="33"/>
        <v>3602074</v>
      </c>
      <c r="CS87" t="str">
        <f t="shared" si="34"/>
        <v/>
      </c>
      <c r="CT87" t="str">
        <f t="shared" si="35"/>
        <v/>
      </c>
      <c r="CU87" t="str">
        <f t="shared" si="36"/>
        <v/>
      </c>
      <c r="CV87" t="str">
        <f t="shared" si="37"/>
        <v/>
      </c>
      <c r="CW87" t="str">
        <f t="shared" si="38"/>
        <v/>
      </c>
      <c r="CX87">
        <v>7</v>
      </c>
      <c r="DD87">
        <v>3</v>
      </c>
      <c r="DJ87" s="14" t="s">
        <v>150</v>
      </c>
      <c r="DR87">
        <v>3601052</v>
      </c>
      <c r="DS87" s="14" t="s">
        <v>114</v>
      </c>
    </row>
    <row r="88" spans="1:123" x14ac:dyDescent="0.15">
      <c r="A88">
        <v>85</v>
      </c>
      <c r="B88" s="16" t="s">
        <v>420</v>
      </c>
      <c r="C88" s="7" t="s">
        <v>213</v>
      </c>
      <c r="D88" s="1">
        <v>169</v>
      </c>
      <c r="E88">
        <v>1</v>
      </c>
      <c r="F88">
        <f t="shared" si="31"/>
        <v>5003</v>
      </c>
      <c r="H88">
        <v>3</v>
      </c>
      <c r="AL88">
        <v>86</v>
      </c>
      <c r="AM88">
        <f t="shared" si="30"/>
        <v>13</v>
      </c>
      <c r="CK88">
        <v>85</v>
      </c>
      <c r="CL88" s="13" t="b">
        <f t="shared" si="32"/>
        <v>1</v>
      </c>
      <c r="CM88" s="13" t="str">
        <f t="shared" si="40"/>
        <v/>
      </c>
      <c r="CN88" s="13" t="str">
        <f t="shared" si="40"/>
        <v/>
      </c>
      <c r="CO88" s="13" t="str">
        <f t="shared" si="39"/>
        <v/>
      </c>
      <c r="CP88" s="13" t="str">
        <f t="shared" si="39"/>
        <v/>
      </c>
      <c r="CQ88" s="13" t="str">
        <f t="shared" si="39"/>
        <v/>
      </c>
      <c r="CR88" t="str">
        <f t="shared" si="33"/>
        <v>3302075</v>
      </c>
      <c r="CS88" t="str">
        <f t="shared" si="34"/>
        <v/>
      </c>
      <c r="CT88" t="str">
        <f t="shared" si="35"/>
        <v/>
      </c>
      <c r="CU88" t="str">
        <f t="shared" si="36"/>
        <v/>
      </c>
      <c r="CV88" t="str">
        <f t="shared" si="37"/>
        <v/>
      </c>
      <c r="CW88" t="str">
        <f t="shared" si="38"/>
        <v/>
      </c>
      <c r="CX88">
        <v>7</v>
      </c>
      <c r="DD88">
        <v>3</v>
      </c>
      <c r="DJ88" s="14" t="s">
        <v>156</v>
      </c>
      <c r="DR88">
        <v>3200053</v>
      </c>
      <c r="DS88" s="14" t="s">
        <v>118</v>
      </c>
    </row>
    <row r="89" spans="1:123" x14ac:dyDescent="0.15">
      <c r="A89">
        <v>86</v>
      </c>
      <c r="B89" s="16" t="s">
        <v>401</v>
      </c>
      <c r="C89" s="7" t="s">
        <v>214</v>
      </c>
      <c r="D89" s="1">
        <v>171</v>
      </c>
      <c r="E89">
        <v>1</v>
      </c>
      <c r="F89">
        <f t="shared" si="31"/>
        <v>5002</v>
      </c>
      <c r="H89">
        <v>2</v>
      </c>
      <c r="AL89">
        <v>87</v>
      </c>
      <c r="AM89">
        <f t="shared" si="30"/>
        <v>13</v>
      </c>
      <c r="CK89">
        <v>86</v>
      </c>
      <c r="CL89" s="13" t="b">
        <f t="shared" si="32"/>
        <v>1</v>
      </c>
      <c r="CM89" s="13" t="str">
        <f t="shared" si="40"/>
        <v/>
      </c>
      <c r="CN89" s="13" t="str">
        <f t="shared" si="40"/>
        <v/>
      </c>
      <c r="CO89" s="13" t="str">
        <f t="shared" si="39"/>
        <v/>
      </c>
      <c r="CP89" s="13" t="str">
        <f t="shared" si="39"/>
        <v/>
      </c>
      <c r="CQ89" s="13" t="str">
        <f t="shared" si="39"/>
        <v/>
      </c>
      <c r="CR89" t="str">
        <f t="shared" si="33"/>
        <v>3502071</v>
      </c>
      <c r="CS89" t="str">
        <f t="shared" si="34"/>
        <v/>
      </c>
      <c r="CT89" t="str">
        <f t="shared" si="35"/>
        <v/>
      </c>
      <c r="CU89" t="str">
        <f t="shared" si="36"/>
        <v/>
      </c>
      <c r="CV89" t="str">
        <f t="shared" si="37"/>
        <v/>
      </c>
      <c r="CW89" t="str">
        <f t="shared" si="38"/>
        <v/>
      </c>
      <c r="CX89">
        <v>7</v>
      </c>
      <c r="DD89">
        <v>3</v>
      </c>
      <c r="DJ89" s="14" t="s">
        <v>81</v>
      </c>
      <c r="DR89">
        <v>3201053</v>
      </c>
      <c r="DS89" s="14" t="s">
        <v>121</v>
      </c>
    </row>
    <row r="90" spans="1:123" x14ac:dyDescent="0.15">
      <c r="A90">
        <v>87</v>
      </c>
      <c r="B90" s="16" t="s">
        <v>402</v>
      </c>
      <c r="C90" s="7" t="s">
        <v>215</v>
      </c>
      <c r="D90" s="1">
        <v>173</v>
      </c>
      <c r="E90">
        <v>1</v>
      </c>
      <c r="F90">
        <f t="shared" si="31"/>
        <v>5005</v>
      </c>
      <c r="H90">
        <v>5</v>
      </c>
      <c r="AL90">
        <v>88</v>
      </c>
      <c r="AM90">
        <f t="shared" si="30"/>
        <v>13</v>
      </c>
      <c r="CK90">
        <v>87</v>
      </c>
      <c r="CL90" s="13" t="b">
        <f t="shared" si="32"/>
        <v>1</v>
      </c>
      <c r="CM90" s="13" t="str">
        <f t="shared" si="40"/>
        <v/>
      </c>
      <c r="CN90" s="13" t="str">
        <f t="shared" si="40"/>
        <v/>
      </c>
      <c r="CO90" s="13" t="str">
        <f t="shared" si="39"/>
        <v/>
      </c>
      <c r="CP90" s="13" t="str">
        <f t="shared" si="39"/>
        <v/>
      </c>
      <c r="CQ90" s="13" t="str">
        <f t="shared" si="39"/>
        <v/>
      </c>
      <c r="CR90" t="str">
        <f t="shared" si="33"/>
        <v>3202072</v>
      </c>
      <c r="CS90" t="str">
        <f t="shared" si="34"/>
        <v/>
      </c>
      <c r="CT90" t="str">
        <f t="shared" si="35"/>
        <v/>
      </c>
      <c r="CU90" t="str">
        <f t="shared" si="36"/>
        <v/>
      </c>
      <c r="CV90" t="str">
        <f t="shared" si="37"/>
        <v/>
      </c>
      <c r="CW90" t="str">
        <f t="shared" si="38"/>
        <v/>
      </c>
      <c r="CX90">
        <v>7</v>
      </c>
      <c r="DD90">
        <v>3</v>
      </c>
      <c r="DJ90" s="14" t="s">
        <v>95</v>
      </c>
      <c r="DR90">
        <v>3202053</v>
      </c>
      <c r="DS90" s="14" t="s">
        <v>124</v>
      </c>
    </row>
    <row r="91" spans="1:123" x14ac:dyDescent="0.15">
      <c r="A91">
        <v>88</v>
      </c>
      <c r="B91" s="16" t="s">
        <v>403</v>
      </c>
      <c r="C91" s="7" t="s">
        <v>216</v>
      </c>
      <c r="D91" s="1">
        <v>175</v>
      </c>
      <c r="E91">
        <v>1</v>
      </c>
      <c r="F91">
        <f t="shared" si="31"/>
        <v>5004</v>
      </c>
      <c r="H91">
        <v>4</v>
      </c>
      <c r="AL91">
        <v>89</v>
      </c>
      <c r="AM91">
        <f t="shared" si="30"/>
        <v>13</v>
      </c>
      <c r="CK91">
        <v>88</v>
      </c>
      <c r="CL91" s="13" t="b">
        <f t="shared" si="32"/>
        <v>0</v>
      </c>
      <c r="CM91" s="13" t="str">
        <f t="shared" si="40"/>
        <v/>
      </c>
      <c r="CN91" s="13" t="str">
        <f t="shared" si="40"/>
        <v/>
      </c>
      <c r="CO91" s="13" t="str">
        <f t="shared" si="39"/>
        <v/>
      </c>
      <c r="CP91" s="13" t="str">
        <f t="shared" si="39"/>
        <v/>
      </c>
      <c r="CQ91" s="13" t="str">
        <f t="shared" si="39"/>
        <v/>
      </c>
      <c r="CR91" t="str">
        <f t="shared" si="33"/>
        <v>3200073</v>
      </c>
      <c r="CS91" t="str">
        <f t="shared" si="34"/>
        <v/>
      </c>
      <c r="CT91" t="str">
        <f t="shared" si="35"/>
        <v/>
      </c>
      <c r="CU91" t="str">
        <f t="shared" si="36"/>
        <v/>
      </c>
      <c r="CV91" t="str">
        <f t="shared" si="37"/>
        <v/>
      </c>
      <c r="CW91" t="str">
        <f t="shared" si="38"/>
        <v/>
      </c>
      <c r="CX91">
        <v>7</v>
      </c>
      <c r="DD91">
        <v>3</v>
      </c>
      <c r="DJ91" s="14" t="s">
        <v>118</v>
      </c>
      <c r="DR91">
        <v>3301053</v>
      </c>
      <c r="DS91" s="14" t="s">
        <v>126</v>
      </c>
    </row>
    <row r="92" spans="1:123" x14ac:dyDescent="0.15">
      <c r="A92">
        <v>89</v>
      </c>
      <c r="B92" s="16" t="s">
        <v>404</v>
      </c>
      <c r="C92" s="7" t="s">
        <v>217</v>
      </c>
      <c r="D92" s="1">
        <v>177</v>
      </c>
      <c r="E92">
        <v>1</v>
      </c>
      <c r="F92">
        <f t="shared" si="31"/>
        <v>5003</v>
      </c>
      <c r="H92">
        <v>3</v>
      </c>
      <c r="AL92">
        <v>90</v>
      </c>
      <c r="AM92">
        <f t="shared" si="30"/>
        <v>13</v>
      </c>
      <c r="CK92">
        <v>89</v>
      </c>
      <c r="CL92" s="13" t="b">
        <f t="shared" si="32"/>
        <v>1</v>
      </c>
      <c r="CM92" s="13" t="str">
        <f t="shared" si="40"/>
        <v/>
      </c>
      <c r="CN92" s="13" t="str">
        <f t="shared" si="40"/>
        <v/>
      </c>
      <c r="CO92" s="13" t="str">
        <f t="shared" si="39"/>
        <v/>
      </c>
      <c r="CP92" s="13" t="str">
        <f t="shared" si="39"/>
        <v/>
      </c>
      <c r="CQ92" s="13" t="str">
        <f t="shared" si="39"/>
        <v/>
      </c>
      <c r="CR92" t="str">
        <f t="shared" si="33"/>
        <v>3500073</v>
      </c>
      <c r="CS92" t="str">
        <f t="shared" si="34"/>
        <v/>
      </c>
      <c r="CT92" t="str">
        <f t="shared" si="35"/>
        <v/>
      </c>
      <c r="CU92" t="str">
        <f t="shared" si="36"/>
        <v/>
      </c>
      <c r="CV92" t="str">
        <f t="shared" si="37"/>
        <v/>
      </c>
      <c r="CW92" t="str">
        <f t="shared" si="38"/>
        <v/>
      </c>
      <c r="CX92">
        <v>7</v>
      </c>
      <c r="DD92">
        <v>3</v>
      </c>
      <c r="DJ92" s="14" t="s">
        <v>139</v>
      </c>
      <c r="DR92">
        <v>3401053</v>
      </c>
      <c r="DS92" s="14" t="s">
        <v>130</v>
      </c>
    </row>
    <row r="93" spans="1:123" x14ac:dyDescent="0.15">
      <c r="A93">
        <v>90</v>
      </c>
      <c r="B93" s="16" t="s">
        <v>403</v>
      </c>
      <c r="C93" s="7" t="s">
        <v>218</v>
      </c>
      <c r="D93" s="1">
        <v>179</v>
      </c>
      <c r="E93">
        <v>1</v>
      </c>
      <c r="F93">
        <f t="shared" si="31"/>
        <v>5002</v>
      </c>
      <c r="H93">
        <v>2</v>
      </c>
      <c r="AL93">
        <v>91</v>
      </c>
      <c r="AM93">
        <f t="shared" si="30"/>
        <v>14</v>
      </c>
      <c r="CK93">
        <v>90</v>
      </c>
      <c r="CL93" s="13" t="b">
        <f t="shared" si="32"/>
        <v>1</v>
      </c>
      <c r="CM93" s="13" t="str">
        <f t="shared" si="40"/>
        <v/>
      </c>
      <c r="CN93" s="13" t="str">
        <f t="shared" si="40"/>
        <v/>
      </c>
      <c r="CO93" s="13" t="str">
        <f t="shared" si="39"/>
        <v/>
      </c>
      <c r="CP93" s="13" t="str">
        <f t="shared" si="39"/>
        <v/>
      </c>
      <c r="CQ93" s="13" t="str">
        <f t="shared" si="39"/>
        <v/>
      </c>
      <c r="CR93" t="str">
        <f t="shared" si="33"/>
        <v>3200071</v>
      </c>
      <c r="CS93" t="str">
        <f t="shared" si="34"/>
        <v/>
      </c>
      <c r="CT93" t="str">
        <f t="shared" si="35"/>
        <v/>
      </c>
      <c r="CU93" t="str">
        <f t="shared" si="36"/>
        <v/>
      </c>
      <c r="CV93" t="str">
        <f t="shared" si="37"/>
        <v/>
      </c>
      <c r="CW93" t="str">
        <f t="shared" si="38"/>
        <v/>
      </c>
      <c r="CX93">
        <v>7</v>
      </c>
      <c r="DD93">
        <v>3</v>
      </c>
      <c r="DJ93" s="14" t="s">
        <v>62</v>
      </c>
      <c r="DR93">
        <v>3402053</v>
      </c>
      <c r="DS93" s="14" t="s">
        <v>135</v>
      </c>
    </row>
    <row r="94" spans="1:123" x14ac:dyDescent="0.15">
      <c r="A94">
        <v>91</v>
      </c>
      <c r="B94" s="16" t="s">
        <v>421</v>
      </c>
      <c r="C94" s="7" t="s">
        <v>219</v>
      </c>
      <c r="D94" s="1">
        <v>181</v>
      </c>
      <c r="E94">
        <v>1</v>
      </c>
      <c r="F94">
        <f t="shared" si="31"/>
        <v>5005</v>
      </c>
      <c r="H94">
        <v>5</v>
      </c>
      <c r="AL94">
        <v>92</v>
      </c>
      <c r="AM94">
        <f t="shared" si="30"/>
        <v>14</v>
      </c>
      <c r="CK94">
        <v>91</v>
      </c>
      <c r="CL94" s="13" t="b">
        <f t="shared" si="32"/>
        <v>1</v>
      </c>
      <c r="CM94" s="13" t="str">
        <f t="shared" si="40"/>
        <v/>
      </c>
      <c r="CN94" s="13" t="str">
        <f t="shared" si="40"/>
        <v/>
      </c>
      <c r="CO94" s="13" t="str">
        <f t="shared" si="39"/>
        <v/>
      </c>
      <c r="CP94" s="13" t="str">
        <f t="shared" si="39"/>
        <v/>
      </c>
      <c r="CQ94" s="13" t="str">
        <f t="shared" si="39"/>
        <v/>
      </c>
      <c r="CR94" t="str">
        <f t="shared" si="33"/>
        <v>3400075</v>
      </c>
      <c r="CS94" t="str">
        <f t="shared" si="34"/>
        <v/>
      </c>
      <c r="CT94" t="str">
        <f t="shared" si="35"/>
        <v/>
      </c>
      <c r="CU94" t="str">
        <f t="shared" si="36"/>
        <v/>
      </c>
      <c r="CV94" t="str">
        <f t="shared" si="37"/>
        <v/>
      </c>
      <c r="CW94" t="str">
        <f t="shared" si="38"/>
        <v/>
      </c>
      <c r="CX94">
        <v>7</v>
      </c>
      <c r="DD94">
        <v>3</v>
      </c>
      <c r="DJ94" s="14" t="s">
        <v>159</v>
      </c>
      <c r="DR94">
        <v>3500053</v>
      </c>
      <c r="DS94" s="14" t="s">
        <v>139</v>
      </c>
    </row>
    <row r="95" spans="1:123" x14ac:dyDescent="0.15">
      <c r="A95">
        <v>92</v>
      </c>
      <c r="B95" s="16" t="s">
        <v>405</v>
      </c>
      <c r="C95" s="7" t="s">
        <v>220</v>
      </c>
      <c r="D95" s="1">
        <v>183</v>
      </c>
      <c r="E95">
        <v>1</v>
      </c>
      <c r="F95">
        <f t="shared" si="31"/>
        <v>5004</v>
      </c>
      <c r="H95">
        <v>4</v>
      </c>
      <c r="AL95">
        <v>93</v>
      </c>
      <c r="AM95">
        <f t="shared" si="30"/>
        <v>14</v>
      </c>
      <c r="CK95">
        <v>92</v>
      </c>
      <c r="CL95" s="13" t="b">
        <f t="shared" si="32"/>
        <v>1</v>
      </c>
      <c r="CM95" s="13" t="str">
        <f t="shared" si="40"/>
        <v/>
      </c>
      <c r="CN95" s="13" t="str">
        <f t="shared" si="40"/>
        <v/>
      </c>
      <c r="CO95" s="13" t="str">
        <f t="shared" si="39"/>
        <v/>
      </c>
      <c r="CP95" s="13" t="str">
        <f t="shared" si="39"/>
        <v/>
      </c>
      <c r="CQ95" s="13" t="str">
        <f t="shared" si="39"/>
        <v/>
      </c>
      <c r="CR95" t="str">
        <f t="shared" si="33"/>
        <v>3601072</v>
      </c>
      <c r="CS95" t="str">
        <f t="shared" si="34"/>
        <v/>
      </c>
      <c r="CT95" t="str">
        <f t="shared" si="35"/>
        <v/>
      </c>
      <c r="CU95" t="str">
        <f t="shared" si="36"/>
        <v/>
      </c>
      <c r="CV95" t="str">
        <f t="shared" si="37"/>
        <v/>
      </c>
      <c r="CW95" t="str">
        <f t="shared" si="38"/>
        <v/>
      </c>
      <c r="CX95">
        <v>7</v>
      </c>
      <c r="DD95">
        <v>3</v>
      </c>
      <c r="DJ95" s="14" t="s">
        <v>114</v>
      </c>
      <c r="DR95">
        <v>3502053</v>
      </c>
      <c r="DS95" s="14" t="s">
        <v>141</v>
      </c>
    </row>
    <row r="96" spans="1:123" x14ac:dyDescent="0.15">
      <c r="A96">
        <v>93</v>
      </c>
      <c r="B96" s="16" t="s">
        <v>400</v>
      </c>
      <c r="C96" s="7" t="s">
        <v>221</v>
      </c>
      <c r="D96" s="1">
        <v>185</v>
      </c>
      <c r="E96">
        <v>1</v>
      </c>
      <c r="F96">
        <f t="shared" si="31"/>
        <v>5003</v>
      </c>
      <c r="H96">
        <v>3</v>
      </c>
      <c r="AL96">
        <v>94</v>
      </c>
      <c r="AM96">
        <f t="shared" si="30"/>
        <v>14</v>
      </c>
      <c r="CK96">
        <v>93</v>
      </c>
      <c r="CL96" s="13" t="b">
        <f t="shared" si="32"/>
        <v>1</v>
      </c>
      <c r="CM96" s="13" t="str">
        <f t="shared" si="40"/>
        <v/>
      </c>
      <c r="CN96" s="13" t="str">
        <f t="shared" si="40"/>
        <v/>
      </c>
      <c r="CO96" s="13" t="str">
        <f t="shared" si="39"/>
        <v/>
      </c>
      <c r="CP96" s="13" t="str">
        <f t="shared" si="39"/>
        <v/>
      </c>
      <c r="CQ96" s="13" t="str">
        <f t="shared" si="39"/>
        <v/>
      </c>
      <c r="CR96" t="str">
        <f t="shared" si="33"/>
        <v>3301072</v>
      </c>
      <c r="CS96" t="str">
        <f t="shared" si="34"/>
        <v/>
      </c>
      <c r="CT96" t="str">
        <f t="shared" si="35"/>
        <v/>
      </c>
      <c r="CU96" t="str">
        <f t="shared" si="36"/>
        <v/>
      </c>
      <c r="CV96" t="str">
        <f t="shared" si="37"/>
        <v/>
      </c>
      <c r="CW96" t="str">
        <f t="shared" si="38"/>
        <v/>
      </c>
      <c r="CX96">
        <v>7</v>
      </c>
      <c r="DD96">
        <v>3</v>
      </c>
      <c r="DJ96" s="14" t="s">
        <v>98</v>
      </c>
      <c r="DR96">
        <v>3601053</v>
      </c>
      <c r="DS96" s="14" t="s">
        <v>143</v>
      </c>
    </row>
    <row r="97" spans="1:123" x14ac:dyDescent="0.15">
      <c r="A97">
        <v>94</v>
      </c>
      <c r="B97" s="16" t="s">
        <v>403</v>
      </c>
      <c r="C97" s="7" t="s">
        <v>222</v>
      </c>
      <c r="D97" s="1">
        <v>187</v>
      </c>
      <c r="E97">
        <v>1</v>
      </c>
      <c r="F97">
        <f t="shared" si="31"/>
        <v>5002</v>
      </c>
      <c r="H97">
        <v>2</v>
      </c>
      <c r="AL97">
        <v>95</v>
      </c>
      <c r="AM97">
        <f t="shared" si="30"/>
        <v>14</v>
      </c>
      <c r="CK97">
        <v>94</v>
      </c>
      <c r="CL97" s="13" t="b">
        <f t="shared" si="32"/>
        <v>0</v>
      </c>
      <c r="CM97" s="13" t="str">
        <f t="shared" si="40"/>
        <v/>
      </c>
      <c r="CN97" s="13" t="str">
        <f t="shared" si="40"/>
        <v/>
      </c>
      <c r="CO97" s="13" t="str">
        <f t="shared" si="39"/>
        <v/>
      </c>
      <c r="CP97" s="13" t="str">
        <f t="shared" si="39"/>
        <v/>
      </c>
      <c r="CQ97" s="13" t="str">
        <f t="shared" si="39"/>
        <v/>
      </c>
      <c r="CR97" t="str">
        <f t="shared" si="33"/>
        <v>3200073</v>
      </c>
      <c r="CS97" t="str">
        <f t="shared" si="34"/>
        <v/>
      </c>
      <c r="CT97" t="str">
        <f t="shared" si="35"/>
        <v/>
      </c>
      <c r="CU97" t="str">
        <f t="shared" si="36"/>
        <v/>
      </c>
      <c r="CV97" t="str">
        <f t="shared" si="37"/>
        <v/>
      </c>
      <c r="CW97" t="str">
        <f t="shared" si="38"/>
        <v/>
      </c>
      <c r="CX97">
        <v>7</v>
      </c>
      <c r="DD97">
        <v>3</v>
      </c>
      <c r="DJ97" s="14" t="s">
        <v>118</v>
      </c>
      <c r="DR97">
        <v>3501054</v>
      </c>
      <c r="DS97" s="14" t="s">
        <v>145</v>
      </c>
    </row>
    <row r="98" spans="1:123" x14ac:dyDescent="0.15">
      <c r="A98">
        <v>95</v>
      </c>
      <c r="B98" s="16" t="s">
        <v>406</v>
      </c>
      <c r="C98" s="7" t="s">
        <v>223</v>
      </c>
      <c r="D98" s="1">
        <v>189</v>
      </c>
      <c r="E98">
        <v>1</v>
      </c>
      <c r="F98">
        <f t="shared" si="31"/>
        <v>5005</v>
      </c>
      <c r="H98">
        <v>5</v>
      </c>
      <c r="AL98">
        <v>96</v>
      </c>
      <c r="AM98">
        <f t="shared" si="30"/>
        <v>14</v>
      </c>
      <c r="CK98">
        <v>95</v>
      </c>
      <c r="CL98" s="13" t="b">
        <f t="shared" si="32"/>
        <v>0</v>
      </c>
      <c r="CM98" s="13" t="str">
        <f t="shared" si="40"/>
        <v/>
      </c>
      <c r="CN98" s="13" t="str">
        <f t="shared" si="40"/>
        <v/>
      </c>
      <c r="CO98" s="13" t="str">
        <f t="shared" si="39"/>
        <v/>
      </c>
      <c r="CP98" s="13" t="str">
        <f t="shared" si="39"/>
        <v/>
      </c>
      <c r="CQ98" s="13" t="str">
        <f t="shared" si="39"/>
        <v/>
      </c>
      <c r="CR98" t="str">
        <f t="shared" si="33"/>
        <v>3201073</v>
      </c>
      <c r="CS98" t="str">
        <f t="shared" si="34"/>
        <v/>
      </c>
      <c r="CT98" t="str">
        <f t="shared" si="35"/>
        <v/>
      </c>
      <c r="CU98" t="str">
        <f t="shared" si="36"/>
        <v/>
      </c>
      <c r="CV98" t="str">
        <f t="shared" si="37"/>
        <v/>
      </c>
      <c r="CW98" t="str">
        <f t="shared" si="38"/>
        <v/>
      </c>
      <c r="CX98">
        <v>7</v>
      </c>
      <c r="DD98">
        <v>3</v>
      </c>
      <c r="DJ98" s="14" t="s">
        <v>121</v>
      </c>
      <c r="DR98">
        <v>3600054</v>
      </c>
      <c r="DS98" s="14" t="s">
        <v>148</v>
      </c>
    </row>
    <row r="99" spans="1:123" x14ac:dyDescent="0.15">
      <c r="A99">
        <v>96</v>
      </c>
      <c r="B99" s="16" t="s">
        <v>422</v>
      </c>
      <c r="C99" s="7" t="s">
        <v>224</v>
      </c>
      <c r="D99" s="1">
        <v>191</v>
      </c>
      <c r="E99">
        <v>1</v>
      </c>
      <c r="F99">
        <f t="shared" si="31"/>
        <v>5004</v>
      </c>
      <c r="H99">
        <v>4</v>
      </c>
      <c r="AL99">
        <v>97</v>
      </c>
      <c r="AM99">
        <f t="shared" si="30"/>
        <v>14</v>
      </c>
      <c r="CK99">
        <v>96</v>
      </c>
      <c r="CL99" s="13" t="b">
        <f t="shared" si="32"/>
        <v>1</v>
      </c>
      <c r="CM99" s="13" t="str">
        <f t="shared" si="40"/>
        <v/>
      </c>
      <c r="CN99" s="13" t="str">
        <f t="shared" si="40"/>
        <v/>
      </c>
      <c r="CO99" s="13" t="str">
        <f t="shared" si="39"/>
        <v/>
      </c>
      <c r="CP99" s="13" t="str">
        <f t="shared" si="39"/>
        <v/>
      </c>
      <c r="CQ99" s="13" t="str">
        <f t="shared" si="39"/>
        <v/>
      </c>
      <c r="CR99" t="str">
        <f t="shared" si="33"/>
        <v>3501074</v>
      </c>
      <c r="CS99" t="str">
        <f t="shared" si="34"/>
        <v/>
      </c>
      <c r="CT99" t="str">
        <f t="shared" si="35"/>
        <v/>
      </c>
      <c r="CU99" t="str">
        <f t="shared" si="36"/>
        <v/>
      </c>
      <c r="CV99" t="str">
        <f t="shared" si="37"/>
        <v/>
      </c>
      <c r="CW99" t="str">
        <f t="shared" si="38"/>
        <v/>
      </c>
      <c r="CX99">
        <v>7</v>
      </c>
      <c r="DD99">
        <v>3</v>
      </c>
      <c r="DJ99" s="14" t="s">
        <v>145</v>
      </c>
      <c r="DR99">
        <v>3602054</v>
      </c>
      <c r="DS99" s="14" t="s">
        <v>150</v>
      </c>
    </row>
    <row r="100" spans="1:123" x14ac:dyDescent="0.15">
      <c r="A100">
        <v>97</v>
      </c>
      <c r="B100" s="16" t="s">
        <v>406</v>
      </c>
      <c r="C100" s="7" t="s">
        <v>225</v>
      </c>
      <c r="D100" s="1">
        <v>193</v>
      </c>
      <c r="E100">
        <v>1</v>
      </c>
      <c r="F100">
        <f t="shared" si="31"/>
        <v>5003</v>
      </c>
      <c r="H100">
        <v>3</v>
      </c>
      <c r="AL100">
        <v>98</v>
      </c>
      <c r="AM100">
        <f t="shared" si="30"/>
        <v>14</v>
      </c>
      <c r="CK100">
        <v>97</v>
      </c>
      <c r="CL100" s="13" t="b">
        <f t="shared" si="32"/>
        <v>1</v>
      </c>
      <c r="CM100" s="13" t="str">
        <f t="shared" si="40"/>
        <v/>
      </c>
      <c r="CN100" s="13" t="str">
        <f t="shared" si="40"/>
        <v/>
      </c>
      <c r="CO100" s="13" t="str">
        <f t="shared" si="39"/>
        <v/>
      </c>
      <c r="CP100" s="13" t="str">
        <f t="shared" si="39"/>
        <v/>
      </c>
      <c r="CQ100" s="13" t="str">
        <f t="shared" si="39"/>
        <v/>
      </c>
      <c r="CR100" t="str">
        <f t="shared" si="33"/>
        <v>3201071</v>
      </c>
      <c r="CS100" t="str">
        <f t="shared" si="34"/>
        <v/>
      </c>
      <c r="CT100" t="str">
        <f t="shared" si="35"/>
        <v/>
      </c>
      <c r="CU100" t="str">
        <f t="shared" si="36"/>
        <v/>
      </c>
      <c r="CV100" t="str">
        <f t="shared" si="37"/>
        <v/>
      </c>
      <c r="CW100" t="str">
        <f t="shared" si="38"/>
        <v/>
      </c>
      <c r="CX100">
        <v>7</v>
      </c>
      <c r="DD100">
        <v>3</v>
      </c>
      <c r="DJ100" s="14" t="s">
        <v>65</v>
      </c>
      <c r="DR100">
        <v>3300055</v>
      </c>
      <c r="DS100" s="14" t="s">
        <v>153</v>
      </c>
    </row>
    <row r="101" spans="1:123" x14ac:dyDescent="0.15">
      <c r="A101">
        <v>98</v>
      </c>
      <c r="B101" s="16" t="s">
        <v>406</v>
      </c>
      <c r="C101" s="7" t="s">
        <v>226</v>
      </c>
      <c r="D101" s="1">
        <v>195</v>
      </c>
      <c r="E101">
        <v>1</v>
      </c>
      <c r="F101">
        <f t="shared" si="31"/>
        <v>5002</v>
      </c>
      <c r="H101">
        <v>2</v>
      </c>
      <c r="AL101">
        <v>99</v>
      </c>
      <c r="AM101">
        <f t="shared" si="30"/>
        <v>14</v>
      </c>
      <c r="CK101">
        <v>98</v>
      </c>
      <c r="CL101" s="13" t="b">
        <f t="shared" si="32"/>
        <v>1</v>
      </c>
      <c r="CM101" s="13" t="str">
        <f t="shared" si="40"/>
        <v/>
      </c>
      <c r="CN101" s="13" t="str">
        <f t="shared" si="40"/>
        <v/>
      </c>
      <c r="CO101" s="13" t="str">
        <f t="shared" si="39"/>
        <v/>
      </c>
      <c r="CP101" s="13" t="str">
        <f t="shared" si="39"/>
        <v/>
      </c>
      <c r="CQ101" s="13" t="str">
        <f t="shared" si="39"/>
        <v/>
      </c>
      <c r="CR101" t="str">
        <f t="shared" si="33"/>
        <v>3201071</v>
      </c>
      <c r="CS101" t="str">
        <f t="shared" si="34"/>
        <v/>
      </c>
      <c r="CT101" t="str">
        <f t="shared" si="35"/>
        <v/>
      </c>
      <c r="CU101" t="str">
        <f t="shared" si="36"/>
        <v/>
      </c>
      <c r="CV101" t="str">
        <f t="shared" si="37"/>
        <v/>
      </c>
      <c r="CW101" t="str">
        <f t="shared" si="38"/>
        <v/>
      </c>
      <c r="CX101">
        <v>7</v>
      </c>
      <c r="DD101">
        <v>3</v>
      </c>
      <c r="DJ101" s="14" t="s">
        <v>65</v>
      </c>
      <c r="DR101">
        <v>3302055</v>
      </c>
      <c r="DS101" s="14" t="s">
        <v>156</v>
      </c>
    </row>
    <row r="102" spans="1:123" x14ac:dyDescent="0.15">
      <c r="A102">
        <v>99</v>
      </c>
      <c r="B102" s="6" t="s">
        <v>227</v>
      </c>
      <c r="C102" s="7" t="s">
        <v>228</v>
      </c>
      <c r="D102" s="1">
        <v>197</v>
      </c>
      <c r="E102">
        <v>1</v>
      </c>
      <c r="F102">
        <f t="shared" si="31"/>
        <v>5005</v>
      </c>
      <c r="H102">
        <v>5</v>
      </c>
      <c r="AL102">
        <v>100</v>
      </c>
      <c r="AM102">
        <f t="shared" si="30"/>
        <v>14</v>
      </c>
      <c r="CK102">
        <v>99</v>
      </c>
      <c r="CL102" s="13" t="b">
        <f t="shared" si="32"/>
        <v>1</v>
      </c>
      <c r="CM102" s="13" t="str">
        <f t="shared" si="40"/>
        <v/>
      </c>
      <c r="CN102" s="13" t="str">
        <f t="shared" si="40"/>
        <v/>
      </c>
      <c r="CO102" s="13" t="str">
        <f t="shared" si="39"/>
        <v/>
      </c>
      <c r="CP102" s="13" t="str">
        <f t="shared" si="39"/>
        <v/>
      </c>
      <c r="CQ102" s="13" t="str">
        <f t="shared" si="39"/>
        <v/>
      </c>
      <c r="CR102" t="str">
        <f t="shared" si="33"/>
        <v>3301071</v>
      </c>
      <c r="CS102" t="str">
        <f t="shared" si="34"/>
        <v/>
      </c>
      <c r="CT102" t="str">
        <f t="shared" si="35"/>
        <v/>
      </c>
      <c r="CU102" t="str">
        <f t="shared" si="36"/>
        <v/>
      </c>
      <c r="CV102" t="str">
        <f t="shared" si="37"/>
        <v/>
      </c>
      <c r="CW102" t="str">
        <f t="shared" si="38"/>
        <v/>
      </c>
      <c r="CX102">
        <v>7</v>
      </c>
      <c r="DD102">
        <v>3</v>
      </c>
      <c r="DJ102" s="14" t="s">
        <v>71</v>
      </c>
      <c r="DR102">
        <v>3400055</v>
      </c>
      <c r="DS102" s="14" t="s">
        <v>159</v>
      </c>
    </row>
    <row r="103" spans="1:123" x14ac:dyDescent="0.15">
      <c r="A103">
        <v>100</v>
      </c>
      <c r="B103" s="16" t="s">
        <v>227</v>
      </c>
      <c r="C103" s="7" t="s">
        <v>229</v>
      </c>
      <c r="D103" s="1">
        <v>199</v>
      </c>
      <c r="E103">
        <v>1</v>
      </c>
      <c r="F103">
        <f t="shared" si="31"/>
        <v>5004</v>
      </c>
      <c r="H103">
        <v>4</v>
      </c>
      <c r="AL103">
        <v>101</v>
      </c>
      <c r="AM103">
        <f t="shared" si="30"/>
        <v>15</v>
      </c>
      <c r="CK103">
        <v>100</v>
      </c>
      <c r="CL103" s="13" t="b">
        <f t="shared" si="32"/>
        <v>1</v>
      </c>
      <c r="CM103" s="13" t="str">
        <f t="shared" si="40"/>
        <v/>
      </c>
      <c r="CN103" s="13" t="str">
        <f t="shared" si="40"/>
        <v/>
      </c>
      <c r="CO103" s="13" t="str">
        <f t="shared" si="39"/>
        <v/>
      </c>
      <c r="CP103" s="13" t="str">
        <f t="shared" si="39"/>
        <v/>
      </c>
      <c r="CQ103" s="13" t="str">
        <f t="shared" si="39"/>
        <v/>
      </c>
      <c r="CR103" t="str">
        <f t="shared" si="33"/>
        <v>3301071</v>
      </c>
      <c r="CS103" t="str">
        <f t="shared" si="34"/>
        <v/>
      </c>
      <c r="CT103" t="str">
        <f t="shared" si="35"/>
        <v/>
      </c>
      <c r="CU103" t="str">
        <f t="shared" si="36"/>
        <v/>
      </c>
      <c r="CV103" t="str">
        <f t="shared" si="37"/>
        <v/>
      </c>
      <c r="CW103" t="str">
        <f t="shared" si="38"/>
        <v/>
      </c>
      <c r="CX103">
        <v>7</v>
      </c>
      <c r="DD103">
        <v>3</v>
      </c>
      <c r="DJ103" s="14" t="s">
        <v>71</v>
      </c>
      <c r="DR103">
        <v>3200061</v>
      </c>
      <c r="DS103" s="14" t="s">
        <v>62</v>
      </c>
    </row>
    <row r="104" spans="1:123" x14ac:dyDescent="0.15">
      <c r="A104">
        <v>101</v>
      </c>
      <c r="B104" s="16" t="s">
        <v>230</v>
      </c>
      <c r="C104" s="7" t="s">
        <v>231</v>
      </c>
      <c r="D104" s="1">
        <v>201</v>
      </c>
      <c r="E104">
        <v>1</v>
      </c>
      <c r="F104">
        <f t="shared" si="31"/>
        <v>5005</v>
      </c>
      <c r="H104">
        <v>5</v>
      </c>
      <c r="AL104">
        <v>102</v>
      </c>
      <c r="AM104">
        <f t="shared" si="30"/>
        <v>15</v>
      </c>
      <c r="CK104">
        <v>101</v>
      </c>
      <c r="CL104" s="13" t="b">
        <f t="shared" si="32"/>
        <v>1</v>
      </c>
      <c r="CM104" s="13" t="str">
        <f t="shared" si="40"/>
        <v/>
      </c>
      <c r="CN104" s="13" t="str">
        <f t="shared" si="40"/>
        <v/>
      </c>
      <c r="CO104" s="13" t="str">
        <f t="shared" si="39"/>
        <v/>
      </c>
      <c r="CP104" s="13" t="str">
        <f t="shared" si="39"/>
        <v/>
      </c>
      <c r="CQ104" s="13" t="str">
        <f t="shared" si="39"/>
        <v/>
      </c>
      <c r="CR104" t="str">
        <f t="shared" si="33"/>
        <v>5201082</v>
      </c>
      <c r="CS104" t="str">
        <f t="shared" si="34"/>
        <v/>
      </c>
      <c r="CT104" t="str">
        <f t="shared" si="35"/>
        <v/>
      </c>
      <c r="CU104" t="str">
        <f t="shared" si="36"/>
        <v/>
      </c>
      <c r="CV104" t="str">
        <f t="shared" si="37"/>
        <v/>
      </c>
      <c r="CW104" t="str">
        <f t="shared" si="38"/>
        <v/>
      </c>
      <c r="CX104">
        <v>8</v>
      </c>
      <c r="DD104">
        <v>5</v>
      </c>
      <c r="DJ104" s="14" t="s">
        <v>92</v>
      </c>
      <c r="DR104">
        <v>3201061</v>
      </c>
      <c r="DS104" s="14" t="s">
        <v>65</v>
      </c>
    </row>
    <row r="105" spans="1:123" x14ac:dyDescent="0.15">
      <c r="A105">
        <v>102</v>
      </c>
      <c r="B105" s="16" t="s">
        <v>407</v>
      </c>
      <c r="C105" s="7" t="s">
        <v>233</v>
      </c>
      <c r="D105" s="1">
        <v>203</v>
      </c>
      <c r="E105">
        <v>1</v>
      </c>
      <c r="F105">
        <f t="shared" si="31"/>
        <v>5004</v>
      </c>
      <c r="H105">
        <v>4</v>
      </c>
      <c r="AL105">
        <v>103</v>
      </c>
      <c r="AM105">
        <f t="shared" si="30"/>
        <v>15</v>
      </c>
      <c r="CK105">
        <v>102</v>
      </c>
      <c r="CL105" s="13" t="b">
        <f t="shared" si="32"/>
        <v>1</v>
      </c>
      <c r="CM105" s="13" t="str">
        <f t="shared" si="40"/>
        <v/>
      </c>
      <c r="CN105" s="13" t="str">
        <f t="shared" si="40"/>
        <v/>
      </c>
      <c r="CO105" s="13" t="str">
        <f t="shared" si="39"/>
        <v/>
      </c>
      <c r="CP105" s="13" t="str">
        <f t="shared" si="39"/>
        <v/>
      </c>
      <c r="CQ105" s="13" t="str">
        <f t="shared" si="39"/>
        <v/>
      </c>
      <c r="CR105" t="str">
        <f t="shared" si="33"/>
        <v>5200082</v>
      </c>
      <c r="CS105" t="str">
        <f t="shared" si="34"/>
        <v/>
      </c>
      <c r="CT105" t="str">
        <f t="shared" si="35"/>
        <v/>
      </c>
      <c r="CU105" t="str">
        <f t="shared" si="36"/>
        <v/>
      </c>
      <c r="CV105" t="str">
        <f t="shared" si="37"/>
        <v/>
      </c>
      <c r="CW105" t="str">
        <f t="shared" si="38"/>
        <v/>
      </c>
      <c r="CX105">
        <v>8</v>
      </c>
      <c r="DD105">
        <v>5</v>
      </c>
      <c r="DJ105" s="14" t="s">
        <v>88</v>
      </c>
      <c r="DR105">
        <v>3202061</v>
      </c>
      <c r="DS105" s="14" t="s">
        <v>68</v>
      </c>
    </row>
    <row r="106" spans="1:123" x14ac:dyDescent="0.15">
      <c r="A106">
        <v>103</v>
      </c>
      <c r="B106" s="16" t="s">
        <v>408</v>
      </c>
      <c r="C106" s="7" t="s">
        <v>235</v>
      </c>
      <c r="D106" s="1">
        <v>205</v>
      </c>
      <c r="E106">
        <v>1</v>
      </c>
      <c r="F106">
        <f t="shared" si="31"/>
        <v>5003</v>
      </c>
      <c r="H106">
        <v>3</v>
      </c>
      <c r="AL106">
        <v>104</v>
      </c>
      <c r="AM106">
        <f t="shared" si="30"/>
        <v>15</v>
      </c>
      <c r="CK106">
        <v>103</v>
      </c>
      <c r="CL106" s="13" t="b">
        <f t="shared" si="32"/>
        <v>1</v>
      </c>
      <c r="CM106" s="13" t="str">
        <f t="shared" si="40"/>
        <v/>
      </c>
      <c r="CN106" s="13" t="str">
        <f t="shared" si="40"/>
        <v/>
      </c>
      <c r="CO106" s="13" t="str">
        <f t="shared" si="39"/>
        <v/>
      </c>
      <c r="CP106" s="13" t="str">
        <f t="shared" si="39"/>
        <v/>
      </c>
      <c r="CQ106" s="13" t="str">
        <f t="shared" si="39"/>
        <v/>
      </c>
      <c r="CR106" t="str">
        <f t="shared" si="33"/>
        <v>5502081</v>
      </c>
      <c r="CS106" t="str">
        <f t="shared" si="34"/>
        <v/>
      </c>
      <c r="CT106" t="str">
        <f t="shared" si="35"/>
        <v/>
      </c>
      <c r="CU106" t="str">
        <f t="shared" si="36"/>
        <v/>
      </c>
      <c r="CV106" t="str">
        <f t="shared" si="37"/>
        <v/>
      </c>
      <c r="CW106" t="str">
        <f t="shared" si="38"/>
        <v/>
      </c>
      <c r="CX106">
        <v>8</v>
      </c>
      <c r="DD106">
        <v>5</v>
      </c>
      <c r="DJ106" s="14" t="s">
        <v>81</v>
      </c>
      <c r="DR106">
        <v>3301061</v>
      </c>
      <c r="DS106" s="14" t="s">
        <v>71</v>
      </c>
    </row>
    <row r="107" spans="1:123" x14ac:dyDescent="0.15">
      <c r="A107">
        <v>104</v>
      </c>
      <c r="B107" s="16" t="s">
        <v>409</v>
      </c>
      <c r="C107" s="7" t="s">
        <v>237</v>
      </c>
      <c r="D107" s="1">
        <v>207</v>
      </c>
      <c r="E107">
        <v>1</v>
      </c>
      <c r="F107">
        <f t="shared" si="31"/>
        <v>5002</v>
      </c>
      <c r="H107">
        <v>2</v>
      </c>
      <c r="AL107">
        <v>105</v>
      </c>
      <c r="AM107">
        <f t="shared" si="30"/>
        <v>15</v>
      </c>
      <c r="CK107">
        <v>104</v>
      </c>
      <c r="CL107" s="13" t="b">
        <f t="shared" si="32"/>
        <v>1</v>
      </c>
      <c r="CM107" s="13" t="str">
        <f t="shared" si="40"/>
        <v/>
      </c>
      <c r="CN107" s="13" t="str">
        <f t="shared" si="40"/>
        <v/>
      </c>
      <c r="CO107" s="13" t="str">
        <f t="shared" si="39"/>
        <v/>
      </c>
      <c r="CP107" s="13" t="str">
        <f t="shared" si="39"/>
        <v/>
      </c>
      <c r="CQ107" s="13" t="str">
        <f t="shared" si="39"/>
        <v/>
      </c>
      <c r="CR107" t="str">
        <f t="shared" si="33"/>
        <v>5202082</v>
      </c>
      <c r="CS107" t="str">
        <f t="shared" si="34"/>
        <v/>
      </c>
      <c r="CT107" t="str">
        <f t="shared" si="35"/>
        <v/>
      </c>
      <c r="CU107" t="str">
        <f t="shared" si="36"/>
        <v/>
      </c>
      <c r="CV107" t="str">
        <f t="shared" si="37"/>
        <v/>
      </c>
      <c r="CW107" t="str">
        <f t="shared" si="38"/>
        <v/>
      </c>
      <c r="CX107">
        <v>8</v>
      </c>
      <c r="DD107">
        <v>5</v>
      </c>
      <c r="DJ107" s="14" t="s">
        <v>95</v>
      </c>
      <c r="DR107">
        <v>3401061</v>
      </c>
      <c r="DS107" s="14" t="s">
        <v>73</v>
      </c>
    </row>
    <row r="108" spans="1:123" x14ac:dyDescent="0.15">
      <c r="A108">
        <v>105</v>
      </c>
      <c r="B108" s="16" t="s">
        <v>407</v>
      </c>
      <c r="C108" s="7" t="s">
        <v>238</v>
      </c>
      <c r="D108" s="1">
        <v>209</v>
      </c>
      <c r="E108">
        <v>1</v>
      </c>
      <c r="F108">
        <f t="shared" si="31"/>
        <v>5005</v>
      </c>
      <c r="H108">
        <v>5</v>
      </c>
      <c r="AL108">
        <v>106</v>
      </c>
      <c r="AM108">
        <f t="shared" si="30"/>
        <v>15</v>
      </c>
      <c r="CK108">
        <v>105</v>
      </c>
      <c r="CL108" s="13" t="b">
        <f t="shared" si="32"/>
        <v>1</v>
      </c>
      <c r="CM108" s="13" t="str">
        <f t="shared" si="40"/>
        <v/>
      </c>
      <c r="CN108" s="13" t="str">
        <f t="shared" si="40"/>
        <v/>
      </c>
      <c r="CO108" s="13" t="str">
        <f t="shared" si="39"/>
        <v/>
      </c>
      <c r="CP108" s="13" t="str">
        <f t="shared" si="39"/>
        <v/>
      </c>
      <c r="CQ108" s="13" t="str">
        <f t="shared" si="39"/>
        <v/>
      </c>
      <c r="CR108" t="str">
        <f t="shared" si="33"/>
        <v>5200082</v>
      </c>
      <c r="CS108" t="str">
        <f t="shared" si="34"/>
        <v/>
      </c>
      <c r="CT108" t="str">
        <f t="shared" si="35"/>
        <v/>
      </c>
      <c r="CU108" t="str">
        <f t="shared" si="36"/>
        <v/>
      </c>
      <c r="CV108" t="str">
        <f t="shared" si="37"/>
        <v/>
      </c>
      <c r="CW108" t="str">
        <f t="shared" si="38"/>
        <v/>
      </c>
      <c r="CX108">
        <v>8</v>
      </c>
      <c r="DD108">
        <v>5</v>
      </c>
      <c r="DJ108" s="14" t="s">
        <v>88</v>
      </c>
      <c r="DR108">
        <v>3402061</v>
      </c>
      <c r="DS108" s="14" t="s">
        <v>76</v>
      </c>
    </row>
    <row r="109" spans="1:123" x14ac:dyDescent="0.15">
      <c r="A109">
        <v>106</v>
      </c>
      <c r="B109" s="16" t="s">
        <v>410</v>
      </c>
      <c r="C109" s="7" t="s">
        <v>240</v>
      </c>
      <c r="D109" s="1">
        <v>211</v>
      </c>
      <c r="E109">
        <v>1</v>
      </c>
      <c r="F109">
        <f t="shared" si="31"/>
        <v>5004</v>
      </c>
      <c r="H109">
        <v>4</v>
      </c>
      <c r="AL109">
        <v>107</v>
      </c>
      <c r="AM109">
        <f t="shared" si="30"/>
        <v>15</v>
      </c>
      <c r="CK109">
        <v>106</v>
      </c>
      <c r="CL109" s="13" t="b">
        <f t="shared" si="32"/>
        <v>1</v>
      </c>
      <c r="CM109" s="13" t="str">
        <f t="shared" si="40"/>
        <v/>
      </c>
      <c r="CN109" s="13" t="str">
        <f t="shared" si="40"/>
        <v/>
      </c>
      <c r="CO109" s="13" t="str">
        <f t="shared" si="39"/>
        <v/>
      </c>
      <c r="CP109" s="13" t="str">
        <f t="shared" si="39"/>
        <v/>
      </c>
      <c r="CQ109" s="13" t="str">
        <f t="shared" si="39"/>
        <v/>
      </c>
      <c r="CR109" t="str">
        <f t="shared" si="33"/>
        <v>5201083</v>
      </c>
      <c r="CS109" t="str">
        <f t="shared" si="34"/>
        <v/>
      </c>
      <c r="CT109" t="str">
        <f t="shared" si="35"/>
        <v/>
      </c>
      <c r="CU109" t="str">
        <f t="shared" si="36"/>
        <v/>
      </c>
      <c r="CV109" t="str">
        <f t="shared" si="37"/>
        <v/>
      </c>
      <c r="CW109" t="str">
        <f t="shared" si="38"/>
        <v/>
      </c>
      <c r="CX109">
        <v>8</v>
      </c>
      <c r="DD109">
        <v>5</v>
      </c>
      <c r="DJ109" s="14" t="s">
        <v>121</v>
      </c>
      <c r="DR109">
        <v>3500061</v>
      </c>
      <c r="DS109" s="14" t="s">
        <v>79</v>
      </c>
    </row>
    <row r="110" spans="1:123" x14ac:dyDescent="0.15">
      <c r="A110">
        <v>107</v>
      </c>
      <c r="B110" s="16" t="s">
        <v>411</v>
      </c>
      <c r="C110" s="7" t="s">
        <v>242</v>
      </c>
      <c r="D110" s="1">
        <v>213</v>
      </c>
      <c r="E110">
        <v>1</v>
      </c>
      <c r="F110">
        <f t="shared" si="31"/>
        <v>5003</v>
      </c>
      <c r="H110">
        <v>3</v>
      </c>
      <c r="AL110">
        <v>108</v>
      </c>
      <c r="AM110">
        <f t="shared" si="30"/>
        <v>15</v>
      </c>
      <c r="CK110">
        <v>107</v>
      </c>
      <c r="CL110" s="13" t="b">
        <f t="shared" si="32"/>
        <v>1</v>
      </c>
      <c r="CM110" s="13" t="str">
        <f t="shared" si="40"/>
        <v/>
      </c>
      <c r="CN110" s="13" t="str">
        <f t="shared" si="40"/>
        <v/>
      </c>
      <c r="CO110" s="13" t="str">
        <f t="shared" si="39"/>
        <v/>
      </c>
      <c r="CP110" s="13" t="str">
        <f t="shared" si="39"/>
        <v/>
      </c>
      <c r="CQ110" s="13" t="str">
        <f t="shared" si="39"/>
        <v/>
      </c>
      <c r="CR110" t="str">
        <f t="shared" si="33"/>
        <v>5500083</v>
      </c>
      <c r="CS110" t="str">
        <f t="shared" si="34"/>
        <v/>
      </c>
      <c r="CT110" t="str">
        <f t="shared" si="35"/>
        <v/>
      </c>
      <c r="CU110" t="str">
        <f t="shared" si="36"/>
        <v/>
      </c>
      <c r="CV110" t="str">
        <f t="shared" si="37"/>
        <v/>
      </c>
      <c r="CW110" t="str">
        <f t="shared" si="38"/>
        <v/>
      </c>
      <c r="CX110">
        <v>8</v>
      </c>
      <c r="DD110">
        <v>5</v>
      </c>
      <c r="DJ110" s="14" t="s">
        <v>139</v>
      </c>
      <c r="DR110">
        <v>3502061</v>
      </c>
      <c r="DS110" s="14" t="s">
        <v>81</v>
      </c>
    </row>
    <row r="111" spans="1:123" x14ac:dyDescent="0.15">
      <c r="A111">
        <v>108</v>
      </c>
      <c r="B111" s="16" t="s">
        <v>412</v>
      </c>
      <c r="C111" s="7" t="s">
        <v>244</v>
      </c>
      <c r="D111" s="1">
        <v>215</v>
      </c>
      <c r="E111">
        <v>1</v>
      </c>
      <c r="F111">
        <f t="shared" si="31"/>
        <v>5002</v>
      </c>
      <c r="H111">
        <v>2</v>
      </c>
      <c r="AL111">
        <v>109</v>
      </c>
      <c r="AM111">
        <f t="shared" si="30"/>
        <v>15</v>
      </c>
      <c r="CK111">
        <v>108</v>
      </c>
      <c r="CL111" s="13" t="b">
        <f t="shared" si="32"/>
        <v>1</v>
      </c>
      <c r="CM111" s="13" t="str">
        <f t="shared" si="40"/>
        <v/>
      </c>
      <c r="CN111" s="13" t="str">
        <f t="shared" si="40"/>
        <v/>
      </c>
      <c r="CO111" s="13" t="str">
        <f t="shared" si="39"/>
        <v/>
      </c>
      <c r="CP111" s="13" t="str">
        <f t="shared" si="39"/>
        <v/>
      </c>
      <c r="CQ111" s="13" t="str">
        <f t="shared" si="39"/>
        <v/>
      </c>
      <c r="CR111" t="str">
        <f t="shared" si="33"/>
        <v>5401081</v>
      </c>
      <c r="CS111" t="str">
        <f t="shared" si="34"/>
        <v/>
      </c>
      <c r="CT111" t="str">
        <f t="shared" si="35"/>
        <v/>
      </c>
      <c r="CU111" t="str">
        <f t="shared" si="36"/>
        <v/>
      </c>
      <c r="CV111" t="str">
        <f t="shared" si="37"/>
        <v/>
      </c>
      <c r="CW111" t="str">
        <f t="shared" si="38"/>
        <v/>
      </c>
      <c r="CX111">
        <v>8</v>
      </c>
      <c r="DD111">
        <v>5</v>
      </c>
      <c r="DJ111" s="15" t="s">
        <v>73</v>
      </c>
      <c r="DR111">
        <v>3601061</v>
      </c>
      <c r="DS111" s="14" t="s">
        <v>84</v>
      </c>
    </row>
    <row r="112" spans="1:123" x14ac:dyDescent="0.15">
      <c r="A112">
        <v>109</v>
      </c>
      <c r="B112" s="16" t="s">
        <v>409</v>
      </c>
      <c r="C112" s="7" t="s">
        <v>246</v>
      </c>
      <c r="D112" s="1">
        <v>217</v>
      </c>
      <c r="E112">
        <v>1</v>
      </c>
      <c r="F112">
        <f t="shared" si="31"/>
        <v>5005</v>
      </c>
      <c r="H112">
        <v>5</v>
      </c>
      <c r="AL112">
        <v>110</v>
      </c>
      <c r="AM112">
        <f t="shared" si="30"/>
        <v>15</v>
      </c>
      <c r="CK112">
        <v>109</v>
      </c>
      <c r="CL112" s="13" t="b">
        <f t="shared" si="32"/>
        <v>1</v>
      </c>
      <c r="CM112" s="13" t="str">
        <f t="shared" si="40"/>
        <v/>
      </c>
      <c r="CN112" s="13" t="str">
        <f t="shared" si="40"/>
        <v/>
      </c>
      <c r="CO112" s="13" t="str">
        <f t="shared" si="39"/>
        <v/>
      </c>
      <c r="CP112" s="13" t="str">
        <f t="shared" si="39"/>
        <v/>
      </c>
      <c r="CQ112" s="13" t="str">
        <f t="shared" si="39"/>
        <v/>
      </c>
      <c r="CR112" t="str">
        <f t="shared" si="33"/>
        <v>5202083</v>
      </c>
      <c r="CS112" t="str">
        <f t="shared" si="34"/>
        <v/>
      </c>
      <c r="CT112" t="str">
        <f t="shared" si="35"/>
        <v/>
      </c>
      <c r="CU112" t="str">
        <f t="shared" si="36"/>
        <v/>
      </c>
      <c r="CV112" t="str">
        <f t="shared" si="37"/>
        <v/>
      </c>
      <c r="CW112" t="str">
        <f t="shared" si="38"/>
        <v/>
      </c>
      <c r="CX112">
        <v>8</v>
      </c>
      <c r="DD112">
        <v>5</v>
      </c>
      <c r="DJ112" s="14" t="s">
        <v>124</v>
      </c>
      <c r="DR112">
        <v>3200062</v>
      </c>
      <c r="DS112" s="14" t="s">
        <v>88</v>
      </c>
    </row>
    <row r="113" spans="1:123" x14ac:dyDescent="0.15">
      <c r="A113">
        <v>110</v>
      </c>
      <c r="B113" s="16" t="s">
        <v>412</v>
      </c>
      <c r="C113" s="7" t="s">
        <v>248</v>
      </c>
      <c r="D113" s="1">
        <v>219</v>
      </c>
      <c r="E113">
        <v>1</v>
      </c>
      <c r="F113">
        <f t="shared" si="31"/>
        <v>5004</v>
      </c>
      <c r="H113">
        <v>4</v>
      </c>
      <c r="AL113">
        <v>111</v>
      </c>
      <c r="AM113">
        <f t="shared" si="30"/>
        <v>16</v>
      </c>
      <c r="CK113">
        <v>110</v>
      </c>
      <c r="CL113" s="13" t="b">
        <f t="shared" si="32"/>
        <v>1</v>
      </c>
      <c r="CM113" s="13" t="str">
        <f t="shared" si="40"/>
        <v/>
      </c>
      <c r="CN113" s="13" t="str">
        <f t="shared" si="40"/>
        <v/>
      </c>
      <c r="CO113" s="13" t="str">
        <f t="shared" si="39"/>
        <v/>
      </c>
      <c r="CP113" s="13" t="str">
        <f t="shared" si="39"/>
        <v/>
      </c>
      <c r="CQ113" s="13" t="str">
        <f t="shared" si="39"/>
        <v/>
      </c>
      <c r="CR113" t="str">
        <f t="shared" si="33"/>
        <v>5401083</v>
      </c>
      <c r="CS113" t="str">
        <f t="shared" si="34"/>
        <v/>
      </c>
      <c r="CT113" t="str">
        <f t="shared" si="35"/>
        <v/>
      </c>
      <c r="CU113" t="str">
        <f t="shared" si="36"/>
        <v/>
      </c>
      <c r="CV113" t="str">
        <f t="shared" si="37"/>
        <v/>
      </c>
      <c r="CW113" t="str">
        <f t="shared" si="38"/>
        <v/>
      </c>
      <c r="CX113">
        <v>8</v>
      </c>
      <c r="DD113">
        <v>5</v>
      </c>
      <c r="DJ113" s="14" t="s">
        <v>130</v>
      </c>
      <c r="DR113">
        <v>3201062</v>
      </c>
      <c r="DS113" s="14" t="s">
        <v>92</v>
      </c>
    </row>
    <row r="114" spans="1:123" x14ac:dyDescent="0.15">
      <c r="A114">
        <v>111</v>
      </c>
      <c r="B114" s="16" t="s">
        <v>413</v>
      </c>
      <c r="C114" s="7" t="s">
        <v>250</v>
      </c>
      <c r="D114" s="1">
        <v>221</v>
      </c>
      <c r="E114">
        <v>1</v>
      </c>
      <c r="F114">
        <f t="shared" si="31"/>
        <v>5003</v>
      </c>
      <c r="H114">
        <v>3</v>
      </c>
      <c r="AL114">
        <v>112</v>
      </c>
      <c r="AM114">
        <f t="shared" si="30"/>
        <v>16</v>
      </c>
      <c r="CK114">
        <v>111</v>
      </c>
      <c r="CL114" s="13" t="b">
        <f t="shared" si="32"/>
        <v>1</v>
      </c>
      <c r="CM114" s="13" t="str">
        <f t="shared" si="40"/>
        <v/>
      </c>
      <c r="CN114" s="13" t="str">
        <f t="shared" si="40"/>
        <v/>
      </c>
      <c r="CO114" s="13" t="str">
        <f t="shared" si="39"/>
        <v/>
      </c>
      <c r="CP114" s="13" t="str">
        <f t="shared" si="39"/>
        <v/>
      </c>
      <c r="CQ114" s="13" t="str">
        <f t="shared" si="39"/>
        <v/>
      </c>
      <c r="CR114" t="str">
        <f t="shared" si="33"/>
        <v>5301082</v>
      </c>
      <c r="CS114" t="str">
        <f t="shared" si="34"/>
        <v/>
      </c>
      <c r="CT114" t="str">
        <f t="shared" si="35"/>
        <v/>
      </c>
      <c r="CU114" t="str">
        <f t="shared" si="36"/>
        <v/>
      </c>
      <c r="CV114" t="str">
        <f t="shared" si="37"/>
        <v/>
      </c>
      <c r="CW114" t="str">
        <f t="shared" si="38"/>
        <v/>
      </c>
      <c r="CX114">
        <v>8</v>
      </c>
      <c r="DD114">
        <v>5</v>
      </c>
      <c r="DJ114" s="14" t="s">
        <v>98</v>
      </c>
      <c r="DR114">
        <v>3202062</v>
      </c>
      <c r="DS114" s="14" t="s">
        <v>95</v>
      </c>
    </row>
    <row r="115" spans="1:123" x14ac:dyDescent="0.15">
      <c r="A115">
        <v>112</v>
      </c>
      <c r="B115" s="16" t="s">
        <v>413</v>
      </c>
      <c r="C115" s="7" t="s">
        <v>252</v>
      </c>
      <c r="D115" s="1">
        <v>223</v>
      </c>
      <c r="E115">
        <v>1</v>
      </c>
      <c r="F115">
        <f t="shared" si="31"/>
        <v>5002</v>
      </c>
      <c r="H115">
        <v>2</v>
      </c>
      <c r="AL115">
        <v>113</v>
      </c>
      <c r="AM115">
        <f t="shared" si="30"/>
        <v>16</v>
      </c>
      <c r="CK115">
        <v>112</v>
      </c>
      <c r="CL115" s="13" t="b">
        <f t="shared" si="32"/>
        <v>1</v>
      </c>
      <c r="CM115" s="13" t="str">
        <f t="shared" si="40"/>
        <v/>
      </c>
      <c r="CN115" s="13" t="str">
        <f t="shared" si="40"/>
        <v/>
      </c>
      <c r="CO115" s="13" t="str">
        <f t="shared" si="39"/>
        <v/>
      </c>
      <c r="CP115" s="13" t="str">
        <f t="shared" si="39"/>
        <v/>
      </c>
      <c r="CQ115" s="13" t="str">
        <f t="shared" si="39"/>
        <v/>
      </c>
      <c r="CR115" t="str">
        <f t="shared" si="33"/>
        <v>5301081</v>
      </c>
      <c r="CS115" t="str">
        <f t="shared" si="34"/>
        <v/>
      </c>
      <c r="CT115" t="str">
        <f t="shared" si="35"/>
        <v/>
      </c>
      <c r="CU115" t="str">
        <f t="shared" si="36"/>
        <v/>
      </c>
      <c r="CV115" t="str">
        <f t="shared" si="37"/>
        <v/>
      </c>
      <c r="CW115" t="str">
        <f t="shared" si="38"/>
        <v/>
      </c>
      <c r="CX115">
        <v>8</v>
      </c>
      <c r="DD115">
        <v>5</v>
      </c>
      <c r="DJ115" s="14" t="s">
        <v>71</v>
      </c>
      <c r="DR115">
        <v>3301062</v>
      </c>
      <c r="DS115" s="14" t="s">
        <v>98</v>
      </c>
    </row>
    <row r="116" spans="1:123" x14ac:dyDescent="0.15">
      <c r="A116">
        <v>113</v>
      </c>
      <c r="B116" s="16" t="s">
        <v>410</v>
      </c>
      <c r="C116" s="7" t="s">
        <v>254</v>
      </c>
      <c r="D116" s="1">
        <v>225</v>
      </c>
      <c r="E116">
        <v>1</v>
      </c>
      <c r="F116">
        <f t="shared" si="31"/>
        <v>5005</v>
      </c>
      <c r="H116">
        <v>5</v>
      </c>
      <c r="AL116">
        <v>114</v>
      </c>
      <c r="AM116">
        <f t="shared" si="30"/>
        <v>16</v>
      </c>
      <c r="CK116">
        <v>113</v>
      </c>
      <c r="CL116" s="13" t="b">
        <f t="shared" si="32"/>
        <v>1</v>
      </c>
      <c r="CM116" s="13" t="str">
        <f t="shared" si="40"/>
        <v/>
      </c>
      <c r="CN116" s="13" t="str">
        <f t="shared" si="40"/>
        <v/>
      </c>
      <c r="CO116" s="13" t="str">
        <f t="shared" si="39"/>
        <v/>
      </c>
      <c r="CP116" s="13" t="str">
        <f t="shared" si="39"/>
        <v/>
      </c>
      <c r="CQ116" s="13" t="str">
        <f t="shared" si="39"/>
        <v/>
      </c>
      <c r="CR116" t="str">
        <f t="shared" si="33"/>
        <v>5201081</v>
      </c>
      <c r="CS116" t="str">
        <f t="shared" si="34"/>
        <v/>
      </c>
      <c r="CT116" t="str">
        <f t="shared" si="35"/>
        <v/>
      </c>
      <c r="CU116" t="str">
        <f t="shared" si="36"/>
        <v/>
      </c>
      <c r="CV116" t="str">
        <f t="shared" si="37"/>
        <v/>
      </c>
      <c r="CW116" t="str">
        <f t="shared" si="38"/>
        <v/>
      </c>
      <c r="CX116">
        <v>8</v>
      </c>
      <c r="DD116">
        <v>5</v>
      </c>
      <c r="DJ116" s="10" t="s">
        <v>65</v>
      </c>
      <c r="DR116">
        <v>3401062</v>
      </c>
      <c r="DS116" s="14" t="s">
        <v>101</v>
      </c>
    </row>
    <row r="117" spans="1:123" x14ac:dyDescent="0.15">
      <c r="A117">
        <v>114</v>
      </c>
      <c r="B117" s="16" t="s">
        <v>407</v>
      </c>
      <c r="C117" s="7" t="s">
        <v>255</v>
      </c>
      <c r="D117" s="1">
        <v>227</v>
      </c>
      <c r="E117">
        <v>1</v>
      </c>
      <c r="F117">
        <f t="shared" si="31"/>
        <v>5004</v>
      </c>
      <c r="H117">
        <v>4</v>
      </c>
      <c r="AL117">
        <v>115</v>
      </c>
      <c r="AM117">
        <f t="shared" si="30"/>
        <v>16</v>
      </c>
      <c r="CK117">
        <v>114</v>
      </c>
      <c r="CL117" s="13" t="b">
        <f t="shared" si="32"/>
        <v>1</v>
      </c>
      <c r="CM117" s="13" t="str">
        <f t="shared" si="40"/>
        <v/>
      </c>
      <c r="CN117" s="13" t="str">
        <f t="shared" si="40"/>
        <v/>
      </c>
      <c r="CO117" s="13" t="str">
        <f t="shared" si="39"/>
        <v/>
      </c>
      <c r="CP117" s="13" t="str">
        <f t="shared" si="39"/>
        <v/>
      </c>
      <c r="CQ117" s="13" t="str">
        <f t="shared" si="39"/>
        <v/>
      </c>
      <c r="CR117" t="str">
        <f t="shared" si="33"/>
        <v>5200082</v>
      </c>
      <c r="CS117" t="str">
        <f t="shared" si="34"/>
        <v/>
      </c>
      <c r="CT117" t="str">
        <f t="shared" si="35"/>
        <v/>
      </c>
      <c r="CU117" t="str">
        <f t="shared" si="36"/>
        <v/>
      </c>
      <c r="CV117" t="str">
        <f t="shared" si="37"/>
        <v/>
      </c>
      <c r="CW117" t="str">
        <f t="shared" si="38"/>
        <v/>
      </c>
      <c r="CX117">
        <v>8</v>
      </c>
      <c r="DD117">
        <v>5</v>
      </c>
      <c r="DJ117" s="10" t="s">
        <v>88</v>
      </c>
      <c r="DR117">
        <v>3402062</v>
      </c>
      <c r="DS117" s="14" t="s">
        <v>103</v>
      </c>
    </row>
    <row r="118" spans="1:123" x14ac:dyDescent="0.15">
      <c r="A118">
        <v>115</v>
      </c>
      <c r="B118" s="16" t="s">
        <v>256</v>
      </c>
      <c r="C118" s="7" t="s">
        <v>257</v>
      </c>
      <c r="D118" s="1">
        <v>229</v>
      </c>
      <c r="E118">
        <v>1</v>
      </c>
      <c r="F118">
        <f t="shared" si="31"/>
        <v>5003</v>
      </c>
      <c r="H118">
        <v>3</v>
      </c>
      <c r="AL118">
        <v>116</v>
      </c>
      <c r="AM118">
        <f t="shared" si="30"/>
        <v>16</v>
      </c>
      <c r="CK118">
        <v>115</v>
      </c>
      <c r="CL118" s="13" t="b">
        <f t="shared" si="32"/>
        <v>1</v>
      </c>
      <c r="CM118" s="13" t="str">
        <f t="shared" si="40"/>
        <v/>
      </c>
      <c r="CN118" s="13" t="str">
        <f t="shared" si="40"/>
        <v/>
      </c>
      <c r="CO118" s="13" t="str">
        <f t="shared" si="39"/>
        <v/>
      </c>
      <c r="CP118" s="13" t="str">
        <f t="shared" si="39"/>
        <v/>
      </c>
      <c r="CQ118" s="13" t="str">
        <f t="shared" si="39"/>
        <v/>
      </c>
      <c r="CR118" t="str">
        <f t="shared" si="33"/>
        <v>5202081</v>
      </c>
      <c r="CS118" t="str">
        <f t="shared" si="34"/>
        <v/>
      </c>
      <c r="CT118" t="str">
        <f t="shared" si="35"/>
        <v/>
      </c>
      <c r="CU118" t="str">
        <f t="shared" si="36"/>
        <v/>
      </c>
      <c r="CV118" t="str">
        <f t="shared" si="37"/>
        <v/>
      </c>
      <c r="CW118" t="str">
        <f t="shared" si="38"/>
        <v/>
      </c>
      <c r="CX118">
        <v>8</v>
      </c>
      <c r="DD118">
        <v>5</v>
      </c>
      <c r="DJ118" s="10" t="s">
        <v>68</v>
      </c>
      <c r="DR118">
        <v>3500062</v>
      </c>
      <c r="DS118" s="14" t="s">
        <v>107</v>
      </c>
    </row>
    <row r="119" spans="1:123" x14ac:dyDescent="0.15">
      <c r="A119">
        <v>116</v>
      </c>
      <c r="B119" s="16" t="s">
        <v>258</v>
      </c>
      <c r="C119" s="7" t="s">
        <v>259</v>
      </c>
      <c r="D119" s="1">
        <v>231</v>
      </c>
      <c r="E119">
        <v>1</v>
      </c>
      <c r="F119">
        <f t="shared" ref="F119:F123" si="41">H119+5000</f>
        <v>5002</v>
      </c>
      <c r="H119">
        <v>2</v>
      </c>
      <c r="AL119">
        <v>117</v>
      </c>
      <c r="AM119">
        <f t="shared" si="30"/>
        <v>16</v>
      </c>
      <c r="CK119">
        <v>116</v>
      </c>
      <c r="CL119" s="13" t="b">
        <f t="shared" si="32"/>
        <v>1</v>
      </c>
      <c r="CM119" s="13" t="str">
        <f t="shared" si="40"/>
        <v/>
      </c>
      <c r="CN119" s="13" t="str">
        <f t="shared" si="40"/>
        <v/>
      </c>
      <c r="CO119" s="13" t="str">
        <f t="shared" si="39"/>
        <v/>
      </c>
      <c r="CP119" s="13" t="str">
        <f t="shared" si="39"/>
        <v/>
      </c>
      <c r="CQ119" s="13" t="str">
        <f t="shared" si="39"/>
        <v/>
      </c>
      <c r="CR119" t="str">
        <f t="shared" si="33"/>
        <v>5302085</v>
      </c>
      <c r="CS119" t="str">
        <f t="shared" si="34"/>
        <v/>
      </c>
      <c r="CT119" t="str">
        <f t="shared" si="35"/>
        <v/>
      </c>
      <c r="CU119" t="str">
        <f t="shared" si="36"/>
        <v/>
      </c>
      <c r="CV119" t="str">
        <f t="shared" si="37"/>
        <v/>
      </c>
      <c r="CW119" t="str">
        <f t="shared" si="38"/>
        <v/>
      </c>
      <c r="CX119">
        <v>8</v>
      </c>
      <c r="DD119">
        <v>5</v>
      </c>
      <c r="DJ119" s="10" t="s">
        <v>156</v>
      </c>
      <c r="DR119">
        <v>3502062</v>
      </c>
      <c r="DS119" s="14" t="s">
        <v>111</v>
      </c>
    </row>
    <row r="120" spans="1:123" x14ac:dyDescent="0.15">
      <c r="A120">
        <v>117</v>
      </c>
      <c r="B120" s="16" t="s">
        <v>260</v>
      </c>
      <c r="C120" s="7" t="s">
        <v>261</v>
      </c>
      <c r="D120" s="1">
        <v>233</v>
      </c>
      <c r="E120">
        <v>1</v>
      </c>
      <c r="F120">
        <f t="shared" si="41"/>
        <v>5005</v>
      </c>
      <c r="H120">
        <v>5</v>
      </c>
      <c r="AL120">
        <v>118</v>
      </c>
      <c r="AM120">
        <f t="shared" si="30"/>
        <v>16</v>
      </c>
      <c r="CK120">
        <v>117</v>
      </c>
      <c r="CL120" s="13" t="b">
        <f t="shared" si="32"/>
        <v>1</v>
      </c>
      <c r="CM120" s="13" t="str">
        <f t="shared" si="40"/>
        <v/>
      </c>
      <c r="CN120" s="13" t="str">
        <f t="shared" si="40"/>
        <v/>
      </c>
      <c r="CO120" s="13" t="str">
        <f t="shared" si="39"/>
        <v/>
      </c>
      <c r="CP120" s="13" t="str">
        <f t="shared" si="39"/>
        <v/>
      </c>
      <c r="CQ120" s="13" t="str">
        <f t="shared" si="39"/>
        <v/>
      </c>
      <c r="CR120" t="str">
        <f t="shared" si="33"/>
        <v>5402082</v>
      </c>
      <c r="CS120" t="str">
        <f t="shared" si="34"/>
        <v/>
      </c>
      <c r="CT120" t="str">
        <f t="shared" si="35"/>
        <v/>
      </c>
      <c r="CU120" t="str">
        <f t="shared" si="36"/>
        <v/>
      </c>
      <c r="CV120" t="str">
        <f t="shared" si="37"/>
        <v/>
      </c>
      <c r="CW120" t="str">
        <f t="shared" si="38"/>
        <v/>
      </c>
      <c r="CX120">
        <v>8</v>
      </c>
      <c r="DD120">
        <v>5</v>
      </c>
      <c r="DJ120" s="10" t="s">
        <v>103</v>
      </c>
      <c r="DR120">
        <v>3601062</v>
      </c>
      <c r="DS120" s="14" t="s">
        <v>114</v>
      </c>
    </row>
    <row r="121" spans="1:123" x14ac:dyDescent="0.15">
      <c r="A121">
        <v>118</v>
      </c>
      <c r="B121" s="16" t="s">
        <v>249</v>
      </c>
      <c r="C121" s="7" t="s">
        <v>262</v>
      </c>
      <c r="D121" s="1">
        <v>235</v>
      </c>
      <c r="E121">
        <v>1</v>
      </c>
      <c r="F121">
        <f t="shared" si="41"/>
        <v>5004</v>
      </c>
      <c r="H121">
        <v>4</v>
      </c>
      <c r="AL121">
        <v>119</v>
      </c>
      <c r="AM121">
        <f t="shared" si="30"/>
        <v>16</v>
      </c>
      <c r="CK121">
        <v>118</v>
      </c>
      <c r="CL121" s="13" t="b">
        <f t="shared" si="32"/>
        <v>1</v>
      </c>
      <c r="CM121" s="13" t="str">
        <f t="shared" si="40"/>
        <v/>
      </c>
      <c r="CN121" s="13" t="str">
        <f t="shared" si="40"/>
        <v/>
      </c>
      <c r="CO121" s="13" t="str">
        <f t="shared" si="39"/>
        <v/>
      </c>
      <c r="CP121" s="13" t="str">
        <f t="shared" si="39"/>
        <v/>
      </c>
      <c r="CQ121" s="13" t="str">
        <f t="shared" si="39"/>
        <v/>
      </c>
      <c r="CR121" t="str">
        <f t="shared" si="33"/>
        <v>5301082</v>
      </c>
      <c r="CS121" t="str">
        <f t="shared" si="34"/>
        <v/>
      </c>
      <c r="CT121" t="str">
        <f t="shared" si="35"/>
        <v/>
      </c>
      <c r="CU121" t="str">
        <f t="shared" si="36"/>
        <v/>
      </c>
      <c r="CV121" t="str">
        <f t="shared" si="37"/>
        <v/>
      </c>
      <c r="CW121" t="str">
        <f t="shared" si="38"/>
        <v/>
      </c>
      <c r="CX121">
        <v>8</v>
      </c>
      <c r="DD121">
        <v>5</v>
      </c>
      <c r="DJ121" s="14" t="s">
        <v>98</v>
      </c>
      <c r="DR121">
        <v>3200063</v>
      </c>
      <c r="DS121" s="14" t="s">
        <v>118</v>
      </c>
    </row>
    <row r="122" spans="1:123" x14ac:dyDescent="0.15">
      <c r="A122">
        <v>119</v>
      </c>
      <c r="B122" s="16" t="s">
        <v>263</v>
      </c>
      <c r="C122" s="7" t="s">
        <v>264</v>
      </c>
      <c r="D122" s="1">
        <v>237</v>
      </c>
      <c r="E122">
        <v>1</v>
      </c>
      <c r="F122">
        <f t="shared" si="41"/>
        <v>5003</v>
      </c>
      <c r="H122">
        <v>3</v>
      </c>
      <c r="AL122">
        <v>120</v>
      </c>
      <c r="AM122">
        <f t="shared" si="30"/>
        <v>16</v>
      </c>
      <c r="CK122">
        <v>119</v>
      </c>
      <c r="CL122" s="13" t="b">
        <f t="shared" si="32"/>
        <v>1</v>
      </c>
      <c r="CM122" s="13" t="str">
        <f t="shared" si="40"/>
        <v/>
      </c>
      <c r="CN122" s="13" t="str">
        <f t="shared" si="40"/>
        <v/>
      </c>
      <c r="CO122" s="13" t="str">
        <f t="shared" si="39"/>
        <v/>
      </c>
      <c r="CP122" s="13" t="str">
        <f t="shared" si="39"/>
        <v/>
      </c>
      <c r="CQ122" s="13" t="str">
        <f t="shared" si="39"/>
        <v/>
      </c>
      <c r="CR122" t="str">
        <f t="shared" si="33"/>
        <v>5402083</v>
      </c>
      <c r="CS122" t="str">
        <f t="shared" si="34"/>
        <v/>
      </c>
      <c r="CT122" t="str">
        <f t="shared" si="35"/>
        <v/>
      </c>
      <c r="CU122" t="str">
        <f t="shared" si="36"/>
        <v/>
      </c>
      <c r="CV122" t="str">
        <f t="shared" si="37"/>
        <v/>
      </c>
      <c r="CW122" t="str">
        <f t="shared" si="38"/>
        <v/>
      </c>
      <c r="CX122">
        <v>8</v>
      </c>
      <c r="DD122">
        <v>5</v>
      </c>
      <c r="DJ122" s="15" t="s">
        <v>135</v>
      </c>
      <c r="DR122">
        <v>3201063</v>
      </c>
      <c r="DS122" s="14" t="s">
        <v>121</v>
      </c>
    </row>
    <row r="123" spans="1:123" x14ac:dyDescent="0.15">
      <c r="A123">
        <v>120</v>
      </c>
      <c r="B123" s="16" t="s">
        <v>265</v>
      </c>
      <c r="C123" s="7" t="s">
        <v>266</v>
      </c>
      <c r="D123" s="1">
        <v>239</v>
      </c>
      <c r="E123">
        <v>1</v>
      </c>
      <c r="F123">
        <f t="shared" si="41"/>
        <v>5002</v>
      </c>
      <c r="H123">
        <v>2</v>
      </c>
      <c r="AL123">
        <v>121</v>
      </c>
      <c r="AM123">
        <f t="shared" si="30"/>
        <v>17</v>
      </c>
      <c r="CK123">
        <v>120</v>
      </c>
      <c r="CL123" s="13" t="b">
        <f t="shared" si="32"/>
        <v>1</v>
      </c>
      <c r="CM123" s="13" t="str">
        <f t="shared" si="40"/>
        <v/>
      </c>
      <c r="CN123" s="13" t="str">
        <f t="shared" si="40"/>
        <v/>
      </c>
      <c r="CO123" s="13" t="str">
        <f t="shared" si="39"/>
        <v/>
      </c>
      <c r="CP123" s="13" t="str">
        <f t="shared" si="39"/>
        <v/>
      </c>
      <c r="CQ123" s="13" t="str">
        <f t="shared" si="39"/>
        <v/>
      </c>
      <c r="CR123" t="str">
        <f t="shared" si="33"/>
        <v>5602084</v>
      </c>
      <c r="CS123" t="str">
        <f t="shared" si="34"/>
        <v/>
      </c>
      <c r="CT123" t="str">
        <f t="shared" si="35"/>
        <v/>
      </c>
      <c r="CU123" t="str">
        <f t="shared" si="36"/>
        <v/>
      </c>
      <c r="CV123" t="str">
        <f t="shared" si="37"/>
        <v/>
      </c>
      <c r="CW123" t="str">
        <f t="shared" si="38"/>
        <v/>
      </c>
      <c r="CX123">
        <v>8</v>
      </c>
      <c r="DD123">
        <v>5</v>
      </c>
      <c r="DJ123" s="14" t="s">
        <v>150</v>
      </c>
      <c r="DR123">
        <v>3202063</v>
      </c>
      <c r="DS123" s="14" t="s">
        <v>124</v>
      </c>
    </row>
    <row r="124" spans="1:123" x14ac:dyDescent="0.15">
      <c r="A124">
        <v>121</v>
      </c>
      <c r="B124" s="16" t="s">
        <v>267</v>
      </c>
      <c r="C124" s="7">
        <v>291</v>
      </c>
      <c r="D124" s="1">
        <v>241</v>
      </c>
      <c r="E124">
        <v>1</v>
      </c>
      <c r="F124">
        <f t="shared" ref="F124:F153" si="42">H124+5000</f>
        <v>5005</v>
      </c>
      <c r="H124">
        <v>5</v>
      </c>
      <c r="AL124">
        <v>122</v>
      </c>
      <c r="AM124">
        <f t="shared" si="30"/>
        <v>17</v>
      </c>
      <c r="CK124">
        <v>121</v>
      </c>
      <c r="CL124" s="13" t="b">
        <f t="shared" si="32"/>
        <v>1</v>
      </c>
      <c r="CM124" s="13" t="str">
        <f t="shared" si="40"/>
        <v/>
      </c>
      <c r="CN124" s="13" t="str">
        <f t="shared" si="40"/>
        <v/>
      </c>
      <c r="CO124" s="13" t="str">
        <f t="shared" si="39"/>
        <v/>
      </c>
      <c r="CP124" s="13" t="str">
        <f t="shared" si="39"/>
        <v/>
      </c>
      <c r="CQ124" s="13" t="str">
        <f t="shared" si="39"/>
        <v/>
      </c>
      <c r="CR124" t="str">
        <f t="shared" si="33"/>
        <v>5302095</v>
      </c>
      <c r="CS124" t="str">
        <f t="shared" si="34"/>
        <v/>
      </c>
      <c r="CT124" t="str">
        <f t="shared" si="35"/>
        <v/>
      </c>
      <c r="CU124" t="str">
        <f t="shared" si="36"/>
        <v/>
      </c>
      <c r="CV124" t="str">
        <f t="shared" si="37"/>
        <v/>
      </c>
      <c r="CW124" t="str">
        <f t="shared" si="38"/>
        <v/>
      </c>
      <c r="CX124">
        <v>9</v>
      </c>
      <c r="DD124">
        <v>5</v>
      </c>
      <c r="DJ124" s="14" t="s">
        <v>156</v>
      </c>
      <c r="DR124">
        <v>3301063</v>
      </c>
      <c r="DS124" s="14" t="s">
        <v>126</v>
      </c>
    </row>
    <row r="125" spans="1:123" x14ac:dyDescent="0.15">
      <c r="A125">
        <v>122</v>
      </c>
      <c r="B125" s="16" t="s">
        <v>268</v>
      </c>
      <c r="C125" s="7">
        <v>292</v>
      </c>
      <c r="D125" s="1">
        <v>243</v>
      </c>
      <c r="E125">
        <v>1</v>
      </c>
      <c r="F125">
        <f t="shared" si="42"/>
        <v>5004</v>
      </c>
      <c r="H125">
        <v>4</v>
      </c>
      <c r="AL125">
        <v>123</v>
      </c>
      <c r="AM125">
        <f t="shared" si="30"/>
        <v>17</v>
      </c>
      <c r="CK125">
        <v>122</v>
      </c>
      <c r="CL125" s="13" t="b">
        <f t="shared" si="32"/>
        <v>1</v>
      </c>
      <c r="CM125" s="13" t="str">
        <f t="shared" si="40"/>
        <v/>
      </c>
      <c r="CN125" s="13" t="str">
        <f t="shared" si="40"/>
        <v/>
      </c>
      <c r="CO125" s="13" t="str">
        <f t="shared" si="39"/>
        <v/>
      </c>
      <c r="CP125" s="13" t="str">
        <f t="shared" si="39"/>
        <v/>
      </c>
      <c r="CQ125" s="13" t="str">
        <f t="shared" si="39"/>
        <v/>
      </c>
      <c r="CR125" t="str">
        <f t="shared" si="33"/>
        <v>5502091</v>
      </c>
      <c r="CS125" t="str">
        <f t="shared" si="34"/>
        <v/>
      </c>
      <c r="CT125" t="str">
        <f t="shared" si="35"/>
        <v/>
      </c>
      <c r="CU125" t="str">
        <f t="shared" si="36"/>
        <v/>
      </c>
      <c r="CV125" t="str">
        <f t="shared" si="37"/>
        <v/>
      </c>
      <c r="CW125" t="str">
        <f t="shared" si="38"/>
        <v/>
      </c>
      <c r="CX125">
        <v>9</v>
      </c>
      <c r="DD125">
        <v>5</v>
      </c>
      <c r="DJ125" s="14" t="s">
        <v>81</v>
      </c>
      <c r="DR125">
        <v>3401063</v>
      </c>
      <c r="DS125" s="14" t="s">
        <v>130</v>
      </c>
    </row>
    <row r="126" spans="1:123" x14ac:dyDescent="0.15">
      <c r="A126">
        <v>123</v>
      </c>
      <c r="B126" s="16" t="s">
        <v>269</v>
      </c>
      <c r="C126" s="7">
        <v>293</v>
      </c>
      <c r="D126" s="1">
        <v>245</v>
      </c>
      <c r="E126">
        <v>1</v>
      </c>
      <c r="F126">
        <f t="shared" si="42"/>
        <v>5003</v>
      </c>
      <c r="H126">
        <v>3</v>
      </c>
      <c r="AL126">
        <v>124</v>
      </c>
      <c r="AM126">
        <f t="shared" si="30"/>
        <v>17</v>
      </c>
      <c r="CK126">
        <v>123</v>
      </c>
      <c r="CL126" s="13" t="b">
        <f t="shared" si="32"/>
        <v>1</v>
      </c>
      <c r="CM126" s="13" t="str">
        <f t="shared" si="40"/>
        <v/>
      </c>
      <c r="CN126" s="13" t="str">
        <f t="shared" si="40"/>
        <v/>
      </c>
      <c r="CO126" s="13" t="str">
        <f t="shared" si="39"/>
        <v/>
      </c>
      <c r="CP126" s="13" t="str">
        <f t="shared" si="39"/>
        <v/>
      </c>
      <c r="CQ126" s="13" t="str">
        <f t="shared" si="39"/>
        <v/>
      </c>
      <c r="CR126" t="str">
        <f t="shared" si="33"/>
        <v>5202092</v>
      </c>
      <c r="CS126" t="str">
        <f t="shared" si="34"/>
        <v/>
      </c>
      <c r="CT126" t="str">
        <f t="shared" si="35"/>
        <v/>
      </c>
      <c r="CU126" t="str">
        <f t="shared" si="36"/>
        <v/>
      </c>
      <c r="CV126" t="str">
        <f t="shared" si="37"/>
        <v/>
      </c>
      <c r="CW126" t="str">
        <f t="shared" si="38"/>
        <v/>
      </c>
      <c r="CX126">
        <v>9</v>
      </c>
      <c r="DD126">
        <v>5</v>
      </c>
      <c r="DJ126" s="14" t="s">
        <v>95</v>
      </c>
      <c r="DR126">
        <v>3402063</v>
      </c>
      <c r="DS126" s="14" t="s">
        <v>135</v>
      </c>
    </row>
    <row r="127" spans="1:123" x14ac:dyDescent="0.15">
      <c r="A127">
        <v>124</v>
      </c>
      <c r="B127" s="16" t="s">
        <v>270</v>
      </c>
      <c r="C127" s="7">
        <v>294</v>
      </c>
      <c r="D127" s="1">
        <v>247</v>
      </c>
      <c r="E127">
        <v>1</v>
      </c>
      <c r="F127">
        <f t="shared" si="42"/>
        <v>5002</v>
      </c>
      <c r="H127">
        <v>2</v>
      </c>
      <c r="AL127">
        <v>125</v>
      </c>
      <c r="AM127">
        <f t="shared" si="30"/>
        <v>17</v>
      </c>
      <c r="CK127">
        <v>124</v>
      </c>
      <c r="CL127" s="13" t="b">
        <f t="shared" si="32"/>
        <v>1</v>
      </c>
      <c r="CM127" s="13" t="str">
        <f t="shared" si="40"/>
        <v/>
      </c>
      <c r="CN127" s="13" t="str">
        <f t="shared" si="40"/>
        <v/>
      </c>
      <c r="CO127" s="13" t="str">
        <f t="shared" si="39"/>
        <v/>
      </c>
      <c r="CP127" s="13" t="str">
        <f t="shared" si="39"/>
        <v/>
      </c>
      <c r="CQ127" s="13" t="str">
        <f t="shared" si="39"/>
        <v/>
      </c>
      <c r="CR127" t="str">
        <f t="shared" si="33"/>
        <v>5200093</v>
      </c>
      <c r="CS127" t="str">
        <f t="shared" si="34"/>
        <v/>
      </c>
      <c r="CT127" t="str">
        <f t="shared" si="35"/>
        <v/>
      </c>
      <c r="CU127" t="str">
        <f t="shared" si="36"/>
        <v/>
      </c>
      <c r="CV127" t="str">
        <f t="shared" si="37"/>
        <v/>
      </c>
      <c r="CW127" t="str">
        <f t="shared" si="38"/>
        <v/>
      </c>
      <c r="CX127">
        <v>9</v>
      </c>
      <c r="DD127">
        <v>5</v>
      </c>
      <c r="DJ127" s="14" t="s">
        <v>118</v>
      </c>
      <c r="DR127">
        <v>3500063</v>
      </c>
      <c r="DS127" s="14" t="s">
        <v>139</v>
      </c>
    </row>
    <row r="128" spans="1:123" x14ac:dyDescent="0.15">
      <c r="A128">
        <v>125</v>
      </c>
      <c r="B128" s="16" t="s">
        <v>271</v>
      </c>
      <c r="C128" s="7">
        <v>295</v>
      </c>
      <c r="D128" s="1">
        <v>249</v>
      </c>
      <c r="E128">
        <v>1</v>
      </c>
      <c r="F128">
        <f t="shared" si="42"/>
        <v>5005</v>
      </c>
      <c r="H128">
        <v>5</v>
      </c>
      <c r="AL128">
        <v>126</v>
      </c>
      <c r="AM128">
        <f t="shared" si="30"/>
        <v>17</v>
      </c>
      <c r="CK128">
        <v>125</v>
      </c>
      <c r="CL128" s="13" t="b">
        <f t="shared" si="32"/>
        <v>1</v>
      </c>
      <c r="CM128" s="13" t="str">
        <f t="shared" si="40"/>
        <v/>
      </c>
      <c r="CN128" s="13" t="str">
        <f t="shared" si="40"/>
        <v/>
      </c>
      <c r="CO128" s="13" t="str">
        <f t="shared" si="39"/>
        <v/>
      </c>
      <c r="CP128" s="13" t="str">
        <f t="shared" si="39"/>
        <v/>
      </c>
      <c r="CQ128" s="13" t="str">
        <f t="shared" si="39"/>
        <v/>
      </c>
      <c r="CR128" t="str">
        <f t="shared" si="33"/>
        <v>5500093</v>
      </c>
      <c r="CS128" t="str">
        <f t="shared" si="34"/>
        <v/>
      </c>
      <c r="CT128" t="str">
        <f t="shared" si="35"/>
        <v/>
      </c>
      <c r="CU128" t="str">
        <f t="shared" si="36"/>
        <v/>
      </c>
      <c r="CV128" t="str">
        <f t="shared" si="37"/>
        <v/>
      </c>
      <c r="CW128" t="str">
        <f t="shared" si="38"/>
        <v/>
      </c>
      <c r="CX128">
        <v>9</v>
      </c>
      <c r="DD128">
        <v>5</v>
      </c>
      <c r="DJ128" s="14" t="s">
        <v>139</v>
      </c>
      <c r="DR128">
        <v>3502063</v>
      </c>
      <c r="DS128" s="14" t="s">
        <v>141</v>
      </c>
    </row>
    <row r="129" spans="1:123" x14ac:dyDescent="0.15">
      <c r="A129">
        <v>126</v>
      </c>
      <c r="B129" s="16" t="s">
        <v>272</v>
      </c>
      <c r="C129" s="7">
        <v>296</v>
      </c>
      <c r="D129" s="1">
        <v>251</v>
      </c>
      <c r="E129">
        <v>1</v>
      </c>
      <c r="F129">
        <f t="shared" si="42"/>
        <v>5004</v>
      </c>
      <c r="H129">
        <v>4</v>
      </c>
      <c r="AL129">
        <v>127</v>
      </c>
      <c r="AM129">
        <f t="shared" si="30"/>
        <v>17</v>
      </c>
      <c r="CK129">
        <v>126</v>
      </c>
      <c r="CL129" s="13" t="b">
        <f t="shared" si="32"/>
        <v>1</v>
      </c>
      <c r="CM129" s="13" t="str">
        <f t="shared" si="40"/>
        <v/>
      </c>
      <c r="CN129" s="13" t="str">
        <f t="shared" si="40"/>
        <v/>
      </c>
      <c r="CO129" s="13" t="str">
        <f t="shared" si="39"/>
        <v/>
      </c>
      <c r="CP129" s="13" t="str">
        <f t="shared" si="39"/>
        <v/>
      </c>
      <c r="CQ129" s="13" t="str">
        <f t="shared" si="39"/>
        <v/>
      </c>
      <c r="CR129" t="str">
        <f t="shared" si="33"/>
        <v>5200091</v>
      </c>
      <c r="CS129" t="str">
        <f t="shared" si="34"/>
        <v/>
      </c>
      <c r="CT129" t="str">
        <f t="shared" si="35"/>
        <v/>
      </c>
      <c r="CU129" t="str">
        <f t="shared" si="36"/>
        <v/>
      </c>
      <c r="CV129" t="str">
        <f t="shared" si="37"/>
        <v/>
      </c>
      <c r="CW129" t="str">
        <f t="shared" si="38"/>
        <v/>
      </c>
      <c r="CX129">
        <v>9</v>
      </c>
      <c r="DD129">
        <v>5</v>
      </c>
      <c r="DJ129" s="14" t="s">
        <v>62</v>
      </c>
      <c r="DR129">
        <v>3601063</v>
      </c>
      <c r="DS129" s="14" t="s">
        <v>143</v>
      </c>
    </row>
    <row r="130" spans="1:123" x14ac:dyDescent="0.15">
      <c r="A130">
        <v>127</v>
      </c>
      <c r="B130" s="16" t="s">
        <v>273</v>
      </c>
      <c r="C130" s="7">
        <v>297</v>
      </c>
      <c r="D130" s="1">
        <v>253</v>
      </c>
      <c r="E130">
        <v>1</v>
      </c>
      <c r="F130">
        <f t="shared" si="42"/>
        <v>5003</v>
      </c>
      <c r="H130">
        <v>3</v>
      </c>
      <c r="AL130">
        <v>128</v>
      </c>
      <c r="AM130">
        <f t="shared" si="30"/>
        <v>17</v>
      </c>
      <c r="CK130">
        <v>127</v>
      </c>
      <c r="CL130" s="13" t="b">
        <f t="shared" si="32"/>
        <v>1</v>
      </c>
      <c r="CM130" s="13" t="str">
        <f t="shared" si="40"/>
        <v/>
      </c>
      <c r="CN130" s="13" t="str">
        <f t="shared" si="40"/>
        <v/>
      </c>
      <c r="CO130" s="13" t="str">
        <f t="shared" si="39"/>
        <v/>
      </c>
      <c r="CP130" s="13" t="str">
        <f t="shared" si="39"/>
        <v/>
      </c>
      <c r="CQ130" s="13" t="str">
        <f t="shared" si="39"/>
        <v/>
      </c>
      <c r="CR130" t="str">
        <f t="shared" si="33"/>
        <v>5400095</v>
      </c>
      <c r="CS130" t="str">
        <f t="shared" si="34"/>
        <v/>
      </c>
      <c r="CT130" t="str">
        <f t="shared" si="35"/>
        <v/>
      </c>
      <c r="CU130" t="str">
        <f t="shared" si="36"/>
        <v/>
      </c>
      <c r="CV130" t="str">
        <f t="shared" si="37"/>
        <v/>
      </c>
      <c r="CW130" t="str">
        <f t="shared" si="38"/>
        <v/>
      </c>
      <c r="CX130">
        <v>9</v>
      </c>
      <c r="DD130">
        <v>5</v>
      </c>
      <c r="DJ130" s="14" t="s">
        <v>159</v>
      </c>
      <c r="DR130">
        <v>3501064</v>
      </c>
      <c r="DS130" s="14" t="s">
        <v>145</v>
      </c>
    </row>
    <row r="131" spans="1:123" x14ac:dyDescent="0.15">
      <c r="A131">
        <v>128</v>
      </c>
      <c r="B131" s="16" t="s">
        <v>274</v>
      </c>
      <c r="C131" s="7">
        <v>298</v>
      </c>
      <c r="D131" s="1">
        <v>255</v>
      </c>
      <c r="E131">
        <v>1</v>
      </c>
      <c r="F131">
        <f t="shared" si="42"/>
        <v>5002</v>
      </c>
      <c r="H131">
        <v>2</v>
      </c>
      <c r="AL131">
        <v>129</v>
      </c>
      <c r="AM131">
        <f t="shared" si="30"/>
        <v>17</v>
      </c>
      <c r="CK131">
        <v>128</v>
      </c>
      <c r="CL131" s="13" t="b">
        <f t="shared" si="32"/>
        <v>1</v>
      </c>
      <c r="CM131" s="13" t="str">
        <f t="shared" si="40"/>
        <v/>
      </c>
      <c r="CN131" s="13" t="str">
        <f t="shared" si="40"/>
        <v/>
      </c>
      <c r="CO131" s="13" t="str">
        <f t="shared" si="39"/>
        <v/>
      </c>
      <c r="CP131" s="13" t="str">
        <f t="shared" si="39"/>
        <v/>
      </c>
      <c r="CQ131" s="13" t="str">
        <f t="shared" si="39"/>
        <v/>
      </c>
      <c r="CR131" t="str">
        <f t="shared" si="33"/>
        <v>5601092</v>
      </c>
      <c r="CS131" t="str">
        <f t="shared" si="34"/>
        <v/>
      </c>
      <c r="CT131" t="str">
        <f t="shared" si="35"/>
        <v/>
      </c>
      <c r="CU131" t="str">
        <f t="shared" si="36"/>
        <v/>
      </c>
      <c r="CV131" t="str">
        <f t="shared" si="37"/>
        <v/>
      </c>
      <c r="CW131" t="str">
        <f t="shared" si="38"/>
        <v/>
      </c>
      <c r="CX131">
        <v>9</v>
      </c>
      <c r="DD131">
        <v>5</v>
      </c>
      <c r="DJ131" s="14" t="s">
        <v>114</v>
      </c>
      <c r="DR131">
        <v>3600064</v>
      </c>
      <c r="DS131" s="14" t="s">
        <v>148</v>
      </c>
    </row>
    <row r="132" spans="1:123" x14ac:dyDescent="0.15">
      <c r="A132">
        <v>129</v>
      </c>
      <c r="B132" s="16" t="s">
        <v>275</v>
      </c>
      <c r="C132" s="7">
        <v>299</v>
      </c>
      <c r="D132" s="1">
        <v>257</v>
      </c>
      <c r="E132">
        <v>1</v>
      </c>
      <c r="F132">
        <f t="shared" si="42"/>
        <v>5005</v>
      </c>
      <c r="H132">
        <v>5</v>
      </c>
      <c r="AL132">
        <v>130</v>
      </c>
      <c r="AM132">
        <f t="shared" ref="AM132:AM195" si="43">_xlfn.CEILING.MATH(AL132/10)+4</f>
        <v>17</v>
      </c>
      <c r="CK132">
        <v>129</v>
      </c>
      <c r="CL132" s="13" t="b">
        <f t="shared" si="32"/>
        <v>1</v>
      </c>
      <c r="CM132" s="13" t="str">
        <f t="shared" si="40"/>
        <v/>
      </c>
      <c r="CN132" s="13" t="str">
        <f t="shared" si="40"/>
        <v/>
      </c>
      <c r="CO132" s="13" t="str">
        <f t="shared" si="39"/>
        <v/>
      </c>
      <c r="CP132" s="13" t="str">
        <f t="shared" si="39"/>
        <v/>
      </c>
      <c r="CQ132" s="13" t="str">
        <f t="shared" si="39"/>
        <v/>
      </c>
      <c r="CR132" t="str">
        <f t="shared" si="33"/>
        <v>5301092</v>
      </c>
      <c r="CS132" t="str">
        <f t="shared" si="34"/>
        <v/>
      </c>
      <c r="CT132" t="str">
        <f t="shared" si="35"/>
        <v/>
      </c>
      <c r="CU132" t="str">
        <f t="shared" si="36"/>
        <v/>
      </c>
      <c r="CV132" t="str">
        <f t="shared" si="37"/>
        <v/>
      </c>
      <c r="CW132" t="str">
        <f t="shared" si="38"/>
        <v/>
      </c>
      <c r="CX132">
        <v>9</v>
      </c>
      <c r="DD132">
        <v>5</v>
      </c>
      <c r="DJ132" s="14" t="s">
        <v>98</v>
      </c>
      <c r="DR132">
        <v>3602064</v>
      </c>
      <c r="DS132" s="14" t="s">
        <v>150</v>
      </c>
    </row>
    <row r="133" spans="1:123" x14ac:dyDescent="0.15">
      <c r="A133">
        <v>130</v>
      </c>
      <c r="B133" s="16" t="s">
        <v>270</v>
      </c>
      <c r="C133" s="7">
        <v>300</v>
      </c>
      <c r="D133" s="1">
        <v>259</v>
      </c>
      <c r="E133">
        <v>1</v>
      </c>
      <c r="F133">
        <f t="shared" si="42"/>
        <v>5004</v>
      </c>
      <c r="H133">
        <v>4</v>
      </c>
      <c r="AL133">
        <v>131</v>
      </c>
      <c r="AM133">
        <f t="shared" si="43"/>
        <v>18</v>
      </c>
      <c r="CK133">
        <v>130</v>
      </c>
      <c r="CL133" s="13" t="b">
        <f t="shared" ref="CL133:CL153" si="44">IF(DJ133&lt;&gt;"",IF(ISERROR(MATCH(INT(CR133),$DR$4:$DR$1516,0))=FALSE,TRUE),"")</f>
        <v>1</v>
      </c>
      <c r="CM133" s="13" t="str">
        <f t="shared" si="40"/>
        <v/>
      </c>
      <c r="CN133" s="13" t="str">
        <f t="shared" si="40"/>
        <v/>
      </c>
      <c r="CO133" s="13" t="str">
        <f t="shared" si="39"/>
        <v/>
      </c>
      <c r="CP133" s="13" t="str">
        <f t="shared" si="39"/>
        <v/>
      </c>
      <c r="CQ133" s="13" t="str">
        <f t="shared" si="39"/>
        <v/>
      </c>
      <c r="CR133" t="str">
        <f t="shared" ref="CR133:CR153" si="45">IF(DJ133&lt;&gt;"",REPLACE(REPLACE(INDEX($DR$4:$DR$1516,MATCH(DJ133,$DS$4:$DS$1516,0)),6,1,CX133),1,1,DD133),"")</f>
        <v>5200093</v>
      </c>
      <c r="CS133" t="str">
        <f t="shared" ref="CS133:CS153" si="46">IF(DK133&lt;&gt;"",REPLACE(REPLACE(INDEX($DR$4:$DR$1516,MATCH(DK133,$DS$4:$DS$1516,0)),6,1,CY133),1,1,DE133),"")</f>
        <v/>
      </c>
      <c r="CT133" t="str">
        <f t="shared" ref="CT133:CT153" si="47">IF(DL133&lt;&gt;"",REPLACE(REPLACE(INDEX($DR$4:$DR$1516,MATCH(DL133,$DS$4:$DS$1516,0)),6,1,CZ133),1,1,DF133),"")</f>
        <v/>
      </c>
      <c r="CU133" t="str">
        <f t="shared" ref="CU133:CU153" si="48">IF(DM133&lt;&gt;"",REPLACE(REPLACE(INDEX($DR$4:$DR$1516,MATCH(DM133,$DS$4:$DS$1516,0)),6,1,DA133),1,1,DG133),"")</f>
        <v/>
      </c>
      <c r="CV133" t="str">
        <f t="shared" ref="CV133:CV153" si="49">IF(DN133&lt;&gt;"",REPLACE(REPLACE(INDEX($DR$4:$DR$1516,MATCH(DN133,$DS$4:$DS$1516,0)),6,1,DB133),1,1,DH133),"")</f>
        <v/>
      </c>
      <c r="CW133" t="str">
        <f t="shared" ref="CW133:CW153" si="50">IF(DO133&lt;&gt;"",REPLACE(REPLACE(INDEX($DR$4:$DR$1516,MATCH(DO133,$DS$4:$DS$1516,0)),6,1,DC133),1,1,DI133),"")</f>
        <v/>
      </c>
      <c r="CX133">
        <v>9</v>
      </c>
      <c r="DD133">
        <v>5</v>
      </c>
      <c r="DJ133" s="14" t="s">
        <v>118</v>
      </c>
      <c r="DR133">
        <v>3300065</v>
      </c>
      <c r="DS133" s="14" t="s">
        <v>153</v>
      </c>
    </row>
    <row r="134" spans="1:123" x14ac:dyDescent="0.15">
      <c r="A134">
        <v>131</v>
      </c>
      <c r="B134" s="16" t="s">
        <v>276</v>
      </c>
      <c r="C134" s="7">
        <v>321</v>
      </c>
      <c r="D134" s="1">
        <v>261</v>
      </c>
      <c r="E134">
        <v>1</v>
      </c>
      <c r="F134">
        <f t="shared" si="42"/>
        <v>5003</v>
      </c>
      <c r="H134">
        <v>3</v>
      </c>
      <c r="AL134">
        <v>132</v>
      </c>
      <c r="AM134">
        <f t="shared" si="43"/>
        <v>18</v>
      </c>
      <c r="CK134">
        <v>131</v>
      </c>
      <c r="CL134" s="13" t="b">
        <f t="shared" si="44"/>
        <v>1</v>
      </c>
      <c r="CM134" s="13" t="str">
        <f t="shared" si="40"/>
        <v/>
      </c>
      <c r="CN134" s="13" t="str">
        <f t="shared" si="40"/>
        <v/>
      </c>
      <c r="CO134" s="13" t="str">
        <f t="shared" si="39"/>
        <v/>
      </c>
      <c r="CP134" s="13" t="str">
        <f t="shared" si="39"/>
        <v/>
      </c>
      <c r="CQ134" s="13" t="str">
        <f t="shared" si="39"/>
        <v/>
      </c>
      <c r="CR134" t="str">
        <f t="shared" si="45"/>
        <v>5201093</v>
      </c>
      <c r="CS134" t="str">
        <f t="shared" si="46"/>
        <v/>
      </c>
      <c r="CT134" t="str">
        <f t="shared" si="47"/>
        <v/>
      </c>
      <c r="CU134" t="str">
        <f t="shared" si="48"/>
        <v/>
      </c>
      <c r="CV134" t="str">
        <f t="shared" si="49"/>
        <v/>
      </c>
      <c r="CW134" t="str">
        <f t="shared" si="50"/>
        <v/>
      </c>
      <c r="CX134">
        <v>9</v>
      </c>
      <c r="DD134">
        <v>5</v>
      </c>
      <c r="DJ134" s="14" t="s">
        <v>121</v>
      </c>
      <c r="DR134">
        <v>3302065</v>
      </c>
      <c r="DS134" s="14" t="s">
        <v>156</v>
      </c>
    </row>
    <row r="135" spans="1:123" x14ac:dyDescent="0.15">
      <c r="A135">
        <v>132</v>
      </c>
      <c r="B135" s="16" t="s">
        <v>277</v>
      </c>
      <c r="C135" s="7">
        <v>322</v>
      </c>
      <c r="D135" s="1">
        <v>263</v>
      </c>
      <c r="E135">
        <v>1</v>
      </c>
      <c r="F135">
        <f t="shared" si="42"/>
        <v>5002</v>
      </c>
      <c r="H135">
        <v>2</v>
      </c>
      <c r="AL135">
        <v>133</v>
      </c>
      <c r="AM135">
        <f t="shared" si="43"/>
        <v>18</v>
      </c>
      <c r="CK135">
        <v>132</v>
      </c>
      <c r="CL135" s="13" t="b">
        <f t="shared" si="44"/>
        <v>1</v>
      </c>
      <c r="CM135" s="13" t="str">
        <f t="shared" si="40"/>
        <v/>
      </c>
      <c r="CN135" s="13" t="str">
        <f t="shared" si="40"/>
        <v/>
      </c>
      <c r="CO135" s="13" t="str">
        <f t="shared" si="39"/>
        <v/>
      </c>
      <c r="CP135" s="13" t="str">
        <f t="shared" si="39"/>
        <v/>
      </c>
      <c r="CQ135" s="13" t="str">
        <f t="shared" si="39"/>
        <v/>
      </c>
      <c r="CR135" t="str">
        <f t="shared" si="45"/>
        <v>5501094</v>
      </c>
      <c r="CS135" t="str">
        <f t="shared" si="46"/>
        <v/>
      </c>
      <c r="CT135" t="str">
        <f t="shared" si="47"/>
        <v/>
      </c>
      <c r="CU135" t="str">
        <f t="shared" si="48"/>
        <v/>
      </c>
      <c r="CV135" t="str">
        <f t="shared" si="49"/>
        <v/>
      </c>
      <c r="CW135" t="str">
        <f t="shared" si="50"/>
        <v/>
      </c>
      <c r="CX135">
        <v>9</v>
      </c>
      <c r="DD135">
        <v>5</v>
      </c>
      <c r="DJ135" s="14" t="s">
        <v>145</v>
      </c>
      <c r="DR135">
        <v>3400065</v>
      </c>
      <c r="DS135" s="14" t="s">
        <v>159</v>
      </c>
    </row>
    <row r="136" spans="1:123" x14ac:dyDescent="0.15">
      <c r="A136">
        <v>133</v>
      </c>
      <c r="B136" s="16" t="s">
        <v>278</v>
      </c>
      <c r="C136" s="7">
        <v>323</v>
      </c>
      <c r="D136" s="1">
        <v>265</v>
      </c>
      <c r="E136">
        <v>1</v>
      </c>
      <c r="F136">
        <f t="shared" si="42"/>
        <v>5005</v>
      </c>
      <c r="H136">
        <v>5</v>
      </c>
      <c r="AL136">
        <v>134</v>
      </c>
      <c r="AM136">
        <f t="shared" si="43"/>
        <v>18</v>
      </c>
      <c r="CK136">
        <v>133</v>
      </c>
      <c r="CL136" s="13" t="b">
        <f t="shared" si="44"/>
        <v>1</v>
      </c>
      <c r="CM136" s="13" t="str">
        <f t="shared" si="40"/>
        <v/>
      </c>
      <c r="CN136" s="13" t="str">
        <f t="shared" si="40"/>
        <v/>
      </c>
      <c r="CO136" s="13" t="str">
        <f t="shared" si="39"/>
        <v/>
      </c>
      <c r="CP136" s="13" t="str">
        <f t="shared" si="39"/>
        <v/>
      </c>
      <c r="CQ136" s="13" t="str">
        <f t="shared" si="39"/>
        <v/>
      </c>
      <c r="CR136" t="str">
        <f t="shared" si="45"/>
        <v>5201091</v>
      </c>
      <c r="CS136" t="str">
        <f t="shared" si="46"/>
        <v/>
      </c>
      <c r="CT136" t="str">
        <f t="shared" si="47"/>
        <v/>
      </c>
      <c r="CU136" t="str">
        <f t="shared" si="48"/>
        <v/>
      </c>
      <c r="CV136" t="str">
        <f t="shared" si="49"/>
        <v/>
      </c>
      <c r="CW136" t="str">
        <f t="shared" si="50"/>
        <v/>
      </c>
      <c r="CX136">
        <v>9</v>
      </c>
      <c r="DD136">
        <v>5</v>
      </c>
      <c r="DJ136" s="14" t="s">
        <v>65</v>
      </c>
      <c r="DR136">
        <v>3200071</v>
      </c>
      <c r="DS136" s="14" t="s">
        <v>62</v>
      </c>
    </row>
    <row r="137" spans="1:123" x14ac:dyDescent="0.15">
      <c r="A137">
        <v>134</v>
      </c>
      <c r="B137" s="16" t="s">
        <v>278</v>
      </c>
      <c r="C137" s="7">
        <v>324</v>
      </c>
      <c r="D137" s="1">
        <v>267</v>
      </c>
      <c r="E137">
        <v>1</v>
      </c>
      <c r="F137">
        <f t="shared" si="42"/>
        <v>5004</v>
      </c>
      <c r="H137">
        <v>4</v>
      </c>
      <c r="AL137">
        <v>135</v>
      </c>
      <c r="AM137">
        <f t="shared" si="43"/>
        <v>18</v>
      </c>
      <c r="CK137">
        <v>134</v>
      </c>
      <c r="CL137" s="13" t="b">
        <f t="shared" si="44"/>
        <v>1</v>
      </c>
      <c r="CM137" s="13" t="str">
        <f t="shared" si="40"/>
        <v/>
      </c>
      <c r="CN137" s="13" t="str">
        <f t="shared" si="40"/>
        <v/>
      </c>
      <c r="CO137" s="13" t="str">
        <f t="shared" si="39"/>
        <v/>
      </c>
      <c r="CP137" s="13" t="str">
        <f t="shared" si="39"/>
        <v/>
      </c>
      <c r="CQ137" s="13" t="str">
        <f t="shared" si="39"/>
        <v/>
      </c>
      <c r="CR137" t="str">
        <f t="shared" si="45"/>
        <v>5201091</v>
      </c>
      <c r="CS137" t="str">
        <f t="shared" si="46"/>
        <v/>
      </c>
      <c r="CT137" t="str">
        <f t="shared" si="47"/>
        <v/>
      </c>
      <c r="CU137" t="str">
        <f t="shared" si="48"/>
        <v/>
      </c>
      <c r="CV137" t="str">
        <f t="shared" si="49"/>
        <v/>
      </c>
      <c r="CW137" t="str">
        <f t="shared" si="50"/>
        <v/>
      </c>
      <c r="CX137">
        <v>9</v>
      </c>
      <c r="DD137">
        <v>5</v>
      </c>
      <c r="DJ137" s="14" t="s">
        <v>65</v>
      </c>
      <c r="DR137">
        <v>3201071</v>
      </c>
      <c r="DS137" s="14" t="s">
        <v>65</v>
      </c>
    </row>
    <row r="138" spans="1:123" x14ac:dyDescent="0.15">
      <c r="A138">
        <v>135</v>
      </c>
      <c r="B138" s="16" t="s">
        <v>279</v>
      </c>
      <c r="C138" s="7">
        <v>325</v>
      </c>
      <c r="D138" s="1">
        <v>269</v>
      </c>
      <c r="E138">
        <v>1</v>
      </c>
      <c r="F138">
        <f t="shared" si="42"/>
        <v>5003</v>
      </c>
      <c r="H138">
        <v>3</v>
      </c>
      <c r="AL138">
        <v>136</v>
      </c>
      <c r="AM138">
        <f t="shared" si="43"/>
        <v>18</v>
      </c>
      <c r="CK138">
        <v>135</v>
      </c>
      <c r="CL138" s="13" t="b">
        <f t="shared" si="44"/>
        <v>1</v>
      </c>
      <c r="CM138" s="13" t="str">
        <f t="shared" si="40"/>
        <v/>
      </c>
      <c r="CN138" s="13" t="str">
        <f t="shared" si="40"/>
        <v/>
      </c>
      <c r="CO138" s="13" t="str">
        <f t="shared" si="39"/>
        <v/>
      </c>
      <c r="CP138" s="13" t="str">
        <f t="shared" si="39"/>
        <v/>
      </c>
      <c r="CQ138" s="13" t="str">
        <f t="shared" si="39"/>
        <v/>
      </c>
      <c r="CR138" t="str">
        <f t="shared" si="45"/>
        <v>5301091</v>
      </c>
      <c r="CS138" t="str">
        <f t="shared" si="46"/>
        <v/>
      </c>
      <c r="CT138" t="str">
        <f t="shared" si="47"/>
        <v/>
      </c>
      <c r="CU138" t="str">
        <f t="shared" si="48"/>
        <v/>
      </c>
      <c r="CV138" t="str">
        <f t="shared" si="49"/>
        <v/>
      </c>
      <c r="CW138" t="str">
        <f t="shared" si="50"/>
        <v/>
      </c>
      <c r="CX138">
        <v>9</v>
      </c>
      <c r="DD138">
        <v>5</v>
      </c>
      <c r="DJ138" s="14" t="s">
        <v>71</v>
      </c>
      <c r="DR138">
        <v>3202071</v>
      </c>
      <c r="DS138" s="14" t="s">
        <v>68</v>
      </c>
    </row>
    <row r="139" spans="1:123" x14ac:dyDescent="0.15">
      <c r="A139">
        <v>136</v>
      </c>
      <c r="B139" s="16" t="s">
        <v>279</v>
      </c>
      <c r="C139" s="7">
        <v>326</v>
      </c>
      <c r="D139" s="1">
        <v>271</v>
      </c>
      <c r="E139">
        <v>1</v>
      </c>
      <c r="F139">
        <f t="shared" si="42"/>
        <v>5002</v>
      </c>
      <c r="H139">
        <v>2</v>
      </c>
      <c r="AL139">
        <v>137</v>
      </c>
      <c r="AM139">
        <f t="shared" si="43"/>
        <v>18</v>
      </c>
      <c r="CK139">
        <v>136</v>
      </c>
      <c r="CL139" s="13" t="b">
        <f t="shared" si="44"/>
        <v>1</v>
      </c>
      <c r="CM139" s="13" t="str">
        <f t="shared" si="40"/>
        <v/>
      </c>
      <c r="CN139" s="13" t="str">
        <f t="shared" si="40"/>
        <v/>
      </c>
      <c r="CO139" s="13" t="str">
        <f t="shared" si="39"/>
        <v/>
      </c>
      <c r="CP139" s="13" t="str">
        <f t="shared" si="39"/>
        <v/>
      </c>
      <c r="CQ139" s="13" t="str">
        <f t="shared" si="39"/>
        <v/>
      </c>
      <c r="CR139" t="str">
        <f t="shared" si="45"/>
        <v>5301091</v>
      </c>
      <c r="CS139" t="str">
        <f t="shared" si="46"/>
        <v/>
      </c>
      <c r="CT139" t="str">
        <f t="shared" si="47"/>
        <v/>
      </c>
      <c r="CU139" t="str">
        <f t="shared" si="48"/>
        <v/>
      </c>
      <c r="CV139" t="str">
        <f t="shared" si="49"/>
        <v/>
      </c>
      <c r="CW139" t="str">
        <f t="shared" si="50"/>
        <v/>
      </c>
      <c r="CX139">
        <v>9</v>
      </c>
      <c r="DD139">
        <v>5</v>
      </c>
      <c r="DJ139" s="14" t="s">
        <v>71</v>
      </c>
      <c r="DR139">
        <v>3301071</v>
      </c>
      <c r="DS139" s="14" t="s">
        <v>71</v>
      </c>
    </row>
    <row r="140" spans="1:123" x14ac:dyDescent="0.15">
      <c r="A140">
        <v>137</v>
      </c>
      <c r="B140" s="16" t="s">
        <v>280</v>
      </c>
      <c r="C140" s="7">
        <v>327</v>
      </c>
      <c r="D140" s="1">
        <v>273</v>
      </c>
      <c r="E140">
        <v>1</v>
      </c>
      <c r="F140">
        <f t="shared" si="42"/>
        <v>5005</v>
      </c>
      <c r="H140">
        <v>5</v>
      </c>
      <c r="AL140">
        <v>138</v>
      </c>
      <c r="AM140">
        <f t="shared" si="43"/>
        <v>18</v>
      </c>
      <c r="CK140">
        <v>137</v>
      </c>
      <c r="CL140" s="13" t="b">
        <f t="shared" si="44"/>
        <v>1</v>
      </c>
      <c r="CM140" s="13" t="str">
        <f t="shared" si="40"/>
        <v/>
      </c>
      <c r="CN140" s="13" t="str">
        <f t="shared" si="40"/>
        <v/>
      </c>
      <c r="CO140" s="13" t="str">
        <f t="shared" si="39"/>
        <v/>
      </c>
      <c r="CP140" s="13" t="str">
        <f t="shared" si="39"/>
        <v/>
      </c>
      <c r="CQ140" s="13" t="str">
        <f t="shared" si="39"/>
        <v/>
      </c>
      <c r="CR140" t="str">
        <f t="shared" si="45"/>
        <v>5201092</v>
      </c>
      <c r="CS140" t="str">
        <f t="shared" si="46"/>
        <v/>
      </c>
      <c r="CT140" t="str">
        <f t="shared" si="47"/>
        <v/>
      </c>
      <c r="CU140" t="str">
        <f t="shared" si="48"/>
        <v/>
      </c>
      <c r="CV140" t="str">
        <f t="shared" si="49"/>
        <v/>
      </c>
      <c r="CW140" t="str">
        <f t="shared" si="50"/>
        <v/>
      </c>
      <c r="CX140">
        <v>9</v>
      </c>
      <c r="DD140">
        <v>5</v>
      </c>
      <c r="DJ140" s="14" t="s">
        <v>92</v>
      </c>
      <c r="DR140">
        <v>3401071</v>
      </c>
      <c r="DS140" s="14" t="s">
        <v>73</v>
      </c>
    </row>
    <row r="141" spans="1:123" x14ac:dyDescent="0.15">
      <c r="A141">
        <v>138</v>
      </c>
      <c r="B141" s="16" t="s">
        <v>281</v>
      </c>
      <c r="C141" s="7">
        <v>328</v>
      </c>
      <c r="D141" s="1">
        <v>275</v>
      </c>
      <c r="E141">
        <v>1</v>
      </c>
      <c r="F141">
        <f t="shared" si="42"/>
        <v>5004</v>
      </c>
      <c r="H141">
        <v>4</v>
      </c>
      <c r="AL141">
        <v>139</v>
      </c>
      <c r="AM141">
        <f t="shared" si="43"/>
        <v>18</v>
      </c>
      <c r="CK141">
        <v>138</v>
      </c>
      <c r="CL141" s="13" t="b">
        <f t="shared" si="44"/>
        <v>1</v>
      </c>
      <c r="CM141" s="13" t="str">
        <f t="shared" si="40"/>
        <v/>
      </c>
      <c r="CN141" s="13" t="str">
        <f t="shared" si="40"/>
        <v/>
      </c>
      <c r="CO141" s="13" t="str">
        <f t="shared" si="39"/>
        <v/>
      </c>
      <c r="CP141" s="13" t="str">
        <f t="shared" si="39"/>
        <v/>
      </c>
      <c r="CQ141" s="13" t="str">
        <f t="shared" si="39"/>
        <v/>
      </c>
      <c r="CR141" t="str">
        <f t="shared" si="45"/>
        <v>5200092</v>
      </c>
      <c r="CS141" t="str">
        <f t="shared" si="46"/>
        <v/>
      </c>
      <c r="CT141" t="str">
        <f t="shared" si="47"/>
        <v/>
      </c>
      <c r="CU141" t="str">
        <f t="shared" si="48"/>
        <v/>
      </c>
      <c r="CV141" t="str">
        <f t="shared" si="49"/>
        <v/>
      </c>
      <c r="CW141" t="str">
        <f t="shared" si="50"/>
        <v/>
      </c>
      <c r="CX141">
        <v>9</v>
      </c>
      <c r="DD141">
        <v>5</v>
      </c>
      <c r="DJ141" s="14" t="s">
        <v>88</v>
      </c>
      <c r="DR141">
        <v>3402071</v>
      </c>
      <c r="DS141" s="14" t="s">
        <v>76</v>
      </c>
    </row>
    <row r="142" spans="1:123" x14ac:dyDescent="0.15">
      <c r="A142">
        <v>139</v>
      </c>
      <c r="B142" s="16" t="s">
        <v>268</v>
      </c>
      <c r="C142" s="7">
        <v>329</v>
      </c>
      <c r="D142" s="1">
        <v>277</v>
      </c>
      <c r="E142">
        <v>1</v>
      </c>
      <c r="F142">
        <f t="shared" si="42"/>
        <v>5003</v>
      </c>
      <c r="H142">
        <v>3</v>
      </c>
      <c r="AL142">
        <v>140</v>
      </c>
      <c r="AM142">
        <f t="shared" si="43"/>
        <v>18</v>
      </c>
      <c r="CK142">
        <v>139</v>
      </c>
      <c r="CL142" s="13" t="b">
        <f t="shared" si="44"/>
        <v>1</v>
      </c>
      <c r="CM142" s="13" t="str">
        <f t="shared" si="40"/>
        <v/>
      </c>
      <c r="CN142" s="13" t="str">
        <f t="shared" si="40"/>
        <v/>
      </c>
      <c r="CO142" s="13" t="str">
        <f t="shared" si="39"/>
        <v/>
      </c>
      <c r="CP142" s="13" t="str">
        <f t="shared" si="39"/>
        <v/>
      </c>
      <c r="CQ142" s="13" t="str">
        <f t="shared" si="39"/>
        <v/>
      </c>
      <c r="CR142" t="str">
        <f t="shared" si="45"/>
        <v>5502091</v>
      </c>
      <c r="CS142" t="str">
        <f t="shared" si="46"/>
        <v/>
      </c>
      <c r="CT142" t="str">
        <f t="shared" si="47"/>
        <v/>
      </c>
      <c r="CU142" t="str">
        <f t="shared" si="48"/>
        <v/>
      </c>
      <c r="CV142" t="str">
        <f t="shared" si="49"/>
        <v/>
      </c>
      <c r="CW142" t="str">
        <f t="shared" si="50"/>
        <v/>
      </c>
      <c r="CX142">
        <v>9</v>
      </c>
      <c r="DD142">
        <v>5</v>
      </c>
      <c r="DJ142" s="14" t="s">
        <v>81</v>
      </c>
      <c r="DR142">
        <v>3500071</v>
      </c>
      <c r="DS142" s="14" t="s">
        <v>79</v>
      </c>
    </row>
    <row r="143" spans="1:123" x14ac:dyDescent="0.15">
      <c r="A143">
        <v>140</v>
      </c>
      <c r="B143" s="16" t="s">
        <v>269</v>
      </c>
      <c r="C143" s="7">
        <v>330</v>
      </c>
      <c r="D143" s="1">
        <v>279</v>
      </c>
      <c r="E143">
        <v>1</v>
      </c>
      <c r="F143">
        <f t="shared" si="42"/>
        <v>5002</v>
      </c>
      <c r="H143">
        <v>2</v>
      </c>
      <c r="AL143">
        <v>141</v>
      </c>
      <c r="AM143">
        <f t="shared" si="43"/>
        <v>19</v>
      </c>
      <c r="CK143">
        <v>140</v>
      </c>
      <c r="CL143" s="13" t="b">
        <f t="shared" si="44"/>
        <v>1</v>
      </c>
      <c r="CM143" s="13" t="str">
        <f t="shared" si="40"/>
        <v/>
      </c>
      <c r="CN143" s="13" t="str">
        <f t="shared" si="40"/>
        <v/>
      </c>
      <c r="CO143" s="13" t="str">
        <f t="shared" si="39"/>
        <v/>
      </c>
      <c r="CP143" s="13" t="str">
        <f t="shared" si="39"/>
        <v/>
      </c>
      <c r="CQ143" s="13" t="str">
        <f t="shared" si="39"/>
        <v/>
      </c>
      <c r="CR143" t="str">
        <f t="shared" si="45"/>
        <v>5202092</v>
      </c>
      <c r="CS143" t="str">
        <f t="shared" si="46"/>
        <v/>
      </c>
      <c r="CT143" t="str">
        <f t="shared" si="47"/>
        <v/>
      </c>
      <c r="CU143" t="str">
        <f t="shared" si="48"/>
        <v/>
      </c>
      <c r="CV143" t="str">
        <f t="shared" si="49"/>
        <v/>
      </c>
      <c r="CW143" t="str">
        <f t="shared" si="50"/>
        <v/>
      </c>
      <c r="CX143">
        <v>9</v>
      </c>
      <c r="DD143">
        <v>5</v>
      </c>
      <c r="DJ143" s="14" t="s">
        <v>95</v>
      </c>
      <c r="DR143">
        <v>3502071</v>
      </c>
      <c r="DS143" s="14" t="s">
        <v>81</v>
      </c>
    </row>
    <row r="144" spans="1:123" x14ac:dyDescent="0.15">
      <c r="A144">
        <v>141</v>
      </c>
      <c r="B144" s="16" t="s">
        <v>281</v>
      </c>
      <c r="C144" s="7">
        <v>341</v>
      </c>
      <c r="D144" s="1">
        <v>281</v>
      </c>
      <c r="E144">
        <v>1</v>
      </c>
      <c r="F144">
        <f t="shared" si="42"/>
        <v>5005</v>
      </c>
      <c r="H144">
        <v>5</v>
      </c>
      <c r="AL144">
        <v>142</v>
      </c>
      <c r="AM144">
        <f t="shared" si="43"/>
        <v>19</v>
      </c>
      <c r="CK144">
        <v>141</v>
      </c>
      <c r="CL144" s="13" t="b">
        <f t="shared" si="44"/>
        <v>1</v>
      </c>
      <c r="CM144" s="13" t="str">
        <f t="shared" si="40"/>
        <v/>
      </c>
      <c r="CN144" s="13" t="str">
        <f t="shared" si="40"/>
        <v/>
      </c>
      <c r="CO144" s="13" t="str">
        <f t="shared" si="39"/>
        <v/>
      </c>
      <c r="CP144" s="13" t="str">
        <f t="shared" si="39"/>
        <v/>
      </c>
      <c r="CQ144" s="13" t="str">
        <f t="shared" si="39"/>
        <v/>
      </c>
      <c r="CR144" t="str">
        <f t="shared" si="45"/>
        <v>5200092</v>
      </c>
      <c r="CS144" t="str">
        <f t="shared" si="46"/>
        <v/>
      </c>
      <c r="CT144" t="str">
        <f t="shared" si="47"/>
        <v/>
      </c>
      <c r="CU144" t="str">
        <f t="shared" si="48"/>
        <v/>
      </c>
      <c r="CV144" t="str">
        <f t="shared" si="49"/>
        <v/>
      </c>
      <c r="CW144" t="str">
        <f t="shared" si="50"/>
        <v/>
      </c>
      <c r="CX144">
        <v>9</v>
      </c>
      <c r="DD144">
        <v>5</v>
      </c>
      <c r="DJ144" s="14" t="s">
        <v>88</v>
      </c>
      <c r="DR144">
        <v>3601071</v>
      </c>
      <c r="DS144" s="14" t="s">
        <v>84</v>
      </c>
    </row>
    <row r="145" spans="1:123" x14ac:dyDescent="0.15">
      <c r="A145">
        <v>142</v>
      </c>
      <c r="B145" s="16" t="s">
        <v>276</v>
      </c>
      <c r="C145" s="7">
        <v>342</v>
      </c>
      <c r="D145" s="1">
        <v>283</v>
      </c>
      <c r="E145">
        <v>1</v>
      </c>
      <c r="F145">
        <f t="shared" si="42"/>
        <v>5004</v>
      </c>
      <c r="H145">
        <v>4</v>
      </c>
      <c r="AL145">
        <v>143</v>
      </c>
      <c r="AM145">
        <f t="shared" si="43"/>
        <v>19</v>
      </c>
      <c r="CK145">
        <v>142</v>
      </c>
      <c r="CL145" s="13" t="b">
        <f t="shared" si="44"/>
        <v>1</v>
      </c>
      <c r="CM145" s="13" t="str">
        <f t="shared" si="40"/>
        <v/>
      </c>
      <c r="CN145" s="13" t="str">
        <f t="shared" si="40"/>
        <v/>
      </c>
      <c r="CO145" s="13" t="str">
        <f t="shared" si="39"/>
        <v/>
      </c>
      <c r="CP145" s="13" t="str">
        <f t="shared" si="39"/>
        <v/>
      </c>
      <c r="CQ145" s="13" t="str">
        <f t="shared" si="39"/>
        <v/>
      </c>
      <c r="CR145" t="str">
        <f t="shared" si="45"/>
        <v>5201093</v>
      </c>
      <c r="CS145" t="str">
        <f t="shared" si="46"/>
        <v/>
      </c>
      <c r="CT145" t="str">
        <f t="shared" si="47"/>
        <v/>
      </c>
      <c r="CU145" t="str">
        <f t="shared" si="48"/>
        <v/>
      </c>
      <c r="CV145" t="str">
        <f t="shared" si="49"/>
        <v/>
      </c>
      <c r="CW145" t="str">
        <f t="shared" si="50"/>
        <v/>
      </c>
      <c r="CX145">
        <v>9</v>
      </c>
      <c r="DD145">
        <v>5</v>
      </c>
      <c r="DJ145" s="14" t="s">
        <v>121</v>
      </c>
      <c r="DR145">
        <v>3200072</v>
      </c>
      <c r="DS145" s="14" t="s">
        <v>88</v>
      </c>
    </row>
    <row r="146" spans="1:123" x14ac:dyDescent="0.15">
      <c r="A146">
        <v>143</v>
      </c>
      <c r="B146" s="16" t="s">
        <v>271</v>
      </c>
      <c r="C146" s="7">
        <v>343</v>
      </c>
      <c r="D146" s="1">
        <v>285</v>
      </c>
      <c r="E146">
        <v>1</v>
      </c>
      <c r="F146">
        <f t="shared" si="42"/>
        <v>5003</v>
      </c>
      <c r="H146">
        <v>3</v>
      </c>
      <c r="AL146">
        <v>144</v>
      </c>
      <c r="AM146">
        <f t="shared" si="43"/>
        <v>19</v>
      </c>
      <c r="CK146">
        <v>143</v>
      </c>
      <c r="CL146" s="13" t="b">
        <f t="shared" si="44"/>
        <v>1</v>
      </c>
      <c r="CM146" s="13" t="str">
        <f t="shared" si="40"/>
        <v/>
      </c>
      <c r="CN146" s="13" t="str">
        <f t="shared" si="40"/>
        <v/>
      </c>
      <c r="CO146" s="13" t="str">
        <f t="shared" si="39"/>
        <v/>
      </c>
      <c r="CP146" s="13" t="str">
        <f t="shared" si="39"/>
        <v/>
      </c>
      <c r="CQ146" s="13" t="str">
        <f t="shared" si="39"/>
        <v/>
      </c>
      <c r="CR146" t="str">
        <f t="shared" si="45"/>
        <v>5500093</v>
      </c>
      <c r="CS146" t="str">
        <f t="shared" si="46"/>
        <v/>
      </c>
      <c r="CT146" t="str">
        <f t="shared" si="47"/>
        <v/>
      </c>
      <c r="CU146" t="str">
        <f t="shared" si="48"/>
        <v/>
      </c>
      <c r="CV146" t="str">
        <f t="shared" si="49"/>
        <v/>
      </c>
      <c r="CW146" t="str">
        <f t="shared" si="50"/>
        <v/>
      </c>
      <c r="CX146">
        <v>9</v>
      </c>
      <c r="DD146">
        <v>5</v>
      </c>
      <c r="DJ146" s="14" t="s">
        <v>139</v>
      </c>
      <c r="DR146">
        <v>3201072</v>
      </c>
      <c r="DS146" s="14" t="s">
        <v>92</v>
      </c>
    </row>
    <row r="147" spans="1:123" x14ac:dyDescent="0.15">
      <c r="A147">
        <v>144</v>
      </c>
      <c r="B147" s="16" t="s">
        <v>282</v>
      </c>
      <c r="C147" s="7">
        <v>344</v>
      </c>
      <c r="D147" s="1">
        <v>287</v>
      </c>
      <c r="E147">
        <v>1</v>
      </c>
      <c r="F147">
        <f t="shared" si="42"/>
        <v>5002</v>
      </c>
      <c r="H147">
        <v>2</v>
      </c>
      <c r="AL147">
        <v>145</v>
      </c>
      <c r="AM147">
        <f t="shared" si="43"/>
        <v>19</v>
      </c>
      <c r="CK147">
        <v>144</v>
      </c>
      <c r="CL147" s="13" t="b">
        <f t="shared" si="44"/>
        <v>1</v>
      </c>
      <c r="CM147" s="13" t="str">
        <f t="shared" si="40"/>
        <v/>
      </c>
      <c r="CN147" s="13" t="str">
        <f t="shared" si="40"/>
        <v/>
      </c>
      <c r="CO147" s="13" t="str">
        <f t="shared" si="39"/>
        <v/>
      </c>
      <c r="CP147" s="13" t="str">
        <f t="shared" si="39"/>
        <v/>
      </c>
      <c r="CQ147" s="13" t="str">
        <f t="shared" si="39"/>
        <v/>
      </c>
      <c r="CR147" t="str">
        <f t="shared" si="45"/>
        <v>5401091</v>
      </c>
      <c r="CS147" t="str">
        <f t="shared" si="46"/>
        <v/>
      </c>
      <c r="CT147" t="str">
        <f t="shared" si="47"/>
        <v/>
      </c>
      <c r="CU147" t="str">
        <f t="shared" si="48"/>
        <v/>
      </c>
      <c r="CV147" t="str">
        <f t="shared" si="49"/>
        <v/>
      </c>
      <c r="CW147" t="str">
        <f t="shared" si="50"/>
        <v/>
      </c>
      <c r="CX147">
        <v>9</v>
      </c>
      <c r="DD147">
        <v>5</v>
      </c>
      <c r="DJ147" s="15" t="s">
        <v>73</v>
      </c>
      <c r="DR147">
        <v>3202072</v>
      </c>
      <c r="DS147" s="14" t="s">
        <v>95</v>
      </c>
    </row>
    <row r="148" spans="1:123" x14ac:dyDescent="0.15">
      <c r="A148">
        <v>145</v>
      </c>
      <c r="B148" s="16" t="s">
        <v>283</v>
      </c>
      <c r="C148" s="7">
        <v>345</v>
      </c>
      <c r="D148" s="1">
        <v>289</v>
      </c>
      <c r="E148">
        <v>1</v>
      </c>
      <c r="F148">
        <f t="shared" si="42"/>
        <v>5005</v>
      </c>
      <c r="H148">
        <v>5</v>
      </c>
      <c r="AL148">
        <v>146</v>
      </c>
      <c r="AM148">
        <f t="shared" si="43"/>
        <v>19</v>
      </c>
      <c r="CK148">
        <v>145</v>
      </c>
      <c r="CL148" s="13" t="b">
        <f t="shared" si="44"/>
        <v>1</v>
      </c>
      <c r="CM148" s="13" t="str">
        <f t="shared" si="40"/>
        <v/>
      </c>
      <c r="CN148" s="13" t="str">
        <f t="shared" si="40"/>
        <v/>
      </c>
      <c r="CO148" s="13" t="str">
        <f t="shared" si="39"/>
        <v/>
      </c>
      <c r="CP148" s="13" t="str">
        <f t="shared" si="39"/>
        <v/>
      </c>
      <c r="CQ148" s="13" t="str">
        <f t="shared" si="39"/>
        <v/>
      </c>
      <c r="CR148" t="str">
        <f t="shared" si="45"/>
        <v>5202093</v>
      </c>
      <c r="CS148" t="str">
        <f t="shared" si="46"/>
        <v/>
      </c>
      <c r="CT148" t="str">
        <f t="shared" si="47"/>
        <v/>
      </c>
      <c r="CU148" t="str">
        <f t="shared" si="48"/>
        <v/>
      </c>
      <c r="CV148" t="str">
        <f t="shared" si="49"/>
        <v/>
      </c>
      <c r="CW148" t="str">
        <f t="shared" si="50"/>
        <v/>
      </c>
      <c r="CX148">
        <v>9</v>
      </c>
      <c r="DD148">
        <v>5</v>
      </c>
      <c r="DJ148" s="14" t="s">
        <v>124</v>
      </c>
      <c r="DR148">
        <v>3301072</v>
      </c>
      <c r="DS148" s="14" t="s">
        <v>98</v>
      </c>
    </row>
    <row r="149" spans="1:123" x14ac:dyDescent="0.15">
      <c r="A149">
        <v>146</v>
      </c>
      <c r="B149" s="16" t="s">
        <v>284</v>
      </c>
      <c r="C149" s="7">
        <v>346</v>
      </c>
      <c r="D149" s="1">
        <v>291</v>
      </c>
      <c r="E149">
        <v>1</v>
      </c>
      <c r="F149">
        <f t="shared" si="42"/>
        <v>5004</v>
      </c>
      <c r="H149">
        <v>4</v>
      </c>
      <c r="AL149">
        <v>147</v>
      </c>
      <c r="AM149">
        <f t="shared" si="43"/>
        <v>19</v>
      </c>
      <c r="CK149">
        <v>146</v>
      </c>
      <c r="CL149" s="13" t="b">
        <f t="shared" si="44"/>
        <v>1</v>
      </c>
      <c r="CM149" s="13" t="str">
        <f t="shared" si="40"/>
        <v/>
      </c>
      <c r="CN149" s="13" t="str">
        <f t="shared" si="40"/>
        <v/>
      </c>
      <c r="CO149" s="13" t="str">
        <f t="shared" si="39"/>
        <v/>
      </c>
      <c r="CP149" s="13" t="str">
        <f t="shared" si="39"/>
        <v/>
      </c>
      <c r="CQ149" s="13" t="str">
        <f t="shared" si="39"/>
        <v/>
      </c>
      <c r="CR149" t="str">
        <f t="shared" si="45"/>
        <v>5401093</v>
      </c>
      <c r="CS149" t="str">
        <f t="shared" si="46"/>
        <v/>
      </c>
      <c r="CT149" t="str">
        <f t="shared" si="47"/>
        <v/>
      </c>
      <c r="CU149" t="str">
        <f t="shared" si="48"/>
        <v/>
      </c>
      <c r="CV149" t="str">
        <f t="shared" si="49"/>
        <v/>
      </c>
      <c r="CW149" t="str">
        <f t="shared" si="50"/>
        <v/>
      </c>
      <c r="CX149">
        <v>9</v>
      </c>
      <c r="DD149">
        <v>5</v>
      </c>
      <c r="DJ149" s="14" t="s">
        <v>130</v>
      </c>
      <c r="DR149">
        <v>3401072</v>
      </c>
      <c r="DS149" s="14" t="s">
        <v>101</v>
      </c>
    </row>
    <row r="150" spans="1:123" x14ac:dyDescent="0.15">
      <c r="A150">
        <v>147</v>
      </c>
      <c r="B150" s="16" t="s">
        <v>275</v>
      </c>
      <c r="C150" s="7">
        <v>347</v>
      </c>
      <c r="D150" s="1">
        <v>293</v>
      </c>
      <c r="E150">
        <v>1</v>
      </c>
      <c r="F150">
        <f t="shared" si="42"/>
        <v>5003</v>
      </c>
      <c r="H150">
        <v>3</v>
      </c>
      <c r="AL150">
        <v>148</v>
      </c>
      <c r="AM150">
        <f t="shared" si="43"/>
        <v>19</v>
      </c>
      <c r="CK150">
        <v>147</v>
      </c>
      <c r="CL150" s="13" t="b">
        <f t="shared" si="44"/>
        <v>1</v>
      </c>
      <c r="CM150" s="13" t="str">
        <f t="shared" si="40"/>
        <v/>
      </c>
      <c r="CN150" s="13" t="str">
        <f t="shared" si="40"/>
        <v/>
      </c>
      <c r="CO150" s="13" t="str">
        <f t="shared" si="40"/>
        <v/>
      </c>
      <c r="CP150" s="13" t="str">
        <f t="shared" si="40"/>
        <v/>
      </c>
      <c r="CQ150" s="13" t="str">
        <f t="shared" si="40"/>
        <v/>
      </c>
      <c r="CR150" t="str">
        <f t="shared" si="45"/>
        <v>5301092</v>
      </c>
      <c r="CS150" t="str">
        <f t="shared" si="46"/>
        <v/>
      </c>
      <c r="CT150" t="str">
        <f t="shared" si="47"/>
        <v/>
      </c>
      <c r="CU150" t="str">
        <f t="shared" si="48"/>
        <v/>
      </c>
      <c r="CV150" t="str">
        <f t="shared" si="49"/>
        <v/>
      </c>
      <c r="CW150" t="str">
        <f t="shared" si="50"/>
        <v/>
      </c>
      <c r="CX150">
        <v>9</v>
      </c>
      <c r="DD150">
        <v>5</v>
      </c>
      <c r="DJ150" s="14" t="s">
        <v>98</v>
      </c>
      <c r="DR150">
        <v>3402072</v>
      </c>
      <c r="DS150" s="14" t="s">
        <v>103</v>
      </c>
    </row>
    <row r="151" spans="1:123" x14ac:dyDescent="0.15">
      <c r="A151">
        <v>148</v>
      </c>
      <c r="B151" s="16" t="s">
        <v>279</v>
      </c>
      <c r="C151" s="7">
        <v>348</v>
      </c>
      <c r="D151" s="1">
        <v>295</v>
      </c>
      <c r="E151">
        <v>1</v>
      </c>
      <c r="F151">
        <f t="shared" si="42"/>
        <v>5002</v>
      </c>
      <c r="H151">
        <v>2</v>
      </c>
      <c r="AL151">
        <v>149</v>
      </c>
      <c r="AM151">
        <f t="shared" si="43"/>
        <v>19</v>
      </c>
      <c r="CK151">
        <v>148</v>
      </c>
      <c r="CL151" s="13" t="b">
        <f t="shared" si="44"/>
        <v>1</v>
      </c>
      <c r="CM151" s="13" t="str">
        <f t="shared" ref="CM151:CQ153" si="51">IF(DK151&lt;&gt;"",IF(ISERROR(MATCH(INT(CS151),$DR$4:$DR$1516,0))=FALSE,TRUE),"")</f>
        <v/>
      </c>
      <c r="CN151" s="13" t="str">
        <f t="shared" si="51"/>
        <v/>
      </c>
      <c r="CO151" s="13" t="str">
        <f t="shared" si="51"/>
        <v/>
      </c>
      <c r="CP151" s="13" t="str">
        <f t="shared" si="51"/>
        <v/>
      </c>
      <c r="CQ151" s="13" t="str">
        <f t="shared" si="51"/>
        <v/>
      </c>
      <c r="CR151" t="str">
        <f t="shared" si="45"/>
        <v>5301091</v>
      </c>
      <c r="CS151" t="str">
        <f t="shared" si="46"/>
        <v/>
      </c>
      <c r="CT151" t="str">
        <f t="shared" si="47"/>
        <v/>
      </c>
      <c r="CU151" t="str">
        <f t="shared" si="48"/>
        <v/>
      </c>
      <c r="CV151" t="str">
        <f t="shared" si="49"/>
        <v/>
      </c>
      <c r="CW151" t="str">
        <f t="shared" si="50"/>
        <v/>
      </c>
      <c r="CX151">
        <v>9</v>
      </c>
      <c r="DD151">
        <v>5</v>
      </c>
      <c r="DJ151" s="14" t="s">
        <v>71</v>
      </c>
      <c r="DR151">
        <v>3500072</v>
      </c>
      <c r="DS151" s="14" t="s">
        <v>107</v>
      </c>
    </row>
    <row r="152" spans="1:123" x14ac:dyDescent="0.15">
      <c r="A152">
        <v>149</v>
      </c>
      <c r="B152" s="16" t="s">
        <v>285</v>
      </c>
      <c r="C152" s="7">
        <v>349</v>
      </c>
      <c r="D152" s="1">
        <v>297</v>
      </c>
      <c r="E152">
        <v>1</v>
      </c>
      <c r="F152">
        <f t="shared" si="42"/>
        <v>5005</v>
      </c>
      <c r="H152">
        <v>5</v>
      </c>
      <c r="AL152">
        <v>150</v>
      </c>
      <c r="AM152">
        <f t="shared" si="43"/>
        <v>19</v>
      </c>
      <c r="CK152">
        <v>149</v>
      </c>
      <c r="CL152" s="13" t="b">
        <f t="shared" si="44"/>
        <v>1</v>
      </c>
      <c r="CM152" s="13" t="str">
        <f t="shared" si="51"/>
        <v/>
      </c>
      <c r="CN152" s="13" t="str">
        <f t="shared" si="51"/>
        <v/>
      </c>
      <c r="CO152" s="13" t="str">
        <f t="shared" si="51"/>
        <v/>
      </c>
      <c r="CP152" s="13" t="str">
        <f t="shared" si="51"/>
        <v/>
      </c>
      <c r="CQ152" s="13" t="str">
        <f t="shared" si="51"/>
        <v/>
      </c>
      <c r="CR152" t="str">
        <f t="shared" si="45"/>
        <v>5300095</v>
      </c>
      <c r="CS152" t="str">
        <f t="shared" si="46"/>
        <v/>
      </c>
      <c r="CT152" t="str">
        <f t="shared" si="47"/>
        <v/>
      </c>
      <c r="CU152" t="str">
        <f t="shared" si="48"/>
        <v/>
      </c>
      <c r="CV152" t="str">
        <f t="shared" si="49"/>
        <v/>
      </c>
      <c r="CW152" t="str">
        <f t="shared" si="50"/>
        <v/>
      </c>
      <c r="CX152">
        <v>9</v>
      </c>
      <c r="DD152">
        <v>5</v>
      </c>
      <c r="DJ152" s="14" t="s">
        <v>153</v>
      </c>
      <c r="DR152">
        <v>3502072</v>
      </c>
      <c r="DS152" s="14" t="s">
        <v>111</v>
      </c>
    </row>
    <row r="153" spans="1:123" x14ac:dyDescent="0.15">
      <c r="A153">
        <v>150</v>
      </c>
      <c r="B153" s="16" t="s">
        <v>286</v>
      </c>
      <c r="C153" s="7">
        <v>350</v>
      </c>
      <c r="D153" s="1">
        <v>299</v>
      </c>
      <c r="E153">
        <v>1</v>
      </c>
      <c r="F153">
        <f t="shared" si="42"/>
        <v>5004</v>
      </c>
      <c r="H153">
        <v>4</v>
      </c>
      <c r="AL153">
        <v>151</v>
      </c>
      <c r="AM153">
        <f t="shared" si="43"/>
        <v>20</v>
      </c>
      <c r="CK153">
        <v>150</v>
      </c>
      <c r="CL153" s="13" t="b">
        <f t="shared" si="44"/>
        <v>1</v>
      </c>
      <c r="CM153" s="13" t="str">
        <f t="shared" si="51"/>
        <v/>
      </c>
      <c r="CN153" s="13" t="str">
        <f t="shared" si="51"/>
        <v/>
      </c>
      <c r="CO153" s="13" t="str">
        <f t="shared" si="51"/>
        <v/>
      </c>
      <c r="CP153" s="13" t="str">
        <f t="shared" si="51"/>
        <v/>
      </c>
      <c r="CQ153" s="13" t="str">
        <f t="shared" si="51"/>
        <v/>
      </c>
      <c r="CR153" t="str">
        <f t="shared" si="45"/>
        <v>5600094</v>
      </c>
      <c r="CS153" t="str">
        <f t="shared" si="46"/>
        <v/>
      </c>
      <c r="CT153" t="str">
        <f t="shared" si="47"/>
        <v/>
      </c>
      <c r="CU153" t="str">
        <f t="shared" si="48"/>
        <v/>
      </c>
      <c r="CV153" t="str">
        <f t="shared" si="49"/>
        <v/>
      </c>
      <c r="CW153" t="str">
        <f t="shared" si="50"/>
        <v/>
      </c>
      <c r="CX153">
        <v>9</v>
      </c>
      <c r="DD153">
        <v>5</v>
      </c>
      <c r="DJ153" s="14" t="s">
        <v>148</v>
      </c>
      <c r="DR153">
        <v>3601072</v>
      </c>
      <c r="DS153" s="14" t="s">
        <v>114</v>
      </c>
    </row>
    <row r="154" spans="1:123" x14ac:dyDescent="0.15">
      <c r="A154">
        <v>151</v>
      </c>
      <c r="B154" s="16" t="s">
        <v>230</v>
      </c>
      <c r="C154" s="7">
        <v>351</v>
      </c>
      <c r="D154" s="1">
        <v>301</v>
      </c>
      <c r="E154">
        <v>1</v>
      </c>
      <c r="F154">
        <f t="shared" ref="F154:F185" si="52">H154+5000</f>
        <v>5005</v>
      </c>
      <c r="H154">
        <v>5</v>
      </c>
      <c r="AL154">
        <v>152</v>
      </c>
      <c r="AM154">
        <f t="shared" si="43"/>
        <v>20</v>
      </c>
      <c r="CL154" s="13" t="str">
        <f t="shared" ref="CL154:CQ191" si="53">IF(DJ154&lt;&gt;"",IF(ISERROR(MATCH(INT(CR154),$DR$4:$DR$1516,0))=FALSE,TRUE),"")</f>
        <v/>
      </c>
      <c r="CM154" s="13" t="str">
        <f t="shared" si="53"/>
        <v/>
      </c>
      <c r="CN154" s="13" t="str">
        <f t="shared" si="53"/>
        <v/>
      </c>
      <c r="CO154" s="13" t="str">
        <f t="shared" si="53"/>
        <v/>
      </c>
      <c r="CP154" s="13" t="str">
        <f t="shared" si="53"/>
        <v/>
      </c>
      <c r="CQ154" s="13" t="str">
        <f t="shared" si="53"/>
        <v/>
      </c>
      <c r="CR154" t="str">
        <f t="shared" ref="CR154:CR194" si="54">IF(DJ154&lt;&gt;"",REPLACE(REPLACE(INDEX($DR$4:$DR$1516,MATCH(DJ154,$DS$4:$DS$1516,0)),6,1,CX154),1,1,DD154),"")</f>
        <v/>
      </c>
      <c r="CS154" t="str">
        <f t="shared" ref="CS154:CS194" si="55">IF(DK154&lt;&gt;"",REPLACE(REPLACE(INDEX($DR$4:$DR$1516,MATCH(DK154,$DS$4:$DS$1516,0)),6,1,CY154),1,1,DE154),"")</f>
        <v/>
      </c>
      <c r="CT154" t="str">
        <f t="shared" ref="CT154:CT194" si="56">IF(DL154&lt;&gt;"",REPLACE(REPLACE(INDEX($DR$4:$DR$1516,MATCH(DL154,$DS$4:$DS$1516,0)),6,1,CZ154),1,1,DF154),"")</f>
        <v/>
      </c>
      <c r="CU154" t="str">
        <f t="shared" ref="CU154:CU194" si="57">IF(DM154&lt;&gt;"",REPLACE(REPLACE(INDEX($DR$4:$DR$1516,MATCH(DM154,$DS$4:$DS$1516,0)),6,1,DA154),1,1,DG154),"")</f>
        <v/>
      </c>
      <c r="CV154" t="str">
        <f t="shared" ref="CV154:CV194" si="58">IF(DN154&lt;&gt;"",REPLACE(REPLACE(INDEX($DR$4:$DR$1516,MATCH(DN154,$DS$4:$DS$1516,0)),6,1,DB154),1,1,DH154),"")</f>
        <v/>
      </c>
      <c r="CW154" t="str">
        <f t="shared" ref="CW154:CW194" si="59">IF(DO154&lt;&gt;"",REPLACE(REPLACE(INDEX($DR$4:$DR$1516,MATCH(DO154,$DS$4:$DS$1516,0)),6,1,DC154),1,1,DI154),"")</f>
        <v/>
      </c>
      <c r="DR154">
        <v>3202073</v>
      </c>
      <c r="DS154" s="14" t="s">
        <v>124</v>
      </c>
    </row>
    <row r="155" spans="1:123" x14ac:dyDescent="0.15">
      <c r="A155">
        <v>152</v>
      </c>
      <c r="B155" s="16" t="s">
        <v>232</v>
      </c>
      <c r="C155" s="7">
        <v>352</v>
      </c>
      <c r="D155" s="1">
        <v>303</v>
      </c>
      <c r="E155">
        <v>1</v>
      </c>
      <c r="F155">
        <f t="shared" si="52"/>
        <v>5004</v>
      </c>
      <c r="H155">
        <v>4</v>
      </c>
      <c r="AL155">
        <v>153</v>
      </c>
      <c r="AM155">
        <f t="shared" si="43"/>
        <v>20</v>
      </c>
      <c r="CL155" s="13" t="str">
        <f t="shared" si="53"/>
        <v/>
      </c>
      <c r="CM155" s="13" t="str">
        <f t="shared" si="53"/>
        <v/>
      </c>
      <c r="CN155" s="13" t="str">
        <f t="shared" si="53"/>
        <v/>
      </c>
      <c r="CO155" s="13" t="str">
        <f t="shared" si="53"/>
        <v/>
      </c>
      <c r="CP155" s="13" t="str">
        <f t="shared" si="53"/>
        <v/>
      </c>
      <c r="CQ155" s="13" t="str">
        <f t="shared" si="53"/>
        <v/>
      </c>
      <c r="CR155" t="str">
        <f t="shared" si="54"/>
        <v/>
      </c>
      <c r="CS155" t="str">
        <f t="shared" si="55"/>
        <v/>
      </c>
      <c r="CT155" t="str">
        <f t="shared" si="56"/>
        <v/>
      </c>
      <c r="CU155" t="str">
        <f t="shared" si="57"/>
        <v/>
      </c>
      <c r="CV155" t="str">
        <f t="shared" si="58"/>
        <v/>
      </c>
      <c r="CW155" t="str">
        <f t="shared" si="59"/>
        <v/>
      </c>
      <c r="DR155">
        <v>3301073</v>
      </c>
      <c r="DS155" s="14" t="s">
        <v>126</v>
      </c>
    </row>
    <row r="156" spans="1:123" x14ac:dyDescent="0.15">
      <c r="A156">
        <v>153</v>
      </c>
      <c r="B156" s="16" t="s">
        <v>234</v>
      </c>
      <c r="C156" s="7">
        <v>353</v>
      </c>
      <c r="D156" s="1">
        <v>305</v>
      </c>
      <c r="E156">
        <v>1</v>
      </c>
      <c r="F156">
        <f t="shared" si="52"/>
        <v>5003</v>
      </c>
      <c r="H156">
        <v>3</v>
      </c>
      <c r="AL156">
        <v>154</v>
      </c>
      <c r="AM156">
        <f t="shared" si="43"/>
        <v>20</v>
      </c>
      <c r="CL156" s="13" t="str">
        <f t="shared" si="53"/>
        <v/>
      </c>
      <c r="CM156" s="13" t="str">
        <f t="shared" si="53"/>
        <v/>
      </c>
      <c r="CN156" s="13" t="str">
        <f t="shared" si="53"/>
        <v/>
      </c>
      <c r="CO156" s="13" t="str">
        <f t="shared" si="53"/>
        <v/>
      </c>
      <c r="CP156" s="13" t="str">
        <f t="shared" si="53"/>
        <v/>
      </c>
      <c r="CQ156" s="13" t="str">
        <f t="shared" si="53"/>
        <v/>
      </c>
      <c r="CR156" t="str">
        <f t="shared" si="54"/>
        <v/>
      </c>
      <c r="CS156" t="str">
        <f t="shared" si="55"/>
        <v/>
      </c>
      <c r="CT156" t="str">
        <f t="shared" si="56"/>
        <v/>
      </c>
      <c r="CU156" t="str">
        <f t="shared" si="57"/>
        <v/>
      </c>
      <c r="CV156" t="str">
        <f t="shared" si="58"/>
        <v/>
      </c>
      <c r="CW156" t="str">
        <f t="shared" si="59"/>
        <v/>
      </c>
      <c r="DR156">
        <v>3401073</v>
      </c>
      <c r="DS156" s="14" t="s">
        <v>130</v>
      </c>
    </row>
    <row r="157" spans="1:123" x14ac:dyDescent="0.15">
      <c r="A157">
        <v>154</v>
      </c>
      <c r="B157" s="16" t="s">
        <v>236</v>
      </c>
      <c r="C157" s="7">
        <v>354</v>
      </c>
      <c r="D157" s="1">
        <v>307</v>
      </c>
      <c r="E157">
        <v>1</v>
      </c>
      <c r="F157">
        <f t="shared" si="52"/>
        <v>5002</v>
      </c>
      <c r="H157">
        <v>2</v>
      </c>
      <c r="AL157">
        <v>155</v>
      </c>
      <c r="AM157">
        <f t="shared" si="43"/>
        <v>20</v>
      </c>
      <c r="CL157" s="13" t="str">
        <f t="shared" si="53"/>
        <v/>
      </c>
      <c r="CM157" s="13" t="str">
        <f t="shared" si="53"/>
        <v/>
      </c>
      <c r="CN157" s="13" t="str">
        <f t="shared" si="53"/>
        <v/>
      </c>
      <c r="CO157" s="13" t="str">
        <f t="shared" si="53"/>
        <v/>
      </c>
      <c r="CP157" s="13" t="str">
        <f t="shared" si="53"/>
        <v/>
      </c>
      <c r="CQ157" s="13" t="str">
        <f t="shared" si="53"/>
        <v/>
      </c>
      <c r="CR157" t="str">
        <f t="shared" si="54"/>
        <v/>
      </c>
      <c r="CS157" t="str">
        <f t="shared" si="55"/>
        <v/>
      </c>
      <c r="CT157" t="str">
        <f t="shared" si="56"/>
        <v/>
      </c>
      <c r="CU157" t="str">
        <f t="shared" si="57"/>
        <v/>
      </c>
      <c r="CV157" t="str">
        <f t="shared" si="58"/>
        <v/>
      </c>
      <c r="CW157" t="str">
        <f t="shared" si="59"/>
        <v/>
      </c>
      <c r="DR157">
        <v>3402073</v>
      </c>
      <c r="DS157" s="14" t="s">
        <v>135</v>
      </c>
    </row>
    <row r="158" spans="1:123" x14ac:dyDescent="0.15">
      <c r="A158">
        <v>155</v>
      </c>
      <c r="B158" s="16" t="s">
        <v>232</v>
      </c>
      <c r="C158" s="7">
        <v>355</v>
      </c>
      <c r="D158" s="1">
        <v>309</v>
      </c>
      <c r="E158">
        <v>1</v>
      </c>
      <c r="F158">
        <f t="shared" si="52"/>
        <v>5005</v>
      </c>
      <c r="H158">
        <v>5</v>
      </c>
      <c r="AL158">
        <v>156</v>
      </c>
      <c r="AM158">
        <f t="shared" si="43"/>
        <v>20</v>
      </c>
      <c r="CL158" s="13" t="str">
        <f t="shared" si="53"/>
        <v/>
      </c>
      <c r="CM158" s="13" t="str">
        <f t="shared" si="53"/>
        <v/>
      </c>
      <c r="CN158" s="13" t="str">
        <f t="shared" si="53"/>
        <v/>
      </c>
      <c r="CO158" s="13" t="str">
        <f t="shared" si="53"/>
        <v/>
      </c>
      <c r="CP158" s="13" t="str">
        <f t="shared" si="53"/>
        <v/>
      </c>
      <c r="CQ158" s="13" t="str">
        <f t="shared" si="53"/>
        <v/>
      </c>
      <c r="CR158" t="str">
        <f t="shared" si="54"/>
        <v/>
      </c>
      <c r="CS158" t="str">
        <f t="shared" si="55"/>
        <v/>
      </c>
      <c r="CT158" t="str">
        <f t="shared" si="56"/>
        <v/>
      </c>
      <c r="CU158" t="str">
        <f t="shared" si="57"/>
        <v/>
      </c>
      <c r="CV158" t="str">
        <f t="shared" si="58"/>
        <v/>
      </c>
      <c r="CW158" t="str">
        <f t="shared" si="59"/>
        <v/>
      </c>
      <c r="DR158">
        <v>3500073</v>
      </c>
      <c r="DS158" s="14" t="s">
        <v>139</v>
      </c>
    </row>
    <row r="159" spans="1:123" x14ac:dyDescent="0.15">
      <c r="A159">
        <v>156</v>
      </c>
      <c r="B159" s="16" t="s">
        <v>239</v>
      </c>
      <c r="C159" s="7">
        <v>356</v>
      </c>
      <c r="D159" s="1">
        <v>311</v>
      </c>
      <c r="E159">
        <v>1</v>
      </c>
      <c r="F159">
        <f t="shared" si="52"/>
        <v>5004</v>
      </c>
      <c r="H159">
        <v>4</v>
      </c>
      <c r="AL159">
        <v>157</v>
      </c>
      <c r="AM159">
        <f t="shared" si="43"/>
        <v>20</v>
      </c>
      <c r="CL159" s="13" t="str">
        <f t="shared" si="53"/>
        <v/>
      </c>
      <c r="CM159" s="13" t="str">
        <f t="shared" si="53"/>
        <v/>
      </c>
      <c r="CN159" s="13" t="str">
        <f t="shared" si="53"/>
        <v/>
      </c>
      <c r="CO159" s="13" t="str">
        <f t="shared" si="53"/>
        <v/>
      </c>
      <c r="CP159" s="13" t="str">
        <f t="shared" si="53"/>
        <v/>
      </c>
      <c r="CQ159" s="13" t="str">
        <f t="shared" si="53"/>
        <v/>
      </c>
      <c r="CR159" t="str">
        <f t="shared" si="54"/>
        <v/>
      </c>
      <c r="CS159" t="str">
        <f t="shared" si="55"/>
        <v/>
      </c>
      <c r="CT159" t="str">
        <f t="shared" si="56"/>
        <v/>
      </c>
      <c r="CU159" t="str">
        <f t="shared" si="57"/>
        <v/>
      </c>
      <c r="CV159" t="str">
        <f t="shared" si="58"/>
        <v/>
      </c>
      <c r="CW159" t="str">
        <f t="shared" si="59"/>
        <v/>
      </c>
      <c r="DR159">
        <v>3502073</v>
      </c>
      <c r="DS159" s="14" t="s">
        <v>141</v>
      </c>
    </row>
    <row r="160" spans="1:123" x14ac:dyDescent="0.15">
      <c r="A160">
        <v>157</v>
      </c>
      <c r="B160" s="16" t="s">
        <v>241</v>
      </c>
      <c r="C160" s="7">
        <v>357</v>
      </c>
      <c r="D160" s="1">
        <v>313</v>
      </c>
      <c r="E160">
        <v>1</v>
      </c>
      <c r="F160">
        <f t="shared" si="52"/>
        <v>5003</v>
      </c>
      <c r="H160">
        <v>3</v>
      </c>
      <c r="AL160">
        <v>158</v>
      </c>
      <c r="AM160">
        <f t="shared" si="43"/>
        <v>20</v>
      </c>
      <c r="CL160" s="13" t="str">
        <f t="shared" si="53"/>
        <v/>
      </c>
      <c r="CM160" s="13" t="str">
        <f t="shared" si="53"/>
        <v/>
      </c>
      <c r="CN160" s="13" t="str">
        <f t="shared" si="53"/>
        <v/>
      </c>
      <c r="CO160" s="13" t="str">
        <f t="shared" si="53"/>
        <v/>
      </c>
      <c r="CP160" s="13" t="str">
        <f t="shared" si="53"/>
        <v/>
      </c>
      <c r="CQ160" s="13" t="str">
        <f t="shared" si="53"/>
        <v/>
      </c>
      <c r="CR160" t="str">
        <f t="shared" si="54"/>
        <v/>
      </c>
      <c r="CS160" t="str">
        <f t="shared" si="55"/>
        <v/>
      </c>
      <c r="CT160" t="str">
        <f t="shared" si="56"/>
        <v/>
      </c>
      <c r="CU160" t="str">
        <f t="shared" si="57"/>
        <v/>
      </c>
      <c r="CV160" t="str">
        <f t="shared" si="58"/>
        <v/>
      </c>
      <c r="CW160" t="str">
        <f t="shared" si="59"/>
        <v/>
      </c>
      <c r="DR160">
        <v>3601073</v>
      </c>
      <c r="DS160" s="14" t="s">
        <v>143</v>
      </c>
    </row>
    <row r="161" spans="1:123" x14ac:dyDescent="0.15">
      <c r="A161">
        <v>158</v>
      </c>
      <c r="B161" s="16" t="s">
        <v>243</v>
      </c>
      <c r="C161" s="7">
        <v>358</v>
      </c>
      <c r="D161" s="1">
        <v>315</v>
      </c>
      <c r="E161">
        <v>1</v>
      </c>
      <c r="F161">
        <f t="shared" si="52"/>
        <v>5002</v>
      </c>
      <c r="H161">
        <v>2</v>
      </c>
      <c r="AL161">
        <v>159</v>
      </c>
      <c r="AM161">
        <f t="shared" si="43"/>
        <v>20</v>
      </c>
      <c r="CL161" s="13" t="str">
        <f t="shared" si="53"/>
        <v/>
      </c>
      <c r="CM161" s="13" t="str">
        <f t="shared" si="53"/>
        <v/>
      </c>
      <c r="CN161" s="13" t="str">
        <f t="shared" si="53"/>
        <v/>
      </c>
      <c r="CO161" s="13" t="str">
        <f t="shared" si="53"/>
        <v/>
      </c>
      <c r="CP161" s="13" t="str">
        <f t="shared" si="53"/>
        <v/>
      </c>
      <c r="CQ161" s="13" t="str">
        <f t="shared" si="53"/>
        <v/>
      </c>
      <c r="CR161" t="str">
        <f t="shared" si="54"/>
        <v/>
      </c>
      <c r="CS161" t="str">
        <f t="shared" si="55"/>
        <v/>
      </c>
      <c r="CT161" t="str">
        <f t="shared" si="56"/>
        <v/>
      </c>
      <c r="CU161" t="str">
        <f t="shared" si="57"/>
        <v/>
      </c>
      <c r="CV161" t="str">
        <f t="shared" si="58"/>
        <v/>
      </c>
      <c r="CW161" t="str">
        <f t="shared" si="59"/>
        <v/>
      </c>
      <c r="DR161">
        <v>3501074</v>
      </c>
      <c r="DS161" s="14" t="s">
        <v>145</v>
      </c>
    </row>
    <row r="162" spans="1:123" x14ac:dyDescent="0.15">
      <c r="A162">
        <v>159</v>
      </c>
      <c r="B162" s="16" t="s">
        <v>245</v>
      </c>
      <c r="C162" s="7">
        <v>359</v>
      </c>
      <c r="D162" s="1">
        <v>317</v>
      </c>
      <c r="E162">
        <v>1</v>
      </c>
      <c r="F162">
        <f t="shared" si="52"/>
        <v>5005</v>
      </c>
      <c r="H162">
        <v>5</v>
      </c>
      <c r="AL162">
        <v>160</v>
      </c>
      <c r="AM162">
        <f t="shared" si="43"/>
        <v>20</v>
      </c>
      <c r="CL162" s="13" t="str">
        <f t="shared" si="53"/>
        <v/>
      </c>
      <c r="CM162" s="13" t="str">
        <f t="shared" si="53"/>
        <v/>
      </c>
      <c r="CN162" s="13" t="str">
        <f t="shared" si="53"/>
        <v/>
      </c>
      <c r="CO162" s="13" t="str">
        <f t="shared" si="53"/>
        <v/>
      </c>
      <c r="CP162" s="13" t="str">
        <f t="shared" si="53"/>
        <v/>
      </c>
      <c r="CQ162" s="13" t="str">
        <f t="shared" si="53"/>
        <v/>
      </c>
      <c r="CR162" t="str">
        <f t="shared" si="54"/>
        <v/>
      </c>
      <c r="CS162" t="str">
        <f t="shared" si="55"/>
        <v/>
      </c>
      <c r="CT162" t="str">
        <f t="shared" si="56"/>
        <v/>
      </c>
      <c r="CU162" t="str">
        <f t="shared" si="57"/>
        <v/>
      </c>
      <c r="CV162" t="str">
        <f t="shared" si="58"/>
        <v/>
      </c>
      <c r="CW162" t="str">
        <f t="shared" si="59"/>
        <v/>
      </c>
      <c r="DR162">
        <v>3600074</v>
      </c>
      <c r="DS162" s="14" t="s">
        <v>148</v>
      </c>
    </row>
    <row r="163" spans="1:123" x14ac:dyDescent="0.15">
      <c r="A163">
        <v>160</v>
      </c>
      <c r="B163" s="16" t="s">
        <v>247</v>
      </c>
      <c r="C163" s="7">
        <v>360</v>
      </c>
      <c r="D163" s="1">
        <v>319</v>
      </c>
      <c r="E163">
        <v>1</v>
      </c>
      <c r="F163">
        <f t="shared" si="52"/>
        <v>5004</v>
      </c>
      <c r="H163">
        <v>4</v>
      </c>
      <c r="AL163">
        <v>161</v>
      </c>
      <c r="AM163">
        <f t="shared" si="43"/>
        <v>21</v>
      </c>
      <c r="CL163" s="13" t="str">
        <f t="shared" si="53"/>
        <v/>
      </c>
      <c r="CM163" s="13" t="str">
        <f t="shared" si="53"/>
        <v/>
      </c>
      <c r="CN163" s="13" t="str">
        <f t="shared" si="53"/>
        <v/>
      </c>
      <c r="CO163" s="13" t="str">
        <f t="shared" si="53"/>
        <v/>
      </c>
      <c r="CP163" s="13" t="str">
        <f t="shared" si="53"/>
        <v/>
      </c>
      <c r="CQ163" s="13" t="str">
        <f t="shared" si="53"/>
        <v/>
      </c>
      <c r="CR163" t="str">
        <f t="shared" si="54"/>
        <v/>
      </c>
      <c r="CS163" t="str">
        <f t="shared" si="55"/>
        <v/>
      </c>
      <c r="CT163" t="str">
        <f t="shared" si="56"/>
        <v/>
      </c>
      <c r="CU163" t="str">
        <f t="shared" si="57"/>
        <v/>
      </c>
      <c r="CV163" t="str">
        <f t="shared" si="58"/>
        <v/>
      </c>
      <c r="CW163" t="str">
        <f t="shared" si="59"/>
        <v/>
      </c>
      <c r="DR163">
        <v>3602074</v>
      </c>
      <c r="DS163" s="14" t="s">
        <v>150</v>
      </c>
    </row>
    <row r="164" spans="1:123" x14ac:dyDescent="0.15">
      <c r="A164">
        <v>161</v>
      </c>
      <c r="B164" s="16" t="s">
        <v>249</v>
      </c>
      <c r="C164" s="7">
        <v>361</v>
      </c>
      <c r="D164" s="1">
        <v>321</v>
      </c>
      <c r="E164">
        <v>1</v>
      </c>
      <c r="F164">
        <f t="shared" si="52"/>
        <v>5003</v>
      </c>
      <c r="H164">
        <v>3</v>
      </c>
      <c r="AL164">
        <v>162</v>
      </c>
      <c r="AM164">
        <f t="shared" si="43"/>
        <v>21</v>
      </c>
      <c r="CL164" s="13" t="str">
        <f t="shared" si="53"/>
        <v/>
      </c>
      <c r="CM164" s="13" t="str">
        <f t="shared" si="53"/>
        <v/>
      </c>
      <c r="CN164" s="13" t="str">
        <f t="shared" si="53"/>
        <v/>
      </c>
      <c r="CO164" s="13" t="str">
        <f t="shared" si="53"/>
        <v/>
      </c>
      <c r="CP164" s="13" t="str">
        <f t="shared" si="53"/>
        <v/>
      </c>
      <c r="CQ164" s="13" t="str">
        <f t="shared" si="53"/>
        <v/>
      </c>
      <c r="CR164" t="str">
        <f t="shared" si="54"/>
        <v/>
      </c>
      <c r="CS164" t="str">
        <f t="shared" si="55"/>
        <v/>
      </c>
      <c r="CT164" t="str">
        <f t="shared" si="56"/>
        <v/>
      </c>
      <c r="CU164" t="str">
        <f t="shared" si="57"/>
        <v/>
      </c>
      <c r="CV164" t="str">
        <f t="shared" si="58"/>
        <v/>
      </c>
      <c r="CW164" t="str">
        <f t="shared" si="59"/>
        <v/>
      </c>
      <c r="DR164">
        <v>3300075</v>
      </c>
      <c r="DS164" s="14" t="s">
        <v>153</v>
      </c>
    </row>
    <row r="165" spans="1:123" x14ac:dyDescent="0.15">
      <c r="A165">
        <v>162</v>
      </c>
      <c r="B165" s="16" t="s">
        <v>251</v>
      </c>
      <c r="C165" s="7">
        <v>362</v>
      </c>
      <c r="D165" s="1">
        <v>323</v>
      </c>
      <c r="E165">
        <v>1</v>
      </c>
      <c r="F165">
        <f t="shared" si="52"/>
        <v>5002</v>
      </c>
      <c r="H165">
        <v>2</v>
      </c>
      <c r="AL165">
        <v>163</v>
      </c>
      <c r="AM165">
        <f t="shared" si="43"/>
        <v>21</v>
      </c>
      <c r="CL165" s="13" t="str">
        <f t="shared" si="53"/>
        <v/>
      </c>
      <c r="CM165" s="13" t="str">
        <f t="shared" si="53"/>
        <v/>
      </c>
      <c r="CN165" s="13" t="str">
        <f t="shared" si="53"/>
        <v/>
      </c>
      <c r="CO165" s="13" t="str">
        <f t="shared" si="53"/>
        <v/>
      </c>
      <c r="CP165" s="13" t="str">
        <f t="shared" si="53"/>
        <v/>
      </c>
      <c r="CQ165" s="13" t="str">
        <f t="shared" si="53"/>
        <v/>
      </c>
      <c r="CR165" t="str">
        <f t="shared" si="54"/>
        <v/>
      </c>
      <c r="CS165" t="str">
        <f t="shared" si="55"/>
        <v/>
      </c>
      <c r="CT165" t="str">
        <f t="shared" si="56"/>
        <v/>
      </c>
      <c r="CU165" t="str">
        <f t="shared" si="57"/>
        <v/>
      </c>
      <c r="CV165" t="str">
        <f t="shared" si="58"/>
        <v/>
      </c>
      <c r="CW165" t="str">
        <f t="shared" si="59"/>
        <v/>
      </c>
      <c r="DR165">
        <v>3302075</v>
      </c>
      <c r="DS165" s="14" t="s">
        <v>156</v>
      </c>
    </row>
    <row r="166" spans="1:123" x14ac:dyDescent="0.15">
      <c r="A166">
        <v>163</v>
      </c>
      <c r="B166" s="16" t="s">
        <v>253</v>
      </c>
      <c r="C166" s="7">
        <v>363</v>
      </c>
      <c r="D166" s="1">
        <v>325</v>
      </c>
      <c r="E166">
        <v>1</v>
      </c>
      <c r="F166">
        <f t="shared" si="52"/>
        <v>5005</v>
      </c>
      <c r="H166">
        <v>5</v>
      </c>
      <c r="AL166">
        <v>164</v>
      </c>
      <c r="AM166">
        <f t="shared" si="43"/>
        <v>21</v>
      </c>
      <c r="CL166" s="13" t="str">
        <f t="shared" si="53"/>
        <v/>
      </c>
      <c r="CM166" s="13" t="str">
        <f t="shared" si="53"/>
        <v/>
      </c>
      <c r="CN166" s="13" t="str">
        <f t="shared" si="53"/>
        <v/>
      </c>
      <c r="CO166" s="13" t="str">
        <f t="shared" si="53"/>
        <v/>
      </c>
      <c r="CP166" s="13" t="str">
        <f t="shared" si="53"/>
        <v/>
      </c>
      <c r="CQ166" s="13" t="str">
        <f t="shared" si="53"/>
        <v/>
      </c>
      <c r="CR166" t="str">
        <f t="shared" si="54"/>
        <v/>
      </c>
      <c r="CS166" t="str">
        <f t="shared" si="55"/>
        <v/>
      </c>
      <c r="CT166" t="str">
        <f t="shared" si="56"/>
        <v/>
      </c>
      <c r="CU166" t="str">
        <f t="shared" si="57"/>
        <v/>
      </c>
      <c r="CV166" t="str">
        <f t="shared" si="58"/>
        <v/>
      </c>
      <c r="CW166" t="str">
        <f t="shared" si="59"/>
        <v/>
      </c>
      <c r="DR166">
        <v>3400075</v>
      </c>
      <c r="DS166" s="14" t="s">
        <v>159</v>
      </c>
    </row>
    <row r="167" spans="1:123" x14ac:dyDescent="0.15">
      <c r="A167">
        <v>164</v>
      </c>
      <c r="B167" s="16" t="s">
        <v>232</v>
      </c>
      <c r="C167" s="7">
        <v>364</v>
      </c>
      <c r="D167" s="1">
        <v>327</v>
      </c>
      <c r="E167">
        <v>1</v>
      </c>
      <c r="F167">
        <f t="shared" si="52"/>
        <v>5004</v>
      </c>
      <c r="H167">
        <v>4</v>
      </c>
      <c r="AL167">
        <v>165</v>
      </c>
      <c r="AM167">
        <f t="shared" si="43"/>
        <v>21</v>
      </c>
      <c r="CL167" s="13" t="str">
        <f t="shared" si="53"/>
        <v/>
      </c>
      <c r="CM167" s="13" t="str">
        <f t="shared" si="53"/>
        <v/>
      </c>
      <c r="CN167" s="13" t="str">
        <f t="shared" si="53"/>
        <v/>
      </c>
      <c r="CO167" s="13" t="str">
        <f t="shared" si="53"/>
        <v/>
      </c>
      <c r="CP167" s="13" t="str">
        <f t="shared" si="53"/>
        <v/>
      </c>
      <c r="CQ167" s="13" t="str">
        <f t="shared" si="53"/>
        <v/>
      </c>
      <c r="CR167" t="str">
        <f t="shared" si="54"/>
        <v/>
      </c>
      <c r="CS167" t="str">
        <f t="shared" si="55"/>
        <v/>
      </c>
      <c r="CT167" t="str">
        <f t="shared" si="56"/>
        <v/>
      </c>
      <c r="CU167" t="str">
        <f t="shared" si="57"/>
        <v/>
      </c>
      <c r="CV167" t="str">
        <f t="shared" si="58"/>
        <v/>
      </c>
      <c r="CW167" t="str">
        <f t="shared" si="59"/>
        <v/>
      </c>
      <c r="DR167">
        <v>3200081</v>
      </c>
      <c r="DS167" s="14" t="s">
        <v>62</v>
      </c>
    </row>
    <row r="168" spans="1:123" x14ac:dyDescent="0.15">
      <c r="A168">
        <v>165</v>
      </c>
      <c r="B168" s="16" t="s">
        <v>256</v>
      </c>
      <c r="C168" s="7">
        <v>365</v>
      </c>
      <c r="D168" s="1">
        <v>329</v>
      </c>
      <c r="E168">
        <v>1</v>
      </c>
      <c r="F168">
        <f t="shared" si="52"/>
        <v>5003</v>
      </c>
      <c r="H168">
        <v>3</v>
      </c>
      <c r="AL168">
        <v>166</v>
      </c>
      <c r="AM168">
        <f t="shared" si="43"/>
        <v>21</v>
      </c>
      <c r="CL168" s="13" t="str">
        <f t="shared" si="53"/>
        <v/>
      </c>
      <c r="CM168" s="13" t="str">
        <f t="shared" si="53"/>
        <v/>
      </c>
      <c r="CN168" s="13" t="str">
        <f t="shared" si="53"/>
        <v/>
      </c>
      <c r="CO168" s="13" t="str">
        <f t="shared" si="53"/>
        <v/>
      </c>
      <c r="CP168" s="13" t="str">
        <f t="shared" si="53"/>
        <v/>
      </c>
      <c r="CQ168" s="13" t="str">
        <f t="shared" si="53"/>
        <v/>
      </c>
      <c r="CR168" t="str">
        <f t="shared" si="54"/>
        <v/>
      </c>
      <c r="CS168" t="str">
        <f t="shared" si="55"/>
        <v/>
      </c>
      <c r="CT168" t="str">
        <f t="shared" si="56"/>
        <v/>
      </c>
      <c r="CU168" t="str">
        <f t="shared" si="57"/>
        <v/>
      </c>
      <c r="CV168" t="str">
        <f t="shared" si="58"/>
        <v/>
      </c>
      <c r="CW168" t="str">
        <f t="shared" si="59"/>
        <v/>
      </c>
      <c r="DR168">
        <v>3201081</v>
      </c>
      <c r="DS168" s="14" t="s">
        <v>65</v>
      </c>
    </row>
    <row r="169" spans="1:123" x14ac:dyDescent="0.15">
      <c r="A169">
        <v>166</v>
      </c>
      <c r="B169" s="16" t="s">
        <v>258</v>
      </c>
      <c r="C169" s="7">
        <v>366</v>
      </c>
      <c r="D169" s="1">
        <v>331</v>
      </c>
      <c r="E169">
        <v>1</v>
      </c>
      <c r="F169">
        <f t="shared" si="52"/>
        <v>5002</v>
      </c>
      <c r="H169">
        <v>2</v>
      </c>
      <c r="AL169">
        <v>167</v>
      </c>
      <c r="AM169">
        <f t="shared" si="43"/>
        <v>21</v>
      </c>
      <c r="CL169" s="13" t="str">
        <f t="shared" si="53"/>
        <v/>
      </c>
      <c r="CM169" s="13" t="str">
        <f t="shared" si="53"/>
        <v/>
      </c>
      <c r="CN169" s="13" t="str">
        <f t="shared" si="53"/>
        <v/>
      </c>
      <c r="CO169" s="13" t="str">
        <f t="shared" si="53"/>
        <v/>
      </c>
      <c r="CP169" s="13" t="str">
        <f t="shared" si="53"/>
        <v/>
      </c>
      <c r="CQ169" s="13" t="str">
        <f t="shared" si="53"/>
        <v/>
      </c>
      <c r="CR169" t="str">
        <f t="shared" si="54"/>
        <v/>
      </c>
      <c r="CS169" t="str">
        <f t="shared" si="55"/>
        <v/>
      </c>
      <c r="CT169" t="str">
        <f t="shared" si="56"/>
        <v/>
      </c>
      <c r="CU169" t="str">
        <f t="shared" si="57"/>
        <v/>
      </c>
      <c r="CV169" t="str">
        <f t="shared" si="58"/>
        <v/>
      </c>
      <c r="CW169" t="str">
        <f t="shared" si="59"/>
        <v/>
      </c>
      <c r="DR169">
        <v>3202081</v>
      </c>
      <c r="DS169" s="14" t="s">
        <v>68</v>
      </c>
    </row>
    <row r="170" spans="1:123" x14ac:dyDescent="0.15">
      <c r="A170">
        <v>167</v>
      </c>
      <c r="B170" s="16" t="s">
        <v>260</v>
      </c>
      <c r="C170" s="7">
        <v>367</v>
      </c>
      <c r="D170" s="1">
        <v>333</v>
      </c>
      <c r="E170">
        <v>1</v>
      </c>
      <c r="F170">
        <f t="shared" si="52"/>
        <v>5005</v>
      </c>
      <c r="H170">
        <v>5</v>
      </c>
      <c r="AL170">
        <v>168</v>
      </c>
      <c r="AM170">
        <f t="shared" si="43"/>
        <v>21</v>
      </c>
      <c r="CL170" s="13" t="str">
        <f t="shared" si="53"/>
        <v/>
      </c>
      <c r="CM170" s="13" t="str">
        <f t="shared" si="53"/>
        <v/>
      </c>
      <c r="CN170" s="13" t="str">
        <f t="shared" si="53"/>
        <v/>
      </c>
      <c r="CO170" s="13" t="str">
        <f t="shared" si="53"/>
        <v/>
      </c>
      <c r="CP170" s="13" t="str">
        <f t="shared" si="53"/>
        <v/>
      </c>
      <c r="CQ170" s="13" t="str">
        <f t="shared" si="53"/>
        <v/>
      </c>
      <c r="CR170" t="str">
        <f t="shared" si="54"/>
        <v/>
      </c>
      <c r="CS170" t="str">
        <f t="shared" si="55"/>
        <v/>
      </c>
      <c r="CT170" t="str">
        <f t="shared" si="56"/>
        <v/>
      </c>
      <c r="CU170" t="str">
        <f t="shared" si="57"/>
        <v/>
      </c>
      <c r="CV170" t="str">
        <f t="shared" si="58"/>
        <v/>
      </c>
      <c r="CW170" t="str">
        <f t="shared" si="59"/>
        <v/>
      </c>
      <c r="DR170">
        <v>3301081</v>
      </c>
      <c r="DS170" s="14" t="s">
        <v>71</v>
      </c>
    </row>
    <row r="171" spans="1:123" x14ac:dyDescent="0.15">
      <c r="A171">
        <v>168</v>
      </c>
      <c r="B171" s="16" t="s">
        <v>249</v>
      </c>
      <c r="C171" s="7">
        <v>368</v>
      </c>
      <c r="D171" s="1">
        <v>335</v>
      </c>
      <c r="E171">
        <v>1</v>
      </c>
      <c r="F171">
        <f t="shared" si="52"/>
        <v>5004</v>
      </c>
      <c r="H171">
        <v>4</v>
      </c>
      <c r="AL171">
        <v>169</v>
      </c>
      <c r="AM171">
        <f t="shared" si="43"/>
        <v>21</v>
      </c>
      <c r="CL171" s="13" t="str">
        <f t="shared" si="53"/>
        <v/>
      </c>
      <c r="CM171" s="13" t="str">
        <f t="shared" si="53"/>
        <v/>
      </c>
      <c r="CN171" s="13" t="str">
        <f t="shared" si="53"/>
        <v/>
      </c>
      <c r="CO171" s="13" t="str">
        <f t="shared" si="53"/>
        <v/>
      </c>
      <c r="CP171" s="13" t="str">
        <f t="shared" si="53"/>
        <v/>
      </c>
      <c r="CQ171" s="13" t="str">
        <f t="shared" si="53"/>
        <v/>
      </c>
      <c r="CR171" t="str">
        <f t="shared" si="54"/>
        <v/>
      </c>
      <c r="CS171" t="str">
        <f t="shared" si="55"/>
        <v/>
      </c>
      <c r="CT171" t="str">
        <f t="shared" si="56"/>
        <v/>
      </c>
      <c r="CU171" t="str">
        <f t="shared" si="57"/>
        <v/>
      </c>
      <c r="CV171" t="str">
        <f t="shared" si="58"/>
        <v/>
      </c>
      <c r="CW171" t="str">
        <f t="shared" si="59"/>
        <v/>
      </c>
      <c r="DR171">
        <v>3401081</v>
      </c>
      <c r="DS171" s="14" t="s">
        <v>73</v>
      </c>
    </row>
    <row r="172" spans="1:123" x14ac:dyDescent="0.15">
      <c r="A172">
        <v>169</v>
      </c>
      <c r="B172" s="16" t="s">
        <v>263</v>
      </c>
      <c r="C172" s="7">
        <v>369</v>
      </c>
      <c r="D172" s="1">
        <v>337</v>
      </c>
      <c r="E172">
        <v>1</v>
      </c>
      <c r="F172">
        <f t="shared" si="52"/>
        <v>5003</v>
      </c>
      <c r="H172">
        <v>3</v>
      </c>
      <c r="AL172">
        <v>170</v>
      </c>
      <c r="AM172">
        <f t="shared" si="43"/>
        <v>21</v>
      </c>
      <c r="CL172" s="13" t="str">
        <f t="shared" si="53"/>
        <v/>
      </c>
      <c r="CM172" s="13" t="str">
        <f t="shared" si="53"/>
        <v/>
      </c>
      <c r="CN172" s="13" t="str">
        <f t="shared" si="53"/>
        <v/>
      </c>
      <c r="CO172" s="13" t="str">
        <f t="shared" si="53"/>
        <v/>
      </c>
      <c r="CP172" s="13" t="str">
        <f t="shared" si="53"/>
        <v/>
      </c>
      <c r="CQ172" s="13" t="str">
        <f t="shared" si="53"/>
        <v/>
      </c>
      <c r="CR172" t="str">
        <f t="shared" si="54"/>
        <v/>
      </c>
      <c r="CS172" t="str">
        <f t="shared" si="55"/>
        <v/>
      </c>
      <c r="CT172" t="str">
        <f t="shared" si="56"/>
        <v/>
      </c>
      <c r="CU172" t="str">
        <f t="shared" si="57"/>
        <v/>
      </c>
      <c r="CV172" t="str">
        <f t="shared" si="58"/>
        <v/>
      </c>
      <c r="CW172" t="str">
        <f t="shared" si="59"/>
        <v/>
      </c>
      <c r="DR172">
        <v>3402081</v>
      </c>
      <c r="DS172" s="14" t="s">
        <v>76</v>
      </c>
    </row>
    <row r="173" spans="1:123" x14ac:dyDescent="0.15">
      <c r="A173">
        <v>170</v>
      </c>
      <c r="B173" s="16" t="s">
        <v>265</v>
      </c>
      <c r="C173" s="7">
        <v>370</v>
      </c>
      <c r="D173" s="1">
        <v>339</v>
      </c>
      <c r="E173">
        <v>1</v>
      </c>
      <c r="F173">
        <f t="shared" si="52"/>
        <v>5002</v>
      </c>
      <c r="H173">
        <v>2</v>
      </c>
      <c r="AL173">
        <v>171</v>
      </c>
      <c r="AM173">
        <f t="shared" si="43"/>
        <v>22</v>
      </c>
      <c r="CL173" s="13" t="str">
        <f t="shared" si="53"/>
        <v/>
      </c>
      <c r="CM173" s="13" t="str">
        <f t="shared" si="53"/>
        <v/>
      </c>
      <c r="CN173" s="13" t="str">
        <f t="shared" si="53"/>
        <v/>
      </c>
      <c r="CO173" s="13" t="str">
        <f t="shared" si="53"/>
        <v/>
      </c>
      <c r="CP173" s="13" t="str">
        <f t="shared" si="53"/>
        <v/>
      </c>
      <c r="CQ173" s="13" t="str">
        <f t="shared" si="53"/>
        <v/>
      </c>
      <c r="CR173" t="str">
        <f t="shared" si="54"/>
        <v/>
      </c>
      <c r="CS173" t="str">
        <f t="shared" si="55"/>
        <v/>
      </c>
      <c r="CT173" t="str">
        <f t="shared" si="56"/>
        <v/>
      </c>
      <c r="CU173" t="str">
        <f t="shared" si="57"/>
        <v/>
      </c>
      <c r="CV173" t="str">
        <f t="shared" si="58"/>
        <v/>
      </c>
      <c r="CW173" t="str">
        <f t="shared" si="59"/>
        <v/>
      </c>
      <c r="DR173">
        <v>3500081</v>
      </c>
      <c r="DS173" s="14" t="s">
        <v>79</v>
      </c>
    </row>
    <row r="174" spans="1:123" x14ac:dyDescent="0.15">
      <c r="A174">
        <v>171</v>
      </c>
      <c r="B174" s="16" t="s">
        <v>267</v>
      </c>
      <c r="C174" s="7">
        <v>371</v>
      </c>
      <c r="D174" s="1">
        <v>341</v>
      </c>
      <c r="E174">
        <v>1</v>
      </c>
      <c r="F174">
        <f t="shared" si="52"/>
        <v>5005</v>
      </c>
      <c r="H174">
        <v>5</v>
      </c>
      <c r="AL174">
        <v>172</v>
      </c>
      <c r="AM174">
        <f t="shared" si="43"/>
        <v>22</v>
      </c>
      <c r="CL174" s="13" t="str">
        <f t="shared" si="53"/>
        <v/>
      </c>
      <c r="CM174" s="13" t="str">
        <f t="shared" si="53"/>
        <v/>
      </c>
      <c r="CN174" s="13" t="str">
        <f t="shared" si="53"/>
        <v/>
      </c>
      <c r="CO174" s="13" t="str">
        <f t="shared" si="53"/>
        <v/>
      </c>
      <c r="CP174" s="13" t="str">
        <f t="shared" si="53"/>
        <v/>
      </c>
      <c r="CQ174" s="13" t="str">
        <f t="shared" si="53"/>
        <v/>
      </c>
      <c r="CR174" t="str">
        <f t="shared" si="54"/>
        <v/>
      </c>
      <c r="CS174" t="str">
        <f t="shared" si="55"/>
        <v/>
      </c>
      <c r="CT174" t="str">
        <f t="shared" si="56"/>
        <v/>
      </c>
      <c r="CU174" t="str">
        <f t="shared" si="57"/>
        <v/>
      </c>
      <c r="CV174" t="str">
        <f t="shared" si="58"/>
        <v/>
      </c>
      <c r="CW174" t="str">
        <f t="shared" si="59"/>
        <v/>
      </c>
      <c r="DR174">
        <v>3502081</v>
      </c>
      <c r="DS174" s="14" t="s">
        <v>81</v>
      </c>
    </row>
    <row r="175" spans="1:123" x14ac:dyDescent="0.15">
      <c r="A175">
        <v>172</v>
      </c>
      <c r="B175" s="16" t="s">
        <v>268</v>
      </c>
      <c r="C175" s="7">
        <v>372</v>
      </c>
      <c r="D175" s="1">
        <v>343</v>
      </c>
      <c r="E175">
        <v>1</v>
      </c>
      <c r="F175">
        <f t="shared" si="52"/>
        <v>5004</v>
      </c>
      <c r="H175">
        <v>4</v>
      </c>
      <c r="AL175">
        <v>173</v>
      </c>
      <c r="AM175">
        <f t="shared" si="43"/>
        <v>22</v>
      </c>
      <c r="CL175" s="13" t="str">
        <f t="shared" si="53"/>
        <v/>
      </c>
      <c r="CM175" s="13" t="str">
        <f t="shared" si="53"/>
        <v/>
      </c>
      <c r="CN175" s="13" t="str">
        <f t="shared" si="53"/>
        <v/>
      </c>
      <c r="CO175" s="13" t="str">
        <f t="shared" si="53"/>
        <v/>
      </c>
      <c r="CP175" s="13" t="str">
        <f t="shared" si="53"/>
        <v/>
      </c>
      <c r="CQ175" s="13" t="str">
        <f t="shared" si="53"/>
        <v/>
      </c>
      <c r="CR175" t="str">
        <f t="shared" si="54"/>
        <v/>
      </c>
      <c r="CS175" t="str">
        <f t="shared" si="55"/>
        <v/>
      </c>
      <c r="CT175" t="str">
        <f t="shared" si="56"/>
        <v/>
      </c>
      <c r="CU175" t="str">
        <f t="shared" si="57"/>
        <v/>
      </c>
      <c r="CV175" t="str">
        <f t="shared" si="58"/>
        <v/>
      </c>
      <c r="CW175" t="str">
        <f t="shared" si="59"/>
        <v/>
      </c>
      <c r="DR175">
        <v>3601081</v>
      </c>
      <c r="DS175" s="14" t="s">
        <v>84</v>
      </c>
    </row>
    <row r="176" spans="1:123" x14ac:dyDescent="0.15">
      <c r="A176">
        <v>173</v>
      </c>
      <c r="B176" s="16" t="s">
        <v>269</v>
      </c>
      <c r="C176" s="7">
        <v>373</v>
      </c>
      <c r="D176" s="1">
        <v>345</v>
      </c>
      <c r="E176">
        <v>1</v>
      </c>
      <c r="F176">
        <f t="shared" si="52"/>
        <v>5003</v>
      </c>
      <c r="H176">
        <v>3</v>
      </c>
      <c r="AL176">
        <v>174</v>
      </c>
      <c r="AM176">
        <f t="shared" si="43"/>
        <v>22</v>
      </c>
      <c r="CL176" s="13" t="str">
        <f t="shared" si="53"/>
        <v/>
      </c>
      <c r="CM176" s="13" t="str">
        <f t="shared" si="53"/>
        <v/>
      </c>
      <c r="CN176" s="13" t="str">
        <f t="shared" si="53"/>
        <v/>
      </c>
      <c r="CO176" s="13" t="str">
        <f t="shared" si="53"/>
        <v/>
      </c>
      <c r="CP176" s="13" t="str">
        <f t="shared" si="53"/>
        <v/>
      </c>
      <c r="CQ176" s="13" t="str">
        <f t="shared" si="53"/>
        <v/>
      </c>
      <c r="CR176" t="str">
        <f t="shared" si="54"/>
        <v/>
      </c>
      <c r="CS176" t="str">
        <f t="shared" si="55"/>
        <v/>
      </c>
      <c r="CT176" t="str">
        <f t="shared" si="56"/>
        <v/>
      </c>
      <c r="CU176" t="str">
        <f t="shared" si="57"/>
        <v/>
      </c>
      <c r="CV176" t="str">
        <f t="shared" si="58"/>
        <v/>
      </c>
      <c r="CW176" t="str">
        <f t="shared" si="59"/>
        <v/>
      </c>
      <c r="DR176">
        <v>3200082</v>
      </c>
      <c r="DS176" s="14" t="s">
        <v>88</v>
      </c>
    </row>
    <row r="177" spans="1:123" x14ac:dyDescent="0.15">
      <c r="A177">
        <v>174</v>
      </c>
      <c r="B177" s="16" t="s">
        <v>270</v>
      </c>
      <c r="C177" s="7">
        <v>374</v>
      </c>
      <c r="D177" s="1">
        <v>347</v>
      </c>
      <c r="E177">
        <v>1</v>
      </c>
      <c r="F177">
        <f t="shared" si="52"/>
        <v>5002</v>
      </c>
      <c r="H177">
        <v>2</v>
      </c>
      <c r="AL177">
        <v>175</v>
      </c>
      <c r="AM177">
        <f t="shared" si="43"/>
        <v>22</v>
      </c>
      <c r="CL177" s="13" t="str">
        <f t="shared" si="53"/>
        <v/>
      </c>
      <c r="CM177" s="13" t="str">
        <f t="shared" si="53"/>
        <v/>
      </c>
      <c r="CN177" s="13" t="str">
        <f t="shared" si="53"/>
        <v/>
      </c>
      <c r="CO177" s="13" t="str">
        <f t="shared" si="53"/>
        <v/>
      </c>
      <c r="CP177" s="13" t="str">
        <f t="shared" si="53"/>
        <v/>
      </c>
      <c r="CQ177" s="13" t="str">
        <f t="shared" si="53"/>
        <v/>
      </c>
      <c r="CR177" t="str">
        <f t="shared" si="54"/>
        <v/>
      </c>
      <c r="CS177" t="str">
        <f t="shared" si="55"/>
        <v/>
      </c>
      <c r="CT177" t="str">
        <f t="shared" si="56"/>
        <v/>
      </c>
      <c r="CU177" t="str">
        <f t="shared" si="57"/>
        <v/>
      </c>
      <c r="CV177" t="str">
        <f t="shared" si="58"/>
        <v/>
      </c>
      <c r="CW177" t="str">
        <f t="shared" si="59"/>
        <v/>
      </c>
      <c r="DR177">
        <v>3201082</v>
      </c>
      <c r="DS177" s="14" t="s">
        <v>92</v>
      </c>
    </row>
    <row r="178" spans="1:123" x14ac:dyDescent="0.15">
      <c r="A178">
        <v>175</v>
      </c>
      <c r="B178" s="16" t="s">
        <v>271</v>
      </c>
      <c r="C178" s="7">
        <v>375</v>
      </c>
      <c r="D178" s="1">
        <v>349</v>
      </c>
      <c r="E178">
        <v>1</v>
      </c>
      <c r="F178">
        <f t="shared" si="52"/>
        <v>5005</v>
      </c>
      <c r="H178">
        <v>5</v>
      </c>
      <c r="AL178">
        <v>176</v>
      </c>
      <c r="AM178">
        <f t="shared" si="43"/>
        <v>22</v>
      </c>
      <c r="CL178" s="13" t="str">
        <f t="shared" si="53"/>
        <v/>
      </c>
      <c r="CM178" s="13" t="str">
        <f t="shared" si="53"/>
        <v/>
      </c>
      <c r="CN178" s="13" t="str">
        <f t="shared" si="53"/>
        <v/>
      </c>
      <c r="CO178" s="13" t="str">
        <f t="shared" si="53"/>
        <v/>
      </c>
      <c r="CP178" s="13" t="str">
        <f t="shared" si="53"/>
        <v/>
      </c>
      <c r="CQ178" s="13" t="str">
        <f t="shared" si="53"/>
        <v/>
      </c>
      <c r="CR178" t="str">
        <f t="shared" si="54"/>
        <v/>
      </c>
      <c r="CS178" t="str">
        <f t="shared" si="55"/>
        <v/>
      </c>
      <c r="CT178" t="str">
        <f t="shared" si="56"/>
        <v/>
      </c>
      <c r="CU178" t="str">
        <f t="shared" si="57"/>
        <v/>
      </c>
      <c r="CV178" t="str">
        <f t="shared" si="58"/>
        <v/>
      </c>
      <c r="CW178" t="str">
        <f t="shared" si="59"/>
        <v/>
      </c>
      <c r="DR178">
        <v>3202082</v>
      </c>
      <c r="DS178" s="14" t="s">
        <v>95</v>
      </c>
    </row>
    <row r="179" spans="1:123" x14ac:dyDescent="0.15">
      <c r="A179">
        <v>176</v>
      </c>
      <c r="B179" s="16" t="s">
        <v>272</v>
      </c>
      <c r="C179" s="7">
        <v>376</v>
      </c>
      <c r="D179" s="1">
        <v>351</v>
      </c>
      <c r="E179">
        <v>1</v>
      </c>
      <c r="F179">
        <f t="shared" si="52"/>
        <v>5004</v>
      </c>
      <c r="H179">
        <v>4</v>
      </c>
      <c r="AL179">
        <v>177</v>
      </c>
      <c r="AM179">
        <f t="shared" si="43"/>
        <v>22</v>
      </c>
      <c r="CL179" s="13" t="str">
        <f t="shared" si="53"/>
        <v/>
      </c>
      <c r="CM179" s="13" t="str">
        <f t="shared" si="53"/>
        <v/>
      </c>
      <c r="CN179" s="13" t="str">
        <f t="shared" si="53"/>
        <v/>
      </c>
      <c r="CO179" s="13" t="str">
        <f t="shared" si="53"/>
        <v/>
      </c>
      <c r="CP179" s="13" t="str">
        <f t="shared" si="53"/>
        <v/>
      </c>
      <c r="CQ179" s="13" t="str">
        <f t="shared" si="53"/>
        <v/>
      </c>
      <c r="CR179" t="str">
        <f t="shared" si="54"/>
        <v/>
      </c>
      <c r="CS179" t="str">
        <f t="shared" si="55"/>
        <v/>
      </c>
      <c r="CT179" t="str">
        <f t="shared" si="56"/>
        <v/>
      </c>
      <c r="CU179" t="str">
        <f t="shared" si="57"/>
        <v/>
      </c>
      <c r="CV179" t="str">
        <f t="shared" si="58"/>
        <v/>
      </c>
      <c r="CW179" t="str">
        <f t="shared" si="59"/>
        <v/>
      </c>
      <c r="DR179">
        <v>3301082</v>
      </c>
      <c r="DS179" s="14" t="s">
        <v>98</v>
      </c>
    </row>
    <row r="180" spans="1:123" x14ac:dyDescent="0.15">
      <c r="A180">
        <v>177</v>
      </c>
      <c r="B180" s="16" t="s">
        <v>273</v>
      </c>
      <c r="C180" s="7">
        <v>377</v>
      </c>
      <c r="D180" s="1">
        <v>353</v>
      </c>
      <c r="E180">
        <v>1</v>
      </c>
      <c r="F180">
        <f t="shared" si="52"/>
        <v>5003</v>
      </c>
      <c r="H180">
        <v>3</v>
      </c>
      <c r="AL180">
        <v>178</v>
      </c>
      <c r="AM180">
        <f t="shared" si="43"/>
        <v>22</v>
      </c>
      <c r="CL180" s="13" t="str">
        <f t="shared" si="53"/>
        <v/>
      </c>
      <c r="CM180" s="13" t="str">
        <f t="shared" si="53"/>
        <v/>
      </c>
      <c r="CN180" s="13" t="str">
        <f t="shared" si="53"/>
        <v/>
      </c>
      <c r="CO180" s="13" t="str">
        <f t="shared" si="53"/>
        <v/>
      </c>
      <c r="CP180" s="13" t="str">
        <f t="shared" si="53"/>
        <v/>
      </c>
      <c r="CQ180" s="13" t="str">
        <f t="shared" si="53"/>
        <v/>
      </c>
      <c r="CR180" t="str">
        <f t="shared" si="54"/>
        <v/>
      </c>
      <c r="CS180" t="str">
        <f t="shared" si="55"/>
        <v/>
      </c>
      <c r="CT180" t="str">
        <f t="shared" si="56"/>
        <v/>
      </c>
      <c r="CU180" t="str">
        <f t="shared" si="57"/>
        <v/>
      </c>
      <c r="CV180" t="str">
        <f t="shared" si="58"/>
        <v/>
      </c>
      <c r="CW180" t="str">
        <f t="shared" si="59"/>
        <v/>
      </c>
      <c r="DR180">
        <v>3401082</v>
      </c>
      <c r="DS180" s="14" t="s">
        <v>101</v>
      </c>
    </row>
    <row r="181" spans="1:123" x14ac:dyDescent="0.15">
      <c r="A181">
        <v>178</v>
      </c>
      <c r="B181" s="16" t="s">
        <v>274</v>
      </c>
      <c r="C181" s="7">
        <v>378</v>
      </c>
      <c r="D181" s="1">
        <v>355</v>
      </c>
      <c r="E181">
        <v>1</v>
      </c>
      <c r="F181">
        <f t="shared" si="52"/>
        <v>5002</v>
      </c>
      <c r="H181">
        <v>2</v>
      </c>
      <c r="AL181">
        <v>179</v>
      </c>
      <c r="AM181">
        <f t="shared" si="43"/>
        <v>22</v>
      </c>
      <c r="CL181" s="13" t="str">
        <f t="shared" si="53"/>
        <v/>
      </c>
      <c r="CM181" s="13" t="str">
        <f t="shared" si="53"/>
        <v/>
      </c>
      <c r="CN181" s="13" t="str">
        <f t="shared" si="53"/>
        <v/>
      </c>
      <c r="CO181" s="13" t="str">
        <f t="shared" si="53"/>
        <v/>
      </c>
      <c r="CP181" s="13" t="str">
        <f t="shared" si="53"/>
        <v/>
      </c>
      <c r="CQ181" s="13" t="str">
        <f t="shared" si="53"/>
        <v/>
      </c>
      <c r="CR181" t="str">
        <f t="shared" si="54"/>
        <v/>
      </c>
      <c r="CS181" t="str">
        <f t="shared" si="55"/>
        <v/>
      </c>
      <c r="CT181" t="str">
        <f t="shared" si="56"/>
        <v/>
      </c>
      <c r="CU181" t="str">
        <f t="shared" si="57"/>
        <v/>
      </c>
      <c r="CV181" t="str">
        <f t="shared" si="58"/>
        <v/>
      </c>
      <c r="CW181" t="str">
        <f t="shared" si="59"/>
        <v/>
      </c>
      <c r="DR181">
        <v>3402082</v>
      </c>
      <c r="DS181" s="14" t="s">
        <v>103</v>
      </c>
    </row>
    <row r="182" spans="1:123" x14ac:dyDescent="0.15">
      <c r="A182">
        <v>179</v>
      </c>
      <c r="B182" s="16" t="s">
        <v>275</v>
      </c>
      <c r="C182" s="7">
        <v>379</v>
      </c>
      <c r="D182" s="1">
        <v>357</v>
      </c>
      <c r="E182">
        <v>1</v>
      </c>
      <c r="F182">
        <f t="shared" si="52"/>
        <v>5005</v>
      </c>
      <c r="H182">
        <v>5</v>
      </c>
      <c r="AL182">
        <v>180</v>
      </c>
      <c r="AM182">
        <f t="shared" si="43"/>
        <v>22</v>
      </c>
      <c r="CL182" s="13" t="str">
        <f t="shared" si="53"/>
        <v/>
      </c>
      <c r="CM182" s="13" t="str">
        <f t="shared" si="53"/>
        <v/>
      </c>
      <c r="CN182" s="13" t="str">
        <f t="shared" si="53"/>
        <v/>
      </c>
      <c r="CO182" s="13" t="str">
        <f t="shared" si="53"/>
        <v/>
      </c>
      <c r="CP182" s="13" t="str">
        <f t="shared" si="53"/>
        <v/>
      </c>
      <c r="CQ182" s="13" t="str">
        <f t="shared" si="53"/>
        <v/>
      </c>
      <c r="CR182" t="str">
        <f t="shared" si="54"/>
        <v/>
      </c>
      <c r="CS182" t="str">
        <f t="shared" si="55"/>
        <v/>
      </c>
      <c r="CT182" t="str">
        <f t="shared" si="56"/>
        <v/>
      </c>
      <c r="CU182" t="str">
        <f t="shared" si="57"/>
        <v/>
      </c>
      <c r="CV182" t="str">
        <f t="shared" si="58"/>
        <v/>
      </c>
      <c r="CW182" t="str">
        <f t="shared" si="59"/>
        <v/>
      </c>
      <c r="DR182">
        <v>3500082</v>
      </c>
      <c r="DS182" s="14" t="s">
        <v>107</v>
      </c>
    </row>
    <row r="183" spans="1:123" x14ac:dyDescent="0.15">
      <c r="A183">
        <v>180</v>
      </c>
      <c r="B183" s="16" t="s">
        <v>270</v>
      </c>
      <c r="C183" s="7">
        <v>380</v>
      </c>
      <c r="D183" s="1">
        <v>359</v>
      </c>
      <c r="E183">
        <v>1</v>
      </c>
      <c r="F183">
        <f t="shared" si="52"/>
        <v>5004</v>
      </c>
      <c r="H183">
        <v>4</v>
      </c>
      <c r="AL183">
        <v>181</v>
      </c>
      <c r="AM183">
        <f t="shared" si="43"/>
        <v>23</v>
      </c>
      <c r="CL183" s="13" t="str">
        <f t="shared" si="53"/>
        <v/>
      </c>
      <c r="CM183" s="13" t="str">
        <f t="shared" si="53"/>
        <v/>
      </c>
      <c r="CN183" s="13" t="str">
        <f t="shared" si="53"/>
        <v/>
      </c>
      <c r="CO183" s="13" t="str">
        <f t="shared" si="53"/>
        <v/>
      </c>
      <c r="CP183" s="13" t="str">
        <f t="shared" si="53"/>
        <v/>
      </c>
      <c r="CQ183" s="13" t="str">
        <f t="shared" si="53"/>
        <v/>
      </c>
      <c r="CR183" t="str">
        <f t="shared" si="54"/>
        <v/>
      </c>
      <c r="CS183" t="str">
        <f t="shared" si="55"/>
        <v/>
      </c>
      <c r="CT183" t="str">
        <f t="shared" si="56"/>
        <v/>
      </c>
      <c r="CU183" t="str">
        <f t="shared" si="57"/>
        <v/>
      </c>
      <c r="CV183" t="str">
        <f t="shared" si="58"/>
        <v/>
      </c>
      <c r="CW183" t="str">
        <f t="shared" si="59"/>
        <v/>
      </c>
      <c r="DR183">
        <v>3502082</v>
      </c>
      <c r="DS183" s="14" t="s">
        <v>111</v>
      </c>
    </row>
    <row r="184" spans="1:123" x14ac:dyDescent="0.15">
      <c r="A184">
        <v>181</v>
      </c>
      <c r="B184" s="16" t="s">
        <v>276</v>
      </c>
      <c r="C184" s="7">
        <v>381</v>
      </c>
      <c r="D184" s="1">
        <v>361</v>
      </c>
      <c r="E184">
        <v>1</v>
      </c>
      <c r="F184">
        <f t="shared" si="52"/>
        <v>5003</v>
      </c>
      <c r="H184">
        <v>3</v>
      </c>
      <c r="AL184">
        <v>182</v>
      </c>
      <c r="AM184">
        <f t="shared" si="43"/>
        <v>23</v>
      </c>
      <c r="CL184" s="13" t="str">
        <f t="shared" si="53"/>
        <v/>
      </c>
      <c r="CM184" s="13" t="str">
        <f t="shared" si="53"/>
        <v/>
      </c>
      <c r="CN184" s="13" t="str">
        <f t="shared" si="53"/>
        <v/>
      </c>
      <c r="CO184" s="13" t="str">
        <f t="shared" si="53"/>
        <v/>
      </c>
      <c r="CP184" s="13" t="str">
        <f t="shared" si="53"/>
        <v/>
      </c>
      <c r="CQ184" s="13" t="str">
        <f t="shared" si="53"/>
        <v/>
      </c>
      <c r="CR184" t="str">
        <f t="shared" si="54"/>
        <v/>
      </c>
      <c r="CS184" t="str">
        <f t="shared" si="55"/>
        <v/>
      </c>
      <c r="CT184" t="str">
        <f t="shared" si="56"/>
        <v/>
      </c>
      <c r="CU184" t="str">
        <f t="shared" si="57"/>
        <v/>
      </c>
      <c r="CV184" t="str">
        <f t="shared" si="58"/>
        <v/>
      </c>
      <c r="CW184" t="str">
        <f t="shared" si="59"/>
        <v/>
      </c>
      <c r="DR184">
        <v>3601082</v>
      </c>
      <c r="DS184" s="14" t="s">
        <v>114</v>
      </c>
    </row>
    <row r="185" spans="1:123" x14ac:dyDescent="0.15">
      <c r="A185">
        <v>182</v>
      </c>
      <c r="B185" s="16" t="s">
        <v>277</v>
      </c>
      <c r="C185" s="7">
        <v>382</v>
      </c>
      <c r="D185" s="1">
        <v>363</v>
      </c>
      <c r="E185">
        <v>1</v>
      </c>
      <c r="F185">
        <f t="shared" si="52"/>
        <v>5002</v>
      </c>
      <c r="H185">
        <v>2</v>
      </c>
      <c r="AL185">
        <v>183</v>
      </c>
      <c r="AM185">
        <f t="shared" si="43"/>
        <v>23</v>
      </c>
      <c r="CL185" s="13" t="str">
        <f t="shared" si="53"/>
        <v/>
      </c>
      <c r="CM185" s="13" t="str">
        <f t="shared" si="53"/>
        <v/>
      </c>
      <c r="CN185" s="13" t="str">
        <f t="shared" si="53"/>
        <v/>
      </c>
      <c r="CO185" s="13" t="str">
        <f t="shared" si="53"/>
        <v/>
      </c>
      <c r="CP185" s="13" t="str">
        <f t="shared" si="53"/>
        <v/>
      </c>
      <c r="CQ185" s="13" t="str">
        <f t="shared" si="53"/>
        <v/>
      </c>
      <c r="CR185" t="str">
        <f t="shared" si="54"/>
        <v/>
      </c>
      <c r="CS185" t="str">
        <f t="shared" si="55"/>
        <v/>
      </c>
      <c r="CT185" t="str">
        <f t="shared" si="56"/>
        <v/>
      </c>
      <c r="CU185" t="str">
        <f t="shared" si="57"/>
        <v/>
      </c>
      <c r="CV185" t="str">
        <f t="shared" si="58"/>
        <v/>
      </c>
      <c r="CW185" t="str">
        <f t="shared" si="59"/>
        <v/>
      </c>
      <c r="DR185">
        <v>3200083</v>
      </c>
      <c r="DS185" s="14" t="s">
        <v>118</v>
      </c>
    </row>
    <row r="186" spans="1:123" x14ac:dyDescent="0.15">
      <c r="A186">
        <v>183</v>
      </c>
      <c r="B186" s="16" t="s">
        <v>278</v>
      </c>
      <c r="C186" s="7">
        <v>383</v>
      </c>
      <c r="D186" s="1">
        <v>365</v>
      </c>
      <c r="E186">
        <v>1</v>
      </c>
      <c r="F186">
        <f t="shared" ref="F186:F203" si="60">H186+5000</f>
        <v>5005</v>
      </c>
      <c r="H186">
        <v>5</v>
      </c>
      <c r="AL186">
        <v>184</v>
      </c>
      <c r="AM186">
        <f t="shared" si="43"/>
        <v>23</v>
      </c>
      <c r="CL186" s="13" t="str">
        <f t="shared" si="53"/>
        <v/>
      </c>
      <c r="CM186" s="13" t="str">
        <f t="shared" si="53"/>
        <v/>
      </c>
      <c r="CN186" s="13" t="str">
        <f t="shared" si="53"/>
        <v/>
      </c>
      <c r="CO186" s="13" t="str">
        <f t="shared" si="53"/>
        <v/>
      </c>
      <c r="CP186" s="13" t="str">
        <f t="shared" si="53"/>
        <v/>
      </c>
      <c r="CQ186" s="13" t="str">
        <f t="shared" si="53"/>
        <v/>
      </c>
      <c r="CR186" t="str">
        <f t="shared" si="54"/>
        <v/>
      </c>
      <c r="CS186" t="str">
        <f t="shared" si="55"/>
        <v/>
      </c>
      <c r="CT186" t="str">
        <f t="shared" si="56"/>
        <v/>
      </c>
      <c r="CU186" t="str">
        <f t="shared" si="57"/>
        <v/>
      </c>
      <c r="CV186" t="str">
        <f t="shared" si="58"/>
        <v/>
      </c>
      <c r="CW186" t="str">
        <f t="shared" si="59"/>
        <v/>
      </c>
      <c r="DR186">
        <v>3201083</v>
      </c>
      <c r="DS186" s="14" t="s">
        <v>121</v>
      </c>
    </row>
    <row r="187" spans="1:123" x14ac:dyDescent="0.15">
      <c r="A187">
        <v>184</v>
      </c>
      <c r="B187" s="16" t="s">
        <v>278</v>
      </c>
      <c r="C187" s="7">
        <v>384</v>
      </c>
      <c r="D187" s="1">
        <v>367</v>
      </c>
      <c r="E187">
        <v>1</v>
      </c>
      <c r="F187">
        <f t="shared" si="60"/>
        <v>5004</v>
      </c>
      <c r="H187">
        <v>4</v>
      </c>
      <c r="AL187">
        <v>185</v>
      </c>
      <c r="AM187">
        <f t="shared" si="43"/>
        <v>23</v>
      </c>
      <c r="CL187" s="13" t="str">
        <f t="shared" si="53"/>
        <v/>
      </c>
      <c r="CM187" s="13" t="str">
        <f t="shared" si="53"/>
        <v/>
      </c>
      <c r="CN187" s="13" t="str">
        <f t="shared" si="53"/>
        <v/>
      </c>
      <c r="CO187" s="13" t="str">
        <f t="shared" si="53"/>
        <v/>
      </c>
      <c r="CP187" s="13" t="str">
        <f t="shared" si="53"/>
        <v/>
      </c>
      <c r="CQ187" s="13" t="str">
        <f t="shared" si="53"/>
        <v/>
      </c>
      <c r="CR187" t="str">
        <f t="shared" si="54"/>
        <v/>
      </c>
      <c r="CS187" t="str">
        <f t="shared" si="55"/>
        <v/>
      </c>
      <c r="CT187" t="str">
        <f t="shared" si="56"/>
        <v/>
      </c>
      <c r="CU187" t="str">
        <f t="shared" si="57"/>
        <v/>
      </c>
      <c r="CV187" t="str">
        <f t="shared" si="58"/>
        <v/>
      </c>
      <c r="CW187" t="str">
        <f t="shared" si="59"/>
        <v/>
      </c>
      <c r="DR187">
        <v>3202083</v>
      </c>
      <c r="DS187" s="14" t="s">
        <v>124</v>
      </c>
    </row>
    <row r="188" spans="1:123" x14ac:dyDescent="0.15">
      <c r="A188">
        <v>185</v>
      </c>
      <c r="B188" s="16" t="s">
        <v>279</v>
      </c>
      <c r="C188" s="7">
        <v>385</v>
      </c>
      <c r="D188" s="1">
        <v>369</v>
      </c>
      <c r="E188">
        <v>1</v>
      </c>
      <c r="F188">
        <f t="shared" si="60"/>
        <v>5003</v>
      </c>
      <c r="H188">
        <v>3</v>
      </c>
      <c r="AL188">
        <v>186</v>
      </c>
      <c r="AM188">
        <f t="shared" si="43"/>
        <v>23</v>
      </c>
      <c r="CL188" s="13" t="str">
        <f t="shared" si="53"/>
        <v/>
      </c>
      <c r="CM188" s="13" t="str">
        <f t="shared" si="53"/>
        <v/>
      </c>
      <c r="CN188" s="13" t="str">
        <f t="shared" si="53"/>
        <v/>
      </c>
      <c r="CO188" s="13" t="str">
        <f t="shared" si="53"/>
        <v/>
      </c>
      <c r="CP188" s="13" t="str">
        <f t="shared" si="53"/>
        <v/>
      </c>
      <c r="CQ188" s="13" t="str">
        <f t="shared" si="53"/>
        <v/>
      </c>
      <c r="CR188" t="str">
        <f t="shared" si="54"/>
        <v/>
      </c>
      <c r="CS188" t="str">
        <f t="shared" si="55"/>
        <v/>
      </c>
      <c r="CT188" t="str">
        <f t="shared" si="56"/>
        <v/>
      </c>
      <c r="CU188" t="str">
        <f t="shared" si="57"/>
        <v/>
      </c>
      <c r="CV188" t="str">
        <f t="shared" si="58"/>
        <v/>
      </c>
      <c r="CW188" t="str">
        <f t="shared" si="59"/>
        <v/>
      </c>
      <c r="DR188">
        <v>3301083</v>
      </c>
      <c r="DS188" s="14" t="s">
        <v>126</v>
      </c>
    </row>
    <row r="189" spans="1:123" x14ac:dyDescent="0.15">
      <c r="A189">
        <v>186</v>
      </c>
      <c r="B189" s="16" t="s">
        <v>279</v>
      </c>
      <c r="C189" s="7">
        <v>386</v>
      </c>
      <c r="D189" s="1">
        <v>371</v>
      </c>
      <c r="E189">
        <v>1</v>
      </c>
      <c r="F189">
        <f t="shared" si="60"/>
        <v>5002</v>
      </c>
      <c r="H189">
        <v>2</v>
      </c>
      <c r="AL189">
        <v>187</v>
      </c>
      <c r="AM189">
        <f t="shared" si="43"/>
        <v>23</v>
      </c>
      <c r="CL189" s="13" t="str">
        <f t="shared" si="53"/>
        <v/>
      </c>
      <c r="CM189" s="13" t="str">
        <f t="shared" si="53"/>
        <v/>
      </c>
      <c r="CN189" s="13" t="str">
        <f t="shared" si="53"/>
        <v/>
      </c>
      <c r="CO189" s="13" t="str">
        <f t="shared" si="53"/>
        <v/>
      </c>
      <c r="CP189" s="13" t="str">
        <f t="shared" si="53"/>
        <v/>
      </c>
      <c r="CQ189" s="13" t="str">
        <f t="shared" si="53"/>
        <v/>
      </c>
      <c r="CR189" t="str">
        <f t="shared" si="54"/>
        <v/>
      </c>
      <c r="CS189" t="str">
        <f t="shared" si="55"/>
        <v/>
      </c>
      <c r="CT189" t="str">
        <f t="shared" si="56"/>
        <v/>
      </c>
      <c r="CU189" t="str">
        <f t="shared" si="57"/>
        <v/>
      </c>
      <c r="CV189" t="str">
        <f t="shared" si="58"/>
        <v/>
      </c>
      <c r="CW189" t="str">
        <f t="shared" si="59"/>
        <v/>
      </c>
      <c r="DR189">
        <v>3401083</v>
      </c>
      <c r="DS189" s="14" t="s">
        <v>130</v>
      </c>
    </row>
    <row r="190" spans="1:123" x14ac:dyDescent="0.15">
      <c r="A190">
        <v>187</v>
      </c>
      <c r="B190" s="16" t="s">
        <v>280</v>
      </c>
      <c r="C190" s="7">
        <v>387</v>
      </c>
      <c r="D190" s="1">
        <v>373</v>
      </c>
      <c r="E190">
        <v>1</v>
      </c>
      <c r="F190">
        <f t="shared" si="60"/>
        <v>5005</v>
      </c>
      <c r="H190">
        <v>5</v>
      </c>
      <c r="AL190">
        <v>188</v>
      </c>
      <c r="AM190">
        <f t="shared" si="43"/>
        <v>23</v>
      </c>
      <c r="CL190" s="13" t="str">
        <f t="shared" si="53"/>
        <v/>
      </c>
      <c r="CM190" s="13" t="str">
        <f t="shared" si="53"/>
        <v/>
      </c>
      <c r="CN190" s="13" t="str">
        <f t="shared" si="53"/>
        <v/>
      </c>
      <c r="CO190" s="13" t="str">
        <f t="shared" si="53"/>
        <v/>
      </c>
      <c r="CP190" s="13" t="str">
        <f t="shared" si="53"/>
        <v/>
      </c>
      <c r="CQ190" s="13" t="str">
        <f t="shared" si="53"/>
        <v/>
      </c>
      <c r="CR190" t="str">
        <f t="shared" si="54"/>
        <v/>
      </c>
      <c r="CS190" t="str">
        <f t="shared" si="55"/>
        <v/>
      </c>
      <c r="CT190" t="str">
        <f t="shared" si="56"/>
        <v/>
      </c>
      <c r="CU190" t="str">
        <f t="shared" si="57"/>
        <v/>
      </c>
      <c r="CV190" t="str">
        <f t="shared" si="58"/>
        <v/>
      </c>
      <c r="CW190" t="str">
        <f t="shared" si="59"/>
        <v/>
      </c>
      <c r="DR190">
        <v>3402083</v>
      </c>
      <c r="DS190" s="14" t="s">
        <v>135</v>
      </c>
    </row>
    <row r="191" spans="1:123" x14ac:dyDescent="0.15">
      <c r="A191">
        <v>188</v>
      </c>
      <c r="B191" s="16" t="s">
        <v>281</v>
      </c>
      <c r="C191" s="7">
        <v>388</v>
      </c>
      <c r="D191" s="1">
        <v>375</v>
      </c>
      <c r="E191">
        <v>1</v>
      </c>
      <c r="F191">
        <f t="shared" si="60"/>
        <v>5004</v>
      </c>
      <c r="H191">
        <v>4</v>
      </c>
      <c r="AL191">
        <v>189</v>
      </c>
      <c r="AM191">
        <f t="shared" si="43"/>
        <v>23</v>
      </c>
      <c r="CL191" s="13" t="str">
        <f t="shared" si="53"/>
        <v/>
      </c>
      <c r="CM191" s="13" t="str">
        <f t="shared" si="53"/>
        <v/>
      </c>
      <c r="CN191" s="13" t="str">
        <f t="shared" si="53"/>
        <v/>
      </c>
      <c r="CO191" s="13" t="str">
        <f t="shared" ref="CO191:CQ254" si="61">IF(DM191&lt;&gt;"",IF(ISERROR(MATCH(INT(CU191),$DR$4:$DR$1516,0))=FALSE,TRUE),"")</f>
        <v/>
      </c>
      <c r="CP191" s="13" t="str">
        <f t="shared" si="61"/>
        <v/>
      </c>
      <c r="CQ191" s="13" t="str">
        <f t="shared" si="61"/>
        <v/>
      </c>
      <c r="CR191" t="str">
        <f t="shared" si="54"/>
        <v/>
      </c>
      <c r="CS191" t="str">
        <f t="shared" si="55"/>
        <v/>
      </c>
      <c r="CT191" t="str">
        <f t="shared" si="56"/>
        <v/>
      </c>
      <c r="CU191" t="str">
        <f t="shared" si="57"/>
        <v/>
      </c>
      <c r="CV191" t="str">
        <f t="shared" si="58"/>
        <v/>
      </c>
      <c r="CW191" t="str">
        <f t="shared" si="59"/>
        <v/>
      </c>
      <c r="DR191">
        <v>3500083</v>
      </c>
      <c r="DS191" s="14" t="s">
        <v>139</v>
      </c>
    </row>
    <row r="192" spans="1:123" x14ac:dyDescent="0.15">
      <c r="A192">
        <v>189</v>
      </c>
      <c r="B192" s="16" t="s">
        <v>268</v>
      </c>
      <c r="C192" s="7">
        <v>389</v>
      </c>
      <c r="D192" s="1">
        <v>377</v>
      </c>
      <c r="E192">
        <v>1</v>
      </c>
      <c r="F192">
        <f t="shared" si="60"/>
        <v>5003</v>
      </c>
      <c r="H192">
        <v>3</v>
      </c>
      <c r="AL192">
        <v>190</v>
      </c>
      <c r="AM192">
        <f t="shared" si="43"/>
        <v>23</v>
      </c>
      <c r="CL192" s="13" t="str">
        <f t="shared" ref="CL192:CQ255" si="62">IF(DJ192&lt;&gt;"",IF(ISERROR(MATCH(INT(CR192),$DR$4:$DR$1516,0))=FALSE,TRUE),"")</f>
        <v/>
      </c>
      <c r="CM192" s="13" t="str">
        <f t="shared" si="62"/>
        <v/>
      </c>
      <c r="CN192" s="13" t="str">
        <f t="shared" si="62"/>
        <v/>
      </c>
      <c r="CO192" s="13" t="str">
        <f t="shared" si="61"/>
        <v/>
      </c>
      <c r="CP192" s="13" t="str">
        <f t="shared" si="61"/>
        <v/>
      </c>
      <c r="CQ192" s="13" t="str">
        <f t="shared" si="61"/>
        <v/>
      </c>
      <c r="CR192" t="str">
        <f t="shared" si="54"/>
        <v/>
      </c>
      <c r="CS192" t="str">
        <f t="shared" si="55"/>
        <v/>
      </c>
      <c r="CT192" t="str">
        <f t="shared" si="56"/>
        <v/>
      </c>
      <c r="CU192" t="str">
        <f t="shared" si="57"/>
        <v/>
      </c>
      <c r="CV192" t="str">
        <f t="shared" si="58"/>
        <v/>
      </c>
      <c r="CW192" t="str">
        <f t="shared" si="59"/>
        <v/>
      </c>
      <c r="DR192">
        <v>3502083</v>
      </c>
      <c r="DS192" s="14" t="s">
        <v>141</v>
      </c>
    </row>
    <row r="193" spans="1:125" x14ac:dyDescent="0.15">
      <c r="A193">
        <v>190</v>
      </c>
      <c r="B193" s="16" t="s">
        <v>269</v>
      </c>
      <c r="C193" s="7">
        <v>390</v>
      </c>
      <c r="D193" s="1">
        <v>379</v>
      </c>
      <c r="E193">
        <v>1</v>
      </c>
      <c r="F193">
        <f t="shared" si="60"/>
        <v>5002</v>
      </c>
      <c r="H193">
        <v>2</v>
      </c>
      <c r="AL193">
        <v>191</v>
      </c>
      <c r="AM193">
        <f t="shared" si="43"/>
        <v>24</v>
      </c>
      <c r="CL193" s="13" t="str">
        <f t="shared" si="62"/>
        <v/>
      </c>
      <c r="CM193" s="13" t="str">
        <f t="shared" si="62"/>
        <v/>
      </c>
      <c r="CN193" s="13" t="str">
        <f t="shared" si="62"/>
        <v/>
      </c>
      <c r="CO193" s="13" t="str">
        <f t="shared" si="61"/>
        <v/>
      </c>
      <c r="CP193" s="13" t="str">
        <f t="shared" si="61"/>
        <v/>
      </c>
      <c r="CQ193" s="13" t="str">
        <f t="shared" si="61"/>
        <v/>
      </c>
      <c r="CR193" t="str">
        <f t="shared" si="54"/>
        <v/>
      </c>
      <c r="CS193" t="str">
        <f t="shared" si="55"/>
        <v/>
      </c>
      <c r="CT193" t="str">
        <f t="shared" si="56"/>
        <v/>
      </c>
      <c r="CU193" t="str">
        <f t="shared" si="57"/>
        <v/>
      </c>
      <c r="CV193" t="str">
        <f t="shared" si="58"/>
        <v/>
      </c>
      <c r="CW193" t="str">
        <f t="shared" si="59"/>
        <v/>
      </c>
      <c r="DR193">
        <v>3601083</v>
      </c>
      <c r="DS193" s="14" t="s">
        <v>143</v>
      </c>
    </row>
    <row r="194" spans="1:125" x14ac:dyDescent="0.15">
      <c r="A194">
        <v>191</v>
      </c>
      <c r="B194" s="16" t="s">
        <v>281</v>
      </c>
      <c r="C194" s="7">
        <v>391</v>
      </c>
      <c r="D194" s="1">
        <v>381</v>
      </c>
      <c r="E194">
        <v>1</v>
      </c>
      <c r="F194">
        <f t="shared" si="60"/>
        <v>5005</v>
      </c>
      <c r="H194">
        <v>5</v>
      </c>
      <c r="AL194">
        <v>192</v>
      </c>
      <c r="AM194">
        <f t="shared" si="43"/>
        <v>24</v>
      </c>
      <c r="CL194" s="13" t="str">
        <f t="shared" si="62"/>
        <v/>
      </c>
      <c r="CM194" s="13" t="str">
        <f t="shared" si="62"/>
        <v/>
      </c>
      <c r="CN194" s="13" t="str">
        <f t="shared" si="62"/>
        <v/>
      </c>
      <c r="CO194" s="13" t="str">
        <f t="shared" si="61"/>
        <v/>
      </c>
      <c r="CP194" s="13" t="str">
        <f t="shared" si="61"/>
        <v/>
      </c>
      <c r="CQ194" s="13" t="str">
        <f t="shared" si="61"/>
        <v/>
      </c>
      <c r="CR194" t="str">
        <f t="shared" si="54"/>
        <v/>
      </c>
      <c r="CS194" t="str">
        <f t="shared" si="55"/>
        <v/>
      </c>
      <c r="CT194" t="str">
        <f t="shared" si="56"/>
        <v/>
      </c>
      <c r="CU194" t="str">
        <f t="shared" si="57"/>
        <v/>
      </c>
      <c r="CV194" t="str">
        <f t="shared" si="58"/>
        <v/>
      </c>
      <c r="CW194" t="str">
        <f t="shared" si="59"/>
        <v/>
      </c>
      <c r="DR194">
        <v>3501084</v>
      </c>
      <c r="DS194" s="14" t="s">
        <v>145</v>
      </c>
    </row>
    <row r="195" spans="1:125" x14ac:dyDescent="0.15">
      <c r="A195">
        <v>192</v>
      </c>
      <c r="B195" s="16" t="s">
        <v>276</v>
      </c>
      <c r="C195" s="7">
        <v>392</v>
      </c>
      <c r="D195" s="1">
        <v>383</v>
      </c>
      <c r="E195">
        <v>1</v>
      </c>
      <c r="F195">
        <f t="shared" si="60"/>
        <v>5004</v>
      </c>
      <c r="H195">
        <v>4</v>
      </c>
      <c r="AL195">
        <v>193</v>
      </c>
      <c r="AM195">
        <f t="shared" si="43"/>
        <v>24</v>
      </c>
      <c r="CL195" s="13" t="str">
        <f t="shared" si="62"/>
        <v/>
      </c>
      <c r="CM195" s="13" t="str">
        <f t="shared" si="62"/>
        <v/>
      </c>
      <c r="CN195" s="13" t="str">
        <f t="shared" si="62"/>
        <v/>
      </c>
      <c r="CO195" s="13" t="str">
        <f t="shared" si="61"/>
        <v/>
      </c>
      <c r="CP195" s="13" t="str">
        <f t="shared" si="61"/>
        <v/>
      </c>
      <c r="CQ195" s="13" t="str">
        <f t="shared" si="61"/>
        <v/>
      </c>
      <c r="CR195" t="str">
        <f t="shared" ref="CR195:CR258" si="63">IF(DJ195&lt;&gt;"",REPLACE(REPLACE(INDEX($DR$4:$DR$1516,MATCH(DJ195,$DS$4:$DS$1516,0)),6,1,CX195),1,1,DD195),"")</f>
        <v/>
      </c>
      <c r="CS195" t="str">
        <f t="shared" ref="CS195:CS258" si="64">IF(DK195&lt;&gt;"",REPLACE(REPLACE(INDEX($DR$4:$DR$1516,MATCH(DK195,$DS$4:$DS$1516,0)),6,1,CY195),1,1,DE195),"")</f>
        <v/>
      </c>
      <c r="CT195" t="str">
        <f t="shared" ref="CT195:CT258" si="65">IF(DL195&lt;&gt;"",REPLACE(REPLACE(INDEX($DR$4:$DR$1516,MATCH(DL195,$DS$4:$DS$1516,0)),6,1,CZ195),1,1,DF195),"")</f>
        <v/>
      </c>
      <c r="CU195" t="str">
        <f t="shared" ref="CU195:CU258" si="66">IF(DM195&lt;&gt;"",REPLACE(REPLACE(INDEX($DR$4:$DR$1516,MATCH(DM195,$DS$4:$DS$1516,0)),6,1,DA195),1,1,DG195),"")</f>
        <v/>
      </c>
      <c r="CV195" t="str">
        <f t="shared" ref="CV195:CV258" si="67">IF(DN195&lt;&gt;"",REPLACE(REPLACE(INDEX($DR$4:$DR$1516,MATCH(DN195,$DS$4:$DS$1516,0)),6,1,DB195),1,1,DH195),"")</f>
        <v/>
      </c>
      <c r="CW195" t="str">
        <f t="shared" ref="CW195:CW258" si="68">IF(DO195&lt;&gt;"",REPLACE(REPLACE(INDEX($DR$4:$DR$1516,MATCH(DO195,$DS$4:$DS$1516,0)),6,1,DC195),1,1,DI195),"")</f>
        <v/>
      </c>
      <c r="DR195">
        <v>3600084</v>
      </c>
      <c r="DS195" s="14" t="s">
        <v>148</v>
      </c>
    </row>
    <row r="196" spans="1:125" x14ac:dyDescent="0.15">
      <c r="A196">
        <v>193</v>
      </c>
      <c r="B196" s="16" t="s">
        <v>271</v>
      </c>
      <c r="C196" s="7">
        <v>393</v>
      </c>
      <c r="D196" s="1">
        <v>385</v>
      </c>
      <c r="E196">
        <v>1</v>
      </c>
      <c r="F196">
        <f t="shared" si="60"/>
        <v>5003</v>
      </c>
      <c r="H196">
        <v>3</v>
      </c>
      <c r="AL196">
        <v>194</v>
      </c>
      <c r="AM196">
        <f t="shared" ref="AM196:AM202" si="69">_xlfn.CEILING.MATH(AL196/10)+4</f>
        <v>24</v>
      </c>
      <c r="CL196" s="13" t="str">
        <f t="shared" si="62"/>
        <v/>
      </c>
      <c r="CM196" s="13" t="str">
        <f t="shared" si="62"/>
        <v/>
      </c>
      <c r="CN196" s="13" t="str">
        <f t="shared" si="62"/>
        <v/>
      </c>
      <c r="CO196" s="13" t="str">
        <f t="shared" si="61"/>
        <v/>
      </c>
      <c r="CP196" s="13" t="str">
        <f t="shared" si="61"/>
        <v/>
      </c>
      <c r="CQ196" s="13" t="str">
        <f t="shared" si="61"/>
        <v/>
      </c>
      <c r="CR196" t="str">
        <f t="shared" si="63"/>
        <v/>
      </c>
      <c r="CS196" t="str">
        <f t="shared" si="64"/>
        <v/>
      </c>
      <c r="CT196" t="str">
        <f t="shared" si="65"/>
        <v/>
      </c>
      <c r="CU196" t="str">
        <f t="shared" si="66"/>
        <v/>
      </c>
      <c r="CV196" t="str">
        <f t="shared" si="67"/>
        <v/>
      </c>
      <c r="CW196" t="str">
        <f t="shared" si="68"/>
        <v/>
      </c>
      <c r="DR196">
        <v>3602084</v>
      </c>
      <c r="DS196" s="14" t="s">
        <v>150</v>
      </c>
    </row>
    <row r="197" spans="1:125" x14ac:dyDescent="0.15">
      <c r="A197">
        <v>194</v>
      </c>
      <c r="B197" s="16" t="s">
        <v>282</v>
      </c>
      <c r="C197" s="7">
        <v>394</v>
      </c>
      <c r="D197" s="1">
        <v>387</v>
      </c>
      <c r="E197">
        <v>1</v>
      </c>
      <c r="F197">
        <f t="shared" si="60"/>
        <v>5002</v>
      </c>
      <c r="H197">
        <v>2</v>
      </c>
      <c r="AL197">
        <v>195</v>
      </c>
      <c r="AM197">
        <f t="shared" si="69"/>
        <v>24</v>
      </c>
      <c r="CL197" s="13" t="str">
        <f t="shared" si="62"/>
        <v/>
      </c>
      <c r="CM197" s="13" t="str">
        <f t="shared" si="62"/>
        <v/>
      </c>
      <c r="CN197" s="13" t="str">
        <f t="shared" si="62"/>
        <v/>
      </c>
      <c r="CO197" s="13" t="str">
        <f t="shared" si="61"/>
        <v/>
      </c>
      <c r="CP197" s="13" t="str">
        <f t="shared" si="61"/>
        <v/>
      </c>
      <c r="CQ197" s="13" t="str">
        <f t="shared" si="61"/>
        <v/>
      </c>
      <c r="CR197" t="str">
        <f t="shared" si="63"/>
        <v/>
      </c>
      <c r="CS197" t="str">
        <f t="shared" si="64"/>
        <v/>
      </c>
      <c r="CT197" t="str">
        <f t="shared" si="65"/>
        <v/>
      </c>
      <c r="CU197" t="str">
        <f t="shared" si="66"/>
        <v/>
      </c>
      <c r="CV197" t="str">
        <f t="shared" si="67"/>
        <v/>
      </c>
      <c r="CW197" t="str">
        <f t="shared" si="68"/>
        <v/>
      </c>
      <c r="DR197">
        <v>3300085</v>
      </c>
      <c r="DS197" s="14" t="s">
        <v>153</v>
      </c>
    </row>
    <row r="198" spans="1:125" x14ac:dyDescent="0.15">
      <c r="A198">
        <v>195</v>
      </c>
      <c r="B198" s="16" t="s">
        <v>283</v>
      </c>
      <c r="C198" s="7">
        <v>395</v>
      </c>
      <c r="D198" s="1">
        <v>389</v>
      </c>
      <c r="E198">
        <v>1</v>
      </c>
      <c r="F198">
        <f t="shared" si="60"/>
        <v>5005</v>
      </c>
      <c r="H198">
        <v>5</v>
      </c>
      <c r="AL198">
        <v>196</v>
      </c>
      <c r="AM198">
        <f t="shared" si="69"/>
        <v>24</v>
      </c>
      <c r="CL198" s="13" t="str">
        <f t="shared" si="62"/>
        <v/>
      </c>
      <c r="CM198" s="13" t="str">
        <f t="shared" si="62"/>
        <v/>
      </c>
      <c r="CN198" s="13" t="str">
        <f t="shared" si="62"/>
        <v/>
      </c>
      <c r="CO198" s="13" t="str">
        <f t="shared" si="61"/>
        <v/>
      </c>
      <c r="CP198" s="13" t="str">
        <f t="shared" si="61"/>
        <v/>
      </c>
      <c r="CQ198" s="13" t="str">
        <f t="shared" si="61"/>
        <v/>
      </c>
      <c r="CR198" t="str">
        <f t="shared" si="63"/>
        <v/>
      </c>
      <c r="CS198" t="str">
        <f t="shared" si="64"/>
        <v/>
      </c>
      <c r="CT198" t="str">
        <f t="shared" si="65"/>
        <v/>
      </c>
      <c r="CU198" t="str">
        <f t="shared" si="66"/>
        <v/>
      </c>
      <c r="CV198" t="str">
        <f t="shared" si="67"/>
        <v/>
      </c>
      <c r="CW198" t="str">
        <f t="shared" si="68"/>
        <v/>
      </c>
      <c r="DR198">
        <v>3302085</v>
      </c>
      <c r="DS198" s="14" t="s">
        <v>156</v>
      </c>
    </row>
    <row r="199" spans="1:125" x14ac:dyDescent="0.15">
      <c r="A199">
        <v>196</v>
      </c>
      <c r="B199" s="16" t="s">
        <v>284</v>
      </c>
      <c r="C199" s="7">
        <v>396</v>
      </c>
      <c r="D199" s="1">
        <v>391</v>
      </c>
      <c r="E199">
        <v>1</v>
      </c>
      <c r="F199">
        <f t="shared" si="60"/>
        <v>5004</v>
      </c>
      <c r="H199">
        <v>4</v>
      </c>
      <c r="AL199">
        <v>197</v>
      </c>
      <c r="AM199">
        <f t="shared" si="69"/>
        <v>24</v>
      </c>
      <c r="CL199" s="13" t="str">
        <f t="shared" si="62"/>
        <v/>
      </c>
      <c r="CM199" s="13" t="str">
        <f t="shared" si="62"/>
        <v/>
      </c>
      <c r="CN199" s="13" t="str">
        <f t="shared" si="62"/>
        <v/>
      </c>
      <c r="CO199" s="13" t="str">
        <f t="shared" si="61"/>
        <v/>
      </c>
      <c r="CP199" s="13" t="str">
        <f t="shared" si="61"/>
        <v/>
      </c>
      <c r="CQ199" s="13" t="str">
        <f t="shared" si="61"/>
        <v/>
      </c>
      <c r="CR199" t="str">
        <f t="shared" si="63"/>
        <v/>
      </c>
      <c r="CS199" t="str">
        <f t="shared" si="64"/>
        <v/>
      </c>
      <c r="CT199" t="str">
        <f t="shared" si="65"/>
        <v/>
      </c>
      <c r="CU199" t="str">
        <f t="shared" si="66"/>
        <v/>
      </c>
      <c r="CV199" t="str">
        <f t="shared" si="67"/>
        <v/>
      </c>
      <c r="CW199" t="str">
        <f t="shared" si="68"/>
        <v/>
      </c>
      <c r="DR199">
        <v>3400085</v>
      </c>
      <c r="DS199" s="14" t="s">
        <v>159</v>
      </c>
    </row>
    <row r="200" spans="1:125" x14ac:dyDescent="0.15">
      <c r="A200">
        <v>197</v>
      </c>
      <c r="B200" s="16" t="s">
        <v>275</v>
      </c>
      <c r="C200" s="7">
        <v>397</v>
      </c>
      <c r="D200" s="1">
        <v>393</v>
      </c>
      <c r="E200">
        <v>1</v>
      </c>
      <c r="F200">
        <f t="shared" si="60"/>
        <v>5003</v>
      </c>
      <c r="H200">
        <v>3</v>
      </c>
      <c r="AL200">
        <v>198</v>
      </c>
      <c r="AM200">
        <f t="shared" si="69"/>
        <v>24</v>
      </c>
      <c r="CL200" s="13" t="str">
        <f t="shared" si="62"/>
        <v/>
      </c>
      <c r="CM200" s="13" t="str">
        <f t="shared" si="62"/>
        <v/>
      </c>
      <c r="CN200" s="13" t="str">
        <f t="shared" si="62"/>
        <v/>
      </c>
      <c r="CO200" s="13" t="str">
        <f t="shared" si="61"/>
        <v/>
      </c>
      <c r="CP200" s="13" t="str">
        <f t="shared" si="61"/>
        <v/>
      </c>
      <c r="CQ200" s="13" t="str">
        <f t="shared" si="61"/>
        <v/>
      </c>
      <c r="CR200" t="str">
        <f t="shared" si="63"/>
        <v/>
      </c>
      <c r="CS200" t="str">
        <f t="shared" si="64"/>
        <v/>
      </c>
      <c r="CT200" t="str">
        <f t="shared" si="65"/>
        <v/>
      </c>
      <c r="CU200" t="str">
        <f t="shared" si="66"/>
        <v/>
      </c>
      <c r="CV200" t="str">
        <f t="shared" si="67"/>
        <v/>
      </c>
      <c r="CW200" t="str">
        <f t="shared" si="68"/>
        <v/>
      </c>
      <c r="DR200">
        <v>5200051</v>
      </c>
      <c r="DS200" s="17" t="s">
        <v>62</v>
      </c>
      <c r="DT200">
        <v>505120001</v>
      </c>
      <c r="DU200" s="13" t="e">
        <f t="shared" ref="DU200:DU232" si="70">INDEX($EF$4:$EF$153,MATCH($DT200,$EE$4:$EE$153,0))</f>
        <v>#N/A</v>
      </c>
    </row>
    <row r="201" spans="1:125" x14ac:dyDescent="0.15">
      <c r="A201">
        <v>198</v>
      </c>
      <c r="B201" s="16" t="s">
        <v>279</v>
      </c>
      <c r="C201" s="7">
        <v>398</v>
      </c>
      <c r="D201" s="1">
        <v>395</v>
      </c>
      <c r="E201">
        <v>1</v>
      </c>
      <c r="F201">
        <f t="shared" si="60"/>
        <v>5002</v>
      </c>
      <c r="H201">
        <v>2</v>
      </c>
      <c r="AL201">
        <v>199</v>
      </c>
      <c r="AM201">
        <f t="shared" si="69"/>
        <v>24</v>
      </c>
      <c r="CL201" s="13" t="str">
        <f t="shared" si="62"/>
        <v/>
      </c>
      <c r="CM201" s="13" t="str">
        <f t="shared" si="62"/>
        <v/>
      </c>
      <c r="CN201" s="13" t="str">
        <f t="shared" si="62"/>
        <v/>
      </c>
      <c r="CO201" s="13" t="str">
        <f t="shared" si="61"/>
        <v/>
      </c>
      <c r="CP201" s="13" t="str">
        <f t="shared" si="61"/>
        <v/>
      </c>
      <c r="CQ201" s="13" t="str">
        <f t="shared" si="61"/>
        <v/>
      </c>
      <c r="CR201" t="str">
        <f t="shared" si="63"/>
        <v/>
      </c>
      <c r="CS201" t="str">
        <f t="shared" si="64"/>
        <v/>
      </c>
      <c r="CT201" t="str">
        <f t="shared" si="65"/>
        <v/>
      </c>
      <c r="CU201" t="str">
        <f t="shared" si="66"/>
        <v/>
      </c>
      <c r="CV201" t="str">
        <f t="shared" si="67"/>
        <v/>
      </c>
      <c r="CW201" t="str">
        <f t="shared" si="68"/>
        <v/>
      </c>
      <c r="DR201">
        <v>5201051</v>
      </c>
      <c r="DS201" s="17" t="s">
        <v>65</v>
      </c>
      <c r="DT201">
        <v>505120101</v>
      </c>
      <c r="DU201" s="13" t="e">
        <f t="shared" si="70"/>
        <v>#N/A</v>
      </c>
    </row>
    <row r="202" spans="1:125" x14ac:dyDescent="0.15">
      <c r="A202">
        <v>199</v>
      </c>
      <c r="B202" s="16" t="s">
        <v>285</v>
      </c>
      <c r="C202" s="7">
        <v>399</v>
      </c>
      <c r="D202" s="1">
        <v>397</v>
      </c>
      <c r="E202">
        <v>1</v>
      </c>
      <c r="F202">
        <f t="shared" si="60"/>
        <v>5005</v>
      </c>
      <c r="H202">
        <v>5</v>
      </c>
      <c r="AL202">
        <v>200</v>
      </c>
      <c r="AM202">
        <f t="shared" si="69"/>
        <v>24</v>
      </c>
      <c r="CL202" s="13" t="str">
        <f t="shared" si="62"/>
        <v/>
      </c>
      <c r="CM202" s="13" t="str">
        <f t="shared" si="62"/>
        <v/>
      </c>
      <c r="CN202" s="13" t="str">
        <f t="shared" si="62"/>
        <v/>
      </c>
      <c r="CO202" s="13" t="str">
        <f t="shared" si="61"/>
        <v/>
      </c>
      <c r="CP202" s="13" t="str">
        <f t="shared" si="61"/>
        <v/>
      </c>
      <c r="CQ202" s="13" t="str">
        <f t="shared" si="61"/>
        <v/>
      </c>
      <c r="CR202" t="str">
        <f t="shared" si="63"/>
        <v/>
      </c>
      <c r="CS202" t="str">
        <f t="shared" si="64"/>
        <v/>
      </c>
      <c r="CT202" t="str">
        <f t="shared" si="65"/>
        <v/>
      </c>
      <c r="CU202" t="str">
        <f t="shared" si="66"/>
        <v/>
      </c>
      <c r="CV202" t="str">
        <f t="shared" si="67"/>
        <v/>
      </c>
      <c r="CW202" t="str">
        <f t="shared" si="68"/>
        <v/>
      </c>
      <c r="DR202">
        <v>5202051</v>
      </c>
      <c r="DS202" s="17" t="s">
        <v>68</v>
      </c>
      <c r="DT202">
        <v>505120201</v>
      </c>
      <c r="DU202" s="13" t="e">
        <f t="shared" si="70"/>
        <v>#N/A</v>
      </c>
    </row>
    <row r="203" spans="1:125" x14ac:dyDescent="0.15">
      <c r="A203">
        <v>200</v>
      </c>
      <c r="B203" s="16" t="s">
        <v>286</v>
      </c>
      <c r="C203" s="7">
        <v>400</v>
      </c>
      <c r="D203" s="1">
        <v>399</v>
      </c>
      <c r="E203">
        <v>1</v>
      </c>
      <c r="F203">
        <f t="shared" si="60"/>
        <v>5004</v>
      </c>
      <c r="H203">
        <v>4</v>
      </c>
      <c r="CL203" s="13" t="str">
        <f t="shared" si="62"/>
        <v/>
      </c>
      <c r="CM203" s="13" t="str">
        <f t="shared" si="62"/>
        <v/>
      </c>
      <c r="CN203" s="13" t="str">
        <f t="shared" si="62"/>
        <v/>
      </c>
      <c r="CO203" s="13" t="str">
        <f t="shared" si="61"/>
        <v/>
      </c>
      <c r="CP203" s="13" t="str">
        <f t="shared" si="61"/>
        <v/>
      </c>
      <c r="CQ203" s="13" t="str">
        <f t="shared" si="61"/>
        <v/>
      </c>
      <c r="CR203" t="str">
        <f t="shared" si="63"/>
        <v/>
      </c>
      <c r="CS203" t="str">
        <f t="shared" si="64"/>
        <v/>
      </c>
      <c r="CT203" t="str">
        <f t="shared" si="65"/>
        <v/>
      </c>
      <c r="CU203" t="str">
        <f t="shared" si="66"/>
        <v/>
      </c>
      <c r="CV203" t="str">
        <f t="shared" si="67"/>
        <v/>
      </c>
      <c r="CW203" t="str">
        <f t="shared" si="68"/>
        <v/>
      </c>
      <c r="DR203">
        <v>5301051</v>
      </c>
      <c r="DS203" s="17" t="s">
        <v>71</v>
      </c>
      <c r="DT203">
        <v>505130101</v>
      </c>
      <c r="DU203" s="13" t="e">
        <f t="shared" si="70"/>
        <v>#N/A</v>
      </c>
    </row>
    <row r="204" spans="1:125" x14ac:dyDescent="0.15">
      <c r="CL204" s="13" t="str">
        <f t="shared" si="62"/>
        <v/>
      </c>
      <c r="CM204" s="13" t="str">
        <f t="shared" si="62"/>
        <v/>
      </c>
      <c r="CN204" s="13" t="str">
        <f t="shared" si="62"/>
        <v/>
      </c>
      <c r="CO204" s="13" t="str">
        <f t="shared" si="61"/>
        <v/>
      </c>
      <c r="CP204" s="13" t="str">
        <f t="shared" si="61"/>
        <v/>
      </c>
      <c r="CQ204" s="13" t="str">
        <f t="shared" si="61"/>
        <v/>
      </c>
      <c r="CR204" t="str">
        <f t="shared" si="63"/>
        <v/>
      </c>
      <c r="CS204" t="str">
        <f t="shared" si="64"/>
        <v/>
      </c>
      <c r="CT204" t="str">
        <f t="shared" si="65"/>
        <v/>
      </c>
      <c r="CU204" t="str">
        <f t="shared" si="66"/>
        <v/>
      </c>
      <c r="CV204" t="str">
        <f t="shared" si="67"/>
        <v/>
      </c>
      <c r="CW204" t="str">
        <f t="shared" si="68"/>
        <v/>
      </c>
      <c r="DR204">
        <v>5401051</v>
      </c>
      <c r="DS204" s="17" t="s">
        <v>73</v>
      </c>
      <c r="DT204">
        <v>505140101</v>
      </c>
      <c r="DU204" s="13" t="e">
        <f t="shared" si="70"/>
        <v>#N/A</v>
      </c>
    </row>
    <row r="205" spans="1:125" x14ac:dyDescent="0.15">
      <c r="CL205" s="13" t="str">
        <f t="shared" si="62"/>
        <v/>
      </c>
      <c r="CM205" s="13" t="str">
        <f t="shared" si="62"/>
        <v/>
      </c>
      <c r="CN205" s="13" t="str">
        <f t="shared" si="62"/>
        <v/>
      </c>
      <c r="CO205" s="13" t="str">
        <f t="shared" si="61"/>
        <v/>
      </c>
      <c r="CP205" s="13" t="str">
        <f t="shared" si="61"/>
        <v/>
      </c>
      <c r="CQ205" s="13" t="str">
        <f t="shared" si="61"/>
        <v/>
      </c>
      <c r="CR205" t="str">
        <f t="shared" si="63"/>
        <v/>
      </c>
      <c r="CS205" t="str">
        <f t="shared" si="64"/>
        <v/>
      </c>
      <c r="CT205" t="str">
        <f t="shared" si="65"/>
        <v/>
      </c>
      <c r="CU205" t="str">
        <f t="shared" si="66"/>
        <v/>
      </c>
      <c r="CV205" t="str">
        <f t="shared" si="67"/>
        <v/>
      </c>
      <c r="CW205" t="str">
        <f t="shared" si="68"/>
        <v/>
      </c>
      <c r="DR205">
        <v>5402051</v>
      </c>
      <c r="DS205" s="17" t="s">
        <v>76</v>
      </c>
      <c r="DT205">
        <v>505140201</v>
      </c>
      <c r="DU205" s="13" t="e">
        <f t="shared" si="70"/>
        <v>#N/A</v>
      </c>
    </row>
    <row r="206" spans="1:125" x14ac:dyDescent="0.15">
      <c r="CL206" s="13" t="str">
        <f t="shared" si="62"/>
        <v/>
      </c>
      <c r="CM206" s="13" t="str">
        <f t="shared" si="62"/>
        <v/>
      </c>
      <c r="CN206" s="13" t="str">
        <f t="shared" si="62"/>
        <v/>
      </c>
      <c r="CO206" s="13" t="str">
        <f t="shared" si="61"/>
        <v/>
      </c>
      <c r="CP206" s="13" t="str">
        <f t="shared" si="61"/>
        <v/>
      </c>
      <c r="CQ206" s="13" t="str">
        <f t="shared" si="61"/>
        <v/>
      </c>
      <c r="CR206" t="str">
        <f t="shared" si="63"/>
        <v/>
      </c>
      <c r="CS206" t="str">
        <f t="shared" si="64"/>
        <v/>
      </c>
      <c r="CT206" t="str">
        <f t="shared" si="65"/>
        <v/>
      </c>
      <c r="CU206" t="str">
        <f t="shared" si="66"/>
        <v/>
      </c>
      <c r="CV206" t="str">
        <f t="shared" si="67"/>
        <v/>
      </c>
      <c r="CW206" t="str">
        <f t="shared" si="68"/>
        <v/>
      </c>
      <c r="DR206">
        <v>5500051</v>
      </c>
      <c r="DS206" s="17" t="s">
        <v>79</v>
      </c>
      <c r="DT206">
        <v>505150001</v>
      </c>
      <c r="DU206" s="13" t="e">
        <f t="shared" si="70"/>
        <v>#N/A</v>
      </c>
    </row>
    <row r="207" spans="1:125" x14ac:dyDescent="0.15">
      <c r="CL207" s="13" t="str">
        <f t="shared" si="62"/>
        <v/>
      </c>
      <c r="CM207" s="13" t="str">
        <f t="shared" si="62"/>
        <v/>
      </c>
      <c r="CN207" s="13" t="str">
        <f t="shared" si="62"/>
        <v/>
      </c>
      <c r="CO207" s="13" t="str">
        <f t="shared" si="61"/>
        <v/>
      </c>
      <c r="CP207" s="13" t="str">
        <f t="shared" si="61"/>
        <v/>
      </c>
      <c r="CQ207" s="13" t="str">
        <f t="shared" si="61"/>
        <v/>
      </c>
      <c r="CR207" t="str">
        <f t="shared" si="63"/>
        <v/>
      </c>
      <c r="CS207" t="str">
        <f t="shared" si="64"/>
        <v/>
      </c>
      <c r="CT207" t="str">
        <f t="shared" si="65"/>
        <v/>
      </c>
      <c r="CU207" t="str">
        <f t="shared" si="66"/>
        <v/>
      </c>
      <c r="CV207" t="str">
        <f t="shared" si="67"/>
        <v/>
      </c>
      <c r="CW207" t="str">
        <f t="shared" si="68"/>
        <v/>
      </c>
      <c r="DR207">
        <v>5502051</v>
      </c>
      <c r="DS207" s="17" t="s">
        <v>81</v>
      </c>
      <c r="DT207">
        <v>505150201</v>
      </c>
      <c r="DU207" s="13" t="e">
        <f t="shared" si="70"/>
        <v>#N/A</v>
      </c>
    </row>
    <row r="208" spans="1:125" x14ac:dyDescent="0.15">
      <c r="CL208" s="13" t="str">
        <f t="shared" si="62"/>
        <v/>
      </c>
      <c r="CM208" s="13" t="str">
        <f t="shared" si="62"/>
        <v/>
      </c>
      <c r="CN208" s="13" t="str">
        <f t="shared" si="62"/>
        <v/>
      </c>
      <c r="CO208" s="13" t="str">
        <f t="shared" si="61"/>
        <v/>
      </c>
      <c r="CP208" s="13" t="str">
        <f t="shared" si="61"/>
        <v/>
      </c>
      <c r="CQ208" s="13" t="str">
        <f t="shared" si="61"/>
        <v/>
      </c>
      <c r="CR208" t="str">
        <f t="shared" si="63"/>
        <v/>
      </c>
      <c r="CS208" t="str">
        <f t="shared" si="64"/>
        <v/>
      </c>
      <c r="CT208" t="str">
        <f t="shared" si="65"/>
        <v/>
      </c>
      <c r="CU208" t="str">
        <f t="shared" si="66"/>
        <v/>
      </c>
      <c r="CV208" t="str">
        <f t="shared" si="67"/>
        <v/>
      </c>
      <c r="CW208" t="str">
        <f t="shared" si="68"/>
        <v/>
      </c>
      <c r="DR208">
        <v>5601051</v>
      </c>
      <c r="DS208" s="17" t="s">
        <v>84</v>
      </c>
      <c r="DT208">
        <v>505160101</v>
      </c>
      <c r="DU208" s="13" t="e">
        <f t="shared" si="70"/>
        <v>#N/A</v>
      </c>
    </row>
    <row r="209" spans="90:125" x14ac:dyDescent="0.15">
      <c r="CL209" s="13" t="str">
        <f t="shared" si="62"/>
        <v/>
      </c>
      <c r="CM209" s="13" t="str">
        <f t="shared" si="62"/>
        <v/>
      </c>
      <c r="CN209" s="13" t="str">
        <f t="shared" si="62"/>
        <v/>
      </c>
      <c r="CO209" s="13" t="str">
        <f t="shared" si="61"/>
        <v/>
      </c>
      <c r="CP209" s="13" t="str">
        <f t="shared" si="61"/>
        <v/>
      </c>
      <c r="CQ209" s="13" t="str">
        <f t="shared" si="61"/>
        <v/>
      </c>
      <c r="CR209" t="str">
        <f t="shared" si="63"/>
        <v/>
      </c>
      <c r="CS209" t="str">
        <f t="shared" si="64"/>
        <v/>
      </c>
      <c r="CT209" t="str">
        <f t="shared" si="65"/>
        <v/>
      </c>
      <c r="CU209" t="str">
        <f t="shared" si="66"/>
        <v/>
      </c>
      <c r="CV209" t="str">
        <f t="shared" si="67"/>
        <v/>
      </c>
      <c r="CW209" t="str">
        <f t="shared" si="68"/>
        <v/>
      </c>
      <c r="DR209">
        <v>5200052</v>
      </c>
      <c r="DS209" s="17" t="s">
        <v>88</v>
      </c>
      <c r="DT209">
        <v>505220001</v>
      </c>
      <c r="DU209" s="13" t="e">
        <f t="shared" si="70"/>
        <v>#N/A</v>
      </c>
    </row>
    <row r="210" spans="90:125" x14ac:dyDescent="0.15">
      <c r="CL210" s="13" t="str">
        <f t="shared" si="62"/>
        <v/>
      </c>
      <c r="CM210" s="13" t="str">
        <f t="shared" si="62"/>
        <v/>
      </c>
      <c r="CN210" s="13" t="str">
        <f t="shared" si="62"/>
        <v/>
      </c>
      <c r="CO210" s="13" t="str">
        <f t="shared" si="61"/>
        <v/>
      </c>
      <c r="CP210" s="13" t="str">
        <f t="shared" si="61"/>
        <v/>
      </c>
      <c r="CQ210" s="13" t="str">
        <f t="shared" si="61"/>
        <v/>
      </c>
      <c r="CR210" t="str">
        <f t="shared" si="63"/>
        <v/>
      </c>
      <c r="CS210" t="str">
        <f t="shared" si="64"/>
        <v/>
      </c>
      <c r="CT210" t="str">
        <f t="shared" si="65"/>
        <v/>
      </c>
      <c r="CU210" t="str">
        <f t="shared" si="66"/>
        <v/>
      </c>
      <c r="CV210" t="str">
        <f t="shared" si="67"/>
        <v/>
      </c>
      <c r="CW210" t="str">
        <f t="shared" si="68"/>
        <v/>
      </c>
      <c r="DR210">
        <v>5201052</v>
      </c>
      <c r="DS210" s="17" t="s">
        <v>92</v>
      </c>
      <c r="DT210">
        <v>505220101</v>
      </c>
      <c r="DU210" s="13" t="e">
        <f t="shared" si="70"/>
        <v>#N/A</v>
      </c>
    </row>
    <row r="211" spans="90:125" x14ac:dyDescent="0.15">
      <c r="CL211" s="13" t="str">
        <f t="shared" si="62"/>
        <v/>
      </c>
      <c r="CM211" s="13" t="str">
        <f t="shared" si="62"/>
        <v/>
      </c>
      <c r="CN211" s="13" t="str">
        <f t="shared" si="62"/>
        <v/>
      </c>
      <c r="CO211" s="13" t="str">
        <f t="shared" si="61"/>
        <v/>
      </c>
      <c r="CP211" s="13" t="str">
        <f t="shared" si="61"/>
        <v/>
      </c>
      <c r="CQ211" s="13" t="str">
        <f t="shared" si="61"/>
        <v/>
      </c>
      <c r="CR211" t="str">
        <f t="shared" si="63"/>
        <v/>
      </c>
      <c r="CS211" t="str">
        <f t="shared" si="64"/>
        <v/>
      </c>
      <c r="CT211" t="str">
        <f t="shared" si="65"/>
        <v/>
      </c>
      <c r="CU211" t="str">
        <f t="shared" si="66"/>
        <v/>
      </c>
      <c r="CV211" t="str">
        <f t="shared" si="67"/>
        <v/>
      </c>
      <c r="CW211" t="str">
        <f t="shared" si="68"/>
        <v/>
      </c>
      <c r="DR211">
        <v>5202052</v>
      </c>
      <c r="DS211" s="17" t="s">
        <v>95</v>
      </c>
      <c r="DT211">
        <v>505220201</v>
      </c>
      <c r="DU211" s="13" t="e">
        <f t="shared" si="70"/>
        <v>#N/A</v>
      </c>
    </row>
    <row r="212" spans="90:125" x14ac:dyDescent="0.15">
      <c r="CL212" s="13" t="str">
        <f t="shared" si="62"/>
        <v/>
      </c>
      <c r="CM212" s="13" t="str">
        <f t="shared" si="62"/>
        <v/>
      </c>
      <c r="CN212" s="13" t="str">
        <f t="shared" si="62"/>
        <v/>
      </c>
      <c r="CO212" s="13" t="str">
        <f t="shared" si="61"/>
        <v/>
      </c>
      <c r="CP212" s="13" t="str">
        <f t="shared" si="61"/>
        <v/>
      </c>
      <c r="CQ212" s="13" t="str">
        <f t="shared" si="61"/>
        <v/>
      </c>
      <c r="CR212" t="str">
        <f t="shared" si="63"/>
        <v/>
      </c>
      <c r="CS212" t="str">
        <f t="shared" si="64"/>
        <v/>
      </c>
      <c r="CT212" t="str">
        <f t="shared" si="65"/>
        <v/>
      </c>
      <c r="CU212" t="str">
        <f t="shared" si="66"/>
        <v/>
      </c>
      <c r="CV212" t="str">
        <f t="shared" si="67"/>
        <v/>
      </c>
      <c r="CW212" t="str">
        <f t="shared" si="68"/>
        <v/>
      </c>
      <c r="DR212">
        <v>5301052</v>
      </c>
      <c r="DS212" s="17" t="s">
        <v>98</v>
      </c>
      <c r="DT212">
        <v>505230101</v>
      </c>
      <c r="DU212" s="13" t="e">
        <f t="shared" si="70"/>
        <v>#N/A</v>
      </c>
    </row>
    <row r="213" spans="90:125" x14ac:dyDescent="0.15">
      <c r="CL213" s="13" t="str">
        <f t="shared" si="62"/>
        <v/>
      </c>
      <c r="CM213" s="13" t="str">
        <f t="shared" si="62"/>
        <v/>
      </c>
      <c r="CN213" s="13" t="str">
        <f t="shared" si="62"/>
        <v/>
      </c>
      <c r="CO213" s="13" t="str">
        <f t="shared" si="61"/>
        <v/>
      </c>
      <c r="CP213" s="13" t="str">
        <f t="shared" si="61"/>
        <v/>
      </c>
      <c r="CQ213" s="13" t="str">
        <f t="shared" si="61"/>
        <v/>
      </c>
      <c r="CR213" t="str">
        <f t="shared" si="63"/>
        <v/>
      </c>
      <c r="CS213" t="str">
        <f t="shared" si="64"/>
        <v/>
      </c>
      <c r="CT213" t="str">
        <f t="shared" si="65"/>
        <v/>
      </c>
      <c r="CU213" t="str">
        <f t="shared" si="66"/>
        <v/>
      </c>
      <c r="CV213" t="str">
        <f t="shared" si="67"/>
        <v/>
      </c>
      <c r="CW213" t="str">
        <f t="shared" si="68"/>
        <v/>
      </c>
      <c r="DR213">
        <v>5401052</v>
      </c>
      <c r="DS213" s="17" t="s">
        <v>101</v>
      </c>
      <c r="DT213">
        <v>505240101</v>
      </c>
      <c r="DU213" s="13" t="e">
        <f t="shared" si="70"/>
        <v>#N/A</v>
      </c>
    </row>
    <row r="214" spans="90:125" x14ac:dyDescent="0.15">
      <c r="CL214" s="13" t="str">
        <f t="shared" si="62"/>
        <v/>
      </c>
      <c r="CM214" s="13" t="str">
        <f t="shared" si="62"/>
        <v/>
      </c>
      <c r="CN214" s="13" t="str">
        <f t="shared" si="62"/>
        <v/>
      </c>
      <c r="CO214" s="13" t="str">
        <f t="shared" si="61"/>
        <v/>
      </c>
      <c r="CP214" s="13" t="str">
        <f t="shared" si="61"/>
        <v/>
      </c>
      <c r="CQ214" s="13" t="str">
        <f t="shared" si="61"/>
        <v/>
      </c>
      <c r="CR214" t="str">
        <f t="shared" si="63"/>
        <v/>
      </c>
      <c r="CS214" t="str">
        <f t="shared" si="64"/>
        <v/>
      </c>
      <c r="CT214" t="str">
        <f t="shared" si="65"/>
        <v/>
      </c>
      <c r="CU214" t="str">
        <f t="shared" si="66"/>
        <v/>
      </c>
      <c r="CV214" t="str">
        <f t="shared" si="67"/>
        <v/>
      </c>
      <c r="CW214" t="str">
        <f t="shared" si="68"/>
        <v/>
      </c>
      <c r="DR214">
        <v>5402052</v>
      </c>
      <c r="DS214" s="17" t="s">
        <v>103</v>
      </c>
      <c r="DT214">
        <v>505240201</v>
      </c>
      <c r="DU214" s="13" t="e">
        <f t="shared" si="70"/>
        <v>#N/A</v>
      </c>
    </row>
    <row r="215" spans="90:125" x14ac:dyDescent="0.15">
      <c r="CL215" s="13" t="str">
        <f t="shared" si="62"/>
        <v/>
      </c>
      <c r="CM215" s="13" t="str">
        <f t="shared" si="62"/>
        <v/>
      </c>
      <c r="CN215" s="13" t="str">
        <f t="shared" si="62"/>
        <v/>
      </c>
      <c r="CO215" s="13" t="str">
        <f t="shared" si="61"/>
        <v/>
      </c>
      <c r="CP215" s="13" t="str">
        <f t="shared" si="61"/>
        <v/>
      </c>
      <c r="CQ215" s="13" t="str">
        <f t="shared" si="61"/>
        <v/>
      </c>
      <c r="CR215" t="str">
        <f t="shared" si="63"/>
        <v/>
      </c>
      <c r="CS215" t="str">
        <f t="shared" si="64"/>
        <v/>
      </c>
      <c r="CT215" t="str">
        <f t="shared" si="65"/>
        <v/>
      </c>
      <c r="CU215" t="str">
        <f t="shared" si="66"/>
        <v/>
      </c>
      <c r="CV215" t="str">
        <f t="shared" si="67"/>
        <v/>
      </c>
      <c r="CW215" t="str">
        <f t="shared" si="68"/>
        <v/>
      </c>
      <c r="DR215">
        <v>5500052</v>
      </c>
      <c r="DS215" s="17" t="s">
        <v>107</v>
      </c>
      <c r="DT215">
        <v>505250001</v>
      </c>
      <c r="DU215" s="13" t="e">
        <f t="shared" si="70"/>
        <v>#N/A</v>
      </c>
    </row>
    <row r="216" spans="90:125" x14ac:dyDescent="0.15">
      <c r="CL216" s="13" t="str">
        <f t="shared" si="62"/>
        <v/>
      </c>
      <c r="CM216" s="13" t="str">
        <f t="shared" si="62"/>
        <v/>
      </c>
      <c r="CN216" s="13" t="str">
        <f t="shared" si="62"/>
        <v/>
      </c>
      <c r="CO216" s="13" t="str">
        <f t="shared" si="61"/>
        <v/>
      </c>
      <c r="CP216" s="13" t="str">
        <f t="shared" si="61"/>
        <v/>
      </c>
      <c r="CQ216" s="13" t="str">
        <f t="shared" si="61"/>
        <v/>
      </c>
      <c r="CR216" t="str">
        <f t="shared" si="63"/>
        <v/>
      </c>
      <c r="CS216" t="str">
        <f t="shared" si="64"/>
        <v/>
      </c>
      <c r="CT216" t="str">
        <f t="shared" si="65"/>
        <v/>
      </c>
      <c r="CU216" t="str">
        <f t="shared" si="66"/>
        <v/>
      </c>
      <c r="CV216" t="str">
        <f t="shared" si="67"/>
        <v/>
      </c>
      <c r="CW216" t="str">
        <f t="shared" si="68"/>
        <v/>
      </c>
      <c r="DR216">
        <v>5502052</v>
      </c>
      <c r="DS216" s="17" t="s">
        <v>111</v>
      </c>
      <c r="DT216">
        <v>505250201</v>
      </c>
      <c r="DU216" s="13" t="e">
        <f t="shared" si="70"/>
        <v>#N/A</v>
      </c>
    </row>
    <row r="217" spans="90:125" x14ac:dyDescent="0.15">
      <c r="CL217" s="13" t="str">
        <f t="shared" si="62"/>
        <v/>
      </c>
      <c r="CM217" s="13" t="str">
        <f t="shared" si="62"/>
        <v/>
      </c>
      <c r="CN217" s="13" t="str">
        <f t="shared" si="62"/>
        <v/>
      </c>
      <c r="CO217" s="13" t="str">
        <f t="shared" si="61"/>
        <v/>
      </c>
      <c r="CP217" s="13" t="str">
        <f t="shared" si="61"/>
        <v/>
      </c>
      <c r="CQ217" s="13" t="str">
        <f t="shared" si="61"/>
        <v/>
      </c>
      <c r="CR217" t="str">
        <f t="shared" si="63"/>
        <v/>
      </c>
      <c r="CS217" t="str">
        <f t="shared" si="64"/>
        <v/>
      </c>
      <c r="CT217" t="str">
        <f t="shared" si="65"/>
        <v/>
      </c>
      <c r="CU217" t="str">
        <f t="shared" si="66"/>
        <v/>
      </c>
      <c r="CV217" t="str">
        <f t="shared" si="67"/>
        <v/>
      </c>
      <c r="CW217" t="str">
        <f t="shared" si="68"/>
        <v/>
      </c>
      <c r="DR217">
        <v>5601052</v>
      </c>
      <c r="DS217" s="17" t="s">
        <v>114</v>
      </c>
      <c r="DT217">
        <v>505260101</v>
      </c>
      <c r="DU217" s="13" t="e">
        <f t="shared" si="70"/>
        <v>#N/A</v>
      </c>
    </row>
    <row r="218" spans="90:125" x14ac:dyDescent="0.15">
      <c r="CL218" s="13" t="str">
        <f t="shared" si="62"/>
        <v/>
      </c>
      <c r="CM218" s="13" t="str">
        <f t="shared" si="62"/>
        <v/>
      </c>
      <c r="CN218" s="13" t="str">
        <f t="shared" si="62"/>
        <v/>
      </c>
      <c r="CO218" s="13" t="str">
        <f t="shared" si="61"/>
        <v/>
      </c>
      <c r="CP218" s="13" t="str">
        <f t="shared" si="61"/>
        <v/>
      </c>
      <c r="CQ218" s="13" t="str">
        <f t="shared" si="61"/>
        <v/>
      </c>
      <c r="CR218" t="str">
        <f t="shared" si="63"/>
        <v/>
      </c>
      <c r="CS218" t="str">
        <f t="shared" si="64"/>
        <v/>
      </c>
      <c r="CT218" t="str">
        <f t="shared" si="65"/>
        <v/>
      </c>
      <c r="CU218" t="str">
        <f t="shared" si="66"/>
        <v/>
      </c>
      <c r="CV218" t="str">
        <f t="shared" si="67"/>
        <v/>
      </c>
      <c r="CW218" t="str">
        <f t="shared" si="68"/>
        <v/>
      </c>
      <c r="DR218">
        <v>5200053</v>
      </c>
      <c r="DS218" s="17" t="s">
        <v>118</v>
      </c>
      <c r="DT218">
        <v>505320001</v>
      </c>
      <c r="DU218" s="13" t="e">
        <f t="shared" si="70"/>
        <v>#N/A</v>
      </c>
    </row>
    <row r="219" spans="90:125" x14ac:dyDescent="0.15">
      <c r="CL219" s="13" t="str">
        <f t="shared" si="62"/>
        <v/>
      </c>
      <c r="CM219" s="13" t="str">
        <f t="shared" si="62"/>
        <v/>
      </c>
      <c r="CN219" s="13" t="str">
        <f t="shared" si="62"/>
        <v/>
      </c>
      <c r="CO219" s="13" t="str">
        <f t="shared" si="61"/>
        <v/>
      </c>
      <c r="CP219" s="13" t="str">
        <f t="shared" si="61"/>
        <v/>
      </c>
      <c r="CQ219" s="13" t="str">
        <f t="shared" si="61"/>
        <v/>
      </c>
      <c r="CR219" t="str">
        <f t="shared" si="63"/>
        <v/>
      </c>
      <c r="CS219" t="str">
        <f t="shared" si="64"/>
        <v/>
      </c>
      <c r="CT219" t="str">
        <f t="shared" si="65"/>
        <v/>
      </c>
      <c r="CU219" t="str">
        <f t="shared" si="66"/>
        <v/>
      </c>
      <c r="CV219" t="str">
        <f t="shared" si="67"/>
        <v/>
      </c>
      <c r="CW219" t="str">
        <f t="shared" si="68"/>
        <v/>
      </c>
      <c r="DR219">
        <v>5201053</v>
      </c>
      <c r="DS219" s="17" t="s">
        <v>121</v>
      </c>
      <c r="DT219">
        <v>505320101</v>
      </c>
      <c r="DU219" s="13" t="e">
        <f t="shared" si="70"/>
        <v>#N/A</v>
      </c>
    </row>
    <row r="220" spans="90:125" x14ac:dyDescent="0.15">
      <c r="CL220" s="13" t="str">
        <f t="shared" si="62"/>
        <v/>
      </c>
      <c r="CM220" s="13" t="str">
        <f t="shared" si="62"/>
        <v/>
      </c>
      <c r="CN220" s="13" t="str">
        <f t="shared" si="62"/>
        <v/>
      </c>
      <c r="CO220" s="13" t="str">
        <f t="shared" si="61"/>
        <v/>
      </c>
      <c r="CP220" s="13" t="str">
        <f t="shared" si="61"/>
        <v/>
      </c>
      <c r="CQ220" s="13" t="str">
        <f t="shared" si="61"/>
        <v/>
      </c>
      <c r="CR220" t="str">
        <f t="shared" si="63"/>
        <v/>
      </c>
      <c r="CS220" t="str">
        <f t="shared" si="64"/>
        <v/>
      </c>
      <c r="CT220" t="str">
        <f t="shared" si="65"/>
        <v/>
      </c>
      <c r="CU220" t="str">
        <f t="shared" si="66"/>
        <v/>
      </c>
      <c r="CV220" t="str">
        <f t="shared" si="67"/>
        <v/>
      </c>
      <c r="CW220" t="str">
        <f t="shared" si="68"/>
        <v/>
      </c>
      <c r="DR220">
        <v>5202053</v>
      </c>
      <c r="DS220" s="17" t="s">
        <v>124</v>
      </c>
      <c r="DT220">
        <v>505320201</v>
      </c>
      <c r="DU220" s="13" t="e">
        <f t="shared" si="70"/>
        <v>#N/A</v>
      </c>
    </row>
    <row r="221" spans="90:125" x14ac:dyDescent="0.15">
      <c r="CL221" s="13" t="str">
        <f t="shared" si="62"/>
        <v/>
      </c>
      <c r="CM221" s="13" t="str">
        <f t="shared" si="62"/>
        <v/>
      </c>
      <c r="CN221" s="13" t="str">
        <f t="shared" si="62"/>
        <v/>
      </c>
      <c r="CO221" s="13" t="str">
        <f t="shared" si="61"/>
        <v/>
      </c>
      <c r="CP221" s="13" t="str">
        <f t="shared" si="61"/>
        <v/>
      </c>
      <c r="CQ221" s="13" t="str">
        <f t="shared" si="61"/>
        <v/>
      </c>
      <c r="CR221" t="str">
        <f t="shared" si="63"/>
        <v/>
      </c>
      <c r="CS221" t="str">
        <f t="shared" si="64"/>
        <v/>
      </c>
      <c r="CT221" t="str">
        <f t="shared" si="65"/>
        <v/>
      </c>
      <c r="CU221" t="str">
        <f t="shared" si="66"/>
        <v/>
      </c>
      <c r="CV221" t="str">
        <f t="shared" si="67"/>
        <v/>
      </c>
      <c r="CW221" t="str">
        <f t="shared" si="68"/>
        <v/>
      </c>
      <c r="DR221">
        <v>5301053</v>
      </c>
      <c r="DS221" s="17" t="s">
        <v>126</v>
      </c>
      <c r="DT221">
        <v>505330101</v>
      </c>
      <c r="DU221" s="13" t="e">
        <f t="shared" si="70"/>
        <v>#N/A</v>
      </c>
    </row>
    <row r="222" spans="90:125" x14ac:dyDescent="0.15">
      <c r="CL222" s="13" t="str">
        <f t="shared" si="62"/>
        <v/>
      </c>
      <c r="CM222" s="13" t="str">
        <f t="shared" si="62"/>
        <v/>
      </c>
      <c r="CN222" s="13" t="str">
        <f t="shared" si="62"/>
        <v/>
      </c>
      <c r="CO222" s="13" t="str">
        <f t="shared" si="61"/>
        <v/>
      </c>
      <c r="CP222" s="13" t="str">
        <f t="shared" si="61"/>
        <v/>
      </c>
      <c r="CQ222" s="13" t="str">
        <f t="shared" si="61"/>
        <v/>
      </c>
      <c r="CR222" t="str">
        <f t="shared" si="63"/>
        <v/>
      </c>
      <c r="CS222" t="str">
        <f t="shared" si="64"/>
        <v/>
      </c>
      <c r="CT222" t="str">
        <f t="shared" si="65"/>
        <v/>
      </c>
      <c r="CU222" t="str">
        <f t="shared" si="66"/>
        <v/>
      </c>
      <c r="CV222" t="str">
        <f t="shared" si="67"/>
        <v/>
      </c>
      <c r="CW222" t="str">
        <f t="shared" si="68"/>
        <v/>
      </c>
      <c r="DR222">
        <v>5401053</v>
      </c>
      <c r="DS222" s="17" t="s">
        <v>130</v>
      </c>
      <c r="DT222">
        <v>505340101</v>
      </c>
      <c r="DU222" s="13" t="e">
        <f t="shared" si="70"/>
        <v>#N/A</v>
      </c>
    </row>
    <row r="223" spans="90:125" x14ac:dyDescent="0.15">
      <c r="CL223" s="13" t="str">
        <f t="shared" si="62"/>
        <v/>
      </c>
      <c r="CM223" s="13" t="str">
        <f t="shared" si="62"/>
        <v/>
      </c>
      <c r="CN223" s="13" t="str">
        <f t="shared" si="62"/>
        <v/>
      </c>
      <c r="CO223" s="13" t="str">
        <f t="shared" si="61"/>
        <v/>
      </c>
      <c r="CP223" s="13" t="str">
        <f t="shared" si="61"/>
        <v/>
      </c>
      <c r="CQ223" s="13" t="str">
        <f t="shared" si="61"/>
        <v/>
      </c>
      <c r="CR223" t="str">
        <f t="shared" si="63"/>
        <v/>
      </c>
      <c r="CS223" t="str">
        <f t="shared" si="64"/>
        <v/>
      </c>
      <c r="CT223" t="str">
        <f t="shared" si="65"/>
        <v/>
      </c>
      <c r="CU223" t="str">
        <f t="shared" si="66"/>
        <v/>
      </c>
      <c r="CV223" t="str">
        <f t="shared" si="67"/>
        <v/>
      </c>
      <c r="CW223" t="str">
        <f t="shared" si="68"/>
        <v/>
      </c>
      <c r="DR223">
        <v>5402053</v>
      </c>
      <c r="DS223" s="17" t="s">
        <v>135</v>
      </c>
      <c r="DT223">
        <v>505340201</v>
      </c>
      <c r="DU223" s="13" t="e">
        <f t="shared" si="70"/>
        <v>#N/A</v>
      </c>
    </row>
    <row r="224" spans="90:125" x14ac:dyDescent="0.15">
      <c r="CL224" s="13" t="str">
        <f t="shared" si="62"/>
        <v/>
      </c>
      <c r="CM224" s="13" t="str">
        <f t="shared" si="62"/>
        <v/>
      </c>
      <c r="CN224" s="13" t="str">
        <f t="shared" si="62"/>
        <v/>
      </c>
      <c r="CO224" s="13" t="str">
        <f t="shared" si="61"/>
        <v/>
      </c>
      <c r="CP224" s="13" t="str">
        <f t="shared" si="61"/>
        <v/>
      </c>
      <c r="CQ224" s="13" t="str">
        <f t="shared" si="61"/>
        <v/>
      </c>
      <c r="CR224" t="str">
        <f t="shared" si="63"/>
        <v/>
      </c>
      <c r="CS224" t="str">
        <f t="shared" si="64"/>
        <v/>
      </c>
      <c r="CT224" t="str">
        <f t="shared" si="65"/>
        <v/>
      </c>
      <c r="CU224" t="str">
        <f t="shared" si="66"/>
        <v/>
      </c>
      <c r="CV224" t="str">
        <f t="shared" si="67"/>
        <v/>
      </c>
      <c r="CW224" t="str">
        <f t="shared" si="68"/>
        <v/>
      </c>
      <c r="DR224">
        <v>5500053</v>
      </c>
      <c r="DS224" s="17" t="s">
        <v>139</v>
      </c>
      <c r="DT224">
        <v>505350001</v>
      </c>
      <c r="DU224" s="13" t="e">
        <f t="shared" si="70"/>
        <v>#N/A</v>
      </c>
    </row>
    <row r="225" spans="90:125" x14ac:dyDescent="0.15">
      <c r="CL225" s="13" t="str">
        <f t="shared" si="62"/>
        <v/>
      </c>
      <c r="CM225" s="13" t="str">
        <f t="shared" si="62"/>
        <v/>
      </c>
      <c r="CN225" s="13" t="str">
        <f t="shared" si="62"/>
        <v/>
      </c>
      <c r="CO225" s="13" t="str">
        <f t="shared" si="61"/>
        <v/>
      </c>
      <c r="CP225" s="13" t="str">
        <f t="shared" si="61"/>
        <v/>
      </c>
      <c r="CQ225" s="13" t="str">
        <f t="shared" si="61"/>
        <v/>
      </c>
      <c r="CR225" t="str">
        <f t="shared" si="63"/>
        <v/>
      </c>
      <c r="CS225" t="str">
        <f t="shared" si="64"/>
        <v/>
      </c>
      <c r="CT225" t="str">
        <f t="shared" si="65"/>
        <v/>
      </c>
      <c r="CU225" t="str">
        <f t="shared" si="66"/>
        <v/>
      </c>
      <c r="CV225" t="str">
        <f t="shared" si="67"/>
        <v/>
      </c>
      <c r="CW225" t="str">
        <f t="shared" si="68"/>
        <v/>
      </c>
      <c r="DR225">
        <v>5502053</v>
      </c>
      <c r="DS225" s="17" t="s">
        <v>141</v>
      </c>
      <c r="DT225">
        <v>505350201</v>
      </c>
      <c r="DU225" s="13" t="e">
        <f t="shared" si="70"/>
        <v>#N/A</v>
      </c>
    </row>
    <row r="226" spans="90:125" x14ac:dyDescent="0.15">
      <c r="CL226" s="13" t="str">
        <f t="shared" si="62"/>
        <v/>
      </c>
      <c r="CM226" s="13" t="str">
        <f t="shared" si="62"/>
        <v/>
      </c>
      <c r="CN226" s="13" t="str">
        <f t="shared" si="62"/>
        <v/>
      </c>
      <c r="CO226" s="13" t="str">
        <f t="shared" si="61"/>
        <v/>
      </c>
      <c r="CP226" s="13" t="str">
        <f t="shared" si="61"/>
        <v/>
      </c>
      <c r="CQ226" s="13" t="str">
        <f t="shared" si="61"/>
        <v/>
      </c>
      <c r="CR226" t="str">
        <f t="shared" si="63"/>
        <v/>
      </c>
      <c r="CS226" t="str">
        <f t="shared" si="64"/>
        <v/>
      </c>
      <c r="CT226" t="str">
        <f t="shared" si="65"/>
        <v/>
      </c>
      <c r="CU226" t="str">
        <f t="shared" si="66"/>
        <v/>
      </c>
      <c r="CV226" t="str">
        <f t="shared" si="67"/>
        <v/>
      </c>
      <c r="CW226" t="str">
        <f t="shared" si="68"/>
        <v/>
      </c>
      <c r="DR226">
        <v>5601053</v>
      </c>
      <c r="DS226" s="17" t="s">
        <v>143</v>
      </c>
      <c r="DT226">
        <v>505360101</v>
      </c>
      <c r="DU226" s="13" t="e">
        <f t="shared" si="70"/>
        <v>#N/A</v>
      </c>
    </row>
    <row r="227" spans="90:125" x14ac:dyDescent="0.15">
      <c r="CL227" s="13" t="str">
        <f t="shared" si="62"/>
        <v/>
      </c>
      <c r="CM227" s="13" t="str">
        <f t="shared" si="62"/>
        <v/>
      </c>
      <c r="CN227" s="13" t="str">
        <f t="shared" si="62"/>
        <v/>
      </c>
      <c r="CO227" s="13" t="str">
        <f t="shared" si="61"/>
        <v/>
      </c>
      <c r="CP227" s="13" t="str">
        <f t="shared" si="61"/>
        <v/>
      </c>
      <c r="CQ227" s="13" t="str">
        <f t="shared" si="61"/>
        <v/>
      </c>
      <c r="CR227" t="str">
        <f t="shared" si="63"/>
        <v/>
      </c>
      <c r="CS227" t="str">
        <f t="shared" si="64"/>
        <v/>
      </c>
      <c r="CT227" t="str">
        <f t="shared" si="65"/>
        <v/>
      </c>
      <c r="CU227" t="str">
        <f t="shared" si="66"/>
        <v/>
      </c>
      <c r="CV227" t="str">
        <f t="shared" si="67"/>
        <v/>
      </c>
      <c r="CW227" t="str">
        <f t="shared" si="68"/>
        <v/>
      </c>
      <c r="DR227">
        <v>5501054</v>
      </c>
      <c r="DS227" s="17" t="s">
        <v>145</v>
      </c>
      <c r="DT227">
        <v>505450101</v>
      </c>
      <c r="DU227" s="13" t="e">
        <f t="shared" si="70"/>
        <v>#N/A</v>
      </c>
    </row>
    <row r="228" spans="90:125" x14ac:dyDescent="0.15">
      <c r="CL228" s="13" t="str">
        <f t="shared" si="62"/>
        <v/>
      </c>
      <c r="CM228" s="13" t="str">
        <f t="shared" si="62"/>
        <v/>
      </c>
      <c r="CN228" s="13" t="str">
        <f t="shared" si="62"/>
        <v/>
      </c>
      <c r="CO228" s="13" t="str">
        <f t="shared" si="61"/>
        <v/>
      </c>
      <c r="CP228" s="13" t="str">
        <f t="shared" si="61"/>
        <v/>
      </c>
      <c r="CQ228" s="13" t="str">
        <f t="shared" si="61"/>
        <v/>
      </c>
      <c r="CR228" t="str">
        <f t="shared" si="63"/>
        <v/>
      </c>
      <c r="CS228" t="str">
        <f t="shared" si="64"/>
        <v/>
      </c>
      <c r="CT228" t="str">
        <f t="shared" si="65"/>
        <v/>
      </c>
      <c r="CU228" t="str">
        <f t="shared" si="66"/>
        <v/>
      </c>
      <c r="CV228" t="str">
        <f t="shared" si="67"/>
        <v/>
      </c>
      <c r="CW228" t="str">
        <f t="shared" si="68"/>
        <v/>
      </c>
      <c r="DR228">
        <v>5600054</v>
      </c>
      <c r="DS228" s="17" t="s">
        <v>148</v>
      </c>
      <c r="DT228">
        <v>505460001</v>
      </c>
      <c r="DU228" s="13" t="e">
        <f t="shared" si="70"/>
        <v>#N/A</v>
      </c>
    </row>
    <row r="229" spans="90:125" x14ac:dyDescent="0.15">
      <c r="CL229" s="13" t="str">
        <f t="shared" si="62"/>
        <v/>
      </c>
      <c r="CM229" s="13" t="str">
        <f t="shared" si="62"/>
        <v/>
      </c>
      <c r="CN229" s="13" t="str">
        <f t="shared" si="62"/>
        <v/>
      </c>
      <c r="CO229" s="13" t="str">
        <f t="shared" si="61"/>
        <v/>
      </c>
      <c r="CP229" s="13" t="str">
        <f t="shared" si="61"/>
        <v/>
      </c>
      <c r="CQ229" s="13" t="str">
        <f t="shared" si="61"/>
        <v/>
      </c>
      <c r="CR229" t="str">
        <f t="shared" si="63"/>
        <v/>
      </c>
      <c r="CS229" t="str">
        <f t="shared" si="64"/>
        <v/>
      </c>
      <c r="CT229" t="str">
        <f t="shared" si="65"/>
        <v/>
      </c>
      <c r="CU229" t="str">
        <f t="shared" si="66"/>
        <v/>
      </c>
      <c r="CV229" t="str">
        <f t="shared" si="67"/>
        <v/>
      </c>
      <c r="CW229" t="str">
        <f t="shared" si="68"/>
        <v/>
      </c>
      <c r="DR229">
        <v>5602054</v>
      </c>
      <c r="DS229" s="17" t="s">
        <v>150</v>
      </c>
      <c r="DT229">
        <v>505460201</v>
      </c>
      <c r="DU229" s="13" t="e">
        <f t="shared" si="70"/>
        <v>#N/A</v>
      </c>
    </row>
    <row r="230" spans="90:125" x14ac:dyDescent="0.15">
      <c r="CL230" s="13" t="str">
        <f t="shared" si="62"/>
        <v/>
      </c>
      <c r="CM230" s="13" t="str">
        <f t="shared" si="62"/>
        <v/>
      </c>
      <c r="CN230" s="13" t="str">
        <f t="shared" si="62"/>
        <v/>
      </c>
      <c r="CO230" s="13" t="str">
        <f t="shared" si="61"/>
        <v/>
      </c>
      <c r="CP230" s="13" t="str">
        <f t="shared" si="61"/>
        <v/>
      </c>
      <c r="CQ230" s="13" t="str">
        <f t="shared" si="61"/>
        <v/>
      </c>
      <c r="CR230" t="str">
        <f t="shared" si="63"/>
        <v/>
      </c>
      <c r="CS230" t="str">
        <f t="shared" si="64"/>
        <v/>
      </c>
      <c r="CT230" t="str">
        <f t="shared" si="65"/>
        <v/>
      </c>
      <c r="CU230" t="str">
        <f t="shared" si="66"/>
        <v/>
      </c>
      <c r="CV230" t="str">
        <f t="shared" si="67"/>
        <v/>
      </c>
      <c r="CW230" t="str">
        <f t="shared" si="68"/>
        <v/>
      </c>
      <c r="DR230">
        <v>5300055</v>
      </c>
      <c r="DS230" s="17" t="s">
        <v>153</v>
      </c>
      <c r="DT230">
        <v>505530001</v>
      </c>
      <c r="DU230" s="13" t="e">
        <f t="shared" si="70"/>
        <v>#N/A</v>
      </c>
    </row>
    <row r="231" spans="90:125" x14ac:dyDescent="0.15">
      <c r="CL231" s="13" t="str">
        <f t="shared" si="62"/>
        <v/>
      </c>
      <c r="CM231" s="13" t="str">
        <f t="shared" si="62"/>
        <v/>
      </c>
      <c r="CN231" s="13" t="str">
        <f t="shared" si="62"/>
        <v/>
      </c>
      <c r="CO231" s="13" t="str">
        <f t="shared" si="61"/>
        <v/>
      </c>
      <c r="CP231" s="13" t="str">
        <f t="shared" si="61"/>
        <v/>
      </c>
      <c r="CQ231" s="13" t="str">
        <f t="shared" si="61"/>
        <v/>
      </c>
      <c r="CR231" t="str">
        <f t="shared" si="63"/>
        <v/>
      </c>
      <c r="CS231" t="str">
        <f t="shared" si="64"/>
        <v/>
      </c>
      <c r="CT231" t="str">
        <f t="shared" si="65"/>
        <v/>
      </c>
      <c r="CU231" t="str">
        <f t="shared" si="66"/>
        <v/>
      </c>
      <c r="CV231" t="str">
        <f t="shared" si="67"/>
        <v/>
      </c>
      <c r="CW231" t="str">
        <f t="shared" si="68"/>
        <v/>
      </c>
      <c r="DR231">
        <v>5302055</v>
      </c>
      <c r="DS231" s="17" t="s">
        <v>156</v>
      </c>
      <c r="DT231">
        <v>505530201</v>
      </c>
      <c r="DU231" s="13" t="e">
        <f t="shared" si="70"/>
        <v>#N/A</v>
      </c>
    </row>
    <row r="232" spans="90:125" x14ac:dyDescent="0.15">
      <c r="CL232" s="13" t="str">
        <f t="shared" si="62"/>
        <v/>
      </c>
      <c r="CM232" s="13" t="str">
        <f t="shared" si="62"/>
        <v/>
      </c>
      <c r="CN232" s="13" t="str">
        <f t="shared" si="62"/>
        <v/>
      </c>
      <c r="CO232" s="13" t="str">
        <f t="shared" si="61"/>
        <v/>
      </c>
      <c r="CP232" s="13" t="str">
        <f t="shared" si="61"/>
        <v/>
      </c>
      <c r="CQ232" s="13" t="str">
        <f t="shared" si="61"/>
        <v/>
      </c>
      <c r="CR232" t="str">
        <f t="shared" si="63"/>
        <v/>
      </c>
      <c r="CS232" t="str">
        <f t="shared" si="64"/>
        <v/>
      </c>
      <c r="CT232" t="str">
        <f t="shared" si="65"/>
        <v/>
      </c>
      <c r="CU232" t="str">
        <f t="shared" si="66"/>
        <v/>
      </c>
      <c r="CV232" t="str">
        <f t="shared" si="67"/>
        <v/>
      </c>
      <c r="CW232" t="str">
        <f t="shared" si="68"/>
        <v/>
      </c>
      <c r="DR232">
        <v>5400055</v>
      </c>
      <c r="DS232" s="17" t="s">
        <v>159</v>
      </c>
      <c r="DT232">
        <v>505540001</v>
      </c>
      <c r="DU232" s="13" t="e">
        <f t="shared" si="70"/>
        <v>#N/A</v>
      </c>
    </row>
    <row r="233" spans="90:125" x14ac:dyDescent="0.15">
      <c r="CL233" s="13" t="str">
        <f t="shared" si="62"/>
        <v/>
      </c>
      <c r="CM233" s="13" t="str">
        <f t="shared" si="62"/>
        <v/>
      </c>
      <c r="CN233" s="13" t="str">
        <f t="shared" si="62"/>
        <v/>
      </c>
      <c r="CO233" s="13" t="str">
        <f t="shared" si="61"/>
        <v/>
      </c>
      <c r="CP233" s="13" t="str">
        <f t="shared" si="61"/>
        <v/>
      </c>
      <c r="CQ233" s="13" t="str">
        <f t="shared" si="61"/>
        <v/>
      </c>
      <c r="CR233" t="str">
        <f t="shared" si="63"/>
        <v/>
      </c>
      <c r="CS233" t="str">
        <f t="shared" si="64"/>
        <v/>
      </c>
      <c r="CT233" t="str">
        <f t="shared" si="65"/>
        <v/>
      </c>
      <c r="CU233" t="str">
        <f t="shared" si="66"/>
        <v/>
      </c>
      <c r="CV233" t="str">
        <f t="shared" si="67"/>
        <v/>
      </c>
      <c r="CW233" t="str">
        <f t="shared" si="68"/>
        <v/>
      </c>
      <c r="DR233">
        <v>5200061</v>
      </c>
      <c r="DS233" s="17" t="s">
        <v>62</v>
      </c>
    </row>
    <row r="234" spans="90:125" x14ac:dyDescent="0.15">
      <c r="CL234" s="13" t="str">
        <f t="shared" si="62"/>
        <v/>
      </c>
      <c r="CM234" s="13" t="str">
        <f t="shared" si="62"/>
        <v/>
      </c>
      <c r="CN234" s="13" t="str">
        <f t="shared" si="62"/>
        <v/>
      </c>
      <c r="CO234" s="13" t="str">
        <f t="shared" si="61"/>
        <v/>
      </c>
      <c r="CP234" s="13" t="str">
        <f t="shared" si="61"/>
        <v/>
      </c>
      <c r="CQ234" s="13" t="str">
        <f t="shared" si="61"/>
        <v/>
      </c>
      <c r="CR234" t="str">
        <f t="shared" si="63"/>
        <v/>
      </c>
      <c r="CS234" t="str">
        <f t="shared" si="64"/>
        <v/>
      </c>
      <c r="CT234" t="str">
        <f t="shared" si="65"/>
        <v/>
      </c>
      <c r="CU234" t="str">
        <f t="shared" si="66"/>
        <v/>
      </c>
      <c r="CV234" t="str">
        <f t="shared" si="67"/>
        <v/>
      </c>
      <c r="CW234" t="str">
        <f t="shared" si="68"/>
        <v/>
      </c>
      <c r="DR234">
        <v>5201061</v>
      </c>
      <c r="DS234" s="17" t="s">
        <v>65</v>
      </c>
    </row>
    <row r="235" spans="90:125" x14ac:dyDescent="0.15">
      <c r="CL235" s="13" t="str">
        <f t="shared" si="62"/>
        <v/>
      </c>
      <c r="CM235" s="13" t="str">
        <f t="shared" si="62"/>
        <v/>
      </c>
      <c r="CN235" s="13" t="str">
        <f t="shared" si="62"/>
        <v/>
      </c>
      <c r="CO235" s="13" t="str">
        <f t="shared" si="61"/>
        <v/>
      </c>
      <c r="CP235" s="13" t="str">
        <f t="shared" si="61"/>
        <v/>
      </c>
      <c r="CQ235" s="13" t="str">
        <f t="shared" si="61"/>
        <v/>
      </c>
      <c r="CR235" t="str">
        <f t="shared" si="63"/>
        <v/>
      </c>
      <c r="CS235" t="str">
        <f t="shared" si="64"/>
        <v/>
      </c>
      <c r="CT235" t="str">
        <f t="shared" si="65"/>
        <v/>
      </c>
      <c r="CU235" t="str">
        <f t="shared" si="66"/>
        <v/>
      </c>
      <c r="CV235" t="str">
        <f t="shared" si="67"/>
        <v/>
      </c>
      <c r="CW235" t="str">
        <f t="shared" si="68"/>
        <v/>
      </c>
      <c r="DR235">
        <v>5202061</v>
      </c>
      <c r="DS235" s="17" t="s">
        <v>68</v>
      </c>
    </row>
    <row r="236" spans="90:125" x14ac:dyDescent="0.15">
      <c r="CL236" s="13" t="str">
        <f t="shared" si="62"/>
        <v/>
      </c>
      <c r="CM236" s="13" t="str">
        <f t="shared" si="62"/>
        <v/>
      </c>
      <c r="CN236" s="13" t="str">
        <f t="shared" si="62"/>
        <v/>
      </c>
      <c r="CO236" s="13" t="str">
        <f t="shared" si="61"/>
        <v/>
      </c>
      <c r="CP236" s="13" t="str">
        <f t="shared" si="61"/>
        <v/>
      </c>
      <c r="CQ236" s="13" t="str">
        <f t="shared" si="61"/>
        <v/>
      </c>
      <c r="CR236" t="str">
        <f t="shared" si="63"/>
        <v/>
      </c>
      <c r="CS236" t="str">
        <f t="shared" si="64"/>
        <v/>
      </c>
      <c r="CT236" t="str">
        <f t="shared" si="65"/>
        <v/>
      </c>
      <c r="CU236" t="str">
        <f t="shared" si="66"/>
        <v/>
      </c>
      <c r="CV236" t="str">
        <f t="shared" si="67"/>
        <v/>
      </c>
      <c r="CW236" t="str">
        <f t="shared" si="68"/>
        <v/>
      </c>
      <c r="DR236">
        <v>5301061</v>
      </c>
      <c r="DS236" s="17" t="s">
        <v>71</v>
      </c>
    </row>
    <row r="237" spans="90:125" x14ac:dyDescent="0.15">
      <c r="CL237" s="13" t="str">
        <f t="shared" si="62"/>
        <v/>
      </c>
      <c r="CM237" s="13" t="str">
        <f t="shared" si="62"/>
        <v/>
      </c>
      <c r="CN237" s="13" t="str">
        <f t="shared" si="62"/>
        <v/>
      </c>
      <c r="CO237" s="13" t="str">
        <f t="shared" si="61"/>
        <v/>
      </c>
      <c r="CP237" s="13" t="str">
        <f t="shared" si="61"/>
        <v/>
      </c>
      <c r="CQ237" s="13" t="str">
        <f t="shared" si="61"/>
        <v/>
      </c>
      <c r="CR237" t="str">
        <f t="shared" si="63"/>
        <v/>
      </c>
      <c r="CS237" t="str">
        <f t="shared" si="64"/>
        <v/>
      </c>
      <c r="CT237" t="str">
        <f t="shared" si="65"/>
        <v/>
      </c>
      <c r="CU237" t="str">
        <f t="shared" si="66"/>
        <v/>
      </c>
      <c r="CV237" t="str">
        <f t="shared" si="67"/>
        <v/>
      </c>
      <c r="CW237" t="str">
        <f t="shared" si="68"/>
        <v/>
      </c>
      <c r="DR237">
        <v>5401061</v>
      </c>
      <c r="DS237" s="17" t="s">
        <v>73</v>
      </c>
    </row>
    <row r="238" spans="90:125" x14ac:dyDescent="0.15">
      <c r="CL238" s="13" t="str">
        <f t="shared" si="62"/>
        <v/>
      </c>
      <c r="CM238" s="13" t="str">
        <f t="shared" si="62"/>
        <v/>
      </c>
      <c r="CN238" s="13" t="str">
        <f t="shared" si="62"/>
        <v/>
      </c>
      <c r="CO238" s="13" t="str">
        <f t="shared" si="61"/>
        <v/>
      </c>
      <c r="CP238" s="13" t="str">
        <f t="shared" si="61"/>
        <v/>
      </c>
      <c r="CQ238" s="13" t="str">
        <f t="shared" si="61"/>
        <v/>
      </c>
      <c r="CR238" t="str">
        <f t="shared" si="63"/>
        <v/>
      </c>
      <c r="CS238" t="str">
        <f t="shared" si="64"/>
        <v/>
      </c>
      <c r="CT238" t="str">
        <f t="shared" si="65"/>
        <v/>
      </c>
      <c r="CU238" t="str">
        <f t="shared" si="66"/>
        <v/>
      </c>
      <c r="CV238" t="str">
        <f t="shared" si="67"/>
        <v/>
      </c>
      <c r="CW238" t="str">
        <f t="shared" si="68"/>
        <v/>
      </c>
      <c r="DR238">
        <v>5402061</v>
      </c>
      <c r="DS238" s="17" t="s">
        <v>76</v>
      </c>
    </row>
    <row r="239" spans="90:125" x14ac:dyDescent="0.15">
      <c r="CL239" s="13" t="str">
        <f t="shared" si="62"/>
        <v/>
      </c>
      <c r="CM239" s="13" t="str">
        <f t="shared" si="62"/>
        <v/>
      </c>
      <c r="CN239" s="13" t="str">
        <f t="shared" si="62"/>
        <v/>
      </c>
      <c r="CO239" s="13" t="str">
        <f t="shared" si="61"/>
        <v/>
      </c>
      <c r="CP239" s="13" t="str">
        <f t="shared" si="61"/>
        <v/>
      </c>
      <c r="CQ239" s="13" t="str">
        <f t="shared" si="61"/>
        <v/>
      </c>
      <c r="CR239" t="str">
        <f t="shared" si="63"/>
        <v/>
      </c>
      <c r="CS239" t="str">
        <f t="shared" si="64"/>
        <v/>
      </c>
      <c r="CT239" t="str">
        <f t="shared" si="65"/>
        <v/>
      </c>
      <c r="CU239" t="str">
        <f t="shared" si="66"/>
        <v/>
      </c>
      <c r="CV239" t="str">
        <f t="shared" si="67"/>
        <v/>
      </c>
      <c r="CW239" t="str">
        <f t="shared" si="68"/>
        <v/>
      </c>
      <c r="DR239">
        <v>5500061</v>
      </c>
      <c r="DS239" s="17" t="s">
        <v>79</v>
      </c>
    </row>
    <row r="240" spans="90:125" x14ac:dyDescent="0.15">
      <c r="CL240" s="13" t="str">
        <f t="shared" si="62"/>
        <v/>
      </c>
      <c r="CM240" s="13" t="str">
        <f t="shared" si="62"/>
        <v/>
      </c>
      <c r="CN240" s="13" t="str">
        <f t="shared" si="62"/>
        <v/>
      </c>
      <c r="CO240" s="13" t="str">
        <f t="shared" si="61"/>
        <v/>
      </c>
      <c r="CP240" s="13" t="str">
        <f t="shared" si="61"/>
        <v/>
      </c>
      <c r="CQ240" s="13" t="str">
        <f t="shared" si="61"/>
        <v/>
      </c>
      <c r="CR240" t="str">
        <f t="shared" si="63"/>
        <v/>
      </c>
      <c r="CS240" t="str">
        <f t="shared" si="64"/>
        <v/>
      </c>
      <c r="CT240" t="str">
        <f t="shared" si="65"/>
        <v/>
      </c>
      <c r="CU240" t="str">
        <f t="shared" si="66"/>
        <v/>
      </c>
      <c r="CV240" t="str">
        <f t="shared" si="67"/>
        <v/>
      </c>
      <c r="CW240" t="str">
        <f t="shared" si="68"/>
        <v/>
      </c>
      <c r="DR240">
        <v>5502061</v>
      </c>
      <c r="DS240" s="17" t="s">
        <v>81</v>
      </c>
    </row>
    <row r="241" spans="90:123" x14ac:dyDescent="0.15">
      <c r="CL241" s="13" t="str">
        <f t="shared" si="62"/>
        <v/>
      </c>
      <c r="CM241" s="13" t="str">
        <f t="shared" si="62"/>
        <v/>
      </c>
      <c r="CN241" s="13" t="str">
        <f t="shared" si="62"/>
        <v/>
      </c>
      <c r="CO241" s="13" t="str">
        <f t="shared" si="61"/>
        <v/>
      </c>
      <c r="CP241" s="13" t="str">
        <f t="shared" si="61"/>
        <v/>
      </c>
      <c r="CQ241" s="13" t="str">
        <f t="shared" si="61"/>
        <v/>
      </c>
      <c r="CR241" t="str">
        <f t="shared" si="63"/>
        <v/>
      </c>
      <c r="CS241" t="str">
        <f t="shared" si="64"/>
        <v/>
      </c>
      <c r="CT241" t="str">
        <f t="shared" si="65"/>
        <v/>
      </c>
      <c r="CU241" t="str">
        <f t="shared" si="66"/>
        <v/>
      </c>
      <c r="CV241" t="str">
        <f t="shared" si="67"/>
        <v/>
      </c>
      <c r="CW241" t="str">
        <f t="shared" si="68"/>
        <v/>
      </c>
      <c r="DR241">
        <v>5601061</v>
      </c>
      <c r="DS241" s="17" t="s">
        <v>84</v>
      </c>
    </row>
    <row r="242" spans="90:123" x14ac:dyDescent="0.15">
      <c r="CL242" s="13" t="str">
        <f t="shared" si="62"/>
        <v/>
      </c>
      <c r="CM242" s="13" t="str">
        <f t="shared" si="62"/>
        <v/>
      </c>
      <c r="CN242" s="13" t="str">
        <f t="shared" si="62"/>
        <v/>
      </c>
      <c r="CO242" s="13" t="str">
        <f t="shared" si="61"/>
        <v/>
      </c>
      <c r="CP242" s="13" t="str">
        <f t="shared" si="61"/>
        <v/>
      </c>
      <c r="CQ242" s="13" t="str">
        <f t="shared" si="61"/>
        <v/>
      </c>
      <c r="CR242" t="str">
        <f t="shared" si="63"/>
        <v/>
      </c>
      <c r="CS242" t="str">
        <f t="shared" si="64"/>
        <v/>
      </c>
      <c r="CT242" t="str">
        <f t="shared" si="65"/>
        <v/>
      </c>
      <c r="CU242" t="str">
        <f t="shared" si="66"/>
        <v/>
      </c>
      <c r="CV242" t="str">
        <f t="shared" si="67"/>
        <v/>
      </c>
      <c r="CW242" t="str">
        <f t="shared" si="68"/>
        <v/>
      </c>
      <c r="DR242">
        <v>5200062</v>
      </c>
      <c r="DS242" s="17" t="s">
        <v>88</v>
      </c>
    </row>
    <row r="243" spans="90:123" x14ac:dyDescent="0.15">
      <c r="CL243" s="13" t="str">
        <f t="shared" si="62"/>
        <v/>
      </c>
      <c r="CM243" s="13" t="str">
        <f t="shared" si="62"/>
        <v/>
      </c>
      <c r="CN243" s="13" t="str">
        <f t="shared" si="62"/>
        <v/>
      </c>
      <c r="CO243" s="13" t="str">
        <f t="shared" si="61"/>
        <v/>
      </c>
      <c r="CP243" s="13" t="str">
        <f t="shared" si="61"/>
        <v/>
      </c>
      <c r="CQ243" s="13" t="str">
        <f t="shared" si="61"/>
        <v/>
      </c>
      <c r="CR243" t="str">
        <f t="shared" si="63"/>
        <v/>
      </c>
      <c r="CS243" t="str">
        <f t="shared" si="64"/>
        <v/>
      </c>
      <c r="CT243" t="str">
        <f t="shared" si="65"/>
        <v/>
      </c>
      <c r="CU243" t="str">
        <f t="shared" si="66"/>
        <v/>
      </c>
      <c r="CV243" t="str">
        <f t="shared" si="67"/>
        <v/>
      </c>
      <c r="CW243" t="str">
        <f t="shared" si="68"/>
        <v/>
      </c>
      <c r="DR243">
        <v>5201062</v>
      </c>
      <c r="DS243" s="17" t="s">
        <v>92</v>
      </c>
    </row>
    <row r="244" spans="90:123" x14ac:dyDescent="0.15">
      <c r="CL244" s="13" t="str">
        <f t="shared" si="62"/>
        <v/>
      </c>
      <c r="CM244" s="13" t="str">
        <f t="shared" si="62"/>
        <v/>
      </c>
      <c r="CN244" s="13" t="str">
        <f t="shared" si="62"/>
        <v/>
      </c>
      <c r="CO244" s="13" t="str">
        <f t="shared" si="61"/>
        <v/>
      </c>
      <c r="CP244" s="13" t="str">
        <f t="shared" si="61"/>
        <v/>
      </c>
      <c r="CQ244" s="13" t="str">
        <f t="shared" si="61"/>
        <v/>
      </c>
      <c r="CR244" t="str">
        <f t="shared" si="63"/>
        <v/>
      </c>
      <c r="CS244" t="str">
        <f t="shared" si="64"/>
        <v/>
      </c>
      <c r="CT244" t="str">
        <f t="shared" si="65"/>
        <v/>
      </c>
      <c r="CU244" t="str">
        <f t="shared" si="66"/>
        <v/>
      </c>
      <c r="CV244" t="str">
        <f t="shared" si="67"/>
        <v/>
      </c>
      <c r="CW244" t="str">
        <f t="shared" si="68"/>
        <v/>
      </c>
      <c r="DR244">
        <v>5202062</v>
      </c>
      <c r="DS244" s="17" t="s">
        <v>95</v>
      </c>
    </row>
    <row r="245" spans="90:123" x14ac:dyDescent="0.15">
      <c r="CL245" s="13" t="str">
        <f t="shared" si="62"/>
        <v/>
      </c>
      <c r="CM245" s="13" t="str">
        <f t="shared" si="62"/>
        <v/>
      </c>
      <c r="CN245" s="13" t="str">
        <f t="shared" si="62"/>
        <v/>
      </c>
      <c r="CO245" s="13" t="str">
        <f t="shared" si="61"/>
        <v/>
      </c>
      <c r="CP245" s="13" t="str">
        <f t="shared" si="61"/>
        <v/>
      </c>
      <c r="CQ245" s="13" t="str">
        <f t="shared" si="61"/>
        <v/>
      </c>
      <c r="CR245" t="str">
        <f t="shared" si="63"/>
        <v/>
      </c>
      <c r="CS245" t="str">
        <f t="shared" si="64"/>
        <v/>
      </c>
      <c r="CT245" t="str">
        <f t="shared" si="65"/>
        <v/>
      </c>
      <c r="CU245" t="str">
        <f t="shared" si="66"/>
        <v/>
      </c>
      <c r="CV245" t="str">
        <f t="shared" si="67"/>
        <v/>
      </c>
      <c r="CW245" t="str">
        <f t="shared" si="68"/>
        <v/>
      </c>
      <c r="DR245">
        <v>5301062</v>
      </c>
      <c r="DS245" s="17" t="s">
        <v>98</v>
      </c>
    </row>
    <row r="246" spans="90:123" x14ac:dyDescent="0.15">
      <c r="CL246" s="13" t="str">
        <f t="shared" si="62"/>
        <v/>
      </c>
      <c r="CM246" s="13" t="str">
        <f t="shared" si="62"/>
        <v/>
      </c>
      <c r="CN246" s="13" t="str">
        <f t="shared" si="62"/>
        <v/>
      </c>
      <c r="CO246" s="13" t="str">
        <f t="shared" si="61"/>
        <v/>
      </c>
      <c r="CP246" s="13" t="str">
        <f t="shared" si="61"/>
        <v/>
      </c>
      <c r="CQ246" s="13" t="str">
        <f t="shared" si="61"/>
        <v/>
      </c>
      <c r="CR246" t="str">
        <f t="shared" si="63"/>
        <v/>
      </c>
      <c r="CS246" t="str">
        <f t="shared" si="64"/>
        <v/>
      </c>
      <c r="CT246" t="str">
        <f t="shared" si="65"/>
        <v/>
      </c>
      <c r="CU246" t="str">
        <f t="shared" si="66"/>
        <v/>
      </c>
      <c r="CV246" t="str">
        <f t="shared" si="67"/>
        <v/>
      </c>
      <c r="CW246" t="str">
        <f t="shared" si="68"/>
        <v/>
      </c>
      <c r="DR246">
        <v>5401062</v>
      </c>
      <c r="DS246" s="17" t="s">
        <v>101</v>
      </c>
    </row>
    <row r="247" spans="90:123" x14ac:dyDescent="0.15">
      <c r="CL247" s="13" t="str">
        <f t="shared" si="62"/>
        <v/>
      </c>
      <c r="CM247" s="13" t="str">
        <f t="shared" si="62"/>
        <v/>
      </c>
      <c r="CN247" s="13" t="str">
        <f t="shared" si="62"/>
        <v/>
      </c>
      <c r="CO247" s="13" t="str">
        <f t="shared" si="61"/>
        <v/>
      </c>
      <c r="CP247" s="13" t="str">
        <f t="shared" si="61"/>
        <v/>
      </c>
      <c r="CQ247" s="13" t="str">
        <f t="shared" si="61"/>
        <v/>
      </c>
      <c r="CR247" t="str">
        <f t="shared" si="63"/>
        <v/>
      </c>
      <c r="CS247" t="str">
        <f t="shared" si="64"/>
        <v/>
      </c>
      <c r="CT247" t="str">
        <f t="shared" si="65"/>
        <v/>
      </c>
      <c r="CU247" t="str">
        <f t="shared" si="66"/>
        <v/>
      </c>
      <c r="CV247" t="str">
        <f t="shared" si="67"/>
        <v/>
      </c>
      <c r="CW247" t="str">
        <f t="shared" si="68"/>
        <v/>
      </c>
      <c r="DR247">
        <v>5402062</v>
      </c>
      <c r="DS247" s="17" t="s">
        <v>103</v>
      </c>
    </row>
    <row r="248" spans="90:123" x14ac:dyDescent="0.15">
      <c r="CL248" s="13" t="str">
        <f t="shared" si="62"/>
        <v/>
      </c>
      <c r="CM248" s="13" t="str">
        <f t="shared" si="62"/>
        <v/>
      </c>
      <c r="CN248" s="13" t="str">
        <f t="shared" si="62"/>
        <v/>
      </c>
      <c r="CO248" s="13" t="str">
        <f t="shared" si="61"/>
        <v/>
      </c>
      <c r="CP248" s="13" t="str">
        <f t="shared" si="61"/>
        <v/>
      </c>
      <c r="CQ248" s="13" t="str">
        <f t="shared" si="61"/>
        <v/>
      </c>
      <c r="CR248" t="str">
        <f t="shared" si="63"/>
        <v/>
      </c>
      <c r="CS248" t="str">
        <f t="shared" si="64"/>
        <v/>
      </c>
      <c r="CT248" t="str">
        <f t="shared" si="65"/>
        <v/>
      </c>
      <c r="CU248" t="str">
        <f t="shared" si="66"/>
        <v/>
      </c>
      <c r="CV248" t="str">
        <f t="shared" si="67"/>
        <v/>
      </c>
      <c r="CW248" t="str">
        <f t="shared" si="68"/>
        <v/>
      </c>
      <c r="DR248">
        <v>5500062</v>
      </c>
      <c r="DS248" s="17" t="s">
        <v>107</v>
      </c>
    </row>
    <row r="249" spans="90:123" x14ac:dyDescent="0.15">
      <c r="CL249" s="13" t="str">
        <f t="shared" si="62"/>
        <v/>
      </c>
      <c r="CM249" s="13" t="str">
        <f t="shared" si="62"/>
        <v/>
      </c>
      <c r="CN249" s="13" t="str">
        <f t="shared" si="62"/>
        <v/>
      </c>
      <c r="CO249" s="13" t="str">
        <f t="shared" si="61"/>
        <v/>
      </c>
      <c r="CP249" s="13" t="str">
        <f t="shared" si="61"/>
        <v/>
      </c>
      <c r="CQ249" s="13" t="str">
        <f t="shared" si="61"/>
        <v/>
      </c>
      <c r="CR249" t="str">
        <f t="shared" si="63"/>
        <v/>
      </c>
      <c r="CS249" t="str">
        <f t="shared" si="64"/>
        <v/>
      </c>
      <c r="CT249" t="str">
        <f t="shared" si="65"/>
        <v/>
      </c>
      <c r="CU249" t="str">
        <f t="shared" si="66"/>
        <v/>
      </c>
      <c r="CV249" t="str">
        <f t="shared" si="67"/>
        <v/>
      </c>
      <c r="CW249" t="str">
        <f t="shared" si="68"/>
        <v/>
      </c>
      <c r="DR249">
        <v>5502062</v>
      </c>
      <c r="DS249" s="17" t="s">
        <v>111</v>
      </c>
    </row>
    <row r="250" spans="90:123" x14ac:dyDescent="0.15">
      <c r="CL250" s="13" t="str">
        <f t="shared" si="62"/>
        <v/>
      </c>
      <c r="CM250" s="13" t="str">
        <f t="shared" si="62"/>
        <v/>
      </c>
      <c r="CN250" s="13" t="str">
        <f t="shared" si="62"/>
        <v/>
      </c>
      <c r="CO250" s="13" t="str">
        <f t="shared" si="61"/>
        <v/>
      </c>
      <c r="CP250" s="13" t="str">
        <f t="shared" si="61"/>
        <v/>
      </c>
      <c r="CQ250" s="13" t="str">
        <f t="shared" si="61"/>
        <v/>
      </c>
      <c r="CR250" t="str">
        <f t="shared" si="63"/>
        <v/>
      </c>
      <c r="CS250" t="str">
        <f t="shared" si="64"/>
        <v/>
      </c>
      <c r="CT250" t="str">
        <f t="shared" si="65"/>
        <v/>
      </c>
      <c r="CU250" t="str">
        <f t="shared" si="66"/>
        <v/>
      </c>
      <c r="CV250" t="str">
        <f t="shared" si="67"/>
        <v/>
      </c>
      <c r="CW250" t="str">
        <f t="shared" si="68"/>
        <v/>
      </c>
      <c r="DR250">
        <v>5601062</v>
      </c>
      <c r="DS250" s="17" t="s">
        <v>114</v>
      </c>
    </row>
    <row r="251" spans="90:123" x14ac:dyDescent="0.15">
      <c r="CL251" s="13" t="str">
        <f t="shared" si="62"/>
        <v/>
      </c>
      <c r="CM251" s="13" t="str">
        <f t="shared" si="62"/>
        <v/>
      </c>
      <c r="CN251" s="13" t="str">
        <f t="shared" si="62"/>
        <v/>
      </c>
      <c r="CO251" s="13" t="str">
        <f t="shared" si="61"/>
        <v/>
      </c>
      <c r="CP251" s="13" t="str">
        <f t="shared" si="61"/>
        <v/>
      </c>
      <c r="CQ251" s="13" t="str">
        <f t="shared" si="61"/>
        <v/>
      </c>
      <c r="CR251" t="str">
        <f t="shared" si="63"/>
        <v/>
      </c>
      <c r="CS251" t="str">
        <f t="shared" si="64"/>
        <v/>
      </c>
      <c r="CT251" t="str">
        <f t="shared" si="65"/>
        <v/>
      </c>
      <c r="CU251" t="str">
        <f t="shared" si="66"/>
        <v/>
      </c>
      <c r="CV251" t="str">
        <f t="shared" si="67"/>
        <v/>
      </c>
      <c r="CW251" t="str">
        <f t="shared" si="68"/>
        <v/>
      </c>
      <c r="DR251">
        <v>5200063</v>
      </c>
      <c r="DS251" s="17" t="s">
        <v>118</v>
      </c>
    </row>
    <row r="252" spans="90:123" x14ac:dyDescent="0.15">
      <c r="CL252" s="13" t="str">
        <f t="shared" si="62"/>
        <v/>
      </c>
      <c r="CM252" s="13" t="str">
        <f t="shared" si="62"/>
        <v/>
      </c>
      <c r="CN252" s="13" t="str">
        <f t="shared" si="62"/>
        <v/>
      </c>
      <c r="CO252" s="13" t="str">
        <f t="shared" si="61"/>
        <v/>
      </c>
      <c r="CP252" s="13" t="str">
        <f t="shared" si="61"/>
        <v/>
      </c>
      <c r="CQ252" s="13" t="str">
        <f t="shared" si="61"/>
        <v/>
      </c>
      <c r="CR252" t="str">
        <f t="shared" si="63"/>
        <v/>
      </c>
      <c r="CS252" t="str">
        <f t="shared" si="64"/>
        <v/>
      </c>
      <c r="CT252" t="str">
        <f t="shared" si="65"/>
        <v/>
      </c>
      <c r="CU252" t="str">
        <f t="shared" si="66"/>
        <v/>
      </c>
      <c r="CV252" t="str">
        <f t="shared" si="67"/>
        <v/>
      </c>
      <c r="CW252" t="str">
        <f t="shared" si="68"/>
        <v/>
      </c>
      <c r="DR252">
        <v>5201063</v>
      </c>
      <c r="DS252" s="17" t="s">
        <v>121</v>
      </c>
    </row>
    <row r="253" spans="90:123" x14ac:dyDescent="0.15">
      <c r="CL253" s="13" t="str">
        <f t="shared" si="62"/>
        <v/>
      </c>
      <c r="CM253" s="13" t="str">
        <f t="shared" si="62"/>
        <v/>
      </c>
      <c r="CN253" s="13" t="str">
        <f t="shared" si="62"/>
        <v/>
      </c>
      <c r="CO253" s="13" t="str">
        <f t="shared" si="61"/>
        <v/>
      </c>
      <c r="CP253" s="13" t="str">
        <f t="shared" si="61"/>
        <v/>
      </c>
      <c r="CQ253" s="13" t="str">
        <f t="shared" si="61"/>
        <v/>
      </c>
      <c r="CR253" t="str">
        <f t="shared" si="63"/>
        <v/>
      </c>
      <c r="CS253" t="str">
        <f t="shared" si="64"/>
        <v/>
      </c>
      <c r="CT253" t="str">
        <f t="shared" si="65"/>
        <v/>
      </c>
      <c r="CU253" t="str">
        <f t="shared" si="66"/>
        <v/>
      </c>
      <c r="CV253" t="str">
        <f t="shared" si="67"/>
        <v/>
      </c>
      <c r="CW253" t="str">
        <f t="shared" si="68"/>
        <v/>
      </c>
      <c r="DR253">
        <v>5202063</v>
      </c>
      <c r="DS253" s="17" t="s">
        <v>124</v>
      </c>
    </row>
    <row r="254" spans="90:123" x14ac:dyDescent="0.15">
      <c r="CL254" s="13" t="str">
        <f t="shared" si="62"/>
        <v/>
      </c>
      <c r="CM254" s="13" t="str">
        <f t="shared" si="62"/>
        <v/>
      </c>
      <c r="CN254" s="13" t="str">
        <f t="shared" si="62"/>
        <v/>
      </c>
      <c r="CO254" s="13" t="str">
        <f t="shared" si="61"/>
        <v/>
      </c>
      <c r="CP254" s="13" t="str">
        <f t="shared" si="61"/>
        <v/>
      </c>
      <c r="CQ254" s="13" t="str">
        <f t="shared" si="61"/>
        <v/>
      </c>
      <c r="CR254" t="str">
        <f t="shared" si="63"/>
        <v/>
      </c>
      <c r="CS254" t="str">
        <f t="shared" si="64"/>
        <v/>
      </c>
      <c r="CT254" t="str">
        <f t="shared" si="65"/>
        <v/>
      </c>
      <c r="CU254" t="str">
        <f t="shared" si="66"/>
        <v/>
      </c>
      <c r="CV254" t="str">
        <f t="shared" si="67"/>
        <v/>
      </c>
      <c r="CW254" t="str">
        <f t="shared" si="68"/>
        <v/>
      </c>
      <c r="DR254">
        <v>5301063</v>
      </c>
      <c r="DS254" s="17" t="s">
        <v>126</v>
      </c>
    </row>
    <row r="255" spans="90:123" x14ac:dyDescent="0.15">
      <c r="CL255" s="13" t="str">
        <f t="shared" si="62"/>
        <v/>
      </c>
      <c r="CM255" s="13" t="str">
        <f t="shared" si="62"/>
        <v/>
      </c>
      <c r="CN255" s="13" t="str">
        <f t="shared" si="62"/>
        <v/>
      </c>
      <c r="CO255" s="13" t="str">
        <f t="shared" si="62"/>
        <v/>
      </c>
      <c r="CP255" s="13" t="str">
        <f t="shared" si="62"/>
        <v/>
      </c>
      <c r="CQ255" s="13" t="str">
        <f t="shared" si="62"/>
        <v/>
      </c>
      <c r="CR255" t="str">
        <f t="shared" si="63"/>
        <v/>
      </c>
      <c r="CS255" t="str">
        <f t="shared" si="64"/>
        <v/>
      </c>
      <c r="CT255" t="str">
        <f t="shared" si="65"/>
        <v/>
      </c>
      <c r="CU255" t="str">
        <f t="shared" si="66"/>
        <v/>
      </c>
      <c r="CV255" t="str">
        <f t="shared" si="67"/>
        <v/>
      </c>
      <c r="CW255" t="str">
        <f t="shared" si="68"/>
        <v/>
      </c>
      <c r="DR255">
        <v>5401063</v>
      </c>
      <c r="DS255" s="17" t="s">
        <v>130</v>
      </c>
    </row>
    <row r="256" spans="90:123" x14ac:dyDescent="0.15">
      <c r="CL256" s="13" t="str">
        <f t="shared" ref="CL256:CQ298" si="71">IF(DJ256&lt;&gt;"",IF(ISERROR(MATCH(INT(CR256),$DR$4:$DR$1516,0))=FALSE,TRUE),"")</f>
        <v/>
      </c>
      <c r="CM256" s="13" t="str">
        <f t="shared" si="71"/>
        <v/>
      </c>
      <c r="CN256" s="13" t="str">
        <f t="shared" si="71"/>
        <v/>
      </c>
      <c r="CO256" s="13" t="str">
        <f t="shared" si="71"/>
        <v/>
      </c>
      <c r="CP256" s="13" t="str">
        <f t="shared" si="71"/>
        <v/>
      </c>
      <c r="CQ256" s="13" t="str">
        <f t="shared" si="71"/>
        <v/>
      </c>
      <c r="CR256" t="str">
        <f t="shared" si="63"/>
        <v/>
      </c>
      <c r="CS256" t="str">
        <f t="shared" si="64"/>
        <v/>
      </c>
      <c r="CT256" t="str">
        <f t="shared" si="65"/>
        <v/>
      </c>
      <c r="CU256" t="str">
        <f t="shared" si="66"/>
        <v/>
      </c>
      <c r="CV256" t="str">
        <f t="shared" si="67"/>
        <v/>
      </c>
      <c r="CW256" t="str">
        <f t="shared" si="68"/>
        <v/>
      </c>
      <c r="DR256">
        <v>5402063</v>
      </c>
      <c r="DS256" s="17" t="s">
        <v>135</v>
      </c>
    </row>
    <row r="257" spans="90:123" x14ac:dyDescent="0.15">
      <c r="CL257" s="13" t="str">
        <f t="shared" si="71"/>
        <v/>
      </c>
      <c r="CM257" s="13" t="str">
        <f t="shared" si="71"/>
        <v/>
      </c>
      <c r="CN257" s="13" t="str">
        <f t="shared" si="71"/>
        <v/>
      </c>
      <c r="CO257" s="13" t="str">
        <f t="shared" si="71"/>
        <v/>
      </c>
      <c r="CP257" s="13" t="str">
        <f t="shared" si="71"/>
        <v/>
      </c>
      <c r="CQ257" s="13" t="str">
        <f t="shared" si="71"/>
        <v/>
      </c>
      <c r="CR257" t="str">
        <f t="shared" si="63"/>
        <v/>
      </c>
      <c r="CS257" t="str">
        <f t="shared" si="64"/>
        <v/>
      </c>
      <c r="CT257" t="str">
        <f t="shared" si="65"/>
        <v/>
      </c>
      <c r="CU257" t="str">
        <f t="shared" si="66"/>
        <v/>
      </c>
      <c r="CV257" t="str">
        <f t="shared" si="67"/>
        <v/>
      </c>
      <c r="CW257" t="str">
        <f t="shared" si="68"/>
        <v/>
      </c>
      <c r="DR257">
        <v>5500063</v>
      </c>
      <c r="DS257" s="17" t="s">
        <v>139</v>
      </c>
    </row>
    <row r="258" spans="90:123" x14ac:dyDescent="0.15">
      <c r="CL258" s="13" t="str">
        <f t="shared" si="71"/>
        <v/>
      </c>
      <c r="CM258" s="13" t="str">
        <f t="shared" si="71"/>
        <v/>
      </c>
      <c r="CN258" s="13" t="str">
        <f t="shared" si="71"/>
        <v/>
      </c>
      <c r="CO258" s="13" t="str">
        <f t="shared" si="71"/>
        <v/>
      </c>
      <c r="CP258" s="13" t="str">
        <f t="shared" si="71"/>
        <v/>
      </c>
      <c r="CQ258" s="13" t="str">
        <f t="shared" si="71"/>
        <v/>
      </c>
      <c r="CR258" t="str">
        <f t="shared" si="63"/>
        <v/>
      </c>
      <c r="CS258" t="str">
        <f t="shared" si="64"/>
        <v/>
      </c>
      <c r="CT258" t="str">
        <f t="shared" si="65"/>
        <v/>
      </c>
      <c r="CU258" t="str">
        <f t="shared" si="66"/>
        <v/>
      </c>
      <c r="CV258" t="str">
        <f t="shared" si="67"/>
        <v/>
      </c>
      <c r="CW258" t="str">
        <f t="shared" si="68"/>
        <v/>
      </c>
      <c r="DR258">
        <v>5502063</v>
      </c>
      <c r="DS258" s="17" t="s">
        <v>141</v>
      </c>
    </row>
    <row r="259" spans="90:123" x14ac:dyDescent="0.15">
      <c r="CL259" s="13" t="str">
        <f t="shared" si="71"/>
        <v/>
      </c>
      <c r="CM259" s="13" t="str">
        <f t="shared" si="71"/>
        <v/>
      </c>
      <c r="CN259" s="13" t="str">
        <f t="shared" si="71"/>
        <v/>
      </c>
      <c r="CO259" s="13" t="str">
        <f t="shared" si="71"/>
        <v/>
      </c>
      <c r="CP259" s="13" t="str">
        <f t="shared" si="71"/>
        <v/>
      </c>
      <c r="CQ259" s="13" t="str">
        <f t="shared" si="71"/>
        <v/>
      </c>
      <c r="CR259" t="str">
        <f t="shared" ref="CR259:CR322" si="72">IF(DJ259&lt;&gt;"",REPLACE(REPLACE(INDEX($DR$4:$DR$1516,MATCH(DJ259,$DS$4:$DS$1516,0)),6,1,CX259),1,1,DD259),"")</f>
        <v/>
      </c>
      <c r="CS259" t="str">
        <f t="shared" ref="CS259:CS322" si="73">IF(DK259&lt;&gt;"",REPLACE(REPLACE(INDEX($DR$4:$DR$1516,MATCH(DK259,$DS$4:$DS$1516,0)),6,1,CY259),1,1,DE259),"")</f>
        <v/>
      </c>
      <c r="CT259" t="str">
        <f t="shared" ref="CT259:CT322" si="74">IF(DL259&lt;&gt;"",REPLACE(REPLACE(INDEX($DR$4:$DR$1516,MATCH(DL259,$DS$4:$DS$1516,0)),6,1,CZ259),1,1,DF259),"")</f>
        <v/>
      </c>
      <c r="CU259" t="str">
        <f t="shared" ref="CU259:CU322" si="75">IF(DM259&lt;&gt;"",REPLACE(REPLACE(INDEX($DR$4:$DR$1516,MATCH(DM259,$DS$4:$DS$1516,0)),6,1,DA259),1,1,DG259),"")</f>
        <v/>
      </c>
      <c r="CV259" t="str">
        <f t="shared" ref="CV259:CV322" si="76">IF(DN259&lt;&gt;"",REPLACE(REPLACE(INDEX($DR$4:$DR$1516,MATCH(DN259,$DS$4:$DS$1516,0)),6,1,DB259),1,1,DH259),"")</f>
        <v/>
      </c>
      <c r="CW259" t="str">
        <f t="shared" ref="CW259:CW322" si="77">IF(DO259&lt;&gt;"",REPLACE(REPLACE(INDEX($DR$4:$DR$1516,MATCH(DO259,$DS$4:$DS$1516,0)),6,1,DC259),1,1,DI259),"")</f>
        <v/>
      </c>
      <c r="DR259">
        <v>5601063</v>
      </c>
      <c r="DS259" s="17" t="s">
        <v>143</v>
      </c>
    </row>
    <row r="260" spans="90:123" x14ac:dyDescent="0.15">
      <c r="CL260" s="13" t="str">
        <f t="shared" si="71"/>
        <v/>
      </c>
      <c r="CM260" s="13" t="str">
        <f t="shared" si="71"/>
        <v/>
      </c>
      <c r="CN260" s="13" t="str">
        <f t="shared" si="71"/>
        <v/>
      </c>
      <c r="CO260" s="13" t="str">
        <f t="shared" si="71"/>
        <v/>
      </c>
      <c r="CP260" s="13" t="str">
        <f t="shared" si="71"/>
        <v/>
      </c>
      <c r="CQ260" s="13" t="str">
        <f t="shared" si="71"/>
        <v/>
      </c>
      <c r="CR260" t="str">
        <f t="shared" si="72"/>
        <v/>
      </c>
      <c r="CS260" t="str">
        <f t="shared" si="73"/>
        <v/>
      </c>
      <c r="CT260" t="str">
        <f t="shared" si="74"/>
        <v/>
      </c>
      <c r="CU260" t="str">
        <f t="shared" si="75"/>
        <v/>
      </c>
      <c r="CV260" t="str">
        <f t="shared" si="76"/>
        <v/>
      </c>
      <c r="CW260" t="str">
        <f t="shared" si="77"/>
        <v/>
      </c>
      <c r="DR260">
        <v>5501064</v>
      </c>
      <c r="DS260" s="17" t="s">
        <v>145</v>
      </c>
    </row>
    <row r="261" spans="90:123" x14ac:dyDescent="0.15">
      <c r="CL261" s="13" t="str">
        <f t="shared" si="71"/>
        <v/>
      </c>
      <c r="CM261" s="13" t="str">
        <f t="shared" si="71"/>
        <v/>
      </c>
      <c r="CN261" s="13" t="str">
        <f t="shared" si="71"/>
        <v/>
      </c>
      <c r="CO261" s="13" t="str">
        <f t="shared" si="71"/>
        <v/>
      </c>
      <c r="CP261" s="13" t="str">
        <f t="shared" si="71"/>
        <v/>
      </c>
      <c r="CQ261" s="13" t="str">
        <f t="shared" si="71"/>
        <v/>
      </c>
      <c r="CR261" t="str">
        <f t="shared" si="72"/>
        <v/>
      </c>
      <c r="CS261" t="str">
        <f t="shared" si="73"/>
        <v/>
      </c>
      <c r="CT261" t="str">
        <f t="shared" si="74"/>
        <v/>
      </c>
      <c r="CU261" t="str">
        <f t="shared" si="75"/>
        <v/>
      </c>
      <c r="CV261" t="str">
        <f t="shared" si="76"/>
        <v/>
      </c>
      <c r="CW261" t="str">
        <f t="shared" si="77"/>
        <v/>
      </c>
      <c r="DR261">
        <v>5600064</v>
      </c>
      <c r="DS261" s="17" t="s">
        <v>148</v>
      </c>
    </row>
    <row r="262" spans="90:123" x14ac:dyDescent="0.15">
      <c r="CL262" s="13" t="str">
        <f t="shared" si="71"/>
        <v/>
      </c>
      <c r="CM262" s="13" t="str">
        <f t="shared" si="71"/>
        <v/>
      </c>
      <c r="CN262" s="13" t="str">
        <f t="shared" si="71"/>
        <v/>
      </c>
      <c r="CO262" s="13" t="str">
        <f t="shared" si="71"/>
        <v/>
      </c>
      <c r="CP262" s="13" t="str">
        <f t="shared" si="71"/>
        <v/>
      </c>
      <c r="CQ262" s="13" t="str">
        <f t="shared" si="71"/>
        <v/>
      </c>
      <c r="CR262" t="str">
        <f t="shared" si="72"/>
        <v/>
      </c>
      <c r="CS262" t="str">
        <f t="shared" si="73"/>
        <v/>
      </c>
      <c r="CT262" t="str">
        <f t="shared" si="74"/>
        <v/>
      </c>
      <c r="CU262" t="str">
        <f t="shared" si="75"/>
        <v/>
      </c>
      <c r="CV262" t="str">
        <f t="shared" si="76"/>
        <v/>
      </c>
      <c r="CW262" t="str">
        <f t="shared" si="77"/>
        <v/>
      </c>
      <c r="DR262">
        <v>5602064</v>
      </c>
      <c r="DS262" s="17" t="s">
        <v>150</v>
      </c>
    </row>
    <row r="263" spans="90:123" x14ac:dyDescent="0.15">
      <c r="CL263" s="13" t="str">
        <f t="shared" si="71"/>
        <v/>
      </c>
      <c r="CM263" s="13" t="str">
        <f t="shared" si="71"/>
        <v/>
      </c>
      <c r="CN263" s="13" t="str">
        <f t="shared" si="71"/>
        <v/>
      </c>
      <c r="CO263" s="13" t="str">
        <f t="shared" si="71"/>
        <v/>
      </c>
      <c r="CP263" s="13" t="str">
        <f t="shared" si="71"/>
        <v/>
      </c>
      <c r="CQ263" s="13" t="str">
        <f t="shared" si="71"/>
        <v/>
      </c>
      <c r="CR263" t="str">
        <f t="shared" si="72"/>
        <v/>
      </c>
      <c r="CS263" t="str">
        <f t="shared" si="73"/>
        <v/>
      </c>
      <c r="CT263" t="str">
        <f t="shared" si="74"/>
        <v/>
      </c>
      <c r="CU263" t="str">
        <f t="shared" si="75"/>
        <v/>
      </c>
      <c r="CV263" t="str">
        <f t="shared" si="76"/>
        <v/>
      </c>
      <c r="CW263" t="str">
        <f t="shared" si="77"/>
        <v/>
      </c>
      <c r="DR263">
        <v>5300065</v>
      </c>
      <c r="DS263" s="17" t="s">
        <v>153</v>
      </c>
    </row>
    <row r="264" spans="90:123" x14ac:dyDescent="0.15">
      <c r="CL264" s="13" t="str">
        <f t="shared" si="71"/>
        <v/>
      </c>
      <c r="CM264" s="13" t="str">
        <f t="shared" si="71"/>
        <v/>
      </c>
      <c r="CN264" s="13" t="str">
        <f t="shared" si="71"/>
        <v/>
      </c>
      <c r="CO264" s="13" t="str">
        <f t="shared" si="71"/>
        <v/>
      </c>
      <c r="CP264" s="13" t="str">
        <f t="shared" si="71"/>
        <v/>
      </c>
      <c r="CQ264" s="13" t="str">
        <f t="shared" si="71"/>
        <v/>
      </c>
      <c r="CR264" t="str">
        <f t="shared" si="72"/>
        <v/>
      </c>
      <c r="CS264" t="str">
        <f t="shared" si="73"/>
        <v/>
      </c>
      <c r="CT264" t="str">
        <f t="shared" si="74"/>
        <v/>
      </c>
      <c r="CU264" t="str">
        <f t="shared" si="75"/>
        <v/>
      </c>
      <c r="CV264" t="str">
        <f t="shared" si="76"/>
        <v/>
      </c>
      <c r="CW264" t="str">
        <f t="shared" si="77"/>
        <v/>
      </c>
      <c r="DR264">
        <v>5302065</v>
      </c>
      <c r="DS264" s="17" t="s">
        <v>156</v>
      </c>
    </row>
    <row r="265" spans="90:123" x14ac:dyDescent="0.15">
      <c r="CL265" s="13" t="str">
        <f t="shared" si="71"/>
        <v/>
      </c>
      <c r="CM265" s="13" t="str">
        <f t="shared" si="71"/>
        <v/>
      </c>
      <c r="CN265" s="13" t="str">
        <f t="shared" si="71"/>
        <v/>
      </c>
      <c r="CO265" s="13" t="str">
        <f t="shared" si="71"/>
        <v/>
      </c>
      <c r="CP265" s="13" t="str">
        <f t="shared" si="71"/>
        <v/>
      </c>
      <c r="CQ265" s="13" t="str">
        <f t="shared" si="71"/>
        <v/>
      </c>
      <c r="CR265" t="str">
        <f t="shared" si="72"/>
        <v/>
      </c>
      <c r="CS265" t="str">
        <f t="shared" si="73"/>
        <v/>
      </c>
      <c r="CT265" t="str">
        <f t="shared" si="74"/>
        <v/>
      </c>
      <c r="CU265" t="str">
        <f t="shared" si="75"/>
        <v/>
      </c>
      <c r="CV265" t="str">
        <f t="shared" si="76"/>
        <v/>
      </c>
      <c r="CW265" t="str">
        <f t="shared" si="77"/>
        <v/>
      </c>
      <c r="DR265">
        <v>5400065</v>
      </c>
      <c r="DS265" s="17" t="s">
        <v>159</v>
      </c>
    </row>
    <row r="266" spans="90:123" x14ac:dyDescent="0.15">
      <c r="CL266" s="13" t="str">
        <f t="shared" si="71"/>
        <v/>
      </c>
      <c r="CM266" s="13" t="str">
        <f t="shared" si="71"/>
        <v/>
      </c>
      <c r="CN266" s="13" t="str">
        <f t="shared" si="71"/>
        <v/>
      </c>
      <c r="CO266" s="13" t="str">
        <f t="shared" si="71"/>
        <v/>
      </c>
      <c r="CP266" s="13" t="str">
        <f t="shared" si="71"/>
        <v/>
      </c>
      <c r="CQ266" s="13" t="str">
        <f t="shared" si="71"/>
        <v/>
      </c>
      <c r="CR266" t="str">
        <f t="shared" si="72"/>
        <v/>
      </c>
      <c r="CS266" t="str">
        <f t="shared" si="73"/>
        <v/>
      </c>
      <c r="CT266" t="str">
        <f t="shared" si="74"/>
        <v/>
      </c>
      <c r="CU266" t="str">
        <f t="shared" si="75"/>
        <v/>
      </c>
      <c r="CV266" t="str">
        <f t="shared" si="76"/>
        <v/>
      </c>
      <c r="CW266" t="str">
        <f t="shared" si="77"/>
        <v/>
      </c>
      <c r="DR266">
        <v>5200071</v>
      </c>
      <c r="DS266" s="17" t="s">
        <v>62</v>
      </c>
    </row>
    <row r="267" spans="90:123" x14ac:dyDescent="0.15">
      <c r="CL267" s="13" t="str">
        <f t="shared" si="71"/>
        <v/>
      </c>
      <c r="CM267" s="13" t="str">
        <f t="shared" si="71"/>
        <v/>
      </c>
      <c r="CN267" s="13" t="str">
        <f t="shared" si="71"/>
        <v/>
      </c>
      <c r="CO267" s="13" t="str">
        <f t="shared" si="71"/>
        <v/>
      </c>
      <c r="CP267" s="13" t="str">
        <f t="shared" si="71"/>
        <v/>
      </c>
      <c r="CQ267" s="13" t="str">
        <f t="shared" si="71"/>
        <v/>
      </c>
      <c r="CR267" t="str">
        <f t="shared" si="72"/>
        <v/>
      </c>
      <c r="CS267" t="str">
        <f t="shared" si="73"/>
        <v/>
      </c>
      <c r="CT267" t="str">
        <f t="shared" si="74"/>
        <v/>
      </c>
      <c r="CU267" t="str">
        <f t="shared" si="75"/>
        <v/>
      </c>
      <c r="CV267" t="str">
        <f t="shared" si="76"/>
        <v/>
      </c>
      <c r="CW267" t="str">
        <f t="shared" si="77"/>
        <v/>
      </c>
      <c r="DR267">
        <v>5201071</v>
      </c>
      <c r="DS267" s="17" t="s">
        <v>65</v>
      </c>
    </row>
    <row r="268" spans="90:123" x14ac:dyDescent="0.15">
      <c r="CL268" s="13" t="str">
        <f t="shared" si="71"/>
        <v/>
      </c>
      <c r="CM268" s="13" t="str">
        <f t="shared" si="71"/>
        <v/>
      </c>
      <c r="CN268" s="13" t="str">
        <f t="shared" si="71"/>
        <v/>
      </c>
      <c r="CO268" s="13" t="str">
        <f t="shared" si="71"/>
        <v/>
      </c>
      <c r="CP268" s="13" t="str">
        <f t="shared" si="71"/>
        <v/>
      </c>
      <c r="CQ268" s="13" t="str">
        <f t="shared" si="71"/>
        <v/>
      </c>
      <c r="CR268" t="str">
        <f t="shared" si="72"/>
        <v/>
      </c>
      <c r="CS268" t="str">
        <f t="shared" si="73"/>
        <v/>
      </c>
      <c r="CT268" t="str">
        <f t="shared" si="74"/>
        <v/>
      </c>
      <c r="CU268" t="str">
        <f t="shared" si="75"/>
        <v/>
      </c>
      <c r="CV268" t="str">
        <f t="shared" si="76"/>
        <v/>
      </c>
      <c r="CW268" t="str">
        <f t="shared" si="77"/>
        <v/>
      </c>
      <c r="DR268">
        <v>5202071</v>
      </c>
      <c r="DS268" s="17" t="s">
        <v>68</v>
      </c>
    </row>
    <row r="269" spans="90:123" x14ac:dyDescent="0.15">
      <c r="CL269" s="13" t="str">
        <f t="shared" si="71"/>
        <v/>
      </c>
      <c r="CM269" s="13" t="str">
        <f t="shared" si="71"/>
        <v/>
      </c>
      <c r="CN269" s="13" t="str">
        <f t="shared" si="71"/>
        <v/>
      </c>
      <c r="CO269" s="13" t="str">
        <f t="shared" si="71"/>
        <v/>
      </c>
      <c r="CP269" s="13" t="str">
        <f t="shared" si="71"/>
        <v/>
      </c>
      <c r="CQ269" s="13" t="str">
        <f t="shared" si="71"/>
        <v/>
      </c>
      <c r="CR269" t="str">
        <f t="shared" si="72"/>
        <v/>
      </c>
      <c r="CS269" t="str">
        <f t="shared" si="73"/>
        <v/>
      </c>
      <c r="CT269" t="str">
        <f t="shared" si="74"/>
        <v/>
      </c>
      <c r="CU269" t="str">
        <f t="shared" si="75"/>
        <v/>
      </c>
      <c r="CV269" t="str">
        <f t="shared" si="76"/>
        <v/>
      </c>
      <c r="CW269" t="str">
        <f t="shared" si="77"/>
        <v/>
      </c>
      <c r="DR269">
        <v>5301071</v>
      </c>
      <c r="DS269" s="17" t="s">
        <v>71</v>
      </c>
    </row>
    <row r="270" spans="90:123" x14ac:dyDescent="0.15">
      <c r="CL270" s="13" t="str">
        <f t="shared" si="71"/>
        <v/>
      </c>
      <c r="CM270" s="13" t="str">
        <f t="shared" si="71"/>
        <v/>
      </c>
      <c r="CN270" s="13" t="str">
        <f t="shared" si="71"/>
        <v/>
      </c>
      <c r="CO270" s="13" t="str">
        <f t="shared" si="71"/>
        <v/>
      </c>
      <c r="CP270" s="13" t="str">
        <f t="shared" si="71"/>
        <v/>
      </c>
      <c r="CQ270" s="13" t="str">
        <f t="shared" si="71"/>
        <v/>
      </c>
      <c r="CR270" t="str">
        <f t="shared" si="72"/>
        <v/>
      </c>
      <c r="CS270" t="str">
        <f t="shared" si="73"/>
        <v/>
      </c>
      <c r="CT270" t="str">
        <f t="shared" si="74"/>
        <v/>
      </c>
      <c r="CU270" t="str">
        <f t="shared" si="75"/>
        <v/>
      </c>
      <c r="CV270" t="str">
        <f t="shared" si="76"/>
        <v/>
      </c>
      <c r="CW270" t="str">
        <f t="shared" si="77"/>
        <v/>
      </c>
      <c r="DR270">
        <v>5401071</v>
      </c>
      <c r="DS270" s="17" t="s">
        <v>73</v>
      </c>
    </row>
    <row r="271" spans="90:123" x14ac:dyDescent="0.15">
      <c r="CL271" s="13" t="str">
        <f t="shared" si="71"/>
        <v/>
      </c>
      <c r="CM271" s="13" t="str">
        <f t="shared" si="71"/>
        <v/>
      </c>
      <c r="CN271" s="13" t="str">
        <f t="shared" si="71"/>
        <v/>
      </c>
      <c r="CO271" s="13" t="str">
        <f t="shared" si="71"/>
        <v/>
      </c>
      <c r="CP271" s="13" t="str">
        <f t="shared" si="71"/>
        <v/>
      </c>
      <c r="CQ271" s="13" t="str">
        <f t="shared" si="71"/>
        <v/>
      </c>
      <c r="CR271" t="str">
        <f t="shared" si="72"/>
        <v/>
      </c>
      <c r="CS271" t="str">
        <f t="shared" si="73"/>
        <v/>
      </c>
      <c r="CT271" t="str">
        <f t="shared" si="74"/>
        <v/>
      </c>
      <c r="CU271" t="str">
        <f t="shared" si="75"/>
        <v/>
      </c>
      <c r="CV271" t="str">
        <f t="shared" si="76"/>
        <v/>
      </c>
      <c r="CW271" t="str">
        <f t="shared" si="77"/>
        <v/>
      </c>
      <c r="DR271">
        <v>5402071</v>
      </c>
      <c r="DS271" s="17" t="s">
        <v>76</v>
      </c>
    </row>
    <row r="272" spans="90:123" x14ac:dyDescent="0.15">
      <c r="CL272" s="13" t="str">
        <f t="shared" si="71"/>
        <v/>
      </c>
      <c r="CM272" s="13" t="str">
        <f t="shared" si="71"/>
        <v/>
      </c>
      <c r="CN272" s="13" t="str">
        <f t="shared" si="71"/>
        <v/>
      </c>
      <c r="CO272" s="13" t="str">
        <f t="shared" si="71"/>
        <v/>
      </c>
      <c r="CP272" s="13" t="str">
        <f t="shared" si="71"/>
        <v/>
      </c>
      <c r="CQ272" s="13" t="str">
        <f t="shared" si="71"/>
        <v/>
      </c>
      <c r="CR272" t="str">
        <f t="shared" si="72"/>
        <v/>
      </c>
      <c r="CS272" t="str">
        <f t="shared" si="73"/>
        <v/>
      </c>
      <c r="CT272" t="str">
        <f t="shared" si="74"/>
        <v/>
      </c>
      <c r="CU272" t="str">
        <f t="shared" si="75"/>
        <v/>
      </c>
      <c r="CV272" t="str">
        <f t="shared" si="76"/>
        <v/>
      </c>
      <c r="CW272" t="str">
        <f t="shared" si="77"/>
        <v/>
      </c>
      <c r="DR272">
        <v>5500071</v>
      </c>
      <c r="DS272" s="17" t="s">
        <v>79</v>
      </c>
    </row>
    <row r="273" spans="90:123" x14ac:dyDescent="0.15">
      <c r="CL273" s="13" t="str">
        <f t="shared" si="71"/>
        <v/>
      </c>
      <c r="CM273" s="13" t="str">
        <f t="shared" si="71"/>
        <v/>
      </c>
      <c r="CN273" s="13" t="str">
        <f t="shared" si="71"/>
        <v/>
      </c>
      <c r="CO273" s="13" t="str">
        <f t="shared" si="71"/>
        <v/>
      </c>
      <c r="CP273" s="13" t="str">
        <f t="shared" si="71"/>
        <v/>
      </c>
      <c r="CQ273" s="13" t="str">
        <f t="shared" si="71"/>
        <v/>
      </c>
      <c r="CR273" t="str">
        <f t="shared" si="72"/>
        <v/>
      </c>
      <c r="CS273" t="str">
        <f t="shared" si="73"/>
        <v/>
      </c>
      <c r="CT273" t="str">
        <f t="shared" si="74"/>
        <v/>
      </c>
      <c r="CU273" t="str">
        <f t="shared" si="75"/>
        <v/>
      </c>
      <c r="CV273" t="str">
        <f t="shared" si="76"/>
        <v/>
      </c>
      <c r="CW273" t="str">
        <f t="shared" si="77"/>
        <v/>
      </c>
      <c r="DR273">
        <v>5502071</v>
      </c>
      <c r="DS273" s="17" t="s">
        <v>81</v>
      </c>
    </row>
    <row r="274" spans="90:123" x14ac:dyDescent="0.15">
      <c r="CL274" s="13" t="str">
        <f t="shared" si="71"/>
        <v/>
      </c>
      <c r="CM274" s="13" t="str">
        <f t="shared" si="71"/>
        <v/>
      </c>
      <c r="CN274" s="13" t="str">
        <f t="shared" si="71"/>
        <v/>
      </c>
      <c r="CO274" s="13" t="str">
        <f t="shared" si="71"/>
        <v/>
      </c>
      <c r="CP274" s="13" t="str">
        <f t="shared" si="71"/>
        <v/>
      </c>
      <c r="CQ274" s="13" t="str">
        <f t="shared" si="71"/>
        <v/>
      </c>
      <c r="CR274" t="str">
        <f t="shared" si="72"/>
        <v/>
      </c>
      <c r="CS274" t="str">
        <f t="shared" si="73"/>
        <v/>
      </c>
      <c r="CT274" t="str">
        <f t="shared" si="74"/>
        <v/>
      </c>
      <c r="CU274" t="str">
        <f t="shared" si="75"/>
        <v/>
      </c>
      <c r="CV274" t="str">
        <f t="shared" si="76"/>
        <v/>
      </c>
      <c r="CW274" t="str">
        <f t="shared" si="77"/>
        <v/>
      </c>
      <c r="DR274">
        <v>5601071</v>
      </c>
      <c r="DS274" s="17" t="s">
        <v>84</v>
      </c>
    </row>
    <row r="275" spans="90:123" x14ac:dyDescent="0.15">
      <c r="CL275" s="13" t="str">
        <f t="shared" si="71"/>
        <v/>
      </c>
      <c r="CM275" s="13" t="str">
        <f t="shared" si="71"/>
        <v/>
      </c>
      <c r="CN275" s="13" t="str">
        <f t="shared" si="71"/>
        <v/>
      </c>
      <c r="CO275" s="13" t="str">
        <f t="shared" si="71"/>
        <v/>
      </c>
      <c r="CP275" s="13" t="str">
        <f t="shared" si="71"/>
        <v/>
      </c>
      <c r="CQ275" s="13" t="str">
        <f t="shared" si="71"/>
        <v/>
      </c>
      <c r="CR275" t="str">
        <f t="shared" si="72"/>
        <v/>
      </c>
      <c r="CS275" t="str">
        <f t="shared" si="73"/>
        <v/>
      </c>
      <c r="CT275" t="str">
        <f t="shared" si="74"/>
        <v/>
      </c>
      <c r="CU275" t="str">
        <f t="shared" si="75"/>
        <v/>
      </c>
      <c r="CV275" t="str">
        <f t="shared" si="76"/>
        <v/>
      </c>
      <c r="CW275" t="str">
        <f t="shared" si="77"/>
        <v/>
      </c>
      <c r="DR275">
        <v>5200072</v>
      </c>
      <c r="DS275" s="17" t="s">
        <v>88</v>
      </c>
    </row>
    <row r="276" spans="90:123" x14ac:dyDescent="0.15">
      <c r="CL276" s="13" t="str">
        <f t="shared" si="71"/>
        <v/>
      </c>
      <c r="CM276" s="13" t="str">
        <f t="shared" si="71"/>
        <v/>
      </c>
      <c r="CN276" s="13" t="str">
        <f t="shared" si="71"/>
        <v/>
      </c>
      <c r="CO276" s="13" t="str">
        <f t="shared" si="71"/>
        <v/>
      </c>
      <c r="CP276" s="13" t="str">
        <f t="shared" si="71"/>
        <v/>
      </c>
      <c r="CQ276" s="13" t="str">
        <f t="shared" si="71"/>
        <v/>
      </c>
      <c r="CR276" t="str">
        <f t="shared" si="72"/>
        <v/>
      </c>
      <c r="CS276" t="str">
        <f t="shared" si="73"/>
        <v/>
      </c>
      <c r="CT276" t="str">
        <f t="shared" si="74"/>
        <v/>
      </c>
      <c r="CU276" t="str">
        <f t="shared" si="75"/>
        <v/>
      </c>
      <c r="CV276" t="str">
        <f t="shared" si="76"/>
        <v/>
      </c>
      <c r="CW276" t="str">
        <f t="shared" si="77"/>
        <v/>
      </c>
      <c r="DR276">
        <v>5201072</v>
      </c>
      <c r="DS276" s="17" t="s">
        <v>92</v>
      </c>
    </row>
    <row r="277" spans="90:123" x14ac:dyDescent="0.15">
      <c r="CL277" s="13" t="str">
        <f t="shared" si="71"/>
        <v/>
      </c>
      <c r="CM277" s="13" t="str">
        <f t="shared" si="71"/>
        <v/>
      </c>
      <c r="CN277" s="13" t="str">
        <f t="shared" si="71"/>
        <v/>
      </c>
      <c r="CO277" s="13" t="str">
        <f t="shared" si="71"/>
        <v/>
      </c>
      <c r="CP277" s="13" t="str">
        <f t="shared" si="71"/>
        <v/>
      </c>
      <c r="CQ277" s="13" t="str">
        <f t="shared" si="71"/>
        <v/>
      </c>
      <c r="CR277" t="str">
        <f t="shared" si="72"/>
        <v/>
      </c>
      <c r="CS277" t="str">
        <f t="shared" si="73"/>
        <v/>
      </c>
      <c r="CT277" t="str">
        <f t="shared" si="74"/>
        <v/>
      </c>
      <c r="CU277" t="str">
        <f t="shared" si="75"/>
        <v/>
      </c>
      <c r="CV277" t="str">
        <f t="shared" si="76"/>
        <v/>
      </c>
      <c r="CW277" t="str">
        <f t="shared" si="77"/>
        <v/>
      </c>
      <c r="DR277">
        <v>5202072</v>
      </c>
      <c r="DS277" s="17" t="s">
        <v>95</v>
      </c>
    </row>
    <row r="278" spans="90:123" x14ac:dyDescent="0.15">
      <c r="CL278" s="13" t="str">
        <f t="shared" si="71"/>
        <v/>
      </c>
      <c r="CM278" s="13" t="str">
        <f t="shared" si="71"/>
        <v/>
      </c>
      <c r="CN278" s="13" t="str">
        <f t="shared" si="71"/>
        <v/>
      </c>
      <c r="CO278" s="13" t="str">
        <f t="shared" si="71"/>
        <v/>
      </c>
      <c r="CP278" s="13" t="str">
        <f t="shared" si="71"/>
        <v/>
      </c>
      <c r="CQ278" s="13" t="str">
        <f t="shared" si="71"/>
        <v/>
      </c>
      <c r="CR278" t="str">
        <f t="shared" si="72"/>
        <v/>
      </c>
      <c r="CS278" t="str">
        <f t="shared" si="73"/>
        <v/>
      </c>
      <c r="CT278" t="str">
        <f t="shared" si="74"/>
        <v/>
      </c>
      <c r="CU278" t="str">
        <f t="shared" si="75"/>
        <v/>
      </c>
      <c r="CV278" t="str">
        <f t="shared" si="76"/>
        <v/>
      </c>
      <c r="CW278" t="str">
        <f t="shared" si="77"/>
        <v/>
      </c>
      <c r="DR278">
        <v>5301072</v>
      </c>
      <c r="DS278" s="17" t="s">
        <v>98</v>
      </c>
    </row>
    <row r="279" spans="90:123" x14ac:dyDescent="0.15">
      <c r="CL279" s="13" t="str">
        <f t="shared" si="71"/>
        <v/>
      </c>
      <c r="CM279" s="13" t="str">
        <f t="shared" si="71"/>
        <v/>
      </c>
      <c r="CN279" s="13" t="str">
        <f t="shared" si="71"/>
        <v/>
      </c>
      <c r="CO279" s="13" t="str">
        <f t="shared" si="71"/>
        <v/>
      </c>
      <c r="CP279" s="13" t="str">
        <f t="shared" si="71"/>
        <v/>
      </c>
      <c r="CQ279" s="13" t="str">
        <f t="shared" si="71"/>
        <v/>
      </c>
      <c r="CR279" t="str">
        <f t="shared" si="72"/>
        <v/>
      </c>
      <c r="CS279" t="str">
        <f t="shared" si="73"/>
        <v/>
      </c>
      <c r="CT279" t="str">
        <f t="shared" si="74"/>
        <v/>
      </c>
      <c r="CU279" t="str">
        <f t="shared" si="75"/>
        <v/>
      </c>
      <c r="CV279" t="str">
        <f t="shared" si="76"/>
        <v/>
      </c>
      <c r="CW279" t="str">
        <f t="shared" si="77"/>
        <v/>
      </c>
      <c r="DR279">
        <v>5401072</v>
      </c>
      <c r="DS279" s="17" t="s">
        <v>101</v>
      </c>
    </row>
    <row r="280" spans="90:123" x14ac:dyDescent="0.15">
      <c r="CL280" s="13" t="str">
        <f t="shared" si="71"/>
        <v/>
      </c>
      <c r="CM280" s="13" t="str">
        <f t="shared" si="71"/>
        <v/>
      </c>
      <c r="CN280" s="13" t="str">
        <f t="shared" si="71"/>
        <v/>
      </c>
      <c r="CO280" s="13" t="str">
        <f t="shared" si="71"/>
        <v/>
      </c>
      <c r="CP280" s="13" t="str">
        <f t="shared" si="71"/>
        <v/>
      </c>
      <c r="CQ280" s="13" t="str">
        <f t="shared" si="71"/>
        <v/>
      </c>
      <c r="CR280" t="str">
        <f t="shared" si="72"/>
        <v/>
      </c>
      <c r="CS280" t="str">
        <f t="shared" si="73"/>
        <v/>
      </c>
      <c r="CT280" t="str">
        <f t="shared" si="74"/>
        <v/>
      </c>
      <c r="CU280" t="str">
        <f t="shared" si="75"/>
        <v/>
      </c>
      <c r="CV280" t="str">
        <f t="shared" si="76"/>
        <v/>
      </c>
      <c r="CW280" t="str">
        <f t="shared" si="77"/>
        <v/>
      </c>
      <c r="DR280">
        <v>5402072</v>
      </c>
      <c r="DS280" s="17" t="s">
        <v>103</v>
      </c>
    </row>
    <row r="281" spans="90:123" x14ac:dyDescent="0.15">
      <c r="CL281" s="13" t="str">
        <f t="shared" si="71"/>
        <v/>
      </c>
      <c r="CM281" s="13" t="str">
        <f t="shared" si="71"/>
        <v/>
      </c>
      <c r="CN281" s="13" t="str">
        <f t="shared" si="71"/>
        <v/>
      </c>
      <c r="CO281" s="13" t="str">
        <f t="shared" si="71"/>
        <v/>
      </c>
      <c r="CP281" s="13" t="str">
        <f t="shared" si="71"/>
        <v/>
      </c>
      <c r="CQ281" s="13" t="str">
        <f t="shared" si="71"/>
        <v/>
      </c>
      <c r="CR281" t="str">
        <f t="shared" si="72"/>
        <v/>
      </c>
      <c r="CS281" t="str">
        <f t="shared" si="73"/>
        <v/>
      </c>
      <c r="CT281" t="str">
        <f t="shared" si="74"/>
        <v/>
      </c>
      <c r="CU281" t="str">
        <f t="shared" si="75"/>
        <v/>
      </c>
      <c r="CV281" t="str">
        <f t="shared" si="76"/>
        <v/>
      </c>
      <c r="CW281" t="str">
        <f t="shared" si="77"/>
        <v/>
      </c>
      <c r="DR281">
        <v>5500072</v>
      </c>
      <c r="DS281" s="17" t="s">
        <v>107</v>
      </c>
    </row>
    <row r="282" spans="90:123" x14ac:dyDescent="0.15">
      <c r="CL282" s="13" t="str">
        <f t="shared" si="71"/>
        <v/>
      </c>
      <c r="CM282" s="13" t="str">
        <f t="shared" si="71"/>
        <v/>
      </c>
      <c r="CN282" s="13" t="str">
        <f t="shared" si="71"/>
        <v/>
      </c>
      <c r="CO282" s="13" t="str">
        <f t="shared" si="71"/>
        <v/>
      </c>
      <c r="CP282" s="13" t="str">
        <f t="shared" si="71"/>
        <v/>
      </c>
      <c r="CQ282" s="13" t="str">
        <f t="shared" si="71"/>
        <v/>
      </c>
      <c r="CR282" t="str">
        <f t="shared" si="72"/>
        <v/>
      </c>
      <c r="CS282" t="str">
        <f t="shared" si="73"/>
        <v/>
      </c>
      <c r="CT282" t="str">
        <f t="shared" si="74"/>
        <v/>
      </c>
      <c r="CU282" t="str">
        <f t="shared" si="75"/>
        <v/>
      </c>
      <c r="CV282" t="str">
        <f t="shared" si="76"/>
        <v/>
      </c>
      <c r="CW282" t="str">
        <f t="shared" si="77"/>
        <v/>
      </c>
      <c r="DR282">
        <v>5502072</v>
      </c>
      <c r="DS282" s="17" t="s">
        <v>111</v>
      </c>
    </row>
    <row r="283" spans="90:123" x14ac:dyDescent="0.15">
      <c r="CL283" s="13" t="str">
        <f t="shared" si="71"/>
        <v/>
      </c>
      <c r="CM283" s="13" t="str">
        <f t="shared" si="71"/>
        <v/>
      </c>
      <c r="CN283" s="13" t="str">
        <f t="shared" si="71"/>
        <v/>
      </c>
      <c r="CO283" s="13" t="str">
        <f t="shared" si="71"/>
        <v/>
      </c>
      <c r="CP283" s="13" t="str">
        <f t="shared" si="71"/>
        <v/>
      </c>
      <c r="CQ283" s="13" t="str">
        <f t="shared" si="71"/>
        <v/>
      </c>
      <c r="CR283" t="str">
        <f t="shared" si="72"/>
        <v/>
      </c>
      <c r="CS283" t="str">
        <f t="shared" si="73"/>
        <v/>
      </c>
      <c r="CT283" t="str">
        <f t="shared" si="74"/>
        <v/>
      </c>
      <c r="CU283" t="str">
        <f t="shared" si="75"/>
        <v/>
      </c>
      <c r="CV283" t="str">
        <f t="shared" si="76"/>
        <v/>
      </c>
      <c r="CW283" t="str">
        <f t="shared" si="77"/>
        <v/>
      </c>
      <c r="DR283">
        <v>5601072</v>
      </c>
      <c r="DS283" s="17" t="s">
        <v>114</v>
      </c>
    </row>
    <row r="284" spans="90:123" x14ac:dyDescent="0.15">
      <c r="CL284" s="13" t="str">
        <f t="shared" si="71"/>
        <v/>
      </c>
      <c r="CM284" s="13" t="str">
        <f t="shared" si="71"/>
        <v/>
      </c>
      <c r="CN284" s="13" t="str">
        <f t="shared" si="71"/>
        <v/>
      </c>
      <c r="CO284" s="13" t="str">
        <f t="shared" si="71"/>
        <v/>
      </c>
      <c r="CP284" s="13" t="str">
        <f t="shared" si="71"/>
        <v/>
      </c>
      <c r="CQ284" s="13" t="str">
        <f t="shared" si="71"/>
        <v/>
      </c>
      <c r="CR284" t="str">
        <f t="shared" si="72"/>
        <v/>
      </c>
      <c r="CS284" t="str">
        <f t="shared" si="73"/>
        <v/>
      </c>
      <c r="CT284" t="str">
        <f t="shared" si="74"/>
        <v/>
      </c>
      <c r="CU284" t="str">
        <f t="shared" si="75"/>
        <v/>
      </c>
      <c r="CV284" t="str">
        <f t="shared" si="76"/>
        <v/>
      </c>
      <c r="CW284" t="str">
        <f t="shared" si="77"/>
        <v/>
      </c>
      <c r="DR284">
        <v>5200073</v>
      </c>
      <c r="DS284" s="17" t="s">
        <v>118</v>
      </c>
    </row>
    <row r="285" spans="90:123" x14ac:dyDescent="0.15">
      <c r="CL285" s="13" t="str">
        <f t="shared" si="71"/>
        <v/>
      </c>
      <c r="CM285" s="13" t="str">
        <f t="shared" si="71"/>
        <v/>
      </c>
      <c r="CN285" s="13" t="str">
        <f t="shared" si="71"/>
        <v/>
      </c>
      <c r="CO285" s="13" t="str">
        <f t="shared" si="71"/>
        <v/>
      </c>
      <c r="CP285" s="13" t="str">
        <f t="shared" si="71"/>
        <v/>
      </c>
      <c r="CQ285" s="13" t="str">
        <f t="shared" si="71"/>
        <v/>
      </c>
      <c r="CR285" t="str">
        <f t="shared" si="72"/>
        <v/>
      </c>
      <c r="CS285" t="str">
        <f t="shared" si="73"/>
        <v/>
      </c>
      <c r="CT285" t="str">
        <f t="shared" si="74"/>
        <v/>
      </c>
      <c r="CU285" t="str">
        <f t="shared" si="75"/>
        <v/>
      </c>
      <c r="CV285" t="str">
        <f t="shared" si="76"/>
        <v/>
      </c>
      <c r="CW285" t="str">
        <f t="shared" si="77"/>
        <v/>
      </c>
      <c r="DR285">
        <v>5201073</v>
      </c>
      <c r="DS285" s="17" t="s">
        <v>121</v>
      </c>
    </row>
    <row r="286" spans="90:123" x14ac:dyDescent="0.15">
      <c r="CL286" s="13" t="str">
        <f t="shared" si="71"/>
        <v/>
      </c>
      <c r="CM286" s="13" t="str">
        <f t="shared" si="71"/>
        <v/>
      </c>
      <c r="CN286" s="13" t="str">
        <f t="shared" si="71"/>
        <v/>
      </c>
      <c r="CO286" s="13" t="str">
        <f t="shared" si="71"/>
        <v/>
      </c>
      <c r="CP286" s="13" t="str">
        <f t="shared" si="71"/>
        <v/>
      </c>
      <c r="CQ286" s="13" t="str">
        <f t="shared" si="71"/>
        <v/>
      </c>
      <c r="CR286" t="str">
        <f t="shared" si="72"/>
        <v/>
      </c>
      <c r="CS286" t="str">
        <f t="shared" si="73"/>
        <v/>
      </c>
      <c r="CT286" t="str">
        <f t="shared" si="74"/>
        <v/>
      </c>
      <c r="CU286" t="str">
        <f t="shared" si="75"/>
        <v/>
      </c>
      <c r="CV286" t="str">
        <f t="shared" si="76"/>
        <v/>
      </c>
      <c r="CW286" t="str">
        <f t="shared" si="77"/>
        <v/>
      </c>
      <c r="DR286">
        <v>5202073</v>
      </c>
      <c r="DS286" s="17" t="s">
        <v>124</v>
      </c>
    </row>
    <row r="287" spans="90:123" x14ac:dyDescent="0.15">
      <c r="CL287" s="13" t="str">
        <f t="shared" si="71"/>
        <v/>
      </c>
      <c r="CM287" s="13" t="str">
        <f t="shared" si="71"/>
        <v/>
      </c>
      <c r="CN287" s="13" t="str">
        <f t="shared" si="71"/>
        <v/>
      </c>
      <c r="CO287" s="13" t="str">
        <f t="shared" si="71"/>
        <v/>
      </c>
      <c r="CP287" s="13" t="str">
        <f t="shared" si="71"/>
        <v/>
      </c>
      <c r="CQ287" s="13" t="str">
        <f t="shared" si="71"/>
        <v/>
      </c>
      <c r="CR287" t="str">
        <f t="shared" si="72"/>
        <v/>
      </c>
      <c r="CS287" t="str">
        <f t="shared" si="73"/>
        <v/>
      </c>
      <c r="CT287" t="str">
        <f t="shared" si="74"/>
        <v/>
      </c>
      <c r="CU287" t="str">
        <f t="shared" si="75"/>
        <v/>
      </c>
      <c r="CV287" t="str">
        <f t="shared" si="76"/>
        <v/>
      </c>
      <c r="CW287" t="str">
        <f t="shared" si="77"/>
        <v/>
      </c>
      <c r="DR287">
        <v>5301073</v>
      </c>
      <c r="DS287" s="17" t="s">
        <v>126</v>
      </c>
    </row>
    <row r="288" spans="90:123" x14ac:dyDescent="0.15">
      <c r="CL288" s="13" t="str">
        <f t="shared" si="71"/>
        <v/>
      </c>
      <c r="CM288" s="13" t="str">
        <f t="shared" si="71"/>
        <v/>
      </c>
      <c r="CN288" s="13" t="str">
        <f t="shared" si="71"/>
        <v/>
      </c>
      <c r="CO288" s="13" t="str">
        <f t="shared" si="71"/>
        <v/>
      </c>
      <c r="CP288" s="13" t="str">
        <f t="shared" si="71"/>
        <v/>
      </c>
      <c r="CQ288" s="13" t="str">
        <f t="shared" si="71"/>
        <v/>
      </c>
      <c r="CR288" t="str">
        <f t="shared" si="72"/>
        <v/>
      </c>
      <c r="CS288" t="str">
        <f t="shared" si="73"/>
        <v/>
      </c>
      <c r="CT288" t="str">
        <f t="shared" si="74"/>
        <v/>
      </c>
      <c r="CU288" t="str">
        <f t="shared" si="75"/>
        <v/>
      </c>
      <c r="CV288" t="str">
        <f t="shared" si="76"/>
        <v/>
      </c>
      <c r="CW288" t="str">
        <f t="shared" si="77"/>
        <v/>
      </c>
      <c r="DR288">
        <v>5401073</v>
      </c>
      <c r="DS288" s="17" t="s">
        <v>130</v>
      </c>
    </row>
    <row r="289" spans="90:123" x14ac:dyDescent="0.15">
      <c r="CL289" s="13" t="str">
        <f t="shared" si="71"/>
        <v/>
      </c>
      <c r="CM289" s="13" t="str">
        <f t="shared" si="71"/>
        <v/>
      </c>
      <c r="CN289" s="13" t="str">
        <f t="shared" si="71"/>
        <v/>
      </c>
      <c r="CO289" s="13" t="str">
        <f t="shared" si="71"/>
        <v/>
      </c>
      <c r="CP289" s="13" t="str">
        <f t="shared" si="71"/>
        <v/>
      </c>
      <c r="CQ289" s="13" t="str">
        <f t="shared" si="71"/>
        <v/>
      </c>
      <c r="CR289" t="str">
        <f t="shared" si="72"/>
        <v/>
      </c>
      <c r="CS289" t="str">
        <f t="shared" si="73"/>
        <v/>
      </c>
      <c r="CT289" t="str">
        <f t="shared" si="74"/>
        <v/>
      </c>
      <c r="CU289" t="str">
        <f t="shared" si="75"/>
        <v/>
      </c>
      <c r="CV289" t="str">
        <f t="shared" si="76"/>
        <v/>
      </c>
      <c r="CW289" t="str">
        <f t="shared" si="77"/>
        <v/>
      </c>
      <c r="DR289">
        <v>5402073</v>
      </c>
      <c r="DS289" s="17" t="s">
        <v>135</v>
      </c>
    </row>
    <row r="290" spans="90:123" x14ac:dyDescent="0.15">
      <c r="CL290" s="13" t="str">
        <f t="shared" si="71"/>
        <v/>
      </c>
      <c r="CM290" s="13" t="str">
        <f t="shared" si="71"/>
        <v/>
      </c>
      <c r="CN290" s="13" t="str">
        <f t="shared" si="71"/>
        <v/>
      </c>
      <c r="CO290" s="13" t="str">
        <f t="shared" si="71"/>
        <v/>
      </c>
      <c r="CP290" s="13" t="str">
        <f t="shared" si="71"/>
        <v/>
      </c>
      <c r="CQ290" s="13" t="str">
        <f t="shared" si="71"/>
        <v/>
      </c>
      <c r="CR290" t="str">
        <f t="shared" si="72"/>
        <v/>
      </c>
      <c r="CS290" t="str">
        <f t="shared" si="73"/>
        <v/>
      </c>
      <c r="CT290" t="str">
        <f t="shared" si="74"/>
        <v/>
      </c>
      <c r="CU290" t="str">
        <f t="shared" si="75"/>
        <v/>
      </c>
      <c r="CV290" t="str">
        <f t="shared" si="76"/>
        <v/>
      </c>
      <c r="CW290" t="str">
        <f t="shared" si="77"/>
        <v/>
      </c>
      <c r="DR290">
        <v>5500073</v>
      </c>
      <c r="DS290" s="17" t="s">
        <v>139</v>
      </c>
    </row>
    <row r="291" spans="90:123" x14ac:dyDescent="0.15">
      <c r="CL291" s="13" t="str">
        <f t="shared" si="71"/>
        <v/>
      </c>
      <c r="CM291" s="13" t="str">
        <f t="shared" si="71"/>
        <v/>
      </c>
      <c r="CN291" s="13" t="str">
        <f t="shared" si="71"/>
        <v/>
      </c>
      <c r="CO291" s="13" t="str">
        <f t="shared" si="71"/>
        <v/>
      </c>
      <c r="CP291" s="13" t="str">
        <f t="shared" si="71"/>
        <v/>
      </c>
      <c r="CQ291" s="13" t="str">
        <f t="shared" si="71"/>
        <v/>
      </c>
      <c r="CR291" t="str">
        <f t="shared" si="72"/>
        <v/>
      </c>
      <c r="CS291" t="str">
        <f t="shared" si="73"/>
        <v/>
      </c>
      <c r="CT291" t="str">
        <f t="shared" si="74"/>
        <v/>
      </c>
      <c r="CU291" t="str">
        <f t="shared" si="75"/>
        <v/>
      </c>
      <c r="CV291" t="str">
        <f t="shared" si="76"/>
        <v/>
      </c>
      <c r="CW291" t="str">
        <f t="shared" si="77"/>
        <v/>
      </c>
      <c r="DR291">
        <v>5502073</v>
      </c>
      <c r="DS291" s="17" t="s">
        <v>141</v>
      </c>
    </row>
    <row r="292" spans="90:123" x14ac:dyDescent="0.15">
      <c r="CL292" s="13" t="str">
        <f t="shared" si="71"/>
        <v/>
      </c>
      <c r="CM292" s="13" t="str">
        <f t="shared" si="71"/>
        <v/>
      </c>
      <c r="CN292" s="13" t="str">
        <f t="shared" si="71"/>
        <v/>
      </c>
      <c r="CO292" s="13" t="str">
        <f t="shared" si="71"/>
        <v/>
      </c>
      <c r="CP292" s="13" t="str">
        <f t="shared" si="71"/>
        <v/>
      </c>
      <c r="CQ292" s="13" t="str">
        <f t="shared" si="71"/>
        <v/>
      </c>
      <c r="CR292" t="str">
        <f t="shared" si="72"/>
        <v/>
      </c>
      <c r="CS292" t="str">
        <f t="shared" si="73"/>
        <v/>
      </c>
      <c r="CT292" t="str">
        <f t="shared" si="74"/>
        <v/>
      </c>
      <c r="CU292" t="str">
        <f t="shared" si="75"/>
        <v/>
      </c>
      <c r="CV292" t="str">
        <f t="shared" si="76"/>
        <v/>
      </c>
      <c r="CW292" t="str">
        <f t="shared" si="77"/>
        <v/>
      </c>
      <c r="DR292">
        <v>5601073</v>
      </c>
      <c r="DS292" s="17" t="s">
        <v>143</v>
      </c>
    </row>
    <row r="293" spans="90:123" x14ac:dyDescent="0.15">
      <c r="CL293" s="13" t="str">
        <f t="shared" si="71"/>
        <v/>
      </c>
      <c r="CM293" s="13" t="str">
        <f t="shared" si="71"/>
        <v/>
      </c>
      <c r="CN293" s="13" t="str">
        <f t="shared" si="71"/>
        <v/>
      </c>
      <c r="CO293" s="13" t="str">
        <f t="shared" si="71"/>
        <v/>
      </c>
      <c r="CP293" s="13" t="str">
        <f t="shared" si="71"/>
        <v/>
      </c>
      <c r="CQ293" s="13" t="str">
        <f t="shared" si="71"/>
        <v/>
      </c>
      <c r="CR293" t="str">
        <f t="shared" si="72"/>
        <v/>
      </c>
      <c r="CS293" t="str">
        <f t="shared" si="73"/>
        <v/>
      </c>
      <c r="CT293" t="str">
        <f t="shared" si="74"/>
        <v/>
      </c>
      <c r="CU293" t="str">
        <f t="shared" si="75"/>
        <v/>
      </c>
      <c r="CV293" t="str">
        <f t="shared" si="76"/>
        <v/>
      </c>
      <c r="CW293" t="str">
        <f t="shared" si="77"/>
        <v/>
      </c>
      <c r="DR293">
        <v>5501074</v>
      </c>
      <c r="DS293" s="17" t="s">
        <v>145</v>
      </c>
    </row>
    <row r="294" spans="90:123" x14ac:dyDescent="0.15">
      <c r="CL294" s="13" t="str">
        <f t="shared" si="71"/>
        <v/>
      </c>
      <c r="CM294" s="13" t="str">
        <f t="shared" si="71"/>
        <v/>
      </c>
      <c r="CN294" s="13" t="str">
        <f t="shared" si="71"/>
        <v/>
      </c>
      <c r="CO294" s="13" t="str">
        <f t="shared" si="71"/>
        <v/>
      </c>
      <c r="CP294" s="13" t="str">
        <f t="shared" si="71"/>
        <v/>
      </c>
      <c r="CQ294" s="13" t="str">
        <f t="shared" si="71"/>
        <v/>
      </c>
      <c r="CR294" t="str">
        <f t="shared" si="72"/>
        <v/>
      </c>
      <c r="CS294" t="str">
        <f t="shared" si="73"/>
        <v/>
      </c>
      <c r="CT294" t="str">
        <f t="shared" si="74"/>
        <v/>
      </c>
      <c r="CU294" t="str">
        <f t="shared" si="75"/>
        <v/>
      </c>
      <c r="CV294" t="str">
        <f t="shared" si="76"/>
        <v/>
      </c>
      <c r="CW294" t="str">
        <f t="shared" si="77"/>
        <v/>
      </c>
      <c r="DR294">
        <v>5600074</v>
      </c>
      <c r="DS294" s="17" t="s">
        <v>148</v>
      </c>
    </row>
    <row r="295" spans="90:123" x14ac:dyDescent="0.15">
      <c r="CL295" s="13" t="str">
        <f t="shared" si="71"/>
        <v/>
      </c>
      <c r="CM295" s="13" t="str">
        <f t="shared" si="71"/>
        <v/>
      </c>
      <c r="CN295" s="13" t="str">
        <f t="shared" si="71"/>
        <v/>
      </c>
      <c r="CO295" s="13" t="str">
        <f t="shared" si="71"/>
        <v/>
      </c>
      <c r="CP295" s="13" t="str">
        <f t="shared" si="71"/>
        <v/>
      </c>
      <c r="CQ295" s="13" t="str">
        <f t="shared" si="71"/>
        <v/>
      </c>
      <c r="CR295" t="str">
        <f t="shared" si="72"/>
        <v/>
      </c>
      <c r="CS295" t="str">
        <f t="shared" si="73"/>
        <v/>
      </c>
      <c r="CT295" t="str">
        <f t="shared" si="74"/>
        <v/>
      </c>
      <c r="CU295" t="str">
        <f t="shared" si="75"/>
        <v/>
      </c>
      <c r="CV295" t="str">
        <f t="shared" si="76"/>
        <v/>
      </c>
      <c r="CW295" t="str">
        <f t="shared" si="77"/>
        <v/>
      </c>
      <c r="DR295">
        <v>5602074</v>
      </c>
      <c r="DS295" s="17" t="s">
        <v>150</v>
      </c>
    </row>
    <row r="296" spans="90:123" x14ac:dyDescent="0.15">
      <c r="CL296" s="13" t="str">
        <f t="shared" si="71"/>
        <v/>
      </c>
      <c r="CM296" s="13" t="str">
        <f t="shared" si="71"/>
        <v/>
      </c>
      <c r="CN296" s="13" t="str">
        <f t="shared" si="71"/>
        <v/>
      </c>
      <c r="CO296" s="13" t="str">
        <f t="shared" si="71"/>
        <v/>
      </c>
      <c r="CP296" s="13" t="str">
        <f t="shared" si="71"/>
        <v/>
      </c>
      <c r="CQ296" s="13" t="str">
        <f t="shared" si="71"/>
        <v/>
      </c>
      <c r="CR296" t="str">
        <f t="shared" si="72"/>
        <v/>
      </c>
      <c r="CS296" t="str">
        <f t="shared" si="73"/>
        <v/>
      </c>
      <c r="CT296" t="str">
        <f t="shared" si="74"/>
        <v/>
      </c>
      <c r="CU296" t="str">
        <f t="shared" si="75"/>
        <v/>
      </c>
      <c r="CV296" t="str">
        <f t="shared" si="76"/>
        <v/>
      </c>
      <c r="CW296" t="str">
        <f t="shared" si="77"/>
        <v/>
      </c>
      <c r="DR296">
        <v>5300075</v>
      </c>
      <c r="DS296" s="17" t="s">
        <v>153</v>
      </c>
    </row>
    <row r="297" spans="90:123" x14ac:dyDescent="0.15">
      <c r="CL297" s="13" t="str">
        <f t="shared" si="71"/>
        <v/>
      </c>
      <c r="CM297" s="13" t="str">
        <f t="shared" si="71"/>
        <v/>
      </c>
      <c r="CN297" s="13" t="str">
        <f t="shared" si="71"/>
        <v/>
      </c>
      <c r="CO297" s="13" t="str">
        <f t="shared" si="71"/>
        <v/>
      </c>
      <c r="CP297" s="13" t="str">
        <f t="shared" si="71"/>
        <v/>
      </c>
      <c r="CQ297" s="13" t="str">
        <f t="shared" si="71"/>
        <v/>
      </c>
      <c r="CR297" t="str">
        <f t="shared" si="72"/>
        <v/>
      </c>
      <c r="CS297" t="str">
        <f t="shared" si="73"/>
        <v/>
      </c>
      <c r="CT297" t="str">
        <f t="shared" si="74"/>
        <v/>
      </c>
      <c r="CU297" t="str">
        <f t="shared" si="75"/>
        <v/>
      </c>
      <c r="CV297" t="str">
        <f t="shared" si="76"/>
        <v/>
      </c>
      <c r="CW297" t="str">
        <f t="shared" si="77"/>
        <v/>
      </c>
      <c r="DR297">
        <v>5302075</v>
      </c>
      <c r="DS297" s="17" t="s">
        <v>156</v>
      </c>
    </row>
    <row r="298" spans="90:123" x14ac:dyDescent="0.15">
      <c r="CL298" s="13" t="str">
        <f t="shared" si="71"/>
        <v/>
      </c>
      <c r="CM298" s="13" t="str">
        <f t="shared" si="71"/>
        <v/>
      </c>
      <c r="CN298" s="13" t="str">
        <f t="shared" si="71"/>
        <v/>
      </c>
      <c r="CO298" s="13" t="str">
        <f t="shared" ref="CO298:CQ361" si="78">IF(DM298&lt;&gt;"",IF(ISERROR(MATCH(INT(CU298),$DR$4:$DR$1516,0))=FALSE,TRUE),"")</f>
        <v/>
      </c>
      <c r="CP298" s="13" t="str">
        <f t="shared" si="78"/>
        <v/>
      </c>
      <c r="CQ298" s="13" t="str">
        <f t="shared" si="78"/>
        <v/>
      </c>
      <c r="CR298" t="str">
        <f t="shared" si="72"/>
        <v/>
      </c>
      <c r="CS298" t="str">
        <f t="shared" si="73"/>
        <v/>
      </c>
      <c r="CT298" t="str">
        <f t="shared" si="74"/>
        <v/>
      </c>
      <c r="CU298" t="str">
        <f t="shared" si="75"/>
        <v/>
      </c>
      <c r="CV298" t="str">
        <f t="shared" si="76"/>
        <v/>
      </c>
      <c r="CW298" t="str">
        <f t="shared" si="77"/>
        <v/>
      </c>
      <c r="DR298">
        <v>5400075</v>
      </c>
      <c r="DS298" s="17" t="s">
        <v>159</v>
      </c>
    </row>
    <row r="299" spans="90:123" x14ac:dyDescent="0.15">
      <c r="CL299" s="13" t="str">
        <f t="shared" ref="CL299:CQ362" si="79">IF(DJ299&lt;&gt;"",IF(ISERROR(MATCH(INT(CR299),$DR$4:$DR$1516,0))=FALSE,TRUE),"")</f>
        <v/>
      </c>
      <c r="CM299" s="13" t="str">
        <f t="shared" si="79"/>
        <v/>
      </c>
      <c r="CN299" s="13" t="str">
        <f t="shared" si="79"/>
        <v/>
      </c>
      <c r="CO299" s="13" t="str">
        <f t="shared" si="78"/>
        <v/>
      </c>
      <c r="CP299" s="13" t="str">
        <f t="shared" si="78"/>
        <v/>
      </c>
      <c r="CQ299" s="13" t="str">
        <f t="shared" si="78"/>
        <v/>
      </c>
      <c r="CR299" t="str">
        <f t="shared" si="72"/>
        <v/>
      </c>
      <c r="CS299" t="str">
        <f t="shared" si="73"/>
        <v/>
      </c>
      <c r="CT299" t="str">
        <f t="shared" si="74"/>
        <v/>
      </c>
      <c r="CU299" t="str">
        <f t="shared" si="75"/>
        <v/>
      </c>
      <c r="CV299" t="str">
        <f t="shared" si="76"/>
        <v/>
      </c>
      <c r="CW299" t="str">
        <f t="shared" si="77"/>
        <v/>
      </c>
      <c r="DR299">
        <v>5200081</v>
      </c>
      <c r="DS299" s="17" t="s">
        <v>62</v>
      </c>
    </row>
    <row r="300" spans="90:123" x14ac:dyDescent="0.15">
      <c r="CL300" s="13" t="str">
        <f t="shared" si="79"/>
        <v/>
      </c>
      <c r="CM300" s="13" t="str">
        <f t="shared" si="79"/>
        <v/>
      </c>
      <c r="CN300" s="13" t="str">
        <f t="shared" si="79"/>
        <v/>
      </c>
      <c r="CO300" s="13" t="str">
        <f t="shared" si="78"/>
        <v/>
      </c>
      <c r="CP300" s="13" t="str">
        <f t="shared" si="78"/>
        <v/>
      </c>
      <c r="CQ300" s="13" t="str">
        <f t="shared" si="78"/>
        <v/>
      </c>
      <c r="CR300" t="str">
        <f t="shared" si="72"/>
        <v/>
      </c>
      <c r="CS300" t="str">
        <f t="shared" si="73"/>
        <v/>
      </c>
      <c r="CT300" t="str">
        <f t="shared" si="74"/>
        <v/>
      </c>
      <c r="CU300" t="str">
        <f t="shared" si="75"/>
        <v/>
      </c>
      <c r="CV300" t="str">
        <f t="shared" si="76"/>
        <v/>
      </c>
      <c r="CW300" t="str">
        <f t="shared" si="77"/>
        <v/>
      </c>
      <c r="DR300">
        <v>5201081</v>
      </c>
      <c r="DS300" s="17" t="s">
        <v>65</v>
      </c>
    </row>
    <row r="301" spans="90:123" x14ac:dyDescent="0.15">
      <c r="CL301" s="13" t="str">
        <f t="shared" si="79"/>
        <v/>
      </c>
      <c r="CM301" s="13" t="str">
        <f t="shared" si="79"/>
        <v/>
      </c>
      <c r="CN301" s="13" t="str">
        <f t="shared" si="79"/>
        <v/>
      </c>
      <c r="CO301" s="13" t="str">
        <f t="shared" si="78"/>
        <v/>
      </c>
      <c r="CP301" s="13" t="str">
        <f t="shared" si="78"/>
        <v/>
      </c>
      <c r="CQ301" s="13" t="str">
        <f t="shared" si="78"/>
        <v/>
      </c>
      <c r="CR301" t="str">
        <f t="shared" si="72"/>
        <v/>
      </c>
      <c r="CS301" t="str">
        <f t="shared" si="73"/>
        <v/>
      </c>
      <c r="CT301" t="str">
        <f t="shared" si="74"/>
        <v/>
      </c>
      <c r="CU301" t="str">
        <f t="shared" si="75"/>
        <v/>
      </c>
      <c r="CV301" t="str">
        <f t="shared" si="76"/>
        <v/>
      </c>
      <c r="CW301" t="str">
        <f t="shared" si="77"/>
        <v/>
      </c>
      <c r="DR301">
        <v>5202081</v>
      </c>
      <c r="DS301" s="17" t="s">
        <v>68</v>
      </c>
    </row>
    <row r="302" spans="90:123" x14ac:dyDescent="0.15">
      <c r="CL302" s="13" t="str">
        <f t="shared" si="79"/>
        <v/>
      </c>
      <c r="CM302" s="13" t="str">
        <f t="shared" si="79"/>
        <v/>
      </c>
      <c r="CN302" s="13" t="str">
        <f t="shared" si="79"/>
        <v/>
      </c>
      <c r="CO302" s="13" t="str">
        <f t="shared" si="78"/>
        <v/>
      </c>
      <c r="CP302" s="13" t="str">
        <f t="shared" si="78"/>
        <v/>
      </c>
      <c r="CQ302" s="13" t="str">
        <f t="shared" si="78"/>
        <v/>
      </c>
      <c r="CR302" t="str">
        <f t="shared" si="72"/>
        <v/>
      </c>
      <c r="CS302" t="str">
        <f t="shared" si="73"/>
        <v/>
      </c>
      <c r="CT302" t="str">
        <f t="shared" si="74"/>
        <v/>
      </c>
      <c r="CU302" t="str">
        <f t="shared" si="75"/>
        <v/>
      </c>
      <c r="CV302" t="str">
        <f t="shared" si="76"/>
        <v/>
      </c>
      <c r="CW302" t="str">
        <f t="shared" si="77"/>
        <v/>
      </c>
      <c r="DR302">
        <v>5301081</v>
      </c>
      <c r="DS302" s="17" t="s">
        <v>71</v>
      </c>
    </row>
    <row r="303" spans="90:123" x14ac:dyDescent="0.15">
      <c r="CL303" s="13" t="str">
        <f t="shared" si="79"/>
        <v/>
      </c>
      <c r="CM303" s="13" t="str">
        <f t="shared" si="79"/>
        <v/>
      </c>
      <c r="CN303" s="13" t="str">
        <f t="shared" si="79"/>
        <v/>
      </c>
      <c r="CO303" s="13" t="str">
        <f t="shared" si="78"/>
        <v/>
      </c>
      <c r="CP303" s="13" t="str">
        <f t="shared" si="78"/>
        <v/>
      </c>
      <c r="CQ303" s="13" t="str">
        <f t="shared" si="78"/>
        <v/>
      </c>
      <c r="CR303" t="str">
        <f t="shared" si="72"/>
        <v/>
      </c>
      <c r="CS303" t="str">
        <f t="shared" si="73"/>
        <v/>
      </c>
      <c r="CT303" t="str">
        <f t="shared" si="74"/>
        <v/>
      </c>
      <c r="CU303" t="str">
        <f t="shared" si="75"/>
        <v/>
      </c>
      <c r="CV303" t="str">
        <f t="shared" si="76"/>
        <v/>
      </c>
      <c r="CW303" t="str">
        <f t="shared" si="77"/>
        <v/>
      </c>
      <c r="DR303">
        <v>5401081</v>
      </c>
      <c r="DS303" s="17" t="s">
        <v>73</v>
      </c>
    </row>
    <row r="304" spans="90:123" x14ac:dyDescent="0.15">
      <c r="CL304" s="13" t="str">
        <f t="shared" si="79"/>
        <v/>
      </c>
      <c r="CM304" s="13" t="str">
        <f t="shared" si="79"/>
        <v/>
      </c>
      <c r="CN304" s="13" t="str">
        <f t="shared" si="79"/>
        <v/>
      </c>
      <c r="CO304" s="13" t="str">
        <f t="shared" si="78"/>
        <v/>
      </c>
      <c r="CP304" s="13" t="str">
        <f t="shared" si="78"/>
        <v/>
      </c>
      <c r="CQ304" s="13" t="str">
        <f t="shared" si="78"/>
        <v/>
      </c>
      <c r="CR304" t="str">
        <f t="shared" si="72"/>
        <v/>
      </c>
      <c r="CS304" t="str">
        <f t="shared" si="73"/>
        <v/>
      </c>
      <c r="CT304" t="str">
        <f t="shared" si="74"/>
        <v/>
      </c>
      <c r="CU304" t="str">
        <f t="shared" si="75"/>
        <v/>
      </c>
      <c r="CV304" t="str">
        <f t="shared" si="76"/>
        <v/>
      </c>
      <c r="CW304" t="str">
        <f t="shared" si="77"/>
        <v/>
      </c>
      <c r="DR304">
        <v>5402081</v>
      </c>
      <c r="DS304" s="17" t="s">
        <v>76</v>
      </c>
    </row>
    <row r="305" spans="90:123" x14ac:dyDescent="0.15">
      <c r="CL305" s="13" t="str">
        <f t="shared" si="79"/>
        <v/>
      </c>
      <c r="CM305" s="13" t="str">
        <f t="shared" si="79"/>
        <v/>
      </c>
      <c r="CN305" s="13" t="str">
        <f t="shared" si="79"/>
        <v/>
      </c>
      <c r="CO305" s="13" t="str">
        <f t="shared" si="78"/>
        <v/>
      </c>
      <c r="CP305" s="13" t="str">
        <f t="shared" si="78"/>
        <v/>
      </c>
      <c r="CQ305" s="13" t="str">
        <f t="shared" si="78"/>
        <v/>
      </c>
      <c r="CR305" t="str">
        <f t="shared" si="72"/>
        <v/>
      </c>
      <c r="CS305" t="str">
        <f t="shared" si="73"/>
        <v/>
      </c>
      <c r="CT305" t="str">
        <f t="shared" si="74"/>
        <v/>
      </c>
      <c r="CU305" t="str">
        <f t="shared" si="75"/>
        <v/>
      </c>
      <c r="CV305" t="str">
        <f t="shared" si="76"/>
        <v/>
      </c>
      <c r="CW305" t="str">
        <f t="shared" si="77"/>
        <v/>
      </c>
      <c r="DR305">
        <v>5500081</v>
      </c>
      <c r="DS305" s="17" t="s">
        <v>79</v>
      </c>
    </row>
    <row r="306" spans="90:123" x14ac:dyDescent="0.15">
      <c r="CL306" s="13" t="str">
        <f t="shared" si="79"/>
        <v/>
      </c>
      <c r="CM306" s="13" t="str">
        <f t="shared" si="79"/>
        <v/>
      </c>
      <c r="CN306" s="13" t="str">
        <f t="shared" si="79"/>
        <v/>
      </c>
      <c r="CO306" s="13" t="str">
        <f t="shared" si="78"/>
        <v/>
      </c>
      <c r="CP306" s="13" t="str">
        <f t="shared" si="78"/>
        <v/>
      </c>
      <c r="CQ306" s="13" t="str">
        <f t="shared" si="78"/>
        <v/>
      </c>
      <c r="CR306" t="str">
        <f t="shared" si="72"/>
        <v/>
      </c>
      <c r="CS306" t="str">
        <f t="shared" si="73"/>
        <v/>
      </c>
      <c r="CT306" t="str">
        <f t="shared" si="74"/>
        <v/>
      </c>
      <c r="CU306" t="str">
        <f t="shared" si="75"/>
        <v/>
      </c>
      <c r="CV306" t="str">
        <f t="shared" si="76"/>
        <v/>
      </c>
      <c r="CW306" t="str">
        <f t="shared" si="77"/>
        <v/>
      </c>
      <c r="DR306">
        <v>5502081</v>
      </c>
      <c r="DS306" s="17" t="s">
        <v>81</v>
      </c>
    </row>
    <row r="307" spans="90:123" x14ac:dyDescent="0.15">
      <c r="CL307" s="13" t="str">
        <f t="shared" si="79"/>
        <v/>
      </c>
      <c r="CM307" s="13" t="str">
        <f t="shared" si="79"/>
        <v/>
      </c>
      <c r="CN307" s="13" t="str">
        <f t="shared" si="79"/>
        <v/>
      </c>
      <c r="CO307" s="13" t="str">
        <f t="shared" si="78"/>
        <v/>
      </c>
      <c r="CP307" s="13" t="str">
        <f t="shared" si="78"/>
        <v/>
      </c>
      <c r="CQ307" s="13" t="str">
        <f t="shared" si="78"/>
        <v/>
      </c>
      <c r="CR307" t="str">
        <f t="shared" si="72"/>
        <v/>
      </c>
      <c r="CS307" t="str">
        <f t="shared" si="73"/>
        <v/>
      </c>
      <c r="CT307" t="str">
        <f t="shared" si="74"/>
        <v/>
      </c>
      <c r="CU307" t="str">
        <f t="shared" si="75"/>
        <v/>
      </c>
      <c r="CV307" t="str">
        <f t="shared" si="76"/>
        <v/>
      </c>
      <c r="CW307" t="str">
        <f t="shared" si="77"/>
        <v/>
      </c>
      <c r="DR307">
        <v>5601081</v>
      </c>
      <c r="DS307" s="17" t="s">
        <v>84</v>
      </c>
    </row>
    <row r="308" spans="90:123" x14ac:dyDescent="0.15">
      <c r="CL308" s="13" t="str">
        <f t="shared" si="79"/>
        <v/>
      </c>
      <c r="CM308" s="13" t="str">
        <f t="shared" si="79"/>
        <v/>
      </c>
      <c r="CN308" s="13" t="str">
        <f t="shared" si="79"/>
        <v/>
      </c>
      <c r="CO308" s="13" t="str">
        <f t="shared" si="78"/>
        <v/>
      </c>
      <c r="CP308" s="13" t="str">
        <f t="shared" si="78"/>
        <v/>
      </c>
      <c r="CQ308" s="13" t="str">
        <f t="shared" si="78"/>
        <v/>
      </c>
      <c r="CR308" t="str">
        <f t="shared" si="72"/>
        <v/>
      </c>
      <c r="CS308" t="str">
        <f t="shared" si="73"/>
        <v/>
      </c>
      <c r="CT308" t="str">
        <f t="shared" si="74"/>
        <v/>
      </c>
      <c r="CU308" t="str">
        <f t="shared" si="75"/>
        <v/>
      </c>
      <c r="CV308" t="str">
        <f t="shared" si="76"/>
        <v/>
      </c>
      <c r="CW308" t="str">
        <f t="shared" si="77"/>
        <v/>
      </c>
      <c r="DR308">
        <v>5200082</v>
      </c>
      <c r="DS308" s="17" t="s">
        <v>88</v>
      </c>
    </row>
    <row r="309" spans="90:123" x14ac:dyDescent="0.15">
      <c r="CL309" s="13" t="str">
        <f t="shared" si="79"/>
        <v/>
      </c>
      <c r="CM309" s="13" t="str">
        <f t="shared" si="79"/>
        <v/>
      </c>
      <c r="CN309" s="13" t="str">
        <f t="shared" si="79"/>
        <v/>
      </c>
      <c r="CO309" s="13" t="str">
        <f t="shared" si="78"/>
        <v/>
      </c>
      <c r="CP309" s="13" t="str">
        <f t="shared" si="78"/>
        <v/>
      </c>
      <c r="CQ309" s="13" t="str">
        <f t="shared" si="78"/>
        <v/>
      </c>
      <c r="CR309" t="str">
        <f t="shared" si="72"/>
        <v/>
      </c>
      <c r="CS309" t="str">
        <f t="shared" si="73"/>
        <v/>
      </c>
      <c r="CT309" t="str">
        <f t="shared" si="74"/>
        <v/>
      </c>
      <c r="CU309" t="str">
        <f t="shared" si="75"/>
        <v/>
      </c>
      <c r="CV309" t="str">
        <f t="shared" si="76"/>
        <v/>
      </c>
      <c r="CW309" t="str">
        <f t="shared" si="77"/>
        <v/>
      </c>
      <c r="DR309">
        <v>5201082</v>
      </c>
      <c r="DS309" s="17" t="s">
        <v>92</v>
      </c>
    </row>
    <row r="310" spans="90:123" x14ac:dyDescent="0.15">
      <c r="CL310" s="13" t="str">
        <f t="shared" si="79"/>
        <v/>
      </c>
      <c r="CM310" s="13" t="str">
        <f t="shared" si="79"/>
        <v/>
      </c>
      <c r="CN310" s="13" t="str">
        <f t="shared" si="79"/>
        <v/>
      </c>
      <c r="CO310" s="13" t="str">
        <f t="shared" si="78"/>
        <v/>
      </c>
      <c r="CP310" s="13" t="str">
        <f t="shared" si="78"/>
        <v/>
      </c>
      <c r="CQ310" s="13" t="str">
        <f t="shared" si="78"/>
        <v/>
      </c>
      <c r="CR310" t="str">
        <f t="shared" si="72"/>
        <v/>
      </c>
      <c r="CS310" t="str">
        <f t="shared" si="73"/>
        <v/>
      </c>
      <c r="CT310" t="str">
        <f t="shared" si="74"/>
        <v/>
      </c>
      <c r="CU310" t="str">
        <f t="shared" si="75"/>
        <v/>
      </c>
      <c r="CV310" t="str">
        <f t="shared" si="76"/>
        <v/>
      </c>
      <c r="CW310" t="str">
        <f t="shared" si="77"/>
        <v/>
      </c>
      <c r="DR310">
        <v>5202082</v>
      </c>
      <c r="DS310" s="17" t="s">
        <v>95</v>
      </c>
    </row>
    <row r="311" spans="90:123" x14ac:dyDescent="0.15">
      <c r="CL311" s="13" t="str">
        <f t="shared" si="79"/>
        <v/>
      </c>
      <c r="CM311" s="13" t="str">
        <f t="shared" si="79"/>
        <v/>
      </c>
      <c r="CN311" s="13" t="str">
        <f t="shared" si="79"/>
        <v/>
      </c>
      <c r="CO311" s="13" t="str">
        <f t="shared" si="78"/>
        <v/>
      </c>
      <c r="CP311" s="13" t="str">
        <f t="shared" si="78"/>
        <v/>
      </c>
      <c r="CQ311" s="13" t="str">
        <f t="shared" si="78"/>
        <v/>
      </c>
      <c r="CR311" t="str">
        <f t="shared" si="72"/>
        <v/>
      </c>
      <c r="CS311" t="str">
        <f t="shared" si="73"/>
        <v/>
      </c>
      <c r="CT311" t="str">
        <f t="shared" si="74"/>
        <v/>
      </c>
      <c r="CU311" t="str">
        <f t="shared" si="75"/>
        <v/>
      </c>
      <c r="CV311" t="str">
        <f t="shared" si="76"/>
        <v/>
      </c>
      <c r="CW311" t="str">
        <f t="shared" si="77"/>
        <v/>
      </c>
      <c r="DR311">
        <v>5301082</v>
      </c>
      <c r="DS311" s="17" t="s">
        <v>98</v>
      </c>
    </row>
    <row r="312" spans="90:123" x14ac:dyDescent="0.15">
      <c r="CL312" s="13" t="str">
        <f t="shared" si="79"/>
        <v/>
      </c>
      <c r="CM312" s="13" t="str">
        <f t="shared" si="79"/>
        <v/>
      </c>
      <c r="CN312" s="13" t="str">
        <f t="shared" si="79"/>
        <v/>
      </c>
      <c r="CO312" s="13" t="str">
        <f t="shared" si="78"/>
        <v/>
      </c>
      <c r="CP312" s="13" t="str">
        <f t="shared" si="78"/>
        <v/>
      </c>
      <c r="CQ312" s="13" t="str">
        <f t="shared" si="78"/>
        <v/>
      </c>
      <c r="CR312" t="str">
        <f t="shared" si="72"/>
        <v/>
      </c>
      <c r="CS312" t="str">
        <f t="shared" si="73"/>
        <v/>
      </c>
      <c r="CT312" t="str">
        <f t="shared" si="74"/>
        <v/>
      </c>
      <c r="CU312" t="str">
        <f t="shared" si="75"/>
        <v/>
      </c>
      <c r="CV312" t="str">
        <f t="shared" si="76"/>
        <v/>
      </c>
      <c r="CW312" t="str">
        <f t="shared" si="77"/>
        <v/>
      </c>
      <c r="DR312">
        <v>5401082</v>
      </c>
      <c r="DS312" s="17" t="s">
        <v>101</v>
      </c>
    </row>
    <row r="313" spans="90:123" x14ac:dyDescent="0.15">
      <c r="CL313" s="13" t="str">
        <f t="shared" si="79"/>
        <v/>
      </c>
      <c r="CM313" s="13" t="str">
        <f t="shared" si="79"/>
        <v/>
      </c>
      <c r="CN313" s="13" t="str">
        <f t="shared" si="79"/>
        <v/>
      </c>
      <c r="CO313" s="13" t="str">
        <f t="shared" si="78"/>
        <v/>
      </c>
      <c r="CP313" s="13" t="str">
        <f t="shared" si="78"/>
        <v/>
      </c>
      <c r="CQ313" s="13" t="str">
        <f t="shared" si="78"/>
        <v/>
      </c>
      <c r="CR313" t="str">
        <f t="shared" si="72"/>
        <v/>
      </c>
      <c r="CS313" t="str">
        <f t="shared" si="73"/>
        <v/>
      </c>
      <c r="CT313" t="str">
        <f t="shared" si="74"/>
        <v/>
      </c>
      <c r="CU313" t="str">
        <f t="shared" si="75"/>
        <v/>
      </c>
      <c r="CV313" t="str">
        <f t="shared" si="76"/>
        <v/>
      </c>
      <c r="CW313" t="str">
        <f t="shared" si="77"/>
        <v/>
      </c>
      <c r="DR313">
        <v>5402082</v>
      </c>
      <c r="DS313" s="17" t="s">
        <v>103</v>
      </c>
    </row>
    <row r="314" spans="90:123" x14ac:dyDescent="0.15">
      <c r="CL314" s="13" t="str">
        <f t="shared" si="79"/>
        <v/>
      </c>
      <c r="CM314" s="13" t="str">
        <f t="shared" si="79"/>
        <v/>
      </c>
      <c r="CN314" s="13" t="str">
        <f t="shared" si="79"/>
        <v/>
      </c>
      <c r="CO314" s="13" t="str">
        <f t="shared" si="78"/>
        <v/>
      </c>
      <c r="CP314" s="13" t="str">
        <f t="shared" si="78"/>
        <v/>
      </c>
      <c r="CQ314" s="13" t="str">
        <f t="shared" si="78"/>
        <v/>
      </c>
      <c r="CR314" t="str">
        <f t="shared" si="72"/>
        <v/>
      </c>
      <c r="CS314" t="str">
        <f t="shared" si="73"/>
        <v/>
      </c>
      <c r="CT314" t="str">
        <f t="shared" si="74"/>
        <v/>
      </c>
      <c r="CU314" t="str">
        <f t="shared" si="75"/>
        <v/>
      </c>
      <c r="CV314" t="str">
        <f t="shared" si="76"/>
        <v/>
      </c>
      <c r="CW314" t="str">
        <f t="shared" si="77"/>
        <v/>
      </c>
      <c r="DR314">
        <v>5500082</v>
      </c>
      <c r="DS314" s="17" t="s">
        <v>107</v>
      </c>
    </row>
    <row r="315" spans="90:123" x14ac:dyDescent="0.15">
      <c r="CL315" s="13" t="str">
        <f t="shared" si="79"/>
        <v/>
      </c>
      <c r="CM315" s="13" t="str">
        <f t="shared" si="79"/>
        <v/>
      </c>
      <c r="CN315" s="13" t="str">
        <f t="shared" si="79"/>
        <v/>
      </c>
      <c r="CO315" s="13" t="str">
        <f t="shared" si="78"/>
        <v/>
      </c>
      <c r="CP315" s="13" t="str">
        <f t="shared" si="78"/>
        <v/>
      </c>
      <c r="CQ315" s="13" t="str">
        <f t="shared" si="78"/>
        <v/>
      </c>
      <c r="CR315" t="str">
        <f t="shared" si="72"/>
        <v/>
      </c>
      <c r="CS315" t="str">
        <f t="shared" si="73"/>
        <v/>
      </c>
      <c r="CT315" t="str">
        <f t="shared" si="74"/>
        <v/>
      </c>
      <c r="CU315" t="str">
        <f t="shared" si="75"/>
        <v/>
      </c>
      <c r="CV315" t="str">
        <f t="shared" si="76"/>
        <v/>
      </c>
      <c r="CW315" t="str">
        <f t="shared" si="77"/>
        <v/>
      </c>
      <c r="DR315">
        <v>5502082</v>
      </c>
      <c r="DS315" s="17" t="s">
        <v>111</v>
      </c>
    </row>
    <row r="316" spans="90:123" x14ac:dyDescent="0.15">
      <c r="CL316" s="13" t="str">
        <f t="shared" si="79"/>
        <v/>
      </c>
      <c r="CM316" s="13" t="str">
        <f t="shared" si="79"/>
        <v/>
      </c>
      <c r="CN316" s="13" t="str">
        <f t="shared" si="79"/>
        <v/>
      </c>
      <c r="CO316" s="13" t="str">
        <f t="shared" si="78"/>
        <v/>
      </c>
      <c r="CP316" s="13" t="str">
        <f t="shared" si="78"/>
        <v/>
      </c>
      <c r="CQ316" s="13" t="str">
        <f t="shared" si="78"/>
        <v/>
      </c>
      <c r="CR316" t="str">
        <f t="shared" si="72"/>
        <v/>
      </c>
      <c r="CS316" t="str">
        <f t="shared" si="73"/>
        <v/>
      </c>
      <c r="CT316" t="str">
        <f t="shared" si="74"/>
        <v/>
      </c>
      <c r="CU316" t="str">
        <f t="shared" si="75"/>
        <v/>
      </c>
      <c r="CV316" t="str">
        <f t="shared" si="76"/>
        <v/>
      </c>
      <c r="CW316" t="str">
        <f t="shared" si="77"/>
        <v/>
      </c>
      <c r="DR316">
        <v>5601082</v>
      </c>
      <c r="DS316" s="17" t="s">
        <v>114</v>
      </c>
    </row>
    <row r="317" spans="90:123" x14ac:dyDescent="0.15">
      <c r="CL317" s="13" t="str">
        <f t="shared" si="79"/>
        <v/>
      </c>
      <c r="CM317" s="13" t="str">
        <f t="shared" si="79"/>
        <v/>
      </c>
      <c r="CN317" s="13" t="str">
        <f t="shared" si="79"/>
        <v/>
      </c>
      <c r="CO317" s="13" t="str">
        <f t="shared" si="78"/>
        <v/>
      </c>
      <c r="CP317" s="13" t="str">
        <f t="shared" si="78"/>
        <v/>
      </c>
      <c r="CQ317" s="13" t="str">
        <f t="shared" si="78"/>
        <v/>
      </c>
      <c r="CR317" t="str">
        <f t="shared" si="72"/>
        <v/>
      </c>
      <c r="CS317" t="str">
        <f t="shared" si="73"/>
        <v/>
      </c>
      <c r="CT317" t="str">
        <f t="shared" si="74"/>
        <v/>
      </c>
      <c r="CU317" t="str">
        <f t="shared" si="75"/>
        <v/>
      </c>
      <c r="CV317" t="str">
        <f t="shared" si="76"/>
        <v/>
      </c>
      <c r="CW317" t="str">
        <f t="shared" si="77"/>
        <v/>
      </c>
      <c r="DR317">
        <v>5200083</v>
      </c>
      <c r="DS317" s="17" t="s">
        <v>118</v>
      </c>
    </row>
    <row r="318" spans="90:123" x14ac:dyDescent="0.15">
      <c r="CL318" s="13" t="str">
        <f t="shared" si="79"/>
        <v/>
      </c>
      <c r="CM318" s="13" t="str">
        <f t="shared" si="79"/>
        <v/>
      </c>
      <c r="CN318" s="13" t="str">
        <f t="shared" si="79"/>
        <v/>
      </c>
      <c r="CO318" s="13" t="str">
        <f t="shared" si="78"/>
        <v/>
      </c>
      <c r="CP318" s="13" t="str">
        <f t="shared" si="78"/>
        <v/>
      </c>
      <c r="CQ318" s="13" t="str">
        <f t="shared" si="78"/>
        <v/>
      </c>
      <c r="CR318" t="str">
        <f t="shared" si="72"/>
        <v/>
      </c>
      <c r="CS318" t="str">
        <f t="shared" si="73"/>
        <v/>
      </c>
      <c r="CT318" t="str">
        <f t="shared" si="74"/>
        <v/>
      </c>
      <c r="CU318" t="str">
        <f t="shared" si="75"/>
        <v/>
      </c>
      <c r="CV318" t="str">
        <f t="shared" si="76"/>
        <v/>
      </c>
      <c r="CW318" t="str">
        <f t="shared" si="77"/>
        <v/>
      </c>
      <c r="DR318">
        <v>5201083</v>
      </c>
      <c r="DS318" s="17" t="s">
        <v>121</v>
      </c>
    </row>
    <row r="319" spans="90:123" x14ac:dyDescent="0.15">
      <c r="CL319" s="13" t="str">
        <f t="shared" si="79"/>
        <v/>
      </c>
      <c r="CM319" s="13" t="str">
        <f t="shared" si="79"/>
        <v/>
      </c>
      <c r="CN319" s="13" t="str">
        <f t="shared" si="79"/>
        <v/>
      </c>
      <c r="CO319" s="13" t="str">
        <f t="shared" si="78"/>
        <v/>
      </c>
      <c r="CP319" s="13" t="str">
        <f t="shared" si="78"/>
        <v/>
      </c>
      <c r="CQ319" s="13" t="str">
        <f t="shared" si="78"/>
        <v/>
      </c>
      <c r="CR319" t="str">
        <f t="shared" si="72"/>
        <v/>
      </c>
      <c r="CS319" t="str">
        <f t="shared" si="73"/>
        <v/>
      </c>
      <c r="CT319" t="str">
        <f t="shared" si="74"/>
        <v/>
      </c>
      <c r="CU319" t="str">
        <f t="shared" si="75"/>
        <v/>
      </c>
      <c r="CV319" t="str">
        <f t="shared" si="76"/>
        <v/>
      </c>
      <c r="CW319" t="str">
        <f t="shared" si="77"/>
        <v/>
      </c>
      <c r="DR319">
        <v>5202083</v>
      </c>
      <c r="DS319" s="17" t="s">
        <v>124</v>
      </c>
    </row>
    <row r="320" spans="90:123" x14ac:dyDescent="0.15">
      <c r="CL320" s="13" t="str">
        <f t="shared" si="79"/>
        <v/>
      </c>
      <c r="CM320" s="13" t="str">
        <f t="shared" si="79"/>
        <v/>
      </c>
      <c r="CN320" s="13" t="str">
        <f t="shared" si="79"/>
        <v/>
      </c>
      <c r="CO320" s="13" t="str">
        <f t="shared" si="78"/>
        <v/>
      </c>
      <c r="CP320" s="13" t="str">
        <f t="shared" si="78"/>
        <v/>
      </c>
      <c r="CQ320" s="13" t="str">
        <f t="shared" si="78"/>
        <v/>
      </c>
      <c r="CR320" t="str">
        <f t="shared" si="72"/>
        <v/>
      </c>
      <c r="CS320" t="str">
        <f t="shared" si="73"/>
        <v/>
      </c>
      <c r="CT320" t="str">
        <f t="shared" si="74"/>
        <v/>
      </c>
      <c r="CU320" t="str">
        <f t="shared" si="75"/>
        <v/>
      </c>
      <c r="CV320" t="str">
        <f t="shared" si="76"/>
        <v/>
      </c>
      <c r="CW320" t="str">
        <f t="shared" si="77"/>
        <v/>
      </c>
      <c r="DR320">
        <v>5301083</v>
      </c>
      <c r="DS320" s="17" t="s">
        <v>126</v>
      </c>
    </row>
    <row r="321" spans="90:123" x14ac:dyDescent="0.15">
      <c r="CL321" s="13" t="str">
        <f t="shared" si="79"/>
        <v/>
      </c>
      <c r="CM321" s="13" t="str">
        <f t="shared" si="79"/>
        <v/>
      </c>
      <c r="CN321" s="13" t="str">
        <f t="shared" si="79"/>
        <v/>
      </c>
      <c r="CO321" s="13" t="str">
        <f t="shared" si="78"/>
        <v/>
      </c>
      <c r="CP321" s="13" t="str">
        <f t="shared" si="78"/>
        <v/>
      </c>
      <c r="CQ321" s="13" t="str">
        <f t="shared" si="78"/>
        <v/>
      </c>
      <c r="CR321" t="str">
        <f t="shared" si="72"/>
        <v/>
      </c>
      <c r="CS321" t="str">
        <f t="shared" si="73"/>
        <v/>
      </c>
      <c r="CT321" t="str">
        <f t="shared" si="74"/>
        <v/>
      </c>
      <c r="CU321" t="str">
        <f t="shared" si="75"/>
        <v/>
      </c>
      <c r="CV321" t="str">
        <f t="shared" si="76"/>
        <v/>
      </c>
      <c r="CW321" t="str">
        <f t="shared" si="77"/>
        <v/>
      </c>
      <c r="DR321">
        <v>5401083</v>
      </c>
      <c r="DS321" s="17" t="s">
        <v>130</v>
      </c>
    </row>
    <row r="322" spans="90:123" x14ac:dyDescent="0.15">
      <c r="CL322" s="13" t="str">
        <f t="shared" si="79"/>
        <v/>
      </c>
      <c r="CM322" s="13" t="str">
        <f t="shared" si="79"/>
        <v/>
      </c>
      <c r="CN322" s="13" t="str">
        <f t="shared" si="79"/>
        <v/>
      </c>
      <c r="CO322" s="13" t="str">
        <f t="shared" si="78"/>
        <v/>
      </c>
      <c r="CP322" s="13" t="str">
        <f t="shared" si="78"/>
        <v/>
      </c>
      <c r="CQ322" s="13" t="str">
        <f t="shared" si="78"/>
        <v/>
      </c>
      <c r="CR322" t="str">
        <f t="shared" si="72"/>
        <v/>
      </c>
      <c r="CS322" t="str">
        <f t="shared" si="73"/>
        <v/>
      </c>
      <c r="CT322" t="str">
        <f t="shared" si="74"/>
        <v/>
      </c>
      <c r="CU322" t="str">
        <f t="shared" si="75"/>
        <v/>
      </c>
      <c r="CV322" t="str">
        <f t="shared" si="76"/>
        <v/>
      </c>
      <c r="CW322" t="str">
        <f t="shared" si="77"/>
        <v/>
      </c>
      <c r="DR322">
        <v>5402083</v>
      </c>
      <c r="DS322" s="17" t="s">
        <v>135</v>
      </c>
    </row>
    <row r="323" spans="90:123" x14ac:dyDescent="0.15">
      <c r="CL323" s="13" t="str">
        <f t="shared" si="79"/>
        <v/>
      </c>
      <c r="CM323" s="13" t="str">
        <f t="shared" si="79"/>
        <v/>
      </c>
      <c r="CN323" s="13" t="str">
        <f t="shared" si="79"/>
        <v/>
      </c>
      <c r="CO323" s="13" t="str">
        <f t="shared" si="78"/>
        <v/>
      </c>
      <c r="CP323" s="13" t="str">
        <f t="shared" si="78"/>
        <v/>
      </c>
      <c r="CQ323" s="13" t="str">
        <f t="shared" si="78"/>
        <v/>
      </c>
      <c r="CR323" t="str">
        <f t="shared" ref="CR323:CR386" si="80">IF(DJ323&lt;&gt;"",REPLACE(REPLACE(INDEX($DR$4:$DR$1516,MATCH(DJ323,$DS$4:$DS$1516,0)),6,1,CX323),1,1,DD323),"")</f>
        <v/>
      </c>
      <c r="CS323" t="str">
        <f t="shared" ref="CS323:CS386" si="81">IF(DK323&lt;&gt;"",REPLACE(REPLACE(INDEX($DR$4:$DR$1516,MATCH(DK323,$DS$4:$DS$1516,0)),6,1,CY323),1,1,DE323),"")</f>
        <v/>
      </c>
      <c r="CT323" t="str">
        <f t="shared" ref="CT323:CT386" si="82">IF(DL323&lt;&gt;"",REPLACE(REPLACE(INDEX($DR$4:$DR$1516,MATCH(DL323,$DS$4:$DS$1516,0)),6,1,CZ323),1,1,DF323),"")</f>
        <v/>
      </c>
      <c r="CU323" t="str">
        <f t="shared" ref="CU323:CU386" si="83">IF(DM323&lt;&gt;"",REPLACE(REPLACE(INDEX($DR$4:$DR$1516,MATCH(DM323,$DS$4:$DS$1516,0)),6,1,DA323),1,1,DG323),"")</f>
        <v/>
      </c>
      <c r="CV323" t="str">
        <f t="shared" ref="CV323:CV386" si="84">IF(DN323&lt;&gt;"",REPLACE(REPLACE(INDEX($DR$4:$DR$1516,MATCH(DN323,$DS$4:$DS$1516,0)),6,1,DB323),1,1,DH323),"")</f>
        <v/>
      </c>
      <c r="CW323" t="str">
        <f t="shared" ref="CW323:CW386" si="85">IF(DO323&lt;&gt;"",REPLACE(REPLACE(INDEX($DR$4:$DR$1516,MATCH(DO323,$DS$4:$DS$1516,0)),6,1,DC323),1,1,DI323),"")</f>
        <v/>
      </c>
      <c r="DR323">
        <v>5500083</v>
      </c>
      <c r="DS323" s="17" t="s">
        <v>139</v>
      </c>
    </row>
    <row r="324" spans="90:123" x14ac:dyDescent="0.15">
      <c r="CL324" s="13" t="str">
        <f t="shared" si="79"/>
        <v/>
      </c>
      <c r="CM324" s="13" t="str">
        <f t="shared" si="79"/>
        <v/>
      </c>
      <c r="CN324" s="13" t="str">
        <f t="shared" si="79"/>
        <v/>
      </c>
      <c r="CO324" s="13" t="str">
        <f t="shared" si="78"/>
        <v/>
      </c>
      <c r="CP324" s="13" t="str">
        <f t="shared" si="78"/>
        <v/>
      </c>
      <c r="CQ324" s="13" t="str">
        <f t="shared" si="78"/>
        <v/>
      </c>
      <c r="CR324" t="str">
        <f t="shared" si="80"/>
        <v/>
      </c>
      <c r="CS324" t="str">
        <f t="shared" si="81"/>
        <v/>
      </c>
      <c r="CT324" t="str">
        <f t="shared" si="82"/>
        <v/>
      </c>
      <c r="CU324" t="str">
        <f t="shared" si="83"/>
        <v/>
      </c>
      <c r="CV324" t="str">
        <f t="shared" si="84"/>
        <v/>
      </c>
      <c r="CW324" t="str">
        <f t="shared" si="85"/>
        <v/>
      </c>
      <c r="DR324">
        <v>5502083</v>
      </c>
      <c r="DS324" s="17" t="s">
        <v>141</v>
      </c>
    </row>
    <row r="325" spans="90:123" x14ac:dyDescent="0.15">
      <c r="CL325" s="13" t="str">
        <f t="shared" si="79"/>
        <v/>
      </c>
      <c r="CM325" s="13" t="str">
        <f t="shared" si="79"/>
        <v/>
      </c>
      <c r="CN325" s="13" t="str">
        <f t="shared" si="79"/>
        <v/>
      </c>
      <c r="CO325" s="13" t="str">
        <f t="shared" si="78"/>
        <v/>
      </c>
      <c r="CP325" s="13" t="str">
        <f t="shared" si="78"/>
        <v/>
      </c>
      <c r="CQ325" s="13" t="str">
        <f t="shared" si="78"/>
        <v/>
      </c>
      <c r="CR325" t="str">
        <f t="shared" si="80"/>
        <v/>
      </c>
      <c r="CS325" t="str">
        <f t="shared" si="81"/>
        <v/>
      </c>
      <c r="CT325" t="str">
        <f t="shared" si="82"/>
        <v/>
      </c>
      <c r="CU325" t="str">
        <f t="shared" si="83"/>
        <v/>
      </c>
      <c r="CV325" t="str">
        <f t="shared" si="84"/>
        <v/>
      </c>
      <c r="CW325" t="str">
        <f t="shared" si="85"/>
        <v/>
      </c>
      <c r="DR325">
        <v>5601083</v>
      </c>
      <c r="DS325" s="17" t="s">
        <v>143</v>
      </c>
    </row>
    <row r="326" spans="90:123" x14ac:dyDescent="0.15">
      <c r="CL326" s="13" t="str">
        <f t="shared" si="79"/>
        <v/>
      </c>
      <c r="CM326" s="13" t="str">
        <f t="shared" si="79"/>
        <v/>
      </c>
      <c r="CN326" s="13" t="str">
        <f t="shared" si="79"/>
        <v/>
      </c>
      <c r="CO326" s="13" t="str">
        <f t="shared" si="78"/>
        <v/>
      </c>
      <c r="CP326" s="13" t="str">
        <f t="shared" si="78"/>
        <v/>
      </c>
      <c r="CQ326" s="13" t="str">
        <f t="shared" si="78"/>
        <v/>
      </c>
      <c r="CR326" t="str">
        <f t="shared" si="80"/>
        <v/>
      </c>
      <c r="CS326" t="str">
        <f t="shared" si="81"/>
        <v/>
      </c>
      <c r="CT326" t="str">
        <f t="shared" si="82"/>
        <v/>
      </c>
      <c r="CU326" t="str">
        <f t="shared" si="83"/>
        <v/>
      </c>
      <c r="CV326" t="str">
        <f t="shared" si="84"/>
        <v/>
      </c>
      <c r="CW326" t="str">
        <f t="shared" si="85"/>
        <v/>
      </c>
      <c r="DR326">
        <v>5501084</v>
      </c>
      <c r="DS326" s="17" t="s">
        <v>145</v>
      </c>
    </row>
    <row r="327" spans="90:123" x14ac:dyDescent="0.15">
      <c r="CL327" s="13" t="str">
        <f t="shared" si="79"/>
        <v/>
      </c>
      <c r="CM327" s="13" t="str">
        <f t="shared" si="79"/>
        <v/>
      </c>
      <c r="CN327" s="13" t="str">
        <f t="shared" si="79"/>
        <v/>
      </c>
      <c r="CO327" s="13" t="str">
        <f t="shared" si="78"/>
        <v/>
      </c>
      <c r="CP327" s="13" t="str">
        <f t="shared" si="78"/>
        <v/>
      </c>
      <c r="CQ327" s="13" t="str">
        <f t="shared" si="78"/>
        <v/>
      </c>
      <c r="CR327" t="str">
        <f t="shared" si="80"/>
        <v/>
      </c>
      <c r="CS327" t="str">
        <f t="shared" si="81"/>
        <v/>
      </c>
      <c r="CT327" t="str">
        <f t="shared" si="82"/>
        <v/>
      </c>
      <c r="CU327" t="str">
        <f t="shared" si="83"/>
        <v/>
      </c>
      <c r="CV327" t="str">
        <f t="shared" si="84"/>
        <v/>
      </c>
      <c r="CW327" t="str">
        <f t="shared" si="85"/>
        <v/>
      </c>
      <c r="DR327">
        <v>5600084</v>
      </c>
      <c r="DS327" s="17" t="s">
        <v>148</v>
      </c>
    </row>
    <row r="328" spans="90:123" x14ac:dyDescent="0.15">
      <c r="CL328" s="13" t="str">
        <f t="shared" si="79"/>
        <v/>
      </c>
      <c r="CM328" s="13" t="str">
        <f t="shared" si="79"/>
        <v/>
      </c>
      <c r="CN328" s="13" t="str">
        <f t="shared" si="79"/>
        <v/>
      </c>
      <c r="CO328" s="13" t="str">
        <f t="shared" si="78"/>
        <v/>
      </c>
      <c r="CP328" s="13" t="str">
        <f t="shared" si="78"/>
        <v/>
      </c>
      <c r="CQ328" s="13" t="str">
        <f t="shared" si="78"/>
        <v/>
      </c>
      <c r="CR328" t="str">
        <f t="shared" si="80"/>
        <v/>
      </c>
      <c r="CS328" t="str">
        <f t="shared" si="81"/>
        <v/>
      </c>
      <c r="CT328" t="str">
        <f t="shared" si="82"/>
        <v/>
      </c>
      <c r="CU328" t="str">
        <f t="shared" si="83"/>
        <v/>
      </c>
      <c r="CV328" t="str">
        <f t="shared" si="84"/>
        <v/>
      </c>
      <c r="CW328" t="str">
        <f t="shared" si="85"/>
        <v/>
      </c>
      <c r="DR328">
        <v>5602084</v>
      </c>
      <c r="DS328" s="17" t="s">
        <v>150</v>
      </c>
    </row>
    <row r="329" spans="90:123" x14ac:dyDescent="0.15">
      <c r="CL329" s="13" t="str">
        <f t="shared" si="79"/>
        <v/>
      </c>
      <c r="CM329" s="13" t="str">
        <f t="shared" si="79"/>
        <v/>
      </c>
      <c r="CN329" s="13" t="str">
        <f t="shared" si="79"/>
        <v/>
      </c>
      <c r="CO329" s="13" t="str">
        <f t="shared" si="78"/>
        <v/>
      </c>
      <c r="CP329" s="13" t="str">
        <f t="shared" si="78"/>
        <v/>
      </c>
      <c r="CQ329" s="13" t="str">
        <f t="shared" si="78"/>
        <v/>
      </c>
      <c r="CR329" t="str">
        <f t="shared" si="80"/>
        <v/>
      </c>
      <c r="CS329" t="str">
        <f t="shared" si="81"/>
        <v/>
      </c>
      <c r="CT329" t="str">
        <f t="shared" si="82"/>
        <v/>
      </c>
      <c r="CU329" t="str">
        <f t="shared" si="83"/>
        <v/>
      </c>
      <c r="CV329" t="str">
        <f t="shared" si="84"/>
        <v/>
      </c>
      <c r="CW329" t="str">
        <f t="shared" si="85"/>
        <v/>
      </c>
      <c r="DR329">
        <v>5300085</v>
      </c>
      <c r="DS329" s="17" t="s">
        <v>153</v>
      </c>
    </row>
    <row r="330" spans="90:123" x14ac:dyDescent="0.15">
      <c r="CL330" s="13" t="str">
        <f t="shared" si="79"/>
        <v/>
      </c>
      <c r="CM330" s="13" t="str">
        <f t="shared" si="79"/>
        <v/>
      </c>
      <c r="CN330" s="13" t="str">
        <f t="shared" si="79"/>
        <v/>
      </c>
      <c r="CO330" s="13" t="str">
        <f t="shared" si="78"/>
        <v/>
      </c>
      <c r="CP330" s="13" t="str">
        <f t="shared" si="78"/>
        <v/>
      </c>
      <c r="CQ330" s="13" t="str">
        <f t="shared" si="78"/>
        <v/>
      </c>
      <c r="CR330" t="str">
        <f t="shared" si="80"/>
        <v/>
      </c>
      <c r="CS330" t="str">
        <f t="shared" si="81"/>
        <v/>
      </c>
      <c r="CT330" t="str">
        <f t="shared" si="82"/>
        <v/>
      </c>
      <c r="CU330" t="str">
        <f t="shared" si="83"/>
        <v/>
      </c>
      <c r="CV330" t="str">
        <f t="shared" si="84"/>
        <v/>
      </c>
      <c r="CW330" t="str">
        <f t="shared" si="85"/>
        <v/>
      </c>
      <c r="DR330">
        <v>5302085</v>
      </c>
      <c r="DS330" s="17" t="s">
        <v>156</v>
      </c>
    </row>
    <row r="331" spans="90:123" x14ac:dyDescent="0.15">
      <c r="CL331" s="13" t="str">
        <f t="shared" si="79"/>
        <v/>
      </c>
      <c r="CM331" s="13" t="str">
        <f t="shared" si="79"/>
        <v/>
      </c>
      <c r="CN331" s="13" t="str">
        <f t="shared" si="79"/>
        <v/>
      </c>
      <c r="CO331" s="13" t="str">
        <f t="shared" si="78"/>
        <v/>
      </c>
      <c r="CP331" s="13" t="str">
        <f t="shared" si="78"/>
        <v/>
      </c>
      <c r="CQ331" s="13" t="str">
        <f t="shared" si="78"/>
        <v/>
      </c>
      <c r="CR331" t="str">
        <f t="shared" si="80"/>
        <v/>
      </c>
      <c r="CS331" t="str">
        <f t="shared" si="81"/>
        <v/>
      </c>
      <c r="CT331" t="str">
        <f t="shared" si="82"/>
        <v/>
      </c>
      <c r="CU331" t="str">
        <f t="shared" si="83"/>
        <v/>
      </c>
      <c r="CV331" t="str">
        <f t="shared" si="84"/>
        <v/>
      </c>
      <c r="CW331" t="str">
        <f t="shared" si="85"/>
        <v/>
      </c>
      <c r="DR331">
        <v>5400085</v>
      </c>
      <c r="DS331" s="17" t="s">
        <v>159</v>
      </c>
    </row>
    <row r="332" spans="90:123" x14ac:dyDescent="0.15">
      <c r="CL332" s="13" t="str">
        <f t="shared" si="79"/>
        <v/>
      </c>
      <c r="CM332" s="13" t="str">
        <f t="shared" si="79"/>
        <v/>
      </c>
      <c r="CN332" s="13" t="str">
        <f t="shared" si="79"/>
        <v/>
      </c>
      <c r="CO332" s="13" t="str">
        <f t="shared" si="78"/>
        <v/>
      </c>
      <c r="CP332" s="13" t="str">
        <f t="shared" si="78"/>
        <v/>
      </c>
      <c r="CQ332" s="13" t="str">
        <f t="shared" si="78"/>
        <v/>
      </c>
      <c r="CR332" t="str">
        <f t="shared" si="80"/>
        <v/>
      </c>
      <c r="CS332" t="str">
        <f t="shared" si="81"/>
        <v/>
      </c>
      <c r="CT332" t="str">
        <f t="shared" si="82"/>
        <v/>
      </c>
      <c r="CU332" t="str">
        <f t="shared" si="83"/>
        <v/>
      </c>
      <c r="CV332" t="str">
        <f t="shared" si="84"/>
        <v/>
      </c>
      <c r="CW332" t="str">
        <f t="shared" si="85"/>
        <v/>
      </c>
      <c r="DR332">
        <v>5200091</v>
      </c>
      <c r="DS332" s="17" t="s">
        <v>62</v>
      </c>
    </row>
    <row r="333" spans="90:123" x14ac:dyDescent="0.15">
      <c r="CL333" s="13" t="str">
        <f t="shared" si="79"/>
        <v/>
      </c>
      <c r="CM333" s="13" t="str">
        <f t="shared" si="79"/>
        <v/>
      </c>
      <c r="CN333" s="13" t="str">
        <f t="shared" si="79"/>
        <v/>
      </c>
      <c r="CO333" s="13" t="str">
        <f t="shared" si="78"/>
        <v/>
      </c>
      <c r="CP333" s="13" t="str">
        <f t="shared" si="78"/>
        <v/>
      </c>
      <c r="CQ333" s="13" t="str">
        <f t="shared" si="78"/>
        <v/>
      </c>
      <c r="CR333" t="str">
        <f t="shared" si="80"/>
        <v/>
      </c>
      <c r="CS333" t="str">
        <f t="shared" si="81"/>
        <v/>
      </c>
      <c r="CT333" t="str">
        <f t="shared" si="82"/>
        <v/>
      </c>
      <c r="CU333" t="str">
        <f t="shared" si="83"/>
        <v/>
      </c>
      <c r="CV333" t="str">
        <f t="shared" si="84"/>
        <v/>
      </c>
      <c r="CW333" t="str">
        <f t="shared" si="85"/>
        <v/>
      </c>
      <c r="DR333">
        <v>5201091</v>
      </c>
      <c r="DS333" s="17" t="s">
        <v>65</v>
      </c>
    </row>
    <row r="334" spans="90:123" x14ac:dyDescent="0.15">
      <c r="CL334" s="13" t="str">
        <f t="shared" si="79"/>
        <v/>
      </c>
      <c r="CM334" s="13" t="str">
        <f t="shared" si="79"/>
        <v/>
      </c>
      <c r="CN334" s="13" t="str">
        <f t="shared" si="79"/>
        <v/>
      </c>
      <c r="CO334" s="13" t="str">
        <f t="shared" si="78"/>
        <v/>
      </c>
      <c r="CP334" s="13" t="str">
        <f t="shared" si="78"/>
        <v/>
      </c>
      <c r="CQ334" s="13" t="str">
        <f t="shared" si="78"/>
        <v/>
      </c>
      <c r="CR334" t="str">
        <f t="shared" si="80"/>
        <v/>
      </c>
      <c r="CS334" t="str">
        <f t="shared" si="81"/>
        <v/>
      </c>
      <c r="CT334" t="str">
        <f t="shared" si="82"/>
        <v/>
      </c>
      <c r="CU334" t="str">
        <f t="shared" si="83"/>
        <v/>
      </c>
      <c r="CV334" t="str">
        <f t="shared" si="84"/>
        <v/>
      </c>
      <c r="CW334" t="str">
        <f t="shared" si="85"/>
        <v/>
      </c>
      <c r="DR334">
        <v>5202091</v>
      </c>
      <c r="DS334" s="17" t="s">
        <v>68</v>
      </c>
    </row>
    <row r="335" spans="90:123" x14ac:dyDescent="0.15">
      <c r="CL335" s="13" t="str">
        <f t="shared" si="79"/>
        <v/>
      </c>
      <c r="CM335" s="13" t="str">
        <f t="shared" si="79"/>
        <v/>
      </c>
      <c r="CN335" s="13" t="str">
        <f t="shared" si="79"/>
        <v/>
      </c>
      <c r="CO335" s="13" t="str">
        <f t="shared" si="78"/>
        <v/>
      </c>
      <c r="CP335" s="13" t="str">
        <f t="shared" si="78"/>
        <v/>
      </c>
      <c r="CQ335" s="13" t="str">
        <f t="shared" si="78"/>
        <v/>
      </c>
      <c r="CR335" t="str">
        <f t="shared" si="80"/>
        <v/>
      </c>
      <c r="CS335" t="str">
        <f t="shared" si="81"/>
        <v/>
      </c>
      <c r="CT335" t="str">
        <f t="shared" si="82"/>
        <v/>
      </c>
      <c r="CU335" t="str">
        <f t="shared" si="83"/>
        <v/>
      </c>
      <c r="CV335" t="str">
        <f t="shared" si="84"/>
        <v/>
      </c>
      <c r="CW335" t="str">
        <f t="shared" si="85"/>
        <v/>
      </c>
      <c r="DR335">
        <v>5301091</v>
      </c>
      <c r="DS335" s="17" t="s">
        <v>71</v>
      </c>
    </row>
    <row r="336" spans="90:123" x14ac:dyDescent="0.15">
      <c r="CL336" s="13" t="str">
        <f t="shared" si="79"/>
        <v/>
      </c>
      <c r="CM336" s="13" t="str">
        <f t="shared" si="79"/>
        <v/>
      </c>
      <c r="CN336" s="13" t="str">
        <f t="shared" si="79"/>
        <v/>
      </c>
      <c r="CO336" s="13" t="str">
        <f t="shared" si="78"/>
        <v/>
      </c>
      <c r="CP336" s="13" t="str">
        <f t="shared" si="78"/>
        <v/>
      </c>
      <c r="CQ336" s="13" t="str">
        <f t="shared" si="78"/>
        <v/>
      </c>
      <c r="CR336" t="str">
        <f t="shared" si="80"/>
        <v/>
      </c>
      <c r="CS336" t="str">
        <f t="shared" si="81"/>
        <v/>
      </c>
      <c r="CT336" t="str">
        <f t="shared" si="82"/>
        <v/>
      </c>
      <c r="CU336" t="str">
        <f t="shared" si="83"/>
        <v/>
      </c>
      <c r="CV336" t="str">
        <f t="shared" si="84"/>
        <v/>
      </c>
      <c r="CW336" t="str">
        <f t="shared" si="85"/>
        <v/>
      </c>
      <c r="DR336">
        <v>5401091</v>
      </c>
      <c r="DS336" s="17" t="s">
        <v>73</v>
      </c>
    </row>
    <row r="337" spans="90:123" x14ac:dyDescent="0.15">
      <c r="CL337" s="13" t="str">
        <f t="shared" si="79"/>
        <v/>
      </c>
      <c r="CM337" s="13" t="str">
        <f t="shared" si="79"/>
        <v/>
      </c>
      <c r="CN337" s="13" t="str">
        <f t="shared" si="79"/>
        <v/>
      </c>
      <c r="CO337" s="13" t="str">
        <f t="shared" si="78"/>
        <v/>
      </c>
      <c r="CP337" s="13" t="str">
        <f t="shared" si="78"/>
        <v/>
      </c>
      <c r="CQ337" s="13" t="str">
        <f t="shared" si="78"/>
        <v/>
      </c>
      <c r="CR337" t="str">
        <f t="shared" si="80"/>
        <v/>
      </c>
      <c r="CS337" t="str">
        <f t="shared" si="81"/>
        <v/>
      </c>
      <c r="CT337" t="str">
        <f t="shared" si="82"/>
        <v/>
      </c>
      <c r="CU337" t="str">
        <f t="shared" si="83"/>
        <v/>
      </c>
      <c r="CV337" t="str">
        <f t="shared" si="84"/>
        <v/>
      </c>
      <c r="CW337" t="str">
        <f t="shared" si="85"/>
        <v/>
      </c>
      <c r="DR337">
        <v>5402091</v>
      </c>
      <c r="DS337" s="17" t="s">
        <v>76</v>
      </c>
    </row>
    <row r="338" spans="90:123" x14ac:dyDescent="0.15">
      <c r="CL338" s="13" t="str">
        <f t="shared" si="79"/>
        <v/>
      </c>
      <c r="CM338" s="13" t="str">
        <f t="shared" si="79"/>
        <v/>
      </c>
      <c r="CN338" s="13" t="str">
        <f t="shared" si="79"/>
        <v/>
      </c>
      <c r="CO338" s="13" t="str">
        <f t="shared" si="78"/>
        <v/>
      </c>
      <c r="CP338" s="13" t="str">
        <f t="shared" si="78"/>
        <v/>
      </c>
      <c r="CQ338" s="13" t="str">
        <f t="shared" si="78"/>
        <v/>
      </c>
      <c r="CR338" t="str">
        <f t="shared" si="80"/>
        <v/>
      </c>
      <c r="CS338" t="str">
        <f t="shared" si="81"/>
        <v/>
      </c>
      <c r="CT338" t="str">
        <f t="shared" si="82"/>
        <v/>
      </c>
      <c r="CU338" t="str">
        <f t="shared" si="83"/>
        <v/>
      </c>
      <c r="CV338" t="str">
        <f t="shared" si="84"/>
        <v/>
      </c>
      <c r="CW338" t="str">
        <f t="shared" si="85"/>
        <v/>
      </c>
      <c r="DR338">
        <v>5500091</v>
      </c>
      <c r="DS338" s="17" t="s">
        <v>79</v>
      </c>
    </row>
    <row r="339" spans="90:123" x14ac:dyDescent="0.15">
      <c r="CL339" s="13" t="str">
        <f t="shared" si="79"/>
        <v/>
      </c>
      <c r="CM339" s="13" t="str">
        <f t="shared" si="79"/>
        <v/>
      </c>
      <c r="CN339" s="13" t="str">
        <f t="shared" si="79"/>
        <v/>
      </c>
      <c r="CO339" s="13" t="str">
        <f t="shared" si="78"/>
        <v/>
      </c>
      <c r="CP339" s="13" t="str">
        <f t="shared" si="78"/>
        <v/>
      </c>
      <c r="CQ339" s="13" t="str">
        <f t="shared" si="78"/>
        <v/>
      </c>
      <c r="CR339" t="str">
        <f t="shared" si="80"/>
        <v/>
      </c>
      <c r="CS339" t="str">
        <f t="shared" si="81"/>
        <v/>
      </c>
      <c r="CT339" t="str">
        <f t="shared" si="82"/>
        <v/>
      </c>
      <c r="CU339" t="str">
        <f t="shared" si="83"/>
        <v/>
      </c>
      <c r="CV339" t="str">
        <f t="shared" si="84"/>
        <v/>
      </c>
      <c r="CW339" t="str">
        <f t="shared" si="85"/>
        <v/>
      </c>
      <c r="DR339">
        <v>5502091</v>
      </c>
      <c r="DS339" s="17" t="s">
        <v>81</v>
      </c>
    </row>
    <row r="340" spans="90:123" x14ac:dyDescent="0.15">
      <c r="CL340" s="13" t="str">
        <f t="shared" si="79"/>
        <v/>
      </c>
      <c r="CM340" s="13" t="str">
        <f t="shared" si="79"/>
        <v/>
      </c>
      <c r="CN340" s="13" t="str">
        <f t="shared" si="79"/>
        <v/>
      </c>
      <c r="CO340" s="13" t="str">
        <f t="shared" si="78"/>
        <v/>
      </c>
      <c r="CP340" s="13" t="str">
        <f t="shared" si="78"/>
        <v/>
      </c>
      <c r="CQ340" s="13" t="str">
        <f t="shared" si="78"/>
        <v/>
      </c>
      <c r="CR340" t="str">
        <f t="shared" si="80"/>
        <v/>
      </c>
      <c r="CS340" t="str">
        <f t="shared" si="81"/>
        <v/>
      </c>
      <c r="CT340" t="str">
        <f t="shared" si="82"/>
        <v/>
      </c>
      <c r="CU340" t="str">
        <f t="shared" si="83"/>
        <v/>
      </c>
      <c r="CV340" t="str">
        <f t="shared" si="84"/>
        <v/>
      </c>
      <c r="CW340" t="str">
        <f t="shared" si="85"/>
        <v/>
      </c>
      <c r="DR340">
        <v>5601091</v>
      </c>
      <c r="DS340" s="17" t="s">
        <v>84</v>
      </c>
    </row>
    <row r="341" spans="90:123" x14ac:dyDescent="0.15">
      <c r="CL341" s="13" t="str">
        <f t="shared" si="79"/>
        <v/>
      </c>
      <c r="CM341" s="13" t="str">
        <f t="shared" si="79"/>
        <v/>
      </c>
      <c r="CN341" s="13" t="str">
        <f t="shared" si="79"/>
        <v/>
      </c>
      <c r="CO341" s="13" t="str">
        <f t="shared" si="78"/>
        <v/>
      </c>
      <c r="CP341" s="13" t="str">
        <f t="shared" si="78"/>
        <v/>
      </c>
      <c r="CQ341" s="13" t="str">
        <f t="shared" si="78"/>
        <v/>
      </c>
      <c r="CR341" t="str">
        <f t="shared" si="80"/>
        <v/>
      </c>
      <c r="CS341" t="str">
        <f t="shared" si="81"/>
        <v/>
      </c>
      <c r="CT341" t="str">
        <f t="shared" si="82"/>
        <v/>
      </c>
      <c r="CU341" t="str">
        <f t="shared" si="83"/>
        <v/>
      </c>
      <c r="CV341" t="str">
        <f t="shared" si="84"/>
        <v/>
      </c>
      <c r="CW341" t="str">
        <f t="shared" si="85"/>
        <v/>
      </c>
      <c r="DR341">
        <v>5200092</v>
      </c>
      <c r="DS341" s="17" t="s">
        <v>88</v>
      </c>
    </row>
    <row r="342" spans="90:123" x14ac:dyDescent="0.15">
      <c r="CL342" s="13" t="str">
        <f t="shared" si="79"/>
        <v/>
      </c>
      <c r="CM342" s="13" t="str">
        <f t="shared" si="79"/>
        <v/>
      </c>
      <c r="CN342" s="13" t="str">
        <f t="shared" si="79"/>
        <v/>
      </c>
      <c r="CO342" s="13" t="str">
        <f t="shared" si="78"/>
        <v/>
      </c>
      <c r="CP342" s="13" t="str">
        <f t="shared" si="78"/>
        <v/>
      </c>
      <c r="CQ342" s="13" t="str">
        <f t="shared" si="78"/>
        <v/>
      </c>
      <c r="CR342" t="str">
        <f t="shared" si="80"/>
        <v/>
      </c>
      <c r="CS342" t="str">
        <f t="shared" si="81"/>
        <v/>
      </c>
      <c r="CT342" t="str">
        <f t="shared" si="82"/>
        <v/>
      </c>
      <c r="CU342" t="str">
        <f t="shared" si="83"/>
        <v/>
      </c>
      <c r="CV342" t="str">
        <f t="shared" si="84"/>
        <v/>
      </c>
      <c r="CW342" t="str">
        <f t="shared" si="85"/>
        <v/>
      </c>
      <c r="DR342">
        <v>5201092</v>
      </c>
      <c r="DS342" s="17" t="s">
        <v>92</v>
      </c>
    </row>
    <row r="343" spans="90:123" x14ac:dyDescent="0.15">
      <c r="CL343" s="13" t="str">
        <f t="shared" si="79"/>
        <v/>
      </c>
      <c r="CM343" s="13" t="str">
        <f t="shared" si="79"/>
        <v/>
      </c>
      <c r="CN343" s="13" t="str">
        <f t="shared" si="79"/>
        <v/>
      </c>
      <c r="CO343" s="13" t="str">
        <f t="shared" si="78"/>
        <v/>
      </c>
      <c r="CP343" s="13" t="str">
        <f t="shared" si="78"/>
        <v/>
      </c>
      <c r="CQ343" s="13" t="str">
        <f t="shared" si="78"/>
        <v/>
      </c>
      <c r="CR343" t="str">
        <f t="shared" si="80"/>
        <v/>
      </c>
      <c r="CS343" t="str">
        <f t="shared" si="81"/>
        <v/>
      </c>
      <c r="CT343" t="str">
        <f t="shared" si="82"/>
        <v/>
      </c>
      <c r="CU343" t="str">
        <f t="shared" si="83"/>
        <v/>
      </c>
      <c r="CV343" t="str">
        <f t="shared" si="84"/>
        <v/>
      </c>
      <c r="CW343" t="str">
        <f t="shared" si="85"/>
        <v/>
      </c>
      <c r="DR343">
        <v>5202092</v>
      </c>
      <c r="DS343" s="17" t="s">
        <v>95</v>
      </c>
    </row>
    <row r="344" spans="90:123" x14ac:dyDescent="0.15">
      <c r="CL344" s="13" t="str">
        <f t="shared" si="79"/>
        <v/>
      </c>
      <c r="CM344" s="13" t="str">
        <f t="shared" si="79"/>
        <v/>
      </c>
      <c r="CN344" s="13" t="str">
        <f t="shared" si="79"/>
        <v/>
      </c>
      <c r="CO344" s="13" t="str">
        <f t="shared" si="78"/>
        <v/>
      </c>
      <c r="CP344" s="13" t="str">
        <f t="shared" si="78"/>
        <v/>
      </c>
      <c r="CQ344" s="13" t="str">
        <f t="shared" si="78"/>
        <v/>
      </c>
      <c r="CR344" t="str">
        <f t="shared" si="80"/>
        <v/>
      </c>
      <c r="CS344" t="str">
        <f t="shared" si="81"/>
        <v/>
      </c>
      <c r="CT344" t="str">
        <f t="shared" si="82"/>
        <v/>
      </c>
      <c r="CU344" t="str">
        <f t="shared" si="83"/>
        <v/>
      </c>
      <c r="CV344" t="str">
        <f t="shared" si="84"/>
        <v/>
      </c>
      <c r="CW344" t="str">
        <f t="shared" si="85"/>
        <v/>
      </c>
      <c r="DR344">
        <v>5301092</v>
      </c>
      <c r="DS344" s="17" t="s">
        <v>98</v>
      </c>
    </row>
    <row r="345" spans="90:123" x14ac:dyDescent="0.15">
      <c r="CL345" s="13" t="str">
        <f t="shared" si="79"/>
        <v/>
      </c>
      <c r="CM345" s="13" t="str">
        <f t="shared" si="79"/>
        <v/>
      </c>
      <c r="CN345" s="13" t="str">
        <f t="shared" si="79"/>
        <v/>
      </c>
      <c r="CO345" s="13" t="str">
        <f t="shared" si="78"/>
        <v/>
      </c>
      <c r="CP345" s="13" t="str">
        <f t="shared" si="78"/>
        <v/>
      </c>
      <c r="CQ345" s="13" t="str">
        <f t="shared" si="78"/>
        <v/>
      </c>
      <c r="CR345" t="str">
        <f t="shared" si="80"/>
        <v/>
      </c>
      <c r="CS345" t="str">
        <f t="shared" si="81"/>
        <v/>
      </c>
      <c r="CT345" t="str">
        <f t="shared" si="82"/>
        <v/>
      </c>
      <c r="CU345" t="str">
        <f t="shared" si="83"/>
        <v/>
      </c>
      <c r="CV345" t="str">
        <f t="shared" si="84"/>
        <v/>
      </c>
      <c r="CW345" t="str">
        <f t="shared" si="85"/>
        <v/>
      </c>
      <c r="DR345">
        <v>5401092</v>
      </c>
      <c r="DS345" s="17" t="s">
        <v>101</v>
      </c>
    </row>
    <row r="346" spans="90:123" x14ac:dyDescent="0.15">
      <c r="CL346" s="13" t="str">
        <f t="shared" si="79"/>
        <v/>
      </c>
      <c r="CM346" s="13" t="str">
        <f t="shared" si="79"/>
        <v/>
      </c>
      <c r="CN346" s="13" t="str">
        <f t="shared" si="79"/>
        <v/>
      </c>
      <c r="CO346" s="13" t="str">
        <f t="shared" si="78"/>
        <v/>
      </c>
      <c r="CP346" s="13" t="str">
        <f t="shared" si="78"/>
        <v/>
      </c>
      <c r="CQ346" s="13" t="str">
        <f t="shared" si="78"/>
        <v/>
      </c>
      <c r="CR346" t="str">
        <f t="shared" si="80"/>
        <v/>
      </c>
      <c r="CS346" t="str">
        <f t="shared" si="81"/>
        <v/>
      </c>
      <c r="CT346" t="str">
        <f t="shared" si="82"/>
        <v/>
      </c>
      <c r="CU346" t="str">
        <f t="shared" si="83"/>
        <v/>
      </c>
      <c r="CV346" t="str">
        <f t="shared" si="84"/>
        <v/>
      </c>
      <c r="CW346" t="str">
        <f t="shared" si="85"/>
        <v/>
      </c>
      <c r="DR346">
        <v>5402092</v>
      </c>
      <c r="DS346" s="17" t="s">
        <v>103</v>
      </c>
    </row>
    <row r="347" spans="90:123" x14ac:dyDescent="0.15">
      <c r="CL347" s="13" t="str">
        <f t="shared" si="79"/>
        <v/>
      </c>
      <c r="CM347" s="13" t="str">
        <f t="shared" si="79"/>
        <v/>
      </c>
      <c r="CN347" s="13" t="str">
        <f t="shared" si="79"/>
        <v/>
      </c>
      <c r="CO347" s="13" t="str">
        <f t="shared" si="78"/>
        <v/>
      </c>
      <c r="CP347" s="13" t="str">
        <f t="shared" si="78"/>
        <v/>
      </c>
      <c r="CQ347" s="13" t="str">
        <f t="shared" si="78"/>
        <v/>
      </c>
      <c r="CR347" t="str">
        <f t="shared" si="80"/>
        <v/>
      </c>
      <c r="CS347" t="str">
        <f t="shared" si="81"/>
        <v/>
      </c>
      <c r="CT347" t="str">
        <f t="shared" si="82"/>
        <v/>
      </c>
      <c r="CU347" t="str">
        <f t="shared" si="83"/>
        <v/>
      </c>
      <c r="CV347" t="str">
        <f t="shared" si="84"/>
        <v/>
      </c>
      <c r="CW347" t="str">
        <f t="shared" si="85"/>
        <v/>
      </c>
      <c r="DR347">
        <v>5500092</v>
      </c>
      <c r="DS347" s="17" t="s">
        <v>107</v>
      </c>
    </row>
    <row r="348" spans="90:123" x14ac:dyDescent="0.15">
      <c r="CL348" s="13" t="str">
        <f t="shared" si="79"/>
        <v/>
      </c>
      <c r="CM348" s="13" t="str">
        <f t="shared" si="79"/>
        <v/>
      </c>
      <c r="CN348" s="13" t="str">
        <f t="shared" si="79"/>
        <v/>
      </c>
      <c r="CO348" s="13" t="str">
        <f t="shared" si="78"/>
        <v/>
      </c>
      <c r="CP348" s="13" t="str">
        <f t="shared" si="78"/>
        <v/>
      </c>
      <c r="CQ348" s="13" t="str">
        <f t="shared" si="78"/>
        <v/>
      </c>
      <c r="CR348" t="str">
        <f t="shared" si="80"/>
        <v/>
      </c>
      <c r="CS348" t="str">
        <f t="shared" si="81"/>
        <v/>
      </c>
      <c r="CT348" t="str">
        <f t="shared" si="82"/>
        <v/>
      </c>
      <c r="CU348" t="str">
        <f t="shared" si="83"/>
        <v/>
      </c>
      <c r="CV348" t="str">
        <f t="shared" si="84"/>
        <v/>
      </c>
      <c r="CW348" t="str">
        <f t="shared" si="85"/>
        <v/>
      </c>
      <c r="DR348">
        <v>5502092</v>
      </c>
      <c r="DS348" s="17" t="s">
        <v>111</v>
      </c>
    </row>
    <row r="349" spans="90:123" x14ac:dyDescent="0.15">
      <c r="CL349" s="13" t="str">
        <f t="shared" si="79"/>
        <v/>
      </c>
      <c r="CM349" s="13" t="str">
        <f t="shared" si="79"/>
        <v/>
      </c>
      <c r="CN349" s="13" t="str">
        <f t="shared" si="79"/>
        <v/>
      </c>
      <c r="CO349" s="13" t="str">
        <f t="shared" si="78"/>
        <v/>
      </c>
      <c r="CP349" s="13" t="str">
        <f t="shared" si="78"/>
        <v/>
      </c>
      <c r="CQ349" s="13" t="str">
        <f t="shared" si="78"/>
        <v/>
      </c>
      <c r="CR349" t="str">
        <f t="shared" si="80"/>
        <v/>
      </c>
      <c r="CS349" t="str">
        <f t="shared" si="81"/>
        <v/>
      </c>
      <c r="CT349" t="str">
        <f t="shared" si="82"/>
        <v/>
      </c>
      <c r="CU349" t="str">
        <f t="shared" si="83"/>
        <v/>
      </c>
      <c r="CV349" t="str">
        <f t="shared" si="84"/>
        <v/>
      </c>
      <c r="CW349" t="str">
        <f t="shared" si="85"/>
        <v/>
      </c>
      <c r="DR349">
        <v>5601092</v>
      </c>
      <c r="DS349" s="17" t="s">
        <v>114</v>
      </c>
    </row>
    <row r="350" spans="90:123" x14ac:dyDescent="0.15">
      <c r="CL350" s="13" t="str">
        <f t="shared" si="79"/>
        <v/>
      </c>
      <c r="CM350" s="13" t="str">
        <f t="shared" si="79"/>
        <v/>
      </c>
      <c r="CN350" s="13" t="str">
        <f t="shared" si="79"/>
        <v/>
      </c>
      <c r="CO350" s="13" t="str">
        <f t="shared" si="78"/>
        <v/>
      </c>
      <c r="CP350" s="13" t="str">
        <f t="shared" si="78"/>
        <v/>
      </c>
      <c r="CQ350" s="13" t="str">
        <f t="shared" si="78"/>
        <v/>
      </c>
      <c r="CR350" t="str">
        <f t="shared" si="80"/>
        <v/>
      </c>
      <c r="CS350" t="str">
        <f t="shared" si="81"/>
        <v/>
      </c>
      <c r="CT350" t="str">
        <f t="shared" si="82"/>
        <v/>
      </c>
      <c r="CU350" t="str">
        <f t="shared" si="83"/>
        <v/>
      </c>
      <c r="CV350" t="str">
        <f t="shared" si="84"/>
        <v/>
      </c>
      <c r="CW350" t="str">
        <f t="shared" si="85"/>
        <v/>
      </c>
      <c r="DR350">
        <v>5200093</v>
      </c>
      <c r="DS350" s="17" t="s">
        <v>118</v>
      </c>
    </row>
    <row r="351" spans="90:123" x14ac:dyDescent="0.15">
      <c r="CL351" s="13" t="str">
        <f t="shared" si="79"/>
        <v/>
      </c>
      <c r="CM351" s="13" t="str">
        <f t="shared" si="79"/>
        <v/>
      </c>
      <c r="CN351" s="13" t="str">
        <f t="shared" si="79"/>
        <v/>
      </c>
      <c r="CO351" s="13" t="str">
        <f t="shared" si="78"/>
        <v/>
      </c>
      <c r="CP351" s="13" t="str">
        <f t="shared" si="78"/>
        <v/>
      </c>
      <c r="CQ351" s="13" t="str">
        <f t="shared" si="78"/>
        <v/>
      </c>
      <c r="CR351" t="str">
        <f t="shared" si="80"/>
        <v/>
      </c>
      <c r="CS351" t="str">
        <f t="shared" si="81"/>
        <v/>
      </c>
      <c r="CT351" t="str">
        <f t="shared" si="82"/>
        <v/>
      </c>
      <c r="CU351" t="str">
        <f t="shared" si="83"/>
        <v/>
      </c>
      <c r="CV351" t="str">
        <f t="shared" si="84"/>
        <v/>
      </c>
      <c r="CW351" t="str">
        <f t="shared" si="85"/>
        <v/>
      </c>
      <c r="DR351">
        <v>5201093</v>
      </c>
      <c r="DS351" s="17" t="s">
        <v>121</v>
      </c>
    </row>
    <row r="352" spans="90:123" x14ac:dyDescent="0.15">
      <c r="CL352" s="13" t="str">
        <f t="shared" si="79"/>
        <v/>
      </c>
      <c r="CM352" s="13" t="str">
        <f t="shared" si="79"/>
        <v/>
      </c>
      <c r="CN352" s="13" t="str">
        <f t="shared" si="79"/>
        <v/>
      </c>
      <c r="CO352" s="13" t="str">
        <f t="shared" si="78"/>
        <v/>
      </c>
      <c r="CP352" s="13" t="str">
        <f t="shared" si="78"/>
        <v/>
      </c>
      <c r="CQ352" s="13" t="str">
        <f t="shared" si="78"/>
        <v/>
      </c>
      <c r="CR352" t="str">
        <f t="shared" si="80"/>
        <v/>
      </c>
      <c r="CS352" t="str">
        <f t="shared" si="81"/>
        <v/>
      </c>
      <c r="CT352" t="str">
        <f t="shared" si="82"/>
        <v/>
      </c>
      <c r="CU352" t="str">
        <f t="shared" si="83"/>
        <v/>
      </c>
      <c r="CV352" t="str">
        <f t="shared" si="84"/>
        <v/>
      </c>
      <c r="CW352" t="str">
        <f t="shared" si="85"/>
        <v/>
      </c>
      <c r="DR352">
        <v>5202093</v>
      </c>
      <c r="DS352" s="17" t="s">
        <v>124</v>
      </c>
    </row>
    <row r="353" spans="90:123" x14ac:dyDescent="0.15">
      <c r="CL353" s="13" t="str">
        <f t="shared" si="79"/>
        <v/>
      </c>
      <c r="CM353" s="13" t="str">
        <f t="shared" si="79"/>
        <v/>
      </c>
      <c r="CN353" s="13" t="str">
        <f t="shared" si="79"/>
        <v/>
      </c>
      <c r="CO353" s="13" t="str">
        <f t="shared" si="78"/>
        <v/>
      </c>
      <c r="CP353" s="13" t="str">
        <f t="shared" si="78"/>
        <v/>
      </c>
      <c r="CQ353" s="13" t="str">
        <f t="shared" si="78"/>
        <v/>
      </c>
      <c r="CR353" t="str">
        <f t="shared" si="80"/>
        <v/>
      </c>
      <c r="CS353" t="str">
        <f t="shared" si="81"/>
        <v/>
      </c>
      <c r="CT353" t="str">
        <f t="shared" si="82"/>
        <v/>
      </c>
      <c r="CU353" t="str">
        <f t="shared" si="83"/>
        <v/>
      </c>
      <c r="CV353" t="str">
        <f t="shared" si="84"/>
        <v/>
      </c>
      <c r="CW353" t="str">
        <f t="shared" si="85"/>
        <v/>
      </c>
      <c r="DR353">
        <v>5301093</v>
      </c>
      <c r="DS353" s="17" t="s">
        <v>126</v>
      </c>
    </row>
    <row r="354" spans="90:123" x14ac:dyDescent="0.15">
      <c r="CL354" s="13" t="str">
        <f t="shared" si="79"/>
        <v/>
      </c>
      <c r="CM354" s="13" t="str">
        <f t="shared" si="79"/>
        <v/>
      </c>
      <c r="CN354" s="13" t="str">
        <f t="shared" si="79"/>
        <v/>
      </c>
      <c r="CO354" s="13" t="str">
        <f t="shared" si="78"/>
        <v/>
      </c>
      <c r="CP354" s="13" t="str">
        <f t="shared" si="78"/>
        <v/>
      </c>
      <c r="CQ354" s="13" t="str">
        <f t="shared" si="78"/>
        <v/>
      </c>
      <c r="CR354" t="str">
        <f t="shared" si="80"/>
        <v/>
      </c>
      <c r="CS354" t="str">
        <f t="shared" si="81"/>
        <v/>
      </c>
      <c r="CT354" t="str">
        <f t="shared" si="82"/>
        <v/>
      </c>
      <c r="CU354" t="str">
        <f t="shared" si="83"/>
        <v/>
      </c>
      <c r="CV354" t="str">
        <f t="shared" si="84"/>
        <v/>
      </c>
      <c r="CW354" t="str">
        <f t="shared" si="85"/>
        <v/>
      </c>
      <c r="DR354">
        <v>5401093</v>
      </c>
      <c r="DS354" s="17" t="s">
        <v>130</v>
      </c>
    </row>
    <row r="355" spans="90:123" x14ac:dyDescent="0.15">
      <c r="CL355" s="13" t="str">
        <f t="shared" si="79"/>
        <v/>
      </c>
      <c r="CM355" s="13" t="str">
        <f t="shared" si="79"/>
        <v/>
      </c>
      <c r="CN355" s="13" t="str">
        <f t="shared" si="79"/>
        <v/>
      </c>
      <c r="CO355" s="13" t="str">
        <f t="shared" si="78"/>
        <v/>
      </c>
      <c r="CP355" s="13" t="str">
        <f t="shared" si="78"/>
        <v/>
      </c>
      <c r="CQ355" s="13" t="str">
        <f t="shared" si="78"/>
        <v/>
      </c>
      <c r="CR355" t="str">
        <f t="shared" si="80"/>
        <v/>
      </c>
      <c r="CS355" t="str">
        <f t="shared" si="81"/>
        <v/>
      </c>
      <c r="CT355" t="str">
        <f t="shared" si="82"/>
        <v/>
      </c>
      <c r="CU355" t="str">
        <f t="shared" si="83"/>
        <v/>
      </c>
      <c r="CV355" t="str">
        <f t="shared" si="84"/>
        <v/>
      </c>
      <c r="CW355" t="str">
        <f t="shared" si="85"/>
        <v/>
      </c>
      <c r="DR355">
        <v>5402093</v>
      </c>
      <c r="DS355" s="17" t="s">
        <v>135</v>
      </c>
    </row>
    <row r="356" spans="90:123" x14ac:dyDescent="0.15">
      <c r="CL356" s="13" t="str">
        <f t="shared" si="79"/>
        <v/>
      </c>
      <c r="CM356" s="13" t="str">
        <f t="shared" si="79"/>
        <v/>
      </c>
      <c r="CN356" s="13" t="str">
        <f t="shared" si="79"/>
        <v/>
      </c>
      <c r="CO356" s="13" t="str">
        <f t="shared" si="78"/>
        <v/>
      </c>
      <c r="CP356" s="13" t="str">
        <f t="shared" si="78"/>
        <v/>
      </c>
      <c r="CQ356" s="13" t="str">
        <f t="shared" si="78"/>
        <v/>
      </c>
      <c r="CR356" t="str">
        <f t="shared" si="80"/>
        <v/>
      </c>
      <c r="CS356" t="str">
        <f t="shared" si="81"/>
        <v/>
      </c>
      <c r="CT356" t="str">
        <f t="shared" si="82"/>
        <v/>
      </c>
      <c r="CU356" t="str">
        <f t="shared" si="83"/>
        <v/>
      </c>
      <c r="CV356" t="str">
        <f t="shared" si="84"/>
        <v/>
      </c>
      <c r="CW356" t="str">
        <f t="shared" si="85"/>
        <v/>
      </c>
      <c r="DR356">
        <v>5500093</v>
      </c>
      <c r="DS356" s="17" t="s">
        <v>139</v>
      </c>
    </row>
    <row r="357" spans="90:123" x14ac:dyDescent="0.15">
      <c r="CL357" s="13" t="str">
        <f t="shared" si="79"/>
        <v/>
      </c>
      <c r="CM357" s="13" t="str">
        <f t="shared" si="79"/>
        <v/>
      </c>
      <c r="CN357" s="13" t="str">
        <f t="shared" si="79"/>
        <v/>
      </c>
      <c r="CO357" s="13" t="str">
        <f t="shared" si="78"/>
        <v/>
      </c>
      <c r="CP357" s="13" t="str">
        <f t="shared" si="78"/>
        <v/>
      </c>
      <c r="CQ357" s="13" t="str">
        <f t="shared" si="78"/>
        <v/>
      </c>
      <c r="CR357" t="str">
        <f t="shared" si="80"/>
        <v/>
      </c>
      <c r="CS357" t="str">
        <f t="shared" si="81"/>
        <v/>
      </c>
      <c r="CT357" t="str">
        <f t="shared" si="82"/>
        <v/>
      </c>
      <c r="CU357" t="str">
        <f t="shared" si="83"/>
        <v/>
      </c>
      <c r="CV357" t="str">
        <f t="shared" si="84"/>
        <v/>
      </c>
      <c r="CW357" t="str">
        <f t="shared" si="85"/>
        <v/>
      </c>
      <c r="DR357">
        <v>5502093</v>
      </c>
      <c r="DS357" s="17" t="s">
        <v>141</v>
      </c>
    </row>
    <row r="358" spans="90:123" x14ac:dyDescent="0.15">
      <c r="CL358" s="13" t="str">
        <f t="shared" si="79"/>
        <v/>
      </c>
      <c r="CM358" s="13" t="str">
        <f t="shared" si="79"/>
        <v/>
      </c>
      <c r="CN358" s="13" t="str">
        <f t="shared" si="79"/>
        <v/>
      </c>
      <c r="CO358" s="13" t="str">
        <f t="shared" si="78"/>
        <v/>
      </c>
      <c r="CP358" s="13" t="str">
        <f t="shared" si="78"/>
        <v/>
      </c>
      <c r="CQ358" s="13" t="str">
        <f t="shared" si="78"/>
        <v/>
      </c>
      <c r="CR358" t="str">
        <f t="shared" si="80"/>
        <v/>
      </c>
      <c r="CS358" t="str">
        <f t="shared" si="81"/>
        <v/>
      </c>
      <c r="CT358" t="str">
        <f t="shared" si="82"/>
        <v/>
      </c>
      <c r="CU358" t="str">
        <f t="shared" si="83"/>
        <v/>
      </c>
      <c r="CV358" t="str">
        <f t="shared" si="84"/>
        <v/>
      </c>
      <c r="CW358" t="str">
        <f t="shared" si="85"/>
        <v/>
      </c>
      <c r="DR358">
        <v>5601093</v>
      </c>
      <c r="DS358" s="17" t="s">
        <v>143</v>
      </c>
    </row>
    <row r="359" spans="90:123" x14ac:dyDescent="0.15">
      <c r="CL359" s="13" t="str">
        <f t="shared" si="79"/>
        <v/>
      </c>
      <c r="CM359" s="13" t="str">
        <f t="shared" si="79"/>
        <v/>
      </c>
      <c r="CN359" s="13" t="str">
        <f t="shared" si="79"/>
        <v/>
      </c>
      <c r="CO359" s="13" t="str">
        <f t="shared" si="78"/>
        <v/>
      </c>
      <c r="CP359" s="13" t="str">
        <f t="shared" si="78"/>
        <v/>
      </c>
      <c r="CQ359" s="13" t="str">
        <f t="shared" si="78"/>
        <v/>
      </c>
      <c r="CR359" t="str">
        <f t="shared" si="80"/>
        <v/>
      </c>
      <c r="CS359" t="str">
        <f t="shared" si="81"/>
        <v/>
      </c>
      <c r="CT359" t="str">
        <f t="shared" si="82"/>
        <v/>
      </c>
      <c r="CU359" t="str">
        <f t="shared" si="83"/>
        <v/>
      </c>
      <c r="CV359" t="str">
        <f t="shared" si="84"/>
        <v/>
      </c>
      <c r="CW359" t="str">
        <f t="shared" si="85"/>
        <v/>
      </c>
      <c r="DR359">
        <v>5501094</v>
      </c>
      <c r="DS359" s="17" t="s">
        <v>145</v>
      </c>
    </row>
    <row r="360" spans="90:123" x14ac:dyDescent="0.15">
      <c r="CL360" s="13" t="str">
        <f t="shared" si="79"/>
        <v/>
      </c>
      <c r="CM360" s="13" t="str">
        <f t="shared" si="79"/>
        <v/>
      </c>
      <c r="CN360" s="13" t="str">
        <f t="shared" si="79"/>
        <v/>
      </c>
      <c r="CO360" s="13" t="str">
        <f t="shared" si="78"/>
        <v/>
      </c>
      <c r="CP360" s="13" t="str">
        <f t="shared" si="78"/>
        <v/>
      </c>
      <c r="CQ360" s="13" t="str">
        <f t="shared" si="78"/>
        <v/>
      </c>
      <c r="CR360" t="str">
        <f t="shared" si="80"/>
        <v/>
      </c>
      <c r="CS360" t="str">
        <f t="shared" si="81"/>
        <v/>
      </c>
      <c r="CT360" t="str">
        <f t="shared" si="82"/>
        <v/>
      </c>
      <c r="CU360" t="str">
        <f t="shared" si="83"/>
        <v/>
      </c>
      <c r="CV360" t="str">
        <f t="shared" si="84"/>
        <v/>
      </c>
      <c r="CW360" t="str">
        <f t="shared" si="85"/>
        <v/>
      </c>
      <c r="DR360">
        <v>5600094</v>
      </c>
      <c r="DS360" s="17" t="s">
        <v>148</v>
      </c>
    </row>
    <row r="361" spans="90:123" x14ac:dyDescent="0.15">
      <c r="CL361" s="13" t="str">
        <f t="shared" si="79"/>
        <v/>
      </c>
      <c r="CM361" s="13" t="str">
        <f t="shared" si="79"/>
        <v/>
      </c>
      <c r="CN361" s="13" t="str">
        <f t="shared" si="79"/>
        <v/>
      </c>
      <c r="CO361" s="13" t="str">
        <f t="shared" si="78"/>
        <v/>
      </c>
      <c r="CP361" s="13" t="str">
        <f t="shared" si="78"/>
        <v/>
      </c>
      <c r="CQ361" s="13" t="str">
        <f t="shared" si="78"/>
        <v/>
      </c>
      <c r="CR361" t="str">
        <f t="shared" si="80"/>
        <v/>
      </c>
      <c r="CS361" t="str">
        <f t="shared" si="81"/>
        <v/>
      </c>
      <c r="CT361" t="str">
        <f t="shared" si="82"/>
        <v/>
      </c>
      <c r="CU361" t="str">
        <f t="shared" si="83"/>
        <v/>
      </c>
      <c r="CV361" t="str">
        <f t="shared" si="84"/>
        <v/>
      </c>
      <c r="CW361" t="str">
        <f t="shared" si="85"/>
        <v/>
      </c>
      <c r="DR361">
        <v>5602094</v>
      </c>
      <c r="DS361" s="17" t="s">
        <v>150</v>
      </c>
    </row>
    <row r="362" spans="90:123" x14ac:dyDescent="0.15">
      <c r="CL362" s="13" t="str">
        <f t="shared" si="79"/>
        <v/>
      </c>
      <c r="CM362" s="13" t="str">
        <f t="shared" si="79"/>
        <v/>
      </c>
      <c r="CN362" s="13" t="str">
        <f t="shared" si="79"/>
        <v/>
      </c>
      <c r="CO362" s="13" t="str">
        <f t="shared" si="79"/>
        <v/>
      </c>
      <c r="CP362" s="13" t="str">
        <f t="shared" si="79"/>
        <v/>
      </c>
      <c r="CQ362" s="13" t="str">
        <f t="shared" si="79"/>
        <v/>
      </c>
      <c r="CR362" t="str">
        <f t="shared" si="80"/>
        <v/>
      </c>
      <c r="CS362" t="str">
        <f t="shared" si="81"/>
        <v/>
      </c>
      <c r="CT362" t="str">
        <f t="shared" si="82"/>
        <v/>
      </c>
      <c r="CU362" t="str">
        <f t="shared" si="83"/>
        <v/>
      </c>
      <c r="CV362" t="str">
        <f t="shared" si="84"/>
        <v/>
      </c>
      <c r="CW362" t="str">
        <f t="shared" si="85"/>
        <v/>
      </c>
      <c r="DR362">
        <v>5300095</v>
      </c>
      <c r="DS362" s="17" t="s">
        <v>153</v>
      </c>
    </row>
    <row r="363" spans="90:123" x14ac:dyDescent="0.15">
      <c r="CL363" s="13" t="str">
        <f t="shared" ref="CL363:CQ405" si="86">IF(DJ363&lt;&gt;"",IF(ISERROR(MATCH(INT(CR363),$DR$4:$DR$1516,0))=FALSE,TRUE),"")</f>
        <v/>
      </c>
      <c r="CM363" s="13" t="str">
        <f t="shared" si="86"/>
        <v/>
      </c>
      <c r="CN363" s="13" t="str">
        <f t="shared" si="86"/>
        <v/>
      </c>
      <c r="CO363" s="13" t="str">
        <f t="shared" si="86"/>
        <v/>
      </c>
      <c r="CP363" s="13" t="str">
        <f t="shared" si="86"/>
        <v/>
      </c>
      <c r="CQ363" s="13" t="str">
        <f t="shared" si="86"/>
        <v/>
      </c>
      <c r="CR363" t="str">
        <f t="shared" si="80"/>
        <v/>
      </c>
      <c r="CS363" t="str">
        <f t="shared" si="81"/>
        <v/>
      </c>
      <c r="CT363" t="str">
        <f t="shared" si="82"/>
        <v/>
      </c>
      <c r="CU363" t="str">
        <f t="shared" si="83"/>
        <v/>
      </c>
      <c r="CV363" t="str">
        <f t="shared" si="84"/>
        <v/>
      </c>
      <c r="CW363" t="str">
        <f t="shared" si="85"/>
        <v/>
      </c>
      <c r="DR363">
        <v>5302095</v>
      </c>
      <c r="DS363" s="17" t="s">
        <v>156</v>
      </c>
    </row>
    <row r="364" spans="90:123" x14ac:dyDescent="0.15">
      <c r="CL364" s="13" t="str">
        <f t="shared" si="86"/>
        <v/>
      </c>
      <c r="CM364" s="13" t="str">
        <f t="shared" si="86"/>
        <v/>
      </c>
      <c r="CN364" s="13" t="str">
        <f t="shared" si="86"/>
        <v/>
      </c>
      <c r="CO364" s="13" t="str">
        <f t="shared" si="86"/>
        <v/>
      </c>
      <c r="CP364" s="13" t="str">
        <f t="shared" si="86"/>
        <v/>
      </c>
      <c r="CQ364" s="13" t="str">
        <f t="shared" si="86"/>
        <v/>
      </c>
      <c r="CR364" t="str">
        <f t="shared" si="80"/>
        <v/>
      </c>
      <c r="CS364" t="str">
        <f t="shared" si="81"/>
        <v/>
      </c>
      <c r="CT364" t="str">
        <f t="shared" si="82"/>
        <v/>
      </c>
      <c r="CU364" t="str">
        <f t="shared" si="83"/>
        <v/>
      </c>
      <c r="CV364" t="str">
        <f t="shared" si="84"/>
        <v/>
      </c>
      <c r="CW364" t="str">
        <f t="shared" si="85"/>
        <v/>
      </c>
      <c r="DR364">
        <v>5400095</v>
      </c>
      <c r="DS364" s="17" t="s">
        <v>159</v>
      </c>
    </row>
    <row r="365" spans="90:123" x14ac:dyDescent="0.15">
      <c r="CL365" s="13" t="str">
        <f t="shared" si="86"/>
        <v/>
      </c>
      <c r="CM365" s="13" t="str">
        <f t="shared" si="86"/>
        <v/>
      </c>
      <c r="CN365" s="13" t="str">
        <f t="shared" si="86"/>
        <v/>
      </c>
      <c r="CO365" s="13" t="str">
        <f t="shared" si="86"/>
        <v/>
      </c>
      <c r="CP365" s="13" t="str">
        <f t="shared" si="86"/>
        <v/>
      </c>
      <c r="CQ365" s="13" t="str">
        <f t="shared" si="86"/>
        <v/>
      </c>
      <c r="CR365" t="str">
        <f t="shared" si="80"/>
        <v/>
      </c>
      <c r="CS365" t="str">
        <f t="shared" si="81"/>
        <v/>
      </c>
      <c r="CT365" t="str">
        <f t="shared" si="82"/>
        <v/>
      </c>
      <c r="CU365" t="str">
        <f t="shared" si="83"/>
        <v/>
      </c>
      <c r="CV365" t="str">
        <f t="shared" si="84"/>
        <v/>
      </c>
      <c r="CW365" t="str">
        <f t="shared" si="85"/>
        <v/>
      </c>
      <c r="DR365">
        <v>5200101</v>
      </c>
      <c r="DS365" s="17" t="s">
        <v>62</v>
      </c>
    </row>
    <row r="366" spans="90:123" x14ac:dyDescent="0.15">
      <c r="CL366" s="13" t="str">
        <f t="shared" si="86"/>
        <v/>
      </c>
      <c r="CM366" s="13" t="str">
        <f t="shared" si="86"/>
        <v/>
      </c>
      <c r="CN366" s="13" t="str">
        <f t="shared" si="86"/>
        <v/>
      </c>
      <c r="CO366" s="13" t="str">
        <f t="shared" si="86"/>
        <v/>
      </c>
      <c r="CP366" s="13" t="str">
        <f t="shared" si="86"/>
        <v/>
      </c>
      <c r="CQ366" s="13" t="str">
        <f t="shared" si="86"/>
        <v/>
      </c>
      <c r="CR366" t="str">
        <f t="shared" si="80"/>
        <v/>
      </c>
      <c r="CS366" t="str">
        <f t="shared" si="81"/>
        <v/>
      </c>
      <c r="CT366" t="str">
        <f t="shared" si="82"/>
        <v/>
      </c>
      <c r="CU366" t="str">
        <f t="shared" si="83"/>
        <v/>
      </c>
      <c r="CV366" t="str">
        <f t="shared" si="84"/>
        <v/>
      </c>
      <c r="CW366" t="str">
        <f t="shared" si="85"/>
        <v/>
      </c>
      <c r="DR366">
        <v>5201101</v>
      </c>
      <c r="DS366" s="17" t="s">
        <v>65</v>
      </c>
    </row>
    <row r="367" spans="90:123" x14ac:dyDescent="0.15">
      <c r="CL367" s="13" t="str">
        <f t="shared" si="86"/>
        <v/>
      </c>
      <c r="CM367" s="13" t="str">
        <f t="shared" si="86"/>
        <v/>
      </c>
      <c r="CN367" s="13" t="str">
        <f t="shared" si="86"/>
        <v/>
      </c>
      <c r="CO367" s="13" t="str">
        <f t="shared" si="86"/>
        <v/>
      </c>
      <c r="CP367" s="13" t="str">
        <f t="shared" si="86"/>
        <v/>
      </c>
      <c r="CQ367" s="13" t="str">
        <f t="shared" si="86"/>
        <v/>
      </c>
      <c r="CR367" t="str">
        <f t="shared" si="80"/>
        <v/>
      </c>
      <c r="CS367" t="str">
        <f t="shared" si="81"/>
        <v/>
      </c>
      <c r="CT367" t="str">
        <f t="shared" si="82"/>
        <v/>
      </c>
      <c r="CU367" t="str">
        <f t="shared" si="83"/>
        <v/>
      </c>
      <c r="CV367" t="str">
        <f t="shared" si="84"/>
        <v/>
      </c>
      <c r="CW367" t="str">
        <f t="shared" si="85"/>
        <v/>
      </c>
      <c r="DR367">
        <v>5202101</v>
      </c>
      <c r="DS367" s="17" t="s">
        <v>68</v>
      </c>
    </row>
    <row r="368" spans="90:123" x14ac:dyDescent="0.15">
      <c r="CL368" s="13" t="str">
        <f t="shared" si="86"/>
        <v/>
      </c>
      <c r="CM368" s="13" t="str">
        <f t="shared" si="86"/>
        <v/>
      </c>
      <c r="CN368" s="13" t="str">
        <f t="shared" si="86"/>
        <v/>
      </c>
      <c r="CO368" s="13" t="str">
        <f t="shared" si="86"/>
        <v/>
      </c>
      <c r="CP368" s="13" t="str">
        <f t="shared" si="86"/>
        <v/>
      </c>
      <c r="CQ368" s="13" t="str">
        <f t="shared" si="86"/>
        <v/>
      </c>
      <c r="CR368" t="str">
        <f t="shared" si="80"/>
        <v/>
      </c>
      <c r="CS368" t="str">
        <f t="shared" si="81"/>
        <v/>
      </c>
      <c r="CT368" t="str">
        <f t="shared" si="82"/>
        <v/>
      </c>
      <c r="CU368" t="str">
        <f t="shared" si="83"/>
        <v/>
      </c>
      <c r="CV368" t="str">
        <f t="shared" si="84"/>
        <v/>
      </c>
      <c r="CW368" t="str">
        <f t="shared" si="85"/>
        <v/>
      </c>
      <c r="DR368">
        <v>5301101</v>
      </c>
      <c r="DS368" s="17" t="s">
        <v>71</v>
      </c>
    </row>
    <row r="369" spans="90:123" x14ac:dyDescent="0.15">
      <c r="CL369" s="13" t="str">
        <f t="shared" si="86"/>
        <v/>
      </c>
      <c r="CM369" s="13" t="str">
        <f t="shared" si="86"/>
        <v/>
      </c>
      <c r="CN369" s="13" t="str">
        <f t="shared" si="86"/>
        <v/>
      </c>
      <c r="CO369" s="13" t="str">
        <f t="shared" si="86"/>
        <v/>
      </c>
      <c r="CP369" s="13" t="str">
        <f t="shared" si="86"/>
        <v/>
      </c>
      <c r="CQ369" s="13" t="str">
        <f t="shared" si="86"/>
        <v/>
      </c>
      <c r="CR369" t="str">
        <f t="shared" si="80"/>
        <v/>
      </c>
      <c r="CS369" t="str">
        <f t="shared" si="81"/>
        <v/>
      </c>
      <c r="CT369" t="str">
        <f t="shared" si="82"/>
        <v/>
      </c>
      <c r="CU369" t="str">
        <f t="shared" si="83"/>
        <v/>
      </c>
      <c r="CV369" t="str">
        <f t="shared" si="84"/>
        <v/>
      </c>
      <c r="CW369" t="str">
        <f t="shared" si="85"/>
        <v/>
      </c>
      <c r="DR369">
        <v>5401101</v>
      </c>
      <c r="DS369" s="17" t="s">
        <v>73</v>
      </c>
    </row>
    <row r="370" spans="90:123" x14ac:dyDescent="0.15">
      <c r="CL370" s="13" t="str">
        <f t="shared" si="86"/>
        <v/>
      </c>
      <c r="CM370" s="13" t="str">
        <f t="shared" si="86"/>
        <v/>
      </c>
      <c r="CN370" s="13" t="str">
        <f t="shared" si="86"/>
        <v/>
      </c>
      <c r="CO370" s="13" t="str">
        <f t="shared" si="86"/>
        <v/>
      </c>
      <c r="CP370" s="13" t="str">
        <f t="shared" si="86"/>
        <v/>
      </c>
      <c r="CQ370" s="13" t="str">
        <f t="shared" si="86"/>
        <v/>
      </c>
      <c r="CR370" t="str">
        <f t="shared" si="80"/>
        <v/>
      </c>
      <c r="CS370" t="str">
        <f t="shared" si="81"/>
        <v/>
      </c>
      <c r="CT370" t="str">
        <f t="shared" si="82"/>
        <v/>
      </c>
      <c r="CU370" t="str">
        <f t="shared" si="83"/>
        <v/>
      </c>
      <c r="CV370" t="str">
        <f t="shared" si="84"/>
        <v/>
      </c>
      <c r="CW370" t="str">
        <f t="shared" si="85"/>
        <v/>
      </c>
      <c r="DR370">
        <v>5402101</v>
      </c>
      <c r="DS370" s="17" t="s">
        <v>76</v>
      </c>
    </row>
    <row r="371" spans="90:123" x14ac:dyDescent="0.15">
      <c r="CL371" s="13" t="str">
        <f t="shared" si="86"/>
        <v/>
      </c>
      <c r="CM371" s="13" t="str">
        <f t="shared" si="86"/>
        <v/>
      </c>
      <c r="CN371" s="13" t="str">
        <f t="shared" si="86"/>
        <v/>
      </c>
      <c r="CO371" s="13" t="str">
        <f t="shared" si="86"/>
        <v/>
      </c>
      <c r="CP371" s="13" t="str">
        <f t="shared" si="86"/>
        <v/>
      </c>
      <c r="CQ371" s="13" t="str">
        <f t="shared" si="86"/>
        <v/>
      </c>
      <c r="CR371" t="str">
        <f t="shared" si="80"/>
        <v/>
      </c>
      <c r="CS371" t="str">
        <f t="shared" si="81"/>
        <v/>
      </c>
      <c r="CT371" t="str">
        <f t="shared" si="82"/>
        <v/>
      </c>
      <c r="CU371" t="str">
        <f t="shared" si="83"/>
        <v/>
      </c>
      <c r="CV371" t="str">
        <f t="shared" si="84"/>
        <v/>
      </c>
      <c r="CW371" t="str">
        <f t="shared" si="85"/>
        <v/>
      </c>
      <c r="DR371">
        <v>5500101</v>
      </c>
      <c r="DS371" s="17" t="s">
        <v>79</v>
      </c>
    </row>
    <row r="372" spans="90:123" x14ac:dyDescent="0.15">
      <c r="CL372" s="13" t="str">
        <f t="shared" si="86"/>
        <v/>
      </c>
      <c r="CM372" s="13" t="str">
        <f t="shared" si="86"/>
        <v/>
      </c>
      <c r="CN372" s="13" t="str">
        <f t="shared" si="86"/>
        <v/>
      </c>
      <c r="CO372" s="13" t="str">
        <f t="shared" si="86"/>
        <v/>
      </c>
      <c r="CP372" s="13" t="str">
        <f t="shared" si="86"/>
        <v/>
      </c>
      <c r="CQ372" s="13" t="str">
        <f t="shared" si="86"/>
        <v/>
      </c>
      <c r="CR372" t="str">
        <f t="shared" si="80"/>
        <v/>
      </c>
      <c r="CS372" t="str">
        <f t="shared" si="81"/>
        <v/>
      </c>
      <c r="CT372" t="str">
        <f t="shared" si="82"/>
        <v/>
      </c>
      <c r="CU372" t="str">
        <f t="shared" si="83"/>
        <v/>
      </c>
      <c r="CV372" t="str">
        <f t="shared" si="84"/>
        <v/>
      </c>
      <c r="CW372" t="str">
        <f t="shared" si="85"/>
        <v/>
      </c>
      <c r="DR372">
        <v>5502101</v>
      </c>
      <c r="DS372" s="17" t="s">
        <v>81</v>
      </c>
    </row>
    <row r="373" spans="90:123" x14ac:dyDescent="0.15">
      <c r="CL373" s="13" t="str">
        <f t="shared" si="86"/>
        <v/>
      </c>
      <c r="CM373" s="13" t="str">
        <f t="shared" si="86"/>
        <v/>
      </c>
      <c r="CN373" s="13" t="str">
        <f t="shared" si="86"/>
        <v/>
      </c>
      <c r="CO373" s="13" t="str">
        <f t="shared" si="86"/>
        <v/>
      </c>
      <c r="CP373" s="13" t="str">
        <f t="shared" si="86"/>
        <v/>
      </c>
      <c r="CQ373" s="13" t="str">
        <f t="shared" si="86"/>
        <v/>
      </c>
      <c r="CR373" t="str">
        <f t="shared" si="80"/>
        <v/>
      </c>
      <c r="CS373" t="str">
        <f t="shared" si="81"/>
        <v/>
      </c>
      <c r="CT373" t="str">
        <f t="shared" si="82"/>
        <v/>
      </c>
      <c r="CU373" t="str">
        <f t="shared" si="83"/>
        <v/>
      </c>
      <c r="CV373" t="str">
        <f t="shared" si="84"/>
        <v/>
      </c>
      <c r="CW373" t="str">
        <f t="shared" si="85"/>
        <v/>
      </c>
      <c r="DR373">
        <v>5601101</v>
      </c>
      <c r="DS373" s="17" t="s">
        <v>84</v>
      </c>
    </row>
    <row r="374" spans="90:123" x14ac:dyDescent="0.15">
      <c r="CL374" s="13" t="str">
        <f t="shared" si="86"/>
        <v/>
      </c>
      <c r="CM374" s="13" t="str">
        <f t="shared" si="86"/>
        <v/>
      </c>
      <c r="CN374" s="13" t="str">
        <f t="shared" si="86"/>
        <v/>
      </c>
      <c r="CO374" s="13" t="str">
        <f t="shared" si="86"/>
        <v/>
      </c>
      <c r="CP374" s="13" t="str">
        <f t="shared" si="86"/>
        <v/>
      </c>
      <c r="CQ374" s="13" t="str">
        <f t="shared" si="86"/>
        <v/>
      </c>
      <c r="CR374" t="str">
        <f t="shared" si="80"/>
        <v/>
      </c>
      <c r="CS374" t="str">
        <f t="shared" si="81"/>
        <v/>
      </c>
      <c r="CT374" t="str">
        <f t="shared" si="82"/>
        <v/>
      </c>
      <c r="CU374" t="str">
        <f t="shared" si="83"/>
        <v/>
      </c>
      <c r="CV374" t="str">
        <f t="shared" si="84"/>
        <v/>
      </c>
      <c r="CW374" t="str">
        <f t="shared" si="85"/>
        <v/>
      </c>
      <c r="DR374">
        <v>5200102</v>
      </c>
      <c r="DS374" s="17" t="s">
        <v>88</v>
      </c>
    </row>
    <row r="375" spans="90:123" x14ac:dyDescent="0.15">
      <c r="CL375" s="13" t="str">
        <f t="shared" si="86"/>
        <v/>
      </c>
      <c r="CM375" s="13" t="str">
        <f t="shared" si="86"/>
        <v/>
      </c>
      <c r="CN375" s="13" t="str">
        <f t="shared" si="86"/>
        <v/>
      </c>
      <c r="CO375" s="13" t="str">
        <f t="shared" si="86"/>
        <v/>
      </c>
      <c r="CP375" s="13" t="str">
        <f t="shared" si="86"/>
        <v/>
      </c>
      <c r="CQ375" s="13" t="str">
        <f t="shared" si="86"/>
        <v/>
      </c>
      <c r="CR375" t="str">
        <f t="shared" si="80"/>
        <v/>
      </c>
      <c r="CS375" t="str">
        <f t="shared" si="81"/>
        <v/>
      </c>
      <c r="CT375" t="str">
        <f t="shared" si="82"/>
        <v/>
      </c>
      <c r="CU375" t="str">
        <f t="shared" si="83"/>
        <v/>
      </c>
      <c r="CV375" t="str">
        <f t="shared" si="84"/>
        <v/>
      </c>
      <c r="CW375" t="str">
        <f t="shared" si="85"/>
        <v/>
      </c>
      <c r="DR375">
        <v>5201102</v>
      </c>
      <c r="DS375" s="17" t="s">
        <v>92</v>
      </c>
    </row>
    <row r="376" spans="90:123" x14ac:dyDescent="0.15">
      <c r="CL376" s="13" t="str">
        <f t="shared" si="86"/>
        <v/>
      </c>
      <c r="CM376" s="13" t="str">
        <f t="shared" si="86"/>
        <v/>
      </c>
      <c r="CN376" s="13" t="str">
        <f t="shared" si="86"/>
        <v/>
      </c>
      <c r="CO376" s="13" t="str">
        <f t="shared" si="86"/>
        <v/>
      </c>
      <c r="CP376" s="13" t="str">
        <f t="shared" si="86"/>
        <v/>
      </c>
      <c r="CQ376" s="13" t="str">
        <f t="shared" si="86"/>
        <v/>
      </c>
      <c r="CR376" t="str">
        <f t="shared" si="80"/>
        <v/>
      </c>
      <c r="CS376" t="str">
        <f t="shared" si="81"/>
        <v/>
      </c>
      <c r="CT376" t="str">
        <f t="shared" si="82"/>
        <v/>
      </c>
      <c r="CU376" t="str">
        <f t="shared" si="83"/>
        <v/>
      </c>
      <c r="CV376" t="str">
        <f t="shared" si="84"/>
        <v/>
      </c>
      <c r="CW376" t="str">
        <f t="shared" si="85"/>
        <v/>
      </c>
      <c r="DR376">
        <v>5202102</v>
      </c>
      <c r="DS376" s="17" t="s">
        <v>95</v>
      </c>
    </row>
    <row r="377" spans="90:123" x14ac:dyDescent="0.15">
      <c r="CL377" s="13" t="str">
        <f t="shared" si="86"/>
        <v/>
      </c>
      <c r="CM377" s="13" t="str">
        <f t="shared" si="86"/>
        <v/>
      </c>
      <c r="CN377" s="13" t="str">
        <f t="shared" si="86"/>
        <v/>
      </c>
      <c r="CO377" s="13" t="str">
        <f t="shared" si="86"/>
        <v/>
      </c>
      <c r="CP377" s="13" t="str">
        <f t="shared" si="86"/>
        <v/>
      </c>
      <c r="CQ377" s="13" t="str">
        <f t="shared" si="86"/>
        <v/>
      </c>
      <c r="CR377" t="str">
        <f t="shared" si="80"/>
        <v/>
      </c>
      <c r="CS377" t="str">
        <f t="shared" si="81"/>
        <v/>
      </c>
      <c r="CT377" t="str">
        <f t="shared" si="82"/>
        <v/>
      </c>
      <c r="CU377" t="str">
        <f t="shared" si="83"/>
        <v/>
      </c>
      <c r="CV377" t="str">
        <f t="shared" si="84"/>
        <v/>
      </c>
      <c r="CW377" t="str">
        <f t="shared" si="85"/>
        <v/>
      </c>
      <c r="DR377">
        <v>5301102</v>
      </c>
      <c r="DS377" s="17" t="s">
        <v>98</v>
      </c>
    </row>
    <row r="378" spans="90:123" x14ac:dyDescent="0.15">
      <c r="CL378" s="13" t="str">
        <f t="shared" si="86"/>
        <v/>
      </c>
      <c r="CM378" s="13" t="str">
        <f t="shared" si="86"/>
        <v/>
      </c>
      <c r="CN378" s="13" t="str">
        <f t="shared" si="86"/>
        <v/>
      </c>
      <c r="CO378" s="13" t="str">
        <f t="shared" si="86"/>
        <v/>
      </c>
      <c r="CP378" s="13" t="str">
        <f t="shared" si="86"/>
        <v/>
      </c>
      <c r="CQ378" s="13" t="str">
        <f t="shared" si="86"/>
        <v/>
      </c>
      <c r="CR378" t="str">
        <f t="shared" si="80"/>
        <v/>
      </c>
      <c r="CS378" t="str">
        <f t="shared" si="81"/>
        <v/>
      </c>
      <c r="CT378" t="str">
        <f t="shared" si="82"/>
        <v/>
      </c>
      <c r="CU378" t="str">
        <f t="shared" si="83"/>
        <v/>
      </c>
      <c r="CV378" t="str">
        <f t="shared" si="84"/>
        <v/>
      </c>
      <c r="CW378" t="str">
        <f t="shared" si="85"/>
        <v/>
      </c>
      <c r="DR378">
        <v>5401102</v>
      </c>
      <c r="DS378" s="17" t="s">
        <v>101</v>
      </c>
    </row>
    <row r="379" spans="90:123" x14ac:dyDescent="0.15">
      <c r="CL379" s="13" t="str">
        <f t="shared" si="86"/>
        <v/>
      </c>
      <c r="CM379" s="13" t="str">
        <f t="shared" si="86"/>
        <v/>
      </c>
      <c r="CN379" s="13" t="str">
        <f t="shared" si="86"/>
        <v/>
      </c>
      <c r="CO379" s="13" t="str">
        <f t="shared" si="86"/>
        <v/>
      </c>
      <c r="CP379" s="13" t="str">
        <f t="shared" si="86"/>
        <v/>
      </c>
      <c r="CQ379" s="13" t="str">
        <f t="shared" si="86"/>
        <v/>
      </c>
      <c r="CR379" t="str">
        <f t="shared" si="80"/>
        <v/>
      </c>
      <c r="CS379" t="str">
        <f t="shared" si="81"/>
        <v/>
      </c>
      <c r="CT379" t="str">
        <f t="shared" si="82"/>
        <v/>
      </c>
      <c r="CU379" t="str">
        <f t="shared" si="83"/>
        <v/>
      </c>
      <c r="CV379" t="str">
        <f t="shared" si="84"/>
        <v/>
      </c>
      <c r="CW379" t="str">
        <f t="shared" si="85"/>
        <v/>
      </c>
      <c r="DR379">
        <v>5402102</v>
      </c>
      <c r="DS379" s="17" t="s">
        <v>103</v>
      </c>
    </row>
    <row r="380" spans="90:123" x14ac:dyDescent="0.15">
      <c r="CL380" s="13" t="str">
        <f t="shared" si="86"/>
        <v/>
      </c>
      <c r="CM380" s="13" t="str">
        <f t="shared" si="86"/>
        <v/>
      </c>
      <c r="CN380" s="13" t="str">
        <f t="shared" si="86"/>
        <v/>
      </c>
      <c r="CO380" s="13" t="str">
        <f t="shared" si="86"/>
        <v/>
      </c>
      <c r="CP380" s="13" t="str">
        <f t="shared" si="86"/>
        <v/>
      </c>
      <c r="CQ380" s="13" t="str">
        <f t="shared" si="86"/>
        <v/>
      </c>
      <c r="CR380" t="str">
        <f t="shared" si="80"/>
        <v/>
      </c>
      <c r="CS380" t="str">
        <f t="shared" si="81"/>
        <v/>
      </c>
      <c r="CT380" t="str">
        <f t="shared" si="82"/>
        <v/>
      </c>
      <c r="CU380" t="str">
        <f t="shared" si="83"/>
        <v/>
      </c>
      <c r="CV380" t="str">
        <f t="shared" si="84"/>
        <v/>
      </c>
      <c r="CW380" t="str">
        <f t="shared" si="85"/>
        <v/>
      </c>
      <c r="DR380">
        <v>5500102</v>
      </c>
      <c r="DS380" s="17" t="s">
        <v>107</v>
      </c>
    </row>
    <row r="381" spans="90:123" x14ac:dyDescent="0.15">
      <c r="CL381" s="13" t="str">
        <f t="shared" si="86"/>
        <v/>
      </c>
      <c r="CM381" s="13" t="str">
        <f t="shared" si="86"/>
        <v/>
      </c>
      <c r="CN381" s="13" t="str">
        <f t="shared" si="86"/>
        <v/>
      </c>
      <c r="CO381" s="13" t="str">
        <f t="shared" si="86"/>
        <v/>
      </c>
      <c r="CP381" s="13" t="str">
        <f t="shared" si="86"/>
        <v/>
      </c>
      <c r="CQ381" s="13" t="str">
        <f t="shared" si="86"/>
        <v/>
      </c>
      <c r="CR381" t="str">
        <f t="shared" si="80"/>
        <v/>
      </c>
      <c r="CS381" t="str">
        <f t="shared" si="81"/>
        <v/>
      </c>
      <c r="CT381" t="str">
        <f t="shared" si="82"/>
        <v/>
      </c>
      <c r="CU381" t="str">
        <f t="shared" si="83"/>
        <v/>
      </c>
      <c r="CV381" t="str">
        <f t="shared" si="84"/>
        <v/>
      </c>
      <c r="CW381" t="str">
        <f t="shared" si="85"/>
        <v/>
      </c>
      <c r="DR381">
        <v>5502102</v>
      </c>
      <c r="DS381" s="17" t="s">
        <v>111</v>
      </c>
    </row>
    <row r="382" spans="90:123" x14ac:dyDescent="0.15">
      <c r="CL382" s="13" t="str">
        <f t="shared" si="86"/>
        <v/>
      </c>
      <c r="CM382" s="13" t="str">
        <f t="shared" si="86"/>
        <v/>
      </c>
      <c r="CN382" s="13" t="str">
        <f t="shared" si="86"/>
        <v/>
      </c>
      <c r="CO382" s="13" t="str">
        <f t="shared" si="86"/>
        <v/>
      </c>
      <c r="CP382" s="13" t="str">
        <f t="shared" si="86"/>
        <v/>
      </c>
      <c r="CQ382" s="13" t="str">
        <f t="shared" si="86"/>
        <v/>
      </c>
      <c r="CR382" t="str">
        <f t="shared" si="80"/>
        <v/>
      </c>
      <c r="CS382" t="str">
        <f t="shared" si="81"/>
        <v/>
      </c>
      <c r="CT382" t="str">
        <f t="shared" si="82"/>
        <v/>
      </c>
      <c r="CU382" t="str">
        <f t="shared" si="83"/>
        <v/>
      </c>
      <c r="CV382" t="str">
        <f t="shared" si="84"/>
        <v/>
      </c>
      <c r="CW382" t="str">
        <f t="shared" si="85"/>
        <v/>
      </c>
      <c r="DR382">
        <v>5601102</v>
      </c>
      <c r="DS382" s="17" t="s">
        <v>114</v>
      </c>
    </row>
    <row r="383" spans="90:123" x14ac:dyDescent="0.15">
      <c r="CL383" s="13" t="str">
        <f t="shared" si="86"/>
        <v/>
      </c>
      <c r="CM383" s="13" t="str">
        <f t="shared" si="86"/>
        <v/>
      </c>
      <c r="CN383" s="13" t="str">
        <f t="shared" si="86"/>
        <v/>
      </c>
      <c r="CO383" s="13" t="str">
        <f t="shared" si="86"/>
        <v/>
      </c>
      <c r="CP383" s="13" t="str">
        <f t="shared" si="86"/>
        <v/>
      </c>
      <c r="CQ383" s="13" t="str">
        <f t="shared" si="86"/>
        <v/>
      </c>
      <c r="CR383" t="str">
        <f t="shared" si="80"/>
        <v/>
      </c>
      <c r="CS383" t="str">
        <f t="shared" si="81"/>
        <v/>
      </c>
      <c r="CT383" t="str">
        <f t="shared" si="82"/>
        <v/>
      </c>
      <c r="CU383" t="str">
        <f t="shared" si="83"/>
        <v/>
      </c>
      <c r="CV383" t="str">
        <f t="shared" si="84"/>
        <v/>
      </c>
      <c r="CW383" t="str">
        <f t="shared" si="85"/>
        <v/>
      </c>
      <c r="DR383">
        <v>5200103</v>
      </c>
      <c r="DS383" s="17" t="s">
        <v>118</v>
      </c>
    </row>
    <row r="384" spans="90:123" x14ac:dyDescent="0.15">
      <c r="CL384" s="13" t="str">
        <f t="shared" si="86"/>
        <v/>
      </c>
      <c r="CM384" s="13" t="str">
        <f t="shared" si="86"/>
        <v/>
      </c>
      <c r="CN384" s="13" t="str">
        <f t="shared" si="86"/>
        <v/>
      </c>
      <c r="CO384" s="13" t="str">
        <f t="shared" si="86"/>
        <v/>
      </c>
      <c r="CP384" s="13" t="str">
        <f t="shared" si="86"/>
        <v/>
      </c>
      <c r="CQ384" s="13" t="str">
        <f t="shared" si="86"/>
        <v/>
      </c>
      <c r="CR384" t="str">
        <f t="shared" si="80"/>
        <v/>
      </c>
      <c r="CS384" t="str">
        <f t="shared" si="81"/>
        <v/>
      </c>
      <c r="CT384" t="str">
        <f t="shared" si="82"/>
        <v/>
      </c>
      <c r="CU384" t="str">
        <f t="shared" si="83"/>
        <v/>
      </c>
      <c r="CV384" t="str">
        <f t="shared" si="84"/>
        <v/>
      </c>
      <c r="CW384" t="str">
        <f t="shared" si="85"/>
        <v/>
      </c>
      <c r="DR384">
        <v>5201103</v>
      </c>
      <c r="DS384" s="17" t="s">
        <v>121</v>
      </c>
    </row>
    <row r="385" spans="90:123" x14ac:dyDescent="0.15">
      <c r="CL385" s="13" t="str">
        <f t="shared" si="86"/>
        <v/>
      </c>
      <c r="CM385" s="13" t="str">
        <f t="shared" si="86"/>
        <v/>
      </c>
      <c r="CN385" s="13" t="str">
        <f t="shared" si="86"/>
        <v/>
      </c>
      <c r="CO385" s="13" t="str">
        <f t="shared" si="86"/>
        <v/>
      </c>
      <c r="CP385" s="13" t="str">
        <f t="shared" si="86"/>
        <v/>
      </c>
      <c r="CQ385" s="13" t="str">
        <f t="shared" si="86"/>
        <v/>
      </c>
      <c r="CR385" t="str">
        <f t="shared" si="80"/>
        <v/>
      </c>
      <c r="CS385" t="str">
        <f t="shared" si="81"/>
        <v/>
      </c>
      <c r="CT385" t="str">
        <f t="shared" si="82"/>
        <v/>
      </c>
      <c r="CU385" t="str">
        <f t="shared" si="83"/>
        <v/>
      </c>
      <c r="CV385" t="str">
        <f t="shared" si="84"/>
        <v/>
      </c>
      <c r="CW385" t="str">
        <f t="shared" si="85"/>
        <v/>
      </c>
      <c r="DR385">
        <v>5202103</v>
      </c>
      <c r="DS385" s="17" t="s">
        <v>124</v>
      </c>
    </row>
    <row r="386" spans="90:123" x14ac:dyDescent="0.15">
      <c r="CL386" s="13" t="str">
        <f t="shared" si="86"/>
        <v/>
      </c>
      <c r="CM386" s="13" t="str">
        <f t="shared" si="86"/>
        <v/>
      </c>
      <c r="CN386" s="13" t="str">
        <f t="shared" si="86"/>
        <v/>
      </c>
      <c r="CO386" s="13" t="str">
        <f t="shared" si="86"/>
        <v/>
      </c>
      <c r="CP386" s="13" t="str">
        <f t="shared" si="86"/>
        <v/>
      </c>
      <c r="CQ386" s="13" t="str">
        <f t="shared" si="86"/>
        <v/>
      </c>
      <c r="CR386" t="str">
        <f t="shared" si="80"/>
        <v/>
      </c>
      <c r="CS386" t="str">
        <f t="shared" si="81"/>
        <v/>
      </c>
      <c r="CT386" t="str">
        <f t="shared" si="82"/>
        <v/>
      </c>
      <c r="CU386" t="str">
        <f t="shared" si="83"/>
        <v/>
      </c>
      <c r="CV386" t="str">
        <f t="shared" si="84"/>
        <v/>
      </c>
      <c r="CW386" t="str">
        <f t="shared" si="85"/>
        <v/>
      </c>
      <c r="DR386">
        <v>5301103</v>
      </c>
      <c r="DS386" s="17" t="s">
        <v>126</v>
      </c>
    </row>
    <row r="387" spans="90:123" x14ac:dyDescent="0.15">
      <c r="CL387" s="13" t="str">
        <f t="shared" si="86"/>
        <v/>
      </c>
      <c r="CM387" s="13" t="str">
        <f t="shared" si="86"/>
        <v/>
      </c>
      <c r="CN387" s="13" t="str">
        <f t="shared" si="86"/>
        <v/>
      </c>
      <c r="CO387" s="13" t="str">
        <f t="shared" si="86"/>
        <v/>
      </c>
      <c r="CP387" s="13" t="str">
        <f t="shared" si="86"/>
        <v/>
      </c>
      <c r="CQ387" s="13" t="str">
        <f t="shared" si="86"/>
        <v/>
      </c>
      <c r="CR387" t="str">
        <f t="shared" ref="CR387:CR450" si="87">IF(DJ387&lt;&gt;"",REPLACE(REPLACE(INDEX($DR$4:$DR$1516,MATCH(DJ387,$DS$4:$DS$1516,0)),6,1,CX387),1,1,DD387),"")</f>
        <v/>
      </c>
      <c r="CS387" t="str">
        <f t="shared" ref="CS387:CS450" si="88">IF(DK387&lt;&gt;"",REPLACE(REPLACE(INDEX($DR$4:$DR$1516,MATCH(DK387,$DS$4:$DS$1516,0)),6,1,CY387),1,1,DE387),"")</f>
        <v/>
      </c>
      <c r="CT387" t="str">
        <f t="shared" ref="CT387:CT450" si="89">IF(DL387&lt;&gt;"",REPLACE(REPLACE(INDEX($DR$4:$DR$1516,MATCH(DL387,$DS$4:$DS$1516,0)),6,1,CZ387),1,1,DF387),"")</f>
        <v/>
      </c>
      <c r="CU387" t="str">
        <f t="shared" ref="CU387:CU450" si="90">IF(DM387&lt;&gt;"",REPLACE(REPLACE(INDEX($DR$4:$DR$1516,MATCH(DM387,$DS$4:$DS$1516,0)),6,1,DA387),1,1,DG387),"")</f>
        <v/>
      </c>
      <c r="CV387" t="str">
        <f t="shared" ref="CV387:CV450" si="91">IF(DN387&lt;&gt;"",REPLACE(REPLACE(INDEX($DR$4:$DR$1516,MATCH(DN387,$DS$4:$DS$1516,0)),6,1,DB387),1,1,DH387),"")</f>
        <v/>
      </c>
      <c r="CW387" t="str">
        <f t="shared" ref="CW387:CW450" si="92">IF(DO387&lt;&gt;"",REPLACE(REPLACE(INDEX($DR$4:$DR$1516,MATCH(DO387,$DS$4:$DS$1516,0)),6,1,DC387),1,1,DI387),"")</f>
        <v/>
      </c>
      <c r="DR387">
        <v>5401103</v>
      </c>
      <c r="DS387" s="17" t="s">
        <v>130</v>
      </c>
    </row>
    <row r="388" spans="90:123" x14ac:dyDescent="0.15">
      <c r="CL388" s="13" t="str">
        <f t="shared" si="86"/>
        <v/>
      </c>
      <c r="CM388" s="13" t="str">
        <f t="shared" si="86"/>
        <v/>
      </c>
      <c r="CN388" s="13" t="str">
        <f t="shared" si="86"/>
        <v/>
      </c>
      <c r="CO388" s="13" t="str">
        <f t="shared" si="86"/>
        <v/>
      </c>
      <c r="CP388" s="13" t="str">
        <f t="shared" si="86"/>
        <v/>
      </c>
      <c r="CQ388" s="13" t="str">
        <f t="shared" si="86"/>
        <v/>
      </c>
      <c r="CR388" t="str">
        <f t="shared" si="87"/>
        <v/>
      </c>
      <c r="CS388" t="str">
        <f t="shared" si="88"/>
        <v/>
      </c>
      <c r="CT388" t="str">
        <f t="shared" si="89"/>
        <v/>
      </c>
      <c r="CU388" t="str">
        <f t="shared" si="90"/>
        <v/>
      </c>
      <c r="CV388" t="str">
        <f t="shared" si="91"/>
        <v/>
      </c>
      <c r="CW388" t="str">
        <f t="shared" si="92"/>
        <v/>
      </c>
      <c r="DR388">
        <v>5402103</v>
      </c>
      <c r="DS388" s="17" t="s">
        <v>135</v>
      </c>
    </row>
    <row r="389" spans="90:123" x14ac:dyDescent="0.15">
      <c r="CL389" s="13" t="str">
        <f t="shared" si="86"/>
        <v/>
      </c>
      <c r="CM389" s="13" t="str">
        <f t="shared" si="86"/>
        <v/>
      </c>
      <c r="CN389" s="13" t="str">
        <f t="shared" si="86"/>
        <v/>
      </c>
      <c r="CO389" s="13" t="str">
        <f t="shared" si="86"/>
        <v/>
      </c>
      <c r="CP389" s="13" t="str">
        <f t="shared" si="86"/>
        <v/>
      </c>
      <c r="CQ389" s="13" t="str">
        <f t="shared" si="86"/>
        <v/>
      </c>
      <c r="CR389" t="str">
        <f t="shared" si="87"/>
        <v/>
      </c>
      <c r="CS389" t="str">
        <f t="shared" si="88"/>
        <v/>
      </c>
      <c r="CT389" t="str">
        <f t="shared" si="89"/>
        <v/>
      </c>
      <c r="CU389" t="str">
        <f t="shared" si="90"/>
        <v/>
      </c>
      <c r="CV389" t="str">
        <f t="shared" si="91"/>
        <v/>
      </c>
      <c r="CW389" t="str">
        <f t="shared" si="92"/>
        <v/>
      </c>
      <c r="DR389">
        <v>5500103</v>
      </c>
      <c r="DS389" s="17" t="s">
        <v>139</v>
      </c>
    </row>
    <row r="390" spans="90:123" x14ac:dyDescent="0.15">
      <c r="CL390" s="13" t="str">
        <f t="shared" si="86"/>
        <v/>
      </c>
      <c r="CM390" s="13" t="str">
        <f t="shared" si="86"/>
        <v/>
      </c>
      <c r="CN390" s="13" t="str">
        <f t="shared" si="86"/>
        <v/>
      </c>
      <c r="CO390" s="13" t="str">
        <f t="shared" si="86"/>
        <v/>
      </c>
      <c r="CP390" s="13" t="str">
        <f t="shared" si="86"/>
        <v/>
      </c>
      <c r="CQ390" s="13" t="str">
        <f t="shared" si="86"/>
        <v/>
      </c>
      <c r="CR390" t="str">
        <f t="shared" si="87"/>
        <v/>
      </c>
      <c r="CS390" t="str">
        <f t="shared" si="88"/>
        <v/>
      </c>
      <c r="CT390" t="str">
        <f t="shared" si="89"/>
        <v/>
      </c>
      <c r="CU390" t="str">
        <f t="shared" si="90"/>
        <v/>
      </c>
      <c r="CV390" t="str">
        <f t="shared" si="91"/>
        <v/>
      </c>
      <c r="CW390" t="str">
        <f t="shared" si="92"/>
        <v/>
      </c>
      <c r="DR390">
        <v>5502103</v>
      </c>
      <c r="DS390" s="17" t="s">
        <v>141</v>
      </c>
    </row>
    <row r="391" spans="90:123" x14ac:dyDescent="0.15">
      <c r="CL391" s="13" t="str">
        <f t="shared" si="86"/>
        <v/>
      </c>
      <c r="CM391" s="13" t="str">
        <f t="shared" si="86"/>
        <v/>
      </c>
      <c r="CN391" s="13" t="str">
        <f t="shared" si="86"/>
        <v/>
      </c>
      <c r="CO391" s="13" t="str">
        <f t="shared" si="86"/>
        <v/>
      </c>
      <c r="CP391" s="13" t="str">
        <f t="shared" si="86"/>
        <v/>
      </c>
      <c r="CQ391" s="13" t="str">
        <f t="shared" si="86"/>
        <v/>
      </c>
      <c r="CR391" t="str">
        <f t="shared" si="87"/>
        <v/>
      </c>
      <c r="CS391" t="str">
        <f t="shared" si="88"/>
        <v/>
      </c>
      <c r="CT391" t="str">
        <f t="shared" si="89"/>
        <v/>
      </c>
      <c r="CU391" t="str">
        <f t="shared" si="90"/>
        <v/>
      </c>
      <c r="CV391" t="str">
        <f t="shared" si="91"/>
        <v/>
      </c>
      <c r="CW391" t="str">
        <f t="shared" si="92"/>
        <v/>
      </c>
      <c r="DR391">
        <v>5601103</v>
      </c>
      <c r="DS391" s="17" t="s">
        <v>143</v>
      </c>
    </row>
    <row r="392" spans="90:123" x14ac:dyDescent="0.15">
      <c r="CL392" s="13" t="str">
        <f t="shared" si="86"/>
        <v/>
      </c>
      <c r="CM392" s="13" t="str">
        <f t="shared" si="86"/>
        <v/>
      </c>
      <c r="CN392" s="13" t="str">
        <f t="shared" si="86"/>
        <v/>
      </c>
      <c r="CO392" s="13" t="str">
        <f t="shared" si="86"/>
        <v/>
      </c>
      <c r="CP392" s="13" t="str">
        <f t="shared" si="86"/>
        <v/>
      </c>
      <c r="CQ392" s="13" t="str">
        <f t="shared" si="86"/>
        <v/>
      </c>
      <c r="CR392" t="str">
        <f t="shared" si="87"/>
        <v/>
      </c>
      <c r="CS392" t="str">
        <f t="shared" si="88"/>
        <v/>
      </c>
      <c r="CT392" t="str">
        <f t="shared" si="89"/>
        <v/>
      </c>
      <c r="CU392" t="str">
        <f t="shared" si="90"/>
        <v/>
      </c>
      <c r="CV392" t="str">
        <f t="shared" si="91"/>
        <v/>
      </c>
      <c r="CW392" t="str">
        <f t="shared" si="92"/>
        <v/>
      </c>
      <c r="DR392">
        <v>5501104</v>
      </c>
      <c r="DS392" s="17" t="s">
        <v>145</v>
      </c>
    </row>
    <row r="393" spans="90:123" x14ac:dyDescent="0.15">
      <c r="CL393" s="13" t="str">
        <f t="shared" si="86"/>
        <v/>
      </c>
      <c r="CM393" s="13" t="str">
        <f t="shared" si="86"/>
        <v/>
      </c>
      <c r="CN393" s="13" t="str">
        <f t="shared" si="86"/>
        <v/>
      </c>
      <c r="CO393" s="13" t="str">
        <f t="shared" si="86"/>
        <v/>
      </c>
      <c r="CP393" s="13" t="str">
        <f t="shared" si="86"/>
        <v/>
      </c>
      <c r="CQ393" s="13" t="str">
        <f t="shared" si="86"/>
        <v/>
      </c>
      <c r="CR393" t="str">
        <f t="shared" si="87"/>
        <v/>
      </c>
      <c r="CS393" t="str">
        <f t="shared" si="88"/>
        <v/>
      </c>
      <c r="CT393" t="str">
        <f t="shared" si="89"/>
        <v/>
      </c>
      <c r="CU393" t="str">
        <f t="shared" si="90"/>
        <v/>
      </c>
      <c r="CV393" t="str">
        <f t="shared" si="91"/>
        <v/>
      </c>
      <c r="CW393" t="str">
        <f t="shared" si="92"/>
        <v/>
      </c>
      <c r="DR393">
        <v>5600104</v>
      </c>
      <c r="DS393" s="17" t="s">
        <v>148</v>
      </c>
    </row>
    <row r="394" spans="90:123" x14ac:dyDescent="0.15">
      <c r="CL394" s="13" t="str">
        <f t="shared" si="86"/>
        <v/>
      </c>
      <c r="CM394" s="13" t="str">
        <f t="shared" si="86"/>
        <v/>
      </c>
      <c r="CN394" s="13" t="str">
        <f t="shared" si="86"/>
        <v/>
      </c>
      <c r="CO394" s="13" t="str">
        <f t="shared" si="86"/>
        <v/>
      </c>
      <c r="CP394" s="13" t="str">
        <f t="shared" si="86"/>
        <v/>
      </c>
      <c r="CQ394" s="13" t="str">
        <f t="shared" si="86"/>
        <v/>
      </c>
      <c r="CR394" t="str">
        <f t="shared" si="87"/>
        <v/>
      </c>
      <c r="CS394" t="str">
        <f t="shared" si="88"/>
        <v/>
      </c>
      <c r="CT394" t="str">
        <f t="shared" si="89"/>
        <v/>
      </c>
      <c r="CU394" t="str">
        <f t="shared" si="90"/>
        <v/>
      </c>
      <c r="CV394" t="str">
        <f t="shared" si="91"/>
        <v/>
      </c>
      <c r="CW394" t="str">
        <f t="shared" si="92"/>
        <v/>
      </c>
      <c r="DR394">
        <v>5602104</v>
      </c>
      <c r="DS394" s="17" t="s">
        <v>150</v>
      </c>
    </row>
    <row r="395" spans="90:123" x14ac:dyDescent="0.15">
      <c r="CL395" s="13" t="str">
        <f t="shared" si="86"/>
        <v/>
      </c>
      <c r="CM395" s="13" t="str">
        <f t="shared" si="86"/>
        <v/>
      </c>
      <c r="CN395" s="13" t="str">
        <f t="shared" si="86"/>
        <v/>
      </c>
      <c r="CO395" s="13" t="str">
        <f t="shared" si="86"/>
        <v/>
      </c>
      <c r="CP395" s="13" t="str">
        <f t="shared" si="86"/>
        <v/>
      </c>
      <c r="CQ395" s="13" t="str">
        <f t="shared" si="86"/>
        <v/>
      </c>
      <c r="CR395" t="str">
        <f t="shared" si="87"/>
        <v/>
      </c>
      <c r="CS395" t="str">
        <f t="shared" si="88"/>
        <v/>
      </c>
      <c r="CT395" t="str">
        <f t="shared" si="89"/>
        <v/>
      </c>
      <c r="CU395" t="str">
        <f t="shared" si="90"/>
        <v/>
      </c>
      <c r="CV395" t="str">
        <f t="shared" si="91"/>
        <v/>
      </c>
      <c r="CW395" t="str">
        <f t="shared" si="92"/>
        <v/>
      </c>
      <c r="DR395">
        <v>5300105</v>
      </c>
      <c r="DS395" s="17" t="s">
        <v>153</v>
      </c>
    </row>
    <row r="396" spans="90:123" x14ac:dyDescent="0.15">
      <c r="CL396" s="13" t="str">
        <f t="shared" si="86"/>
        <v/>
      </c>
      <c r="CM396" s="13" t="str">
        <f t="shared" si="86"/>
        <v/>
      </c>
      <c r="CN396" s="13" t="str">
        <f t="shared" si="86"/>
        <v/>
      </c>
      <c r="CO396" s="13" t="str">
        <f t="shared" si="86"/>
        <v/>
      </c>
      <c r="CP396" s="13" t="str">
        <f t="shared" si="86"/>
        <v/>
      </c>
      <c r="CQ396" s="13" t="str">
        <f t="shared" si="86"/>
        <v/>
      </c>
      <c r="CR396" t="str">
        <f t="shared" si="87"/>
        <v/>
      </c>
      <c r="CS396" t="str">
        <f t="shared" si="88"/>
        <v/>
      </c>
      <c r="CT396" t="str">
        <f t="shared" si="89"/>
        <v/>
      </c>
      <c r="CU396" t="str">
        <f t="shared" si="90"/>
        <v/>
      </c>
      <c r="CV396" t="str">
        <f t="shared" si="91"/>
        <v/>
      </c>
      <c r="CW396" t="str">
        <f t="shared" si="92"/>
        <v/>
      </c>
      <c r="DR396">
        <v>5302105</v>
      </c>
      <c r="DS396" s="17" t="s">
        <v>156</v>
      </c>
    </row>
    <row r="397" spans="90:123" x14ac:dyDescent="0.15">
      <c r="CL397" s="13" t="str">
        <f t="shared" si="86"/>
        <v/>
      </c>
      <c r="CM397" s="13" t="str">
        <f t="shared" si="86"/>
        <v/>
      </c>
      <c r="CN397" s="13" t="str">
        <f t="shared" si="86"/>
        <v/>
      </c>
      <c r="CO397" s="13" t="str">
        <f t="shared" si="86"/>
        <v/>
      </c>
      <c r="CP397" s="13" t="str">
        <f t="shared" si="86"/>
        <v/>
      </c>
      <c r="CQ397" s="13" t="str">
        <f t="shared" si="86"/>
        <v/>
      </c>
      <c r="CR397" t="str">
        <f t="shared" si="87"/>
        <v/>
      </c>
      <c r="CS397" t="str">
        <f t="shared" si="88"/>
        <v/>
      </c>
      <c r="CT397" t="str">
        <f t="shared" si="89"/>
        <v/>
      </c>
      <c r="CU397" t="str">
        <f t="shared" si="90"/>
        <v/>
      </c>
      <c r="CV397" t="str">
        <f t="shared" si="91"/>
        <v/>
      </c>
      <c r="CW397" t="str">
        <f t="shared" si="92"/>
        <v/>
      </c>
      <c r="DR397">
        <v>5400105</v>
      </c>
      <c r="DS397" s="17" t="s">
        <v>159</v>
      </c>
    </row>
    <row r="398" spans="90:123" x14ac:dyDescent="0.15">
      <c r="CL398" s="13" t="str">
        <f t="shared" si="86"/>
        <v/>
      </c>
      <c r="CM398" s="13" t="str">
        <f t="shared" si="86"/>
        <v/>
      </c>
      <c r="CN398" s="13" t="str">
        <f t="shared" si="86"/>
        <v/>
      </c>
      <c r="CO398" s="13" t="str">
        <f t="shared" si="86"/>
        <v/>
      </c>
      <c r="CP398" s="13" t="str">
        <f t="shared" si="86"/>
        <v/>
      </c>
      <c r="CQ398" s="13" t="str">
        <f t="shared" si="86"/>
        <v/>
      </c>
      <c r="CR398" t="str">
        <f t="shared" si="87"/>
        <v/>
      </c>
      <c r="CS398" t="str">
        <f t="shared" si="88"/>
        <v/>
      </c>
      <c r="CT398" t="str">
        <f t="shared" si="89"/>
        <v/>
      </c>
      <c r="CU398" t="str">
        <f t="shared" si="90"/>
        <v/>
      </c>
      <c r="CV398" t="str">
        <f t="shared" si="91"/>
        <v/>
      </c>
      <c r="CW398" t="str">
        <f t="shared" si="92"/>
        <v/>
      </c>
      <c r="DR398">
        <v>5200111</v>
      </c>
      <c r="DS398" s="17" t="s">
        <v>62</v>
      </c>
    </row>
    <row r="399" spans="90:123" x14ac:dyDescent="0.15">
      <c r="CL399" s="13" t="str">
        <f t="shared" si="86"/>
        <v/>
      </c>
      <c r="CM399" s="13" t="str">
        <f t="shared" si="86"/>
        <v/>
      </c>
      <c r="CN399" s="13" t="str">
        <f t="shared" si="86"/>
        <v/>
      </c>
      <c r="CO399" s="13" t="str">
        <f t="shared" si="86"/>
        <v/>
      </c>
      <c r="CP399" s="13" t="str">
        <f t="shared" si="86"/>
        <v/>
      </c>
      <c r="CQ399" s="13" t="str">
        <f t="shared" si="86"/>
        <v/>
      </c>
      <c r="CR399" t="str">
        <f t="shared" si="87"/>
        <v/>
      </c>
      <c r="CS399" t="str">
        <f t="shared" si="88"/>
        <v/>
      </c>
      <c r="CT399" t="str">
        <f t="shared" si="89"/>
        <v/>
      </c>
      <c r="CU399" t="str">
        <f t="shared" si="90"/>
        <v/>
      </c>
      <c r="CV399" t="str">
        <f t="shared" si="91"/>
        <v/>
      </c>
      <c r="CW399" t="str">
        <f t="shared" si="92"/>
        <v/>
      </c>
      <c r="DR399">
        <v>5201111</v>
      </c>
      <c r="DS399" s="17" t="s">
        <v>65</v>
      </c>
    </row>
    <row r="400" spans="90:123" x14ac:dyDescent="0.15">
      <c r="CL400" s="13" t="str">
        <f t="shared" si="86"/>
        <v/>
      </c>
      <c r="CM400" s="13" t="str">
        <f t="shared" si="86"/>
        <v/>
      </c>
      <c r="CN400" s="13" t="str">
        <f t="shared" si="86"/>
        <v/>
      </c>
      <c r="CO400" s="13" t="str">
        <f t="shared" si="86"/>
        <v/>
      </c>
      <c r="CP400" s="13" t="str">
        <f t="shared" si="86"/>
        <v/>
      </c>
      <c r="CQ400" s="13" t="str">
        <f t="shared" si="86"/>
        <v/>
      </c>
      <c r="CR400" t="str">
        <f t="shared" si="87"/>
        <v/>
      </c>
      <c r="CS400" t="str">
        <f t="shared" si="88"/>
        <v/>
      </c>
      <c r="CT400" t="str">
        <f t="shared" si="89"/>
        <v/>
      </c>
      <c r="CU400" t="str">
        <f t="shared" si="90"/>
        <v/>
      </c>
      <c r="CV400" t="str">
        <f t="shared" si="91"/>
        <v/>
      </c>
      <c r="CW400" t="str">
        <f t="shared" si="92"/>
        <v/>
      </c>
      <c r="DR400">
        <v>5202111</v>
      </c>
      <c r="DS400" s="17" t="s">
        <v>68</v>
      </c>
    </row>
    <row r="401" spans="90:123" x14ac:dyDescent="0.15">
      <c r="CL401" s="13" t="str">
        <f t="shared" si="86"/>
        <v/>
      </c>
      <c r="CM401" s="13" t="str">
        <f t="shared" si="86"/>
        <v/>
      </c>
      <c r="CN401" s="13" t="str">
        <f t="shared" si="86"/>
        <v/>
      </c>
      <c r="CO401" s="13" t="str">
        <f t="shared" si="86"/>
        <v/>
      </c>
      <c r="CP401" s="13" t="str">
        <f t="shared" si="86"/>
        <v/>
      </c>
      <c r="CQ401" s="13" t="str">
        <f t="shared" si="86"/>
        <v/>
      </c>
      <c r="CR401" t="str">
        <f t="shared" si="87"/>
        <v/>
      </c>
      <c r="CS401" t="str">
        <f t="shared" si="88"/>
        <v/>
      </c>
      <c r="CT401" t="str">
        <f t="shared" si="89"/>
        <v/>
      </c>
      <c r="CU401" t="str">
        <f t="shared" si="90"/>
        <v/>
      </c>
      <c r="CV401" t="str">
        <f t="shared" si="91"/>
        <v/>
      </c>
      <c r="CW401" t="str">
        <f t="shared" si="92"/>
        <v/>
      </c>
      <c r="DR401">
        <v>5301111</v>
      </c>
      <c r="DS401" s="17" t="s">
        <v>71</v>
      </c>
    </row>
    <row r="402" spans="90:123" x14ac:dyDescent="0.15">
      <c r="CL402" s="13" t="str">
        <f t="shared" si="86"/>
        <v/>
      </c>
      <c r="CM402" s="13" t="str">
        <f t="shared" si="86"/>
        <v/>
      </c>
      <c r="CN402" s="13" t="str">
        <f t="shared" si="86"/>
        <v/>
      </c>
      <c r="CO402" s="13" t="str">
        <f t="shared" si="86"/>
        <v/>
      </c>
      <c r="CP402" s="13" t="str">
        <f t="shared" si="86"/>
        <v/>
      </c>
      <c r="CQ402" s="13" t="str">
        <f t="shared" si="86"/>
        <v/>
      </c>
      <c r="CR402" t="str">
        <f t="shared" si="87"/>
        <v/>
      </c>
      <c r="CS402" t="str">
        <f t="shared" si="88"/>
        <v/>
      </c>
      <c r="CT402" t="str">
        <f t="shared" si="89"/>
        <v/>
      </c>
      <c r="CU402" t="str">
        <f t="shared" si="90"/>
        <v/>
      </c>
      <c r="CV402" t="str">
        <f t="shared" si="91"/>
        <v/>
      </c>
      <c r="CW402" t="str">
        <f t="shared" si="92"/>
        <v/>
      </c>
      <c r="DR402">
        <v>5401111</v>
      </c>
      <c r="DS402" s="17" t="s">
        <v>73</v>
      </c>
    </row>
    <row r="403" spans="90:123" x14ac:dyDescent="0.15">
      <c r="CL403" s="13" t="str">
        <f t="shared" si="86"/>
        <v/>
      </c>
      <c r="CM403" s="13" t="str">
        <f t="shared" si="86"/>
        <v/>
      </c>
      <c r="CN403" s="13" t="str">
        <f t="shared" si="86"/>
        <v/>
      </c>
      <c r="CO403" s="13" t="str">
        <f t="shared" si="86"/>
        <v/>
      </c>
      <c r="CP403" s="13" t="str">
        <f t="shared" si="86"/>
        <v/>
      </c>
      <c r="CQ403" s="13" t="str">
        <f t="shared" si="86"/>
        <v/>
      </c>
      <c r="CR403" t="str">
        <f t="shared" si="87"/>
        <v/>
      </c>
      <c r="CS403" t="str">
        <f t="shared" si="88"/>
        <v/>
      </c>
      <c r="CT403" t="str">
        <f t="shared" si="89"/>
        <v/>
      </c>
      <c r="CU403" t="str">
        <f t="shared" si="90"/>
        <v/>
      </c>
      <c r="CV403" t="str">
        <f t="shared" si="91"/>
        <v/>
      </c>
      <c r="CW403" t="str">
        <f t="shared" si="92"/>
        <v/>
      </c>
      <c r="DR403">
        <v>5402111</v>
      </c>
      <c r="DS403" s="17" t="s">
        <v>76</v>
      </c>
    </row>
    <row r="404" spans="90:123" x14ac:dyDescent="0.15">
      <c r="CL404" s="13" t="str">
        <f t="shared" si="86"/>
        <v/>
      </c>
      <c r="CM404" s="13" t="str">
        <f t="shared" si="86"/>
        <v/>
      </c>
      <c r="CN404" s="13" t="str">
        <f t="shared" si="86"/>
        <v/>
      </c>
      <c r="CO404" s="13" t="str">
        <f t="shared" si="86"/>
        <v/>
      </c>
      <c r="CP404" s="13" t="str">
        <f t="shared" si="86"/>
        <v/>
      </c>
      <c r="CQ404" s="13" t="str">
        <f t="shared" si="86"/>
        <v/>
      </c>
      <c r="CR404" t="str">
        <f t="shared" si="87"/>
        <v/>
      </c>
      <c r="CS404" t="str">
        <f t="shared" si="88"/>
        <v/>
      </c>
      <c r="CT404" t="str">
        <f t="shared" si="89"/>
        <v/>
      </c>
      <c r="CU404" t="str">
        <f t="shared" si="90"/>
        <v/>
      </c>
      <c r="CV404" t="str">
        <f t="shared" si="91"/>
        <v/>
      </c>
      <c r="CW404" t="str">
        <f t="shared" si="92"/>
        <v/>
      </c>
      <c r="DR404">
        <v>5500111</v>
      </c>
      <c r="DS404" s="17" t="s">
        <v>79</v>
      </c>
    </row>
    <row r="405" spans="90:123" x14ac:dyDescent="0.15">
      <c r="CL405" s="13" t="str">
        <f t="shared" si="86"/>
        <v/>
      </c>
      <c r="CM405" s="13" t="str">
        <f t="shared" si="86"/>
        <v/>
      </c>
      <c r="CN405" s="13" t="str">
        <f t="shared" si="86"/>
        <v/>
      </c>
      <c r="CO405" s="13" t="str">
        <f t="shared" ref="CO405:CQ468" si="93">IF(DM405&lt;&gt;"",IF(ISERROR(MATCH(INT(CU405),$DR$4:$DR$1516,0))=FALSE,TRUE),"")</f>
        <v/>
      </c>
      <c r="CP405" s="13" t="str">
        <f t="shared" si="93"/>
        <v/>
      </c>
      <c r="CQ405" s="13" t="str">
        <f t="shared" si="93"/>
        <v/>
      </c>
      <c r="CR405" t="str">
        <f t="shared" si="87"/>
        <v/>
      </c>
      <c r="CS405" t="str">
        <f t="shared" si="88"/>
        <v/>
      </c>
      <c r="CT405" t="str">
        <f t="shared" si="89"/>
        <v/>
      </c>
      <c r="CU405" t="str">
        <f t="shared" si="90"/>
        <v/>
      </c>
      <c r="CV405" t="str">
        <f t="shared" si="91"/>
        <v/>
      </c>
      <c r="CW405" t="str">
        <f t="shared" si="92"/>
        <v/>
      </c>
      <c r="DR405">
        <v>5502111</v>
      </c>
      <c r="DS405" s="17" t="s">
        <v>81</v>
      </c>
    </row>
    <row r="406" spans="90:123" x14ac:dyDescent="0.15">
      <c r="CL406" s="13" t="str">
        <f t="shared" ref="CL406:CQ469" si="94">IF(DJ406&lt;&gt;"",IF(ISERROR(MATCH(INT(CR406),$DR$4:$DR$1516,0))=FALSE,TRUE),"")</f>
        <v/>
      </c>
      <c r="CM406" s="13" t="str">
        <f t="shared" si="94"/>
        <v/>
      </c>
      <c r="CN406" s="13" t="str">
        <f t="shared" si="94"/>
        <v/>
      </c>
      <c r="CO406" s="13" t="str">
        <f t="shared" si="93"/>
        <v/>
      </c>
      <c r="CP406" s="13" t="str">
        <f t="shared" si="93"/>
        <v/>
      </c>
      <c r="CQ406" s="13" t="str">
        <f t="shared" si="93"/>
        <v/>
      </c>
      <c r="CR406" t="str">
        <f t="shared" si="87"/>
        <v/>
      </c>
      <c r="CS406" t="str">
        <f t="shared" si="88"/>
        <v/>
      </c>
      <c r="CT406" t="str">
        <f t="shared" si="89"/>
        <v/>
      </c>
      <c r="CU406" t="str">
        <f t="shared" si="90"/>
        <v/>
      </c>
      <c r="CV406" t="str">
        <f t="shared" si="91"/>
        <v/>
      </c>
      <c r="CW406" t="str">
        <f t="shared" si="92"/>
        <v/>
      </c>
      <c r="DR406">
        <v>5601111</v>
      </c>
      <c r="DS406" s="17" t="s">
        <v>84</v>
      </c>
    </row>
    <row r="407" spans="90:123" x14ac:dyDescent="0.15">
      <c r="CL407" s="13" t="str">
        <f t="shared" si="94"/>
        <v/>
      </c>
      <c r="CM407" s="13" t="str">
        <f t="shared" si="94"/>
        <v/>
      </c>
      <c r="CN407" s="13" t="str">
        <f t="shared" si="94"/>
        <v/>
      </c>
      <c r="CO407" s="13" t="str">
        <f t="shared" si="93"/>
        <v/>
      </c>
      <c r="CP407" s="13" t="str">
        <f t="shared" si="93"/>
        <v/>
      </c>
      <c r="CQ407" s="13" t="str">
        <f t="shared" si="93"/>
        <v/>
      </c>
      <c r="CR407" t="str">
        <f t="shared" si="87"/>
        <v/>
      </c>
      <c r="CS407" t="str">
        <f t="shared" si="88"/>
        <v/>
      </c>
      <c r="CT407" t="str">
        <f t="shared" si="89"/>
        <v/>
      </c>
      <c r="CU407" t="str">
        <f t="shared" si="90"/>
        <v/>
      </c>
      <c r="CV407" t="str">
        <f t="shared" si="91"/>
        <v/>
      </c>
      <c r="CW407" t="str">
        <f t="shared" si="92"/>
        <v/>
      </c>
      <c r="DR407">
        <v>5200112</v>
      </c>
      <c r="DS407" s="17" t="s">
        <v>88</v>
      </c>
    </row>
    <row r="408" spans="90:123" x14ac:dyDescent="0.15">
      <c r="CL408" s="13" t="str">
        <f t="shared" si="94"/>
        <v/>
      </c>
      <c r="CM408" s="13" t="str">
        <f t="shared" si="94"/>
        <v/>
      </c>
      <c r="CN408" s="13" t="str">
        <f t="shared" si="94"/>
        <v/>
      </c>
      <c r="CO408" s="13" t="str">
        <f t="shared" si="93"/>
        <v/>
      </c>
      <c r="CP408" s="13" t="str">
        <f t="shared" si="93"/>
        <v/>
      </c>
      <c r="CQ408" s="13" t="str">
        <f t="shared" si="93"/>
        <v/>
      </c>
      <c r="CR408" t="str">
        <f t="shared" si="87"/>
        <v/>
      </c>
      <c r="CS408" t="str">
        <f t="shared" si="88"/>
        <v/>
      </c>
      <c r="CT408" t="str">
        <f t="shared" si="89"/>
        <v/>
      </c>
      <c r="CU408" t="str">
        <f t="shared" si="90"/>
        <v/>
      </c>
      <c r="CV408" t="str">
        <f t="shared" si="91"/>
        <v/>
      </c>
      <c r="CW408" t="str">
        <f t="shared" si="92"/>
        <v/>
      </c>
      <c r="DR408">
        <v>5201112</v>
      </c>
      <c r="DS408" s="17" t="s">
        <v>92</v>
      </c>
    </row>
    <row r="409" spans="90:123" x14ac:dyDescent="0.15">
      <c r="CL409" s="13" t="str">
        <f t="shared" si="94"/>
        <v/>
      </c>
      <c r="CM409" s="13" t="str">
        <f t="shared" si="94"/>
        <v/>
      </c>
      <c r="CN409" s="13" t="str">
        <f t="shared" si="94"/>
        <v/>
      </c>
      <c r="CO409" s="13" t="str">
        <f t="shared" si="93"/>
        <v/>
      </c>
      <c r="CP409" s="13" t="str">
        <f t="shared" si="93"/>
        <v/>
      </c>
      <c r="CQ409" s="13" t="str">
        <f t="shared" si="93"/>
        <v/>
      </c>
      <c r="CR409" t="str">
        <f t="shared" si="87"/>
        <v/>
      </c>
      <c r="CS409" t="str">
        <f t="shared" si="88"/>
        <v/>
      </c>
      <c r="CT409" t="str">
        <f t="shared" si="89"/>
        <v/>
      </c>
      <c r="CU409" t="str">
        <f t="shared" si="90"/>
        <v/>
      </c>
      <c r="CV409" t="str">
        <f t="shared" si="91"/>
        <v/>
      </c>
      <c r="CW409" t="str">
        <f t="shared" si="92"/>
        <v/>
      </c>
      <c r="DR409">
        <v>5202112</v>
      </c>
      <c r="DS409" s="17" t="s">
        <v>95</v>
      </c>
    </row>
    <row r="410" spans="90:123" x14ac:dyDescent="0.15">
      <c r="CL410" s="13" t="str">
        <f t="shared" si="94"/>
        <v/>
      </c>
      <c r="CM410" s="13" t="str">
        <f t="shared" si="94"/>
        <v/>
      </c>
      <c r="CN410" s="13" t="str">
        <f t="shared" si="94"/>
        <v/>
      </c>
      <c r="CO410" s="13" t="str">
        <f t="shared" si="93"/>
        <v/>
      </c>
      <c r="CP410" s="13" t="str">
        <f t="shared" si="93"/>
        <v/>
      </c>
      <c r="CQ410" s="13" t="str">
        <f t="shared" si="93"/>
        <v/>
      </c>
      <c r="CR410" t="str">
        <f t="shared" si="87"/>
        <v/>
      </c>
      <c r="CS410" t="str">
        <f t="shared" si="88"/>
        <v/>
      </c>
      <c r="CT410" t="str">
        <f t="shared" si="89"/>
        <v/>
      </c>
      <c r="CU410" t="str">
        <f t="shared" si="90"/>
        <v/>
      </c>
      <c r="CV410" t="str">
        <f t="shared" si="91"/>
        <v/>
      </c>
      <c r="CW410" t="str">
        <f t="shared" si="92"/>
        <v/>
      </c>
      <c r="DR410">
        <v>5301112</v>
      </c>
      <c r="DS410" s="17" t="s">
        <v>98</v>
      </c>
    </row>
    <row r="411" spans="90:123" x14ac:dyDescent="0.15">
      <c r="CL411" s="13" t="str">
        <f t="shared" si="94"/>
        <v/>
      </c>
      <c r="CM411" s="13" t="str">
        <f t="shared" si="94"/>
        <v/>
      </c>
      <c r="CN411" s="13" t="str">
        <f t="shared" si="94"/>
        <v/>
      </c>
      <c r="CO411" s="13" t="str">
        <f t="shared" si="93"/>
        <v/>
      </c>
      <c r="CP411" s="13" t="str">
        <f t="shared" si="93"/>
        <v/>
      </c>
      <c r="CQ411" s="13" t="str">
        <f t="shared" si="93"/>
        <v/>
      </c>
      <c r="CR411" t="str">
        <f t="shared" si="87"/>
        <v/>
      </c>
      <c r="CS411" t="str">
        <f t="shared" si="88"/>
        <v/>
      </c>
      <c r="CT411" t="str">
        <f t="shared" si="89"/>
        <v/>
      </c>
      <c r="CU411" t="str">
        <f t="shared" si="90"/>
        <v/>
      </c>
      <c r="CV411" t="str">
        <f t="shared" si="91"/>
        <v/>
      </c>
      <c r="CW411" t="str">
        <f t="shared" si="92"/>
        <v/>
      </c>
      <c r="DR411">
        <v>5401112</v>
      </c>
      <c r="DS411" s="17" t="s">
        <v>101</v>
      </c>
    </row>
    <row r="412" spans="90:123" x14ac:dyDescent="0.15">
      <c r="CL412" s="13" t="str">
        <f t="shared" si="94"/>
        <v/>
      </c>
      <c r="CM412" s="13" t="str">
        <f t="shared" si="94"/>
        <v/>
      </c>
      <c r="CN412" s="13" t="str">
        <f t="shared" si="94"/>
        <v/>
      </c>
      <c r="CO412" s="13" t="str">
        <f t="shared" si="93"/>
        <v/>
      </c>
      <c r="CP412" s="13" t="str">
        <f t="shared" si="93"/>
        <v/>
      </c>
      <c r="CQ412" s="13" t="str">
        <f t="shared" si="93"/>
        <v/>
      </c>
      <c r="CR412" t="str">
        <f t="shared" si="87"/>
        <v/>
      </c>
      <c r="CS412" t="str">
        <f t="shared" si="88"/>
        <v/>
      </c>
      <c r="CT412" t="str">
        <f t="shared" si="89"/>
        <v/>
      </c>
      <c r="CU412" t="str">
        <f t="shared" si="90"/>
        <v/>
      </c>
      <c r="CV412" t="str">
        <f t="shared" si="91"/>
        <v/>
      </c>
      <c r="CW412" t="str">
        <f t="shared" si="92"/>
        <v/>
      </c>
      <c r="DR412">
        <v>5402112</v>
      </c>
      <c r="DS412" s="17" t="s">
        <v>103</v>
      </c>
    </row>
    <row r="413" spans="90:123" x14ac:dyDescent="0.15">
      <c r="CL413" s="13" t="str">
        <f t="shared" si="94"/>
        <v/>
      </c>
      <c r="CM413" s="13" t="str">
        <f t="shared" si="94"/>
        <v/>
      </c>
      <c r="CN413" s="13" t="str">
        <f t="shared" si="94"/>
        <v/>
      </c>
      <c r="CO413" s="13" t="str">
        <f t="shared" si="93"/>
        <v/>
      </c>
      <c r="CP413" s="13" t="str">
        <f t="shared" si="93"/>
        <v/>
      </c>
      <c r="CQ413" s="13" t="str">
        <f t="shared" si="93"/>
        <v/>
      </c>
      <c r="CR413" t="str">
        <f t="shared" si="87"/>
        <v/>
      </c>
      <c r="CS413" t="str">
        <f t="shared" si="88"/>
        <v/>
      </c>
      <c r="CT413" t="str">
        <f t="shared" si="89"/>
        <v/>
      </c>
      <c r="CU413" t="str">
        <f t="shared" si="90"/>
        <v/>
      </c>
      <c r="CV413" t="str">
        <f t="shared" si="91"/>
        <v/>
      </c>
      <c r="CW413" t="str">
        <f t="shared" si="92"/>
        <v/>
      </c>
      <c r="DR413">
        <v>5500112</v>
      </c>
      <c r="DS413" s="17" t="s">
        <v>107</v>
      </c>
    </row>
    <row r="414" spans="90:123" x14ac:dyDescent="0.15">
      <c r="CL414" s="13" t="str">
        <f t="shared" si="94"/>
        <v/>
      </c>
      <c r="CM414" s="13" t="str">
        <f t="shared" si="94"/>
        <v/>
      </c>
      <c r="CN414" s="13" t="str">
        <f t="shared" si="94"/>
        <v/>
      </c>
      <c r="CO414" s="13" t="str">
        <f t="shared" si="93"/>
        <v/>
      </c>
      <c r="CP414" s="13" t="str">
        <f t="shared" si="93"/>
        <v/>
      </c>
      <c r="CQ414" s="13" t="str">
        <f t="shared" si="93"/>
        <v/>
      </c>
      <c r="CR414" t="str">
        <f t="shared" si="87"/>
        <v/>
      </c>
      <c r="CS414" t="str">
        <f t="shared" si="88"/>
        <v/>
      </c>
      <c r="CT414" t="str">
        <f t="shared" si="89"/>
        <v/>
      </c>
      <c r="CU414" t="str">
        <f t="shared" si="90"/>
        <v/>
      </c>
      <c r="CV414" t="str">
        <f t="shared" si="91"/>
        <v/>
      </c>
      <c r="CW414" t="str">
        <f t="shared" si="92"/>
        <v/>
      </c>
      <c r="DR414">
        <v>5502112</v>
      </c>
      <c r="DS414" s="17" t="s">
        <v>111</v>
      </c>
    </row>
    <row r="415" spans="90:123" x14ac:dyDescent="0.15">
      <c r="CL415" s="13" t="str">
        <f t="shared" si="94"/>
        <v/>
      </c>
      <c r="CM415" s="13" t="str">
        <f t="shared" si="94"/>
        <v/>
      </c>
      <c r="CN415" s="13" t="str">
        <f t="shared" si="94"/>
        <v/>
      </c>
      <c r="CO415" s="13" t="str">
        <f t="shared" si="93"/>
        <v/>
      </c>
      <c r="CP415" s="13" t="str">
        <f t="shared" si="93"/>
        <v/>
      </c>
      <c r="CQ415" s="13" t="str">
        <f t="shared" si="93"/>
        <v/>
      </c>
      <c r="CR415" t="str">
        <f t="shared" si="87"/>
        <v/>
      </c>
      <c r="CS415" t="str">
        <f t="shared" si="88"/>
        <v/>
      </c>
      <c r="CT415" t="str">
        <f t="shared" si="89"/>
        <v/>
      </c>
      <c r="CU415" t="str">
        <f t="shared" si="90"/>
        <v/>
      </c>
      <c r="CV415" t="str">
        <f t="shared" si="91"/>
        <v/>
      </c>
      <c r="CW415" t="str">
        <f t="shared" si="92"/>
        <v/>
      </c>
      <c r="DR415">
        <v>5601112</v>
      </c>
      <c r="DS415" s="17" t="s">
        <v>114</v>
      </c>
    </row>
    <row r="416" spans="90:123" x14ac:dyDescent="0.15">
      <c r="CL416" s="13" t="str">
        <f t="shared" si="94"/>
        <v/>
      </c>
      <c r="CM416" s="13" t="str">
        <f t="shared" si="94"/>
        <v/>
      </c>
      <c r="CN416" s="13" t="str">
        <f t="shared" si="94"/>
        <v/>
      </c>
      <c r="CO416" s="13" t="str">
        <f t="shared" si="93"/>
        <v/>
      </c>
      <c r="CP416" s="13" t="str">
        <f t="shared" si="93"/>
        <v/>
      </c>
      <c r="CQ416" s="13" t="str">
        <f t="shared" si="93"/>
        <v/>
      </c>
      <c r="CR416" t="str">
        <f t="shared" si="87"/>
        <v/>
      </c>
      <c r="CS416" t="str">
        <f t="shared" si="88"/>
        <v/>
      </c>
      <c r="CT416" t="str">
        <f t="shared" si="89"/>
        <v/>
      </c>
      <c r="CU416" t="str">
        <f t="shared" si="90"/>
        <v/>
      </c>
      <c r="CV416" t="str">
        <f t="shared" si="91"/>
        <v/>
      </c>
      <c r="CW416" t="str">
        <f t="shared" si="92"/>
        <v/>
      </c>
      <c r="DR416">
        <v>5200113</v>
      </c>
      <c r="DS416" s="17" t="s">
        <v>118</v>
      </c>
    </row>
    <row r="417" spans="90:123" x14ac:dyDescent="0.15">
      <c r="CL417" s="13" t="str">
        <f t="shared" si="94"/>
        <v/>
      </c>
      <c r="CM417" s="13" t="str">
        <f t="shared" si="94"/>
        <v/>
      </c>
      <c r="CN417" s="13" t="str">
        <f t="shared" si="94"/>
        <v/>
      </c>
      <c r="CO417" s="13" t="str">
        <f t="shared" si="93"/>
        <v/>
      </c>
      <c r="CP417" s="13" t="str">
        <f t="shared" si="93"/>
        <v/>
      </c>
      <c r="CQ417" s="13" t="str">
        <f t="shared" si="93"/>
        <v/>
      </c>
      <c r="CR417" t="str">
        <f t="shared" si="87"/>
        <v/>
      </c>
      <c r="CS417" t="str">
        <f t="shared" si="88"/>
        <v/>
      </c>
      <c r="CT417" t="str">
        <f t="shared" si="89"/>
        <v/>
      </c>
      <c r="CU417" t="str">
        <f t="shared" si="90"/>
        <v/>
      </c>
      <c r="CV417" t="str">
        <f t="shared" si="91"/>
        <v/>
      </c>
      <c r="CW417" t="str">
        <f t="shared" si="92"/>
        <v/>
      </c>
      <c r="DR417">
        <v>5201113</v>
      </c>
      <c r="DS417" s="17" t="s">
        <v>121</v>
      </c>
    </row>
    <row r="418" spans="90:123" x14ac:dyDescent="0.15">
      <c r="CL418" s="13" t="str">
        <f t="shared" si="94"/>
        <v/>
      </c>
      <c r="CM418" s="13" t="str">
        <f t="shared" si="94"/>
        <v/>
      </c>
      <c r="CN418" s="13" t="str">
        <f t="shared" si="94"/>
        <v/>
      </c>
      <c r="CO418" s="13" t="str">
        <f t="shared" si="93"/>
        <v/>
      </c>
      <c r="CP418" s="13" t="str">
        <f t="shared" si="93"/>
        <v/>
      </c>
      <c r="CQ418" s="13" t="str">
        <f t="shared" si="93"/>
        <v/>
      </c>
      <c r="CR418" t="str">
        <f t="shared" si="87"/>
        <v/>
      </c>
      <c r="CS418" t="str">
        <f t="shared" si="88"/>
        <v/>
      </c>
      <c r="CT418" t="str">
        <f t="shared" si="89"/>
        <v/>
      </c>
      <c r="CU418" t="str">
        <f t="shared" si="90"/>
        <v/>
      </c>
      <c r="CV418" t="str">
        <f t="shared" si="91"/>
        <v/>
      </c>
      <c r="CW418" t="str">
        <f t="shared" si="92"/>
        <v/>
      </c>
      <c r="DR418">
        <v>5202113</v>
      </c>
      <c r="DS418" s="17" t="s">
        <v>124</v>
      </c>
    </row>
    <row r="419" spans="90:123" x14ac:dyDescent="0.15">
      <c r="CL419" s="13" t="str">
        <f t="shared" si="94"/>
        <v/>
      </c>
      <c r="CM419" s="13" t="str">
        <f t="shared" si="94"/>
        <v/>
      </c>
      <c r="CN419" s="13" t="str">
        <f t="shared" si="94"/>
        <v/>
      </c>
      <c r="CO419" s="13" t="str">
        <f t="shared" si="93"/>
        <v/>
      </c>
      <c r="CP419" s="13" t="str">
        <f t="shared" si="93"/>
        <v/>
      </c>
      <c r="CQ419" s="13" t="str">
        <f t="shared" si="93"/>
        <v/>
      </c>
      <c r="CR419" t="str">
        <f t="shared" si="87"/>
        <v/>
      </c>
      <c r="CS419" t="str">
        <f t="shared" si="88"/>
        <v/>
      </c>
      <c r="CT419" t="str">
        <f t="shared" si="89"/>
        <v/>
      </c>
      <c r="CU419" t="str">
        <f t="shared" si="90"/>
        <v/>
      </c>
      <c r="CV419" t="str">
        <f t="shared" si="91"/>
        <v/>
      </c>
      <c r="CW419" t="str">
        <f t="shared" si="92"/>
        <v/>
      </c>
      <c r="DR419">
        <v>5301113</v>
      </c>
      <c r="DS419" s="17" t="s">
        <v>126</v>
      </c>
    </row>
    <row r="420" spans="90:123" x14ac:dyDescent="0.15">
      <c r="CL420" s="13" t="str">
        <f t="shared" si="94"/>
        <v/>
      </c>
      <c r="CM420" s="13" t="str">
        <f t="shared" si="94"/>
        <v/>
      </c>
      <c r="CN420" s="13" t="str">
        <f t="shared" si="94"/>
        <v/>
      </c>
      <c r="CO420" s="13" t="str">
        <f t="shared" si="93"/>
        <v/>
      </c>
      <c r="CP420" s="13" t="str">
        <f t="shared" si="93"/>
        <v/>
      </c>
      <c r="CQ420" s="13" t="str">
        <f t="shared" si="93"/>
        <v/>
      </c>
      <c r="CR420" t="str">
        <f t="shared" si="87"/>
        <v/>
      </c>
      <c r="CS420" t="str">
        <f t="shared" si="88"/>
        <v/>
      </c>
      <c r="CT420" t="str">
        <f t="shared" si="89"/>
        <v/>
      </c>
      <c r="CU420" t="str">
        <f t="shared" si="90"/>
        <v/>
      </c>
      <c r="CV420" t="str">
        <f t="shared" si="91"/>
        <v/>
      </c>
      <c r="CW420" t="str">
        <f t="shared" si="92"/>
        <v/>
      </c>
      <c r="DR420">
        <v>5401113</v>
      </c>
      <c r="DS420" s="17" t="s">
        <v>130</v>
      </c>
    </row>
    <row r="421" spans="90:123" x14ac:dyDescent="0.15">
      <c r="CL421" s="13" t="str">
        <f t="shared" si="94"/>
        <v/>
      </c>
      <c r="CM421" s="13" t="str">
        <f t="shared" si="94"/>
        <v/>
      </c>
      <c r="CN421" s="13" t="str">
        <f t="shared" si="94"/>
        <v/>
      </c>
      <c r="CO421" s="13" t="str">
        <f t="shared" si="93"/>
        <v/>
      </c>
      <c r="CP421" s="13" t="str">
        <f t="shared" si="93"/>
        <v/>
      </c>
      <c r="CQ421" s="13" t="str">
        <f t="shared" si="93"/>
        <v/>
      </c>
      <c r="CR421" t="str">
        <f t="shared" si="87"/>
        <v/>
      </c>
      <c r="CS421" t="str">
        <f t="shared" si="88"/>
        <v/>
      </c>
      <c r="CT421" t="str">
        <f t="shared" si="89"/>
        <v/>
      </c>
      <c r="CU421" t="str">
        <f t="shared" si="90"/>
        <v/>
      </c>
      <c r="CV421" t="str">
        <f t="shared" si="91"/>
        <v/>
      </c>
      <c r="CW421" t="str">
        <f t="shared" si="92"/>
        <v/>
      </c>
      <c r="DR421">
        <v>5402113</v>
      </c>
      <c r="DS421" s="17" t="s">
        <v>135</v>
      </c>
    </row>
    <row r="422" spans="90:123" x14ac:dyDescent="0.15">
      <c r="CL422" s="13" t="str">
        <f t="shared" si="94"/>
        <v/>
      </c>
      <c r="CM422" s="13" t="str">
        <f t="shared" si="94"/>
        <v/>
      </c>
      <c r="CN422" s="13" t="str">
        <f t="shared" si="94"/>
        <v/>
      </c>
      <c r="CO422" s="13" t="str">
        <f t="shared" si="93"/>
        <v/>
      </c>
      <c r="CP422" s="13" t="str">
        <f t="shared" si="93"/>
        <v/>
      </c>
      <c r="CQ422" s="13" t="str">
        <f t="shared" si="93"/>
        <v/>
      </c>
      <c r="CR422" t="str">
        <f t="shared" si="87"/>
        <v/>
      </c>
      <c r="CS422" t="str">
        <f t="shared" si="88"/>
        <v/>
      </c>
      <c r="CT422" t="str">
        <f t="shared" si="89"/>
        <v/>
      </c>
      <c r="CU422" t="str">
        <f t="shared" si="90"/>
        <v/>
      </c>
      <c r="CV422" t="str">
        <f t="shared" si="91"/>
        <v/>
      </c>
      <c r="CW422" t="str">
        <f t="shared" si="92"/>
        <v/>
      </c>
      <c r="DR422">
        <v>5500113</v>
      </c>
      <c r="DS422" s="17" t="s">
        <v>139</v>
      </c>
    </row>
    <row r="423" spans="90:123" x14ac:dyDescent="0.15">
      <c r="CL423" s="13" t="str">
        <f t="shared" si="94"/>
        <v/>
      </c>
      <c r="CM423" s="13" t="str">
        <f t="shared" si="94"/>
        <v/>
      </c>
      <c r="CN423" s="13" t="str">
        <f t="shared" si="94"/>
        <v/>
      </c>
      <c r="CO423" s="13" t="str">
        <f t="shared" si="93"/>
        <v/>
      </c>
      <c r="CP423" s="13" t="str">
        <f t="shared" si="93"/>
        <v/>
      </c>
      <c r="CQ423" s="13" t="str">
        <f t="shared" si="93"/>
        <v/>
      </c>
      <c r="CR423" t="str">
        <f t="shared" si="87"/>
        <v/>
      </c>
      <c r="CS423" t="str">
        <f t="shared" si="88"/>
        <v/>
      </c>
      <c r="CT423" t="str">
        <f t="shared" si="89"/>
        <v/>
      </c>
      <c r="CU423" t="str">
        <f t="shared" si="90"/>
        <v/>
      </c>
      <c r="CV423" t="str">
        <f t="shared" si="91"/>
        <v/>
      </c>
      <c r="CW423" t="str">
        <f t="shared" si="92"/>
        <v/>
      </c>
      <c r="DR423">
        <v>5502113</v>
      </c>
      <c r="DS423" s="17" t="s">
        <v>141</v>
      </c>
    </row>
    <row r="424" spans="90:123" x14ac:dyDescent="0.15">
      <c r="CL424" s="13" t="str">
        <f t="shared" si="94"/>
        <v/>
      </c>
      <c r="CM424" s="13" t="str">
        <f t="shared" si="94"/>
        <v/>
      </c>
      <c r="CN424" s="13" t="str">
        <f t="shared" si="94"/>
        <v/>
      </c>
      <c r="CO424" s="13" t="str">
        <f t="shared" si="93"/>
        <v/>
      </c>
      <c r="CP424" s="13" t="str">
        <f t="shared" si="93"/>
        <v/>
      </c>
      <c r="CQ424" s="13" t="str">
        <f t="shared" si="93"/>
        <v/>
      </c>
      <c r="CR424" t="str">
        <f t="shared" si="87"/>
        <v/>
      </c>
      <c r="CS424" t="str">
        <f t="shared" si="88"/>
        <v/>
      </c>
      <c r="CT424" t="str">
        <f t="shared" si="89"/>
        <v/>
      </c>
      <c r="CU424" t="str">
        <f t="shared" si="90"/>
        <v/>
      </c>
      <c r="CV424" t="str">
        <f t="shared" si="91"/>
        <v/>
      </c>
      <c r="CW424" t="str">
        <f t="shared" si="92"/>
        <v/>
      </c>
      <c r="DR424">
        <v>5601113</v>
      </c>
      <c r="DS424" s="17" t="s">
        <v>143</v>
      </c>
    </row>
    <row r="425" spans="90:123" x14ac:dyDescent="0.15">
      <c r="CL425" s="13" t="str">
        <f t="shared" si="94"/>
        <v/>
      </c>
      <c r="CM425" s="13" t="str">
        <f t="shared" si="94"/>
        <v/>
      </c>
      <c r="CN425" s="13" t="str">
        <f t="shared" si="94"/>
        <v/>
      </c>
      <c r="CO425" s="13" t="str">
        <f t="shared" si="93"/>
        <v/>
      </c>
      <c r="CP425" s="13" t="str">
        <f t="shared" si="93"/>
        <v/>
      </c>
      <c r="CQ425" s="13" t="str">
        <f t="shared" si="93"/>
        <v/>
      </c>
      <c r="CR425" t="str">
        <f t="shared" si="87"/>
        <v/>
      </c>
      <c r="CS425" t="str">
        <f t="shared" si="88"/>
        <v/>
      </c>
      <c r="CT425" t="str">
        <f t="shared" si="89"/>
        <v/>
      </c>
      <c r="CU425" t="str">
        <f t="shared" si="90"/>
        <v/>
      </c>
      <c r="CV425" t="str">
        <f t="shared" si="91"/>
        <v/>
      </c>
      <c r="CW425" t="str">
        <f t="shared" si="92"/>
        <v/>
      </c>
      <c r="DR425">
        <v>5501114</v>
      </c>
      <c r="DS425" s="17" t="s">
        <v>145</v>
      </c>
    </row>
    <row r="426" spans="90:123" x14ac:dyDescent="0.15">
      <c r="CL426" s="13" t="str">
        <f t="shared" si="94"/>
        <v/>
      </c>
      <c r="CM426" s="13" t="str">
        <f t="shared" si="94"/>
        <v/>
      </c>
      <c r="CN426" s="13" t="str">
        <f t="shared" si="94"/>
        <v/>
      </c>
      <c r="CO426" s="13" t="str">
        <f t="shared" si="93"/>
        <v/>
      </c>
      <c r="CP426" s="13" t="str">
        <f t="shared" si="93"/>
        <v/>
      </c>
      <c r="CQ426" s="13" t="str">
        <f t="shared" si="93"/>
        <v/>
      </c>
      <c r="CR426" t="str">
        <f t="shared" si="87"/>
        <v/>
      </c>
      <c r="CS426" t="str">
        <f t="shared" si="88"/>
        <v/>
      </c>
      <c r="CT426" t="str">
        <f t="shared" si="89"/>
        <v/>
      </c>
      <c r="CU426" t="str">
        <f t="shared" si="90"/>
        <v/>
      </c>
      <c r="CV426" t="str">
        <f t="shared" si="91"/>
        <v/>
      </c>
      <c r="CW426" t="str">
        <f t="shared" si="92"/>
        <v/>
      </c>
      <c r="DR426">
        <v>5600114</v>
      </c>
      <c r="DS426" s="17" t="s">
        <v>148</v>
      </c>
    </row>
    <row r="427" spans="90:123" x14ac:dyDescent="0.15">
      <c r="CL427" s="13" t="str">
        <f t="shared" si="94"/>
        <v/>
      </c>
      <c r="CM427" s="13" t="str">
        <f t="shared" si="94"/>
        <v/>
      </c>
      <c r="CN427" s="13" t="str">
        <f t="shared" si="94"/>
        <v/>
      </c>
      <c r="CO427" s="13" t="str">
        <f t="shared" si="93"/>
        <v/>
      </c>
      <c r="CP427" s="13" t="str">
        <f t="shared" si="93"/>
        <v/>
      </c>
      <c r="CQ427" s="13" t="str">
        <f t="shared" si="93"/>
        <v/>
      </c>
      <c r="CR427" t="str">
        <f t="shared" si="87"/>
        <v/>
      </c>
      <c r="CS427" t="str">
        <f t="shared" si="88"/>
        <v/>
      </c>
      <c r="CT427" t="str">
        <f t="shared" si="89"/>
        <v/>
      </c>
      <c r="CU427" t="str">
        <f t="shared" si="90"/>
        <v/>
      </c>
      <c r="CV427" t="str">
        <f t="shared" si="91"/>
        <v/>
      </c>
      <c r="CW427" t="str">
        <f t="shared" si="92"/>
        <v/>
      </c>
      <c r="DR427">
        <v>5602114</v>
      </c>
      <c r="DS427" s="17" t="s">
        <v>150</v>
      </c>
    </row>
    <row r="428" spans="90:123" x14ac:dyDescent="0.15">
      <c r="CL428" s="13" t="str">
        <f t="shared" si="94"/>
        <v/>
      </c>
      <c r="CM428" s="13" t="str">
        <f t="shared" si="94"/>
        <v/>
      </c>
      <c r="CN428" s="13" t="str">
        <f t="shared" si="94"/>
        <v/>
      </c>
      <c r="CO428" s="13" t="str">
        <f t="shared" si="93"/>
        <v/>
      </c>
      <c r="CP428" s="13" t="str">
        <f t="shared" si="93"/>
        <v/>
      </c>
      <c r="CQ428" s="13" t="str">
        <f t="shared" si="93"/>
        <v/>
      </c>
      <c r="CR428" t="str">
        <f t="shared" si="87"/>
        <v/>
      </c>
      <c r="CS428" t="str">
        <f t="shared" si="88"/>
        <v/>
      </c>
      <c r="CT428" t="str">
        <f t="shared" si="89"/>
        <v/>
      </c>
      <c r="CU428" t="str">
        <f t="shared" si="90"/>
        <v/>
      </c>
      <c r="CV428" t="str">
        <f t="shared" si="91"/>
        <v/>
      </c>
      <c r="CW428" t="str">
        <f t="shared" si="92"/>
        <v/>
      </c>
      <c r="DR428">
        <v>5300115</v>
      </c>
      <c r="DS428" s="17" t="s">
        <v>153</v>
      </c>
    </row>
    <row r="429" spans="90:123" x14ac:dyDescent="0.15">
      <c r="CL429" s="13" t="str">
        <f t="shared" si="94"/>
        <v/>
      </c>
      <c r="CM429" s="13" t="str">
        <f t="shared" si="94"/>
        <v/>
      </c>
      <c r="CN429" s="13" t="str">
        <f t="shared" si="94"/>
        <v/>
      </c>
      <c r="CO429" s="13" t="str">
        <f t="shared" si="93"/>
        <v/>
      </c>
      <c r="CP429" s="13" t="str">
        <f t="shared" si="93"/>
        <v/>
      </c>
      <c r="CQ429" s="13" t="str">
        <f t="shared" si="93"/>
        <v/>
      </c>
      <c r="CR429" t="str">
        <f t="shared" si="87"/>
        <v/>
      </c>
      <c r="CS429" t="str">
        <f t="shared" si="88"/>
        <v/>
      </c>
      <c r="CT429" t="str">
        <f t="shared" si="89"/>
        <v/>
      </c>
      <c r="CU429" t="str">
        <f t="shared" si="90"/>
        <v/>
      </c>
      <c r="CV429" t="str">
        <f t="shared" si="91"/>
        <v/>
      </c>
      <c r="CW429" t="str">
        <f t="shared" si="92"/>
        <v/>
      </c>
      <c r="DR429">
        <v>5302115</v>
      </c>
      <c r="DS429" s="17" t="s">
        <v>156</v>
      </c>
    </row>
    <row r="430" spans="90:123" x14ac:dyDescent="0.15">
      <c r="CL430" s="13" t="str">
        <f t="shared" si="94"/>
        <v/>
      </c>
      <c r="CM430" s="13" t="str">
        <f t="shared" si="94"/>
        <v/>
      </c>
      <c r="CN430" s="13" t="str">
        <f t="shared" si="94"/>
        <v/>
      </c>
      <c r="CO430" s="13" t="str">
        <f t="shared" si="93"/>
        <v/>
      </c>
      <c r="CP430" s="13" t="str">
        <f t="shared" si="93"/>
        <v/>
      </c>
      <c r="CQ430" s="13" t="str">
        <f t="shared" si="93"/>
        <v/>
      </c>
      <c r="CR430" t="str">
        <f t="shared" si="87"/>
        <v/>
      </c>
      <c r="CS430" t="str">
        <f t="shared" si="88"/>
        <v/>
      </c>
      <c r="CT430" t="str">
        <f t="shared" si="89"/>
        <v/>
      </c>
      <c r="CU430" t="str">
        <f t="shared" si="90"/>
        <v/>
      </c>
      <c r="CV430" t="str">
        <f t="shared" si="91"/>
        <v/>
      </c>
      <c r="CW430" t="str">
        <f t="shared" si="92"/>
        <v/>
      </c>
      <c r="DR430">
        <v>5400115</v>
      </c>
      <c r="DS430" s="17" t="s">
        <v>159</v>
      </c>
    </row>
    <row r="431" spans="90:123" x14ac:dyDescent="0.15">
      <c r="CL431" s="13" t="str">
        <f t="shared" si="94"/>
        <v/>
      </c>
      <c r="CM431" s="13" t="str">
        <f t="shared" si="94"/>
        <v/>
      </c>
      <c r="CN431" s="13" t="str">
        <f t="shared" si="94"/>
        <v/>
      </c>
      <c r="CO431" s="13" t="str">
        <f t="shared" si="93"/>
        <v/>
      </c>
      <c r="CP431" s="13" t="str">
        <f t="shared" si="93"/>
        <v/>
      </c>
      <c r="CQ431" s="13" t="str">
        <f t="shared" si="93"/>
        <v/>
      </c>
      <c r="CR431" t="str">
        <f t="shared" si="87"/>
        <v/>
      </c>
      <c r="CS431" t="str">
        <f t="shared" si="88"/>
        <v/>
      </c>
      <c r="CT431" t="str">
        <f t="shared" si="89"/>
        <v/>
      </c>
      <c r="CU431" t="str">
        <f t="shared" si="90"/>
        <v/>
      </c>
      <c r="CV431" t="str">
        <f t="shared" si="91"/>
        <v/>
      </c>
      <c r="CW431" t="str">
        <f t="shared" si="92"/>
        <v/>
      </c>
      <c r="DR431">
        <v>5200121</v>
      </c>
      <c r="DS431" s="17" t="s">
        <v>62</v>
      </c>
    </row>
    <row r="432" spans="90:123" x14ac:dyDescent="0.15">
      <c r="CL432" s="13" t="str">
        <f t="shared" si="94"/>
        <v/>
      </c>
      <c r="CM432" s="13" t="str">
        <f t="shared" si="94"/>
        <v/>
      </c>
      <c r="CN432" s="13" t="str">
        <f t="shared" si="94"/>
        <v/>
      </c>
      <c r="CO432" s="13" t="str">
        <f t="shared" si="93"/>
        <v/>
      </c>
      <c r="CP432" s="13" t="str">
        <f t="shared" si="93"/>
        <v/>
      </c>
      <c r="CQ432" s="13" t="str">
        <f t="shared" si="93"/>
        <v/>
      </c>
      <c r="CR432" t="str">
        <f t="shared" si="87"/>
        <v/>
      </c>
      <c r="CS432" t="str">
        <f t="shared" si="88"/>
        <v/>
      </c>
      <c r="CT432" t="str">
        <f t="shared" si="89"/>
        <v/>
      </c>
      <c r="CU432" t="str">
        <f t="shared" si="90"/>
        <v/>
      </c>
      <c r="CV432" t="str">
        <f t="shared" si="91"/>
        <v/>
      </c>
      <c r="CW432" t="str">
        <f t="shared" si="92"/>
        <v/>
      </c>
      <c r="DR432">
        <v>5201121</v>
      </c>
      <c r="DS432" s="17" t="s">
        <v>65</v>
      </c>
    </row>
    <row r="433" spans="90:123" x14ac:dyDescent="0.15">
      <c r="CL433" s="13" t="str">
        <f t="shared" si="94"/>
        <v/>
      </c>
      <c r="CM433" s="13" t="str">
        <f t="shared" si="94"/>
        <v/>
      </c>
      <c r="CN433" s="13" t="str">
        <f t="shared" si="94"/>
        <v/>
      </c>
      <c r="CO433" s="13" t="str">
        <f t="shared" si="93"/>
        <v/>
      </c>
      <c r="CP433" s="13" t="str">
        <f t="shared" si="93"/>
        <v/>
      </c>
      <c r="CQ433" s="13" t="str">
        <f t="shared" si="93"/>
        <v/>
      </c>
      <c r="CR433" t="str">
        <f t="shared" si="87"/>
        <v/>
      </c>
      <c r="CS433" t="str">
        <f t="shared" si="88"/>
        <v/>
      </c>
      <c r="CT433" t="str">
        <f t="shared" si="89"/>
        <v/>
      </c>
      <c r="CU433" t="str">
        <f t="shared" si="90"/>
        <v/>
      </c>
      <c r="CV433" t="str">
        <f t="shared" si="91"/>
        <v/>
      </c>
      <c r="CW433" t="str">
        <f t="shared" si="92"/>
        <v/>
      </c>
      <c r="DR433">
        <v>5202121</v>
      </c>
      <c r="DS433" s="17" t="s">
        <v>68</v>
      </c>
    </row>
    <row r="434" spans="90:123" x14ac:dyDescent="0.15">
      <c r="CL434" s="13" t="str">
        <f t="shared" si="94"/>
        <v/>
      </c>
      <c r="CM434" s="13" t="str">
        <f t="shared" si="94"/>
        <v/>
      </c>
      <c r="CN434" s="13" t="str">
        <f t="shared" si="94"/>
        <v/>
      </c>
      <c r="CO434" s="13" t="str">
        <f t="shared" si="93"/>
        <v/>
      </c>
      <c r="CP434" s="13" t="str">
        <f t="shared" si="93"/>
        <v/>
      </c>
      <c r="CQ434" s="13" t="str">
        <f t="shared" si="93"/>
        <v/>
      </c>
      <c r="CR434" t="str">
        <f t="shared" si="87"/>
        <v/>
      </c>
      <c r="CS434" t="str">
        <f t="shared" si="88"/>
        <v/>
      </c>
      <c r="CT434" t="str">
        <f t="shared" si="89"/>
        <v/>
      </c>
      <c r="CU434" t="str">
        <f t="shared" si="90"/>
        <v/>
      </c>
      <c r="CV434" t="str">
        <f t="shared" si="91"/>
        <v/>
      </c>
      <c r="CW434" t="str">
        <f t="shared" si="92"/>
        <v/>
      </c>
      <c r="DR434">
        <v>5301121</v>
      </c>
      <c r="DS434" s="17" t="s">
        <v>71</v>
      </c>
    </row>
    <row r="435" spans="90:123" x14ac:dyDescent="0.15">
      <c r="CL435" s="13" t="str">
        <f t="shared" si="94"/>
        <v/>
      </c>
      <c r="CM435" s="13" t="str">
        <f t="shared" si="94"/>
        <v/>
      </c>
      <c r="CN435" s="13" t="str">
        <f t="shared" si="94"/>
        <v/>
      </c>
      <c r="CO435" s="13" t="str">
        <f t="shared" si="93"/>
        <v/>
      </c>
      <c r="CP435" s="13" t="str">
        <f t="shared" si="93"/>
        <v/>
      </c>
      <c r="CQ435" s="13" t="str">
        <f t="shared" si="93"/>
        <v/>
      </c>
      <c r="CR435" t="str">
        <f t="shared" si="87"/>
        <v/>
      </c>
      <c r="CS435" t="str">
        <f t="shared" si="88"/>
        <v/>
      </c>
      <c r="CT435" t="str">
        <f t="shared" si="89"/>
        <v/>
      </c>
      <c r="CU435" t="str">
        <f t="shared" si="90"/>
        <v/>
      </c>
      <c r="CV435" t="str">
        <f t="shared" si="91"/>
        <v/>
      </c>
      <c r="CW435" t="str">
        <f t="shared" si="92"/>
        <v/>
      </c>
      <c r="DR435">
        <v>5401121</v>
      </c>
      <c r="DS435" s="17" t="s">
        <v>73</v>
      </c>
    </row>
    <row r="436" spans="90:123" x14ac:dyDescent="0.15">
      <c r="CL436" s="13" t="str">
        <f t="shared" si="94"/>
        <v/>
      </c>
      <c r="CM436" s="13" t="str">
        <f t="shared" si="94"/>
        <v/>
      </c>
      <c r="CN436" s="13" t="str">
        <f t="shared" si="94"/>
        <v/>
      </c>
      <c r="CO436" s="13" t="str">
        <f t="shared" si="93"/>
        <v/>
      </c>
      <c r="CP436" s="13" t="str">
        <f t="shared" si="93"/>
        <v/>
      </c>
      <c r="CQ436" s="13" t="str">
        <f t="shared" si="93"/>
        <v/>
      </c>
      <c r="CR436" t="str">
        <f t="shared" si="87"/>
        <v/>
      </c>
      <c r="CS436" t="str">
        <f t="shared" si="88"/>
        <v/>
      </c>
      <c r="CT436" t="str">
        <f t="shared" si="89"/>
        <v/>
      </c>
      <c r="CU436" t="str">
        <f t="shared" si="90"/>
        <v/>
      </c>
      <c r="CV436" t="str">
        <f t="shared" si="91"/>
        <v/>
      </c>
      <c r="CW436" t="str">
        <f t="shared" si="92"/>
        <v/>
      </c>
      <c r="DR436">
        <v>5402121</v>
      </c>
      <c r="DS436" s="17" t="s">
        <v>76</v>
      </c>
    </row>
    <row r="437" spans="90:123" x14ac:dyDescent="0.15">
      <c r="CL437" s="13" t="str">
        <f t="shared" si="94"/>
        <v/>
      </c>
      <c r="CM437" s="13" t="str">
        <f t="shared" si="94"/>
        <v/>
      </c>
      <c r="CN437" s="13" t="str">
        <f t="shared" si="94"/>
        <v/>
      </c>
      <c r="CO437" s="13" t="str">
        <f t="shared" si="93"/>
        <v/>
      </c>
      <c r="CP437" s="13" t="str">
        <f t="shared" si="93"/>
        <v/>
      </c>
      <c r="CQ437" s="13" t="str">
        <f t="shared" si="93"/>
        <v/>
      </c>
      <c r="CR437" t="str">
        <f t="shared" si="87"/>
        <v/>
      </c>
      <c r="CS437" t="str">
        <f t="shared" si="88"/>
        <v/>
      </c>
      <c r="CT437" t="str">
        <f t="shared" si="89"/>
        <v/>
      </c>
      <c r="CU437" t="str">
        <f t="shared" si="90"/>
        <v/>
      </c>
      <c r="CV437" t="str">
        <f t="shared" si="91"/>
        <v/>
      </c>
      <c r="CW437" t="str">
        <f t="shared" si="92"/>
        <v/>
      </c>
      <c r="DR437">
        <v>5500121</v>
      </c>
      <c r="DS437" s="17" t="s">
        <v>79</v>
      </c>
    </row>
    <row r="438" spans="90:123" x14ac:dyDescent="0.15">
      <c r="CL438" s="13" t="str">
        <f t="shared" si="94"/>
        <v/>
      </c>
      <c r="CM438" s="13" t="str">
        <f t="shared" si="94"/>
        <v/>
      </c>
      <c r="CN438" s="13" t="str">
        <f t="shared" si="94"/>
        <v/>
      </c>
      <c r="CO438" s="13" t="str">
        <f t="shared" si="93"/>
        <v/>
      </c>
      <c r="CP438" s="13" t="str">
        <f t="shared" si="93"/>
        <v/>
      </c>
      <c r="CQ438" s="13" t="str">
        <f t="shared" si="93"/>
        <v/>
      </c>
      <c r="CR438" t="str">
        <f t="shared" si="87"/>
        <v/>
      </c>
      <c r="CS438" t="str">
        <f t="shared" si="88"/>
        <v/>
      </c>
      <c r="CT438" t="str">
        <f t="shared" si="89"/>
        <v/>
      </c>
      <c r="CU438" t="str">
        <f t="shared" si="90"/>
        <v/>
      </c>
      <c r="CV438" t="str">
        <f t="shared" si="91"/>
        <v/>
      </c>
      <c r="CW438" t="str">
        <f t="shared" si="92"/>
        <v/>
      </c>
      <c r="DR438">
        <v>5502121</v>
      </c>
      <c r="DS438" s="17" t="s">
        <v>81</v>
      </c>
    </row>
    <row r="439" spans="90:123" x14ac:dyDescent="0.15">
      <c r="CL439" s="13" t="str">
        <f t="shared" si="94"/>
        <v/>
      </c>
      <c r="CM439" s="13" t="str">
        <f t="shared" si="94"/>
        <v/>
      </c>
      <c r="CN439" s="13" t="str">
        <f t="shared" si="94"/>
        <v/>
      </c>
      <c r="CO439" s="13" t="str">
        <f t="shared" si="93"/>
        <v/>
      </c>
      <c r="CP439" s="13" t="str">
        <f t="shared" si="93"/>
        <v/>
      </c>
      <c r="CQ439" s="13" t="str">
        <f t="shared" si="93"/>
        <v/>
      </c>
      <c r="CR439" t="str">
        <f t="shared" si="87"/>
        <v/>
      </c>
      <c r="CS439" t="str">
        <f t="shared" si="88"/>
        <v/>
      </c>
      <c r="CT439" t="str">
        <f t="shared" si="89"/>
        <v/>
      </c>
      <c r="CU439" t="str">
        <f t="shared" si="90"/>
        <v/>
      </c>
      <c r="CV439" t="str">
        <f t="shared" si="91"/>
        <v/>
      </c>
      <c r="CW439" t="str">
        <f t="shared" si="92"/>
        <v/>
      </c>
      <c r="DR439">
        <v>5601121</v>
      </c>
      <c r="DS439" s="17" t="s">
        <v>84</v>
      </c>
    </row>
    <row r="440" spans="90:123" x14ac:dyDescent="0.15">
      <c r="CL440" s="13" t="str">
        <f t="shared" si="94"/>
        <v/>
      </c>
      <c r="CM440" s="13" t="str">
        <f t="shared" si="94"/>
        <v/>
      </c>
      <c r="CN440" s="13" t="str">
        <f t="shared" si="94"/>
        <v/>
      </c>
      <c r="CO440" s="13" t="str">
        <f t="shared" si="93"/>
        <v/>
      </c>
      <c r="CP440" s="13" t="str">
        <f t="shared" si="93"/>
        <v/>
      </c>
      <c r="CQ440" s="13" t="str">
        <f t="shared" si="93"/>
        <v/>
      </c>
      <c r="CR440" t="str">
        <f t="shared" si="87"/>
        <v/>
      </c>
      <c r="CS440" t="str">
        <f t="shared" si="88"/>
        <v/>
      </c>
      <c r="CT440" t="str">
        <f t="shared" si="89"/>
        <v/>
      </c>
      <c r="CU440" t="str">
        <f t="shared" si="90"/>
        <v/>
      </c>
      <c r="CV440" t="str">
        <f t="shared" si="91"/>
        <v/>
      </c>
      <c r="CW440" t="str">
        <f t="shared" si="92"/>
        <v/>
      </c>
      <c r="DR440">
        <v>5200122</v>
      </c>
      <c r="DS440" s="17" t="s">
        <v>88</v>
      </c>
    </row>
    <row r="441" spans="90:123" x14ac:dyDescent="0.15">
      <c r="CL441" s="13" t="str">
        <f t="shared" si="94"/>
        <v/>
      </c>
      <c r="CM441" s="13" t="str">
        <f t="shared" si="94"/>
        <v/>
      </c>
      <c r="CN441" s="13" t="str">
        <f t="shared" si="94"/>
        <v/>
      </c>
      <c r="CO441" s="13" t="str">
        <f t="shared" si="93"/>
        <v/>
      </c>
      <c r="CP441" s="13" t="str">
        <f t="shared" si="93"/>
        <v/>
      </c>
      <c r="CQ441" s="13" t="str">
        <f t="shared" si="93"/>
        <v/>
      </c>
      <c r="CR441" t="str">
        <f t="shared" si="87"/>
        <v/>
      </c>
      <c r="CS441" t="str">
        <f t="shared" si="88"/>
        <v/>
      </c>
      <c r="CT441" t="str">
        <f t="shared" si="89"/>
        <v/>
      </c>
      <c r="CU441" t="str">
        <f t="shared" si="90"/>
        <v/>
      </c>
      <c r="CV441" t="str">
        <f t="shared" si="91"/>
        <v/>
      </c>
      <c r="CW441" t="str">
        <f t="shared" si="92"/>
        <v/>
      </c>
      <c r="DR441">
        <v>5201122</v>
      </c>
      <c r="DS441" s="17" t="s">
        <v>92</v>
      </c>
    </row>
    <row r="442" spans="90:123" x14ac:dyDescent="0.15">
      <c r="CL442" s="13" t="str">
        <f t="shared" si="94"/>
        <v/>
      </c>
      <c r="CM442" s="13" t="str">
        <f t="shared" si="94"/>
        <v/>
      </c>
      <c r="CN442" s="13" t="str">
        <f t="shared" si="94"/>
        <v/>
      </c>
      <c r="CO442" s="13" t="str">
        <f t="shared" si="93"/>
        <v/>
      </c>
      <c r="CP442" s="13" t="str">
        <f t="shared" si="93"/>
        <v/>
      </c>
      <c r="CQ442" s="13" t="str">
        <f t="shared" si="93"/>
        <v/>
      </c>
      <c r="CR442" t="str">
        <f t="shared" si="87"/>
        <v/>
      </c>
      <c r="CS442" t="str">
        <f t="shared" si="88"/>
        <v/>
      </c>
      <c r="CT442" t="str">
        <f t="shared" si="89"/>
        <v/>
      </c>
      <c r="CU442" t="str">
        <f t="shared" si="90"/>
        <v/>
      </c>
      <c r="CV442" t="str">
        <f t="shared" si="91"/>
        <v/>
      </c>
      <c r="CW442" t="str">
        <f t="shared" si="92"/>
        <v/>
      </c>
      <c r="DR442">
        <v>5202122</v>
      </c>
      <c r="DS442" s="17" t="s">
        <v>95</v>
      </c>
    </row>
    <row r="443" spans="90:123" x14ac:dyDescent="0.15">
      <c r="CL443" s="13" t="str">
        <f t="shared" si="94"/>
        <v/>
      </c>
      <c r="CM443" s="13" t="str">
        <f t="shared" si="94"/>
        <v/>
      </c>
      <c r="CN443" s="13" t="str">
        <f t="shared" si="94"/>
        <v/>
      </c>
      <c r="CO443" s="13" t="str">
        <f t="shared" si="93"/>
        <v/>
      </c>
      <c r="CP443" s="13" t="str">
        <f t="shared" si="93"/>
        <v/>
      </c>
      <c r="CQ443" s="13" t="str">
        <f t="shared" si="93"/>
        <v/>
      </c>
      <c r="CR443" t="str">
        <f t="shared" si="87"/>
        <v/>
      </c>
      <c r="CS443" t="str">
        <f t="shared" si="88"/>
        <v/>
      </c>
      <c r="CT443" t="str">
        <f t="shared" si="89"/>
        <v/>
      </c>
      <c r="CU443" t="str">
        <f t="shared" si="90"/>
        <v/>
      </c>
      <c r="CV443" t="str">
        <f t="shared" si="91"/>
        <v/>
      </c>
      <c r="CW443" t="str">
        <f t="shared" si="92"/>
        <v/>
      </c>
      <c r="DR443">
        <v>5301122</v>
      </c>
      <c r="DS443" s="17" t="s">
        <v>98</v>
      </c>
    </row>
    <row r="444" spans="90:123" x14ac:dyDescent="0.15">
      <c r="CL444" s="13" t="str">
        <f t="shared" si="94"/>
        <v/>
      </c>
      <c r="CM444" s="13" t="str">
        <f t="shared" si="94"/>
        <v/>
      </c>
      <c r="CN444" s="13" t="str">
        <f t="shared" si="94"/>
        <v/>
      </c>
      <c r="CO444" s="13" t="str">
        <f t="shared" si="93"/>
        <v/>
      </c>
      <c r="CP444" s="13" t="str">
        <f t="shared" si="93"/>
        <v/>
      </c>
      <c r="CQ444" s="13" t="str">
        <f t="shared" si="93"/>
        <v/>
      </c>
      <c r="CR444" t="str">
        <f t="shared" si="87"/>
        <v/>
      </c>
      <c r="CS444" t="str">
        <f t="shared" si="88"/>
        <v/>
      </c>
      <c r="CT444" t="str">
        <f t="shared" si="89"/>
        <v/>
      </c>
      <c r="CU444" t="str">
        <f t="shared" si="90"/>
        <v/>
      </c>
      <c r="CV444" t="str">
        <f t="shared" si="91"/>
        <v/>
      </c>
      <c r="CW444" t="str">
        <f t="shared" si="92"/>
        <v/>
      </c>
      <c r="DR444">
        <v>5401122</v>
      </c>
      <c r="DS444" s="17" t="s">
        <v>101</v>
      </c>
    </row>
    <row r="445" spans="90:123" x14ac:dyDescent="0.15">
      <c r="CL445" s="13" t="str">
        <f t="shared" si="94"/>
        <v/>
      </c>
      <c r="CM445" s="13" t="str">
        <f t="shared" si="94"/>
        <v/>
      </c>
      <c r="CN445" s="13" t="str">
        <f t="shared" si="94"/>
        <v/>
      </c>
      <c r="CO445" s="13" t="str">
        <f t="shared" si="93"/>
        <v/>
      </c>
      <c r="CP445" s="13" t="str">
        <f t="shared" si="93"/>
        <v/>
      </c>
      <c r="CQ445" s="13" t="str">
        <f t="shared" si="93"/>
        <v/>
      </c>
      <c r="CR445" t="str">
        <f t="shared" si="87"/>
        <v/>
      </c>
      <c r="CS445" t="str">
        <f t="shared" si="88"/>
        <v/>
      </c>
      <c r="CT445" t="str">
        <f t="shared" si="89"/>
        <v/>
      </c>
      <c r="CU445" t="str">
        <f t="shared" si="90"/>
        <v/>
      </c>
      <c r="CV445" t="str">
        <f t="shared" si="91"/>
        <v/>
      </c>
      <c r="CW445" t="str">
        <f t="shared" si="92"/>
        <v/>
      </c>
      <c r="DR445">
        <v>5402122</v>
      </c>
      <c r="DS445" s="17" t="s">
        <v>103</v>
      </c>
    </row>
    <row r="446" spans="90:123" x14ac:dyDescent="0.15">
      <c r="CL446" s="13" t="str">
        <f t="shared" si="94"/>
        <v/>
      </c>
      <c r="CM446" s="13" t="str">
        <f t="shared" si="94"/>
        <v/>
      </c>
      <c r="CN446" s="13" t="str">
        <f t="shared" si="94"/>
        <v/>
      </c>
      <c r="CO446" s="13" t="str">
        <f t="shared" si="93"/>
        <v/>
      </c>
      <c r="CP446" s="13" t="str">
        <f t="shared" si="93"/>
        <v/>
      </c>
      <c r="CQ446" s="13" t="str">
        <f t="shared" si="93"/>
        <v/>
      </c>
      <c r="CR446" t="str">
        <f t="shared" si="87"/>
        <v/>
      </c>
      <c r="CS446" t="str">
        <f t="shared" si="88"/>
        <v/>
      </c>
      <c r="CT446" t="str">
        <f t="shared" si="89"/>
        <v/>
      </c>
      <c r="CU446" t="str">
        <f t="shared" si="90"/>
        <v/>
      </c>
      <c r="CV446" t="str">
        <f t="shared" si="91"/>
        <v/>
      </c>
      <c r="CW446" t="str">
        <f t="shared" si="92"/>
        <v/>
      </c>
      <c r="DR446">
        <v>5500122</v>
      </c>
      <c r="DS446" s="17" t="s">
        <v>107</v>
      </c>
    </row>
    <row r="447" spans="90:123" x14ac:dyDescent="0.15">
      <c r="CL447" s="13" t="str">
        <f t="shared" si="94"/>
        <v/>
      </c>
      <c r="CM447" s="13" t="str">
        <f t="shared" si="94"/>
        <v/>
      </c>
      <c r="CN447" s="13" t="str">
        <f t="shared" si="94"/>
        <v/>
      </c>
      <c r="CO447" s="13" t="str">
        <f t="shared" si="93"/>
        <v/>
      </c>
      <c r="CP447" s="13" t="str">
        <f t="shared" si="93"/>
        <v/>
      </c>
      <c r="CQ447" s="13" t="str">
        <f t="shared" si="93"/>
        <v/>
      </c>
      <c r="CR447" t="str">
        <f t="shared" si="87"/>
        <v/>
      </c>
      <c r="CS447" t="str">
        <f t="shared" si="88"/>
        <v/>
      </c>
      <c r="CT447" t="str">
        <f t="shared" si="89"/>
        <v/>
      </c>
      <c r="CU447" t="str">
        <f t="shared" si="90"/>
        <v/>
      </c>
      <c r="CV447" t="str">
        <f t="shared" si="91"/>
        <v/>
      </c>
      <c r="CW447" t="str">
        <f t="shared" si="92"/>
        <v/>
      </c>
      <c r="DR447">
        <v>5502122</v>
      </c>
      <c r="DS447" s="17" t="s">
        <v>111</v>
      </c>
    </row>
    <row r="448" spans="90:123" x14ac:dyDescent="0.15">
      <c r="CL448" s="13" t="str">
        <f t="shared" si="94"/>
        <v/>
      </c>
      <c r="CM448" s="13" t="str">
        <f t="shared" si="94"/>
        <v/>
      </c>
      <c r="CN448" s="13" t="str">
        <f t="shared" si="94"/>
        <v/>
      </c>
      <c r="CO448" s="13" t="str">
        <f t="shared" si="93"/>
        <v/>
      </c>
      <c r="CP448" s="13" t="str">
        <f t="shared" si="93"/>
        <v/>
      </c>
      <c r="CQ448" s="13" t="str">
        <f t="shared" si="93"/>
        <v/>
      </c>
      <c r="CR448" t="str">
        <f t="shared" si="87"/>
        <v/>
      </c>
      <c r="CS448" t="str">
        <f t="shared" si="88"/>
        <v/>
      </c>
      <c r="CT448" t="str">
        <f t="shared" si="89"/>
        <v/>
      </c>
      <c r="CU448" t="str">
        <f t="shared" si="90"/>
        <v/>
      </c>
      <c r="CV448" t="str">
        <f t="shared" si="91"/>
        <v/>
      </c>
      <c r="CW448" t="str">
        <f t="shared" si="92"/>
        <v/>
      </c>
      <c r="DR448">
        <v>5601122</v>
      </c>
      <c r="DS448" s="17" t="s">
        <v>114</v>
      </c>
    </row>
    <row r="449" spans="90:123" x14ac:dyDescent="0.15">
      <c r="CL449" s="13" t="str">
        <f t="shared" si="94"/>
        <v/>
      </c>
      <c r="CM449" s="13" t="str">
        <f t="shared" si="94"/>
        <v/>
      </c>
      <c r="CN449" s="13" t="str">
        <f t="shared" si="94"/>
        <v/>
      </c>
      <c r="CO449" s="13" t="str">
        <f t="shared" si="93"/>
        <v/>
      </c>
      <c r="CP449" s="13" t="str">
        <f t="shared" si="93"/>
        <v/>
      </c>
      <c r="CQ449" s="13" t="str">
        <f t="shared" si="93"/>
        <v/>
      </c>
      <c r="CR449" t="str">
        <f t="shared" si="87"/>
        <v/>
      </c>
      <c r="CS449" t="str">
        <f t="shared" si="88"/>
        <v/>
      </c>
      <c r="CT449" t="str">
        <f t="shared" si="89"/>
        <v/>
      </c>
      <c r="CU449" t="str">
        <f t="shared" si="90"/>
        <v/>
      </c>
      <c r="CV449" t="str">
        <f t="shared" si="91"/>
        <v/>
      </c>
      <c r="CW449" t="str">
        <f t="shared" si="92"/>
        <v/>
      </c>
      <c r="DR449">
        <v>5200123</v>
      </c>
      <c r="DS449" s="17" t="s">
        <v>118</v>
      </c>
    </row>
    <row r="450" spans="90:123" x14ac:dyDescent="0.15">
      <c r="CL450" s="13" t="str">
        <f t="shared" si="94"/>
        <v/>
      </c>
      <c r="CM450" s="13" t="str">
        <f t="shared" si="94"/>
        <v/>
      </c>
      <c r="CN450" s="13" t="str">
        <f t="shared" si="94"/>
        <v/>
      </c>
      <c r="CO450" s="13" t="str">
        <f t="shared" si="93"/>
        <v/>
      </c>
      <c r="CP450" s="13" t="str">
        <f t="shared" si="93"/>
        <v/>
      </c>
      <c r="CQ450" s="13" t="str">
        <f t="shared" si="93"/>
        <v/>
      </c>
      <c r="CR450" t="str">
        <f t="shared" si="87"/>
        <v/>
      </c>
      <c r="CS450" t="str">
        <f t="shared" si="88"/>
        <v/>
      </c>
      <c r="CT450" t="str">
        <f t="shared" si="89"/>
        <v/>
      </c>
      <c r="CU450" t="str">
        <f t="shared" si="90"/>
        <v/>
      </c>
      <c r="CV450" t="str">
        <f t="shared" si="91"/>
        <v/>
      </c>
      <c r="CW450" t="str">
        <f t="shared" si="92"/>
        <v/>
      </c>
      <c r="DR450">
        <v>5201123</v>
      </c>
      <c r="DS450" s="17" t="s">
        <v>121</v>
      </c>
    </row>
    <row r="451" spans="90:123" x14ac:dyDescent="0.15">
      <c r="CL451" s="13" t="str">
        <f t="shared" si="94"/>
        <v/>
      </c>
      <c r="CM451" s="13" t="str">
        <f t="shared" si="94"/>
        <v/>
      </c>
      <c r="CN451" s="13" t="str">
        <f t="shared" si="94"/>
        <v/>
      </c>
      <c r="CO451" s="13" t="str">
        <f t="shared" si="93"/>
        <v/>
      </c>
      <c r="CP451" s="13" t="str">
        <f t="shared" si="93"/>
        <v/>
      </c>
      <c r="CQ451" s="13" t="str">
        <f t="shared" si="93"/>
        <v/>
      </c>
      <c r="CR451" t="str">
        <f t="shared" ref="CR451:CR514" si="95">IF(DJ451&lt;&gt;"",REPLACE(REPLACE(INDEX($DR$4:$DR$1516,MATCH(DJ451,$DS$4:$DS$1516,0)),6,1,CX451),1,1,DD451),"")</f>
        <v/>
      </c>
      <c r="CS451" t="str">
        <f t="shared" ref="CS451:CS514" si="96">IF(DK451&lt;&gt;"",REPLACE(REPLACE(INDEX($DR$4:$DR$1516,MATCH(DK451,$DS$4:$DS$1516,0)),6,1,CY451),1,1,DE451),"")</f>
        <v/>
      </c>
      <c r="CT451" t="str">
        <f t="shared" ref="CT451:CT514" si="97">IF(DL451&lt;&gt;"",REPLACE(REPLACE(INDEX($DR$4:$DR$1516,MATCH(DL451,$DS$4:$DS$1516,0)),6,1,CZ451),1,1,DF451),"")</f>
        <v/>
      </c>
      <c r="CU451" t="str">
        <f t="shared" ref="CU451:CU514" si="98">IF(DM451&lt;&gt;"",REPLACE(REPLACE(INDEX($DR$4:$DR$1516,MATCH(DM451,$DS$4:$DS$1516,0)),6,1,DA451),1,1,DG451),"")</f>
        <v/>
      </c>
      <c r="CV451" t="str">
        <f t="shared" ref="CV451:CV514" si="99">IF(DN451&lt;&gt;"",REPLACE(REPLACE(INDEX($DR$4:$DR$1516,MATCH(DN451,$DS$4:$DS$1516,0)),6,1,DB451),1,1,DH451),"")</f>
        <v/>
      </c>
      <c r="CW451" t="str">
        <f t="shared" ref="CW451:CW514" si="100">IF(DO451&lt;&gt;"",REPLACE(REPLACE(INDEX($DR$4:$DR$1516,MATCH(DO451,$DS$4:$DS$1516,0)),6,1,DC451),1,1,DI451),"")</f>
        <v/>
      </c>
      <c r="DR451">
        <v>5202123</v>
      </c>
      <c r="DS451" s="17" t="s">
        <v>124</v>
      </c>
    </row>
    <row r="452" spans="90:123" x14ac:dyDescent="0.15">
      <c r="CL452" s="13" t="str">
        <f t="shared" si="94"/>
        <v/>
      </c>
      <c r="CM452" s="13" t="str">
        <f t="shared" si="94"/>
        <v/>
      </c>
      <c r="CN452" s="13" t="str">
        <f t="shared" si="94"/>
        <v/>
      </c>
      <c r="CO452" s="13" t="str">
        <f t="shared" si="93"/>
        <v/>
      </c>
      <c r="CP452" s="13" t="str">
        <f t="shared" si="93"/>
        <v/>
      </c>
      <c r="CQ452" s="13" t="str">
        <f t="shared" si="93"/>
        <v/>
      </c>
      <c r="CR452" t="str">
        <f t="shared" si="95"/>
        <v/>
      </c>
      <c r="CS452" t="str">
        <f t="shared" si="96"/>
        <v/>
      </c>
      <c r="CT452" t="str">
        <f t="shared" si="97"/>
        <v/>
      </c>
      <c r="CU452" t="str">
        <f t="shared" si="98"/>
        <v/>
      </c>
      <c r="CV452" t="str">
        <f t="shared" si="99"/>
        <v/>
      </c>
      <c r="CW452" t="str">
        <f t="shared" si="100"/>
        <v/>
      </c>
      <c r="DR452">
        <v>5301123</v>
      </c>
      <c r="DS452" s="17" t="s">
        <v>126</v>
      </c>
    </row>
    <row r="453" spans="90:123" x14ac:dyDescent="0.15">
      <c r="CL453" s="13" t="str">
        <f t="shared" si="94"/>
        <v/>
      </c>
      <c r="CM453" s="13" t="str">
        <f t="shared" si="94"/>
        <v/>
      </c>
      <c r="CN453" s="13" t="str">
        <f t="shared" si="94"/>
        <v/>
      </c>
      <c r="CO453" s="13" t="str">
        <f t="shared" si="93"/>
        <v/>
      </c>
      <c r="CP453" s="13" t="str">
        <f t="shared" si="93"/>
        <v/>
      </c>
      <c r="CQ453" s="13" t="str">
        <f t="shared" si="93"/>
        <v/>
      </c>
      <c r="CR453" t="str">
        <f t="shared" si="95"/>
        <v/>
      </c>
      <c r="CS453" t="str">
        <f t="shared" si="96"/>
        <v/>
      </c>
      <c r="CT453" t="str">
        <f t="shared" si="97"/>
        <v/>
      </c>
      <c r="CU453" t="str">
        <f t="shared" si="98"/>
        <v/>
      </c>
      <c r="CV453" t="str">
        <f t="shared" si="99"/>
        <v/>
      </c>
      <c r="CW453" t="str">
        <f t="shared" si="100"/>
        <v/>
      </c>
      <c r="DR453">
        <v>5401123</v>
      </c>
      <c r="DS453" s="17" t="s">
        <v>130</v>
      </c>
    </row>
    <row r="454" spans="90:123" x14ac:dyDescent="0.15">
      <c r="CL454" s="13" t="str">
        <f t="shared" si="94"/>
        <v/>
      </c>
      <c r="CM454" s="13" t="str">
        <f t="shared" si="94"/>
        <v/>
      </c>
      <c r="CN454" s="13" t="str">
        <f t="shared" si="94"/>
        <v/>
      </c>
      <c r="CO454" s="13" t="str">
        <f t="shared" si="93"/>
        <v/>
      </c>
      <c r="CP454" s="13" t="str">
        <f t="shared" si="93"/>
        <v/>
      </c>
      <c r="CQ454" s="13" t="str">
        <f t="shared" si="93"/>
        <v/>
      </c>
      <c r="CR454" t="str">
        <f t="shared" si="95"/>
        <v/>
      </c>
      <c r="CS454" t="str">
        <f t="shared" si="96"/>
        <v/>
      </c>
      <c r="CT454" t="str">
        <f t="shared" si="97"/>
        <v/>
      </c>
      <c r="CU454" t="str">
        <f t="shared" si="98"/>
        <v/>
      </c>
      <c r="CV454" t="str">
        <f t="shared" si="99"/>
        <v/>
      </c>
      <c r="CW454" t="str">
        <f t="shared" si="100"/>
        <v/>
      </c>
      <c r="DR454">
        <v>5402123</v>
      </c>
      <c r="DS454" s="17" t="s">
        <v>135</v>
      </c>
    </row>
    <row r="455" spans="90:123" x14ac:dyDescent="0.15">
      <c r="CL455" s="13" t="str">
        <f t="shared" si="94"/>
        <v/>
      </c>
      <c r="CM455" s="13" t="str">
        <f t="shared" si="94"/>
        <v/>
      </c>
      <c r="CN455" s="13" t="str">
        <f t="shared" si="94"/>
        <v/>
      </c>
      <c r="CO455" s="13" t="str">
        <f t="shared" si="93"/>
        <v/>
      </c>
      <c r="CP455" s="13" t="str">
        <f t="shared" si="93"/>
        <v/>
      </c>
      <c r="CQ455" s="13" t="str">
        <f t="shared" si="93"/>
        <v/>
      </c>
      <c r="CR455" t="str">
        <f t="shared" si="95"/>
        <v/>
      </c>
      <c r="CS455" t="str">
        <f t="shared" si="96"/>
        <v/>
      </c>
      <c r="CT455" t="str">
        <f t="shared" si="97"/>
        <v/>
      </c>
      <c r="CU455" t="str">
        <f t="shared" si="98"/>
        <v/>
      </c>
      <c r="CV455" t="str">
        <f t="shared" si="99"/>
        <v/>
      </c>
      <c r="CW455" t="str">
        <f t="shared" si="100"/>
        <v/>
      </c>
      <c r="DR455">
        <v>5500123</v>
      </c>
      <c r="DS455" s="17" t="s">
        <v>139</v>
      </c>
    </row>
    <row r="456" spans="90:123" x14ac:dyDescent="0.15">
      <c r="CL456" s="13" t="str">
        <f t="shared" si="94"/>
        <v/>
      </c>
      <c r="CM456" s="13" t="str">
        <f t="shared" si="94"/>
        <v/>
      </c>
      <c r="CN456" s="13" t="str">
        <f t="shared" si="94"/>
        <v/>
      </c>
      <c r="CO456" s="13" t="str">
        <f t="shared" si="93"/>
        <v/>
      </c>
      <c r="CP456" s="13" t="str">
        <f t="shared" si="93"/>
        <v/>
      </c>
      <c r="CQ456" s="13" t="str">
        <f t="shared" si="93"/>
        <v/>
      </c>
      <c r="CR456" t="str">
        <f t="shared" si="95"/>
        <v/>
      </c>
      <c r="CS456" t="str">
        <f t="shared" si="96"/>
        <v/>
      </c>
      <c r="CT456" t="str">
        <f t="shared" si="97"/>
        <v/>
      </c>
      <c r="CU456" t="str">
        <f t="shared" si="98"/>
        <v/>
      </c>
      <c r="CV456" t="str">
        <f t="shared" si="99"/>
        <v/>
      </c>
      <c r="CW456" t="str">
        <f t="shared" si="100"/>
        <v/>
      </c>
      <c r="DR456">
        <v>5502123</v>
      </c>
      <c r="DS456" s="17" t="s">
        <v>141</v>
      </c>
    </row>
    <row r="457" spans="90:123" x14ac:dyDescent="0.15">
      <c r="CL457" s="13" t="str">
        <f t="shared" si="94"/>
        <v/>
      </c>
      <c r="CM457" s="13" t="str">
        <f t="shared" si="94"/>
        <v/>
      </c>
      <c r="CN457" s="13" t="str">
        <f t="shared" si="94"/>
        <v/>
      </c>
      <c r="CO457" s="13" t="str">
        <f t="shared" si="93"/>
        <v/>
      </c>
      <c r="CP457" s="13" t="str">
        <f t="shared" si="93"/>
        <v/>
      </c>
      <c r="CQ457" s="13" t="str">
        <f t="shared" si="93"/>
        <v/>
      </c>
      <c r="CR457" t="str">
        <f t="shared" si="95"/>
        <v/>
      </c>
      <c r="CS457" t="str">
        <f t="shared" si="96"/>
        <v/>
      </c>
      <c r="CT457" t="str">
        <f t="shared" si="97"/>
        <v/>
      </c>
      <c r="CU457" t="str">
        <f t="shared" si="98"/>
        <v/>
      </c>
      <c r="CV457" t="str">
        <f t="shared" si="99"/>
        <v/>
      </c>
      <c r="CW457" t="str">
        <f t="shared" si="100"/>
        <v/>
      </c>
      <c r="DR457">
        <v>5601123</v>
      </c>
      <c r="DS457" s="17" t="s">
        <v>143</v>
      </c>
    </row>
    <row r="458" spans="90:123" x14ac:dyDescent="0.15">
      <c r="CL458" s="13" t="str">
        <f t="shared" si="94"/>
        <v/>
      </c>
      <c r="CM458" s="13" t="str">
        <f t="shared" si="94"/>
        <v/>
      </c>
      <c r="CN458" s="13" t="str">
        <f t="shared" si="94"/>
        <v/>
      </c>
      <c r="CO458" s="13" t="str">
        <f t="shared" si="93"/>
        <v/>
      </c>
      <c r="CP458" s="13" t="str">
        <f t="shared" si="93"/>
        <v/>
      </c>
      <c r="CQ458" s="13" t="str">
        <f t="shared" si="93"/>
        <v/>
      </c>
      <c r="CR458" t="str">
        <f t="shared" si="95"/>
        <v/>
      </c>
      <c r="CS458" t="str">
        <f t="shared" si="96"/>
        <v/>
      </c>
      <c r="CT458" t="str">
        <f t="shared" si="97"/>
        <v/>
      </c>
      <c r="CU458" t="str">
        <f t="shared" si="98"/>
        <v/>
      </c>
      <c r="CV458" t="str">
        <f t="shared" si="99"/>
        <v/>
      </c>
      <c r="CW458" t="str">
        <f t="shared" si="100"/>
        <v/>
      </c>
      <c r="DR458">
        <v>5501124</v>
      </c>
      <c r="DS458" s="17" t="s">
        <v>145</v>
      </c>
    </row>
    <row r="459" spans="90:123" x14ac:dyDescent="0.15">
      <c r="CL459" s="13" t="str">
        <f t="shared" si="94"/>
        <v/>
      </c>
      <c r="CM459" s="13" t="str">
        <f t="shared" si="94"/>
        <v/>
      </c>
      <c r="CN459" s="13" t="str">
        <f t="shared" si="94"/>
        <v/>
      </c>
      <c r="CO459" s="13" t="str">
        <f t="shared" si="93"/>
        <v/>
      </c>
      <c r="CP459" s="13" t="str">
        <f t="shared" si="93"/>
        <v/>
      </c>
      <c r="CQ459" s="13" t="str">
        <f t="shared" si="93"/>
        <v/>
      </c>
      <c r="CR459" t="str">
        <f t="shared" si="95"/>
        <v/>
      </c>
      <c r="CS459" t="str">
        <f t="shared" si="96"/>
        <v/>
      </c>
      <c r="CT459" t="str">
        <f t="shared" si="97"/>
        <v/>
      </c>
      <c r="CU459" t="str">
        <f t="shared" si="98"/>
        <v/>
      </c>
      <c r="CV459" t="str">
        <f t="shared" si="99"/>
        <v/>
      </c>
      <c r="CW459" t="str">
        <f t="shared" si="100"/>
        <v/>
      </c>
      <c r="DR459">
        <v>5600124</v>
      </c>
      <c r="DS459" s="17" t="s">
        <v>148</v>
      </c>
    </row>
    <row r="460" spans="90:123" x14ac:dyDescent="0.15">
      <c r="CL460" s="13" t="str">
        <f t="shared" si="94"/>
        <v/>
      </c>
      <c r="CM460" s="13" t="str">
        <f t="shared" si="94"/>
        <v/>
      </c>
      <c r="CN460" s="13" t="str">
        <f t="shared" si="94"/>
        <v/>
      </c>
      <c r="CO460" s="13" t="str">
        <f t="shared" si="93"/>
        <v/>
      </c>
      <c r="CP460" s="13" t="str">
        <f t="shared" si="93"/>
        <v/>
      </c>
      <c r="CQ460" s="13" t="str">
        <f t="shared" si="93"/>
        <v/>
      </c>
      <c r="CR460" t="str">
        <f t="shared" si="95"/>
        <v/>
      </c>
      <c r="CS460" t="str">
        <f t="shared" si="96"/>
        <v/>
      </c>
      <c r="CT460" t="str">
        <f t="shared" si="97"/>
        <v/>
      </c>
      <c r="CU460" t="str">
        <f t="shared" si="98"/>
        <v/>
      </c>
      <c r="CV460" t="str">
        <f t="shared" si="99"/>
        <v/>
      </c>
      <c r="CW460" t="str">
        <f t="shared" si="100"/>
        <v/>
      </c>
      <c r="DR460">
        <v>5602124</v>
      </c>
      <c r="DS460" s="17" t="s">
        <v>150</v>
      </c>
    </row>
    <row r="461" spans="90:123" x14ac:dyDescent="0.15">
      <c r="CL461" s="13" t="str">
        <f t="shared" si="94"/>
        <v/>
      </c>
      <c r="CM461" s="13" t="str">
        <f t="shared" si="94"/>
        <v/>
      </c>
      <c r="CN461" s="13" t="str">
        <f t="shared" si="94"/>
        <v/>
      </c>
      <c r="CO461" s="13" t="str">
        <f t="shared" si="93"/>
        <v/>
      </c>
      <c r="CP461" s="13" t="str">
        <f t="shared" si="93"/>
        <v/>
      </c>
      <c r="CQ461" s="13" t="str">
        <f t="shared" si="93"/>
        <v/>
      </c>
      <c r="CR461" t="str">
        <f t="shared" si="95"/>
        <v/>
      </c>
      <c r="CS461" t="str">
        <f t="shared" si="96"/>
        <v/>
      </c>
      <c r="CT461" t="str">
        <f t="shared" si="97"/>
        <v/>
      </c>
      <c r="CU461" t="str">
        <f t="shared" si="98"/>
        <v/>
      </c>
      <c r="CV461" t="str">
        <f t="shared" si="99"/>
        <v/>
      </c>
      <c r="CW461" t="str">
        <f t="shared" si="100"/>
        <v/>
      </c>
      <c r="DR461">
        <v>5300125</v>
      </c>
      <c r="DS461" s="17" t="s">
        <v>153</v>
      </c>
    </row>
    <row r="462" spans="90:123" x14ac:dyDescent="0.15">
      <c r="CL462" s="13" t="str">
        <f t="shared" si="94"/>
        <v/>
      </c>
      <c r="CM462" s="13" t="str">
        <f t="shared" si="94"/>
        <v/>
      </c>
      <c r="CN462" s="13" t="str">
        <f t="shared" si="94"/>
        <v/>
      </c>
      <c r="CO462" s="13" t="str">
        <f t="shared" si="93"/>
        <v/>
      </c>
      <c r="CP462" s="13" t="str">
        <f t="shared" si="93"/>
        <v/>
      </c>
      <c r="CQ462" s="13" t="str">
        <f t="shared" si="93"/>
        <v/>
      </c>
      <c r="CR462" t="str">
        <f t="shared" si="95"/>
        <v/>
      </c>
      <c r="CS462" t="str">
        <f t="shared" si="96"/>
        <v/>
      </c>
      <c r="CT462" t="str">
        <f t="shared" si="97"/>
        <v/>
      </c>
      <c r="CU462" t="str">
        <f t="shared" si="98"/>
        <v/>
      </c>
      <c r="CV462" t="str">
        <f t="shared" si="99"/>
        <v/>
      </c>
      <c r="CW462" t="str">
        <f t="shared" si="100"/>
        <v/>
      </c>
      <c r="DR462">
        <v>5302125</v>
      </c>
      <c r="DS462" s="17" t="s">
        <v>156</v>
      </c>
    </row>
    <row r="463" spans="90:123" x14ac:dyDescent="0.15">
      <c r="CL463" s="13" t="str">
        <f t="shared" si="94"/>
        <v/>
      </c>
      <c r="CM463" s="13" t="str">
        <f t="shared" si="94"/>
        <v/>
      </c>
      <c r="CN463" s="13" t="str">
        <f t="shared" si="94"/>
        <v/>
      </c>
      <c r="CO463" s="13" t="str">
        <f t="shared" si="93"/>
        <v/>
      </c>
      <c r="CP463" s="13" t="str">
        <f t="shared" si="93"/>
        <v/>
      </c>
      <c r="CQ463" s="13" t="str">
        <f t="shared" si="93"/>
        <v/>
      </c>
      <c r="CR463" t="str">
        <f t="shared" si="95"/>
        <v/>
      </c>
      <c r="CS463" t="str">
        <f t="shared" si="96"/>
        <v/>
      </c>
      <c r="CT463" t="str">
        <f t="shared" si="97"/>
        <v/>
      </c>
      <c r="CU463" t="str">
        <f t="shared" si="98"/>
        <v/>
      </c>
      <c r="CV463" t="str">
        <f t="shared" si="99"/>
        <v/>
      </c>
      <c r="CW463" t="str">
        <f t="shared" si="100"/>
        <v/>
      </c>
      <c r="DR463">
        <v>5400125</v>
      </c>
      <c r="DS463" s="17" t="s">
        <v>159</v>
      </c>
    </row>
    <row r="464" spans="90:123" x14ac:dyDescent="0.15">
      <c r="CL464" s="13" t="str">
        <f t="shared" si="94"/>
        <v/>
      </c>
      <c r="CM464" s="13" t="str">
        <f t="shared" si="94"/>
        <v/>
      </c>
      <c r="CN464" s="13" t="str">
        <f t="shared" si="94"/>
        <v/>
      </c>
      <c r="CO464" s="13" t="str">
        <f t="shared" si="93"/>
        <v/>
      </c>
      <c r="CP464" s="13" t="str">
        <f t="shared" si="93"/>
        <v/>
      </c>
      <c r="CQ464" s="13" t="str">
        <f t="shared" si="93"/>
        <v/>
      </c>
      <c r="CR464" t="str">
        <f t="shared" si="95"/>
        <v/>
      </c>
      <c r="CS464" t="str">
        <f t="shared" si="96"/>
        <v/>
      </c>
      <c r="CT464" t="str">
        <f t="shared" si="97"/>
        <v/>
      </c>
      <c r="CU464" t="str">
        <f t="shared" si="98"/>
        <v/>
      </c>
      <c r="CV464" t="str">
        <f t="shared" si="99"/>
        <v/>
      </c>
      <c r="CW464" t="str">
        <f t="shared" si="100"/>
        <v/>
      </c>
      <c r="DR464">
        <v>5200131</v>
      </c>
      <c r="DS464" s="17" t="s">
        <v>62</v>
      </c>
    </row>
    <row r="465" spans="90:123" x14ac:dyDescent="0.15">
      <c r="CL465" s="13" t="str">
        <f t="shared" si="94"/>
        <v/>
      </c>
      <c r="CM465" s="13" t="str">
        <f t="shared" si="94"/>
        <v/>
      </c>
      <c r="CN465" s="13" t="str">
        <f t="shared" si="94"/>
        <v/>
      </c>
      <c r="CO465" s="13" t="str">
        <f t="shared" si="93"/>
        <v/>
      </c>
      <c r="CP465" s="13" t="str">
        <f t="shared" si="93"/>
        <v/>
      </c>
      <c r="CQ465" s="13" t="str">
        <f t="shared" si="93"/>
        <v/>
      </c>
      <c r="CR465" t="str">
        <f t="shared" si="95"/>
        <v/>
      </c>
      <c r="CS465" t="str">
        <f t="shared" si="96"/>
        <v/>
      </c>
      <c r="CT465" t="str">
        <f t="shared" si="97"/>
        <v/>
      </c>
      <c r="CU465" t="str">
        <f t="shared" si="98"/>
        <v/>
      </c>
      <c r="CV465" t="str">
        <f t="shared" si="99"/>
        <v/>
      </c>
      <c r="CW465" t="str">
        <f t="shared" si="100"/>
        <v/>
      </c>
      <c r="DR465">
        <v>5201131</v>
      </c>
      <c r="DS465" s="17" t="s">
        <v>65</v>
      </c>
    </row>
    <row r="466" spans="90:123" x14ac:dyDescent="0.15">
      <c r="CL466" s="13" t="str">
        <f t="shared" si="94"/>
        <v/>
      </c>
      <c r="CM466" s="13" t="str">
        <f t="shared" si="94"/>
        <v/>
      </c>
      <c r="CN466" s="13" t="str">
        <f t="shared" si="94"/>
        <v/>
      </c>
      <c r="CO466" s="13" t="str">
        <f t="shared" si="93"/>
        <v/>
      </c>
      <c r="CP466" s="13" t="str">
        <f t="shared" si="93"/>
        <v/>
      </c>
      <c r="CQ466" s="13" t="str">
        <f t="shared" si="93"/>
        <v/>
      </c>
      <c r="CR466" t="str">
        <f t="shared" si="95"/>
        <v/>
      </c>
      <c r="CS466" t="str">
        <f t="shared" si="96"/>
        <v/>
      </c>
      <c r="CT466" t="str">
        <f t="shared" si="97"/>
        <v/>
      </c>
      <c r="CU466" t="str">
        <f t="shared" si="98"/>
        <v/>
      </c>
      <c r="CV466" t="str">
        <f t="shared" si="99"/>
        <v/>
      </c>
      <c r="CW466" t="str">
        <f t="shared" si="100"/>
        <v/>
      </c>
      <c r="DR466">
        <v>5202131</v>
      </c>
      <c r="DS466" s="17" t="s">
        <v>68</v>
      </c>
    </row>
    <row r="467" spans="90:123" x14ac:dyDescent="0.15">
      <c r="CL467" s="13" t="str">
        <f t="shared" si="94"/>
        <v/>
      </c>
      <c r="CM467" s="13" t="str">
        <f t="shared" si="94"/>
        <v/>
      </c>
      <c r="CN467" s="13" t="str">
        <f t="shared" si="94"/>
        <v/>
      </c>
      <c r="CO467" s="13" t="str">
        <f t="shared" si="93"/>
        <v/>
      </c>
      <c r="CP467" s="13" t="str">
        <f t="shared" si="93"/>
        <v/>
      </c>
      <c r="CQ467" s="13" t="str">
        <f t="shared" si="93"/>
        <v/>
      </c>
      <c r="CR467" t="str">
        <f t="shared" si="95"/>
        <v/>
      </c>
      <c r="CS467" t="str">
        <f t="shared" si="96"/>
        <v/>
      </c>
      <c r="CT467" t="str">
        <f t="shared" si="97"/>
        <v/>
      </c>
      <c r="CU467" t="str">
        <f t="shared" si="98"/>
        <v/>
      </c>
      <c r="CV467" t="str">
        <f t="shared" si="99"/>
        <v/>
      </c>
      <c r="CW467" t="str">
        <f t="shared" si="100"/>
        <v/>
      </c>
      <c r="DR467">
        <v>5301131</v>
      </c>
      <c r="DS467" s="17" t="s">
        <v>71</v>
      </c>
    </row>
    <row r="468" spans="90:123" x14ac:dyDescent="0.15">
      <c r="CL468" s="13" t="str">
        <f t="shared" si="94"/>
        <v/>
      </c>
      <c r="CM468" s="13" t="str">
        <f t="shared" si="94"/>
        <v/>
      </c>
      <c r="CN468" s="13" t="str">
        <f t="shared" si="94"/>
        <v/>
      </c>
      <c r="CO468" s="13" t="str">
        <f t="shared" si="93"/>
        <v/>
      </c>
      <c r="CP468" s="13" t="str">
        <f t="shared" si="93"/>
        <v/>
      </c>
      <c r="CQ468" s="13" t="str">
        <f t="shared" si="93"/>
        <v/>
      </c>
      <c r="CR468" t="str">
        <f t="shared" si="95"/>
        <v/>
      </c>
      <c r="CS468" t="str">
        <f t="shared" si="96"/>
        <v/>
      </c>
      <c r="CT468" t="str">
        <f t="shared" si="97"/>
        <v/>
      </c>
      <c r="CU468" t="str">
        <f t="shared" si="98"/>
        <v/>
      </c>
      <c r="CV468" t="str">
        <f t="shared" si="99"/>
        <v/>
      </c>
      <c r="CW468" t="str">
        <f t="shared" si="100"/>
        <v/>
      </c>
      <c r="DR468">
        <v>5401131</v>
      </c>
      <c r="DS468" s="17" t="s">
        <v>73</v>
      </c>
    </row>
    <row r="469" spans="90:123" x14ac:dyDescent="0.15">
      <c r="CL469" s="13" t="str">
        <f t="shared" si="94"/>
        <v/>
      </c>
      <c r="CM469" s="13" t="str">
        <f t="shared" si="94"/>
        <v/>
      </c>
      <c r="CN469" s="13" t="str">
        <f t="shared" si="94"/>
        <v/>
      </c>
      <c r="CO469" s="13" t="str">
        <f t="shared" si="94"/>
        <v/>
      </c>
      <c r="CP469" s="13" t="str">
        <f t="shared" si="94"/>
        <v/>
      </c>
      <c r="CQ469" s="13" t="str">
        <f t="shared" si="94"/>
        <v/>
      </c>
      <c r="CR469" t="str">
        <f t="shared" si="95"/>
        <v/>
      </c>
      <c r="CS469" t="str">
        <f t="shared" si="96"/>
        <v/>
      </c>
      <c r="CT469" t="str">
        <f t="shared" si="97"/>
        <v/>
      </c>
      <c r="CU469" t="str">
        <f t="shared" si="98"/>
        <v/>
      </c>
      <c r="CV469" t="str">
        <f t="shared" si="99"/>
        <v/>
      </c>
      <c r="CW469" t="str">
        <f t="shared" si="100"/>
        <v/>
      </c>
      <c r="DR469">
        <v>5402131</v>
      </c>
      <c r="DS469" s="17" t="s">
        <v>76</v>
      </c>
    </row>
    <row r="470" spans="90:123" x14ac:dyDescent="0.15">
      <c r="CL470" s="13" t="str">
        <f t="shared" ref="CL470:CQ512" si="101">IF(DJ470&lt;&gt;"",IF(ISERROR(MATCH(INT(CR470),$DR$4:$DR$1516,0))=FALSE,TRUE),"")</f>
        <v/>
      </c>
      <c r="CM470" s="13" t="str">
        <f t="shared" si="101"/>
        <v/>
      </c>
      <c r="CN470" s="13" t="str">
        <f t="shared" si="101"/>
        <v/>
      </c>
      <c r="CO470" s="13" t="str">
        <f t="shared" si="101"/>
        <v/>
      </c>
      <c r="CP470" s="13" t="str">
        <f t="shared" si="101"/>
        <v/>
      </c>
      <c r="CQ470" s="13" t="str">
        <f t="shared" si="101"/>
        <v/>
      </c>
      <c r="CR470" t="str">
        <f t="shared" si="95"/>
        <v/>
      </c>
      <c r="CS470" t="str">
        <f t="shared" si="96"/>
        <v/>
      </c>
      <c r="CT470" t="str">
        <f t="shared" si="97"/>
        <v/>
      </c>
      <c r="CU470" t="str">
        <f t="shared" si="98"/>
        <v/>
      </c>
      <c r="CV470" t="str">
        <f t="shared" si="99"/>
        <v/>
      </c>
      <c r="CW470" t="str">
        <f t="shared" si="100"/>
        <v/>
      </c>
      <c r="DR470">
        <v>5500131</v>
      </c>
      <c r="DS470" s="17" t="s">
        <v>79</v>
      </c>
    </row>
    <row r="471" spans="90:123" x14ac:dyDescent="0.15">
      <c r="CL471" s="13" t="str">
        <f t="shared" si="101"/>
        <v/>
      </c>
      <c r="CM471" s="13" t="str">
        <f t="shared" si="101"/>
        <v/>
      </c>
      <c r="CN471" s="13" t="str">
        <f t="shared" si="101"/>
        <v/>
      </c>
      <c r="CO471" s="13" t="str">
        <f t="shared" si="101"/>
        <v/>
      </c>
      <c r="CP471" s="13" t="str">
        <f t="shared" si="101"/>
        <v/>
      </c>
      <c r="CQ471" s="13" t="str">
        <f t="shared" si="101"/>
        <v/>
      </c>
      <c r="CR471" t="str">
        <f t="shared" si="95"/>
        <v/>
      </c>
      <c r="CS471" t="str">
        <f t="shared" si="96"/>
        <v/>
      </c>
      <c r="CT471" t="str">
        <f t="shared" si="97"/>
        <v/>
      </c>
      <c r="CU471" t="str">
        <f t="shared" si="98"/>
        <v/>
      </c>
      <c r="CV471" t="str">
        <f t="shared" si="99"/>
        <v/>
      </c>
      <c r="CW471" t="str">
        <f t="shared" si="100"/>
        <v/>
      </c>
      <c r="DR471">
        <v>5502131</v>
      </c>
      <c r="DS471" s="17" t="s">
        <v>81</v>
      </c>
    </row>
    <row r="472" spans="90:123" x14ac:dyDescent="0.15">
      <c r="CL472" s="13" t="str">
        <f t="shared" si="101"/>
        <v/>
      </c>
      <c r="CM472" s="13" t="str">
        <f t="shared" si="101"/>
        <v/>
      </c>
      <c r="CN472" s="13" t="str">
        <f t="shared" si="101"/>
        <v/>
      </c>
      <c r="CO472" s="13" t="str">
        <f t="shared" si="101"/>
        <v/>
      </c>
      <c r="CP472" s="13" t="str">
        <f t="shared" si="101"/>
        <v/>
      </c>
      <c r="CQ472" s="13" t="str">
        <f t="shared" si="101"/>
        <v/>
      </c>
      <c r="CR472" t="str">
        <f t="shared" si="95"/>
        <v/>
      </c>
      <c r="CS472" t="str">
        <f t="shared" si="96"/>
        <v/>
      </c>
      <c r="CT472" t="str">
        <f t="shared" si="97"/>
        <v/>
      </c>
      <c r="CU472" t="str">
        <f t="shared" si="98"/>
        <v/>
      </c>
      <c r="CV472" t="str">
        <f t="shared" si="99"/>
        <v/>
      </c>
      <c r="CW472" t="str">
        <f t="shared" si="100"/>
        <v/>
      </c>
      <c r="DR472">
        <v>5601131</v>
      </c>
      <c r="DS472" s="17" t="s">
        <v>84</v>
      </c>
    </row>
    <row r="473" spans="90:123" x14ac:dyDescent="0.15">
      <c r="CL473" s="13" t="str">
        <f t="shared" si="101"/>
        <v/>
      </c>
      <c r="CM473" s="13" t="str">
        <f t="shared" si="101"/>
        <v/>
      </c>
      <c r="CN473" s="13" t="str">
        <f t="shared" si="101"/>
        <v/>
      </c>
      <c r="CO473" s="13" t="str">
        <f t="shared" si="101"/>
        <v/>
      </c>
      <c r="CP473" s="13" t="str">
        <f t="shared" si="101"/>
        <v/>
      </c>
      <c r="CQ473" s="13" t="str">
        <f t="shared" si="101"/>
        <v/>
      </c>
      <c r="CR473" t="str">
        <f t="shared" si="95"/>
        <v/>
      </c>
      <c r="CS473" t="str">
        <f t="shared" si="96"/>
        <v/>
      </c>
      <c r="CT473" t="str">
        <f t="shared" si="97"/>
        <v/>
      </c>
      <c r="CU473" t="str">
        <f t="shared" si="98"/>
        <v/>
      </c>
      <c r="CV473" t="str">
        <f t="shared" si="99"/>
        <v/>
      </c>
      <c r="CW473" t="str">
        <f t="shared" si="100"/>
        <v/>
      </c>
      <c r="DR473">
        <v>5200132</v>
      </c>
      <c r="DS473" s="17" t="s">
        <v>88</v>
      </c>
    </row>
    <row r="474" spans="90:123" x14ac:dyDescent="0.15">
      <c r="CL474" s="13" t="str">
        <f t="shared" si="101"/>
        <v/>
      </c>
      <c r="CM474" s="13" t="str">
        <f t="shared" si="101"/>
        <v/>
      </c>
      <c r="CN474" s="13" t="str">
        <f t="shared" si="101"/>
        <v/>
      </c>
      <c r="CO474" s="13" t="str">
        <f t="shared" si="101"/>
        <v/>
      </c>
      <c r="CP474" s="13" t="str">
        <f t="shared" si="101"/>
        <v/>
      </c>
      <c r="CQ474" s="13" t="str">
        <f t="shared" si="101"/>
        <v/>
      </c>
      <c r="CR474" t="str">
        <f t="shared" si="95"/>
        <v/>
      </c>
      <c r="CS474" t="str">
        <f t="shared" si="96"/>
        <v/>
      </c>
      <c r="CT474" t="str">
        <f t="shared" si="97"/>
        <v/>
      </c>
      <c r="CU474" t="str">
        <f t="shared" si="98"/>
        <v/>
      </c>
      <c r="CV474" t="str">
        <f t="shared" si="99"/>
        <v/>
      </c>
      <c r="CW474" t="str">
        <f t="shared" si="100"/>
        <v/>
      </c>
      <c r="DR474">
        <v>5201132</v>
      </c>
      <c r="DS474" s="17" t="s">
        <v>92</v>
      </c>
    </row>
    <row r="475" spans="90:123" x14ac:dyDescent="0.15">
      <c r="CL475" s="13" t="str">
        <f t="shared" si="101"/>
        <v/>
      </c>
      <c r="CM475" s="13" t="str">
        <f t="shared" si="101"/>
        <v/>
      </c>
      <c r="CN475" s="13" t="str">
        <f t="shared" si="101"/>
        <v/>
      </c>
      <c r="CO475" s="13" t="str">
        <f t="shared" si="101"/>
        <v/>
      </c>
      <c r="CP475" s="13" t="str">
        <f t="shared" si="101"/>
        <v/>
      </c>
      <c r="CQ475" s="13" t="str">
        <f t="shared" si="101"/>
        <v/>
      </c>
      <c r="CR475" t="str">
        <f t="shared" si="95"/>
        <v/>
      </c>
      <c r="CS475" t="str">
        <f t="shared" si="96"/>
        <v/>
      </c>
      <c r="CT475" t="str">
        <f t="shared" si="97"/>
        <v/>
      </c>
      <c r="CU475" t="str">
        <f t="shared" si="98"/>
        <v/>
      </c>
      <c r="CV475" t="str">
        <f t="shared" si="99"/>
        <v/>
      </c>
      <c r="CW475" t="str">
        <f t="shared" si="100"/>
        <v/>
      </c>
      <c r="DR475">
        <v>5202132</v>
      </c>
      <c r="DS475" s="17" t="s">
        <v>95</v>
      </c>
    </row>
    <row r="476" spans="90:123" x14ac:dyDescent="0.15">
      <c r="CL476" s="13" t="str">
        <f t="shared" si="101"/>
        <v/>
      </c>
      <c r="CM476" s="13" t="str">
        <f t="shared" si="101"/>
        <v/>
      </c>
      <c r="CN476" s="13" t="str">
        <f t="shared" si="101"/>
        <v/>
      </c>
      <c r="CO476" s="13" t="str">
        <f t="shared" si="101"/>
        <v/>
      </c>
      <c r="CP476" s="13" t="str">
        <f t="shared" si="101"/>
        <v/>
      </c>
      <c r="CQ476" s="13" t="str">
        <f t="shared" si="101"/>
        <v/>
      </c>
      <c r="CR476" t="str">
        <f t="shared" si="95"/>
        <v/>
      </c>
      <c r="CS476" t="str">
        <f t="shared" si="96"/>
        <v/>
      </c>
      <c r="CT476" t="str">
        <f t="shared" si="97"/>
        <v/>
      </c>
      <c r="CU476" t="str">
        <f t="shared" si="98"/>
        <v/>
      </c>
      <c r="CV476" t="str">
        <f t="shared" si="99"/>
        <v/>
      </c>
      <c r="CW476" t="str">
        <f t="shared" si="100"/>
        <v/>
      </c>
      <c r="DR476">
        <v>5301132</v>
      </c>
      <c r="DS476" s="17" t="s">
        <v>98</v>
      </c>
    </row>
    <row r="477" spans="90:123" x14ac:dyDescent="0.15">
      <c r="CL477" s="13" t="str">
        <f t="shared" si="101"/>
        <v/>
      </c>
      <c r="CM477" s="13" t="str">
        <f t="shared" si="101"/>
        <v/>
      </c>
      <c r="CN477" s="13" t="str">
        <f t="shared" si="101"/>
        <v/>
      </c>
      <c r="CO477" s="13" t="str">
        <f t="shared" si="101"/>
        <v/>
      </c>
      <c r="CP477" s="13" t="str">
        <f t="shared" si="101"/>
        <v/>
      </c>
      <c r="CQ477" s="13" t="str">
        <f t="shared" si="101"/>
        <v/>
      </c>
      <c r="CR477" t="str">
        <f t="shared" si="95"/>
        <v/>
      </c>
      <c r="CS477" t="str">
        <f t="shared" si="96"/>
        <v/>
      </c>
      <c r="CT477" t="str">
        <f t="shared" si="97"/>
        <v/>
      </c>
      <c r="CU477" t="str">
        <f t="shared" si="98"/>
        <v/>
      </c>
      <c r="CV477" t="str">
        <f t="shared" si="99"/>
        <v/>
      </c>
      <c r="CW477" t="str">
        <f t="shared" si="100"/>
        <v/>
      </c>
      <c r="DR477">
        <v>5401132</v>
      </c>
      <c r="DS477" s="17" t="s">
        <v>101</v>
      </c>
    </row>
    <row r="478" spans="90:123" x14ac:dyDescent="0.15">
      <c r="CL478" s="13" t="str">
        <f t="shared" si="101"/>
        <v/>
      </c>
      <c r="CM478" s="13" t="str">
        <f t="shared" si="101"/>
        <v/>
      </c>
      <c r="CN478" s="13" t="str">
        <f t="shared" si="101"/>
        <v/>
      </c>
      <c r="CO478" s="13" t="str">
        <f t="shared" si="101"/>
        <v/>
      </c>
      <c r="CP478" s="13" t="str">
        <f t="shared" si="101"/>
        <v/>
      </c>
      <c r="CQ478" s="13" t="str">
        <f t="shared" si="101"/>
        <v/>
      </c>
      <c r="CR478" t="str">
        <f t="shared" si="95"/>
        <v/>
      </c>
      <c r="CS478" t="str">
        <f t="shared" si="96"/>
        <v/>
      </c>
      <c r="CT478" t="str">
        <f t="shared" si="97"/>
        <v/>
      </c>
      <c r="CU478" t="str">
        <f t="shared" si="98"/>
        <v/>
      </c>
      <c r="CV478" t="str">
        <f t="shared" si="99"/>
        <v/>
      </c>
      <c r="CW478" t="str">
        <f t="shared" si="100"/>
        <v/>
      </c>
      <c r="DR478">
        <v>5402132</v>
      </c>
      <c r="DS478" s="17" t="s">
        <v>103</v>
      </c>
    </row>
    <row r="479" spans="90:123" x14ac:dyDescent="0.15">
      <c r="CL479" s="13" t="str">
        <f t="shared" si="101"/>
        <v/>
      </c>
      <c r="CM479" s="13" t="str">
        <f t="shared" si="101"/>
        <v/>
      </c>
      <c r="CN479" s="13" t="str">
        <f t="shared" si="101"/>
        <v/>
      </c>
      <c r="CO479" s="13" t="str">
        <f t="shared" si="101"/>
        <v/>
      </c>
      <c r="CP479" s="13" t="str">
        <f t="shared" si="101"/>
        <v/>
      </c>
      <c r="CQ479" s="13" t="str">
        <f t="shared" si="101"/>
        <v/>
      </c>
      <c r="CR479" t="str">
        <f t="shared" si="95"/>
        <v/>
      </c>
      <c r="CS479" t="str">
        <f t="shared" si="96"/>
        <v/>
      </c>
      <c r="CT479" t="str">
        <f t="shared" si="97"/>
        <v/>
      </c>
      <c r="CU479" t="str">
        <f t="shared" si="98"/>
        <v/>
      </c>
      <c r="CV479" t="str">
        <f t="shared" si="99"/>
        <v/>
      </c>
      <c r="CW479" t="str">
        <f t="shared" si="100"/>
        <v/>
      </c>
      <c r="DR479">
        <v>5500132</v>
      </c>
      <c r="DS479" s="17" t="s">
        <v>107</v>
      </c>
    </row>
    <row r="480" spans="90:123" x14ac:dyDescent="0.15">
      <c r="CL480" s="13" t="str">
        <f t="shared" si="101"/>
        <v/>
      </c>
      <c r="CM480" s="13" t="str">
        <f t="shared" si="101"/>
        <v/>
      </c>
      <c r="CN480" s="13" t="str">
        <f t="shared" si="101"/>
        <v/>
      </c>
      <c r="CO480" s="13" t="str">
        <f t="shared" si="101"/>
        <v/>
      </c>
      <c r="CP480" s="13" t="str">
        <f t="shared" si="101"/>
        <v/>
      </c>
      <c r="CQ480" s="13" t="str">
        <f t="shared" si="101"/>
        <v/>
      </c>
      <c r="CR480" t="str">
        <f t="shared" si="95"/>
        <v/>
      </c>
      <c r="CS480" t="str">
        <f t="shared" si="96"/>
        <v/>
      </c>
      <c r="CT480" t="str">
        <f t="shared" si="97"/>
        <v/>
      </c>
      <c r="CU480" t="str">
        <f t="shared" si="98"/>
        <v/>
      </c>
      <c r="CV480" t="str">
        <f t="shared" si="99"/>
        <v/>
      </c>
      <c r="CW480" t="str">
        <f t="shared" si="100"/>
        <v/>
      </c>
      <c r="DR480">
        <v>5502132</v>
      </c>
      <c r="DS480" s="17" t="s">
        <v>111</v>
      </c>
    </row>
    <row r="481" spans="90:123" x14ac:dyDescent="0.15">
      <c r="CL481" s="13" t="str">
        <f t="shared" si="101"/>
        <v/>
      </c>
      <c r="CM481" s="13" t="str">
        <f t="shared" si="101"/>
        <v/>
      </c>
      <c r="CN481" s="13" t="str">
        <f t="shared" si="101"/>
        <v/>
      </c>
      <c r="CO481" s="13" t="str">
        <f t="shared" si="101"/>
        <v/>
      </c>
      <c r="CP481" s="13" t="str">
        <f t="shared" si="101"/>
        <v/>
      </c>
      <c r="CQ481" s="13" t="str">
        <f t="shared" si="101"/>
        <v/>
      </c>
      <c r="CR481" t="str">
        <f t="shared" si="95"/>
        <v/>
      </c>
      <c r="CS481" t="str">
        <f t="shared" si="96"/>
        <v/>
      </c>
      <c r="CT481" t="str">
        <f t="shared" si="97"/>
        <v/>
      </c>
      <c r="CU481" t="str">
        <f t="shared" si="98"/>
        <v/>
      </c>
      <c r="CV481" t="str">
        <f t="shared" si="99"/>
        <v/>
      </c>
      <c r="CW481" t="str">
        <f t="shared" si="100"/>
        <v/>
      </c>
      <c r="DR481">
        <v>5601132</v>
      </c>
      <c r="DS481" s="17" t="s">
        <v>114</v>
      </c>
    </row>
    <row r="482" spans="90:123" x14ac:dyDescent="0.15">
      <c r="CL482" s="13" t="str">
        <f t="shared" si="101"/>
        <v/>
      </c>
      <c r="CM482" s="13" t="str">
        <f t="shared" si="101"/>
        <v/>
      </c>
      <c r="CN482" s="13" t="str">
        <f t="shared" si="101"/>
        <v/>
      </c>
      <c r="CO482" s="13" t="str">
        <f t="shared" si="101"/>
        <v/>
      </c>
      <c r="CP482" s="13" t="str">
        <f t="shared" si="101"/>
        <v/>
      </c>
      <c r="CQ482" s="13" t="str">
        <f t="shared" si="101"/>
        <v/>
      </c>
      <c r="CR482" t="str">
        <f t="shared" si="95"/>
        <v/>
      </c>
      <c r="CS482" t="str">
        <f t="shared" si="96"/>
        <v/>
      </c>
      <c r="CT482" t="str">
        <f t="shared" si="97"/>
        <v/>
      </c>
      <c r="CU482" t="str">
        <f t="shared" si="98"/>
        <v/>
      </c>
      <c r="CV482" t="str">
        <f t="shared" si="99"/>
        <v/>
      </c>
      <c r="CW482" t="str">
        <f t="shared" si="100"/>
        <v/>
      </c>
      <c r="DR482">
        <v>5200133</v>
      </c>
      <c r="DS482" s="17" t="s">
        <v>118</v>
      </c>
    </row>
    <row r="483" spans="90:123" x14ac:dyDescent="0.15">
      <c r="CL483" s="13" t="str">
        <f t="shared" si="101"/>
        <v/>
      </c>
      <c r="CM483" s="13" t="str">
        <f t="shared" si="101"/>
        <v/>
      </c>
      <c r="CN483" s="13" t="str">
        <f t="shared" si="101"/>
        <v/>
      </c>
      <c r="CO483" s="13" t="str">
        <f t="shared" si="101"/>
        <v/>
      </c>
      <c r="CP483" s="13" t="str">
        <f t="shared" si="101"/>
        <v/>
      </c>
      <c r="CQ483" s="13" t="str">
        <f t="shared" si="101"/>
        <v/>
      </c>
      <c r="CR483" t="str">
        <f t="shared" si="95"/>
        <v/>
      </c>
      <c r="CS483" t="str">
        <f t="shared" si="96"/>
        <v/>
      </c>
      <c r="CT483" t="str">
        <f t="shared" si="97"/>
        <v/>
      </c>
      <c r="CU483" t="str">
        <f t="shared" si="98"/>
        <v/>
      </c>
      <c r="CV483" t="str">
        <f t="shared" si="99"/>
        <v/>
      </c>
      <c r="CW483" t="str">
        <f t="shared" si="100"/>
        <v/>
      </c>
      <c r="DR483">
        <v>5201133</v>
      </c>
      <c r="DS483" s="17" t="s">
        <v>121</v>
      </c>
    </row>
    <row r="484" spans="90:123" x14ac:dyDescent="0.15">
      <c r="CL484" s="13" t="str">
        <f t="shared" si="101"/>
        <v/>
      </c>
      <c r="CM484" s="13" t="str">
        <f t="shared" si="101"/>
        <v/>
      </c>
      <c r="CN484" s="13" t="str">
        <f t="shared" si="101"/>
        <v/>
      </c>
      <c r="CO484" s="13" t="str">
        <f t="shared" si="101"/>
        <v/>
      </c>
      <c r="CP484" s="13" t="str">
        <f t="shared" si="101"/>
        <v/>
      </c>
      <c r="CQ484" s="13" t="str">
        <f t="shared" si="101"/>
        <v/>
      </c>
      <c r="CR484" t="str">
        <f t="shared" si="95"/>
        <v/>
      </c>
      <c r="CS484" t="str">
        <f t="shared" si="96"/>
        <v/>
      </c>
      <c r="CT484" t="str">
        <f t="shared" si="97"/>
        <v/>
      </c>
      <c r="CU484" t="str">
        <f t="shared" si="98"/>
        <v/>
      </c>
      <c r="CV484" t="str">
        <f t="shared" si="99"/>
        <v/>
      </c>
      <c r="CW484" t="str">
        <f t="shared" si="100"/>
        <v/>
      </c>
      <c r="DR484">
        <v>5202133</v>
      </c>
      <c r="DS484" s="17" t="s">
        <v>124</v>
      </c>
    </row>
    <row r="485" spans="90:123" x14ac:dyDescent="0.15">
      <c r="CL485" s="13" t="str">
        <f t="shared" si="101"/>
        <v/>
      </c>
      <c r="CM485" s="13" t="str">
        <f t="shared" si="101"/>
        <v/>
      </c>
      <c r="CN485" s="13" t="str">
        <f t="shared" si="101"/>
        <v/>
      </c>
      <c r="CO485" s="13" t="str">
        <f t="shared" si="101"/>
        <v/>
      </c>
      <c r="CP485" s="13" t="str">
        <f t="shared" si="101"/>
        <v/>
      </c>
      <c r="CQ485" s="13" t="str">
        <f t="shared" si="101"/>
        <v/>
      </c>
      <c r="CR485" t="str">
        <f t="shared" si="95"/>
        <v/>
      </c>
      <c r="CS485" t="str">
        <f t="shared" si="96"/>
        <v/>
      </c>
      <c r="CT485" t="str">
        <f t="shared" si="97"/>
        <v/>
      </c>
      <c r="CU485" t="str">
        <f t="shared" si="98"/>
        <v/>
      </c>
      <c r="CV485" t="str">
        <f t="shared" si="99"/>
        <v/>
      </c>
      <c r="CW485" t="str">
        <f t="shared" si="100"/>
        <v/>
      </c>
      <c r="DR485">
        <v>5301133</v>
      </c>
      <c r="DS485" s="17" t="s">
        <v>126</v>
      </c>
    </row>
    <row r="486" spans="90:123" x14ac:dyDescent="0.15">
      <c r="CL486" s="13" t="str">
        <f t="shared" si="101"/>
        <v/>
      </c>
      <c r="CM486" s="13" t="str">
        <f t="shared" si="101"/>
        <v/>
      </c>
      <c r="CN486" s="13" t="str">
        <f t="shared" si="101"/>
        <v/>
      </c>
      <c r="CO486" s="13" t="str">
        <f t="shared" si="101"/>
        <v/>
      </c>
      <c r="CP486" s="13" t="str">
        <f t="shared" si="101"/>
        <v/>
      </c>
      <c r="CQ486" s="13" t="str">
        <f t="shared" si="101"/>
        <v/>
      </c>
      <c r="CR486" t="str">
        <f t="shared" si="95"/>
        <v/>
      </c>
      <c r="CS486" t="str">
        <f t="shared" si="96"/>
        <v/>
      </c>
      <c r="CT486" t="str">
        <f t="shared" si="97"/>
        <v/>
      </c>
      <c r="CU486" t="str">
        <f t="shared" si="98"/>
        <v/>
      </c>
      <c r="CV486" t="str">
        <f t="shared" si="99"/>
        <v/>
      </c>
      <c r="CW486" t="str">
        <f t="shared" si="100"/>
        <v/>
      </c>
      <c r="DR486">
        <v>5401133</v>
      </c>
      <c r="DS486" s="17" t="s">
        <v>130</v>
      </c>
    </row>
    <row r="487" spans="90:123" x14ac:dyDescent="0.15">
      <c r="CL487" s="13" t="str">
        <f t="shared" si="101"/>
        <v/>
      </c>
      <c r="CM487" s="13" t="str">
        <f t="shared" si="101"/>
        <v/>
      </c>
      <c r="CN487" s="13" t="str">
        <f t="shared" si="101"/>
        <v/>
      </c>
      <c r="CO487" s="13" t="str">
        <f t="shared" si="101"/>
        <v/>
      </c>
      <c r="CP487" s="13" t="str">
        <f t="shared" si="101"/>
        <v/>
      </c>
      <c r="CQ487" s="13" t="str">
        <f t="shared" si="101"/>
        <v/>
      </c>
      <c r="CR487" t="str">
        <f t="shared" si="95"/>
        <v/>
      </c>
      <c r="CS487" t="str">
        <f t="shared" si="96"/>
        <v/>
      </c>
      <c r="CT487" t="str">
        <f t="shared" si="97"/>
        <v/>
      </c>
      <c r="CU487" t="str">
        <f t="shared" si="98"/>
        <v/>
      </c>
      <c r="CV487" t="str">
        <f t="shared" si="99"/>
        <v/>
      </c>
      <c r="CW487" t="str">
        <f t="shared" si="100"/>
        <v/>
      </c>
      <c r="DR487">
        <v>5402133</v>
      </c>
      <c r="DS487" s="17" t="s">
        <v>135</v>
      </c>
    </row>
    <row r="488" spans="90:123" x14ac:dyDescent="0.15">
      <c r="CL488" s="13" t="str">
        <f t="shared" si="101"/>
        <v/>
      </c>
      <c r="CM488" s="13" t="str">
        <f t="shared" si="101"/>
        <v/>
      </c>
      <c r="CN488" s="13" t="str">
        <f t="shared" si="101"/>
        <v/>
      </c>
      <c r="CO488" s="13" t="str">
        <f t="shared" si="101"/>
        <v/>
      </c>
      <c r="CP488" s="13" t="str">
        <f t="shared" si="101"/>
        <v/>
      </c>
      <c r="CQ488" s="13" t="str">
        <f t="shared" si="101"/>
        <v/>
      </c>
      <c r="CR488" t="str">
        <f t="shared" si="95"/>
        <v/>
      </c>
      <c r="CS488" t="str">
        <f t="shared" si="96"/>
        <v/>
      </c>
      <c r="CT488" t="str">
        <f t="shared" si="97"/>
        <v/>
      </c>
      <c r="CU488" t="str">
        <f t="shared" si="98"/>
        <v/>
      </c>
      <c r="CV488" t="str">
        <f t="shared" si="99"/>
        <v/>
      </c>
      <c r="CW488" t="str">
        <f t="shared" si="100"/>
        <v/>
      </c>
      <c r="DR488">
        <v>5500133</v>
      </c>
      <c r="DS488" s="17" t="s">
        <v>139</v>
      </c>
    </row>
    <row r="489" spans="90:123" x14ac:dyDescent="0.15">
      <c r="CL489" s="13" t="str">
        <f t="shared" si="101"/>
        <v/>
      </c>
      <c r="CM489" s="13" t="str">
        <f t="shared" si="101"/>
        <v/>
      </c>
      <c r="CN489" s="13" t="str">
        <f t="shared" si="101"/>
        <v/>
      </c>
      <c r="CO489" s="13" t="str">
        <f t="shared" si="101"/>
        <v/>
      </c>
      <c r="CP489" s="13" t="str">
        <f t="shared" si="101"/>
        <v/>
      </c>
      <c r="CQ489" s="13" t="str">
        <f t="shared" si="101"/>
        <v/>
      </c>
      <c r="CR489" t="str">
        <f t="shared" si="95"/>
        <v/>
      </c>
      <c r="CS489" t="str">
        <f t="shared" si="96"/>
        <v/>
      </c>
      <c r="CT489" t="str">
        <f t="shared" si="97"/>
        <v/>
      </c>
      <c r="CU489" t="str">
        <f t="shared" si="98"/>
        <v/>
      </c>
      <c r="CV489" t="str">
        <f t="shared" si="99"/>
        <v/>
      </c>
      <c r="CW489" t="str">
        <f t="shared" si="100"/>
        <v/>
      </c>
      <c r="DR489">
        <v>5502133</v>
      </c>
      <c r="DS489" s="17" t="s">
        <v>141</v>
      </c>
    </row>
    <row r="490" spans="90:123" x14ac:dyDescent="0.15">
      <c r="CL490" s="13" t="str">
        <f t="shared" si="101"/>
        <v/>
      </c>
      <c r="CM490" s="13" t="str">
        <f t="shared" si="101"/>
        <v/>
      </c>
      <c r="CN490" s="13" t="str">
        <f t="shared" si="101"/>
        <v/>
      </c>
      <c r="CO490" s="13" t="str">
        <f t="shared" si="101"/>
        <v/>
      </c>
      <c r="CP490" s="13" t="str">
        <f t="shared" si="101"/>
        <v/>
      </c>
      <c r="CQ490" s="13" t="str">
        <f t="shared" si="101"/>
        <v/>
      </c>
      <c r="CR490" t="str">
        <f t="shared" si="95"/>
        <v/>
      </c>
      <c r="CS490" t="str">
        <f t="shared" si="96"/>
        <v/>
      </c>
      <c r="CT490" t="str">
        <f t="shared" si="97"/>
        <v/>
      </c>
      <c r="CU490" t="str">
        <f t="shared" si="98"/>
        <v/>
      </c>
      <c r="CV490" t="str">
        <f t="shared" si="99"/>
        <v/>
      </c>
      <c r="CW490" t="str">
        <f t="shared" si="100"/>
        <v/>
      </c>
      <c r="DR490">
        <v>5601133</v>
      </c>
      <c r="DS490" s="17" t="s">
        <v>143</v>
      </c>
    </row>
    <row r="491" spans="90:123" x14ac:dyDescent="0.15">
      <c r="CL491" s="13" t="str">
        <f t="shared" si="101"/>
        <v/>
      </c>
      <c r="CM491" s="13" t="str">
        <f t="shared" si="101"/>
        <v/>
      </c>
      <c r="CN491" s="13" t="str">
        <f t="shared" si="101"/>
        <v/>
      </c>
      <c r="CO491" s="13" t="str">
        <f t="shared" si="101"/>
        <v/>
      </c>
      <c r="CP491" s="13" t="str">
        <f t="shared" si="101"/>
        <v/>
      </c>
      <c r="CQ491" s="13" t="str">
        <f t="shared" si="101"/>
        <v/>
      </c>
      <c r="CR491" t="str">
        <f t="shared" si="95"/>
        <v/>
      </c>
      <c r="CS491" t="str">
        <f t="shared" si="96"/>
        <v/>
      </c>
      <c r="CT491" t="str">
        <f t="shared" si="97"/>
        <v/>
      </c>
      <c r="CU491" t="str">
        <f t="shared" si="98"/>
        <v/>
      </c>
      <c r="CV491" t="str">
        <f t="shared" si="99"/>
        <v/>
      </c>
      <c r="CW491" t="str">
        <f t="shared" si="100"/>
        <v/>
      </c>
      <c r="DR491">
        <v>5501134</v>
      </c>
      <c r="DS491" s="17" t="s">
        <v>145</v>
      </c>
    </row>
    <row r="492" spans="90:123" x14ac:dyDescent="0.15">
      <c r="CL492" s="13" t="str">
        <f t="shared" si="101"/>
        <v/>
      </c>
      <c r="CM492" s="13" t="str">
        <f t="shared" si="101"/>
        <v/>
      </c>
      <c r="CN492" s="13" t="str">
        <f t="shared" si="101"/>
        <v/>
      </c>
      <c r="CO492" s="13" t="str">
        <f t="shared" si="101"/>
        <v/>
      </c>
      <c r="CP492" s="13" t="str">
        <f t="shared" si="101"/>
        <v/>
      </c>
      <c r="CQ492" s="13" t="str">
        <f t="shared" si="101"/>
        <v/>
      </c>
      <c r="CR492" t="str">
        <f t="shared" si="95"/>
        <v/>
      </c>
      <c r="CS492" t="str">
        <f t="shared" si="96"/>
        <v/>
      </c>
      <c r="CT492" t="str">
        <f t="shared" si="97"/>
        <v/>
      </c>
      <c r="CU492" t="str">
        <f t="shared" si="98"/>
        <v/>
      </c>
      <c r="CV492" t="str">
        <f t="shared" si="99"/>
        <v/>
      </c>
      <c r="CW492" t="str">
        <f t="shared" si="100"/>
        <v/>
      </c>
      <c r="DR492">
        <v>5600134</v>
      </c>
      <c r="DS492" s="17" t="s">
        <v>148</v>
      </c>
    </row>
    <row r="493" spans="90:123" x14ac:dyDescent="0.15">
      <c r="CL493" s="13" t="str">
        <f t="shared" si="101"/>
        <v/>
      </c>
      <c r="CM493" s="13" t="str">
        <f t="shared" si="101"/>
        <v/>
      </c>
      <c r="CN493" s="13" t="str">
        <f t="shared" si="101"/>
        <v/>
      </c>
      <c r="CO493" s="13" t="str">
        <f t="shared" si="101"/>
        <v/>
      </c>
      <c r="CP493" s="13" t="str">
        <f t="shared" si="101"/>
        <v/>
      </c>
      <c r="CQ493" s="13" t="str">
        <f t="shared" si="101"/>
        <v/>
      </c>
      <c r="CR493" t="str">
        <f t="shared" si="95"/>
        <v/>
      </c>
      <c r="CS493" t="str">
        <f t="shared" si="96"/>
        <v/>
      </c>
      <c r="CT493" t="str">
        <f t="shared" si="97"/>
        <v/>
      </c>
      <c r="CU493" t="str">
        <f t="shared" si="98"/>
        <v/>
      </c>
      <c r="CV493" t="str">
        <f t="shared" si="99"/>
        <v/>
      </c>
      <c r="CW493" t="str">
        <f t="shared" si="100"/>
        <v/>
      </c>
      <c r="DR493">
        <v>5602134</v>
      </c>
      <c r="DS493" s="17" t="s">
        <v>150</v>
      </c>
    </row>
    <row r="494" spans="90:123" x14ac:dyDescent="0.15">
      <c r="CL494" s="13" t="str">
        <f t="shared" si="101"/>
        <v/>
      </c>
      <c r="CM494" s="13" t="str">
        <f t="shared" si="101"/>
        <v/>
      </c>
      <c r="CN494" s="13" t="str">
        <f t="shared" si="101"/>
        <v/>
      </c>
      <c r="CO494" s="13" t="str">
        <f t="shared" si="101"/>
        <v/>
      </c>
      <c r="CP494" s="13" t="str">
        <f t="shared" si="101"/>
        <v/>
      </c>
      <c r="CQ494" s="13" t="str">
        <f t="shared" si="101"/>
        <v/>
      </c>
      <c r="CR494" t="str">
        <f t="shared" si="95"/>
        <v/>
      </c>
      <c r="CS494" t="str">
        <f t="shared" si="96"/>
        <v/>
      </c>
      <c r="CT494" t="str">
        <f t="shared" si="97"/>
        <v/>
      </c>
      <c r="CU494" t="str">
        <f t="shared" si="98"/>
        <v/>
      </c>
      <c r="CV494" t="str">
        <f t="shared" si="99"/>
        <v/>
      </c>
      <c r="CW494" t="str">
        <f t="shared" si="100"/>
        <v/>
      </c>
      <c r="DR494">
        <v>5300135</v>
      </c>
      <c r="DS494" s="17" t="s">
        <v>153</v>
      </c>
    </row>
    <row r="495" spans="90:123" x14ac:dyDescent="0.15">
      <c r="CL495" s="13" t="str">
        <f t="shared" si="101"/>
        <v/>
      </c>
      <c r="CM495" s="13" t="str">
        <f t="shared" si="101"/>
        <v/>
      </c>
      <c r="CN495" s="13" t="str">
        <f t="shared" si="101"/>
        <v/>
      </c>
      <c r="CO495" s="13" t="str">
        <f t="shared" si="101"/>
        <v/>
      </c>
      <c r="CP495" s="13" t="str">
        <f t="shared" si="101"/>
        <v/>
      </c>
      <c r="CQ495" s="13" t="str">
        <f t="shared" si="101"/>
        <v/>
      </c>
      <c r="CR495" t="str">
        <f t="shared" si="95"/>
        <v/>
      </c>
      <c r="CS495" t="str">
        <f t="shared" si="96"/>
        <v/>
      </c>
      <c r="CT495" t="str">
        <f t="shared" si="97"/>
        <v/>
      </c>
      <c r="CU495" t="str">
        <f t="shared" si="98"/>
        <v/>
      </c>
      <c r="CV495" t="str">
        <f t="shared" si="99"/>
        <v/>
      </c>
      <c r="CW495" t="str">
        <f t="shared" si="100"/>
        <v/>
      </c>
      <c r="DR495">
        <v>5302135</v>
      </c>
      <c r="DS495" s="17" t="s">
        <v>156</v>
      </c>
    </row>
    <row r="496" spans="90:123" x14ac:dyDescent="0.15">
      <c r="CL496" s="13" t="str">
        <f t="shared" si="101"/>
        <v/>
      </c>
      <c r="CM496" s="13" t="str">
        <f t="shared" si="101"/>
        <v/>
      </c>
      <c r="CN496" s="13" t="str">
        <f t="shared" si="101"/>
        <v/>
      </c>
      <c r="CO496" s="13" t="str">
        <f t="shared" si="101"/>
        <v/>
      </c>
      <c r="CP496" s="13" t="str">
        <f t="shared" si="101"/>
        <v/>
      </c>
      <c r="CQ496" s="13" t="str">
        <f t="shared" si="101"/>
        <v/>
      </c>
      <c r="CR496" t="str">
        <f t="shared" si="95"/>
        <v/>
      </c>
      <c r="CS496" t="str">
        <f t="shared" si="96"/>
        <v/>
      </c>
      <c r="CT496" t="str">
        <f t="shared" si="97"/>
        <v/>
      </c>
      <c r="CU496" t="str">
        <f t="shared" si="98"/>
        <v/>
      </c>
      <c r="CV496" t="str">
        <f t="shared" si="99"/>
        <v/>
      </c>
      <c r="CW496" t="str">
        <f t="shared" si="100"/>
        <v/>
      </c>
      <c r="DR496">
        <v>5400135</v>
      </c>
      <c r="DS496" s="17" t="s">
        <v>159</v>
      </c>
    </row>
    <row r="497" spans="90:123" x14ac:dyDescent="0.15">
      <c r="CL497" s="13" t="str">
        <f t="shared" si="101"/>
        <v/>
      </c>
      <c r="CM497" s="13" t="str">
        <f t="shared" si="101"/>
        <v/>
      </c>
      <c r="CN497" s="13" t="str">
        <f t="shared" si="101"/>
        <v/>
      </c>
      <c r="CO497" s="13" t="str">
        <f t="shared" si="101"/>
        <v/>
      </c>
      <c r="CP497" s="13" t="str">
        <f t="shared" si="101"/>
        <v/>
      </c>
      <c r="CQ497" s="13" t="str">
        <f t="shared" si="101"/>
        <v/>
      </c>
      <c r="CR497" t="str">
        <f t="shared" si="95"/>
        <v/>
      </c>
      <c r="CS497" t="str">
        <f t="shared" si="96"/>
        <v/>
      </c>
      <c r="CT497" t="str">
        <f t="shared" si="97"/>
        <v/>
      </c>
      <c r="CU497" t="str">
        <f t="shared" si="98"/>
        <v/>
      </c>
      <c r="CV497" t="str">
        <f t="shared" si="99"/>
        <v/>
      </c>
      <c r="CW497" t="str">
        <f t="shared" si="100"/>
        <v/>
      </c>
      <c r="DR497">
        <v>3207031</v>
      </c>
      <c r="DS497" t="s">
        <v>287</v>
      </c>
    </row>
    <row r="498" spans="90:123" x14ac:dyDescent="0.15">
      <c r="CL498" s="13" t="str">
        <f t="shared" si="101"/>
        <v/>
      </c>
      <c r="CM498" s="13" t="str">
        <f t="shared" si="101"/>
        <v/>
      </c>
      <c r="CN498" s="13" t="str">
        <f t="shared" si="101"/>
        <v/>
      </c>
      <c r="CO498" s="13" t="str">
        <f t="shared" si="101"/>
        <v/>
      </c>
      <c r="CP498" s="13" t="str">
        <f t="shared" si="101"/>
        <v/>
      </c>
      <c r="CQ498" s="13" t="str">
        <f t="shared" si="101"/>
        <v/>
      </c>
      <c r="CR498" t="str">
        <f t="shared" si="95"/>
        <v/>
      </c>
      <c r="CS498" t="str">
        <f t="shared" si="96"/>
        <v/>
      </c>
      <c r="CT498" t="str">
        <f t="shared" si="97"/>
        <v/>
      </c>
      <c r="CU498" t="str">
        <f t="shared" si="98"/>
        <v/>
      </c>
      <c r="CV498" t="str">
        <f t="shared" si="99"/>
        <v/>
      </c>
      <c r="CW498" t="str">
        <f t="shared" si="100"/>
        <v/>
      </c>
      <c r="DR498">
        <v>3208031</v>
      </c>
      <c r="DS498" t="s">
        <v>288</v>
      </c>
    </row>
    <row r="499" spans="90:123" x14ac:dyDescent="0.15">
      <c r="CL499" s="13" t="str">
        <f t="shared" si="101"/>
        <v/>
      </c>
      <c r="CM499" s="13" t="str">
        <f t="shared" si="101"/>
        <v/>
      </c>
      <c r="CN499" s="13" t="str">
        <f t="shared" si="101"/>
        <v/>
      </c>
      <c r="CO499" s="13" t="str">
        <f t="shared" si="101"/>
        <v/>
      </c>
      <c r="CP499" s="13" t="str">
        <f t="shared" si="101"/>
        <v/>
      </c>
      <c r="CQ499" s="13" t="str">
        <f t="shared" si="101"/>
        <v/>
      </c>
      <c r="CR499" t="str">
        <f t="shared" si="95"/>
        <v/>
      </c>
      <c r="CS499" t="str">
        <f t="shared" si="96"/>
        <v/>
      </c>
      <c r="CT499" t="str">
        <f t="shared" si="97"/>
        <v/>
      </c>
      <c r="CU499" t="str">
        <f t="shared" si="98"/>
        <v/>
      </c>
      <c r="CV499" t="str">
        <f t="shared" si="99"/>
        <v/>
      </c>
      <c r="CW499" t="str">
        <f t="shared" si="100"/>
        <v/>
      </c>
      <c r="DR499">
        <v>3209031</v>
      </c>
      <c r="DS499" t="s">
        <v>289</v>
      </c>
    </row>
    <row r="500" spans="90:123" x14ac:dyDescent="0.15">
      <c r="CL500" s="13" t="str">
        <f t="shared" si="101"/>
        <v/>
      </c>
      <c r="CM500" s="13" t="str">
        <f t="shared" si="101"/>
        <v/>
      </c>
      <c r="CN500" s="13" t="str">
        <f t="shared" si="101"/>
        <v/>
      </c>
      <c r="CO500" s="13" t="str">
        <f t="shared" si="101"/>
        <v/>
      </c>
      <c r="CP500" s="13" t="str">
        <f t="shared" si="101"/>
        <v/>
      </c>
      <c r="CQ500" s="13" t="str">
        <f t="shared" si="101"/>
        <v/>
      </c>
      <c r="CR500" t="str">
        <f t="shared" si="95"/>
        <v/>
      </c>
      <c r="CS500" t="str">
        <f t="shared" si="96"/>
        <v/>
      </c>
      <c r="CT500" t="str">
        <f t="shared" si="97"/>
        <v/>
      </c>
      <c r="CU500" t="str">
        <f t="shared" si="98"/>
        <v/>
      </c>
      <c r="CV500" t="str">
        <f t="shared" si="99"/>
        <v/>
      </c>
      <c r="CW500" t="str">
        <f t="shared" si="100"/>
        <v/>
      </c>
      <c r="DR500">
        <v>3306031</v>
      </c>
      <c r="DS500" t="s">
        <v>290</v>
      </c>
    </row>
    <row r="501" spans="90:123" x14ac:dyDescent="0.15">
      <c r="CL501" s="13" t="str">
        <f t="shared" si="101"/>
        <v/>
      </c>
      <c r="CM501" s="13" t="str">
        <f t="shared" si="101"/>
        <v/>
      </c>
      <c r="CN501" s="13" t="str">
        <f t="shared" si="101"/>
        <v/>
      </c>
      <c r="CO501" s="13" t="str">
        <f t="shared" si="101"/>
        <v/>
      </c>
      <c r="CP501" s="13" t="str">
        <f t="shared" si="101"/>
        <v/>
      </c>
      <c r="CQ501" s="13" t="str">
        <f t="shared" si="101"/>
        <v/>
      </c>
      <c r="CR501" t="str">
        <f t="shared" si="95"/>
        <v/>
      </c>
      <c r="CS501" t="str">
        <f t="shared" si="96"/>
        <v/>
      </c>
      <c r="CT501" t="str">
        <f t="shared" si="97"/>
        <v/>
      </c>
      <c r="CU501" t="str">
        <f t="shared" si="98"/>
        <v/>
      </c>
      <c r="CV501" t="str">
        <f t="shared" si="99"/>
        <v/>
      </c>
      <c r="CW501" t="str">
        <f t="shared" si="100"/>
        <v/>
      </c>
      <c r="DR501">
        <v>3408031</v>
      </c>
      <c r="DS501" t="s">
        <v>291</v>
      </c>
    </row>
    <row r="502" spans="90:123" x14ac:dyDescent="0.15">
      <c r="CL502" s="13" t="str">
        <f t="shared" si="101"/>
        <v/>
      </c>
      <c r="CM502" s="13" t="str">
        <f t="shared" si="101"/>
        <v/>
      </c>
      <c r="CN502" s="13" t="str">
        <f t="shared" si="101"/>
        <v/>
      </c>
      <c r="CO502" s="13" t="str">
        <f t="shared" si="101"/>
        <v/>
      </c>
      <c r="CP502" s="13" t="str">
        <f t="shared" si="101"/>
        <v/>
      </c>
      <c r="CQ502" s="13" t="str">
        <f t="shared" si="101"/>
        <v/>
      </c>
      <c r="CR502" t="str">
        <f t="shared" si="95"/>
        <v/>
      </c>
      <c r="CS502" t="str">
        <f t="shared" si="96"/>
        <v/>
      </c>
      <c r="CT502" t="str">
        <f t="shared" si="97"/>
        <v/>
      </c>
      <c r="CU502" t="str">
        <f t="shared" si="98"/>
        <v/>
      </c>
      <c r="CV502" t="str">
        <f t="shared" si="99"/>
        <v/>
      </c>
      <c r="CW502" t="str">
        <f t="shared" si="100"/>
        <v/>
      </c>
      <c r="DR502">
        <v>3409031</v>
      </c>
      <c r="DS502" t="s">
        <v>292</v>
      </c>
    </row>
    <row r="503" spans="90:123" x14ac:dyDescent="0.15">
      <c r="CL503" s="13" t="str">
        <f t="shared" si="101"/>
        <v/>
      </c>
      <c r="CM503" s="13" t="str">
        <f t="shared" si="101"/>
        <v/>
      </c>
      <c r="CN503" s="13" t="str">
        <f t="shared" si="101"/>
        <v/>
      </c>
      <c r="CO503" s="13" t="str">
        <f t="shared" si="101"/>
        <v/>
      </c>
      <c r="CP503" s="13" t="str">
        <f t="shared" si="101"/>
        <v/>
      </c>
      <c r="CQ503" s="13" t="str">
        <f t="shared" si="101"/>
        <v/>
      </c>
      <c r="CR503" t="str">
        <f t="shared" si="95"/>
        <v/>
      </c>
      <c r="CS503" t="str">
        <f t="shared" si="96"/>
        <v/>
      </c>
      <c r="CT503" t="str">
        <f t="shared" si="97"/>
        <v/>
      </c>
      <c r="CU503" t="str">
        <f t="shared" si="98"/>
        <v/>
      </c>
      <c r="CV503" t="str">
        <f t="shared" si="99"/>
        <v/>
      </c>
      <c r="CW503" t="str">
        <f t="shared" si="100"/>
        <v/>
      </c>
      <c r="DR503">
        <v>3505031</v>
      </c>
      <c r="DS503" t="s">
        <v>293</v>
      </c>
    </row>
    <row r="504" spans="90:123" x14ac:dyDescent="0.15">
      <c r="CL504" s="13" t="str">
        <f t="shared" si="101"/>
        <v/>
      </c>
      <c r="CM504" s="13" t="str">
        <f t="shared" si="101"/>
        <v/>
      </c>
      <c r="CN504" s="13" t="str">
        <f t="shared" si="101"/>
        <v/>
      </c>
      <c r="CO504" s="13" t="str">
        <f t="shared" si="101"/>
        <v/>
      </c>
      <c r="CP504" s="13" t="str">
        <f t="shared" si="101"/>
        <v/>
      </c>
      <c r="CQ504" s="13" t="str">
        <f t="shared" si="101"/>
        <v/>
      </c>
      <c r="CR504" t="str">
        <f t="shared" si="95"/>
        <v/>
      </c>
      <c r="CS504" t="str">
        <f t="shared" si="96"/>
        <v/>
      </c>
      <c r="CT504" t="str">
        <f t="shared" si="97"/>
        <v/>
      </c>
      <c r="CU504" t="str">
        <f t="shared" si="98"/>
        <v/>
      </c>
      <c r="CV504" t="str">
        <f t="shared" si="99"/>
        <v/>
      </c>
      <c r="CW504" t="str">
        <f t="shared" si="100"/>
        <v/>
      </c>
      <c r="DR504">
        <v>3507031</v>
      </c>
      <c r="DS504" t="s">
        <v>294</v>
      </c>
    </row>
    <row r="505" spans="90:123" x14ac:dyDescent="0.15">
      <c r="CL505" s="13" t="str">
        <f t="shared" si="101"/>
        <v/>
      </c>
      <c r="CM505" s="13" t="str">
        <f t="shared" si="101"/>
        <v/>
      </c>
      <c r="CN505" s="13" t="str">
        <f t="shared" si="101"/>
        <v/>
      </c>
      <c r="CO505" s="13" t="str">
        <f t="shared" si="101"/>
        <v/>
      </c>
      <c r="CP505" s="13" t="str">
        <f t="shared" si="101"/>
        <v/>
      </c>
      <c r="CQ505" s="13" t="str">
        <f t="shared" si="101"/>
        <v/>
      </c>
      <c r="CR505" t="str">
        <f t="shared" si="95"/>
        <v/>
      </c>
      <c r="CS505" t="str">
        <f t="shared" si="96"/>
        <v/>
      </c>
      <c r="CT505" t="str">
        <f t="shared" si="97"/>
        <v/>
      </c>
      <c r="CU505" t="str">
        <f t="shared" si="98"/>
        <v/>
      </c>
      <c r="CV505" t="str">
        <f t="shared" si="99"/>
        <v/>
      </c>
      <c r="CW505" t="str">
        <f t="shared" si="100"/>
        <v/>
      </c>
      <c r="DR505">
        <v>3604031</v>
      </c>
      <c r="DS505" t="s">
        <v>295</v>
      </c>
    </row>
    <row r="506" spans="90:123" x14ac:dyDescent="0.15">
      <c r="CL506" s="13" t="str">
        <f t="shared" si="101"/>
        <v/>
      </c>
      <c r="CM506" s="13" t="str">
        <f t="shared" si="101"/>
        <v/>
      </c>
      <c r="CN506" s="13" t="str">
        <f t="shared" si="101"/>
        <v/>
      </c>
      <c r="CO506" s="13" t="str">
        <f t="shared" si="101"/>
        <v/>
      </c>
      <c r="CP506" s="13" t="str">
        <f t="shared" si="101"/>
        <v/>
      </c>
      <c r="CQ506" s="13" t="str">
        <f t="shared" si="101"/>
        <v/>
      </c>
      <c r="CR506" t="str">
        <f t="shared" si="95"/>
        <v/>
      </c>
      <c r="CS506" t="str">
        <f t="shared" si="96"/>
        <v/>
      </c>
      <c r="CT506" t="str">
        <f t="shared" si="97"/>
        <v/>
      </c>
      <c r="CU506" t="str">
        <f t="shared" si="98"/>
        <v/>
      </c>
      <c r="CV506" t="str">
        <f t="shared" si="99"/>
        <v/>
      </c>
      <c r="CW506" t="str">
        <f t="shared" si="100"/>
        <v/>
      </c>
      <c r="DR506">
        <v>3207032</v>
      </c>
      <c r="DS506" t="s">
        <v>296</v>
      </c>
    </row>
    <row r="507" spans="90:123" x14ac:dyDescent="0.15">
      <c r="CL507" s="13" t="str">
        <f t="shared" si="101"/>
        <v/>
      </c>
      <c r="CM507" s="13" t="str">
        <f t="shared" si="101"/>
        <v/>
      </c>
      <c r="CN507" s="13" t="str">
        <f t="shared" si="101"/>
        <v/>
      </c>
      <c r="CO507" s="13" t="str">
        <f t="shared" si="101"/>
        <v/>
      </c>
      <c r="CP507" s="13" t="str">
        <f t="shared" si="101"/>
        <v/>
      </c>
      <c r="CQ507" s="13" t="str">
        <f t="shared" si="101"/>
        <v/>
      </c>
      <c r="CR507" t="str">
        <f t="shared" si="95"/>
        <v/>
      </c>
      <c r="CS507" t="str">
        <f t="shared" si="96"/>
        <v/>
      </c>
      <c r="CT507" t="str">
        <f t="shared" si="97"/>
        <v/>
      </c>
      <c r="CU507" t="str">
        <f t="shared" si="98"/>
        <v/>
      </c>
      <c r="CV507" t="str">
        <f t="shared" si="99"/>
        <v/>
      </c>
      <c r="CW507" t="str">
        <f t="shared" si="100"/>
        <v/>
      </c>
      <c r="DR507">
        <v>3208032</v>
      </c>
      <c r="DS507" t="s">
        <v>297</v>
      </c>
    </row>
    <row r="508" spans="90:123" x14ac:dyDescent="0.15">
      <c r="CL508" s="13" t="str">
        <f t="shared" si="101"/>
        <v/>
      </c>
      <c r="CM508" s="13" t="str">
        <f t="shared" si="101"/>
        <v/>
      </c>
      <c r="CN508" s="13" t="str">
        <f t="shared" si="101"/>
        <v/>
      </c>
      <c r="CO508" s="13" t="str">
        <f t="shared" si="101"/>
        <v/>
      </c>
      <c r="CP508" s="13" t="str">
        <f t="shared" si="101"/>
        <v/>
      </c>
      <c r="CQ508" s="13" t="str">
        <f t="shared" si="101"/>
        <v/>
      </c>
      <c r="CR508" t="str">
        <f t="shared" si="95"/>
        <v/>
      </c>
      <c r="CS508" t="str">
        <f t="shared" si="96"/>
        <v/>
      </c>
      <c r="CT508" t="str">
        <f t="shared" si="97"/>
        <v/>
      </c>
      <c r="CU508" t="str">
        <f t="shared" si="98"/>
        <v/>
      </c>
      <c r="CV508" t="str">
        <f t="shared" si="99"/>
        <v/>
      </c>
      <c r="CW508" t="str">
        <f t="shared" si="100"/>
        <v/>
      </c>
      <c r="DR508">
        <v>3209032</v>
      </c>
      <c r="DS508" t="s">
        <v>298</v>
      </c>
    </row>
    <row r="509" spans="90:123" x14ac:dyDescent="0.15">
      <c r="CL509" s="13" t="str">
        <f t="shared" si="101"/>
        <v/>
      </c>
      <c r="CM509" s="13" t="str">
        <f t="shared" si="101"/>
        <v/>
      </c>
      <c r="CN509" s="13" t="str">
        <f t="shared" si="101"/>
        <v/>
      </c>
      <c r="CO509" s="13" t="str">
        <f t="shared" si="101"/>
        <v/>
      </c>
      <c r="CP509" s="13" t="str">
        <f t="shared" si="101"/>
        <v/>
      </c>
      <c r="CQ509" s="13" t="str">
        <f t="shared" si="101"/>
        <v/>
      </c>
      <c r="CR509" t="str">
        <f t="shared" si="95"/>
        <v/>
      </c>
      <c r="CS509" t="str">
        <f t="shared" si="96"/>
        <v/>
      </c>
      <c r="CT509" t="str">
        <f t="shared" si="97"/>
        <v/>
      </c>
      <c r="CU509" t="str">
        <f t="shared" si="98"/>
        <v/>
      </c>
      <c r="CV509" t="str">
        <f t="shared" si="99"/>
        <v/>
      </c>
      <c r="CW509" t="str">
        <f t="shared" si="100"/>
        <v/>
      </c>
      <c r="DR509">
        <v>3306032</v>
      </c>
      <c r="DS509" t="s">
        <v>299</v>
      </c>
    </row>
    <row r="510" spans="90:123" x14ac:dyDescent="0.15">
      <c r="CL510" s="13" t="str">
        <f t="shared" si="101"/>
        <v/>
      </c>
      <c r="CM510" s="13" t="str">
        <f t="shared" si="101"/>
        <v/>
      </c>
      <c r="CN510" s="13" t="str">
        <f t="shared" si="101"/>
        <v/>
      </c>
      <c r="CO510" s="13" t="str">
        <f t="shared" si="101"/>
        <v/>
      </c>
      <c r="CP510" s="13" t="str">
        <f t="shared" si="101"/>
        <v/>
      </c>
      <c r="CQ510" s="13" t="str">
        <f t="shared" si="101"/>
        <v/>
      </c>
      <c r="CR510" t="str">
        <f t="shared" si="95"/>
        <v/>
      </c>
      <c r="CS510" t="str">
        <f t="shared" si="96"/>
        <v/>
      </c>
      <c r="CT510" t="str">
        <f t="shared" si="97"/>
        <v/>
      </c>
      <c r="CU510" t="str">
        <f t="shared" si="98"/>
        <v/>
      </c>
      <c r="CV510" t="str">
        <f t="shared" si="99"/>
        <v/>
      </c>
      <c r="CW510" t="str">
        <f t="shared" si="100"/>
        <v/>
      </c>
      <c r="DR510">
        <v>3408032</v>
      </c>
      <c r="DS510" t="s">
        <v>300</v>
      </c>
    </row>
    <row r="511" spans="90:123" x14ac:dyDescent="0.15">
      <c r="CL511" s="13" t="str">
        <f t="shared" si="101"/>
        <v/>
      </c>
      <c r="CM511" s="13" t="str">
        <f t="shared" si="101"/>
        <v/>
      </c>
      <c r="CN511" s="13" t="str">
        <f t="shared" si="101"/>
        <v/>
      </c>
      <c r="CO511" s="13" t="str">
        <f t="shared" si="101"/>
        <v/>
      </c>
      <c r="CP511" s="13" t="str">
        <f t="shared" si="101"/>
        <v/>
      </c>
      <c r="CQ511" s="13" t="str">
        <f t="shared" si="101"/>
        <v/>
      </c>
      <c r="CR511" t="str">
        <f t="shared" si="95"/>
        <v/>
      </c>
      <c r="CS511" t="str">
        <f t="shared" si="96"/>
        <v/>
      </c>
      <c r="CT511" t="str">
        <f t="shared" si="97"/>
        <v/>
      </c>
      <c r="CU511" t="str">
        <f t="shared" si="98"/>
        <v/>
      </c>
      <c r="CV511" t="str">
        <f t="shared" si="99"/>
        <v/>
      </c>
      <c r="CW511" t="str">
        <f t="shared" si="100"/>
        <v/>
      </c>
      <c r="DR511">
        <v>3409032</v>
      </c>
      <c r="DS511" t="s">
        <v>301</v>
      </c>
    </row>
    <row r="512" spans="90:123" x14ac:dyDescent="0.15">
      <c r="CL512" s="13" t="str">
        <f t="shared" si="101"/>
        <v/>
      </c>
      <c r="CM512" s="13" t="str">
        <f t="shared" si="101"/>
        <v/>
      </c>
      <c r="CN512" s="13" t="str">
        <f t="shared" si="101"/>
        <v/>
      </c>
      <c r="CO512" s="13" t="str">
        <f t="shared" ref="CO512:CQ575" si="102">IF(DM512&lt;&gt;"",IF(ISERROR(MATCH(INT(CU512),$DR$4:$DR$1516,0))=FALSE,TRUE),"")</f>
        <v/>
      </c>
      <c r="CP512" s="13" t="str">
        <f t="shared" si="102"/>
        <v/>
      </c>
      <c r="CQ512" s="13" t="str">
        <f t="shared" si="102"/>
        <v/>
      </c>
      <c r="CR512" t="str">
        <f t="shared" si="95"/>
        <v/>
      </c>
      <c r="CS512" t="str">
        <f t="shared" si="96"/>
        <v/>
      </c>
      <c r="CT512" t="str">
        <f t="shared" si="97"/>
        <v/>
      </c>
      <c r="CU512" t="str">
        <f t="shared" si="98"/>
        <v/>
      </c>
      <c r="CV512" t="str">
        <f t="shared" si="99"/>
        <v/>
      </c>
      <c r="CW512" t="str">
        <f t="shared" si="100"/>
        <v/>
      </c>
      <c r="DR512">
        <v>3505032</v>
      </c>
      <c r="DS512" t="s">
        <v>302</v>
      </c>
    </row>
    <row r="513" spans="90:123" x14ac:dyDescent="0.15">
      <c r="CL513" s="13" t="str">
        <f t="shared" ref="CL513:CQ576" si="103">IF(DJ513&lt;&gt;"",IF(ISERROR(MATCH(INT(CR513),$DR$4:$DR$1516,0))=FALSE,TRUE),"")</f>
        <v/>
      </c>
      <c r="CM513" s="13" t="str">
        <f t="shared" si="103"/>
        <v/>
      </c>
      <c r="CN513" s="13" t="str">
        <f t="shared" si="103"/>
        <v/>
      </c>
      <c r="CO513" s="13" t="str">
        <f t="shared" si="102"/>
        <v/>
      </c>
      <c r="CP513" s="13" t="str">
        <f t="shared" si="102"/>
        <v/>
      </c>
      <c r="CQ513" s="13" t="str">
        <f t="shared" si="102"/>
        <v/>
      </c>
      <c r="CR513" t="str">
        <f t="shared" si="95"/>
        <v/>
      </c>
      <c r="CS513" t="str">
        <f t="shared" si="96"/>
        <v/>
      </c>
      <c r="CT513" t="str">
        <f t="shared" si="97"/>
        <v/>
      </c>
      <c r="CU513" t="str">
        <f t="shared" si="98"/>
        <v/>
      </c>
      <c r="CV513" t="str">
        <f t="shared" si="99"/>
        <v/>
      </c>
      <c r="CW513" t="str">
        <f t="shared" si="100"/>
        <v/>
      </c>
      <c r="DR513">
        <v>3507032</v>
      </c>
      <c r="DS513" t="s">
        <v>303</v>
      </c>
    </row>
    <row r="514" spans="90:123" x14ac:dyDescent="0.15">
      <c r="CL514" s="13" t="str">
        <f t="shared" si="103"/>
        <v/>
      </c>
      <c r="CM514" s="13" t="str">
        <f t="shared" si="103"/>
        <v/>
      </c>
      <c r="CN514" s="13" t="str">
        <f t="shared" si="103"/>
        <v/>
      </c>
      <c r="CO514" s="13" t="str">
        <f t="shared" si="102"/>
        <v/>
      </c>
      <c r="CP514" s="13" t="str">
        <f t="shared" si="102"/>
        <v/>
      </c>
      <c r="CQ514" s="13" t="str">
        <f t="shared" si="102"/>
        <v/>
      </c>
      <c r="CR514" t="str">
        <f t="shared" si="95"/>
        <v/>
      </c>
      <c r="CS514" t="str">
        <f t="shared" si="96"/>
        <v/>
      </c>
      <c r="CT514" t="str">
        <f t="shared" si="97"/>
        <v/>
      </c>
      <c r="CU514" t="str">
        <f t="shared" si="98"/>
        <v/>
      </c>
      <c r="CV514" t="str">
        <f t="shared" si="99"/>
        <v/>
      </c>
      <c r="CW514" t="str">
        <f t="shared" si="100"/>
        <v/>
      </c>
      <c r="DR514">
        <v>3604032</v>
      </c>
      <c r="DS514" t="s">
        <v>304</v>
      </c>
    </row>
    <row r="515" spans="90:123" x14ac:dyDescent="0.15">
      <c r="CL515" s="13" t="str">
        <f t="shared" si="103"/>
        <v/>
      </c>
      <c r="CM515" s="13" t="str">
        <f t="shared" si="103"/>
        <v/>
      </c>
      <c r="CN515" s="13" t="str">
        <f t="shared" si="103"/>
        <v/>
      </c>
      <c r="CO515" s="13" t="str">
        <f t="shared" si="102"/>
        <v/>
      </c>
      <c r="CP515" s="13" t="str">
        <f t="shared" si="102"/>
        <v/>
      </c>
      <c r="CQ515" s="13" t="str">
        <f t="shared" si="102"/>
        <v/>
      </c>
      <c r="CR515" t="str">
        <f t="shared" ref="CR515:CR578" si="104">IF(DJ515&lt;&gt;"",REPLACE(REPLACE(INDEX($DR$4:$DR$1516,MATCH(DJ515,$DS$4:$DS$1516,0)),6,1,CX515),1,1,DD515),"")</f>
        <v/>
      </c>
      <c r="CS515" t="str">
        <f t="shared" ref="CS515:CS578" si="105">IF(DK515&lt;&gt;"",REPLACE(REPLACE(INDEX($DR$4:$DR$1516,MATCH(DK515,$DS$4:$DS$1516,0)),6,1,CY515),1,1,DE515),"")</f>
        <v/>
      </c>
      <c r="CT515" t="str">
        <f t="shared" ref="CT515:CT578" si="106">IF(DL515&lt;&gt;"",REPLACE(REPLACE(INDEX($DR$4:$DR$1516,MATCH(DL515,$DS$4:$DS$1516,0)),6,1,CZ515),1,1,DF515),"")</f>
        <v/>
      </c>
      <c r="CU515" t="str">
        <f t="shared" ref="CU515:CU578" si="107">IF(DM515&lt;&gt;"",REPLACE(REPLACE(INDEX($DR$4:$DR$1516,MATCH(DM515,$DS$4:$DS$1516,0)),6,1,DA515),1,1,DG515),"")</f>
        <v/>
      </c>
      <c r="CV515" t="str">
        <f t="shared" ref="CV515:CV578" si="108">IF(DN515&lt;&gt;"",REPLACE(REPLACE(INDEX($DR$4:$DR$1516,MATCH(DN515,$DS$4:$DS$1516,0)),6,1,DB515),1,1,DH515),"")</f>
        <v/>
      </c>
      <c r="CW515" t="str">
        <f t="shared" ref="CW515:CW578" si="109">IF(DO515&lt;&gt;"",REPLACE(REPLACE(INDEX($DR$4:$DR$1516,MATCH(DO515,$DS$4:$DS$1516,0)),6,1,DC515),1,1,DI515),"")</f>
        <v/>
      </c>
      <c r="DR515">
        <v>3207033</v>
      </c>
      <c r="DS515" t="s">
        <v>305</v>
      </c>
    </row>
    <row r="516" spans="90:123" x14ac:dyDescent="0.15">
      <c r="CL516" s="13" t="str">
        <f t="shared" si="103"/>
        <v/>
      </c>
      <c r="CM516" s="13" t="str">
        <f t="shared" si="103"/>
        <v/>
      </c>
      <c r="CN516" s="13" t="str">
        <f t="shared" si="103"/>
        <v/>
      </c>
      <c r="CO516" s="13" t="str">
        <f t="shared" si="102"/>
        <v/>
      </c>
      <c r="CP516" s="13" t="str">
        <f t="shared" si="102"/>
        <v/>
      </c>
      <c r="CQ516" s="13" t="str">
        <f t="shared" si="102"/>
        <v/>
      </c>
      <c r="CR516" t="str">
        <f t="shared" si="104"/>
        <v/>
      </c>
      <c r="CS516" t="str">
        <f t="shared" si="105"/>
        <v/>
      </c>
      <c r="CT516" t="str">
        <f t="shared" si="106"/>
        <v/>
      </c>
      <c r="CU516" t="str">
        <f t="shared" si="107"/>
        <v/>
      </c>
      <c r="CV516" t="str">
        <f t="shared" si="108"/>
        <v/>
      </c>
      <c r="CW516" t="str">
        <f t="shared" si="109"/>
        <v/>
      </c>
      <c r="DR516">
        <v>3208033</v>
      </c>
      <c r="DS516" t="s">
        <v>306</v>
      </c>
    </row>
    <row r="517" spans="90:123" x14ac:dyDescent="0.15">
      <c r="CL517" s="13" t="str">
        <f t="shared" si="103"/>
        <v/>
      </c>
      <c r="CM517" s="13" t="str">
        <f t="shared" si="103"/>
        <v/>
      </c>
      <c r="CN517" s="13" t="str">
        <f t="shared" si="103"/>
        <v/>
      </c>
      <c r="CO517" s="13" t="str">
        <f t="shared" si="102"/>
        <v/>
      </c>
      <c r="CP517" s="13" t="str">
        <f t="shared" si="102"/>
        <v/>
      </c>
      <c r="CQ517" s="13" t="str">
        <f t="shared" si="102"/>
        <v/>
      </c>
      <c r="CR517" t="str">
        <f t="shared" si="104"/>
        <v/>
      </c>
      <c r="CS517" t="str">
        <f t="shared" si="105"/>
        <v/>
      </c>
      <c r="CT517" t="str">
        <f t="shared" si="106"/>
        <v/>
      </c>
      <c r="CU517" t="str">
        <f t="shared" si="107"/>
        <v/>
      </c>
      <c r="CV517" t="str">
        <f t="shared" si="108"/>
        <v/>
      </c>
      <c r="CW517" t="str">
        <f t="shared" si="109"/>
        <v/>
      </c>
      <c r="DR517">
        <v>3209033</v>
      </c>
      <c r="DS517" t="s">
        <v>307</v>
      </c>
    </row>
    <row r="518" spans="90:123" x14ac:dyDescent="0.15">
      <c r="CL518" s="13" t="str">
        <f t="shared" si="103"/>
        <v/>
      </c>
      <c r="CM518" s="13" t="str">
        <f t="shared" si="103"/>
        <v/>
      </c>
      <c r="CN518" s="13" t="str">
        <f t="shared" si="103"/>
        <v/>
      </c>
      <c r="CO518" s="13" t="str">
        <f t="shared" si="102"/>
        <v/>
      </c>
      <c r="CP518" s="13" t="str">
        <f t="shared" si="102"/>
        <v/>
      </c>
      <c r="CQ518" s="13" t="str">
        <f t="shared" si="102"/>
        <v/>
      </c>
      <c r="CR518" t="str">
        <f t="shared" si="104"/>
        <v/>
      </c>
      <c r="CS518" t="str">
        <f t="shared" si="105"/>
        <v/>
      </c>
      <c r="CT518" t="str">
        <f t="shared" si="106"/>
        <v/>
      </c>
      <c r="CU518" t="str">
        <f t="shared" si="107"/>
        <v/>
      </c>
      <c r="CV518" t="str">
        <f t="shared" si="108"/>
        <v/>
      </c>
      <c r="CW518" t="str">
        <f t="shared" si="109"/>
        <v/>
      </c>
      <c r="DR518">
        <v>3306033</v>
      </c>
      <c r="DS518" t="s">
        <v>308</v>
      </c>
    </row>
    <row r="519" spans="90:123" x14ac:dyDescent="0.15">
      <c r="CL519" s="13" t="str">
        <f t="shared" si="103"/>
        <v/>
      </c>
      <c r="CM519" s="13" t="str">
        <f t="shared" si="103"/>
        <v/>
      </c>
      <c r="CN519" s="13" t="str">
        <f t="shared" si="103"/>
        <v/>
      </c>
      <c r="CO519" s="13" t="str">
        <f t="shared" si="102"/>
        <v/>
      </c>
      <c r="CP519" s="13" t="str">
        <f t="shared" si="102"/>
        <v/>
      </c>
      <c r="CQ519" s="13" t="str">
        <f t="shared" si="102"/>
        <v/>
      </c>
      <c r="CR519" t="str">
        <f t="shared" si="104"/>
        <v/>
      </c>
      <c r="CS519" t="str">
        <f t="shared" si="105"/>
        <v/>
      </c>
      <c r="CT519" t="str">
        <f t="shared" si="106"/>
        <v/>
      </c>
      <c r="CU519" t="str">
        <f t="shared" si="107"/>
        <v/>
      </c>
      <c r="CV519" t="str">
        <f t="shared" si="108"/>
        <v/>
      </c>
      <c r="CW519" t="str">
        <f t="shared" si="109"/>
        <v/>
      </c>
      <c r="DR519">
        <v>3408033</v>
      </c>
      <c r="DS519" t="s">
        <v>309</v>
      </c>
    </row>
    <row r="520" spans="90:123" x14ac:dyDescent="0.15">
      <c r="CL520" s="13" t="str">
        <f t="shared" si="103"/>
        <v/>
      </c>
      <c r="CM520" s="13" t="str">
        <f t="shared" si="103"/>
        <v/>
      </c>
      <c r="CN520" s="13" t="str">
        <f t="shared" si="103"/>
        <v/>
      </c>
      <c r="CO520" s="13" t="str">
        <f t="shared" si="102"/>
        <v/>
      </c>
      <c r="CP520" s="13" t="str">
        <f t="shared" si="102"/>
        <v/>
      </c>
      <c r="CQ520" s="13" t="str">
        <f t="shared" si="102"/>
        <v/>
      </c>
      <c r="CR520" t="str">
        <f t="shared" si="104"/>
        <v/>
      </c>
      <c r="CS520" t="str">
        <f t="shared" si="105"/>
        <v/>
      </c>
      <c r="CT520" t="str">
        <f t="shared" si="106"/>
        <v/>
      </c>
      <c r="CU520" t="str">
        <f t="shared" si="107"/>
        <v/>
      </c>
      <c r="CV520" t="str">
        <f t="shared" si="108"/>
        <v/>
      </c>
      <c r="CW520" t="str">
        <f t="shared" si="109"/>
        <v/>
      </c>
      <c r="DR520">
        <v>3409033</v>
      </c>
      <c r="DS520" t="s">
        <v>310</v>
      </c>
    </row>
    <row r="521" spans="90:123" x14ac:dyDescent="0.15">
      <c r="CL521" s="13" t="str">
        <f t="shared" si="103"/>
        <v/>
      </c>
      <c r="CM521" s="13" t="str">
        <f t="shared" si="103"/>
        <v/>
      </c>
      <c r="CN521" s="13" t="str">
        <f t="shared" si="103"/>
        <v/>
      </c>
      <c r="CO521" s="13" t="str">
        <f t="shared" si="102"/>
        <v/>
      </c>
      <c r="CP521" s="13" t="str">
        <f t="shared" si="102"/>
        <v/>
      </c>
      <c r="CQ521" s="13" t="str">
        <f t="shared" si="102"/>
        <v/>
      </c>
      <c r="CR521" t="str">
        <f t="shared" si="104"/>
        <v/>
      </c>
      <c r="CS521" t="str">
        <f t="shared" si="105"/>
        <v/>
      </c>
      <c r="CT521" t="str">
        <f t="shared" si="106"/>
        <v/>
      </c>
      <c r="CU521" t="str">
        <f t="shared" si="107"/>
        <v/>
      </c>
      <c r="CV521" t="str">
        <f t="shared" si="108"/>
        <v/>
      </c>
      <c r="CW521" t="str">
        <f t="shared" si="109"/>
        <v/>
      </c>
      <c r="DR521">
        <v>3505033</v>
      </c>
      <c r="DS521" t="s">
        <v>311</v>
      </c>
    </row>
    <row r="522" spans="90:123" x14ac:dyDescent="0.15">
      <c r="CL522" s="13" t="str">
        <f t="shared" si="103"/>
        <v/>
      </c>
      <c r="CM522" s="13" t="str">
        <f t="shared" si="103"/>
        <v/>
      </c>
      <c r="CN522" s="13" t="str">
        <f t="shared" si="103"/>
        <v/>
      </c>
      <c r="CO522" s="13" t="str">
        <f t="shared" si="102"/>
        <v/>
      </c>
      <c r="CP522" s="13" t="str">
        <f t="shared" si="102"/>
        <v/>
      </c>
      <c r="CQ522" s="13" t="str">
        <f t="shared" si="102"/>
        <v/>
      </c>
      <c r="CR522" t="str">
        <f t="shared" si="104"/>
        <v/>
      </c>
      <c r="CS522" t="str">
        <f t="shared" si="105"/>
        <v/>
      </c>
      <c r="CT522" t="str">
        <f t="shared" si="106"/>
        <v/>
      </c>
      <c r="CU522" t="str">
        <f t="shared" si="107"/>
        <v/>
      </c>
      <c r="CV522" t="str">
        <f t="shared" si="108"/>
        <v/>
      </c>
      <c r="CW522" t="str">
        <f t="shared" si="109"/>
        <v/>
      </c>
      <c r="DR522">
        <v>3507033</v>
      </c>
      <c r="DS522" t="s">
        <v>312</v>
      </c>
    </row>
    <row r="523" spans="90:123" x14ac:dyDescent="0.15">
      <c r="CL523" s="13" t="str">
        <f t="shared" si="103"/>
        <v/>
      </c>
      <c r="CM523" s="13" t="str">
        <f t="shared" si="103"/>
        <v/>
      </c>
      <c r="CN523" s="13" t="str">
        <f t="shared" si="103"/>
        <v/>
      </c>
      <c r="CO523" s="13" t="str">
        <f t="shared" si="102"/>
        <v/>
      </c>
      <c r="CP523" s="13" t="str">
        <f t="shared" si="102"/>
        <v/>
      </c>
      <c r="CQ523" s="13" t="str">
        <f t="shared" si="102"/>
        <v/>
      </c>
      <c r="CR523" t="str">
        <f t="shared" si="104"/>
        <v/>
      </c>
      <c r="CS523" t="str">
        <f t="shared" si="105"/>
        <v/>
      </c>
      <c r="CT523" t="str">
        <f t="shared" si="106"/>
        <v/>
      </c>
      <c r="CU523" t="str">
        <f t="shared" si="107"/>
        <v/>
      </c>
      <c r="CV523" t="str">
        <f t="shared" si="108"/>
        <v/>
      </c>
      <c r="CW523" t="str">
        <f t="shared" si="109"/>
        <v/>
      </c>
      <c r="DR523">
        <v>3604033</v>
      </c>
      <c r="DS523" t="s">
        <v>313</v>
      </c>
    </row>
    <row r="524" spans="90:123" x14ac:dyDescent="0.15">
      <c r="CL524" s="13" t="str">
        <f t="shared" si="103"/>
        <v/>
      </c>
      <c r="CM524" s="13" t="str">
        <f t="shared" si="103"/>
        <v/>
      </c>
      <c r="CN524" s="13" t="str">
        <f t="shared" si="103"/>
        <v/>
      </c>
      <c r="CO524" s="13" t="str">
        <f t="shared" si="102"/>
        <v/>
      </c>
      <c r="CP524" s="13" t="str">
        <f t="shared" si="102"/>
        <v/>
      </c>
      <c r="CQ524" s="13" t="str">
        <f t="shared" si="102"/>
        <v/>
      </c>
      <c r="CR524" t="str">
        <f t="shared" si="104"/>
        <v/>
      </c>
      <c r="CS524" t="str">
        <f t="shared" si="105"/>
        <v/>
      </c>
      <c r="CT524" t="str">
        <f t="shared" si="106"/>
        <v/>
      </c>
      <c r="CU524" t="str">
        <f t="shared" si="107"/>
        <v/>
      </c>
      <c r="CV524" t="str">
        <f t="shared" si="108"/>
        <v/>
      </c>
      <c r="CW524" t="str">
        <f t="shared" si="109"/>
        <v/>
      </c>
      <c r="DR524">
        <v>3506034</v>
      </c>
      <c r="DS524" t="s">
        <v>314</v>
      </c>
    </row>
    <row r="525" spans="90:123" x14ac:dyDescent="0.15">
      <c r="CL525" s="13" t="str">
        <f t="shared" si="103"/>
        <v/>
      </c>
      <c r="CM525" s="13" t="str">
        <f t="shared" si="103"/>
        <v/>
      </c>
      <c r="CN525" s="13" t="str">
        <f t="shared" si="103"/>
        <v/>
      </c>
      <c r="CO525" s="13" t="str">
        <f t="shared" si="102"/>
        <v/>
      </c>
      <c r="CP525" s="13" t="str">
        <f t="shared" si="102"/>
        <v/>
      </c>
      <c r="CQ525" s="13" t="str">
        <f t="shared" si="102"/>
        <v/>
      </c>
      <c r="CR525" t="str">
        <f t="shared" si="104"/>
        <v/>
      </c>
      <c r="CS525" t="str">
        <f t="shared" si="105"/>
        <v/>
      </c>
      <c r="CT525" t="str">
        <f t="shared" si="106"/>
        <v/>
      </c>
      <c r="CU525" t="str">
        <f t="shared" si="107"/>
        <v/>
      </c>
      <c r="CV525" t="str">
        <f t="shared" si="108"/>
        <v/>
      </c>
      <c r="CW525" t="str">
        <f t="shared" si="109"/>
        <v/>
      </c>
      <c r="DR525">
        <v>3603034</v>
      </c>
      <c r="DS525" t="s">
        <v>315</v>
      </c>
    </row>
    <row r="526" spans="90:123" x14ac:dyDescent="0.15">
      <c r="CL526" s="13" t="str">
        <f t="shared" si="103"/>
        <v/>
      </c>
      <c r="CM526" s="13" t="str">
        <f t="shared" si="103"/>
        <v/>
      </c>
      <c r="CN526" s="13" t="str">
        <f t="shared" si="103"/>
        <v/>
      </c>
      <c r="CO526" s="13" t="str">
        <f t="shared" si="102"/>
        <v/>
      </c>
      <c r="CP526" s="13" t="str">
        <f t="shared" si="102"/>
        <v/>
      </c>
      <c r="CQ526" s="13" t="str">
        <f t="shared" si="102"/>
        <v/>
      </c>
      <c r="CR526" t="str">
        <f t="shared" si="104"/>
        <v/>
      </c>
      <c r="CS526" t="str">
        <f t="shared" si="105"/>
        <v/>
      </c>
      <c r="CT526" t="str">
        <f t="shared" si="106"/>
        <v/>
      </c>
      <c r="CU526" t="str">
        <f t="shared" si="107"/>
        <v/>
      </c>
      <c r="CV526" t="str">
        <f t="shared" si="108"/>
        <v/>
      </c>
      <c r="CW526" t="str">
        <f t="shared" si="109"/>
        <v/>
      </c>
      <c r="DR526">
        <v>3605034</v>
      </c>
      <c r="DS526" t="s">
        <v>316</v>
      </c>
    </row>
    <row r="527" spans="90:123" x14ac:dyDescent="0.15">
      <c r="CL527" s="13" t="str">
        <f t="shared" si="103"/>
        <v/>
      </c>
      <c r="CM527" s="13" t="str">
        <f t="shared" si="103"/>
        <v/>
      </c>
      <c r="CN527" s="13" t="str">
        <f t="shared" si="103"/>
        <v/>
      </c>
      <c r="CO527" s="13" t="str">
        <f t="shared" si="102"/>
        <v/>
      </c>
      <c r="CP527" s="13" t="str">
        <f t="shared" si="102"/>
        <v/>
      </c>
      <c r="CQ527" s="13" t="str">
        <f t="shared" si="102"/>
        <v/>
      </c>
      <c r="CR527" t="str">
        <f t="shared" si="104"/>
        <v/>
      </c>
      <c r="CS527" t="str">
        <f t="shared" si="105"/>
        <v/>
      </c>
      <c r="CT527" t="str">
        <f t="shared" si="106"/>
        <v/>
      </c>
      <c r="CU527" t="str">
        <f t="shared" si="107"/>
        <v/>
      </c>
      <c r="CV527" t="str">
        <f t="shared" si="108"/>
        <v/>
      </c>
      <c r="CW527" t="str">
        <f t="shared" si="109"/>
        <v/>
      </c>
      <c r="DR527">
        <v>3305035</v>
      </c>
      <c r="DS527" t="s">
        <v>317</v>
      </c>
    </row>
    <row r="528" spans="90:123" x14ac:dyDescent="0.15">
      <c r="CL528" s="13" t="str">
        <f t="shared" si="103"/>
        <v/>
      </c>
      <c r="CM528" s="13" t="str">
        <f t="shared" si="103"/>
        <v/>
      </c>
      <c r="CN528" s="13" t="str">
        <f t="shared" si="103"/>
        <v/>
      </c>
      <c r="CO528" s="13" t="str">
        <f t="shared" si="102"/>
        <v/>
      </c>
      <c r="CP528" s="13" t="str">
        <f t="shared" si="102"/>
        <v/>
      </c>
      <c r="CQ528" s="13" t="str">
        <f t="shared" si="102"/>
        <v/>
      </c>
      <c r="CR528" t="str">
        <f t="shared" si="104"/>
        <v/>
      </c>
      <c r="CS528" t="str">
        <f t="shared" si="105"/>
        <v/>
      </c>
      <c r="CT528" t="str">
        <f t="shared" si="106"/>
        <v/>
      </c>
      <c r="CU528" t="str">
        <f t="shared" si="107"/>
        <v/>
      </c>
      <c r="CV528" t="str">
        <f t="shared" si="108"/>
        <v/>
      </c>
      <c r="CW528" t="str">
        <f t="shared" si="109"/>
        <v/>
      </c>
      <c r="DR528">
        <v>3307035</v>
      </c>
      <c r="DS528" t="s">
        <v>318</v>
      </c>
    </row>
    <row r="529" spans="90:123" x14ac:dyDescent="0.15">
      <c r="CL529" s="13" t="str">
        <f t="shared" si="103"/>
        <v/>
      </c>
      <c r="CM529" s="13" t="str">
        <f t="shared" si="103"/>
        <v/>
      </c>
      <c r="CN529" s="13" t="str">
        <f t="shared" si="103"/>
        <v/>
      </c>
      <c r="CO529" s="13" t="str">
        <f t="shared" si="102"/>
        <v/>
      </c>
      <c r="CP529" s="13" t="str">
        <f t="shared" si="102"/>
        <v/>
      </c>
      <c r="CQ529" s="13" t="str">
        <f t="shared" si="102"/>
        <v/>
      </c>
      <c r="CR529" t="str">
        <f t="shared" si="104"/>
        <v/>
      </c>
      <c r="CS529" t="str">
        <f t="shared" si="105"/>
        <v/>
      </c>
      <c r="CT529" t="str">
        <f t="shared" si="106"/>
        <v/>
      </c>
      <c r="CU529" t="str">
        <f t="shared" si="107"/>
        <v/>
      </c>
      <c r="CV529" t="str">
        <f t="shared" si="108"/>
        <v/>
      </c>
      <c r="CW529" t="str">
        <f t="shared" si="109"/>
        <v/>
      </c>
      <c r="DR529">
        <v>3407035</v>
      </c>
      <c r="DS529" t="s">
        <v>319</v>
      </c>
    </row>
    <row r="530" spans="90:123" x14ac:dyDescent="0.15">
      <c r="CL530" s="13" t="str">
        <f t="shared" si="103"/>
        <v/>
      </c>
      <c r="CM530" s="13" t="str">
        <f t="shared" si="103"/>
        <v/>
      </c>
      <c r="CN530" s="13" t="str">
        <f t="shared" si="103"/>
        <v/>
      </c>
      <c r="CO530" s="13" t="str">
        <f t="shared" si="102"/>
        <v/>
      </c>
      <c r="CP530" s="13" t="str">
        <f t="shared" si="102"/>
        <v/>
      </c>
      <c r="CQ530" s="13" t="str">
        <f t="shared" si="102"/>
        <v/>
      </c>
      <c r="CR530" t="str">
        <f t="shared" si="104"/>
        <v/>
      </c>
      <c r="CS530" t="str">
        <f t="shared" si="105"/>
        <v/>
      </c>
      <c r="CT530" t="str">
        <f t="shared" si="106"/>
        <v/>
      </c>
      <c r="CU530" t="str">
        <f t="shared" si="107"/>
        <v/>
      </c>
      <c r="CV530" t="str">
        <f t="shared" si="108"/>
        <v/>
      </c>
      <c r="CW530" t="str">
        <f t="shared" si="109"/>
        <v/>
      </c>
      <c r="DR530">
        <v>3207041</v>
      </c>
      <c r="DS530" t="s">
        <v>287</v>
      </c>
    </row>
    <row r="531" spans="90:123" x14ac:dyDescent="0.15">
      <c r="CL531" s="13" t="str">
        <f t="shared" si="103"/>
        <v/>
      </c>
      <c r="CM531" s="13" t="str">
        <f t="shared" si="103"/>
        <v/>
      </c>
      <c r="CN531" s="13" t="str">
        <f t="shared" si="103"/>
        <v/>
      </c>
      <c r="CO531" s="13" t="str">
        <f t="shared" si="102"/>
        <v/>
      </c>
      <c r="CP531" s="13" t="str">
        <f t="shared" si="102"/>
        <v/>
      </c>
      <c r="CQ531" s="13" t="str">
        <f t="shared" si="102"/>
        <v/>
      </c>
      <c r="CR531" t="str">
        <f t="shared" si="104"/>
        <v/>
      </c>
      <c r="CS531" t="str">
        <f t="shared" si="105"/>
        <v/>
      </c>
      <c r="CT531" t="str">
        <f t="shared" si="106"/>
        <v/>
      </c>
      <c r="CU531" t="str">
        <f t="shared" si="107"/>
        <v/>
      </c>
      <c r="CV531" t="str">
        <f t="shared" si="108"/>
        <v/>
      </c>
      <c r="CW531" t="str">
        <f t="shared" si="109"/>
        <v/>
      </c>
      <c r="DR531">
        <v>3208041</v>
      </c>
      <c r="DS531" t="s">
        <v>288</v>
      </c>
    </row>
    <row r="532" spans="90:123" x14ac:dyDescent="0.15">
      <c r="CL532" s="13" t="str">
        <f t="shared" si="103"/>
        <v/>
      </c>
      <c r="CM532" s="13" t="str">
        <f t="shared" si="103"/>
        <v/>
      </c>
      <c r="CN532" s="13" t="str">
        <f t="shared" si="103"/>
        <v/>
      </c>
      <c r="CO532" s="13" t="str">
        <f t="shared" si="102"/>
        <v/>
      </c>
      <c r="CP532" s="13" t="str">
        <f t="shared" si="102"/>
        <v/>
      </c>
      <c r="CQ532" s="13" t="str">
        <f t="shared" si="102"/>
        <v/>
      </c>
      <c r="CR532" t="str">
        <f t="shared" si="104"/>
        <v/>
      </c>
      <c r="CS532" t="str">
        <f t="shared" si="105"/>
        <v/>
      </c>
      <c r="CT532" t="str">
        <f t="shared" si="106"/>
        <v/>
      </c>
      <c r="CU532" t="str">
        <f t="shared" si="107"/>
        <v/>
      </c>
      <c r="CV532" t="str">
        <f t="shared" si="108"/>
        <v/>
      </c>
      <c r="CW532" t="str">
        <f t="shared" si="109"/>
        <v/>
      </c>
      <c r="DR532">
        <v>3209041</v>
      </c>
      <c r="DS532" t="s">
        <v>289</v>
      </c>
    </row>
    <row r="533" spans="90:123" x14ac:dyDescent="0.15">
      <c r="CL533" s="13" t="str">
        <f t="shared" si="103"/>
        <v/>
      </c>
      <c r="CM533" s="13" t="str">
        <f t="shared" si="103"/>
        <v/>
      </c>
      <c r="CN533" s="13" t="str">
        <f t="shared" si="103"/>
        <v/>
      </c>
      <c r="CO533" s="13" t="str">
        <f t="shared" si="102"/>
        <v/>
      </c>
      <c r="CP533" s="13" t="str">
        <f t="shared" si="102"/>
        <v/>
      </c>
      <c r="CQ533" s="13" t="str">
        <f t="shared" si="102"/>
        <v/>
      </c>
      <c r="CR533" t="str">
        <f t="shared" si="104"/>
        <v/>
      </c>
      <c r="CS533" t="str">
        <f t="shared" si="105"/>
        <v/>
      </c>
      <c r="CT533" t="str">
        <f t="shared" si="106"/>
        <v/>
      </c>
      <c r="CU533" t="str">
        <f t="shared" si="107"/>
        <v/>
      </c>
      <c r="CV533" t="str">
        <f t="shared" si="108"/>
        <v/>
      </c>
      <c r="CW533" t="str">
        <f t="shared" si="109"/>
        <v/>
      </c>
      <c r="DR533">
        <v>3306041</v>
      </c>
      <c r="DS533" t="s">
        <v>290</v>
      </c>
    </row>
    <row r="534" spans="90:123" x14ac:dyDescent="0.15">
      <c r="CL534" s="13" t="str">
        <f t="shared" si="103"/>
        <v/>
      </c>
      <c r="CM534" s="13" t="str">
        <f t="shared" si="103"/>
        <v/>
      </c>
      <c r="CN534" s="13" t="str">
        <f t="shared" si="103"/>
        <v/>
      </c>
      <c r="CO534" s="13" t="str">
        <f t="shared" si="102"/>
        <v/>
      </c>
      <c r="CP534" s="13" t="str">
        <f t="shared" si="102"/>
        <v/>
      </c>
      <c r="CQ534" s="13" t="str">
        <f t="shared" si="102"/>
        <v/>
      </c>
      <c r="CR534" t="str">
        <f t="shared" si="104"/>
        <v/>
      </c>
      <c r="CS534" t="str">
        <f t="shared" si="105"/>
        <v/>
      </c>
      <c r="CT534" t="str">
        <f t="shared" si="106"/>
        <v/>
      </c>
      <c r="CU534" t="str">
        <f t="shared" si="107"/>
        <v/>
      </c>
      <c r="CV534" t="str">
        <f t="shared" si="108"/>
        <v/>
      </c>
      <c r="CW534" t="str">
        <f t="shared" si="109"/>
        <v/>
      </c>
      <c r="DR534">
        <v>3408041</v>
      </c>
      <c r="DS534" t="s">
        <v>291</v>
      </c>
    </row>
    <row r="535" spans="90:123" x14ac:dyDescent="0.15">
      <c r="CL535" s="13" t="str">
        <f t="shared" si="103"/>
        <v/>
      </c>
      <c r="CM535" s="13" t="str">
        <f t="shared" si="103"/>
        <v/>
      </c>
      <c r="CN535" s="13" t="str">
        <f t="shared" si="103"/>
        <v/>
      </c>
      <c r="CO535" s="13" t="str">
        <f t="shared" si="102"/>
        <v/>
      </c>
      <c r="CP535" s="13" t="str">
        <f t="shared" si="102"/>
        <v/>
      </c>
      <c r="CQ535" s="13" t="str">
        <f t="shared" si="102"/>
        <v/>
      </c>
      <c r="CR535" t="str">
        <f t="shared" si="104"/>
        <v/>
      </c>
      <c r="CS535" t="str">
        <f t="shared" si="105"/>
        <v/>
      </c>
      <c r="CT535" t="str">
        <f t="shared" si="106"/>
        <v/>
      </c>
      <c r="CU535" t="str">
        <f t="shared" si="107"/>
        <v/>
      </c>
      <c r="CV535" t="str">
        <f t="shared" si="108"/>
        <v/>
      </c>
      <c r="CW535" t="str">
        <f t="shared" si="109"/>
        <v/>
      </c>
      <c r="DR535">
        <v>3409041</v>
      </c>
      <c r="DS535" t="s">
        <v>292</v>
      </c>
    </row>
    <row r="536" spans="90:123" x14ac:dyDescent="0.15">
      <c r="CL536" s="13" t="str">
        <f t="shared" si="103"/>
        <v/>
      </c>
      <c r="CM536" s="13" t="str">
        <f t="shared" si="103"/>
        <v/>
      </c>
      <c r="CN536" s="13" t="str">
        <f t="shared" si="103"/>
        <v/>
      </c>
      <c r="CO536" s="13" t="str">
        <f t="shared" si="102"/>
        <v/>
      </c>
      <c r="CP536" s="13" t="str">
        <f t="shared" si="102"/>
        <v/>
      </c>
      <c r="CQ536" s="13" t="str">
        <f t="shared" si="102"/>
        <v/>
      </c>
      <c r="CR536" t="str">
        <f t="shared" si="104"/>
        <v/>
      </c>
      <c r="CS536" t="str">
        <f t="shared" si="105"/>
        <v/>
      </c>
      <c r="CT536" t="str">
        <f t="shared" si="106"/>
        <v/>
      </c>
      <c r="CU536" t="str">
        <f t="shared" si="107"/>
        <v/>
      </c>
      <c r="CV536" t="str">
        <f t="shared" si="108"/>
        <v/>
      </c>
      <c r="CW536" t="str">
        <f t="shared" si="109"/>
        <v/>
      </c>
      <c r="DR536">
        <v>3505041</v>
      </c>
      <c r="DS536" t="s">
        <v>293</v>
      </c>
    </row>
    <row r="537" spans="90:123" x14ac:dyDescent="0.15">
      <c r="CL537" s="13" t="str">
        <f t="shared" si="103"/>
        <v/>
      </c>
      <c r="CM537" s="13" t="str">
        <f t="shared" si="103"/>
        <v/>
      </c>
      <c r="CN537" s="13" t="str">
        <f t="shared" si="103"/>
        <v/>
      </c>
      <c r="CO537" s="13" t="str">
        <f t="shared" si="102"/>
        <v/>
      </c>
      <c r="CP537" s="13" t="str">
        <f t="shared" si="102"/>
        <v/>
      </c>
      <c r="CQ537" s="13" t="str">
        <f t="shared" si="102"/>
        <v/>
      </c>
      <c r="CR537" t="str">
        <f t="shared" si="104"/>
        <v/>
      </c>
      <c r="CS537" t="str">
        <f t="shared" si="105"/>
        <v/>
      </c>
      <c r="CT537" t="str">
        <f t="shared" si="106"/>
        <v/>
      </c>
      <c r="CU537" t="str">
        <f t="shared" si="107"/>
        <v/>
      </c>
      <c r="CV537" t="str">
        <f t="shared" si="108"/>
        <v/>
      </c>
      <c r="CW537" t="str">
        <f t="shared" si="109"/>
        <v/>
      </c>
      <c r="DR537">
        <v>3507041</v>
      </c>
      <c r="DS537" t="s">
        <v>294</v>
      </c>
    </row>
    <row r="538" spans="90:123" x14ac:dyDescent="0.15">
      <c r="CL538" s="13" t="str">
        <f t="shared" si="103"/>
        <v/>
      </c>
      <c r="CM538" s="13" t="str">
        <f t="shared" si="103"/>
        <v/>
      </c>
      <c r="CN538" s="13" t="str">
        <f t="shared" si="103"/>
        <v/>
      </c>
      <c r="CO538" s="13" t="str">
        <f t="shared" si="102"/>
        <v/>
      </c>
      <c r="CP538" s="13" t="str">
        <f t="shared" si="102"/>
        <v/>
      </c>
      <c r="CQ538" s="13" t="str">
        <f t="shared" si="102"/>
        <v/>
      </c>
      <c r="CR538" t="str">
        <f t="shared" si="104"/>
        <v/>
      </c>
      <c r="CS538" t="str">
        <f t="shared" si="105"/>
        <v/>
      </c>
      <c r="CT538" t="str">
        <f t="shared" si="106"/>
        <v/>
      </c>
      <c r="CU538" t="str">
        <f t="shared" si="107"/>
        <v/>
      </c>
      <c r="CV538" t="str">
        <f t="shared" si="108"/>
        <v/>
      </c>
      <c r="CW538" t="str">
        <f t="shared" si="109"/>
        <v/>
      </c>
      <c r="DR538">
        <v>3604041</v>
      </c>
      <c r="DS538" t="s">
        <v>295</v>
      </c>
    </row>
    <row r="539" spans="90:123" x14ac:dyDescent="0.15">
      <c r="CL539" s="13" t="str">
        <f t="shared" si="103"/>
        <v/>
      </c>
      <c r="CM539" s="13" t="str">
        <f t="shared" si="103"/>
        <v/>
      </c>
      <c r="CN539" s="13" t="str">
        <f t="shared" si="103"/>
        <v/>
      </c>
      <c r="CO539" s="13" t="str">
        <f t="shared" si="102"/>
        <v/>
      </c>
      <c r="CP539" s="13" t="str">
        <f t="shared" si="102"/>
        <v/>
      </c>
      <c r="CQ539" s="13" t="str">
        <f t="shared" si="102"/>
        <v/>
      </c>
      <c r="CR539" t="str">
        <f t="shared" si="104"/>
        <v/>
      </c>
      <c r="CS539" t="str">
        <f t="shared" si="105"/>
        <v/>
      </c>
      <c r="CT539" t="str">
        <f t="shared" si="106"/>
        <v/>
      </c>
      <c r="CU539" t="str">
        <f t="shared" si="107"/>
        <v/>
      </c>
      <c r="CV539" t="str">
        <f t="shared" si="108"/>
        <v/>
      </c>
      <c r="CW539" t="str">
        <f t="shared" si="109"/>
        <v/>
      </c>
      <c r="DR539">
        <v>3207042</v>
      </c>
      <c r="DS539" t="s">
        <v>296</v>
      </c>
    </row>
    <row r="540" spans="90:123" x14ac:dyDescent="0.15">
      <c r="CL540" s="13" t="str">
        <f t="shared" si="103"/>
        <v/>
      </c>
      <c r="CM540" s="13" t="str">
        <f t="shared" si="103"/>
        <v/>
      </c>
      <c r="CN540" s="13" t="str">
        <f t="shared" si="103"/>
        <v/>
      </c>
      <c r="CO540" s="13" t="str">
        <f t="shared" si="102"/>
        <v/>
      </c>
      <c r="CP540" s="13" t="str">
        <f t="shared" si="102"/>
        <v/>
      </c>
      <c r="CQ540" s="13" t="str">
        <f t="shared" si="102"/>
        <v/>
      </c>
      <c r="CR540" t="str">
        <f t="shared" si="104"/>
        <v/>
      </c>
      <c r="CS540" t="str">
        <f t="shared" si="105"/>
        <v/>
      </c>
      <c r="CT540" t="str">
        <f t="shared" si="106"/>
        <v/>
      </c>
      <c r="CU540" t="str">
        <f t="shared" si="107"/>
        <v/>
      </c>
      <c r="CV540" t="str">
        <f t="shared" si="108"/>
        <v/>
      </c>
      <c r="CW540" t="str">
        <f t="shared" si="109"/>
        <v/>
      </c>
      <c r="DR540">
        <v>3208042</v>
      </c>
      <c r="DS540" t="s">
        <v>297</v>
      </c>
    </row>
    <row r="541" spans="90:123" x14ac:dyDescent="0.15">
      <c r="CL541" s="13" t="str">
        <f t="shared" si="103"/>
        <v/>
      </c>
      <c r="CM541" s="13" t="str">
        <f t="shared" si="103"/>
        <v/>
      </c>
      <c r="CN541" s="13" t="str">
        <f t="shared" si="103"/>
        <v/>
      </c>
      <c r="CO541" s="13" t="str">
        <f t="shared" si="102"/>
        <v/>
      </c>
      <c r="CP541" s="13" t="str">
        <f t="shared" si="102"/>
        <v/>
      </c>
      <c r="CQ541" s="13" t="str">
        <f t="shared" si="102"/>
        <v/>
      </c>
      <c r="CR541" t="str">
        <f t="shared" si="104"/>
        <v/>
      </c>
      <c r="CS541" t="str">
        <f t="shared" si="105"/>
        <v/>
      </c>
      <c r="CT541" t="str">
        <f t="shared" si="106"/>
        <v/>
      </c>
      <c r="CU541" t="str">
        <f t="shared" si="107"/>
        <v/>
      </c>
      <c r="CV541" t="str">
        <f t="shared" si="108"/>
        <v/>
      </c>
      <c r="CW541" t="str">
        <f t="shared" si="109"/>
        <v/>
      </c>
      <c r="DR541">
        <v>3209042</v>
      </c>
      <c r="DS541" t="s">
        <v>298</v>
      </c>
    </row>
    <row r="542" spans="90:123" x14ac:dyDescent="0.15">
      <c r="CL542" s="13" t="str">
        <f t="shared" si="103"/>
        <v/>
      </c>
      <c r="CM542" s="13" t="str">
        <f t="shared" si="103"/>
        <v/>
      </c>
      <c r="CN542" s="13" t="str">
        <f t="shared" si="103"/>
        <v/>
      </c>
      <c r="CO542" s="13" t="str">
        <f t="shared" si="102"/>
        <v/>
      </c>
      <c r="CP542" s="13" t="str">
        <f t="shared" si="102"/>
        <v/>
      </c>
      <c r="CQ542" s="13" t="str">
        <f t="shared" si="102"/>
        <v/>
      </c>
      <c r="CR542" t="str">
        <f t="shared" si="104"/>
        <v/>
      </c>
      <c r="CS542" t="str">
        <f t="shared" si="105"/>
        <v/>
      </c>
      <c r="CT542" t="str">
        <f t="shared" si="106"/>
        <v/>
      </c>
      <c r="CU542" t="str">
        <f t="shared" si="107"/>
        <v/>
      </c>
      <c r="CV542" t="str">
        <f t="shared" si="108"/>
        <v/>
      </c>
      <c r="CW542" t="str">
        <f t="shared" si="109"/>
        <v/>
      </c>
      <c r="DR542">
        <v>3306042</v>
      </c>
      <c r="DS542" t="s">
        <v>299</v>
      </c>
    </row>
    <row r="543" spans="90:123" x14ac:dyDescent="0.15">
      <c r="CL543" s="13" t="str">
        <f t="shared" si="103"/>
        <v/>
      </c>
      <c r="CM543" s="13" t="str">
        <f t="shared" si="103"/>
        <v/>
      </c>
      <c r="CN543" s="13" t="str">
        <f t="shared" si="103"/>
        <v/>
      </c>
      <c r="CO543" s="13" t="str">
        <f t="shared" si="102"/>
        <v/>
      </c>
      <c r="CP543" s="13" t="str">
        <f t="shared" si="102"/>
        <v/>
      </c>
      <c r="CQ543" s="13" t="str">
        <f t="shared" si="102"/>
        <v/>
      </c>
      <c r="CR543" t="str">
        <f t="shared" si="104"/>
        <v/>
      </c>
      <c r="CS543" t="str">
        <f t="shared" si="105"/>
        <v/>
      </c>
      <c r="CT543" t="str">
        <f t="shared" si="106"/>
        <v/>
      </c>
      <c r="CU543" t="str">
        <f t="shared" si="107"/>
        <v/>
      </c>
      <c r="CV543" t="str">
        <f t="shared" si="108"/>
        <v/>
      </c>
      <c r="CW543" t="str">
        <f t="shared" si="109"/>
        <v/>
      </c>
      <c r="DR543">
        <v>3408042</v>
      </c>
      <c r="DS543" t="s">
        <v>300</v>
      </c>
    </row>
    <row r="544" spans="90:123" x14ac:dyDescent="0.15">
      <c r="CL544" s="13" t="str">
        <f t="shared" si="103"/>
        <v/>
      </c>
      <c r="CM544" s="13" t="str">
        <f t="shared" si="103"/>
        <v/>
      </c>
      <c r="CN544" s="13" t="str">
        <f t="shared" si="103"/>
        <v/>
      </c>
      <c r="CO544" s="13" t="str">
        <f t="shared" si="102"/>
        <v/>
      </c>
      <c r="CP544" s="13" t="str">
        <f t="shared" si="102"/>
        <v/>
      </c>
      <c r="CQ544" s="13" t="str">
        <f t="shared" si="102"/>
        <v/>
      </c>
      <c r="CR544" t="str">
        <f t="shared" si="104"/>
        <v/>
      </c>
      <c r="CS544" t="str">
        <f t="shared" si="105"/>
        <v/>
      </c>
      <c r="CT544" t="str">
        <f t="shared" si="106"/>
        <v/>
      </c>
      <c r="CU544" t="str">
        <f t="shared" si="107"/>
        <v/>
      </c>
      <c r="CV544" t="str">
        <f t="shared" si="108"/>
        <v/>
      </c>
      <c r="CW544" t="str">
        <f t="shared" si="109"/>
        <v/>
      </c>
      <c r="DR544">
        <v>3409042</v>
      </c>
      <c r="DS544" t="s">
        <v>301</v>
      </c>
    </row>
    <row r="545" spans="90:123" x14ac:dyDescent="0.15">
      <c r="CL545" s="13" t="str">
        <f t="shared" si="103"/>
        <v/>
      </c>
      <c r="CM545" s="13" t="str">
        <f t="shared" si="103"/>
        <v/>
      </c>
      <c r="CN545" s="13" t="str">
        <f t="shared" si="103"/>
        <v/>
      </c>
      <c r="CO545" s="13" t="str">
        <f t="shared" si="102"/>
        <v/>
      </c>
      <c r="CP545" s="13" t="str">
        <f t="shared" si="102"/>
        <v/>
      </c>
      <c r="CQ545" s="13" t="str">
        <f t="shared" si="102"/>
        <v/>
      </c>
      <c r="CR545" t="str">
        <f t="shared" si="104"/>
        <v/>
      </c>
      <c r="CS545" t="str">
        <f t="shared" si="105"/>
        <v/>
      </c>
      <c r="CT545" t="str">
        <f t="shared" si="106"/>
        <v/>
      </c>
      <c r="CU545" t="str">
        <f t="shared" si="107"/>
        <v/>
      </c>
      <c r="CV545" t="str">
        <f t="shared" si="108"/>
        <v/>
      </c>
      <c r="CW545" t="str">
        <f t="shared" si="109"/>
        <v/>
      </c>
      <c r="DR545">
        <v>3505042</v>
      </c>
      <c r="DS545" t="s">
        <v>302</v>
      </c>
    </row>
    <row r="546" spans="90:123" x14ac:dyDescent="0.15">
      <c r="CL546" s="13" t="str">
        <f t="shared" si="103"/>
        <v/>
      </c>
      <c r="CM546" s="13" t="str">
        <f t="shared" si="103"/>
        <v/>
      </c>
      <c r="CN546" s="13" t="str">
        <f t="shared" si="103"/>
        <v/>
      </c>
      <c r="CO546" s="13" t="str">
        <f t="shared" si="102"/>
        <v/>
      </c>
      <c r="CP546" s="13" t="str">
        <f t="shared" si="102"/>
        <v/>
      </c>
      <c r="CQ546" s="13" t="str">
        <f t="shared" si="102"/>
        <v/>
      </c>
      <c r="CR546" t="str">
        <f t="shared" si="104"/>
        <v/>
      </c>
      <c r="CS546" t="str">
        <f t="shared" si="105"/>
        <v/>
      </c>
      <c r="CT546" t="str">
        <f t="shared" si="106"/>
        <v/>
      </c>
      <c r="CU546" t="str">
        <f t="shared" si="107"/>
        <v/>
      </c>
      <c r="CV546" t="str">
        <f t="shared" si="108"/>
        <v/>
      </c>
      <c r="CW546" t="str">
        <f t="shared" si="109"/>
        <v/>
      </c>
      <c r="DR546">
        <v>3507042</v>
      </c>
      <c r="DS546" t="s">
        <v>303</v>
      </c>
    </row>
    <row r="547" spans="90:123" x14ac:dyDescent="0.15">
      <c r="CL547" s="13" t="str">
        <f t="shared" si="103"/>
        <v/>
      </c>
      <c r="CM547" s="13" t="str">
        <f t="shared" si="103"/>
        <v/>
      </c>
      <c r="CN547" s="13" t="str">
        <f t="shared" si="103"/>
        <v/>
      </c>
      <c r="CO547" s="13" t="str">
        <f t="shared" si="102"/>
        <v/>
      </c>
      <c r="CP547" s="13" t="str">
        <f t="shared" si="102"/>
        <v/>
      </c>
      <c r="CQ547" s="13" t="str">
        <f t="shared" si="102"/>
        <v/>
      </c>
      <c r="CR547" t="str">
        <f t="shared" si="104"/>
        <v/>
      </c>
      <c r="CS547" t="str">
        <f t="shared" si="105"/>
        <v/>
      </c>
      <c r="CT547" t="str">
        <f t="shared" si="106"/>
        <v/>
      </c>
      <c r="CU547" t="str">
        <f t="shared" si="107"/>
        <v/>
      </c>
      <c r="CV547" t="str">
        <f t="shared" si="108"/>
        <v/>
      </c>
      <c r="CW547" t="str">
        <f t="shared" si="109"/>
        <v/>
      </c>
      <c r="DR547">
        <v>3604042</v>
      </c>
      <c r="DS547" t="s">
        <v>304</v>
      </c>
    </row>
    <row r="548" spans="90:123" x14ac:dyDescent="0.15">
      <c r="CL548" s="13" t="str">
        <f t="shared" si="103"/>
        <v/>
      </c>
      <c r="CM548" s="13" t="str">
        <f t="shared" si="103"/>
        <v/>
      </c>
      <c r="CN548" s="13" t="str">
        <f t="shared" si="103"/>
        <v/>
      </c>
      <c r="CO548" s="13" t="str">
        <f t="shared" si="102"/>
        <v/>
      </c>
      <c r="CP548" s="13" t="str">
        <f t="shared" si="102"/>
        <v/>
      </c>
      <c r="CQ548" s="13" t="str">
        <f t="shared" si="102"/>
        <v/>
      </c>
      <c r="CR548" t="str">
        <f t="shared" si="104"/>
        <v/>
      </c>
      <c r="CS548" t="str">
        <f t="shared" si="105"/>
        <v/>
      </c>
      <c r="CT548" t="str">
        <f t="shared" si="106"/>
        <v/>
      </c>
      <c r="CU548" t="str">
        <f t="shared" si="107"/>
        <v/>
      </c>
      <c r="CV548" t="str">
        <f t="shared" si="108"/>
        <v/>
      </c>
      <c r="CW548" t="str">
        <f t="shared" si="109"/>
        <v/>
      </c>
      <c r="DR548">
        <v>3207043</v>
      </c>
      <c r="DS548" t="s">
        <v>305</v>
      </c>
    </row>
    <row r="549" spans="90:123" x14ac:dyDescent="0.15">
      <c r="CL549" s="13" t="str">
        <f t="shared" si="103"/>
        <v/>
      </c>
      <c r="CM549" s="13" t="str">
        <f t="shared" si="103"/>
        <v/>
      </c>
      <c r="CN549" s="13" t="str">
        <f t="shared" si="103"/>
        <v/>
      </c>
      <c r="CO549" s="13" t="str">
        <f t="shared" si="102"/>
        <v/>
      </c>
      <c r="CP549" s="13" t="str">
        <f t="shared" si="102"/>
        <v/>
      </c>
      <c r="CQ549" s="13" t="str">
        <f t="shared" si="102"/>
        <v/>
      </c>
      <c r="CR549" t="str">
        <f t="shared" si="104"/>
        <v/>
      </c>
      <c r="CS549" t="str">
        <f t="shared" si="105"/>
        <v/>
      </c>
      <c r="CT549" t="str">
        <f t="shared" si="106"/>
        <v/>
      </c>
      <c r="CU549" t="str">
        <f t="shared" si="107"/>
        <v/>
      </c>
      <c r="CV549" t="str">
        <f t="shared" si="108"/>
        <v/>
      </c>
      <c r="CW549" t="str">
        <f t="shared" si="109"/>
        <v/>
      </c>
      <c r="DR549">
        <v>3208043</v>
      </c>
      <c r="DS549" t="s">
        <v>306</v>
      </c>
    </row>
    <row r="550" spans="90:123" x14ac:dyDescent="0.15">
      <c r="CL550" s="13" t="str">
        <f t="shared" si="103"/>
        <v/>
      </c>
      <c r="CM550" s="13" t="str">
        <f t="shared" si="103"/>
        <v/>
      </c>
      <c r="CN550" s="13" t="str">
        <f t="shared" si="103"/>
        <v/>
      </c>
      <c r="CO550" s="13" t="str">
        <f t="shared" si="102"/>
        <v/>
      </c>
      <c r="CP550" s="13" t="str">
        <f t="shared" si="102"/>
        <v/>
      </c>
      <c r="CQ550" s="13" t="str">
        <f t="shared" si="102"/>
        <v/>
      </c>
      <c r="CR550" t="str">
        <f t="shared" si="104"/>
        <v/>
      </c>
      <c r="CS550" t="str">
        <f t="shared" si="105"/>
        <v/>
      </c>
      <c r="CT550" t="str">
        <f t="shared" si="106"/>
        <v/>
      </c>
      <c r="CU550" t="str">
        <f t="shared" si="107"/>
        <v/>
      </c>
      <c r="CV550" t="str">
        <f t="shared" si="108"/>
        <v/>
      </c>
      <c r="CW550" t="str">
        <f t="shared" si="109"/>
        <v/>
      </c>
      <c r="DR550">
        <v>3209043</v>
      </c>
      <c r="DS550" t="s">
        <v>307</v>
      </c>
    </row>
    <row r="551" spans="90:123" x14ac:dyDescent="0.15">
      <c r="CL551" s="13" t="str">
        <f t="shared" si="103"/>
        <v/>
      </c>
      <c r="CM551" s="13" t="str">
        <f t="shared" si="103"/>
        <v/>
      </c>
      <c r="CN551" s="13" t="str">
        <f t="shared" si="103"/>
        <v/>
      </c>
      <c r="CO551" s="13" t="str">
        <f t="shared" si="102"/>
        <v/>
      </c>
      <c r="CP551" s="13" t="str">
        <f t="shared" si="102"/>
        <v/>
      </c>
      <c r="CQ551" s="13" t="str">
        <f t="shared" si="102"/>
        <v/>
      </c>
      <c r="CR551" t="str">
        <f t="shared" si="104"/>
        <v/>
      </c>
      <c r="CS551" t="str">
        <f t="shared" si="105"/>
        <v/>
      </c>
      <c r="CT551" t="str">
        <f t="shared" si="106"/>
        <v/>
      </c>
      <c r="CU551" t="str">
        <f t="shared" si="107"/>
        <v/>
      </c>
      <c r="CV551" t="str">
        <f t="shared" si="108"/>
        <v/>
      </c>
      <c r="CW551" t="str">
        <f t="shared" si="109"/>
        <v/>
      </c>
      <c r="DR551">
        <v>3306043</v>
      </c>
      <c r="DS551" t="s">
        <v>308</v>
      </c>
    </row>
    <row r="552" spans="90:123" x14ac:dyDescent="0.15">
      <c r="CL552" s="13" t="str">
        <f t="shared" si="103"/>
        <v/>
      </c>
      <c r="CM552" s="13" t="str">
        <f t="shared" si="103"/>
        <v/>
      </c>
      <c r="CN552" s="13" t="str">
        <f t="shared" si="103"/>
        <v/>
      </c>
      <c r="CO552" s="13" t="str">
        <f t="shared" si="102"/>
        <v/>
      </c>
      <c r="CP552" s="13" t="str">
        <f t="shared" si="102"/>
        <v/>
      </c>
      <c r="CQ552" s="13" t="str">
        <f t="shared" si="102"/>
        <v/>
      </c>
      <c r="CR552" t="str">
        <f t="shared" si="104"/>
        <v/>
      </c>
      <c r="CS552" t="str">
        <f t="shared" si="105"/>
        <v/>
      </c>
      <c r="CT552" t="str">
        <f t="shared" si="106"/>
        <v/>
      </c>
      <c r="CU552" t="str">
        <f t="shared" si="107"/>
        <v/>
      </c>
      <c r="CV552" t="str">
        <f t="shared" si="108"/>
        <v/>
      </c>
      <c r="CW552" t="str">
        <f t="shared" si="109"/>
        <v/>
      </c>
      <c r="DR552">
        <v>3408043</v>
      </c>
      <c r="DS552" t="s">
        <v>309</v>
      </c>
    </row>
    <row r="553" spans="90:123" x14ac:dyDescent="0.15">
      <c r="CL553" s="13" t="str">
        <f t="shared" si="103"/>
        <v/>
      </c>
      <c r="CM553" s="13" t="str">
        <f t="shared" si="103"/>
        <v/>
      </c>
      <c r="CN553" s="13" t="str">
        <f t="shared" si="103"/>
        <v/>
      </c>
      <c r="CO553" s="13" t="str">
        <f t="shared" si="102"/>
        <v/>
      </c>
      <c r="CP553" s="13" t="str">
        <f t="shared" si="102"/>
        <v/>
      </c>
      <c r="CQ553" s="13" t="str">
        <f t="shared" si="102"/>
        <v/>
      </c>
      <c r="CR553" t="str">
        <f t="shared" si="104"/>
        <v/>
      </c>
      <c r="CS553" t="str">
        <f t="shared" si="105"/>
        <v/>
      </c>
      <c r="CT553" t="str">
        <f t="shared" si="106"/>
        <v/>
      </c>
      <c r="CU553" t="str">
        <f t="shared" si="107"/>
        <v/>
      </c>
      <c r="CV553" t="str">
        <f t="shared" si="108"/>
        <v/>
      </c>
      <c r="CW553" t="str">
        <f t="shared" si="109"/>
        <v/>
      </c>
      <c r="DR553">
        <v>3409043</v>
      </c>
      <c r="DS553" t="s">
        <v>310</v>
      </c>
    </row>
    <row r="554" spans="90:123" x14ac:dyDescent="0.15">
      <c r="CL554" s="13" t="str">
        <f t="shared" si="103"/>
        <v/>
      </c>
      <c r="CM554" s="13" t="str">
        <f t="shared" si="103"/>
        <v/>
      </c>
      <c r="CN554" s="13" t="str">
        <f t="shared" si="103"/>
        <v/>
      </c>
      <c r="CO554" s="13" t="str">
        <f t="shared" si="102"/>
        <v/>
      </c>
      <c r="CP554" s="13" t="str">
        <f t="shared" si="102"/>
        <v/>
      </c>
      <c r="CQ554" s="13" t="str">
        <f t="shared" si="102"/>
        <v/>
      </c>
      <c r="CR554" t="str">
        <f t="shared" si="104"/>
        <v/>
      </c>
      <c r="CS554" t="str">
        <f t="shared" si="105"/>
        <v/>
      </c>
      <c r="CT554" t="str">
        <f t="shared" si="106"/>
        <v/>
      </c>
      <c r="CU554" t="str">
        <f t="shared" si="107"/>
        <v/>
      </c>
      <c r="CV554" t="str">
        <f t="shared" si="108"/>
        <v/>
      </c>
      <c r="CW554" t="str">
        <f t="shared" si="109"/>
        <v/>
      </c>
      <c r="DR554">
        <v>3505043</v>
      </c>
      <c r="DS554" t="s">
        <v>311</v>
      </c>
    </row>
    <row r="555" spans="90:123" x14ac:dyDescent="0.15">
      <c r="CL555" s="13" t="str">
        <f t="shared" si="103"/>
        <v/>
      </c>
      <c r="CM555" s="13" t="str">
        <f t="shared" si="103"/>
        <v/>
      </c>
      <c r="CN555" s="13" t="str">
        <f t="shared" si="103"/>
        <v/>
      </c>
      <c r="CO555" s="13" t="str">
        <f t="shared" si="102"/>
        <v/>
      </c>
      <c r="CP555" s="13" t="str">
        <f t="shared" si="102"/>
        <v/>
      </c>
      <c r="CQ555" s="13" t="str">
        <f t="shared" si="102"/>
        <v/>
      </c>
      <c r="CR555" t="str">
        <f t="shared" si="104"/>
        <v/>
      </c>
      <c r="CS555" t="str">
        <f t="shared" si="105"/>
        <v/>
      </c>
      <c r="CT555" t="str">
        <f t="shared" si="106"/>
        <v/>
      </c>
      <c r="CU555" t="str">
        <f t="shared" si="107"/>
        <v/>
      </c>
      <c r="CV555" t="str">
        <f t="shared" si="108"/>
        <v/>
      </c>
      <c r="CW555" t="str">
        <f t="shared" si="109"/>
        <v/>
      </c>
      <c r="DR555">
        <v>3507043</v>
      </c>
      <c r="DS555" t="s">
        <v>312</v>
      </c>
    </row>
    <row r="556" spans="90:123" x14ac:dyDescent="0.15">
      <c r="CL556" s="13" t="str">
        <f t="shared" si="103"/>
        <v/>
      </c>
      <c r="CM556" s="13" t="str">
        <f t="shared" si="103"/>
        <v/>
      </c>
      <c r="CN556" s="13" t="str">
        <f t="shared" si="103"/>
        <v/>
      </c>
      <c r="CO556" s="13" t="str">
        <f t="shared" si="102"/>
        <v/>
      </c>
      <c r="CP556" s="13" t="str">
        <f t="shared" si="102"/>
        <v/>
      </c>
      <c r="CQ556" s="13" t="str">
        <f t="shared" si="102"/>
        <v/>
      </c>
      <c r="CR556" t="str">
        <f t="shared" si="104"/>
        <v/>
      </c>
      <c r="CS556" t="str">
        <f t="shared" si="105"/>
        <v/>
      </c>
      <c r="CT556" t="str">
        <f t="shared" si="106"/>
        <v/>
      </c>
      <c r="CU556" t="str">
        <f t="shared" si="107"/>
        <v/>
      </c>
      <c r="CV556" t="str">
        <f t="shared" si="108"/>
        <v/>
      </c>
      <c r="CW556" t="str">
        <f t="shared" si="109"/>
        <v/>
      </c>
      <c r="DR556">
        <v>3604043</v>
      </c>
      <c r="DS556" t="s">
        <v>313</v>
      </c>
    </row>
    <row r="557" spans="90:123" x14ac:dyDescent="0.15">
      <c r="CL557" s="13" t="str">
        <f t="shared" si="103"/>
        <v/>
      </c>
      <c r="CM557" s="13" t="str">
        <f t="shared" si="103"/>
        <v/>
      </c>
      <c r="CN557" s="13" t="str">
        <f t="shared" si="103"/>
        <v/>
      </c>
      <c r="CO557" s="13" t="str">
        <f t="shared" si="102"/>
        <v/>
      </c>
      <c r="CP557" s="13" t="str">
        <f t="shared" si="102"/>
        <v/>
      </c>
      <c r="CQ557" s="13" t="str">
        <f t="shared" si="102"/>
        <v/>
      </c>
      <c r="CR557" t="str">
        <f t="shared" si="104"/>
        <v/>
      </c>
      <c r="CS557" t="str">
        <f t="shared" si="105"/>
        <v/>
      </c>
      <c r="CT557" t="str">
        <f t="shared" si="106"/>
        <v/>
      </c>
      <c r="CU557" t="str">
        <f t="shared" si="107"/>
        <v/>
      </c>
      <c r="CV557" t="str">
        <f t="shared" si="108"/>
        <v/>
      </c>
      <c r="CW557" t="str">
        <f t="shared" si="109"/>
        <v/>
      </c>
      <c r="DR557">
        <v>3506044</v>
      </c>
      <c r="DS557" t="s">
        <v>314</v>
      </c>
    </row>
    <row r="558" spans="90:123" x14ac:dyDescent="0.15">
      <c r="CL558" s="13" t="str">
        <f t="shared" si="103"/>
        <v/>
      </c>
      <c r="CM558" s="13" t="str">
        <f t="shared" si="103"/>
        <v/>
      </c>
      <c r="CN558" s="13" t="str">
        <f t="shared" si="103"/>
        <v/>
      </c>
      <c r="CO558" s="13" t="str">
        <f t="shared" si="102"/>
        <v/>
      </c>
      <c r="CP558" s="13" t="str">
        <f t="shared" si="102"/>
        <v/>
      </c>
      <c r="CQ558" s="13" t="str">
        <f t="shared" si="102"/>
        <v/>
      </c>
      <c r="CR558" t="str">
        <f t="shared" si="104"/>
        <v/>
      </c>
      <c r="CS558" t="str">
        <f t="shared" si="105"/>
        <v/>
      </c>
      <c r="CT558" t="str">
        <f t="shared" si="106"/>
        <v/>
      </c>
      <c r="CU558" t="str">
        <f t="shared" si="107"/>
        <v/>
      </c>
      <c r="CV558" t="str">
        <f t="shared" si="108"/>
        <v/>
      </c>
      <c r="CW558" t="str">
        <f t="shared" si="109"/>
        <v/>
      </c>
      <c r="DR558">
        <v>3603044</v>
      </c>
      <c r="DS558" t="s">
        <v>315</v>
      </c>
    </row>
    <row r="559" spans="90:123" x14ac:dyDescent="0.15">
      <c r="CL559" s="13" t="str">
        <f t="shared" si="103"/>
        <v/>
      </c>
      <c r="CM559" s="13" t="str">
        <f t="shared" si="103"/>
        <v/>
      </c>
      <c r="CN559" s="13" t="str">
        <f t="shared" si="103"/>
        <v/>
      </c>
      <c r="CO559" s="13" t="str">
        <f t="shared" si="102"/>
        <v/>
      </c>
      <c r="CP559" s="13" t="str">
        <f t="shared" si="102"/>
        <v/>
      </c>
      <c r="CQ559" s="13" t="str">
        <f t="shared" si="102"/>
        <v/>
      </c>
      <c r="CR559" t="str">
        <f t="shared" si="104"/>
        <v/>
      </c>
      <c r="CS559" t="str">
        <f t="shared" si="105"/>
        <v/>
      </c>
      <c r="CT559" t="str">
        <f t="shared" si="106"/>
        <v/>
      </c>
      <c r="CU559" t="str">
        <f t="shared" si="107"/>
        <v/>
      </c>
      <c r="CV559" t="str">
        <f t="shared" si="108"/>
        <v/>
      </c>
      <c r="CW559" t="str">
        <f t="shared" si="109"/>
        <v/>
      </c>
      <c r="DR559">
        <v>3605044</v>
      </c>
      <c r="DS559" t="s">
        <v>316</v>
      </c>
    </row>
    <row r="560" spans="90:123" x14ac:dyDescent="0.15">
      <c r="CL560" s="13" t="str">
        <f t="shared" si="103"/>
        <v/>
      </c>
      <c r="CM560" s="13" t="str">
        <f t="shared" si="103"/>
        <v/>
      </c>
      <c r="CN560" s="13" t="str">
        <f t="shared" si="103"/>
        <v/>
      </c>
      <c r="CO560" s="13" t="str">
        <f t="shared" si="102"/>
        <v/>
      </c>
      <c r="CP560" s="13" t="str">
        <f t="shared" si="102"/>
        <v/>
      </c>
      <c r="CQ560" s="13" t="str">
        <f t="shared" si="102"/>
        <v/>
      </c>
      <c r="CR560" t="str">
        <f t="shared" si="104"/>
        <v/>
      </c>
      <c r="CS560" t="str">
        <f t="shared" si="105"/>
        <v/>
      </c>
      <c r="CT560" t="str">
        <f t="shared" si="106"/>
        <v/>
      </c>
      <c r="CU560" t="str">
        <f t="shared" si="107"/>
        <v/>
      </c>
      <c r="CV560" t="str">
        <f t="shared" si="108"/>
        <v/>
      </c>
      <c r="CW560" t="str">
        <f t="shared" si="109"/>
        <v/>
      </c>
      <c r="DR560">
        <v>3305045</v>
      </c>
      <c r="DS560" t="s">
        <v>317</v>
      </c>
    </row>
    <row r="561" spans="90:123" x14ac:dyDescent="0.15">
      <c r="CL561" s="13" t="str">
        <f t="shared" si="103"/>
        <v/>
      </c>
      <c r="CM561" s="13" t="str">
        <f t="shared" si="103"/>
        <v/>
      </c>
      <c r="CN561" s="13" t="str">
        <f t="shared" si="103"/>
        <v/>
      </c>
      <c r="CO561" s="13" t="str">
        <f t="shared" si="102"/>
        <v/>
      </c>
      <c r="CP561" s="13" t="str">
        <f t="shared" si="102"/>
        <v/>
      </c>
      <c r="CQ561" s="13" t="str">
        <f t="shared" si="102"/>
        <v/>
      </c>
      <c r="CR561" t="str">
        <f t="shared" si="104"/>
        <v/>
      </c>
      <c r="CS561" t="str">
        <f t="shared" si="105"/>
        <v/>
      </c>
      <c r="CT561" t="str">
        <f t="shared" si="106"/>
        <v/>
      </c>
      <c r="CU561" t="str">
        <f t="shared" si="107"/>
        <v/>
      </c>
      <c r="CV561" t="str">
        <f t="shared" si="108"/>
        <v/>
      </c>
      <c r="CW561" t="str">
        <f t="shared" si="109"/>
        <v/>
      </c>
      <c r="DR561">
        <v>3307045</v>
      </c>
      <c r="DS561" t="s">
        <v>318</v>
      </c>
    </row>
    <row r="562" spans="90:123" x14ac:dyDescent="0.15">
      <c r="CL562" s="13" t="str">
        <f t="shared" si="103"/>
        <v/>
      </c>
      <c r="CM562" s="13" t="str">
        <f t="shared" si="103"/>
        <v/>
      </c>
      <c r="CN562" s="13" t="str">
        <f t="shared" si="103"/>
        <v/>
      </c>
      <c r="CO562" s="13" t="str">
        <f t="shared" si="102"/>
        <v/>
      </c>
      <c r="CP562" s="13" t="str">
        <f t="shared" si="102"/>
        <v/>
      </c>
      <c r="CQ562" s="13" t="str">
        <f t="shared" si="102"/>
        <v/>
      </c>
      <c r="CR562" t="str">
        <f t="shared" si="104"/>
        <v/>
      </c>
      <c r="CS562" t="str">
        <f t="shared" si="105"/>
        <v/>
      </c>
      <c r="CT562" t="str">
        <f t="shared" si="106"/>
        <v/>
      </c>
      <c r="CU562" t="str">
        <f t="shared" si="107"/>
        <v/>
      </c>
      <c r="CV562" t="str">
        <f t="shared" si="108"/>
        <v/>
      </c>
      <c r="CW562" t="str">
        <f t="shared" si="109"/>
        <v/>
      </c>
      <c r="DR562">
        <v>3407045</v>
      </c>
      <c r="DS562" t="s">
        <v>319</v>
      </c>
    </row>
    <row r="563" spans="90:123" x14ac:dyDescent="0.15">
      <c r="CL563" s="13" t="str">
        <f t="shared" si="103"/>
        <v/>
      </c>
      <c r="CM563" s="13" t="str">
        <f t="shared" si="103"/>
        <v/>
      </c>
      <c r="CN563" s="13" t="str">
        <f t="shared" si="103"/>
        <v/>
      </c>
      <c r="CO563" s="13" t="str">
        <f t="shared" si="102"/>
        <v/>
      </c>
      <c r="CP563" s="13" t="str">
        <f t="shared" si="102"/>
        <v/>
      </c>
      <c r="CQ563" s="13" t="str">
        <f t="shared" si="102"/>
        <v/>
      </c>
      <c r="CR563" t="str">
        <f t="shared" si="104"/>
        <v/>
      </c>
      <c r="CS563" t="str">
        <f t="shared" si="105"/>
        <v/>
      </c>
      <c r="CT563" t="str">
        <f t="shared" si="106"/>
        <v/>
      </c>
      <c r="CU563" t="str">
        <f t="shared" si="107"/>
        <v/>
      </c>
      <c r="CV563" t="str">
        <f t="shared" si="108"/>
        <v/>
      </c>
      <c r="CW563" t="str">
        <f t="shared" si="109"/>
        <v/>
      </c>
      <c r="DR563">
        <v>3207051</v>
      </c>
      <c r="DS563" t="s">
        <v>287</v>
      </c>
    </row>
    <row r="564" spans="90:123" x14ac:dyDescent="0.15">
      <c r="CL564" s="13" t="str">
        <f t="shared" si="103"/>
        <v/>
      </c>
      <c r="CM564" s="13" t="str">
        <f t="shared" si="103"/>
        <v/>
      </c>
      <c r="CN564" s="13" t="str">
        <f t="shared" si="103"/>
        <v/>
      </c>
      <c r="CO564" s="13" t="str">
        <f t="shared" si="102"/>
        <v/>
      </c>
      <c r="CP564" s="13" t="str">
        <f t="shared" si="102"/>
        <v/>
      </c>
      <c r="CQ564" s="13" t="str">
        <f t="shared" si="102"/>
        <v/>
      </c>
      <c r="CR564" t="str">
        <f t="shared" si="104"/>
        <v/>
      </c>
      <c r="CS564" t="str">
        <f t="shared" si="105"/>
        <v/>
      </c>
      <c r="CT564" t="str">
        <f t="shared" si="106"/>
        <v/>
      </c>
      <c r="CU564" t="str">
        <f t="shared" si="107"/>
        <v/>
      </c>
      <c r="CV564" t="str">
        <f t="shared" si="108"/>
        <v/>
      </c>
      <c r="CW564" t="str">
        <f t="shared" si="109"/>
        <v/>
      </c>
      <c r="DR564">
        <v>3208051</v>
      </c>
      <c r="DS564" t="s">
        <v>288</v>
      </c>
    </row>
    <row r="565" spans="90:123" x14ac:dyDescent="0.15">
      <c r="CL565" s="13" t="str">
        <f t="shared" si="103"/>
        <v/>
      </c>
      <c r="CM565" s="13" t="str">
        <f t="shared" si="103"/>
        <v/>
      </c>
      <c r="CN565" s="13" t="str">
        <f t="shared" si="103"/>
        <v/>
      </c>
      <c r="CO565" s="13" t="str">
        <f t="shared" si="102"/>
        <v/>
      </c>
      <c r="CP565" s="13" t="str">
        <f t="shared" si="102"/>
        <v/>
      </c>
      <c r="CQ565" s="13" t="str">
        <f t="shared" si="102"/>
        <v/>
      </c>
      <c r="CR565" t="str">
        <f t="shared" si="104"/>
        <v/>
      </c>
      <c r="CS565" t="str">
        <f t="shared" si="105"/>
        <v/>
      </c>
      <c r="CT565" t="str">
        <f t="shared" si="106"/>
        <v/>
      </c>
      <c r="CU565" t="str">
        <f t="shared" si="107"/>
        <v/>
      </c>
      <c r="CV565" t="str">
        <f t="shared" si="108"/>
        <v/>
      </c>
      <c r="CW565" t="str">
        <f t="shared" si="109"/>
        <v/>
      </c>
      <c r="DR565">
        <v>3209051</v>
      </c>
      <c r="DS565" t="s">
        <v>289</v>
      </c>
    </row>
    <row r="566" spans="90:123" x14ac:dyDescent="0.15">
      <c r="CL566" s="13" t="str">
        <f t="shared" si="103"/>
        <v/>
      </c>
      <c r="CM566" s="13" t="str">
        <f t="shared" si="103"/>
        <v/>
      </c>
      <c r="CN566" s="13" t="str">
        <f t="shared" si="103"/>
        <v/>
      </c>
      <c r="CO566" s="13" t="str">
        <f t="shared" si="102"/>
        <v/>
      </c>
      <c r="CP566" s="13" t="str">
        <f t="shared" si="102"/>
        <v/>
      </c>
      <c r="CQ566" s="13" t="str">
        <f t="shared" si="102"/>
        <v/>
      </c>
      <c r="CR566" t="str">
        <f t="shared" si="104"/>
        <v/>
      </c>
      <c r="CS566" t="str">
        <f t="shared" si="105"/>
        <v/>
      </c>
      <c r="CT566" t="str">
        <f t="shared" si="106"/>
        <v/>
      </c>
      <c r="CU566" t="str">
        <f t="shared" si="107"/>
        <v/>
      </c>
      <c r="CV566" t="str">
        <f t="shared" si="108"/>
        <v/>
      </c>
      <c r="CW566" t="str">
        <f t="shared" si="109"/>
        <v/>
      </c>
      <c r="DR566">
        <v>3306051</v>
      </c>
      <c r="DS566" t="s">
        <v>290</v>
      </c>
    </row>
    <row r="567" spans="90:123" x14ac:dyDescent="0.15">
      <c r="CL567" s="13" t="str">
        <f t="shared" si="103"/>
        <v/>
      </c>
      <c r="CM567" s="13" t="str">
        <f t="shared" si="103"/>
        <v/>
      </c>
      <c r="CN567" s="13" t="str">
        <f t="shared" si="103"/>
        <v/>
      </c>
      <c r="CO567" s="13" t="str">
        <f t="shared" si="102"/>
        <v/>
      </c>
      <c r="CP567" s="13" t="str">
        <f t="shared" si="102"/>
        <v/>
      </c>
      <c r="CQ567" s="13" t="str">
        <f t="shared" si="102"/>
        <v/>
      </c>
      <c r="CR567" t="str">
        <f t="shared" si="104"/>
        <v/>
      </c>
      <c r="CS567" t="str">
        <f t="shared" si="105"/>
        <v/>
      </c>
      <c r="CT567" t="str">
        <f t="shared" si="106"/>
        <v/>
      </c>
      <c r="CU567" t="str">
        <f t="shared" si="107"/>
        <v/>
      </c>
      <c r="CV567" t="str">
        <f t="shared" si="108"/>
        <v/>
      </c>
      <c r="CW567" t="str">
        <f t="shared" si="109"/>
        <v/>
      </c>
      <c r="DR567">
        <v>3408051</v>
      </c>
      <c r="DS567" t="s">
        <v>291</v>
      </c>
    </row>
    <row r="568" spans="90:123" x14ac:dyDescent="0.15">
      <c r="CL568" s="13" t="str">
        <f t="shared" si="103"/>
        <v/>
      </c>
      <c r="CM568" s="13" t="str">
        <f t="shared" si="103"/>
        <v/>
      </c>
      <c r="CN568" s="13" t="str">
        <f t="shared" si="103"/>
        <v/>
      </c>
      <c r="CO568" s="13" t="str">
        <f t="shared" si="102"/>
        <v/>
      </c>
      <c r="CP568" s="13" t="str">
        <f t="shared" si="102"/>
        <v/>
      </c>
      <c r="CQ568" s="13" t="str">
        <f t="shared" si="102"/>
        <v/>
      </c>
      <c r="CR568" t="str">
        <f t="shared" si="104"/>
        <v/>
      </c>
      <c r="CS568" t="str">
        <f t="shared" si="105"/>
        <v/>
      </c>
      <c r="CT568" t="str">
        <f t="shared" si="106"/>
        <v/>
      </c>
      <c r="CU568" t="str">
        <f t="shared" si="107"/>
        <v/>
      </c>
      <c r="CV568" t="str">
        <f t="shared" si="108"/>
        <v/>
      </c>
      <c r="CW568" t="str">
        <f t="shared" si="109"/>
        <v/>
      </c>
      <c r="DR568">
        <v>3409051</v>
      </c>
      <c r="DS568" t="s">
        <v>292</v>
      </c>
    </row>
    <row r="569" spans="90:123" x14ac:dyDescent="0.15">
      <c r="CL569" s="13" t="str">
        <f t="shared" si="103"/>
        <v/>
      </c>
      <c r="CM569" s="13" t="str">
        <f t="shared" si="103"/>
        <v/>
      </c>
      <c r="CN569" s="13" t="str">
        <f t="shared" si="103"/>
        <v/>
      </c>
      <c r="CO569" s="13" t="str">
        <f t="shared" si="102"/>
        <v/>
      </c>
      <c r="CP569" s="13" t="str">
        <f t="shared" si="102"/>
        <v/>
      </c>
      <c r="CQ569" s="13" t="str">
        <f t="shared" si="102"/>
        <v/>
      </c>
      <c r="CR569" t="str">
        <f t="shared" si="104"/>
        <v/>
      </c>
      <c r="CS569" t="str">
        <f t="shared" si="105"/>
        <v/>
      </c>
      <c r="CT569" t="str">
        <f t="shared" si="106"/>
        <v/>
      </c>
      <c r="CU569" t="str">
        <f t="shared" si="107"/>
        <v/>
      </c>
      <c r="CV569" t="str">
        <f t="shared" si="108"/>
        <v/>
      </c>
      <c r="CW569" t="str">
        <f t="shared" si="109"/>
        <v/>
      </c>
      <c r="DR569">
        <v>3505051</v>
      </c>
      <c r="DS569" t="s">
        <v>293</v>
      </c>
    </row>
    <row r="570" spans="90:123" x14ac:dyDescent="0.15">
      <c r="CL570" s="13" t="str">
        <f t="shared" si="103"/>
        <v/>
      </c>
      <c r="CM570" s="13" t="str">
        <f t="shared" si="103"/>
        <v/>
      </c>
      <c r="CN570" s="13" t="str">
        <f t="shared" si="103"/>
        <v/>
      </c>
      <c r="CO570" s="13" t="str">
        <f t="shared" si="102"/>
        <v/>
      </c>
      <c r="CP570" s="13" t="str">
        <f t="shared" si="102"/>
        <v/>
      </c>
      <c r="CQ570" s="13" t="str">
        <f t="shared" si="102"/>
        <v/>
      </c>
      <c r="CR570" t="str">
        <f t="shared" si="104"/>
        <v/>
      </c>
      <c r="CS570" t="str">
        <f t="shared" si="105"/>
        <v/>
      </c>
      <c r="CT570" t="str">
        <f t="shared" si="106"/>
        <v/>
      </c>
      <c r="CU570" t="str">
        <f t="shared" si="107"/>
        <v/>
      </c>
      <c r="CV570" t="str">
        <f t="shared" si="108"/>
        <v/>
      </c>
      <c r="CW570" t="str">
        <f t="shared" si="109"/>
        <v/>
      </c>
      <c r="DR570">
        <v>3507051</v>
      </c>
      <c r="DS570" t="s">
        <v>294</v>
      </c>
    </row>
    <row r="571" spans="90:123" x14ac:dyDescent="0.15">
      <c r="CL571" s="13" t="str">
        <f t="shared" si="103"/>
        <v/>
      </c>
      <c r="CM571" s="13" t="str">
        <f t="shared" si="103"/>
        <v/>
      </c>
      <c r="CN571" s="13" t="str">
        <f t="shared" si="103"/>
        <v/>
      </c>
      <c r="CO571" s="13" t="str">
        <f t="shared" si="102"/>
        <v/>
      </c>
      <c r="CP571" s="13" t="str">
        <f t="shared" si="102"/>
        <v/>
      </c>
      <c r="CQ571" s="13" t="str">
        <f t="shared" si="102"/>
        <v/>
      </c>
      <c r="CR571" t="str">
        <f t="shared" si="104"/>
        <v/>
      </c>
      <c r="CS571" t="str">
        <f t="shared" si="105"/>
        <v/>
      </c>
      <c r="CT571" t="str">
        <f t="shared" si="106"/>
        <v/>
      </c>
      <c r="CU571" t="str">
        <f t="shared" si="107"/>
        <v/>
      </c>
      <c r="CV571" t="str">
        <f t="shared" si="108"/>
        <v/>
      </c>
      <c r="CW571" t="str">
        <f t="shared" si="109"/>
        <v/>
      </c>
      <c r="DR571">
        <v>3604051</v>
      </c>
      <c r="DS571" t="s">
        <v>295</v>
      </c>
    </row>
    <row r="572" spans="90:123" x14ac:dyDescent="0.15">
      <c r="CL572" s="13" t="str">
        <f t="shared" si="103"/>
        <v/>
      </c>
      <c r="CM572" s="13" t="str">
        <f t="shared" si="103"/>
        <v/>
      </c>
      <c r="CN572" s="13" t="str">
        <f t="shared" si="103"/>
        <v/>
      </c>
      <c r="CO572" s="13" t="str">
        <f t="shared" si="102"/>
        <v/>
      </c>
      <c r="CP572" s="13" t="str">
        <f t="shared" si="102"/>
        <v/>
      </c>
      <c r="CQ572" s="13" t="str">
        <f t="shared" si="102"/>
        <v/>
      </c>
      <c r="CR572" t="str">
        <f t="shared" si="104"/>
        <v/>
      </c>
      <c r="CS572" t="str">
        <f t="shared" si="105"/>
        <v/>
      </c>
      <c r="CT572" t="str">
        <f t="shared" si="106"/>
        <v/>
      </c>
      <c r="CU572" t="str">
        <f t="shared" si="107"/>
        <v/>
      </c>
      <c r="CV572" t="str">
        <f t="shared" si="108"/>
        <v/>
      </c>
      <c r="CW572" t="str">
        <f t="shared" si="109"/>
        <v/>
      </c>
      <c r="DR572">
        <v>3207052</v>
      </c>
      <c r="DS572" t="s">
        <v>296</v>
      </c>
    </row>
    <row r="573" spans="90:123" x14ac:dyDescent="0.15">
      <c r="CL573" s="13" t="str">
        <f t="shared" si="103"/>
        <v/>
      </c>
      <c r="CM573" s="13" t="str">
        <f t="shared" si="103"/>
        <v/>
      </c>
      <c r="CN573" s="13" t="str">
        <f t="shared" si="103"/>
        <v/>
      </c>
      <c r="CO573" s="13" t="str">
        <f t="shared" si="102"/>
        <v/>
      </c>
      <c r="CP573" s="13" t="str">
        <f t="shared" si="102"/>
        <v/>
      </c>
      <c r="CQ573" s="13" t="str">
        <f t="shared" si="102"/>
        <v/>
      </c>
      <c r="CR573" t="str">
        <f t="shared" si="104"/>
        <v/>
      </c>
      <c r="CS573" t="str">
        <f t="shared" si="105"/>
        <v/>
      </c>
      <c r="CT573" t="str">
        <f t="shared" si="106"/>
        <v/>
      </c>
      <c r="CU573" t="str">
        <f t="shared" si="107"/>
        <v/>
      </c>
      <c r="CV573" t="str">
        <f t="shared" si="108"/>
        <v/>
      </c>
      <c r="CW573" t="str">
        <f t="shared" si="109"/>
        <v/>
      </c>
      <c r="DR573">
        <v>3208052</v>
      </c>
      <c r="DS573" t="s">
        <v>297</v>
      </c>
    </row>
    <row r="574" spans="90:123" x14ac:dyDescent="0.15">
      <c r="CL574" s="13" t="str">
        <f t="shared" si="103"/>
        <v/>
      </c>
      <c r="CM574" s="13" t="str">
        <f t="shared" si="103"/>
        <v/>
      </c>
      <c r="CN574" s="13" t="str">
        <f t="shared" si="103"/>
        <v/>
      </c>
      <c r="CO574" s="13" t="str">
        <f t="shared" si="102"/>
        <v/>
      </c>
      <c r="CP574" s="13" t="str">
        <f t="shared" si="102"/>
        <v/>
      </c>
      <c r="CQ574" s="13" t="str">
        <f t="shared" si="102"/>
        <v/>
      </c>
      <c r="CR574" t="str">
        <f t="shared" si="104"/>
        <v/>
      </c>
      <c r="CS574" t="str">
        <f t="shared" si="105"/>
        <v/>
      </c>
      <c r="CT574" t="str">
        <f t="shared" si="106"/>
        <v/>
      </c>
      <c r="CU574" t="str">
        <f t="shared" si="107"/>
        <v/>
      </c>
      <c r="CV574" t="str">
        <f t="shared" si="108"/>
        <v/>
      </c>
      <c r="CW574" t="str">
        <f t="shared" si="109"/>
        <v/>
      </c>
      <c r="DR574">
        <v>3209052</v>
      </c>
      <c r="DS574" t="s">
        <v>298</v>
      </c>
    </row>
    <row r="575" spans="90:123" x14ac:dyDescent="0.15">
      <c r="CL575" s="13" t="str">
        <f t="shared" si="103"/>
        <v/>
      </c>
      <c r="CM575" s="13" t="str">
        <f t="shared" si="103"/>
        <v/>
      </c>
      <c r="CN575" s="13" t="str">
        <f t="shared" si="103"/>
        <v/>
      </c>
      <c r="CO575" s="13" t="str">
        <f t="shared" si="102"/>
        <v/>
      </c>
      <c r="CP575" s="13" t="str">
        <f t="shared" si="102"/>
        <v/>
      </c>
      <c r="CQ575" s="13" t="str">
        <f t="shared" si="102"/>
        <v/>
      </c>
      <c r="CR575" t="str">
        <f t="shared" si="104"/>
        <v/>
      </c>
      <c r="CS575" t="str">
        <f t="shared" si="105"/>
        <v/>
      </c>
      <c r="CT575" t="str">
        <f t="shared" si="106"/>
        <v/>
      </c>
      <c r="CU575" t="str">
        <f t="shared" si="107"/>
        <v/>
      </c>
      <c r="CV575" t="str">
        <f t="shared" si="108"/>
        <v/>
      </c>
      <c r="CW575" t="str">
        <f t="shared" si="109"/>
        <v/>
      </c>
      <c r="DR575">
        <v>3306052</v>
      </c>
      <c r="DS575" t="s">
        <v>299</v>
      </c>
    </row>
    <row r="576" spans="90:123" x14ac:dyDescent="0.15">
      <c r="CL576" s="13" t="str">
        <f t="shared" si="103"/>
        <v/>
      </c>
      <c r="CM576" s="13" t="str">
        <f t="shared" si="103"/>
        <v/>
      </c>
      <c r="CN576" s="13" t="str">
        <f t="shared" si="103"/>
        <v/>
      </c>
      <c r="CO576" s="13" t="str">
        <f t="shared" si="103"/>
        <v/>
      </c>
      <c r="CP576" s="13" t="str">
        <f t="shared" si="103"/>
        <v/>
      </c>
      <c r="CQ576" s="13" t="str">
        <f t="shared" si="103"/>
        <v/>
      </c>
      <c r="CR576" t="str">
        <f t="shared" si="104"/>
        <v/>
      </c>
      <c r="CS576" t="str">
        <f t="shared" si="105"/>
        <v/>
      </c>
      <c r="CT576" t="str">
        <f t="shared" si="106"/>
        <v/>
      </c>
      <c r="CU576" t="str">
        <f t="shared" si="107"/>
        <v/>
      </c>
      <c r="CV576" t="str">
        <f t="shared" si="108"/>
        <v/>
      </c>
      <c r="CW576" t="str">
        <f t="shared" si="109"/>
        <v/>
      </c>
      <c r="DR576">
        <v>3408052</v>
      </c>
      <c r="DS576" t="s">
        <v>300</v>
      </c>
    </row>
    <row r="577" spans="90:123" x14ac:dyDescent="0.15">
      <c r="CL577" s="13" t="str">
        <f t="shared" ref="CL577:CQ619" si="110">IF(DJ577&lt;&gt;"",IF(ISERROR(MATCH(INT(CR577),$DR$4:$DR$1516,0))=FALSE,TRUE),"")</f>
        <v/>
      </c>
      <c r="CM577" s="13" t="str">
        <f t="shared" si="110"/>
        <v/>
      </c>
      <c r="CN577" s="13" t="str">
        <f t="shared" si="110"/>
        <v/>
      </c>
      <c r="CO577" s="13" t="str">
        <f t="shared" si="110"/>
        <v/>
      </c>
      <c r="CP577" s="13" t="str">
        <f t="shared" si="110"/>
        <v/>
      </c>
      <c r="CQ577" s="13" t="str">
        <f t="shared" si="110"/>
        <v/>
      </c>
      <c r="CR577" t="str">
        <f t="shared" si="104"/>
        <v/>
      </c>
      <c r="CS577" t="str">
        <f t="shared" si="105"/>
        <v/>
      </c>
      <c r="CT577" t="str">
        <f t="shared" si="106"/>
        <v/>
      </c>
      <c r="CU577" t="str">
        <f t="shared" si="107"/>
        <v/>
      </c>
      <c r="CV577" t="str">
        <f t="shared" si="108"/>
        <v/>
      </c>
      <c r="CW577" t="str">
        <f t="shared" si="109"/>
        <v/>
      </c>
      <c r="DR577">
        <v>3409052</v>
      </c>
      <c r="DS577" t="s">
        <v>301</v>
      </c>
    </row>
    <row r="578" spans="90:123" x14ac:dyDescent="0.15">
      <c r="CL578" s="13" t="str">
        <f t="shared" si="110"/>
        <v/>
      </c>
      <c r="CM578" s="13" t="str">
        <f t="shared" si="110"/>
        <v/>
      </c>
      <c r="CN578" s="13" t="str">
        <f t="shared" si="110"/>
        <v/>
      </c>
      <c r="CO578" s="13" t="str">
        <f t="shared" si="110"/>
        <v/>
      </c>
      <c r="CP578" s="13" t="str">
        <f t="shared" si="110"/>
        <v/>
      </c>
      <c r="CQ578" s="13" t="str">
        <f t="shared" si="110"/>
        <v/>
      </c>
      <c r="CR578" t="str">
        <f t="shared" si="104"/>
        <v/>
      </c>
      <c r="CS578" t="str">
        <f t="shared" si="105"/>
        <v/>
      </c>
      <c r="CT578" t="str">
        <f t="shared" si="106"/>
        <v/>
      </c>
      <c r="CU578" t="str">
        <f t="shared" si="107"/>
        <v/>
      </c>
      <c r="CV578" t="str">
        <f t="shared" si="108"/>
        <v/>
      </c>
      <c r="CW578" t="str">
        <f t="shared" si="109"/>
        <v/>
      </c>
      <c r="DR578">
        <v>3505052</v>
      </c>
      <c r="DS578" t="s">
        <v>302</v>
      </c>
    </row>
    <row r="579" spans="90:123" x14ac:dyDescent="0.15">
      <c r="CL579" s="13" t="str">
        <f t="shared" si="110"/>
        <v/>
      </c>
      <c r="CM579" s="13" t="str">
        <f t="shared" si="110"/>
        <v/>
      </c>
      <c r="CN579" s="13" t="str">
        <f t="shared" si="110"/>
        <v/>
      </c>
      <c r="CO579" s="13" t="str">
        <f t="shared" si="110"/>
        <v/>
      </c>
      <c r="CP579" s="13" t="str">
        <f t="shared" si="110"/>
        <v/>
      </c>
      <c r="CQ579" s="13" t="str">
        <f t="shared" si="110"/>
        <v/>
      </c>
      <c r="CR579" t="str">
        <f t="shared" ref="CR579:CR642" si="111">IF(DJ579&lt;&gt;"",REPLACE(REPLACE(INDEX($DR$4:$DR$1516,MATCH(DJ579,$DS$4:$DS$1516,0)),6,1,CX579),1,1,DD579),"")</f>
        <v/>
      </c>
      <c r="CS579" t="str">
        <f t="shared" ref="CS579:CS642" si="112">IF(DK579&lt;&gt;"",REPLACE(REPLACE(INDEX($DR$4:$DR$1516,MATCH(DK579,$DS$4:$DS$1516,0)),6,1,CY579),1,1,DE579),"")</f>
        <v/>
      </c>
      <c r="CT579" t="str">
        <f t="shared" ref="CT579:CT642" si="113">IF(DL579&lt;&gt;"",REPLACE(REPLACE(INDEX($DR$4:$DR$1516,MATCH(DL579,$DS$4:$DS$1516,0)),6,1,CZ579),1,1,DF579),"")</f>
        <v/>
      </c>
      <c r="CU579" t="str">
        <f t="shared" ref="CU579:CU642" si="114">IF(DM579&lt;&gt;"",REPLACE(REPLACE(INDEX($DR$4:$DR$1516,MATCH(DM579,$DS$4:$DS$1516,0)),6,1,DA579),1,1,DG579),"")</f>
        <v/>
      </c>
      <c r="CV579" t="str">
        <f t="shared" ref="CV579:CV642" si="115">IF(DN579&lt;&gt;"",REPLACE(REPLACE(INDEX($DR$4:$DR$1516,MATCH(DN579,$DS$4:$DS$1516,0)),6,1,DB579),1,1,DH579),"")</f>
        <v/>
      </c>
      <c r="CW579" t="str">
        <f t="shared" ref="CW579:CW642" si="116">IF(DO579&lt;&gt;"",REPLACE(REPLACE(INDEX($DR$4:$DR$1516,MATCH(DO579,$DS$4:$DS$1516,0)),6,1,DC579),1,1,DI579),"")</f>
        <v/>
      </c>
      <c r="DR579">
        <v>3507052</v>
      </c>
      <c r="DS579" t="s">
        <v>303</v>
      </c>
    </row>
    <row r="580" spans="90:123" x14ac:dyDescent="0.15">
      <c r="CL580" s="13" t="str">
        <f t="shared" si="110"/>
        <v/>
      </c>
      <c r="CM580" s="13" t="str">
        <f t="shared" si="110"/>
        <v/>
      </c>
      <c r="CN580" s="13" t="str">
        <f t="shared" si="110"/>
        <v/>
      </c>
      <c r="CO580" s="13" t="str">
        <f t="shared" si="110"/>
        <v/>
      </c>
      <c r="CP580" s="13" t="str">
        <f t="shared" si="110"/>
        <v/>
      </c>
      <c r="CQ580" s="13" t="str">
        <f t="shared" si="110"/>
        <v/>
      </c>
      <c r="CR580" t="str">
        <f t="shared" si="111"/>
        <v/>
      </c>
      <c r="CS580" t="str">
        <f t="shared" si="112"/>
        <v/>
      </c>
      <c r="CT580" t="str">
        <f t="shared" si="113"/>
        <v/>
      </c>
      <c r="CU580" t="str">
        <f t="shared" si="114"/>
        <v/>
      </c>
      <c r="CV580" t="str">
        <f t="shared" si="115"/>
        <v/>
      </c>
      <c r="CW580" t="str">
        <f t="shared" si="116"/>
        <v/>
      </c>
      <c r="DR580">
        <v>3604052</v>
      </c>
      <c r="DS580" t="s">
        <v>304</v>
      </c>
    </row>
    <row r="581" spans="90:123" x14ac:dyDescent="0.15">
      <c r="CL581" s="13" t="str">
        <f t="shared" si="110"/>
        <v/>
      </c>
      <c r="CM581" s="13" t="str">
        <f t="shared" si="110"/>
        <v/>
      </c>
      <c r="CN581" s="13" t="str">
        <f t="shared" si="110"/>
        <v/>
      </c>
      <c r="CO581" s="13" t="str">
        <f t="shared" si="110"/>
        <v/>
      </c>
      <c r="CP581" s="13" t="str">
        <f t="shared" si="110"/>
        <v/>
      </c>
      <c r="CQ581" s="13" t="str">
        <f t="shared" si="110"/>
        <v/>
      </c>
      <c r="CR581" t="str">
        <f t="shared" si="111"/>
        <v/>
      </c>
      <c r="CS581" t="str">
        <f t="shared" si="112"/>
        <v/>
      </c>
      <c r="CT581" t="str">
        <f t="shared" si="113"/>
        <v/>
      </c>
      <c r="CU581" t="str">
        <f t="shared" si="114"/>
        <v/>
      </c>
      <c r="CV581" t="str">
        <f t="shared" si="115"/>
        <v/>
      </c>
      <c r="CW581" t="str">
        <f t="shared" si="116"/>
        <v/>
      </c>
      <c r="DR581">
        <v>3207053</v>
      </c>
      <c r="DS581" t="s">
        <v>305</v>
      </c>
    </row>
    <row r="582" spans="90:123" x14ac:dyDescent="0.15">
      <c r="CL582" s="13" t="str">
        <f t="shared" si="110"/>
        <v/>
      </c>
      <c r="CM582" s="13" t="str">
        <f t="shared" si="110"/>
        <v/>
      </c>
      <c r="CN582" s="13" t="str">
        <f t="shared" si="110"/>
        <v/>
      </c>
      <c r="CO582" s="13" t="str">
        <f t="shared" si="110"/>
        <v/>
      </c>
      <c r="CP582" s="13" t="str">
        <f t="shared" si="110"/>
        <v/>
      </c>
      <c r="CQ582" s="13" t="str">
        <f t="shared" si="110"/>
        <v/>
      </c>
      <c r="CR582" t="str">
        <f t="shared" si="111"/>
        <v/>
      </c>
      <c r="CS582" t="str">
        <f t="shared" si="112"/>
        <v/>
      </c>
      <c r="CT582" t="str">
        <f t="shared" si="113"/>
        <v/>
      </c>
      <c r="CU582" t="str">
        <f t="shared" si="114"/>
        <v/>
      </c>
      <c r="CV582" t="str">
        <f t="shared" si="115"/>
        <v/>
      </c>
      <c r="CW582" t="str">
        <f t="shared" si="116"/>
        <v/>
      </c>
      <c r="DR582">
        <v>3208053</v>
      </c>
      <c r="DS582" t="s">
        <v>306</v>
      </c>
    </row>
    <row r="583" spans="90:123" x14ac:dyDescent="0.15">
      <c r="CL583" s="13" t="str">
        <f t="shared" si="110"/>
        <v/>
      </c>
      <c r="CM583" s="13" t="str">
        <f t="shared" si="110"/>
        <v/>
      </c>
      <c r="CN583" s="13" t="str">
        <f t="shared" si="110"/>
        <v/>
      </c>
      <c r="CO583" s="13" t="str">
        <f t="shared" si="110"/>
        <v/>
      </c>
      <c r="CP583" s="13" t="str">
        <f t="shared" si="110"/>
        <v/>
      </c>
      <c r="CQ583" s="13" t="str">
        <f t="shared" si="110"/>
        <v/>
      </c>
      <c r="CR583" t="str">
        <f t="shared" si="111"/>
        <v/>
      </c>
      <c r="CS583" t="str">
        <f t="shared" si="112"/>
        <v/>
      </c>
      <c r="CT583" t="str">
        <f t="shared" si="113"/>
        <v/>
      </c>
      <c r="CU583" t="str">
        <f t="shared" si="114"/>
        <v/>
      </c>
      <c r="CV583" t="str">
        <f t="shared" si="115"/>
        <v/>
      </c>
      <c r="CW583" t="str">
        <f t="shared" si="116"/>
        <v/>
      </c>
      <c r="DR583">
        <v>3209053</v>
      </c>
      <c r="DS583" t="s">
        <v>307</v>
      </c>
    </row>
    <row r="584" spans="90:123" x14ac:dyDescent="0.15">
      <c r="CL584" s="13" t="str">
        <f t="shared" si="110"/>
        <v/>
      </c>
      <c r="CM584" s="13" t="str">
        <f t="shared" si="110"/>
        <v/>
      </c>
      <c r="CN584" s="13" t="str">
        <f t="shared" si="110"/>
        <v/>
      </c>
      <c r="CO584" s="13" t="str">
        <f t="shared" si="110"/>
        <v/>
      </c>
      <c r="CP584" s="13" t="str">
        <f t="shared" si="110"/>
        <v/>
      </c>
      <c r="CQ584" s="13" t="str">
        <f t="shared" si="110"/>
        <v/>
      </c>
      <c r="CR584" t="str">
        <f t="shared" si="111"/>
        <v/>
      </c>
      <c r="CS584" t="str">
        <f t="shared" si="112"/>
        <v/>
      </c>
      <c r="CT584" t="str">
        <f t="shared" si="113"/>
        <v/>
      </c>
      <c r="CU584" t="str">
        <f t="shared" si="114"/>
        <v/>
      </c>
      <c r="CV584" t="str">
        <f t="shared" si="115"/>
        <v/>
      </c>
      <c r="CW584" t="str">
        <f t="shared" si="116"/>
        <v/>
      </c>
      <c r="DR584">
        <v>3306053</v>
      </c>
      <c r="DS584" t="s">
        <v>308</v>
      </c>
    </row>
    <row r="585" spans="90:123" x14ac:dyDescent="0.15">
      <c r="CL585" s="13" t="str">
        <f t="shared" si="110"/>
        <v/>
      </c>
      <c r="CM585" s="13" t="str">
        <f t="shared" si="110"/>
        <v/>
      </c>
      <c r="CN585" s="13" t="str">
        <f t="shared" si="110"/>
        <v/>
      </c>
      <c r="CO585" s="13" t="str">
        <f t="shared" si="110"/>
        <v/>
      </c>
      <c r="CP585" s="13" t="str">
        <f t="shared" si="110"/>
        <v/>
      </c>
      <c r="CQ585" s="13" t="str">
        <f t="shared" si="110"/>
        <v/>
      </c>
      <c r="CR585" t="str">
        <f t="shared" si="111"/>
        <v/>
      </c>
      <c r="CS585" t="str">
        <f t="shared" si="112"/>
        <v/>
      </c>
      <c r="CT585" t="str">
        <f t="shared" si="113"/>
        <v/>
      </c>
      <c r="CU585" t="str">
        <f t="shared" si="114"/>
        <v/>
      </c>
      <c r="CV585" t="str">
        <f t="shared" si="115"/>
        <v/>
      </c>
      <c r="CW585" t="str">
        <f t="shared" si="116"/>
        <v/>
      </c>
      <c r="DR585">
        <v>3408053</v>
      </c>
      <c r="DS585" t="s">
        <v>309</v>
      </c>
    </row>
    <row r="586" spans="90:123" x14ac:dyDescent="0.15">
      <c r="CL586" s="13" t="str">
        <f t="shared" si="110"/>
        <v/>
      </c>
      <c r="CM586" s="13" t="str">
        <f t="shared" si="110"/>
        <v/>
      </c>
      <c r="CN586" s="13" t="str">
        <f t="shared" si="110"/>
        <v/>
      </c>
      <c r="CO586" s="13" t="str">
        <f t="shared" si="110"/>
        <v/>
      </c>
      <c r="CP586" s="13" t="str">
        <f t="shared" si="110"/>
        <v/>
      </c>
      <c r="CQ586" s="13" t="str">
        <f t="shared" si="110"/>
        <v/>
      </c>
      <c r="CR586" t="str">
        <f t="shared" si="111"/>
        <v/>
      </c>
      <c r="CS586" t="str">
        <f t="shared" si="112"/>
        <v/>
      </c>
      <c r="CT586" t="str">
        <f t="shared" si="113"/>
        <v/>
      </c>
      <c r="CU586" t="str">
        <f t="shared" si="114"/>
        <v/>
      </c>
      <c r="CV586" t="str">
        <f t="shared" si="115"/>
        <v/>
      </c>
      <c r="CW586" t="str">
        <f t="shared" si="116"/>
        <v/>
      </c>
      <c r="DR586">
        <v>3409053</v>
      </c>
      <c r="DS586" t="s">
        <v>310</v>
      </c>
    </row>
    <row r="587" spans="90:123" x14ac:dyDescent="0.15">
      <c r="CL587" s="13" t="str">
        <f t="shared" si="110"/>
        <v/>
      </c>
      <c r="CM587" s="13" t="str">
        <f t="shared" si="110"/>
        <v/>
      </c>
      <c r="CN587" s="13" t="str">
        <f t="shared" si="110"/>
        <v/>
      </c>
      <c r="CO587" s="13" t="str">
        <f t="shared" si="110"/>
        <v/>
      </c>
      <c r="CP587" s="13" t="str">
        <f t="shared" si="110"/>
        <v/>
      </c>
      <c r="CQ587" s="13" t="str">
        <f t="shared" si="110"/>
        <v/>
      </c>
      <c r="CR587" t="str">
        <f t="shared" si="111"/>
        <v/>
      </c>
      <c r="CS587" t="str">
        <f t="shared" si="112"/>
        <v/>
      </c>
      <c r="CT587" t="str">
        <f t="shared" si="113"/>
        <v/>
      </c>
      <c r="CU587" t="str">
        <f t="shared" si="114"/>
        <v/>
      </c>
      <c r="CV587" t="str">
        <f t="shared" si="115"/>
        <v/>
      </c>
      <c r="CW587" t="str">
        <f t="shared" si="116"/>
        <v/>
      </c>
      <c r="DR587">
        <v>3505053</v>
      </c>
      <c r="DS587" t="s">
        <v>311</v>
      </c>
    </row>
    <row r="588" spans="90:123" x14ac:dyDescent="0.15">
      <c r="CL588" s="13" t="str">
        <f t="shared" si="110"/>
        <v/>
      </c>
      <c r="CM588" s="13" t="str">
        <f t="shared" si="110"/>
        <v/>
      </c>
      <c r="CN588" s="13" t="str">
        <f t="shared" si="110"/>
        <v/>
      </c>
      <c r="CO588" s="13" t="str">
        <f t="shared" si="110"/>
        <v/>
      </c>
      <c r="CP588" s="13" t="str">
        <f t="shared" si="110"/>
        <v/>
      </c>
      <c r="CQ588" s="13" t="str">
        <f t="shared" si="110"/>
        <v/>
      </c>
      <c r="CR588" t="str">
        <f t="shared" si="111"/>
        <v/>
      </c>
      <c r="CS588" t="str">
        <f t="shared" si="112"/>
        <v/>
      </c>
      <c r="CT588" t="str">
        <f t="shared" si="113"/>
        <v/>
      </c>
      <c r="CU588" t="str">
        <f t="shared" si="114"/>
        <v/>
      </c>
      <c r="CV588" t="str">
        <f t="shared" si="115"/>
        <v/>
      </c>
      <c r="CW588" t="str">
        <f t="shared" si="116"/>
        <v/>
      </c>
      <c r="DR588">
        <v>3507053</v>
      </c>
      <c r="DS588" t="s">
        <v>312</v>
      </c>
    </row>
    <row r="589" spans="90:123" x14ac:dyDescent="0.15">
      <c r="CL589" s="13" t="str">
        <f t="shared" si="110"/>
        <v/>
      </c>
      <c r="CM589" s="13" t="str">
        <f t="shared" si="110"/>
        <v/>
      </c>
      <c r="CN589" s="13" t="str">
        <f t="shared" si="110"/>
        <v/>
      </c>
      <c r="CO589" s="13" t="str">
        <f t="shared" si="110"/>
        <v/>
      </c>
      <c r="CP589" s="13" t="str">
        <f t="shared" si="110"/>
        <v/>
      </c>
      <c r="CQ589" s="13" t="str">
        <f t="shared" si="110"/>
        <v/>
      </c>
      <c r="CR589" t="str">
        <f t="shared" si="111"/>
        <v/>
      </c>
      <c r="CS589" t="str">
        <f t="shared" si="112"/>
        <v/>
      </c>
      <c r="CT589" t="str">
        <f t="shared" si="113"/>
        <v/>
      </c>
      <c r="CU589" t="str">
        <f t="shared" si="114"/>
        <v/>
      </c>
      <c r="CV589" t="str">
        <f t="shared" si="115"/>
        <v/>
      </c>
      <c r="CW589" t="str">
        <f t="shared" si="116"/>
        <v/>
      </c>
      <c r="DR589">
        <v>3604053</v>
      </c>
      <c r="DS589" t="s">
        <v>313</v>
      </c>
    </row>
    <row r="590" spans="90:123" x14ac:dyDescent="0.15">
      <c r="CL590" s="13" t="str">
        <f t="shared" si="110"/>
        <v/>
      </c>
      <c r="CM590" s="13" t="str">
        <f t="shared" si="110"/>
        <v/>
      </c>
      <c r="CN590" s="13" t="str">
        <f t="shared" si="110"/>
        <v/>
      </c>
      <c r="CO590" s="13" t="str">
        <f t="shared" si="110"/>
        <v/>
      </c>
      <c r="CP590" s="13" t="str">
        <f t="shared" si="110"/>
        <v/>
      </c>
      <c r="CQ590" s="13" t="str">
        <f t="shared" si="110"/>
        <v/>
      </c>
      <c r="CR590" t="str">
        <f t="shared" si="111"/>
        <v/>
      </c>
      <c r="CS590" t="str">
        <f t="shared" si="112"/>
        <v/>
      </c>
      <c r="CT590" t="str">
        <f t="shared" si="113"/>
        <v/>
      </c>
      <c r="CU590" t="str">
        <f t="shared" si="114"/>
        <v/>
      </c>
      <c r="CV590" t="str">
        <f t="shared" si="115"/>
        <v/>
      </c>
      <c r="CW590" t="str">
        <f t="shared" si="116"/>
        <v/>
      </c>
      <c r="DR590">
        <v>3506054</v>
      </c>
      <c r="DS590" t="s">
        <v>314</v>
      </c>
    </row>
    <row r="591" spans="90:123" x14ac:dyDescent="0.15">
      <c r="CL591" s="13" t="str">
        <f t="shared" si="110"/>
        <v/>
      </c>
      <c r="CM591" s="13" t="str">
        <f t="shared" si="110"/>
        <v/>
      </c>
      <c r="CN591" s="13" t="str">
        <f t="shared" si="110"/>
        <v/>
      </c>
      <c r="CO591" s="13" t="str">
        <f t="shared" si="110"/>
        <v/>
      </c>
      <c r="CP591" s="13" t="str">
        <f t="shared" si="110"/>
        <v/>
      </c>
      <c r="CQ591" s="13" t="str">
        <f t="shared" si="110"/>
        <v/>
      </c>
      <c r="CR591" t="str">
        <f t="shared" si="111"/>
        <v/>
      </c>
      <c r="CS591" t="str">
        <f t="shared" si="112"/>
        <v/>
      </c>
      <c r="CT591" t="str">
        <f t="shared" si="113"/>
        <v/>
      </c>
      <c r="CU591" t="str">
        <f t="shared" si="114"/>
        <v/>
      </c>
      <c r="CV591" t="str">
        <f t="shared" si="115"/>
        <v/>
      </c>
      <c r="CW591" t="str">
        <f t="shared" si="116"/>
        <v/>
      </c>
      <c r="DR591">
        <v>3603054</v>
      </c>
      <c r="DS591" t="s">
        <v>315</v>
      </c>
    </row>
    <row r="592" spans="90:123" x14ac:dyDescent="0.15">
      <c r="CL592" s="13" t="str">
        <f t="shared" si="110"/>
        <v/>
      </c>
      <c r="CM592" s="13" t="str">
        <f t="shared" si="110"/>
        <v/>
      </c>
      <c r="CN592" s="13" t="str">
        <f t="shared" si="110"/>
        <v/>
      </c>
      <c r="CO592" s="13" t="str">
        <f t="shared" si="110"/>
        <v/>
      </c>
      <c r="CP592" s="13" t="str">
        <f t="shared" si="110"/>
        <v/>
      </c>
      <c r="CQ592" s="13" t="str">
        <f t="shared" si="110"/>
        <v/>
      </c>
      <c r="CR592" t="str">
        <f t="shared" si="111"/>
        <v/>
      </c>
      <c r="CS592" t="str">
        <f t="shared" si="112"/>
        <v/>
      </c>
      <c r="CT592" t="str">
        <f t="shared" si="113"/>
        <v/>
      </c>
      <c r="CU592" t="str">
        <f t="shared" si="114"/>
        <v/>
      </c>
      <c r="CV592" t="str">
        <f t="shared" si="115"/>
        <v/>
      </c>
      <c r="CW592" t="str">
        <f t="shared" si="116"/>
        <v/>
      </c>
      <c r="DR592">
        <v>3605054</v>
      </c>
      <c r="DS592" t="s">
        <v>316</v>
      </c>
    </row>
    <row r="593" spans="90:123" x14ac:dyDescent="0.15">
      <c r="CL593" s="13" t="str">
        <f t="shared" si="110"/>
        <v/>
      </c>
      <c r="CM593" s="13" t="str">
        <f t="shared" si="110"/>
        <v/>
      </c>
      <c r="CN593" s="13" t="str">
        <f t="shared" si="110"/>
        <v/>
      </c>
      <c r="CO593" s="13" t="str">
        <f t="shared" si="110"/>
        <v/>
      </c>
      <c r="CP593" s="13" t="str">
        <f t="shared" si="110"/>
        <v/>
      </c>
      <c r="CQ593" s="13" t="str">
        <f t="shared" si="110"/>
        <v/>
      </c>
      <c r="CR593" t="str">
        <f t="shared" si="111"/>
        <v/>
      </c>
      <c r="CS593" t="str">
        <f t="shared" si="112"/>
        <v/>
      </c>
      <c r="CT593" t="str">
        <f t="shared" si="113"/>
        <v/>
      </c>
      <c r="CU593" t="str">
        <f t="shared" si="114"/>
        <v/>
      </c>
      <c r="CV593" t="str">
        <f t="shared" si="115"/>
        <v/>
      </c>
      <c r="CW593" t="str">
        <f t="shared" si="116"/>
        <v/>
      </c>
      <c r="DR593">
        <v>3305055</v>
      </c>
      <c r="DS593" t="s">
        <v>317</v>
      </c>
    </row>
    <row r="594" spans="90:123" x14ac:dyDescent="0.15">
      <c r="CL594" s="13" t="str">
        <f t="shared" si="110"/>
        <v/>
      </c>
      <c r="CM594" s="13" t="str">
        <f t="shared" si="110"/>
        <v/>
      </c>
      <c r="CN594" s="13" t="str">
        <f t="shared" si="110"/>
        <v/>
      </c>
      <c r="CO594" s="13" t="str">
        <f t="shared" si="110"/>
        <v/>
      </c>
      <c r="CP594" s="13" t="str">
        <f t="shared" si="110"/>
        <v/>
      </c>
      <c r="CQ594" s="13" t="str">
        <f t="shared" si="110"/>
        <v/>
      </c>
      <c r="CR594" t="str">
        <f t="shared" si="111"/>
        <v/>
      </c>
      <c r="CS594" t="str">
        <f t="shared" si="112"/>
        <v/>
      </c>
      <c r="CT594" t="str">
        <f t="shared" si="113"/>
        <v/>
      </c>
      <c r="CU594" t="str">
        <f t="shared" si="114"/>
        <v/>
      </c>
      <c r="CV594" t="str">
        <f t="shared" si="115"/>
        <v/>
      </c>
      <c r="CW594" t="str">
        <f t="shared" si="116"/>
        <v/>
      </c>
      <c r="DR594">
        <v>3307055</v>
      </c>
      <c r="DS594" t="s">
        <v>318</v>
      </c>
    </row>
    <row r="595" spans="90:123" x14ac:dyDescent="0.15">
      <c r="CL595" s="13" t="str">
        <f t="shared" si="110"/>
        <v/>
      </c>
      <c r="CM595" s="13" t="str">
        <f t="shared" si="110"/>
        <v/>
      </c>
      <c r="CN595" s="13" t="str">
        <f t="shared" si="110"/>
        <v/>
      </c>
      <c r="CO595" s="13" t="str">
        <f t="shared" si="110"/>
        <v/>
      </c>
      <c r="CP595" s="13" t="str">
        <f t="shared" si="110"/>
        <v/>
      </c>
      <c r="CQ595" s="13" t="str">
        <f t="shared" si="110"/>
        <v/>
      </c>
      <c r="CR595" t="str">
        <f t="shared" si="111"/>
        <v/>
      </c>
      <c r="CS595" t="str">
        <f t="shared" si="112"/>
        <v/>
      </c>
      <c r="CT595" t="str">
        <f t="shared" si="113"/>
        <v/>
      </c>
      <c r="CU595" t="str">
        <f t="shared" si="114"/>
        <v/>
      </c>
      <c r="CV595" t="str">
        <f t="shared" si="115"/>
        <v/>
      </c>
      <c r="CW595" t="str">
        <f t="shared" si="116"/>
        <v/>
      </c>
      <c r="DR595">
        <v>3407055</v>
      </c>
      <c r="DS595" t="s">
        <v>319</v>
      </c>
    </row>
    <row r="596" spans="90:123" x14ac:dyDescent="0.15">
      <c r="CL596" s="13" t="str">
        <f t="shared" si="110"/>
        <v/>
      </c>
      <c r="CM596" s="13" t="str">
        <f t="shared" si="110"/>
        <v/>
      </c>
      <c r="CN596" s="13" t="str">
        <f t="shared" si="110"/>
        <v/>
      </c>
      <c r="CO596" s="13" t="str">
        <f t="shared" si="110"/>
        <v/>
      </c>
      <c r="CP596" s="13" t="str">
        <f t="shared" si="110"/>
        <v/>
      </c>
      <c r="CQ596" s="13" t="str">
        <f t="shared" si="110"/>
        <v/>
      </c>
      <c r="CR596" t="str">
        <f t="shared" si="111"/>
        <v/>
      </c>
      <c r="CS596" t="str">
        <f t="shared" si="112"/>
        <v/>
      </c>
      <c r="CT596" t="str">
        <f t="shared" si="113"/>
        <v/>
      </c>
      <c r="CU596" t="str">
        <f t="shared" si="114"/>
        <v/>
      </c>
      <c r="CV596" t="str">
        <f t="shared" si="115"/>
        <v/>
      </c>
      <c r="CW596" t="str">
        <f t="shared" si="116"/>
        <v/>
      </c>
      <c r="DR596">
        <v>3207061</v>
      </c>
      <c r="DS596" t="s">
        <v>287</v>
      </c>
    </row>
    <row r="597" spans="90:123" x14ac:dyDescent="0.15">
      <c r="CL597" s="13" t="str">
        <f t="shared" si="110"/>
        <v/>
      </c>
      <c r="CM597" s="13" t="str">
        <f t="shared" si="110"/>
        <v/>
      </c>
      <c r="CN597" s="13" t="str">
        <f t="shared" si="110"/>
        <v/>
      </c>
      <c r="CO597" s="13" t="str">
        <f t="shared" si="110"/>
        <v/>
      </c>
      <c r="CP597" s="13" t="str">
        <f t="shared" si="110"/>
        <v/>
      </c>
      <c r="CQ597" s="13" t="str">
        <f t="shared" si="110"/>
        <v/>
      </c>
      <c r="CR597" t="str">
        <f t="shared" si="111"/>
        <v/>
      </c>
      <c r="CS597" t="str">
        <f t="shared" si="112"/>
        <v/>
      </c>
      <c r="CT597" t="str">
        <f t="shared" si="113"/>
        <v/>
      </c>
      <c r="CU597" t="str">
        <f t="shared" si="114"/>
        <v/>
      </c>
      <c r="CV597" t="str">
        <f t="shared" si="115"/>
        <v/>
      </c>
      <c r="CW597" t="str">
        <f t="shared" si="116"/>
        <v/>
      </c>
      <c r="DR597">
        <v>3208061</v>
      </c>
      <c r="DS597" t="s">
        <v>288</v>
      </c>
    </row>
    <row r="598" spans="90:123" x14ac:dyDescent="0.15">
      <c r="CL598" s="13" t="str">
        <f t="shared" si="110"/>
        <v/>
      </c>
      <c r="CM598" s="13" t="str">
        <f t="shared" si="110"/>
        <v/>
      </c>
      <c r="CN598" s="13" t="str">
        <f t="shared" si="110"/>
        <v/>
      </c>
      <c r="CO598" s="13" t="str">
        <f t="shared" si="110"/>
        <v/>
      </c>
      <c r="CP598" s="13" t="str">
        <f t="shared" si="110"/>
        <v/>
      </c>
      <c r="CQ598" s="13" t="str">
        <f t="shared" si="110"/>
        <v/>
      </c>
      <c r="CR598" t="str">
        <f t="shared" si="111"/>
        <v/>
      </c>
      <c r="CS598" t="str">
        <f t="shared" si="112"/>
        <v/>
      </c>
      <c r="CT598" t="str">
        <f t="shared" si="113"/>
        <v/>
      </c>
      <c r="CU598" t="str">
        <f t="shared" si="114"/>
        <v/>
      </c>
      <c r="CV598" t="str">
        <f t="shared" si="115"/>
        <v/>
      </c>
      <c r="CW598" t="str">
        <f t="shared" si="116"/>
        <v/>
      </c>
      <c r="DR598">
        <v>3209061</v>
      </c>
      <c r="DS598" t="s">
        <v>289</v>
      </c>
    </row>
    <row r="599" spans="90:123" x14ac:dyDescent="0.15">
      <c r="CL599" s="13" t="str">
        <f t="shared" si="110"/>
        <v/>
      </c>
      <c r="CM599" s="13" t="str">
        <f t="shared" si="110"/>
        <v/>
      </c>
      <c r="CN599" s="13" t="str">
        <f t="shared" si="110"/>
        <v/>
      </c>
      <c r="CO599" s="13" t="str">
        <f t="shared" si="110"/>
        <v/>
      </c>
      <c r="CP599" s="13" t="str">
        <f t="shared" si="110"/>
        <v/>
      </c>
      <c r="CQ599" s="13" t="str">
        <f t="shared" si="110"/>
        <v/>
      </c>
      <c r="CR599" t="str">
        <f t="shared" si="111"/>
        <v/>
      </c>
      <c r="CS599" t="str">
        <f t="shared" si="112"/>
        <v/>
      </c>
      <c r="CT599" t="str">
        <f t="shared" si="113"/>
        <v/>
      </c>
      <c r="CU599" t="str">
        <f t="shared" si="114"/>
        <v/>
      </c>
      <c r="CV599" t="str">
        <f t="shared" si="115"/>
        <v/>
      </c>
      <c r="CW599" t="str">
        <f t="shared" si="116"/>
        <v/>
      </c>
      <c r="DR599">
        <v>3306061</v>
      </c>
      <c r="DS599" t="s">
        <v>290</v>
      </c>
    </row>
    <row r="600" spans="90:123" x14ac:dyDescent="0.15">
      <c r="CL600" s="13" t="str">
        <f t="shared" si="110"/>
        <v/>
      </c>
      <c r="CM600" s="13" t="str">
        <f t="shared" si="110"/>
        <v/>
      </c>
      <c r="CN600" s="13" t="str">
        <f t="shared" si="110"/>
        <v/>
      </c>
      <c r="CO600" s="13" t="str">
        <f t="shared" si="110"/>
        <v/>
      </c>
      <c r="CP600" s="13" t="str">
        <f t="shared" si="110"/>
        <v/>
      </c>
      <c r="CQ600" s="13" t="str">
        <f t="shared" si="110"/>
        <v/>
      </c>
      <c r="CR600" t="str">
        <f t="shared" si="111"/>
        <v/>
      </c>
      <c r="CS600" t="str">
        <f t="shared" si="112"/>
        <v/>
      </c>
      <c r="CT600" t="str">
        <f t="shared" si="113"/>
        <v/>
      </c>
      <c r="CU600" t="str">
        <f t="shared" si="114"/>
        <v/>
      </c>
      <c r="CV600" t="str">
        <f t="shared" si="115"/>
        <v/>
      </c>
      <c r="CW600" t="str">
        <f t="shared" si="116"/>
        <v/>
      </c>
      <c r="DR600">
        <v>3408061</v>
      </c>
      <c r="DS600" t="s">
        <v>291</v>
      </c>
    </row>
    <row r="601" spans="90:123" x14ac:dyDescent="0.15">
      <c r="CL601" s="13" t="str">
        <f t="shared" si="110"/>
        <v/>
      </c>
      <c r="CM601" s="13" t="str">
        <f t="shared" si="110"/>
        <v/>
      </c>
      <c r="CN601" s="13" t="str">
        <f t="shared" si="110"/>
        <v/>
      </c>
      <c r="CO601" s="13" t="str">
        <f t="shared" si="110"/>
        <v/>
      </c>
      <c r="CP601" s="13" t="str">
        <f t="shared" si="110"/>
        <v/>
      </c>
      <c r="CQ601" s="13" t="str">
        <f t="shared" si="110"/>
        <v/>
      </c>
      <c r="CR601" t="str">
        <f t="shared" si="111"/>
        <v/>
      </c>
      <c r="CS601" t="str">
        <f t="shared" si="112"/>
        <v/>
      </c>
      <c r="CT601" t="str">
        <f t="shared" si="113"/>
        <v/>
      </c>
      <c r="CU601" t="str">
        <f t="shared" si="114"/>
        <v/>
      </c>
      <c r="CV601" t="str">
        <f t="shared" si="115"/>
        <v/>
      </c>
      <c r="CW601" t="str">
        <f t="shared" si="116"/>
        <v/>
      </c>
      <c r="DR601">
        <v>3409061</v>
      </c>
      <c r="DS601" t="s">
        <v>292</v>
      </c>
    </row>
    <row r="602" spans="90:123" x14ac:dyDescent="0.15">
      <c r="CL602" s="13" t="str">
        <f t="shared" si="110"/>
        <v/>
      </c>
      <c r="CM602" s="13" t="str">
        <f t="shared" si="110"/>
        <v/>
      </c>
      <c r="CN602" s="13" t="str">
        <f t="shared" si="110"/>
        <v/>
      </c>
      <c r="CO602" s="13" t="str">
        <f t="shared" si="110"/>
        <v/>
      </c>
      <c r="CP602" s="13" t="str">
        <f t="shared" si="110"/>
        <v/>
      </c>
      <c r="CQ602" s="13" t="str">
        <f t="shared" si="110"/>
        <v/>
      </c>
      <c r="CR602" t="str">
        <f t="shared" si="111"/>
        <v/>
      </c>
      <c r="CS602" t="str">
        <f t="shared" si="112"/>
        <v/>
      </c>
      <c r="CT602" t="str">
        <f t="shared" si="113"/>
        <v/>
      </c>
      <c r="CU602" t="str">
        <f t="shared" si="114"/>
        <v/>
      </c>
      <c r="CV602" t="str">
        <f t="shared" si="115"/>
        <v/>
      </c>
      <c r="CW602" t="str">
        <f t="shared" si="116"/>
        <v/>
      </c>
      <c r="DR602">
        <v>3505061</v>
      </c>
      <c r="DS602" t="s">
        <v>293</v>
      </c>
    </row>
    <row r="603" spans="90:123" x14ac:dyDescent="0.15">
      <c r="CL603" s="13" t="str">
        <f t="shared" si="110"/>
        <v/>
      </c>
      <c r="CM603" s="13" t="str">
        <f t="shared" si="110"/>
        <v/>
      </c>
      <c r="CN603" s="13" t="str">
        <f t="shared" si="110"/>
        <v/>
      </c>
      <c r="CO603" s="13" t="str">
        <f t="shared" si="110"/>
        <v/>
      </c>
      <c r="CP603" s="13" t="str">
        <f t="shared" si="110"/>
        <v/>
      </c>
      <c r="CQ603" s="13" t="str">
        <f t="shared" si="110"/>
        <v/>
      </c>
      <c r="CR603" t="str">
        <f t="shared" si="111"/>
        <v/>
      </c>
      <c r="CS603" t="str">
        <f t="shared" si="112"/>
        <v/>
      </c>
      <c r="CT603" t="str">
        <f t="shared" si="113"/>
        <v/>
      </c>
      <c r="CU603" t="str">
        <f t="shared" si="114"/>
        <v/>
      </c>
      <c r="CV603" t="str">
        <f t="shared" si="115"/>
        <v/>
      </c>
      <c r="CW603" t="str">
        <f t="shared" si="116"/>
        <v/>
      </c>
      <c r="DR603">
        <v>3507061</v>
      </c>
      <c r="DS603" t="s">
        <v>294</v>
      </c>
    </row>
    <row r="604" spans="90:123" x14ac:dyDescent="0.15">
      <c r="CL604" s="13" t="str">
        <f t="shared" si="110"/>
        <v/>
      </c>
      <c r="CM604" s="13" t="str">
        <f t="shared" si="110"/>
        <v/>
      </c>
      <c r="CN604" s="13" t="str">
        <f t="shared" si="110"/>
        <v/>
      </c>
      <c r="CO604" s="13" t="str">
        <f t="shared" si="110"/>
        <v/>
      </c>
      <c r="CP604" s="13" t="str">
        <f t="shared" si="110"/>
        <v/>
      </c>
      <c r="CQ604" s="13" t="str">
        <f t="shared" si="110"/>
        <v/>
      </c>
      <c r="CR604" t="str">
        <f t="shared" si="111"/>
        <v/>
      </c>
      <c r="CS604" t="str">
        <f t="shared" si="112"/>
        <v/>
      </c>
      <c r="CT604" t="str">
        <f t="shared" si="113"/>
        <v/>
      </c>
      <c r="CU604" t="str">
        <f t="shared" si="114"/>
        <v/>
      </c>
      <c r="CV604" t="str">
        <f t="shared" si="115"/>
        <v/>
      </c>
      <c r="CW604" t="str">
        <f t="shared" si="116"/>
        <v/>
      </c>
      <c r="DR604">
        <v>3604061</v>
      </c>
      <c r="DS604" t="s">
        <v>295</v>
      </c>
    </row>
    <row r="605" spans="90:123" x14ac:dyDescent="0.15">
      <c r="CL605" s="13" t="str">
        <f t="shared" si="110"/>
        <v/>
      </c>
      <c r="CM605" s="13" t="str">
        <f t="shared" si="110"/>
        <v/>
      </c>
      <c r="CN605" s="13" t="str">
        <f t="shared" si="110"/>
        <v/>
      </c>
      <c r="CO605" s="13" t="str">
        <f t="shared" si="110"/>
        <v/>
      </c>
      <c r="CP605" s="13" t="str">
        <f t="shared" si="110"/>
        <v/>
      </c>
      <c r="CQ605" s="13" t="str">
        <f t="shared" si="110"/>
        <v/>
      </c>
      <c r="CR605" t="str">
        <f t="shared" si="111"/>
        <v/>
      </c>
      <c r="CS605" t="str">
        <f t="shared" si="112"/>
        <v/>
      </c>
      <c r="CT605" t="str">
        <f t="shared" si="113"/>
        <v/>
      </c>
      <c r="CU605" t="str">
        <f t="shared" si="114"/>
        <v/>
      </c>
      <c r="CV605" t="str">
        <f t="shared" si="115"/>
        <v/>
      </c>
      <c r="CW605" t="str">
        <f t="shared" si="116"/>
        <v/>
      </c>
      <c r="DR605">
        <v>3207062</v>
      </c>
      <c r="DS605" t="s">
        <v>296</v>
      </c>
    </row>
    <row r="606" spans="90:123" x14ac:dyDescent="0.15">
      <c r="CL606" s="13" t="str">
        <f t="shared" si="110"/>
        <v/>
      </c>
      <c r="CM606" s="13" t="str">
        <f t="shared" si="110"/>
        <v/>
      </c>
      <c r="CN606" s="13" t="str">
        <f t="shared" si="110"/>
        <v/>
      </c>
      <c r="CO606" s="13" t="str">
        <f t="shared" si="110"/>
        <v/>
      </c>
      <c r="CP606" s="13" t="str">
        <f t="shared" si="110"/>
        <v/>
      </c>
      <c r="CQ606" s="13" t="str">
        <f t="shared" si="110"/>
        <v/>
      </c>
      <c r="CR606" t="str">
        <f t="shared" si="111"/>
        <v/>
      </c>
      <c r="CS606" t="str">
        <f t="shared" si="112"/>
        <v/>
      </c>
      <c r="CT606" t="str">
        <f t="shared" si="113"/>
        <v/>
      </c>
      <c r="CU606" t="str">
        <f t="shared" si="114"/>
        <v/>
      </c>
      <c r="CV606" t="str">
        <f t="shared" si="115"/>
        <v/>
      </c>
      <c r="CW606" t="str">
        <f t="shared" si="116"/>
        <v/>
      </c>
      <c r="DR606">
        <v>3208062</v>
      </c>
      <c r="DS606" t="s">
        <v>297</v>
      </c>
    </row>
    <row r="607" spans="90:123" x14ac:dyDescent="0.15">
      <c r="CL607" s="13" t="str">
        <f t="shared" si="110"/>
        <v/>
      </c>
      <c r="CM607" s="13" t="str">
        <f t="shared" si="110"/>
        <v/>
      </c>
      <c r="CN607" s="13" t="str">
        <f t="shared" si="110"/>
        <v/>
      </c>
      <c r="CO607" s="13" t="str">
        <f t="shared" si="110"/>
        <v/>
      </c>
      <c r="CP607" s="13" t="str">
        <f t="shared" si="110"/>
        <v/>
      </c>
      <c r="CQ607" s="13" t="str">
        <f t="shared" si="110"/>
        <v/>
      </c>
      <c r="CR607" t="str">
        <f t="shared" si="111"/>
        <v/>
      </c>
      <c r="CS607" t="str">
        <f t="shared" si="112"/>
        <v/>
      </c>
      <c r="CT607" t="str">
        <f t="shared" si="113"/>
        <v/>
      </c>
      <c r="CU607" t="str">
        <f t="shared" si="114"/>
        <v/>
      </c>
      <c r="CV607" t="str">
        <f t="shared" si="115"/>
        <v/>
      </c>
      <c r="CW607" t="str">
        <f t="shared" si="116"/>
        <v/>
      </c>
      <c r="DR607">
        <v>3209062</v>
      </c>
      <c r="DS607" t="s">
        <v>298</v>
      </c>
    </row>
    <row r="608" spans="90:123" x14ac:dyDescent="0.15">
      <c r="CL608" s="13" t="str">
        <f t="shared" si="110"/>
        <v/>
      </c>
      <c r="CM608" s="13" t="str">
        <f t="shared" si="110"/>
        <v/>
      </c>
      <c r="CN608" s="13" t="str">
        <f t="shared" si="110"/>
        <v/>
      </c>
      <c r="CO608" s="13" t="str">
        <f t="shared" si="110"/>
        <v/>
      </c>
      <c r="CP608" s="13" t="str">
        <f t="shared" si="110"/>
        <v/>
      </c>
      <c r="CQ608" s="13" t="str">
        <f t="shared" si="110"/>
        <v/>
      </c>
      <c r="CR608" t="str">
        <f t="shared" si="111"/>
        <v/>
      </c>
      <c r="CS608" t="str">
        <f t="shared" si="112"/>
        <v/>
      </c>
      <c r="CT608" t="str">
        <f t="shared" si="113"/>
        <v/>
      </c>
      <c r="CU608" t="str">
        <f t="shared" si="114"/>
        <v/>
      </c>
      <c r="CV608" t="str">
        <f t="shared" si="115"/>
        <v/>
      </c>
      <c r="CW608" t="str">
        <f t="shared" si="116"/>
        <v/>
      </c>
      <c r="DR608">
        <v>3306062</v>
      </c>
      <c r="DS608" t="s">
        <v>299</v>
      </c>
    </row>
    <row r="609" spans="90:123" x14ac:dyDescent="0.15">
      <c r="CL609" s="13" t="str">
        <f t="shared" si="110"/>
        <v/>
      </c>
      <c r="CM609" s="13" t="str">
        <f t="shared" si="110"/>
        <v/>
      </c>
      <c r="CN609" s="13" t="str">
        <f t="shared" si="110"/>
        <v/>
      </c>
      <c r="CO609" s="13" t="str">
        <f t="shared" si="110"/>
        <v/>
      </c>
      <c r="CP609" s="13" t="str">
        <f t="shared" si="110"/>
        <v/>
      </c>
      <c r="CQ609" s="13" t="str">
        <f t="shared" si="110"/>
        <v/>
      </c>
      <c r="CR609" t="str">
        <f t="shared" si="111"/>
        <v/>
      </c>
      <c r="CS609" t="str">
        <f t="shared" si="112"/>
        <v/>
      </c>
      <c r="CT609" t="str">
        <f t="shared" si="113"/>
        <v/>
      </c>
      <c r="CU609" t="str">
        <f t="shared" si="114"/>
        <v/>
      </c>
      <c r="CV609" t="str">
        <f t="shared" si="115"/>
        <v/>
      </c>
      <c r="CW609" t="str">
        <f t="shared" si="116"/>
        <v/>
      </c>
      <c r="DR609">
        <v>3408062</v>
      </c>
      <c r="DS609" t="s">
        <v>300</v>
      </c>
    </row>
    <row r="610" spans="90:123" x14ac:dyDescent="0.15">
      <c r="CL610" s="13" t="str">
        <f t="shared" si="110"/>
        <v/>
      </c>
      <c r="CM610" s="13" t="str">
        <f t="shared" si="110"/>
        <v/>
      </c>
      <c r="CN610" s="13" t="str">
        <f t="shared" si="110"/>
        <v/>
      </c>
      <c r="CO610" s="13" t="str">
        <f t="shared" si="110"/>
        <v/>
      </c>
      <c r="CP610" s="13" t="str">
        <f t="shared" si="110"/>
        <v/>
      </c>
      <c r="CQ610" s="13" t="str">
        <f t="shared" si="110"/>
        <v/>
      </c>
      <c r="CR610" t="str">
        <f t="shared" si="111"/>
        <v/>
      </c>
      <c r="CS610" t="str">
        <f t="shared" si="112"/>
        <v/>
      </c>
      <c r="CT610" t="str">
        <f t="shared" si="113"/>
        <v/>
      </c>
      <c r="CU610" t="str">
        <f t="shared" si="114"/>
        <v/>
      </c>
      <c r="CV610" t="str">
        <f t="shared" si="115"/>
        <v/>
      </c>
      <c r="CW610" t="str">
        <f t="shared" si="116"/>
        <v/>
      </c>
      <c r="DR610">
        <v>3409062</v>
      </c>
      <c r="DS610" t="s">
        <v>301</v>
      </c>
    </row>
    <row r="611" spans="90:123" x14ac:dyDescent="0.15">
      <c r="CL611" s="13" t="str">
        <f t="shared" si="110"/>
        <v/>
      </c>
      <c r="CM611" s="13" t="str">
        <f t="shared" si="110"/>
        <v/>
      </c>
      <c r="CN611" s="13" t="str">
        <f t="shared" si="110"/>
        <v/>
      </c>
      <c r="CO611" s="13" t="str">
        <f t="shared" si="110"/>
        <v/>
      </c>
      <c r="CP611" s="13" t="str">
        <f t="shared" si="110"/>
        <v/>
      </c>
      <c r="CQ611" s="13" t="str">
        <f t="shared" si="110"/>
        <v/>
      </c>
      <c r="CR611" t="str">
        <f t="shared" si="111"/>
        <v/>
      </c>
      <c r="CS611" t="str">
        <f t="shared" si="112"/>
        <v/>
      </c>
      <c r="CT611" t="str">
        <f t="shared" si="113"/>
        <v/>
      </c>
      <c r="CU611" t="str">
        <f t="shared" si="114"/>
        <v/>
      </c>
      <c r="CV611" t="str">
        <f t="shared" si="115"/>
        <v/>
      </c>
      <c r="CW611" t="str">
        <f t="shared" si="116"/>
        <v/>
      </c>
      <c r="DR611">
        <v>3505062</v>
      </c>
      <c r="DS611" t="s">
        <v>302</v>
      </c>
    </row>
    <row r="612" spans="90:123" x14ac:dyDescent="0.15">
      <c r="CL612" s="13" t="str">
        <f t="shared" si="110"/>
        <v/>
      </c>
      <c r="CM612" s="13" t="str">
        <f t="shared" si="110"/>
        <v/>
      </c>
      <c r="CN612" s="13" t="str">
        <f t="shared" si="110"/>
        <v/>
      </c>
      <c r="CO612" s="13" t="str">
        <f t="shared" si="110"/>
        <v/>
      </c>
      <c r="CP612" s="13" t="str">
        <f t="shared" si="110"/>
        <v/>
      </c>
      <c r="CQ612" s="13" t="str">
        <f t="shared" si="110"/>
        <v/>
      </c>
      <c r="CR612" t="str">
        <f t="shared" si="111"/>
        <v/>
      </c>
      <c r="CS612" t="str">
        <f t="shared" si="112"/>
        <v/>
      </c>
      <c r="CT612" t="str">
        <f t="shared" si="113"/>
        <v/>
      </c>
      <c r="CU612" t="str">
        <f t="shared" si="114"/>
        <v/>
      </c>
      <c r="CV612" t="str">
        <f t="shared" si="115"/>
        <v/>
      </c>
      <c r="CW612" t="str">
        <f t="shared" si="116"/>
        <v/>
      </c>
      <c r="DR612">
        <v>3507062</v>
      </c>
      <c r="DS612" t="s">
        <v>303</v>
      </c>
    </row>
    <row r="613" spans="90:123" x14ac:dyDescent="0.15">
      <c r="CL613" s="13" t="str">
        <f t="shared" si="110"/>
        <v/>
      </c>
      <c r="CM613" s="13" t="str">
        <f t="shared" si="110"/>
        <v/>
      </c>
      <c r="CN613" s="13" t="str">
        <f t="shared" si="110"/>
        <v/>
      </c>
      <c r="CO613" s="13" t="str">
        <f t="shared" si="110"/>
        <v/>
      </c>
      <c r="CP613" s="13" t="str">
        <f t="shared" si="110"/>
        <v/>
      </c>
      <c r="CQ613" s="13" t="str">
        <f t="shared" si="110"/>
        <v/>
      </c>
      <c r="CR613" t="str">
        <f t="shared" si="111"/>
        <v/>
      </c>
      <c r="CS613" t="str">
        <f t="shared" si="112"/>
        <v/>
      </c>
      <c r="CT613" t="str">
        <f t="shared" si="113"/>
        <v/>
      </c>
      <c r="CU613" t="str">
        <f t="shared" si="114"/>
        <v/>
      </c>
      <c r="CV613" t="str">
        <f t="shared" si="115"/>
        <v/>
      </c>
      <c r="CW613" t="str">
        <f t="shared" si="116"/>
        <v/>
      </c>
      <c r="DR613">
        <v>3604062</v>
      </c>
      <c r="DS613" t="s">
        <v>304</v>
      </c>
    </row>
    <row r="614" spans="90:123" x14ac:dyDescent="0.15">
      <c r="CL614" s="13" t="str">
        <f t="shared" si="110"/>
        <v/>
      </c>
      <c r="CM614" s="13" t="str">
        <f t="shared" si="110"/>
        <v/>
      </c>
      <c r="CN614" s="13" t="str">
        <f t="shared" si="110"/>
        <v/>
      </c>
      <c r="CO614" s="13" t="str">
        <f t="shared" si="110"/>
        <v/>
      </c>
      <c r="CP614" s="13" t="str">
        <f t="shared" si="110"/>
        <v/>
      </c>
      <c r="CQ614" s="13" t="str">
        <f t="shared" si="110"/>
        <v/>
      </c>
      <c r="CR614" t="str">
        <f t="shared" si="111"/>
        <v/>
      </c>
      <c r="CS614" t="str">
        <f t="shared" si="112"/>
        <v/>
      </c>
      <c r="CT614" t="str">
        <f t="shared" si="113"/>
        <v/>
      </c>
      <c r="CU614" t="str">
        <f t="shared" si="114"/>
        <v/>
      </c>
      <c r="CV614" t="str">
        <f t="shared" si="115"/>
        <v/>
      </c>
      <c r="CW614" t="str">
        <f t="shared" si="116"/>
        <v/>
      </c>
      <c r="DR614">
        <v>3207063</v>
      </c>
      <c r="DS614" t="s">
        <v>305</v>
      </c>
    </row>
    <row r="615" spans="90:123" x14ac:dyDescent="0.15">
      <c r="CL615" s="13" t="str">
        <f t="shared" si="110"/>
        <v/>
      </c>
      <c r="CM615" s="13" t="str">
        <f t="shared" si="110"/>
        <v/>
      </c>
      <c r="CN615" s="13" t="str">
        <f t="shared" si="110"/>
        <v/>
      </c>
      <c r="CO615" s="13" t="str">
        <f t="shared" si="110"/>
        <v/>
      </c>
      <c r="CP615" s="13" t="str">
        <f t="shared" si="110"/>
        <v/>
      </c>
      <c r="CQ615" s="13" t="str">
        <f t="shared" si="110"/>
        <v/>
      </c>
      <c r="CR615" t="str">
        <f t="shared" si="111"/>
        <v/>
      </c>
      <c r="CS615" t="str">
        <f t="shared" si="112"/>
        <v/>
      </c>
      <c r="CT615" t="str">
        <f t="shared" si="113"/>
        <v/>
      </c>
      <c r="CU615" t="str">
        <f t="shared" si="114"/>
        <v/>
      </c>
      <c r="CV615" t="str">
        <f t="shared" si="115"/>
        <v/>
      </c>
      <c r="CW615" t="str">
        <f t="shared" si="116"/>
        <v/>
      </c>
      <c r="DR615">
        <v>3208063</v>
      </c>
      <c r="DS615" t="s">
        <v>306</v>
      </c>
    </row>
    <row r="616" spans="90:123" x14ac:dyDescent="0.15">
      <c r="CL616" s="13" t="str">
        <f t="shared" si="110"/>
        <v/>
      </c>
      <c r="CM616" s="13" t="str">
        <f t="shared" si="110"/>
        <v/>
      </c>
      <c r="CN616" s="13" t="str">
        <f t="shared" si="110"/>
        <v/>
      </c>
      <c r="CO616" s="13" t="str">
        <f t="shared" si="110"/>
        <v/>
      </c>
      <c r="CP616" s="13" t="str">
        <f t="shared" si="110"/>
        <v/>
      </c>
      <c r="CQ616" s="13" t="str">
        <f t="shared" si="110"/>
        <v/>
      </c>
      <c r="CR616" t="str">
        <f t="shared" si="111"/>
        <v/>
      </c>
      <c r="CS616" t="str">
        <f t="shared" si="112"/>
        <v/>
      </c>
      <c r="CT616" t="str">
        <f t="shared" si="113"/>
        <v/>
      </c>
      <c r="CU616" t="str">
        <f t="shared" si="114"/>
        <v/>
      </c>
      <c r="CV616" t="str">
        <f t="shared" si="115"/>
        <v/>
      </c>
      <c r="CW616" t="str">
        <f t="shared" si="116"/>
        <v/>
      </c>
      <c r="DR616">
        <v>3209063</v>
      </c>
      <c r="DS616" t="s">
        <v>307</v>
      </c>
    </row>
    <row r="617" spans="90:123" x14ac:dyDescent="0.15">
      <c r="CL617" s="13" t="str">
        <f t="shared" si="110"/>
        <v/>
      </c>
      <c r="CM617" s="13" t="str">
        <f t="shared" si="110"/>
        <v/>
      </c>
      <c r="CN617" s="13" t="str">
        <f t="shared" si="110"/>
        <v/>
      </c>
      <c r="CO617" s="13" t="str">
        <f t="shared" si="110"/>
        <v/>
      </c>
      <c r="CP617" s="13" t="str">
        <f t="shared" si="110"/>
        <v/>
      </c>
      <c r="CQ617" s="13" t="str">
        <f t="shared" si="110"/>
        <v/>
      </c>
      <c r="CR617" t="str">
        <f t="shared" si="111"/>
        <v/>
      </c>
      <c r="CS617" t="str">
        <f t="shared" si="112"/>
        <v/>
      </c>
      <c r="CT617" t="str">
        <f t="shared" si="113"/>
        <v/>
      </c>
      <c r="CU617" t="str">
        <f t="shared" si="114"/>
        <v/>
      </c>
      <c r="CV617" t="str">
        <f t="shared" si="115"/>
        <v/>
      </c>
      <c r="CW617" t="str">
        <f t="shared" si="116"/>
        <v/>
      </c>
      <c r="DR617">
        <v>3306063</v>
      </c>
      <c r="DS617" t="s">
        <v>308</v>
      </c>
    </row>
    <row r="618" spans="90:123" x14ac:dyDescent="0.15">
      <c r="CL618" s="13" t="str">
        <f t="shared" si="110"/>
        <v/>
      </c>
      <c r="CM618" s="13" t="str">
        <f t="shared" si="110"/>
        <v/>
      </c>
      <c r="CN618" s="13" t="str">
        <f t="shared" si="110"/>
        <v/>
      </c>
      <c r="CO618" s="13" t="str">
        <f t="shared" si="110"/>
        <v/>
      </c>
      <c r="CP618" s="13" t="str">
        <f t="shared" si="110"/>
        <v/>
      </c>
      <c r="CQ618" s="13" t="str">
        <f t="shared" si="110"/>
        <v/>
      </c>
      <c r="CR618" t="str">
        <f t="shared" si="111"/>
        <v/>
      </c>
      <c r="CS618" t="str">
        <f t="shared" si="112"/>
        <v/>
      </c>
      <c r="CT618" t="str">
        <f t="shared" si="113"/>
        <v/>
      </c>
      <c r="CU618" t="str">
        <f t="shared" si="114"/>
        <v/>
      </c>
      <c r="CV618" t="str">
        <f t="shared" si="115"/>
        <v/>
      </c>
      <c r="CW618" t="str">
        <f t="shared" si="116"/>
        <v/>
      </c>
      <c r="DR618">
        <v>3408063</v>
      </c>
      <c r="DS618" t="s">
        <v>309</v>
      </c>
    </row>
    <row r="619" spans="90:123" x14ac:dyDescent="0.15">
      <c r="CL619" s="13" t="str">
        <f t="shared" si="110"/>
        <v/>
      </c>
      <c r="CM619" s="13" t="str">
        <f t="shared" si="110"/>
        <v/>
      </c>
      <c r="CN619" s="13" t="str">
        <f t="shared" si="110"/>
        <v/>
      </c>
      <c r="CO619" s="13" t="str">
        <f t="shared" ref="CO619:CQ682" si="117">IF(DM619&lt;&gt;"",IF(ISERROR(MATCH(INT(CU619),$DR$4:$DR$1516,0))=FALSE,TRUE),"")</f>
        <v/>
      </c>
      <c r="CP619" s="13" t="str">
        <f t="shared" si="117"/>
        <v/>
      </c>
      <c r="CQ619" s="13" t="str">
        <f t="shared" si="117"/>
        <v/>
      </c>
      <c r="CR619" t="str">
        <f t="shared" si="111"/>
        <v/>
      </c>
      <c r="CS619" t="str">
        <f t="shared" si="112"/>
        <v/>
      </c>
      <c r="CT619" t="str">
        <f t="shared" si="113"/>
        <v/>
      </c>
      <c r="CU619" t="str">
        <f t="shared" si="114"/>
        <v/>
      </c>
      <c r="CV619" t="str">
        <f t="shared" si="115"/>
        <v/>
      </c>
      <c r="CW619" t="str">
        <f t="shared" si="116"/>
        <v/>
      </c>
      <c r="DR619">
        <v>3409063</v>
      </c>
      <c r="DS619" t="s">
        <v>310</v>
      </c>
    </row>
    <row r="620" spans="90:123" x14ac:dyDescent="0.15">
      <c r="CL620" s="13" t="str">
        <f t="shared" ref="CL620:CQ683" si="118">IF(DJ620&lt;&gt;"",IF(ISERROR(MATCH(INT(CR620),$DR$4:$DR$1516,0))=FALSE,TRUE),"")</f>
        <v/>
      </c>
      <c r="CM620" s="13" t="str">
        <f t="shared" si="118"/>
        <v/>
      </c>
      <c r="CN620" s="13" t="str">
        <f t="shared" si="118"/>
        <v/>
      </c>
      <c r="CO620" s="13" t="str">
        <f t="shared" si="117"/>
        <v/>
      </c>
      <c r="CP620" s="13" t="str">
        <f t="shared" si="117"/>
        <v/>
      </c>
      <c r="CQ620" s="13" t="str">
        <f t="shared" si="117"/>
        <v/>
      </c>
      <c r="CR620" t="str">
        <f t="shared" si="111"/>
        <v/>
      </c>
      <c r="CS620" t="str">
        <f t="shared" si="112"/>
        <v/>
      </c>
      <c r="CT620" t="str">
        <f t="shared" si="113"/>
        <v/>
      </c>
      <c r="CU620" t="str">
        <f t="shared" si="114"/>
        <v/>
      </c>
      <c r="CV620" t="str">
        <f t="shared" si="115"/>
        <v/>
      </c>
      <c r="CW620" t="str">
        <f t="shared" si="116"/>
        <v/>
      </c>
      <c r="DR620">
        <v>3505063</v>
      </c>
      <c r="DS620" t="s">
        <v>311</v>
      </c>
    </row>
    <row r="621" spans="90:123" x14ac:dyDescent="0.15">
      <c r="CL621" s="13" t="str">
        <f t="shared" si="118"/>
        <v/>
      </c>
      <c r="CM621" s="13" t="str">
        <f t="shared" si="118"/>
        <v/>
      </c>
      <c r="CN621" s="13" t="str">
        <f t="shared" si="118"/>
        <v/>
      </c>
      <c r="CO621" s="13" t="str">
        <f t="shared" si="117"/>
        <v/>
      </c>
      <c r="CP621" s="13" t="str">
        <f t="shared" si="117"/>
        <v/>
      </c>
      <c r="CQ621" s="13" t="str">
        <f t="shared" si="117"/>
        <v/>
      </c>
      <c r="CR621" t="str">
        <f t="shared" si="111"/>
        <v/>
      </c>
      <c r="CS621" t="str">
        <f t="shared" si="112"/>
        <v/>
      </c>
      <c r="CT621" t="str">
        <f t="shared" si="113"/>
        <v/>
      </c>
      <c r="CU621" t="str">
        <f t="shared" si="114"/>
        <v/>
      </c>
      <c r="CV621" t="str">
        <f t="shared" si="115"/>
        <v/>
      </c>
      <c r="CW621" t="str">
        <f t="shared" si="116"/>
        <v/>
      </c>
      <c r="DR621">
        <v>3507063</v>
      </c>
      <c r="DS621" t="s">
        <v>312</v>
      </c>
    </row>
    <row r="622" spans="90:123" x14ac:dyDescent="0.15">
      <c r="CL622" s="13" t="str">
        <f t="shared" si="118"/>
        <v/>
      </c>
      <c r="CM622" s="13" t="str">
        <f t="shared" si="118"/>
        <v/>
      </c>
      <c r="CN622" s="13" t="str">
        <f t="shared" si="118"/>
        <v/>
      </c>
      <c r="CO622" s="13" t="str">
        <f t="shared" si="117"/>
        <v/>
      </c>
      <c r="CP622" s="13" t="str">
        <f t="shared" si="117"/>
        <v/>
      </c>
      <c r="CQ622" s="13" t="str">
        <f t="shared" si="117"/>
        <v/>
      </c>
      <c r="CR622" t="str">
        <f t="shared" si="111"/>
        <v/>
      </c>
      <c r="CS622" t="str">
        <f t="shared" si="112"/>
        <v/>
      </c>
      <c r="CT622" t="str">
        <f t="shared" si="113"/>
        <v/>
      </c>
      <c r="CU622" t="str">
        <f t="shared" si="114"/>
        <v/>
      </c>
      <c r="CV622" t="str">
        <f t="shared" si="115"/>
        <v/>
      </c>
      <c r="CW622" t="str">
        <f t="shared" si="116"/>
        <v/>
      </c>
      <c r="DR622">
        <v>3604063</v>
      </c>
      <c r="DS622" t="s">
        <v>313</v>
      </c>
    </row>
    <row r="623" spans="90:123" x14ac:dyDescent="0.15">
      <c r="CL623" s="13" t="str">
        <f t="shared" si="118"/>
        <v/>
      </c>
      <c r="CM623" s="13" t="str">
        <f t="shared" si="118"/>
        <v/>
      </c>
      <c r="CN623" s="13" t="str">
        <f t="shared" si="118"/>
        <v/>
      </c>
      <c r="CO623" s="13" t="str">
        <f t="shared" si="117"/>
        <v/>
      </c>
      <c r="CP623" s="13" t="str">
        <f t="shared" si="117"/>
        <v/>
      </c>
      <c r="CQ623" s="13" t="str">
        <f t="shared" si="117"/>
        <v/>
      </c>
      <c r="CR623" t="str">
        <f t="shared" si="111"/>
        <v/>
      </c>
      <c r="CS623" t="str">
        <f t="shared" si="112"/>
        <v/>
      </c>
      <c r="CT623" t="str">
        <f t="shared" si="113"/>
        <v/>
      </c>
      <c r="CU623" t="str">
        <f t="shared" si="114"/>
        <v/>
      </c>
      <c r="CV623" t="str">
        <f t="shared" si="115"/>
        <v/>
      </c>
      <c r="CW623" t="str">
        <f t="shared" si="116"/>
        <v/>
      </c>
      <c r="DR623">
        <v>3506064</v>
      </c>
      <c r="DS623" t="s">
        <v>314</v>
      </c>
    </row>
    <row r="624" spans="90:123" x14ac:dyDescent="0.15">
      <c r="CL624" s="13" t="str">
        <f t="shared" si="118"/>
        <v/>
      </c>
      <c r="CM624" s="13" t="str">
        <f t="shared" si="118"/>
        <v/>
      </c>
      <c r="CN624" s="13" t="str">
        <f t="shared" si="118"/>
        <v/>
      </c>
      <c r="CO624" s="13" t="str">
        <f t="shared" si="117"/>
        <v/>
      </c>
      <c r="CP624" s="13" t="str">
        <f t="shared" si="117"/>
        <v/>
      </c>
      <c r="CQ624" s="13" t="str">
        <f t="shared" si="117"/>
        <v/>
      </c>
      <c r="CR624" t="str">
        <f t="shared" si="111"/>
        <v/>
      </c>
      <c r="CS624" t="str">
        <f t="shared" si="112"/>
        <v/>
      </c>
      <c r="CT624" t="str">
        <f t="shared" si="113"/>
        <v/>
      </c>
      <c r="CU624" t="str">
        <f t="shared" si="114"/>
        <v/>
      </c>
      <c r="CV624" t="str">
        <f t="shared" si="115"/>
        <v/>
      </c>
      <c r="CW624" t="str">
        <f t="shared" si="116"/>
        <v/>
      </c>
      <c r="DR624">
        <v>3603064</v>
      </c>
      <c r="DS624" t="s">
        <v>315</v>
      </c>
    </row>
    <row r="625" spans="90:123" x14ac:dyDescent="0.15">
      <c r="CL625" s="13" t="str">
        <f t="shared" si="118"/>
        <v/>
      </c>
      <c r="CM625" s="13" t="str">
        <f t="shared" si="118"/>
        <v/>
      </c>
      <c r="CN625" s="13" t="str">
        <f t="shared" si="118"/>
        <v/>
      </c>
      <c r="CO625" s="13" t="str">
        <f t="shared" si="117"/>
        <v/>
      </c>
      <c r="CP625" s="13" t="str">
        <f t="shared" si="117"/>
        <v/>
      </c>
      <c r="CQ625" s="13" t="str">
        <f t="shared" si="117"/>
        <v/>
      </c>
      <c r="CR625" t="str">
        <f t="shared" si="111"/>
        <v/>
      </c>
      <c r="CS625" t="str">
        <f t="shared" si="112"/>
        <v/>
      </c>
      <c r="CT625" t="str">
        <f t="shared" si="113"/>
        <v/>
      </c>
      <c r="CU625" t="str">
        <f t="shared" si="114"/>
        <v/>
      </c>
      <c r="CV625" t="str">
        <f t="shared" si="115"/>
        <v/>
      </c>
      <c r="CW625" t="str">
        <f t="shared" si="116"/>
        <v/>
      </c>
      <c r="DR625">
        <v>3605064</v>
      </c>
      <c r="DS625" t="s">
        <v>316</v>
      </c>
    </row>
    <row r="626" spans="90:123" x14ac:dyDescent="0.15">
      <c r="CL626" s="13" t="str">
        <f t="shared" si="118"/>
        <v/>
      </c>
      <c r="CM626" s="13" t="str">
        <f t="shared" si="118"/>
        <v/>
      </c>
      <c r="CN626" s="13" t="str">
        <f t="shared" si="118"/>
        <v/>
      </c>
      <c r="CO626" s="13" t="str">
        <f t="shared" si="117"/>
        <v/>
      </c>
      <c r="CP626" s="13" t="str">
        <f t="shared" si="117"/>
        <v/>
      </c>
      <c r="CQ626" s="13" t="str">
        <f t="shared" si="117"/>
        <v/>
      </c>
      <c r="CR626" t="str">
        <f t="shared" si="111"/>
        <v/>
      </c>
      <c r="CS626" t="str">
        <f t="shared" si="112"/>
        <v/>
      </c>
      <c r="CT626" t="str">
        <f t="shared" si="113"/>
        <v/>
      </c>
      <c r="CU626" t="str">
        <f t="shared" si="114"/>
        <v/>
      </c>
      <c r="CV626" t="str">
        <f t="shared" si="115"/>
        <v/>
      </c>
      <c r="CW626" t="str">
        <f t="shared" si="116"/>
        <v/>
      </c>
      <c r="DR626">
        <v>3305065</v>
      </c>
      <c r="DS626" t="s">
        <v>317</v>
      </c>
    </row>
    <row r="627" spans="90:123" x14ac:dyDescent="0.15">
      <c r="CL627" s="13" t="str">
        <f t="shared" si="118"/>
        <v/>
      </c>
      <c r="CM627" s="13" t="str">
        <f t="shared" si="118"/>
        <v/>
      </c>
      <c r="CN627" s="13" t="str">
        <f t="shared" si="118"/>
        <v/>
      </c>
      <c r="CO627" s="13" t="str">
        <f t="shared" si="117"/>
        <v/>
      </c>
      <c r="CP627" s="13" t="str">
        <f t="shared" si="117"/>
        <v/>
      </c>
      <c r="CQ627" s="13" t="str">
        <f t="shared" si="117"/>
        <v/>
      </c>
      <c r="CR627" t="str">
        <f t="shared" si="111"/>
        <v/>
      </c>
      <c r="CS627" t="str">
        <f t="shared" si="112"/>
        <v/>
      </c>
      <c r="CT627" t="str">
        <f t="shared" si="113"/>
        <v/>
      </c>
      <c r="CU627" t="str">
        <f t="shared" si="114"/>
        <v/>
      </c>
      <c r="CV627" t="str">
        <f t="shared" si="115"/>
        <v/>
      </c>
      <c r="CW627" t="str">
        <f t="shared" si="116"/>
        <v/>
      </c>
      <c r="DR627">
        <v>3307065</v>
      </c>
      <c r="DS627" t="s">
        <v>318</v>
      </c>
    </row>
    <row r="628" spans="90:123" x14ac:dyDescent="0.15">
      <c r="CL628" s="13" t="str">
        <f t="shared" si="118"/>
        <v/>
      </c>
      <c r="CM628" s="13" t="str">
        <f t="shared" si="118"/>
        <v/>
      </c>
      <c r="CN628" s="13" t="str">
        <f t="shared" si="118"/>
        <v/>
      </c>
      <c r="CO628" s="13" t="str">
        <f t="shared" si="117"/>
        <v/>
      </c>
      <c r="CP628" s="13" t="str">
        <f t="shared" si="117"/>
        <v/>
      </c>
      <c r="CQ628" s="13" t="str">
        <f t="shared" si="117"/>
        <v/>
      </c>
      <c r="CR628" t="str">
        <f t="shared" si="111"/>
        <v/>
      </c>
      <c r="CS628" t="str">
        <f t="shared" si="112"/>
        <v/>
      </c>
      <c r="CT628" t="str">
        <f t="shared" si="113"/>
        <v/>
      </c>
      <c r="CU628" t="str">
        <f t="shared" si="114"/>
        <v/>
      </c>
      <c r="CV628" t="str">
        <f t="shared" si="115"/>
        <v/>
      </c>
      <c r="CW628" t="str">
        <f t="shared" si="116"/>
        <v/>
      </c>
      <c r="DR628">
        <v>3407065</v>
      </c>
      <c r="DS628" t="s">
        <v>319</v>
      </c>
    </row>
    <row r="629" spans="90:123" x14ac:dyDescent="0.15">
      <c r="CL629" s="13" t="str">
        <f t="shared" si="118"/>
        <v/>
      </c>
      <c r="CM629" s="13" t="str">
        <f t="shared" si="118"/>
        <v/>
      </c>
      <c r="CN629" s="13" t="str">
        <f t="shared" si="118"/>
        <v/>
      </c>
      <c r="CO629" s="13" t="str">
        <f t="shared" si="117"/>
        <v/>
      </c>
      <c r="CP629" s="13" t="str">
        <f t="shared" si="117"/>
        <v/>
      </c>
      <c r="CQ629" s="13" t="str">
        <f t="shared" si="117"/>
        <v/>
      </c>
      <c r="CR629" t="str">
        <f t="shared" si="111"/>
        <v/>
      </c>
      <c r="CS629" t="str">
        <f t="shared" si="112"/>
        <v/>
      </c>
      <c r="CT629" t="str">
        <f t="shared" si="113"/>
        <v/>
      </c>
      <c r="CU629" t="str">
        <f t="shared" si="114"/>
        <v/>
      </c>
      <c r="CV629" t="str">
        <f t="shared" si="115"/>
        <v/>
      </c>
      <c r="CW629" t="str">
        <f t="shared" si="116"/>
        <v/>
      </c>
      <c r="DR629">
        <v>3207071</v>
      </c>
      <c r="DS629" t="s">
        <v>287</v>
      </c>
    </row>
    <row r="630" spans="90:123" x14ac:dyDescent="0.15">
      <c r="CL630" s="13" t="str">
        <f t="shared" si="118"/>
        <v/>
      </c>
      <c r="CM630" s="13" t="str">
        <f t="shared" si="118"/>
        <v/>
      </c>
      <c r="CN630" s="13" t="str">
        <f t="shared" si="118"/>
        <v/>
      </c>
      <c r="CO630" s="13" t="str">
        <f t="shared" si="117"/>
        <v/>
      </c>
      <c r="CP630" s="13" t="str">
        <f t="shared" si="117"/>
        <v/>
      </c>
      <c r="CQ630" s="13" t="str">
        <f t="shared" si="117"/>
        <v/>
      </c>
      <c r="CR630" t="str">
        <f t="shared" si="111"/>
        <v/>
      </c>
      <c r="CS630" t="str">
        <f t="shared" si="112"/>
        <v/>
      </c>
      <c r="CT630" t="str">
        <f t="shared" si="113"/>
        <v/>
      </c>
      <c r="CU630" t="str">
        <f t="shared" si="114"/>
        <v/>
      </c>
      <c r="CV630" t="str">
        <f t="shared" si="115"/>
        <v/>
      </c>
      <c r="CW630" t="str">
        <f t="shared" si="116"/>
        <v/>
      </c>
      <c r="DR630">
        <v>3208071</v>
      </c>
      <c r="DS630" t="s">
        <v>288</v>
      </c>
    </row>
    <row r="631" spans="90:123" x14ac:dyDescent="0.15">
      <c r="CL631" s="13" t="str">
        <f t="shared" si="118"/>
        <v/>
      </c>
      <c r="CM631" s="13" t="str">
        <f t="shared" si="118"/>
        <v/>
      </c>
      <c r="CN631" s="13" t="str">
        <f t="shared" si="118"/>
        <v/>
      </c>
      <c r="CO631" s="13" t="str">
        <f t="shared" si="117"/>
        <v/>
      </c>
      <c r="CP631" s="13" t="str">
        <f t="shared" si="117"/>
        <v/>
      </c>
      <c r="CQ631" s="13" t="str">
        <f t="shared" si="117"/>
        <v/>
      </c>
      <c r="CR631" t="str">
        <f t="shared" si="111"/>
        <v/>
      </c>
      <c r="CS631" t="str">
        <f t="shared" si="112"/>
        <v/>
      </c>
      <c r="CT631" t="str">
        <f t="shared" si="113"/>
        <v/>
      </c>
      <c r="CU631" t="str">
        <f t="shared" si="114"/>
        <v/>
      </c>
      <c r="CV631" t="str">
        <f t="shared" si="115"/>
        <v/>
      </c>
      <c r="CW631" t="str">
        <f t="shared" si="116"/>
        <v/>
      </c>
      <c r="DR631">
        <v>3209071</v>
      </c>
      <c r="DS631" t="s">
        <v>289</v>
      </c>
    </row>
    <row r="632" spans="90:123" x14ac:dyDescent="0.15">
      <c r="CL632" s="13" t="str">
        <f t="shared" si="118"/>
        <v/>
      </c>
      <c r="CM632" s="13" t="str">
        <f t="shared" si="118"/>
        <v/>
      </c>
      <c r="CN632" s="13" t="str">
        <f t="shared" si="118"/>
        <v/>
      </c>
      <c r="CO632" s="13" t="str">
        <f t="shared" si="117"/>
        <v/>
      </c>
      <c r="CP632" s="13" t="str">
        <f t="shared" si="117"/>
        <v/>
      </c>
      <c r="CQ632" s="13" t="str">
        <f t="shared" si="117"/>
        <v/>
      </c>
      <c r="CR632" t="str">
        <f t="shared" si="111"/>
        <v/>
      </c>
      <c r="CS632" t="str">
        <f t="shared" si="112"/>
        <v/>
      </c>
      <c r="CT632" t="str">
        <f t="shared" si="113"/>
        <v/>
      </c>
      <c r="CU632" t="str">
        <f t="shared" si="114"/>
        <v/>
      </c>
      <c r="CV632" t="str">
        <f t="shared" si="115"/>
        <v/>
      </c>
      <c r="CW632" t="str">
        <f t="shared" si="116"/>
        <v/>
      </c>
      <c r="DR632">
        <v>3306071</v>
      </c>
      <c r="DS632" t="s">
        <v>290</v>
      </c>
    </row>
    <row r="633" spans="90:123" x14ac:dyDescent="0.15">
      <c r="CL633" s="13" t="str">
        <f t="shared" si="118"/>
        <v/>
      </c>
      <c r="CM633" s="13" t="str">
        <f t="shared" si="118"/>
        <v/>
      </c>
      <c r="CN633" s="13" t="str">
        <f t="shared" si="118"/>
        <v/>
      </c>
      <c r="CO633" s="13" t="str">
        <f t="shared" si="117"/>
        <v/>
      </c>
      <c r="CP633" s="13" t="str">
        <f t="shared" si="117"/>
        <v/>
      </c>
      <c r="CQ633" s="13" t="str">
        <f t="shared" si="117"/>
        <v/>
      </c>
      <c r="CR633" t="str">
        <f t="shared" si="111"/>
        <v/>
      </c>
      <c r="CS633" t="str">
        <f t="shared" si="112"/>
        <v/>
      </c>
      <c r="CT633" t="str">
        <f t="shared" si="113"/>
        <v/>
      </c>
      <c r="CU633" t="str">
        <f t="shared" si="114"/>
        <v/>
      </c>
      <c r="CV633" t="str">
        <f t="shared" si="115"/>
        <v/>
      </c>
      <c r="CW633" t="str">
        <f t="shared" si="116"/>
        <v/>
      </c>
      <c r="DR633">
        <v>3408071</v>
      </c>
      <c r="DS633" t="s">
        <v>291</v>
      </c>
    </row>
    <row r="634" spans="90:123" x14ac:dyDescent="0.15">
      <c r="CL634" s="13" t="str">
        <f t="shared" si="118"/>
        <v/>
      </c>
      <c r="CM634" s="13" t="str">
        <f t="shared" si="118"/>
        <v/>
      </c>
      <c r="CN634" s="13" t="str">
        <f t="shared" si="118"/>
        <v/>
      </c>
      <c r="CO634" s="13" t="str">
        <f t="shared" si="117"/>
        <v/>
      </c>
      <c r="CP634" s="13" t="str">
        <f t="shared" si="117"/>
        <v/>
      </c>
      <c r="CQ634" s="13" t="str">
        <f t="shared" si="117"/>
        <v/>
      </c>
      <c r="CR634" t="str">
        <f t="shared" si="111"/>
        <v/>
      </c>
      <c r="CS634" t="str">
        <f t="shared" si="112"/>
        <v/>
      </c>
      <c r="CT634" t="str">
        <f t="shared" si="113"/>
        <v/>
      </c>
      <c r="CU634" t="str">
        <f t="shared" si="114"/>
        <v/>
      </c>
      <c r="CV634" t="str">
        <f t="shared" si="115"/>
        <v/>
      </c>
      <c r="CW634" t="str">
        <f t="shared" si="116"/>
        <v/>
      </c>
      <c r="DR634">
        <v>3409071</v>
      </c>
      <c r="DS634" t="s">
        <v>292</v>
      </c>
    </row>
    <row r="635" spans="90:123" x14ac:dyDescent="0.15">
      <c r="CL635" s="13" t="str">
        <f t="shared" si="118"/>
        <v/>
      </c>
      <c r="CM635" s="13" t="str">
        <f t="shared" si="118"/>
        <v/>
      </c>
      <c r="CN635" s="13" t="str">
        <f t="shared" si="118"/>
        <v/>
      </c>
      <c r="CO635" s="13" t="str">
        <f t="shared" si="117"/>
        <v/>
      </c>
      <c r="CP635" s="13" t="str">
        <f t="shared" si="117"/>
        <v/>
      </c>
      <c r="CQ635" s="13" t="str">
        <f t="shared" si="117"/>
        <v/>
      </c>
      <c r="CR635" t="str">
        <f t="shared" si="111"/>
        <v/>
      </c>
      <c r="CS635" t="str">
        <f t="shared" si="112"/>
        <v/>
      </c>
      <c r="CT635" t="str">
        <f t="shared" si="113"/>
        <v/>
      </c>
      <c r="CU635" t="str">
        <f t="shared" si="114"/>
        <v/>
      </c>
      <c r="CV635" t="str">
        <f t="shared" si="115"/>
        <v/>
      </c>
      <c r="CW635" t="str">
        <f t="shared" si="116"/>
        <v/>
      </c>
      <c r="DR635">
        <v>3505071</v>
      </c>
      <c r="DS635" t="s">
        <v>293</v>
      </c>
    </row>
    <row r="636" spans="90:123" x14ac:dyDescent="0.15">
      <c r="CL636" s="13" t="str">
        <f t="shared" si="118"/>
        <v/>
      </c>
      <c r="CM636" s="13" t="str">
        <f t="shared" si="118"/>
        <v/>
      </c>
      <c r="CN636" s="13" t="str">
        <f t="shared" si="118"/>
        <v/>
      </c>
      <c r="CO636" s="13" t="str">
        <f t="shared" si="117"/>
        <v/>
      </c>
      <c r="CP636" s="13" t="str">
        <f t="shared" si="117"/>
        <v/>
      </c>
      <c r="CQ636" s="13" t="str">
        <f t="shared" si="117"/>
        <v/>
      </c>
      <c r="CR636" t="str">
        <f t="shared" si="111"/>
        <v/>
      </c>
      <c r="CS636" t="str">
        <f t="shared" si="112"/>
        <v/>
      </c>
      <c r="CT636" t="str">
        <f t="shared" si="113"/>
        <v/>
      </c>
      <c r="CU636" t="str">
        <f t="shared" si="114"/>
        <v/>
      </c>
      <c r="CV636" t="str">
        <f t="shared" si="115"/>
        <v/>
      </c>
      <c r="CW636" t="str">
        <f t="shared" si="116"/>
        <v/>
      </c>
      <c r="DR636">
        <v>3507071</v>
      </c>
      <c r="DS636" t="s">
        <v>294</v>
      </c>
    </row>
    <row r="637" spans="90:123" x14ac:dyDescent="0.15">
      <c r="CL637" s="13" t="str">
        <f t="shared" si="118"/>
        <v/>
      </c>
      <c r="CM637" s="13" t="str">
        <f t="shared" si="118"/>
        <v/>
      </c>
      <c r="CN637" s="13" t="str">
        <f t="shared" si="118"/>
        <v/>
      </c>
      <c r="CO637" s="13" t="str">
        <f t="shared" si="117"/>
        <v/>
      </c>
      <c r="CP637" s="13" t="str">
        <f t="shared" si="117"/>
        <v/>
      </c>
      <c r="CQ637" s="13" t="str">
        <f t="shared" si="117"/>
        <v/>
      </c>
      <c r="CR637" t="str">
        <f t="shared" si="111"/>
        <v/>
      </c>
      <c r="CS637" t="str">
        <f t="shared" si="112"/>
        <v/>
      </c>
      <c r="CT637" t="str">
        <f t="shared" si="113"/>
        <v/>
      </c>
      <c r="CU637" t="str">
        <f t="shared" si="114"/>
        <v/>
      </c>
      <c r="CV637" t="str">
        <f t="shared" si="115"/>
        <v/>
      </c>
      <c r="CW637" t="str">
        <f t="shared" si="116"/>
        <v/>
      </c>
      <c r="DR637">
        <v>3604071</v>
      </c>
      <c r="DS637" t="s">
        <v>295</v>
      </c>
    </row>
    <row r="638" spans="90:123" x14ac:dyDescent="0.15">
      <c r="CL638" s="13" t="str">
        <f t="shared" si="118"/>
        <v/>
      </c>
      <c r="CM638" s="13" t="str">
        <f t="shared" si="118"/>
        <v/>
      </c>
      <c r="CN638" s="13" t="str">
        <f t="shared" si="118"/>
        <v/>
      </c>
      <c r="CO638" s="13" t="str">
        <f t="shared" si="117"/>
        <v/>
      </c>
      <c r="CP638" s="13" t="str">
        <f t="shared" si="117"/>
        <v/>
      </c>
      <c r="CQ638" s="13" t="str">
        <f t="shared" si="117"/>
        <v/>
      </c>
      <c r="CR638" t="str">
        <f t="shared" si="111"/>
        <v/>
      </c>
      <c r="CS638" t="str">
        <f t="shared" si="112"/>
        <v/>
      </c>
      <c r="CT638" t="str">
        <f t="shared" si="113"/>
        <v/>
      </c>
      <c r="CU638" t="str">
        <f t="shared" si="114"/>
        <v/>
      </c>
      <c r="CV638" t="str">
        <f t="shared" si="115"/>
        <v/>
      </c>
      <c r="CW638" t="str">
        <f t="shared" si="116"/>
        <v/>
      </c>
      <c r="DR638">
        <v>3207072</v>
      </c>
      <c r="DS638" t="s">
        <v>296</v>
      </c>
    </row>
    <row r="639" spans="90:123" x14ac:dyDescent="0.15">
      <c r="CL639" s="13" t="str">
        <f t="shared" si="118"/>
        <v/>
      </c>
      <c r="CM639" s="13" t="str">
        <f t="shared" si="118"/>
        <v/>
      </c>
      <c r="CN639" s="13" t="str">
        <f t="shared" si="118"/>
        <v/>
      </c>
      <c r="CO639" s="13" t="str">
        <f t="shared" si="117"/>
        <v/>
      </c>
      <c r="CP639" s="13" t="str">
        <f t="shared" si="117"/>
        <v/>
      </c>
      <c r="CQ639" s="13" t="str">
        <f t="shared" si="117"/>
        <v/>
      </c>
      <c r="CR639" t="str">
        <f t="shared" si="111"/>
        <v/>
      </c>
      <c r="CS639" t="str">
        <f t="shared" si="112"/>
        <v/>
      </c>
      <c r="CT639" t="str">
        <f t="shared" si="113"/>
        <v/>
      </c>
      <c r="CU639" t="str">
        <f t="shared" si="114"/>
        <v/>
      </c>
      <c r="CV639" t="str">
        <f t="shared" si="115"/>
        <v/>
      </c>
      <c r="CW639" t="str">
        <f t="shared" si="116"/>
        <v/>
      </c>
      <c r="DR639">
        <v>3208072</v>
      </c>
      <c r="DS639" t="s">
        <v>297</v>
      </c>
    </row>
    <row r="640" spans="90:123" x14ac:dyDescent="0.15">
      <c r="CL640" s="13" t="str">
        <f t="shared" si="118"/>
        <v/>
      </c>
      <c r="CM640" s="13" t="str">
        <f t="shared" si="118"/>
        <v/>
      </c>
      <c r="CN640" s="13" t="str">
        <f t="shared" si="118"/>
        <v/>
      </c>
      <c r="CO640" s="13" t="str">
        <f t="shared" si="117"/>
        <v/>
      </c>
      <c r="CP640" s="13" t="str">
        <f t="shared" si="117"/>
        <v/>
      </c>
      <c r="CQ640" s="13" t="str">
        <f t="shared" si="117"/>
        <v/>
      </c>
      <c r="CR640" t="str">
        <f t="shared" si="111"/>
        <v/>
      </c>
      <c r="CS640" t="str">
        <f t="shared" si="112"/>
        <v/>
      </c>
      <c r="CT640" t="str">
        <f t="shared" si="113"/>
        <v/>
      </c>
      <c r="CU640" t="str">
        <f t="shared" si="114"/>
        <v/>
      </c>
      <c r="CV640" t="str">
        <f t="shared" si="115"/>
        <v/>
      </c>
      <c r="CW640" t="str">
        <f t="shared" si="116"/>
        <v/>
      </c>
      <c r="DR640">
        <v>3209072</v>
      </c>
      <c r="DS640" t="s">
        <v>298</v>
      </c>
    </row>
    <row r="641" spans="90:123" x14ac:dyDescent="0.15">
      <c r="CL641" s="13" t="str">
        <f t="shared" si="118"/>
        <v/>
      </c>
      <c r="CM641" s="13" t="str">
        <f t="shared" si="118"/>
        <v/>
      </c>
      <c r="CN641" s="13" t="str">
        <f t="shared" si="118"/>
        <v/>
      </c>
      <c r="CO641" s="13" t="str">
        <f t="shared" si="117"/>
        <v/>
      </c>
      <c r="CP641" s="13" t="str">
        <f t="shared" si="117"/>
        <v/>
      </c>
      <c r="CQ641" s="13" t="str">
        <f t="shared" si="117"/>
        <v/>
      </c>
      <c r="CR641" t="str">
        <f t="shared" si="111"/>
        <v/>
      </c>
      <c r="CS641" t="str">
        <f t="shared" si="112"/>
        <v/>
      </c>
      <c r="CT641" t="str">
        <f t="shared" si="113"/>
        <v/>
      </c>
      <c r="CU641" t="str">
        <f t="shared" si="114"/>
        <v/>
      </c>
      <c r="CV641" t="str">
        <f t="shared" si="115"/>
        <v/>
      </c>
      <c r="CW641" t="str">
        <f t="shared" si="116"/>
        <v/>
      </c>
      <c r="DR641">
        <v>3306072</v>
      </c>
      <c r="DS641" t="s">
        <v>299</v>
      </c>
    </row>
    <row r="642" spans="90:123" x14ac:dyDescent="0.15">
      <c r="CL642" s="13" t="str">
        <f t="shared" si="118"/>
        <v/>
      </c>
      <c r="CM642" s="13" t="str">
        <f t="shared" si="118"/>
        <v/>
      </c>
      <c r="CN642" s="13" t="str">
        <f t="shared" si="118"/>
        <v/>
      </c>
      <c r="CO642" s="13" t="str">
        <f t="shared" si="117"/>
        <v/>
      </c>
      <c r="CP642" s="13" t="str">
        <f t="shared" si="117"/>
        <v/>
      </c>
      <c r="CQ642" s="13" t="str">
        <f t="shared" si="117"/>
        <v/>
      </c>
      <c r="CR642" t="str">
        <f t="shared" si="111"/>
        <v/>
      </c>
      <c r="CS642" t="str">
        <f t="shared" si="112"/>
        <v/>
      </c>
      <c r="CT642" t="str">
        <f t="shared" si="113"/>
        <v/>
      </c>
      <c r="CU642" t="str">
        <f t="shared" si="114"/>
        <v/>
      </c>
      <c r="CV642" t="str">
        <f t="shared" si="115"/>
        <v/>
      </c>
      <c r="CW642" t="str">
        <f t="shared" si="116"/>
        <v/>
      </c>
      <c r="DR642">
        <v>3408072</v>
      </c>
      <c r="DS642" t="s">
        <v>300</v>
      </c>
    </row>
    <row r="643" spans="90:123" x14ac:dyDescent="0.15">
      <c r="CL643" s="13" t="str">
        <f t="shared" si="118"/>
        <v/>
      </c>
      <c r="CM643" s="13" t="str">
        <f t="shared" si="118"/>
        <v/>
      </c>
      <c r="CN643" s="13" t="str">
        <f t="shared" si="118"/>
        <v/>
      </c>
      <c r="CO643" s="13" t="str">
        <f t="shared" si="117"/>
        <v/>
      </c>
      <c r="CP643" s="13" t="str">
        <f t="shared" si="117"/>
        <v/>
      </c>
      <c r="CQ643" s="13" t="str">
        <f t="shared" si="117"/>
        <v/>
      </c>
      <c r="CR643" t="str">
        <f t="shared" ref="CR643:CR706" si="119">IF(DJ643&lt;&gt;"",REPLACE(REPLACE(INDEX($DR$4:$DR$1516,MATCH(DJ643,$DS$4:$DS$1516,0)),6,1,CX643),1,1,DD643),"")</f>
        <v/>
      </c>
      <c r="CS643" t="str">
        <f t="shared" ref="CS643:CS706" si="120">IF(DK643&lt;&gt;"",REPLACE(REPLACE(INDEX($DR$4:$DR$1516,MATCH(DK643,$DS$4:$DS$1516,0)),6,1,CY643),1,1,DE643),"")</f>
        <v/>
      </c>
      <c r="CT643" t="str">
        <f t="shared" ref="CT643:CT706" si="121">IF(DL643&lt;&gt;"",REPLACE(REPLACE(INDEX($DR$4:$DR$1516,MATCH(DL643,$DS$4:$DS$1516,0)),6,1,CZ643),1,1,DF643),"")</f>
        <v/>
      </c>
      <c r="CU643" t="str">
        <f t="shared" ref="CU643:CU706" si="122">IF(DM643&lt;&gt;"",REPLACE(REPLACE(INDEX($DR$4:$DR$1516,MATCH(DM643,$DS$4:$DS$1516,0)),6,1,DA643),1,1,DG643),"")</f>
        <v/>
      </c>
      <c r="CV643" t="str">
        <f t="shared" ref="CV643:CV706" si="123">IF(DN643&lt;&gt;"",REPLACE(REPLACE(INDEX($DR$4:$DR$1516,MATCH(DN643,$DS$4:$DS$1516,0)),6,1,DB643),1,1,DH643),"")</f>
        <v/>
      </c>
      <c r="CW643" t="str">
        <f t="shared" ref="CW643:CW706" si="124">IF(DO643&lt;&gt;"",REPLACE(REPLACE(INDEX($DR$4:$DR$1516,MATCH(DO643,$DS$4:$DS$1516,0)),6,1,DC643),1,1,DI643),"")</f>
        <v/>
      </c>
      <c r="DR643">
        <v>3409072</v>
      </c>
      <c r="DS643" t="s">
        <v>301</v>
      </c>
    </row>
    <row r="644" spans="90:123" x14ac:dyDescent="0.15">
      <c r="CL644" s="13" t="str">
        <f t="shared" si="118"/>
        <v/>
      </c>
      <c r="CM644" s="13" t="str">
        <f t="shared" si="118"/>
        <v/>
      </c>
      <c r="CN644" s="13" t="str">
        <f t="shared" si="118"/>
        <v/>
      </c>
      <c r="CO644" s="13" t="str">
        <f t="shared" si="117"/>
        <v/>
      </c>
      <c r="CP644" s="13" t="str">
        <f t="shared" si="117"/>
        <v/>
      </c>
      <c r="CQ644" s="13" t="str">
        <f t="shared" si="117"/>
        <v/>
      </c>
      <c r="CR644" t="str">
        <f t="shared" si="119"/>
        <v/>
      </c>
      <c r="CS644" t="str">
        <f t="shared" si="120"/>
        <v/>
      </c>
      <c r="CT644" t="str">
        <f t="shared" si="121"/>
        <v/>
      </c>
      <c r="CU644" t="str">
        <f t="shared" si="122"/>
        <v/>
      </c>
      <c r="CV644" t="str">
        <f t="shared" si="123"/>
        <v/>
      </c>
      <c r="CW644" t="str">
        <f t="shared" si="124"/>
        <v/>
      </c>
      <c r="DR644">
        <v>3505072</v>
      </c>
      <c r="DS644" t="s">
        <v>302</v>
      </c>
    </row>
    <row r="645" spans="90:123" x14ac:dyDescent="0.15">
      <c r="CL645" s="13" t="str">
        <f t="shared" si="118"/>
        <v/>
      </c>
      <c r="CM645" s="13" t="str">
        <f t="shared" si="118"/>
        <v/>
      </c>
      <c r="CN645" s="13" t="str">
        <f t="shared" si="118"/>
        <v/>
      </c>
      <c r="CO645" s="13" t="str">
        <f t="shared" si="117"/>
        <v/>
      </c>
      <c r="CP645" s="13" t="str">
        <f t="shared" si="117"/>
        <v/>
      </c>
      <c r="CQ645" s="13" t="str">
        <f t="shared" si="117"/>
        <v/>
      </c>
      <c r="CR645" t="str">
        <f t="shared" si="119"/>
        <v/>
      </c>
      <c r="CS645" t="str">
        <f t="shared" si="120"/>
        <v/>
      </c>
      <c r="CT645" t="str">
        <f t="shared" si="121"/>
        <v/>
      </c>
      <c r="CU645" t="str">
        <f t="shared" si="122"/>
        <v/>
      </c>
      <c r="CV645" t="str">
        <f t="shared" si="123"/>
        <v/>
      </c>
      <c r="CW645" t="str">
        <f t="shared" si="124"/>
        <v/>
      </c>
      <c r="DR645">
        <v>3507072</v>
      </c>
      <c r="DS645" t="s">
        <v>303</v>
      </c>
    </row>
    <row r="646" spans="90:123" x14ac:dyDescent="0.15">
      <c r="CL646" s="13" t="str">
        <f t="shared" si="118"/>
        <v/>
      </c>
      <c r="CM646" s="13" t="str">
        <f t="shared" si="118"/>
        <v/>
      </c>
      <c r="CN646" s="13" t="str">
        <f t="shared" si="118"/>
        <v/>
      </c>
      <c r="CO646" s="13" t="str">
        <f t="shared" si="117"/>
        <v/>
      </c>
      <c r="CP646" s="13" t="str">
        <f t="shared" si="117"/>
        <v/>
      </c>
      <c r="CQ646" s="13" t="str">
        <f t="shared" si="117"/>
        <v/>
      </c>
      <c r="CR646" t="str">
        <f t="shared" si="119"/>
        <v/>
      </c>
      <c r="CS646" t="str">
        <f t="shared" si="120"/>
        <v/>
      </c>
      <c r="CT646" t="str">
        <f t="shared" si="121"/>
        <v/>
      </c>
      <c r="CU646" t="str">
        <f t="shared" si="122"/>
        <v/>
      </c>
      <c r="CV646" t="str">
        <f t="shared" si="123"/>
        <v/>
      </c>
      <c r="CW646" t="str">
        <f t="shared" si="124"/>
        <v/>
      </c>
      <c r="DR646">
        <v>3604072</v>
      </c>
      <c r="DS646" t="s">
        <v>304</v>
      </c>
    </row>
    <row r="647" spans="90:123" x14ac:dyDescent="0.15">
      <c r="CL647" s="13" t="str">
        <f t="shared" si="118"/>
        <v/>
      </c>
      <c r="CM647" s="13" t="str">
        <f t="shared" si="118"/>
        <v/>
      </c>
      <c r="CN647" s="13" t="str">
        <f t="shared" si="118"/>
        <v/>
      </c>
      <c r="CO647" s="13" t="str">
        <f t="shared" si="117"/>
        <v/>
      </c>
      <c r="CP647" s="13" t="str">
        <f t="shared" si="117"/>
        <v/>
      </c>
      <c r="CQ647" s="13" t="str">
        <f t="shared" si="117"/>
        <v/>
      </c>
      <c r="CR647" t="str">
        <f t="shared" si="119"/>
        <v/>
      </c>
      <c r="CS647" t="str">
        <f t="shared" si="120"/>
        <v/>
      </c>
      <c r="CT647" t="str">
        <f t="shared" si="121"/>
        <v/>
      </c>
      <c r="CU647" t="str">
        <f t="shared" si="122"/>
        <v/>
      </c>
      <c r="CV647" t="str">
        <f t="shared" si="123"/>
        <v/>
      </c>
      <c r="CW647" t="str">
        <f t="shared" si="124"/>
        <v/>
      </c>
      <c r="DR647">
        <v>3207073</v>
      </c>
      <c r="DS647" t="s">
        <v>305</v>
      </c>
    </row>
    <row r="648" spans="90:123" x14ac:dyDescent="0.15">
      <c r="CL648" s="13" t="str">
        <f t="shared" si="118"/>
        <v/>
      </c>
      <c r="CM648" s="13" t="str">
        <f t="shared" si="118"/>
        <v/>
      </c>
      <c r="CN648" s="13" t="str">
        <f t="shared" si="118"/>
        <v/>
      </c>
      <c r="CO648" s="13" t="str">
        <f t="shared" si="117"/>
        <v/>
      </c>
      <c r="CP648" s="13" t="str">
        <f t="shared" si="117"/>
        <v/>
      </c>
      <c r="CQ648" s="13" t="str">
        <f t="shared" si="117"/>
        <v/>
      </c>
      <c r="CR648" t="str">
        <f t="shared" si="119"/>
        <v/>
      </c>
      <c r="CS648" t="str">
        <f t="shared" si="120"/>
        <v/>
      </c>
      <c r="CT648" t="str">
        <f t="shared" si="121"/>
        <v/>
      </c>
      <c r="CU648" t="str">
        <f t="shared" si="122"/>
        <v/>
      </c>
      <c r="CV648" t="str">
        <f t="shared" si="123"/>
        <v/>
      </c>
      <c r="CW648" t="str">
        <f t="shared" si="124"/>
        <v/>
      </c>
      <c r="DR648">
        <v>3208073</v>
      </c>
      <c r="DS648" t="s">
        <v>306</v>
      </c>
    </row>
    <row r="649" spans="90:123" x14ac:dyDescent="0.15">
      <c r="CL649" s="13" t="str">
        <f t="shared" si="118"/>
        <v/>
      </c>
      <c r="CM649" s="13" t="str">
        <f t="shared" si="118"/>
        <v/>
      </c>
      <c r="CN649" s="13" t="str">
        <f t="shared" si="118"/>
        <v/>
      </c>
      <c r="CO649" s="13" t="str">
        <f t="shared" si="117"/>
        <v/>
      </c>
      <c r="CP649" s="13" t="str">
        <f t="shared" si="117"/>
        <v/>
      </c>
      <c r="CQ649" s="13" t="str">
        <f t="shared" si="117"/>
        <v/>
      </c>
      <c r="CR649" t="str">
        <f t="shared" si="119"/>
        <v/>
      </c>
      <c r="CS649" t="str">
        <f t="shared" si="120"/>
        <v/>
      </c>
      <c r="CT649" t="str">
        <f t="shared" si="121"/>
        <v/>
      </c>
      <c r="CU649" t="str">
        <f t="shared" si="122"/>
        <v/>
      </c>
      <c r="CV649" t="str">
        <f t="shared" si="123"/>
        <v/>
      </c>
      <c r="CW649" t="str">
        <f t="shared" si="124"/>
        <v/>
      </c>
      <c r="DR649">
        <v>3209073</v>
      </c>
      <c r="DS649" t="s">
        <v>307</v>
      </c>
    </row>
    <row r="650" spans="90:123" x14ac:dyDescent="0.15">
      <c r="CL650" s="13" t="str">
        <f t="shared" si="118"/>
        <v/>
      </c>
      <c r="CM650" s="13" t="str">
        <f t="shared" si="118"/>
        <v/>
      </c>
      <c r="CN650" s="13" t="str">
        <f t="shared" si="118"/>
        <v/>
      </c>
      <c r="CO650" s="13" t="str">
        <f t="shared" si="117"/>
        <v/>
      </c>
      <c r="CP650" s="13" t="str">
        <f t="shared" si="117"/>
        <v/>
      </c>
      <c r="CQ650" s="13" t="str">
        <f t="shared" si="117"/>
        <v/>
      </c>
      <c r="CR650" t="str">
        <f t="shared" si="119"/>
        <v/>
      </c>
      <c r="CS650" t="str">
        <f t="shared" si="120"/>
        <v/>
      </c>
      <c r="CT650" t="str">
        <f t="shared" si="121"/>
        <v/>
      </c>
      <c r="CU650" t="str">
        <f t="shared" si="122"/>
        <v/>
      </c>
      <c r="CV650" t="str">
        <f t="shared" si="123"/>
        <v/>
      </c>
      <c r="CW650" t="str">
        <f t="shared" si="124"/>
        <v/>
      </c>
      <c r="DR650">
        <v>3306073</v>
      </c>
      <c r="DS650" t="s">
        <v>308</v>
      </c>
    </row>
    <row r="651" spans="90:123" x14ac:dyDescent="0.15">
      <c r="CL651" s="13" t="str">
        <f t="shared" si="118"/>
        <v/>
      </c>
      <c r="CM651" s="13" t="str">
        <f t="shared" si="118"/>
        <v/>
      </c>
      <c r="CN651" s="13" t="str">
        <f t="shared" si="118"/>
        <v/>
      </c>
      <c r="CO651" s="13" t="str">
        <f t="shared" si="117"/>
        <v/>
      </c>
      <c r="CP651" s="13" t="str">
        <f t="shared" si="117"/>
        <v/>
      </c>
      <c r="CQ651" s="13" t="str">
        <f t="shared" si="117"/>
        <v/>
      </c>
      <c r="CR651" t="str">
        <f t="shared" si="119"/>
        <v/>
      </c>
      <c r="CS651" t="str">
        <f t="shared" si="120"/>
        <v/>
      </c>
      <c r="CT651" t="str">
        <f t="shared" si="121"/>
        <v/>
      </c>
      <c r="CU651" t="str">
        <f t="shared" si="122"/>
        <v/>
      </c>
      <c r="CV651" t="str">
        <f t="shared" si="123"/>
        <v/>
      </c>
      <c r="CW651" t="str">
        <f t="shared" si="124"/>
        <v/>
      </c>
      <c r="DR651">
        <v>3408073</v>
      </c>
      <c r="DS651" t="s">
        <v>309</v>
      </c>
    </row>
    <row r="652" spans="90:123" x14ac:dyDescent="0.15">
      <c r="CL652" s="13" t="str">
        <f t="shared" si="118"/>
        <v/>
      </c>
      <c r="CM652" s="13" t="str">
        <f t="shared" si="118"/>
        <v/>
      </c>
      <c r="CN652" s="13" t="str">
        <f t="shared" si="118"/>
        <v/>
      </c>
      <c r="CO652" s="13" t="str">
        <f t="shared" si="117"/>
        <v/>
      </c>
      <c r="CP652" s="13" t="str">
        <f t="shared" si="117"/>
        <v/>
      </c>
      <c r="CQ652" s="13" t="str">
        <f t="shared" si="117"/>
        <v/>
      </c>
      <c r="CR652" t="str">
        <f t="shared" si="119"/>
        <v/>
      </c>
      <c r="CS652" t="str">
        <f t="shared" si="120"/>
        <v/>
      </c>
      <c r="CT652" t="str">
        <f t="shared" si="121"/>
        <v/>
      </c>
      <c r="CU652" t="str">
        <f t="shared" si="122"/>
        <v/>
      </c>
      <c r="CV652" t="str">
        <f t="shared" si="123"/>
        <v/>
      </c>
      <c r="CW652" t="str">
        <f t="shared" si="124"/>
        <v/>
      </c>
      <c r="DR652">
        <v>3409073</v>
      </c>
      <c r="DS652" t="s">
        <v>310</v>
      </c>
    </row>
    <row r="653" spans="90:123" x14ac:dyDescent="0.15">
      <c r="CL653" s="13" t="str">
        <f t="shared" si="118"/>
        <v/>
      </c>
      <c r="CM653" s="13" t="str">
        <f t="shared" si="118"/>
        <v/>
      </c>
      <c r="CN653" s="13" t="str">
        <f t="shared" si="118"/>
        <v/>
      </c>
      <c r="CO653" s="13" t="str">
        <f t="shared" si="117"/>
        <v/>
      </c>
      <c r="CP653" s="13" t="str">
        <f t="shared" si="117"/>
        <v/>
      </c>
      <c r="CQ653" s="13" t="str">
        <f t="shared" si="117"/>
        <v/>
      </c>
      <c r="CR653" t="str">
        <f t="shared" si="119"/>
        <v/>
      </c>
      <c r="CS653" t="str">
        <f t="shared" si="120"/>
        <v/>
      </c>
      <c r="CT653" t="str">
        <f t="shared" si="121"/>
        <v/>
      </c>
      <c r="CU653" t="str">
        <f t="shared" si="122"/>
        <v/>
      </c>
      <c r="CV653" t="str">
        <f t="shared" si="123"/>
        <v/>
      </c>
      <c r="CW653" t="str">
        <f t="shared" si="124"/>
        <v/>
      </c>
      <c r="DR653">
        <v>3505073</v>
      </c>
      <c r="DS653" t="s">
        <v>311</v>
      </c>
    </row>
    <row r="654" spans="90:123" x14ac:dyDescent="0.15">
      <c r="CL654" s="13" t="str">
        <f t="shared" si="118"/>
        <v/>
      </c>
      <c r="CM654" s="13" t="str">
        <f t="shared" si="118"/>
        <v/>
      </c>
      <c r="CN654" s="13" t="str">
        <f t="shared" si="118"/>
        <v/>
      </c>
      <c r="CO654" s="13" t="str">
        <f t="shared" si="117"/>
        <v/>
      </c>
      <c r="CP654" s="13" t="str">
        <f t="shared" si="117"/>
        <v/>
      </c>
      <c r="CQ654" s="13" t="str">
        <f t="shared" si="117"/>
        <v/>
      </c>
      <c r="CR654" t="str">
        <f t="shared" si="119"/>
        <v/>
      </c>
      <c r="CS654" t="str">
        <f t="shared" si="120"/>
        <v/>
      </c>
      <c r="CT654" t="str">
        <f t="shared" si="121"/>
        <v/>
      </c>
      <c r="CU654" t="str">
        <f t="shared" si="122"/>
        <v/>
      </c>
      <c r="CV654" t="str">
        <f t="shared" si="123"/>
        <v/>
      </c>
      <c r="CW654" t="str">
        <f t="shared" si="124"/>
        <v/>
      </c>
      <c r="DR654">
        <v>3507073</v>
      </c>
      <c r="DS654" t="s">
        <v>312</v>
      </c>
    </row>
    <row r="655" spans="90:123" x14ac:dyDescent="0.15">
      <c r="CL655" s="13" t="str">
        <f t="shared" si="118"/>
        <v/>
      </c>
      <c r="CM655" s="13" t="str">
        <f t="shared" si="118"/>
        <v/>
      </c>
      <c r="CN655" s="13" t="str">
        <f t="shared" si="118"/>
        <v/>
      </c>
      <c r="CO655" s="13" t="str">
        <f t="shared" si="117"/>
        <v/>
      </c>
      <c r="CP655" s="13" t="str">
        <f t="shared" si="117"/>
        <v/>
      </c>
      <c r="CQ655" s="13" t="str">
        <f t="shared" si="117"/>
        <v/>
      </c>
      <c r="CR655" t="str">
        <f t="shared" si="119"/>
        <v/>
      </c>
      <c r="CS655" t="str">
        <f t="shared" si="120"/>
        <v/>
      </c>
      <c r="CT655" t="str">
        <f t="shared" si="121"/>
        <v/>
      </c>
      <c r="CU655" t="str">
        <f t="shared" si="122"/>
        <v/>
      </c>
      <c r="CV655" t="str">
        <f t="shared" si="123"/>
        <v/>
      </c>
      <c r="CW655" t="str">
        <f t="shared" si="124"/>
        <v/>
      </c>
      <c r="DR655">
        <v>3604073</v>
      </c>
      <c r="DS655" t="s">
        <v>313</v>
      </c>
    </row>
    <row r="656" spans="90:123" x14ac:dyDescent="0.15">
      <c r="CL656" s="13" t="str">
        <f t="shared" si="118"/>
        <v/>
      </c>
      <c r="CM656" s="13" t="str">
        <f t="shared" si="118"/>
        <v/>
      </c>
      <c r="CN656" s="13" t="str">
        <f t="shared" si="118"/>
        <v/>
      </c>
      <c r="CO656" s="13" t="str">
        <f t="shared" si="117"/>
        <v/>
      </c>
      <c r="CP656" s="13" t="str">
        <f t="shared" si="117"/>
        <v/>
      </c>
      <c r="CQ656" s="13" t="str">
        <f t="shared" si="117"/>
        <v/>
      </c>
      <c r="CR656" t="str">
        <f t="shared" si="119"/>
        <v/>
      </c>
      <c r="CS656" t="str">
        <f t="shared" si="120"/>
        <v/>
      </c>
      <c r="CT656" t="str">
        <f t="shared" si="121"/>
        <v/>
      </c>
      <c r="CU656" t="str">
        <f t="shared" si="122"/>
        <v/>
      </c>
      <c r="CV656" t="str">
        <f t="shared" si="123"/>
        <v/>
      </c>
      <c r="CW656" t="str">
        <f t="shared" si="124"/>
        <v/>
      </c>
      <c r="DR656">
        <v>3506074</v>
      </c>
      <c r="DS656" t="s">
        <v>314</v>
      </c>
    </row>
    <row r="657" spans="90:123" x14ac:dyDescent="0.15">
      <c r="CL657" s="13" t="str">
        <f t="shared" si="118"/>
        <v/>
      </c>
      <c r="CM657" s="13" t="str">
        <f t="shared" si="118"/>
        <v/>
      </c>
      <c r="CN657" s="13" t="str">
        <f t="shared" si="118"/>
        <v/>
      </c>
      <c r="CO657" s="13" t="str">
        <f t="shared" si="117"/>
        <v/>
      </c>
      <c r="CP657" s="13" t="str">
        <f t="shared" si="117"/>
        <v/>
      </c>
      <c r="CQ657" s="13" t="str">
        <f t="shared" si="117"/>
        <v/>
      </c>
      <c r="CR657" t="str">
        <f t="shared" si="119"/>
        <v/>
      </c>
      <c r="CS657" t="str">
        <f t="shared" si="120"/>
        <v/>
      </c>
      <c r="CT657" t="str">
        <f t="shared" si="121"/>
        <v/>
      </c>
      <c r="CU657" t="str">
        <f t="shared" si="122"/>
        <v/>
      </c>
      <c r="CV657" t="str">
        <f t="shared" si="123"/>
        <v/>
      </c>
      <c r="CW657" t="str">
        <f t="shared" si="124"/>
        <v/>
      </c>
      <c r="DR657">
        <v>3603074</v>
      </c>
      <c r="DS657" t="s">
        <v>315</v>
      </c>
    </row>
    <row r="658" spans="90:123" x14ac:dyDescent="0.15">
      <c r="CL658" s="13" t="str">
        <f t="shared" si="118"/>
        <v/>
      </c>
      <c r="CM658" s="13" t="str">
        <f t="shared" si="118"/>
        <v/>
      </c>
      <c r="CN658" s="13" t="str">
        <f t="shared" si="118"/>
        <v/>
      </c>
      <c r="CO658" s="13" t="str">
        <f t="shared" si="117"/>
        <v/>
      </c>
      <c r="CP658" s="13" t="str">
        <f t="shared" si="117"/>
        <v/>
      </c>
      <c r="CQ658" s="13" t="str">
        <f t="shared" si="117"/>
        <v/>
      </c>
      <c r="CR658" t="str">
        <f t="shared" si="119"/>
        <v/>
      </c>
      <c r="CS658" t="str">
        <f t="shared" si="120"/>
        <v/>
      </c>
      <c r="CT658" t="str">
        <f t="shared" si="121"/>
        <v/>
      </c>
      <c r="CU658" t="str">
        <f t="shared" si="122"/>
        <v/>
      </c>
      <c r="CV658" t="str">
        <f t="shared" si="123"/>
        <v/>
      </c>
      <c r="CW658" t="str">
        <f t="shared" si="124"/>
        <v/>
      </c>
      <c r="DR658">
        <v>3605074</v>
      </c>
      <c r="DS658" t="s">
        <v>316</v>
      </c>
    </row>
    <row r="659" spans="90:123" x14ac:dyDescent="0.15">
      <c r="CL659" s="13" t="str">
        <f t="shared" si="118"/>
        <v/>
      </c>
      <c r="CM659" s="13" t="str">
        <f t="shared" si="118"/>
        <v/>
      </c>
      <c r="CN659" s="13" t="str">
        <f t="shared" si="118"/>
        <v/>
      </c>
      <c r="CO659" s="13" t="str">
        <f t="shared" si="117"/>
        <v/>
      </c>
      <c r="CP659" s="13" t="str">
        <f t="shared" si="117"/>
        <v/>
      </c>
      <c r="CQ659" s="13" t="str">
        <f t="shared" si="117"/>
        <v/>
      </c>
      <c r="CR659" t="str">
        <f t="shared" si="119"/>
        <v/>
      </c>
      <c r="CS659" t="str">
        <f t="shared" si="120"/>
        <v/>
      </c>
      <c r="CT659" t="str">
        <f t="shared" si="121"/>
        <v/>
      </c>
      <c r="CU659" t="str">
        <f t="shared" si="122"/>
        <v/>
      </c>
      <c r="CV659" t="str">
        <f t="shared" si="123"/>
        <v/>
      </c>
      <c r="CW659" t="str">
        <f t="shared" si="124"/>
        <v/>
      </c>
      <c r="DR659">
        <v>3305075</v>
      </c>
      <c r="DS659" t="s">
        <v>317</v>
      </c>
    </row>
    <row r="660" spans="90:123" x14ac:dyDescent="0.15">
      <c r="CL660" s="13" t="str">
        <f t="shared" si="118"/>
        <v/>
      </c>
      <c r="CM660" s="13" t="str">
        <f t="shared" si="118"/>
        <v/>
      </c>
      <c r="CN660" s="13" t="str">
        <f t="shared" si="118"/>
        <v/>
      </c>
      <c r="CO660" s="13" t="str">
        <f t="shared" si="117"/>
        <v/>
      </c>
      <c r="CP660" s="13" t="str">
        <f t="shared" si="117"/>
        <v/>
      </c>
      <c r="CQ660" s="13" t="str">
        <f t="shared" si="117"/>
        <v/>
      </c>
      <c r="CR660" t="str">
        <f t="shared" si="119"/>
        <v/>
      </c>
      <c r="CS660" t="str">
        <f t="shared" si="120"/>
        <v/>
      </c>
      <c r="CT660" t="str">
        <f t="shared" si="121"/>
        <v/>
      </c>
      <c r="CU660" t="str">
        <f t="shared" si="122"/>
        <v/>
      </c>
      <c r="CV660" t="str">
        <f t="shared" si="123"/>
        <v/>
      </c>
      <c r="CW660" t="str">
        <f t="shared" si="124"/>
        <v/>
      </c>
      <c r="DR660">
        <v>3307075</v>
      </c>
      <c r="DS660" t="s">
        <v>318</v>
      </c>
    </row>
    <row r="661" spans="90:123" x14ac:dyDescent="0.15">
      <c r="CL661" s="13" t="str">
        <f t="shared" si="118"/>
        <v/>
      </c>
      <c r="CM661" s="13" t="str">
        <f t="shared" si="118"/>
        <v/>
      </c>
      <c r="CN661" s="13" t="str">
        <f t="shared" si="118"/>
        <v/>
      </c>
      <c r="CO661" s="13" t="str">
        <f t="shared" si="117"/>
        <v/>
      </c>
      <c r="CP661" s="13" t="str">
        <f t="shared" si="117"/>
        <v/>
      </c>
      <c r="CQ661" s="13" t="str">
        <f t="shared" si="117"/>
        <v/>
      </c>
      <c r="CR661" t="str">
        <f t="shared" si="119"/>
        <v/>
      </c>
      <c r="CS661" t="str">
        <f t="shared" si="120"/>
        <v/>
      </c>
      <c r="CT661" t="str">
        <f t="shared" si="121"/>
        <v/>
      </c>
      <c r="CU661" t="str">
        <f t="shared" si="122"/>
        <v/>
      </c>
      <c r="CV661" t="str">
        <f t="shared" si="123"/>
        <v/>
      </c>
      <c r="CW661" t="str">
        <f t="shared" si="124"/>
        <v/>
      </c>
      <c r="DR661">
        <v>3407075</v>
      </c>
      <c r="DS661" t="s">
        <v>319</v>
      </c>
    </row>
    <row r="662" spans="90:123" x14ac:dyDescent="0.15">
      <c r="CL662" s="13" t="str">
        <f t="shared" si="118"/>
        <v/>
      </c>
      <c r="CM662" s="13" t="str">
        <f t="shared" si="118"/>
        <v/>
      </c>
      <c r="CN662" s="13" t="str">
        <f t="shared" si="118"/>
        <v/>
      </c>
      <c r="CO662" s="13" t="str">
        <f t="shared" si="117"/>
        <v/>
      </c>
      <c r="CP662" s="13" t="str">
        <f t="shared" si="117"/>
        <v/>
      </c>
      <c r="CQ662" s="13" t="str">
        <f t="shared" si="117"/>
        <v/>
      </c>
      <c r="CR662" t="str">
        <f t="shared" si="119"/>
        <v/>
      </c>
      <c r="CS662" t="str">
        <f t="shared" si="120"/>
        <v/>
      </c>
      <c r="CT662" t="str">
        <f t="shared" si="121"/>
        <v/>
      </c>
      <c r="CU662" t="str">
        <f t="shared" si="122"/>
        <v/>
      </c>
      <c r="CV662" t="str">
        <f t="shared" si="123"/>
        <v/>
      </c>
      <c r="CW662" t="str">
        <f t="shared" si="124"/>
        <v/>
      </c>
      <c r="DR662">
        <v>3207081</v>
      </c>
      <c r="DS662" t="s">
        <v>287</v>
      </c>
    </row>
    <row r="663" spans="90:123" x14ac:dyDescent="0.15">
      <c r="CL663" s="13" t="str">
        <f t="shared" si="118"/>
        <v/>
      </c>
      <c r="CM663" s="13" t="str">
        <f t="shared" si="118"/>
        <v/>
      </c>
      <c r="CN663" s="13" t="str">
        <f t="shared" si="118"/>
        <v/>
      </c>
      <c r="CO663" s="13" t="str">
        <f t="shared" si="117"/>
        <v/>
      </c>
      <c r="CP663" s="13" t="str">
        <f t="shared" si="117"/>
        <v/>
      </c>
      <c r="CQ663" s="13" t="str">
        <f t="shared" si="117"/>
        <v/>
      </c>
      <c r="CR663" t="str">
        <f t="shared" si="119"/>
        <v/>
      </c>
      <c r="CS663" t="str">
        <f t="shared" si="120"/>
        <v/>
      </c>
      <c r="CT663" t="str">
        <f t="shared" si="121"/>
        <v/>
      </c>
      <c r="CU663" t="str">
        <f t="shared" si="122"/>
        <v/>
      </c>
      <c r="CV663" t="str">
        <f t="shared" si="123"/>
        <v/>
      </c>
      <c r="CW663" t="str">
        <f t="shared" si="124"/>
        <v/>
      </c>
      <c r="DR663">
        <v>3208081</v>
      </c>
      <c r="DS663" t="s">
        <v>288</v>
      </c>
    </row>
    <row r="664" spans="90:123" x14ac:dyDescent="0.15">
      <c r="CL664" s="13" t="str">
        <f t="shared" si="118"/>
        <v/>
      </c>
      <c r="CM664" s="13" t="str">
        <f t="shared" si="118"/>
        <v/>
      </c>
      <c r="CN664" s="13" t="str">
        <f t="shared" si="118"/>
        <v/>
      </c>
      <c r="CO664" s="13" t="str">
        <f t="shared" si="117"/>
        <v/>
      </c>
      <c r="CP664" s="13" t="str">
        <f t="shared" si="117"/>
        <v/>
      </c>
      <c r="CQ664" s="13" t="str">
        <f t="shared" si="117"/>
        <v/>
      </c>
      <c r="CR664" t="str">
        <f t="shared" si="119"/>
        <v/>
      </c>
      <c r="CS664" t="str">
        <f t="shared" si="120"/>
        <v/>
      </c>
      <c r="CT664" t="str">
        <f t="shared" si="121"/>
        <v/>
      </c>
      <c r="CU664" t="str">
        <f t="shared" si="122"/>
        <v/>
      </c>
      <c r="CV664" t="str">
        <f t="shared" si="123"/>
        <v/>
      </c>
      <c r="CW664" t="str">
        <f t="shared" si="124"/>
        <v/>
      </c>
      <c r="DR664">
        <v>3209081</v>
      </c>
      <c r="DS664" t="s">
        <v>289</v>
      </c>
    </row>
    <row r="665" spans="90:123" x14ac:dyDescent="0.15">
      <c r="CL665" s="13" t="str">
        <f t="shared" si="118"/>
        <v/>
      </c>
      <c r="CM665" s="13" t="str">
        <f t="shared" si="118"/>
        <v/>
      </c>
      <c r="CN665" s="13" t="str">
        <f t="shared" si="118"/>
        <v/>
      </c>
      <c r="CO665" s="13" t="str">
        <f t="shared" si="117"/>
        <v/>
      </c>
      <c r="CP665" s="13" t="str">
        <f t="shared" si="117"/>
        <v/>
      </c>
      <c r="CQ665" s="13" t="str">
        <f t="shared" si="117"/>
        <v/>
      </c>
      <c r="CR665" t="str">
        <f t="shared" si="119"/>
        <v/>
      </c>
      <c r="CS665" t="str">
        <f t="shared" si="120"/>
        <v/>
      </c>
      <c r="CT665" t="str">
        <f t="shared" si="121"/>
        <v/>
      </c>
      <c r="CU665" t="str">
        <f t="shared" si="122"/>
        <v/>
      </c>
      <c r="CV665" t="str">
        <f t="shared" si="123"/>
        <v/>
      </c>
      <c r="CW665" t="str">
        <f t="shared" si="124"/>
        <v/>
      </c>
      <c r="DR665">
        <v>3306081</v>
      </c>
      <c r="DS665" t="s">
        <v>290</v>
      </c>
    </row>
    <row r="666" spans="90:123" x14ac:dyDescent="0.15">
      <c r="CL666" s="13" t="str">
        <f t="shared" si="118"/>
        <v/>
      </c>
      <c r="CM666" s="13" t="str">
        <f t="shared" si="118"/>
        <v/>
      </c>
      <c r="CN666" s="13" t="str">
        <f t="shared" si="118"/>
        <v/>
      </c>
      <c r="CO666" s="13" t="str">
        <f t="shared" si="117"/>
        <v/>
      </c>
      <c r="CP666" s="13" t="str">
        <f t="shared" si="117"/>
        <v/>
      </c>
      <c r="CQ666" s="13" t="str">
        <f t="shared" si="117"/>
        <v/>
      </c>
      <c r="CR666" t="str">
        <f t="shared" si="119"/>
        <v/>
      </c>
      <c r="CS666" t="str">
        <f t="shared" si="120"/>
        <v/>
      </c>
      <c r="CT666" t="str">
        <f t="shared" si="121"/>
        <v/>
      </c>
      <c r="CU666" t="str">
        <f t="shared" si="122"/>
        <v/>
      </c>
      <c r="CV666" t="str">
        <f t="shared" si="123"/>
        <v/>
      </c>
      <c r="CW666" t="str">
        <f t="shared" si="124"/>
        <v/>
      </c>
      <c r="DR666">
        <v>3408081</v>
      </c>
      <c r="DS666" t="s">
        <v>291</v>
      </c>
    </row>
    <row r="667" spans="90:123" x14ac:dyDescent="0.15">
      <c r="CL667" s="13" t="str">
        <f t="shared" si="118"/>
        <v/>
      </c>
      <c r="CM667" s="13" t="str">
        <f t="shared" si="118"/>
        <v/>
      </c>
      <c r="CN667" s="13" t="str">
        <f t="shared" si="118"/>
        <v/>
      </c>
      <c r="CO667" s="13" t="str">
        <f t="shared" si="117"/>
        <v/>
      </c>
      <c r="CP667" s="13" t="str">
        <f t="shared" si="117"/>
        <v/>
      </c>
      <c r="CQ667" s="13" t="str">
        <f t="shared" si="117"/>
        <v/>
      </c>
      <c r="CR667" t="str">
        <f t="shared" si="119"/>
        <v/>
      </c>
      <c r="CS667" t="str">
        <f t="shared" si="120"/>
        <v/>
      </c>
      <c r="CT667" t="str">
        <f t="shared" si="121"/>
        <v/>
      </c>
      <c r="CU667" t="str">
        <f t="shared" si="122"/>
        <v/>
      </c>
      <c r="CV667" t="str">
        <f t="shared" si="123"/>
        <v/>
      </c>
      <c r="CW667" t="str">
        <f t="shared" si="124"/>
        <v/>
      </c>
      <c r="DR667">
        <v>3409081</v>
      </c>
      <c r="DS667" t="s">
        <v>292</v>
      </c>
    </row>
    <row r="668" spans="90:123" x14ac:dyDescent="0.15">
      <c r="CL668" s="13" t="str">
        <f t="shared" si="118"/>
        <v/>
      </c>
      <c r="CM668" s="13" t="str">
        <f t="shared" si="118"/>
        <v/>
      </c>
      <c r="CN668" s="13" t="str">
        <f t="shared" si="118"/>
        <v/>
      </c>
      <c r="CO668" s="13" t="str">
        <f t="shared" si="117"/>
        <v/>
      </c>
      <c r="CP668" s="13" t="str">
        <f t="shared" si="117"/>
        <v/>
      </c>
      <c r="CQ668" s="13" t="str">
        <f t="shared" si="117"/>
        <v/>
      </c>
      <c r="CR668" t="str">
        <f t="shared" si="119"/>
        <v/>
      </c>
      <c r="CS668" t="str">
        <f t="shared" si="120"/>
        <v/>
      </c>
      <c r="CT668" t="str">
        <f t="shared" si="121"/>
        <v/>
      </c>
      <c r="CU668" t="str">
        <f t="shared" si="122"/>
        <v/>
      </c>
      <c r="CV668" t="str">
        <f t="shared" si="123"/>
        <v/>
      </c>
      <c r="CW668" t="str">
        <f t="shared" si="124"/>
        <v/>
      </c>
      <c r="DR668">
        <v>3505081</v>
      </c>
      <c r="DS668" t="s">
        <v>293</v>
      </c>
    </row>
    <row r="669" spans="90:123" x14ac:dyDescent="0.15">
      <c r="CL669" s="13" t="str">
        <f t="shared" si="118"/>
        <v/>
      </c>
      <c r="CM669" s="13" t="str">
        <f t="shared" si="118"/>
        <v/>
      </c>
      <c r="CN669" s="13" t="str">
        <f t="shared" si="118"/>
        <v/>
      </c>
      <c r="CO669" s="13" t="str">
        <f t="shared" si="117"/>
        <v/>
      </c>
      <c r="CP669" s="13" t="str">
        <f t="shared" si="117"/>
        <v/>
      </c>
      <c r="CQ669" s="13" t="str">
        <f t="shared" si="117"/>
        <v/>
      </c>
      <c r="CR669" t="str">
        <f t="shared" si="119"/>
        <v/>
      </c>
      <c r="CS669" t="str">
        <f t="shared" si="120"/>
        <v/>
      </c>
      <c r="CT669" t="str">
        <f t="shared" si="121"/>
        <v/>
      </c>
      <c r="CU669" t="str">
        <f t="shared" si="122"/>
        <v/>
      </c>
      <c r="CV669" t="str">
        <f t="shared" si="123"/>
        <v/>
      </c>
      <c r="CW669" t="str">
        <f t="shared" si="124"/>
        <v/>
      </c>
      <c r="DR669">
        <v>3507081</v>
      </c>
      <c r="DS669" t="s">
        <v>294</v>
      </c>
    </row>
    <row r="670" spans="90:123" x14ac:dyDescent="0.15">
      <c r="CL670" s="13" t="str">
        <f t="shared" si="118"/>
        <v/>
      </c>
      <c r="CM670" s="13" t="str">
        <f t="shared" si="118"/>
        <v/>
      </c>
      <c r="CN670" s="13" t="str">
        <f t="shared" si="118"/>
        <v/>
      </c>
      <c r="CO670" s="13" t="str">
        <f t="shared" si="117"/>
        <v/>
      </c>
      <c r="CP670" s="13" t="str">
        <f t="shared" si="117"/>
        <v/>
      </c>
      <c r="CQ670" s="13" t="str">
        <f t="shared" si="117"/>
        <v/>
      </c>
      <c r="CR670" t="str">
        <f t="shared" si="119"/>
        <v/>
      </c>
      <c r="CS670" t="str">
        <f t="shared" si="120"/>
        <v/>
      </c>
      <c r="CT670" t="str">
        <f t="shared" si="121"/>
        <v/>
      </c>
      <c r="CU670" t="str">
        <f t="shared" si="122"/>
        <v/>
      </c>
      <c r="CV670" t="str">
        <f t="shared" si="123"/>
        <v/>
      </c>
      <c r="CW670" t="str">
        <f t="shared" si="124"/>
        <v/>
      </c>
      <c r="DR670">
        <v>3604081</v>
      </c>
      <c r="DS670" t="s">
        <v>295</v>
      </c>
    </row>
    <row r="671" spans="90:123" x14ac:dyDescent="0.15">
      <c r="CL671" s="13" t="str">
        <f t="shared" si="118"/>
        <v/>
      </c>
      <c r="CM671" s="13" t="str">
        <f t="shared" si="118"/>
        <v/>
      </c>
      <c r="CN671" s="13" t="str">
        <f t="shared" si="118"/>
        <v/>
      </c>
      <c r="CO671" s="13" t="str">
        <f t="shared" si="117"/>
        <v/>
      </c>
      <c r="CP671" s="13" t="str">
        <f t="shared" si="117"/>
        <v/>
      </c>
      <c r="CQ671" s="13" t="str">
        <f t="shared" si="117"/>
        <v/>
      </c>
      <c r="CR671" t="str">
        <f t="shared" si="119"/>
        <v/>
      </c>
      <c r="CS671" t="str">
        <f t="shared" si="120"/>
        <v/>
      </c>
      <c r="CT671" t="str">
        <f t="shared" si="121"/>
        <v/>
      </c>
      <c r="CU671" t="str">
        <f t="shared" si="122"/>
        <v/>
      </c>
      <c r="CV671" t="str">
        <f t="shared" si="123"/>
        <v/>
      </c>
      <c r="CW671" t="str">
        <f t="shared" si="124"/>
        <v/>
      </c>
      <c r="DR671">
        <v>3207082</v>
      </c>
      <c r="DS671" t="s">
        <v>296</v>
      </c>
    </row>
    <row r="672" spans="90:123" x14ac:dyDescent="0.15">
      <c r="CL672" s="13" t="str">
        <f t="shared" si="118"/>
        <v/>
      </c>
      <c r="CM672" s="13" t="str">
        <f t="shared" si="118"/>
        <v/>
      </c>
      <c r="CN672" s="13" t="str">
        <f t="shared" si="118"/>
        <v/>
      </c>
      <c r="CO672" s="13" t="str">
        <f t="shared" si="117"/>
        <v/>
      </c>
      <c r="CP672" s="13" t="str">
        <f t="shared" si="117"/>
        <v/>
      </c>
      <c r="CQ672" s="13" t="str">
        <f t="shared" si="117"/>
        <v/>
      </c>
      <c r="CR672" t="str">
        <f t="shared" si="119"/>
        <v/>
      </c>
      <c r="CS672" t="str">
        <f t="shared" si="120"/>
        <v/>
      </c>
      <c r="CT672" t="str">
        <f t="shared" si="121"/>
        <v/>
      </c>
      <c r="CU672" t="str">
        <f t="shared" si="122"/>
        <v/>
      </c>
      <c r="CV672" t="str">
        <f t="shared" si="123"/>
        <v/>
      </c>
      <c r="CW672" t="str">
        <f t="shared" si="124"/>
        <v/>
      </c>
      <c r="DR672">
        <v>3208082</v>
      </c>
      <c r="DS672" t="s">
        <v>297</v>
      </c>
    </row>
    <row r="673" spans="90:123" x14ac:dyDescent="0.15">
      <c r="CL673" s="13" t="str">
        <f t="shared" si="118"/>
        <v/>
      </c>
      <c r="CM673" s="13" t="str">
        <f t="shared" si="118"/>
        <v/>
      </c>
      <c r="CN673" s="13" t="str">
        <f t="shared" si="118"/>
        <v/>
      </c>
      <c r="CO673" s="13" t="str">
        <f t="shared" si="117"/>
        <v/>
      </c>
      <c r="CP673" s="13" t="str">
        <f t="shared" si="117"/>
        <v/>
      </c>
      <c r="CQ673" s="13" t="str">
        <f t="shared" si="117"/>
        <v/>
      </c>
      <c r="CR673" t="str">
        <f t="shared" si="119"/>
        <v/>
      </c>
      <c r="CS673" t="str">
        <f t="shared" si="120"/>
        <v/>
      </c>
      <c r="CT673" t="str">
        <f t="shared" si="121"/>
        <v/>
      </c>
      <c r="CU673" t="str">
        <f t="shared" si="122"/>
        <v/>
      </c>
      <c r="CV673" t="str">
        <f t="shared" si="123"/>
        <v/>
      </c>
      <c r="CW673" t="str">
        <f t="shared" si="124"/>
        <v/>
      </c>
      <c r="DR673">
        <v>3209082</v>
      </c>
      <c r="DS673" t="s">
        <v>298</v>
      </c>
    </row>
    <row r="674" spans="90:123" x14ac:dyDescent="0.15">
      <c r="CL674" s="13" t="str">
        <f t="shared" si="118"/>
        <v/>
      </c>
      <c r="CM674" s="13" t="str">
        <f t="shared" si="118"/>
        <v/>
      </c>
      <c r="CN674" s="13" t="str">
        <f t="shared" si="118"/>
        <v/>
      </c>
      <c r="CO674" s="13" t="str">
        <f t="shared" si="117"/>
        <v/>
      </c>
      <c r="CP674" s="13" t="str">
        <f t="shared" si="117"/>
        <v/>
      </c>
      <c r="CQ674" s="13" t="str">
        <f t="shared" si="117"/>
        <v/>
      </c>
      <c r="CR674" t="str">
        <f t="shared" si="119"/>
        <v/>
      </c>
      <c r="CS674" t="str">
        <f t="shared" si="120"/>
        <v/>
      </c>
      <c r="CT674" t="str">
        <f t="shared" si="121"/>
        <v/>
      </c>
      <c r="CU674" t="str">
        <f t="shared" si="122"/>
        <v/>
      </c>
      <c r="CV674" t="str">
        <f t="shared" si="123"/>
        <v/>
      </c>
      <c r="CW674" t="str">
        <f t="shared" si="124"/>
        <v/>
      </c>
      <c r="DR674">
        <v>3306082</v>
      </c>
      <c r="DS674" t="s">
        <v>299</v>
      </c>
    </row>
    <row r="675" spans="90:123" x14ac:dyDescent="0.15">
      <c r="CL675" s="13" t="str">
        <f t="shared" si="118"/>
        <v/>
      </c>
      <c r="CM675" s="13" t="str">
        <f t="shared" si="118"/>
        <v/>
      </c>
      <c r="CN675" s="13" t="str">
        <f t="shared" si="118"/>
        <v/>
      </c>
      <c r="CO675" s="13" t="str">
        <f t="shared" si="117"/>
        <v/>
      </c>
      <c r="CP675" s="13" t="str">
        <f t="shared" si="117"/>
        <v/>
      </c>
      <c r="CQ675" s="13" t="str">
        <f t="shared" si="117"/>
        <v/>
      </c>
      <c r="CR675" t="str">
        <f t="shared" si="119"/>
        <v/>
      </c>
      <c r="CS675" t="str">
        <f t="shared" si="120"/>
        <v/>
      </c>
      <c r="CT675" t="str">
        <f t="shared" si="121"/>
        <v/>
      </c>
      <c r="CU675" t="str">
        <f t="shared" si="122"/>
        <v/>
      </c>
      <c r="CV675" t="str">
        <f t="shared" si="123"/>
        <v/>
      </c>
      <c r="CW675" t="str">
        <f t="shared" si="124"/>
        <v/>
      </c>
      <c r="DR675">
        <v>3408082</v>
      </c>
      <c r="DS675" t="s">
        <v>300</v>
      </c>
    </row>
    <row r="676" spans="90:123" x14ac:dyDescent="0.15">
      <c r="CL676" s="13" t="str">
        <f t="shared" si="118"/>
        <v/>
      </c>
      <c r="CM676" s="13" t="str">
        <f t="shared" si="118"/>
        <v/>
      </c>
      <c r="CN676" s="13" t="str">
        <f t="shared" si="118"/>
        <v/>
      </c>
      <c r="CO676" s="13" t="str">
        <f t="shared" si="117"/>
        <v/>
      </c>
      <c r="CP676" s="13" t="str">
        <f t="shared" si="117"/>
        <v/>
      </c>
      <c r="CQ676" s="13" t="str">
        <f t="shared" si="117"/>
        <v/>
      </c>
      <c r="CR676" t="str">
        <f t="shared" si="119"/>
        <v/>
      </c>
      <c r="CS676" t="str">
        <f t="shared" si="120"/>
        <v/>
      </c>
      <c r="CT676" t="str">
        <f t="shared" si="121"/>
        <v/>
      </c>
      <c r="CU676" t="str">
        <f t="shared" si="122"/>
        <v/>
      </c>
      <c r="CV676" t="str">
        <f t="shared" si="123"/>
        <v/>
      </c>
      <c r="CW676" t="str">
        <f t="shared" si="124"/>
        <v/>
      </c>
      <c r="DR676">
        <v>3409082</v>
      </c>
      <c r="DS676" t="s">
        <v>301</v>
      </c>
    </row>
    <row r="677" spans="90:123" x14ac:dyDescent="0.15">
      <c r="CL677" s="13" t="str">
        <f t="shared" si="118"/>
        <v/>
      </c>
      <c r="CM677" s="13" t="str">
        <f t="shared" si="118"/>
        <v/>
      </c>
      <c r="CN677" s="13" t="str">
        <f t="shared" si="118"/>
        <v/>
      </c>
      <c r="CO677" s="13" t="str">
        <f t="shared" si="117"/>
        <v/>
      </c>
      <c r="CP677" s="13" t="str">
        <f t="shared" si="117"/>
        <v/>
      </c>
      <c r="CQ677" s="13" t="str">
        <f t="shared" si="117"/>
        <v/>
      </c>
      <c r="CR677" t="str">
        <f t="shared" si="119"/>
        <v/>
      </c>
      <c r="CS677" t="str">
        <f t="shared" si="120"/>
        <v/>
      </c>
      <c r="CT677" t="str">
        <f t="shared" si="121"/>
        <v/>
      </c>
      <c r="CU677" t="str">
        <f t="shared" si="122"/>
        <v/>
      </c>
      <c r="CV677" t="str">
        <f t="shared" si="123"/>
        <v/>
      </c>
      <c r="CW677" t="str">
        <f t="shared" si="124"/>
        <v/>
      </c>
      <c r="DR677">
        <v>3505082</v>
      </c>
      <c r="DS677" t="s">
        <v>302</v>
      </c>
    </row>
    <row r="678" spans="90:123" x14ac:dyDescent="0.15">
      <c r="CL678" s="13" t="str">
        <f t="shared" si="118"/>
        <v/>
      </c>
      <c r="CM678" s="13" t="str">
        <f t="shared" si="118"/>
        <v/>
      </c>
      <c r="CN678" s="13" t="str">
        <f t="shared" si="118"/>
        <v/>
      </c>
      <c r="CO678" s="13" t="str">
        <f t="shared" si="117"/>
        <v/>
      </c>
      <c r="CP678" s="13" t="str">
        <f t="shared" si="117"/>
        <v/>
      </c>
      <c r="CQ678" s="13" t="str">
        <f t="shared" si="117"/>
        <v/>
      </c>
      <c r="CR678" t="str">
        <f t="shared" si="119"/>
        <v/>
      </c>
      <c r="CS678" t="str">
        <f t="shared" si="120"/>
        <v/>
      </c>
      <c r="CT678" t="str">
        <f t="shared" si="121"/>
        <v/>
      </c>
      <c r="CU678" t="str">
        <f t="shared" si="122"/>
        <v/>
      </c>
      <c r="CV678" t="str">
        <f t="shared" si="123"/>
        <v/>
      </c>
      <c r="CW678" t="str">
        <f t="shared" si="124"/>
        <v/>
      </c>
      <c r="DR678">
        <v>3507082</v>
      </c>
      <c r="DS678" t="s">
        <v>303</v>
      </c>
    </row>
    <row r="679" spans="90:123" x14ac:dyDescent="0.15">
      <c r="CL679" s="13" t="str">
        <f t="shared" si="118"/>
        <v/>
      </c>
      <c r="CM679" s="13" t="str">
        <f t="shared" si="118"/>
        <v/>
      </c>
      <c r="CN679" s="13" t="str">
        <f t="shared" si="118"/>
        <v/>
      </c>
      <c r="CO679" s="13" t="str">
        <f t="shared" si="117"/>
        <v/>
      </c>
      <c r="CP679" s="13" t="str">
        <f t="shared" si="117"/>
        <v/>
      </c>
      <c r="CQ679" s="13" t="str">
        <f t="shared" si="117"/>
        <v/>
      </c>
      <c r="CR679" t="str">
        <f t="shared" si="119"/>
        <v/>
      </c>
      <c r="CS679" t="str">
        <f t="shared" si="120"/>
        <v/>
      </c>
      <c r="CT679" t="str">
        <f t="shared" si="121"/>
        <v/>
      </c>
      <c r="CU679" t="str">
        <f t="shared" si="122"/>
        <v/>
      </c>
      <c r="CV679" t="str">
        <f t="shared" si="123"/>
        <v/>
      </c>
      <c r="CW679" t="str">
        <f t="shared" si="124"/>
        <v/>
      </c>
      <c r="DR679">
        <v>3604082</v>
      </c>
      <c r="DS679" t="s">
        <v>304</v>
      </c>
    </row>
    <row r="680" spans="90:123" x14ac:dyDescent="0.15">
      <c r="CL680" s="13" t="str">
        <f t="shared" si="118"/>
        <v/>
      </c>
      <c r="CM680" s="13" t="str">
        <f t="shared" si="118"/>
        <v/>
      </c>
      <c r="CN680" s="13" t="str">
        <f t="shared" si="118"/>
        <v/>
      </c>
      <c r="CO680" s="13" t="str">
        <f t="shared" si="117"/>
        <v/>
      </c>
      <c r="CP680" s="13" t="str">
        <f t="shared" si="117"/>
        <v/>
      </c>
      <c r="CQ680" s="13" t="str">
        <f t="shared" si="117"/>
        <v/>
      </c>
      <c r="CR680" t="str">
        <f t="shared" si="119"/>
        <v/>
      </c>
      <c r="CS680" t="str">
        <f t="shared" si="120"/>
        <v/>
      </c>
      <c r="CT680" t="str">
        <f t="shared" si="121"/>
        <v/>
      </c>
      <c r="CU680" t="str">
        <f t="shared" si="122"/>
        <v/>
      </c>
      <c r="CV680" t="str">
        <f t="shared" si="123"/>
        <v/>
      </c>
      <c r="CW680" t="str">
        <f t="shared" si="124"/>
        <v/>
      </c>
      <c r="DR680">
        <v>3207083</v>
      </c>
      <c r="DS680" t="s">
        <v>305</v>
      </c>
    </row>
    <row r="681" spans="90:123" x14ac:dyDescent="0.15">
      <c r="CL681" s="13" t="str">
        <f t="shared" si="118"/>
        <v/>
      </c>
      <c r="CM681" s="13" t="str">
        <f t="shared" si="118"/>
        <v/>
      </c>
      <c r="CN681" s="13" t="str">
        <f t="shared" si="118"/>
        <v/>
      </c>
      <c r="CO681" s="13" t="str">
        <f t="shared" si="117"/>
        <v/>
      </c>
      <c r="CP681" s="13" t="str">
        <f t="shared" si="117"/>
        <v/>
      </c>
      <c r="CQ681" s="13" t="str">
        <f t="shared" si="117"/>
        <v/>
      </c>
      <c r="CR681" t="str">
        <f t="shared" si="119"/>
        <v/>
      </c>
      <c r="CS681" t="str">
        <f t="shared" si="120"/>
        <v/>
      </c>
      <c r="CT681" t="str">
        <f t="shared" si="121"/>
        <v/>
      </c>
      <c r="CU681" t="str">
        <f t="shared" si="122"/>
        <v/>
      </c>
      <c r="CV681" t="str">
        <f t="shared" si="123"/>
        <v/>
      </c>
      <c r="CW681" t="str">
        <f t="shared" si="124"/>
        <v/>
      </c>
      <c r="DR681">
        <v>3208083</v>
      </c>
      <c r="DS681" t="s">
        <v>306</v>
      </c>
    </row>
    <row r="682" spans="90:123" x14ac:dyDescent="0.15">
      <c r="CL682" s="13" t="str">
        <f t="shared" si="118"/>
        <v/>
      </c>
      <c r="CM682" s="13" t="str">
        <f t="shared" si="118"/>
        <v/>
      </c>
      <c r="CN682" s="13" t="str">
        <f t="shared" si="118"/>
        <v/>
      </c>
      <c r="CO682" s="13" t="str">
        <f t="shared" si="117"/>
        <v/>
      </c>
      <c r="CP682" s="13" t="str">
        <f t="shared" si="117"/>
        <v/>
      </c>
      <c r="CQ682" s="13" t="str">
        <f t="shared" si="117"/>
        <v/>
      </c>
      <c r="CR682" t="str">
        <f t="shared" si="119"/>
        <v/>
      </c>
      <c r="CS682" t="str">
        <f t="shared" si="120"/>
        <v/>
      </c>
      <c r="CT682" t="str">
        <f t="shared" si="121"/>
        <v/>
      </c>
      <c r="CU682" t="str">
        <f t="shared" si="122"/>
        <v/>
      </c>
      <c r="CV682" t="str">
        <f t="shared" si="123"/>
        <v/>
      </c>
      <c r="CW682" t="str">
        <f t="shared" si="124"/>
        <v/>
      </c>
      <c r="DR682">
        <v>3209083</v>
      </c>
      <c r="DS682" t="s">
        <v>307</v>
      </c>
    </row>
    <row r="683" spans="90:123" x14ac:dyDescent="0.15">
      <c r="CL683" s="13" t="str">
        <f t="shared" si="118"/>
        <v/>
      </c>
      <c r="CM683" s="13" t="str">
        <f t="shared" si="118"/>
        <v/>
      </c>
      <c r="CN683" s="13" t="str">
        <f t="shared" si="118"/>
        <v/>
      </c>
      <c r="CO683" s="13" t="str">
        <f t="shared" si="118"/>
        <v/>
      </c>
      <c r="CP683" s="13" t="str">
        <f t="shared" si="118"/>
        <v/>
      </c>
      <c r="CQ683" s="13" t="str">
        <f t="shared" si="118"/>
        <v/>
      </c>
      <c r="CR683" t="str">
        <f t="shared" si="119"/>
        <v/>
      </c>
      <c r="CS683" t="str">
        <f t="shared" si="120"/>
        <v/>
      </c>
      <c r="CT683" t="str">
        <f t="shared" si="121"/>
        <v/>
      </c>
      <c r="CU683" t="str">
        <f t="shared" si="122"/>
        <v/>
      </c>
      <c r="CV683" t="str">
        <f t="shared" si="123"/>
        <v/>
      </c>
      <c r="CW683" t="str">
        <f t="shared" si="124"/>
        <v/>
      </c>
      <c r="DR683">
        <v>3306083</v>
      </c>
      <c r="DS683" t="s">
        <v>308</v>
      </c>
    </row>
    <row r="684" spans="90:123" x14ac:dyDescent="0.15">
      <c r="CL684" s="13" t="str">
        <f t="shared" ref="CL684:CQ726" si="125">IF(DJ684&lt;&gt;"",IF(ISERROR(MATCH(INT(CR684),$DR$4:$DR$1516,0))=FALSE,TRUE),"")</f>
        <v/>
      </c>
      <c r="CM684" s="13" t="str">
        <f t="shared" si="125"/>
        <v/>
      </c>
      <c r="CN684" s="13" t="str">
        <f t="shared" si="125"/>
        <v/>
      </c>
      <c r="CO684" s="13" t="str">
        <f t="shared" si="125"/>
        <v/>
      </c>
      <c r="CP684" s="13" t="str">
        <f t="shared" si="125"/>
        <v/>
      </c>
      <c r="CQ684" s="13" t="str">
        <f t="shared" si="125"/>
        <v/>
      </c>
      <c r="CR684" t="str">
        <f t="shared" si="119"/>
        <v/>
      </c>
      <c r="CS684" t="str">
        <f t="shared" si="120"/>
        <v/>
      </c>
      <c r="CT684" t="str">
        <f t="shared" si="121"/>
        <v/>
      </c>
      <c r="CU684" t="str">
        <f t="shared" si="122"/>
        <v/>
      </c>
      <c r="CV684" t="str">
        <f t="shared" si="123"/>
        <v/>
      </c>
      <c r="CW684" t="str">
        <f t="shared" si="124"/>
        <v/>
      </c>
      <c r="DR684">
        <v>3408083</v>
      </c>
      <c r="DS684" t="s">
        <v>309</v>
      </c>
    </row>
    <row r="685" spans="90:123" x14ac:dyDescent="0.15">
      <c r="CL685" s="13" t="str">
        <f t="shared" si="125"/>
        <v/>
      </c>
      <c r="CM685" s="13" t="str">
        <f t="shared" si="125"/>
        <v/>
      </c>
      <c r="CN685" s="13" t="str">
        <f t="shared" si="125"/>
        <v/>
      </c>
      <c r="CO685" s="13" t="str">
        <f t="shared" si="125"/>
        <v/>
      </c>
      <c r="CP685" s="13" t="str">
        <f t="shared" si="125"/>
        <v/>
      </c>
      <c r="CQ685" s="13" t="str">
        <f t="shared" si="125"/>
        <v/>
      </c>
      <c r="CR685" t="str">
        <f t="shared" si="119"/>
        <v/>
      </c>
      <c r="CS685" t="str">
        <f t="shared" si="120"/>
        <v/>
      </c>
      <c r="CT685" t="str">
        <f t="shared" si="121"/>
        <v/>
      </c>
      <c r="CU685" t="str">
        <f t="shared" si="122"/>
        <v/>
      </c>
      <c r="CV685" t="str">
        <f t="shared" si="123"/>
        <v/>
      </c>
      <c r="CW685" t="str">
        <f t="shared" si="124"/>
        <v/>
      </c>
      <c r="DR685">
        <v>3409083</v>
      </c>
      <c r="DS685" t="s">
        <v>310</v>
      </c>
    </row>
    <row r="686" spans="90:123" x14ac:dyDescent="0.15">
      <c r="CL686" s="13" t="str">
        <f t="shared" si="125"/>
        <v/>
      </c>
      <c r="CM686" s="13" t="str">
        <f t="shared" si="125"/>
        <v/>
      </c>
      <c r="CN686" s="13" t="str">
        <f t="shared" si="125"/>
        <v/>
      </c>
      <c r="CO686" s="13" t="str">
        <f t="shared" si="125"/>
        <v/>
      </c>
      <c r="CP686" s="13" t="str">
        <f t="shared" si="125"/>
        <v/>
      </c>
      <c r="CQ686" s="13" t="str">
        <f t="shared" si="125"/>
        <v/>
      </c>
      <c r="CR686" t="str">
        <f t="shared" si="119"/>
        <v/>
      </c>
      <c r="CS686" t="str">
        <f t="shared" si="120"/>
        <v/>
      </c>
      <c r="CT686" t="str">
        <f t="shared" si="121"/>
        <v/>
      </c>
      <c r="CU686" t="str">
        <f t="shared" si="122"/>
        <v/>
      </c>
      <c r="CV686" t="str">
        <f t="shared" si="123"/>
        <v/>
      </c>
      <c r="CW686" t="str">
        <f t="shared" si="124"/>
        <v/>
      </c>
      <c r="DR686">
        <v>3505083</v>
      </c>
      <c r="DS686" t="s">
        <v>311</v>
      </c>
    </row>
    <row r="687" spans="90:123" x14ac:dyDescent="0.15">
      <c r="CL687" s="13" t="str">
        <f t="shared" si="125"/>
        <v/>
      </c>
      <c r="CM687" s="13" t="str">
        <f t="shared" si="125"/>
        <v/>
      </c>
      <c r="CN687" s="13" t="str">
        <f t="shared" si="125"/>
        <v/>
      </c>
      <c r="CO687" s="13" t="str">
        <f t="shared" si="125"/>
        <v/>
      </c>
      <c r="CP687" s="13" t="str">
        <f t="shared" si="125"/>
        <v/>
      </c>
      <c r="CQ687" s="13" t="str">
        <f t="shared" si="125"/>
        <v/>
      </c>
      <c r="CR687" t="str">
        <f t="shared" si="119"/>
        <v/>
      </c>
      <c r="CS687" t="str">
        <f t="shared" si="120"/>
        <v/>
      </c>
      <c r="CT687" t="str">
        <f t="shared" si="121"/>
        <v/>
      </c>
      <c r="CU687" t="str">
        <f t="shared" si="122"/>
        <v/>
      </c>
      <c r="CV687" t="str">
        <f t="shared" si="123"/>
        <v/>
      </c>
      <c r="CW687" t="str">
        <f t="shared" si="124"/>
        <v/>
      </c>
      <c r="DR687">
        <v>3507083</v>
      </c>
      <c r="DS687" t="s">
        <v>312</v>
      </c>
    </row>
    <row r="688" spans="90:123" x14ac:dyDescent="0.15">
      <c r="CL688" s="13" t="str">
        <f t="shared" si="125"/>
        <v/>
      </c>
      <c r="CM688" s="13" t="str">
        <f t="shared" si="125"/>
        <v/>
      </c>
      <c r="CN688" s="13" t="str">
        <f t="shared" si="125"/>
        <v/>
      </c>
      <c r="CO688" s="13" t="str">
        <f t="shared" si="125"/>
        <v/>
      </c>
      <c r="CP688" s="13" t="str">
        <f t="shared" si="125"/>
        <v/>
      </c>
      <c r="CQ688" s="13" t="str">
        <f t="shared" si="125"/>
        <v/>
      </c>
      <c r="CR688" t="str">
        <f t="shared" si="119"/>
        <v/>
      </c>
      <c r="CS688" t="str">
        <f t="shared" si="120"/>
        <v/>
      </c>
      <c r="CT688" t="str">
        <f t="shared" si="121"/>
        <v/>
      </c>
      <c r="CU688" t="str">
        <f t="shared" si="122"/>
        <v/>
      </c>
      <c r="CV688" t="str">
        <f t="shared" si="123"/>
        <v/>
      </c>
      <c r="CW688" t="str">
        <f t="shared" si="124"/>
        <v/>
      </c>
      <c r="DR688">
        <v>3604083</v>
      </c>
      <c r="DS688" t="s">
        <v>313</v>
      </c>
    </row>
    <row r="689" spans="90:123" x14ac:dyDescent="0.15">
      <c r="CL689" s="13" t="str">
        <f t="shared" si="125"/>
        <v/>
      </c>
      <c r="CM689" s="13" t="str">
        <f t="shared" si="125"/>
        <v/>
      </c>
      <c r="CN689" s="13" t="str">
        <f t="shared" si="125"/>
        <v/>
      </c>
      <c r="CO689" s="13" t="str">
        <f t="shared" si="125"/>
        <v/>
      </c>
      <c r="CP689" s="13" t="str">
        <f t="shared" si="125"/>
        <v/>
      </c>
      <c r="CQ689" s="13" t="str">
        <f t="shared" si="125"/>
        <v/>
      </c>
      <c r="CR689" t="str">
        <f t="shared" si="119"/>
        <v/>
      </c>
      <c r="CS689" t="str">
        <f t="shared" si="120"/>
        <v/>
      </c>
      <c r="CT689" t="str">
        <f t="shared" si="121"/>
        <v/>
      </c>
      <c r="CU689" t="str">
        <f t="shared" si="122"/>
        <v/>
      </c>
      <c r="CV689" t="str">
        <f t="shared" si="123"/>
        <v/>
      </c>
      <c r="CW689" t="str">
        <f t="shared" si="124"/>
        <v/>
      </c>
      <c r="DR689">
        <v>3506084</v>
      </c>
      <c r="DS689" t="s">
        <v>314</v>
      </c>
    </row>
    <row r="690" spans="90:123" x14ac:dyDescent="0.15">
      <c r="CL690" s="13" t="str">
        <f t="shared" si="125"/>
        <v/>
      </c>
      <c r="CM690" s="13" t="str">
        <f t="shared" si="125"/>
        <v/>
      </c>
      <c r="CN690" s="13" t="str">
        <f t="shared" si="125"/>
        <v/>
      </c>
      <c r="CO690" s="13" t="str">
        <f t="shared" si="125"/>
        <v/>
      </c>
      <c r="CP690" s="13" t="str">
        <f t="shared" si="125"/>
        <v/>
      </c>
      <c r="CQ690" s="13" t="str">
        <f t="shared" si="125"/>
        <v/>
      </c>
      <c r="CR690" t="str">
        <f t="shared" si="119"/>
        <v/>
      </c>
      <c r="CS690" t="str">
        <f t="shared" si="120"/>
        <v/>
      </c>
      <c r="CT690" t="str">
        <f t="shared" si="121"/>
        <v/>
      </c>
      <c r="CU690" t="str">
        <f t="shared" si="122"/>
        <v/>
      </c>
      <c r="CV690" t="str">
        <f t="shared" si="123"/>
        <v/>
      </c>
      <c r="CW690" t="str">
        <f t="shared" si="124"/>
        <v/>
      </c>
      <c r="DR690">
        <v>3603084</v>
      </c>
      <c r="DS690" t="s">
        <v>315</v>
      </c>
    </row>
    <row r="691" spans="90:123" x14ac:dyDescent="0.15">
      <c r="CL691" s="13" t="str">
        <f t="shared" si="125"/>
        <v/>
      </c>
      <c r="CM691" s="13" t="str">
        <f t="shared" si="125"/>
        <v/>
      </c>
      <c r="CN691" s="13" t="str">
        <f t="shared" si="125"/>
        <v/>
      </c>
      <c r="CO691" s="13" t="str">
        <f t="shared" si="125"/>
        <v/>
      </c>
      <c r="CP691" s="13" t="str">
        <f t="shared" si="125"/>
        <v/>
      </c>
      <c r="CQ691" s="13" t="str">
        <f t="shared" si="125"/>
        <v/>
      </c>
      <c r="CR691" t="str">
        <f t="shared" si="119"/>
        <v/>
      </c>
      <c r="CS691" t="str">
        <f t="shared" si="120"/>
        <v/>
      </c>
      <c r="CT691" t="str">
        <f t="shared" si="121"/>
        <v/>
      </c>
      <c r="CU691" t="str">
        <f t="shared" si="122"/>
        <v/>
      </c>
      <c r="CV691" t="str">
        <f t="shared" si="123"/>
        <v/>
      </c>
      <c r="CW691" t="str">
        <f t="shared" si="124"/>
        <v/>
      </c>
      <c r="DR691">
        <v>3605084</v>
      </c>
      <c r="DS691" t="s">
        <v>316</v>
      </c>
    </row>
    <row r="692" spans="90:123" x14ac:dyDescent="0.15">
      <c r="CL692" s="13" t="str">
        <f t="shared" si="125"/>
        <v/>
      </c>
      <c r="CM692" s="13" t="str">
        <f t="shared" si="125"/>
        <v/>
      </c>
      <c r="CN692" s="13" t="str">
        <f t="shared" si="125"/>
        <v/>
      </c>
      <c r="CO692" s="13" t="str">
        <f t="shared" si="125"/>
        <v/>
      </c>
      <c r="CP692" s="13" t="str">
        <f t="shared" si="125"/>
        <v/>
      </c>
      <c r="CQ692" s="13" t="str">
        <f t="shared" si="125"/>
        <v/>
      </c>
      <c r="CR692" t="str">
        <f t="shared" si="119"/>
        <v/>
      </c>
      <c r="CS692" t="str">
        <f t="shared" si="120"/>
        <v/>
      </c>
      <c r="CT692" t="str">
        <f t="shared" si="121"/>
        <v/>
      </c>
      <c r="CU692" t="str">
        <f t="shared" si="122"/>
        <v/>
      </c>
      <c r="CV692" t="str">
        <f t="shared" si="123"/>
        <v/>
      </c>
      <c r="CW692" t="str">
        <f t="shared" si="124"/>
        <v/>
      </c>
      <c r="DR692">
        <v>3305085</v>
      </c>
      <c r="DS692" t="s">
        <v>317</v>
      </c>
    </row>
    <row r="693" spans="90:123" x14ac:dyDescent="0.15">
      <c r="CL693" s="13" t="str">
        <f t="shared" si="125"/>
        <v/>
      </c>
      <c r="CM693" s="13" t="str">
        <f t="shared" si="125"/>
        <v/>
      </c>
      <c r="CN693" s="13" t="str">
        <f t="shared" si="125"/>
        <v/>
      </c>
      <c r="CO693" s="13" t="str">
        <f t="shared" si="125"/>
        <v/>
      </c>
      <c r="CP693" s="13" t="str">
        <f t="shared" si="125"/>
        <v/>
      </c>
      <c r="CQ693" s="13" t="str">
        <f t="shared" si="125"/>
        <v/>
      </c>
      <c r="CR693" t="str">
        <f t="shared" si="119"/>
        <v/>
      </c>
      <c r="CS693" t="str">
        <f t="shared" si="120"/>
        <v/>
      </c>
      <c r="CT693" t="str">
        <f t="shared" si="121"/>
        <v/>
      </c>
      <c r="CU693" t="str">
        <f t="shared" si="122"/>
        <v/>
      </c>
      <c r="CV693" t="str">
        <f t="shared" si="123"/>
        <v/>
      </c>
      <c r="CW693" t="str">
        <f t="shared" si="124"/>
        <v/>
      </c>
      <c r="DR693">
        <v>3307085</v>
      </c>
      <c r="DS693" t="s">
        <v>318</v>
      </c>
    </row>
    <row r="694" spans="90:123" x14ac:dyDescent="0.15">
      <c r="CL694" s="13" t="str">
        <f t="shared" si="125"/>
        <v/>
      </c>
      <c r="CM694" s="13" t="str">
        <f t="shared" si="125"/>
        <v/>
      </c>
      <c r="CN694" s="13" t="str">
        <f t="shared" si="125"/>
        <v/>
      </c>
      <c r="CO694" s="13" t="str">
        <f t="shared" si="125"/>
        <v/>
      </c>
      <c r="CP694" s="13" t="str">
        <f t="shared" si="125"/>
        <v/>
      </c>
      <c r="CQ694" s="13" t="str">
        <f t="shared" si="125"/>
        <v/>
      </c>
      <c r="CR694" t="str">
        <f t="shared" si="119"/>
        <v/>
      </c>
      <c r="CS694" t="str">
        <f t="shared" si="120"/>
        <v/>
      </c>
      <c r="CT694" t="str">
        <f t="shared" si="121"/>
        <v/>
      </c>
      <c r="CU694" t="str">
        <f t="shared" si="122"/>
        <v/>
      </c>
      <c r="CV694" t="str">
        <f t="shared" si="123"/>
        <v/>
      </c>
      <c r="CW694" t="str">
        <f t="shared" si="124"/>
        <v/>
      </c>
      <c r="DR694">
        <v>3407085</v>
      </c>
      <c r="DS694" t="s">
        <v>319</v>
      </c>
    </row>
    <row r="695" spans="90:123" x14ac:dyDescent="0.15">
      <c r="CL695" s="13" t="str">
        <f t="shared" si="125"/>
        <v/>
      </c>
      <c r="CM695" s="13" t="str">
        <f t="shared" si="125"/>
        <v/>
      </c>
      <c r="CN695" s="13" t="str">
        <f t="shared" si="125"/>
        <v/>
      </c>
      <c r="CO695" s="13" t="str">
        <f t="shared" si="125"/>
        <v/>
      </c>
      <c r="CP695" s="13" t="str">
        <f t="shared" si="125"/>
        <v/>
      </c>
      <c r="CQ695" s="13" t="str">
        <f t="shared" si="125"/>
        <v/>
      </c>
      <c r="CR695" t="str">
        <f t="shared" si="119"/>
        <v/>
      </c>
      <c r="CS695" t="str">
        <f t="shared" si="120"/>
        <v/>
      </c>
      <c r="CT695" t="str">
        <f t="shared" si="121"/>
        <v/>
      </c>
      <c r="CU695" t="str">
        <f t="shared" si="122"/>
        <v/>
      </c>
      <c r="CV695" t="str">
        <f t="shared" si="123"/>
        <v/>
      </c>
      <c r="CW695" t="str">
        <f t="shared" si="124"/>
        <v/>
      </c>
      <c r="DR695">
        <v>5207051</v>
      </c>
      <c r="DS695" t="s">
        <v>287</v>
      </c>
    </row>
    <row r="696" spans="90:123" x14ac:dyDescent="0.15">
      <c r="CL696" s="13" t="str">
        <f t="shared" si="125"/>
        <v/>
      </c>
      <c r="CM696" s="13" t="str">
        <f t="shared" si="125"/>
        <v/>
      </c>
      <c r="CN696" s="13" t="str">
        <f t="shared" si="125"/>
        <v/>
      </c>
      <c r="CO696" s="13" t="str">
        <f t="shared" si="125"/>
        <v/>
      </c>
      <c r="CP696" s="13" t="str">
        <f t="shared" si="125"/>
        <v/>
      </c>
      <c r="CQ696" s="13" t="str">
        <f t="shared" si="125"/>
        <v/>
      </c>
      <c r="CR696" t="str">
        <f t="shared" si="119"/>
        <v/>
      </c>
      <c r="CS696" t="str">
        <f t="shared" si="120"/>
        <v/>
      </c>
      <c r="CT696" t="str">
        <f t="shared" si="121"/>
        <v/>
      </c>
      <c r="CU696" t="str">
        <f t="shared" si="122"/>
        <v/>
      </c>
      <c r="CV696" t="str">
        <f t="shared" si="123"/>
        <v/>
      </c>
      <c r="CW696" t="str">
        <f t="shared" si="124"/>
        <v/>
      </c>
      <c r="DR696">
        <v>5208051</v>
      </c>
      <c r="DS696" t="s">
        <v>288</v>
      </c>
    </row>
    <row r="697" spans="90:123" x14ac:dyDescent="0.15">
      <c r="CL697" s="13" t="str">
        <f t="shared" si="125"/>
        <v/>
      </c>
      <c r="CM697" s="13" t="str">
        <f t="shared" si="125"/>
        <v/>
      </c>
      <c r="CN697" s="13" t="str">
        <f t="shared" si="125"/>
        <v/>
      </c>
      <c r="CO697" s="13" t="str">
        <f t="shared" si="125"/>
        <v/>
      </c>
      <c r="CP697" s="13" t="str">
        <f t="shared" si="125"/>
        <v/>
      </c>
      <c r="CQ697" s="13" t="str">
        <f t="shared" si="125"/>
        <v/>
      </c>
      <c r="CR697" t="str">
        <f t="shared" si="119"/>
        <v/>
      </c>
      <c r="CS697" t="str">
        <f t="shared" si="120"/>
        <v/>
      </c>
      <c r="CT697" t="str">
        <f t="shared" si="121"/>
        <v/>
      </c>
      <c r="CU697" t="str">
        <f t="shared" si="122"/>
        <v/>
      </c>
      <c r="CV697" t="str">
        <f t="shared" si="123"/>
        <v/>
      </c>
      <c r="CW697" t="str">
        <f t="shared" si="124"/>
        <v/>
      </c>
      <c r="DR697">
        <v>5209051</v>
      </c>
      <c r="DS697" t="s">
        <v>289</v>
      </c>
    </row>
    <row r="698" spans="90:123" x14ac:dyDescent="0.15">
      <c r="CL698" s="13" t="str">
        <f t="shared" si="125"/>
        <v/>
      </c>
      <c r="CM698" s="13" t="str">
        <f t="shared" si="125"/>
        <v/>
      </c>
      <c r="CN698" s="13" t="str">
        <f t="shared" si="125"/>
        <v/>
      </c>
      <c r="CO698" s="13" t="str">
        <f t="shared" si="125"/>
        <v/>
      </c>
      <c r="CP698" s="13" t="str">
        <f t="shared" si="125"/>
        <v/>
      </c>
      <c r="CQ698" s="13" t="str">
        <f t="shared" si="125"/>
        <v/>
      </c>
      <c r="CR698" t="str">
        <f t="shared" si="119"/>
        <v/>
      </c>
      <c r="CS698" t="str">
        <f t="shared" si="120"/>
        <v/>
      </c>
      <c r="CT698" t="str">
        <f t="shared" si="121"/>
        <v/>
      </c>
      <c r="CU698" t="str">
        <f t="shared" si="122"/>
        <v/>
      </c>
      <c r="CV698" t="str">
        <f t="shared" si="123"/>
        <v/>
      </c>
      <c r="CW698" t="str">
        <f t="shared" si="124"/>
        <v/>
      </c>
      <c r="DR698">
        <v>5306051</v>
      </c>
      <c r="DS698" t="s">
        <v>290</v>
      </c>
    </row>
    <row r="699" spans="90:123" x14ac:dyDescent="0.15">
      <c r="CL699" s="13" t="str">
        <f t="shared" si="125"/>
        <v/>
      </c>
      <c r="CM699" s="13" t="str">
        <f t="shared" si="125"/>
        <v/>
      </c>
      <c r="CN699" s="13" t="str">
        <f t="shared" si="125"/>
        <v/>
      </c>
      <c r="CO699" s="13" t="str">
        <f t="shared" si="125"/>
        <v/>
      </c>
      <c r="CP699" s="13" t="str">
        <f t="shared" si="125"/>
        <v/>
      </c>
      <c r="CQ699" s="13" t="str">
        <f t="shared" si="125"/>
        <v/>
      </c>
      <c r="CR699" t="str">
        <f t="shared" si="119"/>
        <v/>
      </c>
      <c r="CS699" t="str">
        <f t="shared" si="120"/>
        <v/>
      </c>
      <c r="CT699" t="str">
        <f t="shared" si="121"/>
        <v/>
      </c>
      <c r="CU699" t="str">
        <f t="shared" si="122"/>
        <v/>
      </c>
      <c r="CV699" t="str">
        <f t="shared" si="123"/>
        <v/>
      </c>
      <c r="CW699" t="str">
        <f t="shared" si="124"/>
        <v/>
      </c>
      <c r="DR699">
        <v>5408051</v>
      </c>
      <c r="DS699" t="s">
        <v>291</v>
      </c>
    </row>
    <row r="700" spans="90:123" x14ac:dyDescent="0.15">
      <c r="CL700" s="13" t="str">
        <f t="shared" si="125"/>
        <v/>
      </c>
      <c r="CM700" s="13" t="str">
        <f t="shared" si="125"/>
        <v/>
      </c>
      <c r="CN700" s="13" t="str">
        <f t="shared" si="125"/>
        <v/>
      </c>
      <c r="CO700" s="13" t="str">
        <f t="shared" si="125"/>
        <v/>
      </c>
      <c r="CP700" s="13" t="str">
        <f t="shared" si="125"/>
        <v/>
      </c>
      <c r="CQ700" s="13" t="str">
        <f t="shared" si="125"/>
        <v/>
      </c>
      <c r="CR700" t="str">
        <f t="shared" si="119"/>
        <v/>
      </c>
      <c r="CS700" t="str">
        <f t="shared" si="120"/>
        <v/>
      </c>
      <c r="CT700" t="str">
        <f t="shared" si="121"/>
        <v/>
      </c>
      <c r="CU700" t="str">
        <f t="shared" si="122"/>
        <v/>
      </c>
      <c r="CV700" t="str">
        <f t="shared" si="123"/>
        <v/>
      </c>
      <c r="CW700" t="str">
        <f t="shared" si="124"/>
        <v/>
      </c>
      <c r="DR700">
        <v>5409051</v>
      </c>
      <c r="DS700" t="s">
        <v>292</v>
      </c>
    </row>
    <row r="701" spans="90:123" x14ac:dyDescent="0.15">
      <c r="CL701" s="13" t="str">
        <f t="shared" si="125"/>
        <v/>
      </c>
      <c r="CM701" s="13" t="str">
        <f t="shared" si="125"/>
        <v/>
      </c>
      <c r="CN701" s="13" t="str">
        <f t="shared" si="125"/>
        <v/>
      </c>
      <c r="CO701" s="13" t="str">
        <f t="shared" si="125"/>
        <v/>
      </c>
      <c r="CP701" s="13" t="str">
        <f t="shared" si="125"/>
        <v/>
      </c>
      <c r="CQ701" s="13" t="str">
        <f t="shared" si="125"/>
        <v/>
      </c>
      <c r="CR701" t="str">
        <f t="shared" si="119"/>
        <v/>
      </c>
      <c r="CS701" t="str">
        <f t="shared" si="120"/>
        <v/>
      </c>
      <c r="CT701" t="str">
        <f t="shared" si="121"/>
        <v/>
      </c>
      <c r="CU701" t="str">
        <f t="shared" si="122"/>
        <v/>
      </c>
      <c r="CV701" t="str">
        <f t="shared" si="123"/>
        <v/>
      </c>
      <c r="CW701" t="str">
        <f t="shared" si="124"/>
        <v/>
      </c>
      <c r="DR701">
        <v>5505051</v>
      </c>
      <c r="DS701" t="s">
        <v>293</v>
      </c>
    </row>
    <row r="702" spans="90:123" x14ac:dyDescent="0.15">
      <c r="CL702" s="13" t="str">
        <f t="shared" si="125"/>
        <v/>
      </c>
      <c r="CM702" s="13" t="str">
        <f t="shared" si="125"/>
        <v/>
      </c>
      <c r="CN702" s="13" t="str">
        <f t="shared" si="125"/>
        <v/>
      </c>
      <c r="CO702" s="13" t="str">
        <f t="shared" si="125"/>
        <v/>
      </c>
      <c r="CP702" s="13" t="str">
        <f t="shared" si="125"/>
        <v/>
      </c>
      <c r="CQ702" s="13" t="str">
        <f t="shared" si="125"/>
        <v/>
      </c>
      <c r="CR702" t="str">
        <f t="shared" si="119"/>
        <v/>
      </c>
      <c r="CS702" t="str">
        <f t="shared" si="120"/>
        <v/>
      </c>
      <c r="CT702" t="str">
        <f t="shared" si="121"/>
        <v/>
      </c>
      <c r="CU702" t="str">
        <f t="shared" si="122"/>
        <v/>
      </c>
      <c r="CV702" t="str">
        <f t="shared" si="123"/>
        <v/>
      </c>
      <c r="CW702" t="str">
        <f t="shared" si="124"/>
        <v/>
      </c>
      <c r="DR702">
        <v>5507051</v>
      </c>
      <c r="DS702" t="s">
        <v>294</v>
      </c>
    </row>
    <row r="703" spans="90:123" x14ac:dyDescent="0.15">
      <c r="CL703" s="13" t="str">
        <f t="shared" si="125"/>
        <v/>
      </c>
      <c r="CM703" s="13" t="str">
        <f t="shared" si="125"/>
        <v/>
      </c>
      <c r="CN703" s="13" t="str">
        <f t="shared" si="125"/>
        <v/>
      </c>
      <c r="CO703" s="13" t="str">
        <f t="shared" si="125"/>
        <v/>
      </c>
      <c r="CP703" s="13" t="str">
        <f t="shared" si="125"/>
        <v/>
      </c>
      <c r="CQ703" s="13" t="str">
        <f t="shared" si="125"/>
        <v/>
      </c>
      <c r="CR703" t="str">
        <f t="shared" si="119"/>
        <v/>
      </c>
      <c r="CS703" t="str">
        <f t="shared" si="120"/>
        <v/>
      </c>
      <c r="CT703" t="str">
        <f t="shared" si="121"/>
        <v/>
      </c>
      <c r="CU703" t="str">
        <f t="shared" si="122"/>
        <v/>
      </c>
      <c r="CV703" t="str">
        <f t="shared" si="123"/>
        <v/>
      </c>
      <c r="CW703" t="str">
        <f t="shared" si="124"/>
        <v/>
      </c>
      <c r="DR703">
        <v>5604051</v>
      </c>
      <c r="DS703" t="s">
        <v>295</v>
      </c>
    </row>
    <row r="704" spans="90:123" x14ac:dyDescent="0.15">
      <c r="CL704" s="13" t="str">
        <f t="shared" si="125"/>
        <v/>
      </c>
      <c r="CM704" s="13" t="str">
        <f t="shared" si="125"/>
        <v/>
      </c>
      <c r="CN704" s="13" t="str">
        <f t="shared" si="125"/>
        <v/>
      </c>
      <c r="CO704" s="13" t="str">
        <f t="shared" si="125"/>
        <v/>
      </c>
      <c r="CP704" s="13" t="str">
        <f t="shared" si="125"/>
        <v/>
      </c>
      <c r="CQ704" s="13" t="str">
        <f t="shared" si="125"/>
        <v/>
      </c>
      <c r="CR704" t="str">
        <f t="shared" si="119"/>
        <v/>
      </c>
      <c r="CS704" t="str">
        <f t="shared" si="120"/>
        <v/>
      </c>
      <c r="CT704" t="str">
        <f t="shared" si="121"/>
        <v/>
      </c>
      <c r="CU704" t="str">
        <f t="shared" si="122"/>
        <v/>
      </c>
      <c r="CV704" t="str">
        <f t="shared" si="123"/>
        <v/>
      </c>
      <c r="CW704" t="str">
        <f t="shared" si="124"/>
        <v/>
      </c>
      <c r="DR704">
        <v>5207052</v>
      </c>
      <c r="DS704" t="s">
        <v>296</v>
      </c>
    </row>
    <row r="705" spans="90:123" x14ac:dyDescent="0.15">
      <c r="CL705" s="13" t="str">
        <f t="shared" si="125"/>
        <v/>
      </c>
      <c r="CM705" s="13" t="str">
        <f t="shared" si="125"/>
        <v/>
      </c>
      <c r="CN705" s="13" t="str">
        <f t="shared" si="125"/>
        <v/>
      </c>
      <c r="CO705" s="13" t="str">
        <f t="shared" si="125"/>
        <v/>
      </c>
      <c r="CP705" s="13" t="str">
        <f t="shared" si="125"/>
        <v/>
      </c>
      <c r="CQ705" s="13" t="str">
        <f t="shared" si="125"/>
        <v/>
      </c>
      <c r="CR705" t="str">
        <f t="shared" si="119"/>
        <v/>
      </c>
      <c r="CS705" t="str">
        <f t="shared" si="120"/>
        <v/>
      </c>
      <c r="CT705" t="str">
        <f t="shared" si="121"/>
        <v/>
      </c>
      <c r="CU705" t="str">
        <f t="shared" si="122"/>
        <v/>
      </c>
      <c r="CV705" t="str">
        <f t="shared" si="123"/>
        <v/>
      </c>
      <c r="CW705" t="str">
        <f t="shared" si="124"/>
        <v/>
      </c>
      <c r="DR705">
        <v>5208052</v>
      </c>
      <c r="DS705" t="s">
        <v>297</v>
      </c>
    </row>
    <row r="706" spans="90:123" x14ac:dyDescent="0.15">
      <c r="CL706" s="13" t="str">
        <f t="shared" si="125"/>
        <v/>
      </c>
      <c r="CM706" s="13" t="str">
        <f t="shared" si="125"/>
        <v/>
      </c>
      <c r="CN706" s="13" t="str">
        <f t="shared" si="125"/>
        <v/>
      </c>
      <c r="CO706" s="13" t="str">
        <f t="shared" si="125"/>
        <v/>
      </c>
      <c r="CP706" s="13" t="str">
        <f t="shared" si="125"/>
        <v/>
      </c>
      <c r="CQ706" s="13" t="str">
        <f t="shared" si="125"/>
        <v/>
      </c>
      <c r="CR706" t="str">
        <f t="shared" si="119"/>
        <v/>
      </c>
      <c r="CS706" t="str">
        <f t="shared" si="120"/>
        <v/>
      </c>
      <c r="CT706" t="str">
        <f t="shared" si="121"/>
        <v/>
      </c>
      <c r="CU706" t="str">
        <f t="shared" si="122"/>
        <v/>
      </c>
      <c r="CV706" t="str">
        <f t="shared" si="123"/>
        <v/>
      </c>
      <c r="CW706" t="str">
        <f t="shared" si="124"/>
        <v/>
      </c>
      <c r="DR706">
        <v>5209052</v>
      </c>
      <c r="DS706" t="s">
        <v>298</v>
      </c>
    </row>
    <row r="707" spans="90:123" x14ac:dyDescent="0.15">
      <c r="CL707" s="13" t="str">
        <f t="shared" si="125"/>
        <v/>
      </c>
      <c r="CM707" s="13" t="str">
        <f t="shared" si="125"/>
        <v/>
      </c>
      <c r="CN707" s="13" t="str">
        <f t="shared" si="125"/>
        <v/>
      </c>
      <c r="CO707" s="13" t="str">
        <f t="shared" si="125"/>
        <v/>
      </c>
      <c r="CP707" s="13" t="str">
        <f t="shared" si="125"/>
        <v/>
      </c>
      <c r="CQ707" s="13" t="str">
        <f t="shared" si="125"/>
        <v/>
      </c>
      <c r="CR707" t="str">
        <f t="shared" ref="CR707:CR770" si="126">IF(DJ707&lt;&gt;"",REPLACE(REPLACE(INDEX($DR$4:$DR$1516,MATCH(DJ707,$DS$4:$DS$1516,0)),6,1,CX707),1,1,DD707),"")</f>
        <v/>
      </c>
      <c r="CS707" t="str">
        <f t="shared" ref="CS707:CS770" si="127">IF(DK707&lt;&gt;"",REPLACE(REPLACE(INDEX($DR$4:$DR$1516,MATCH(DK707,$DS$4:$DS$1516,0)),6,1,CY707),1,1,DE707),"")</f>
        <v/>
      </c>
      <c r="CT707" t="str">
        <f t="shared" ref="CT707:CT770" si="128">IF(DL707&lt;&gt;"",REPLACE(REPLACE(INDEX($DR$4:$DR$1516,MATCH(DL707,$DS$4:$DS$1516,0)),6,1,CZ707),1,1,DF707),"")</f>
        <v/>
      </c>
      <c r="CU707" t="str">
        <f t="shared" ref="CU707:CU770" si="129">IF(DM707&lt;&gt;"",REPLACE(REPLACE(INDEX($DR$4:$DR$1516,MATCH(DM707,$DS$4:$DS$1516,0)),6,1,DA707),1,1,DG707),"")</f>
        <v/>
      </c>
      <c r="CV707" t="str">
        <f t="shared" ref="CV707:CV770" si="130">IF(DN707&lt;&gt;"",REPLACE(REPLACE(INDEX($DR$4:$DR$1516,MATCH(DN707,$DS$4:$DS$1516,0)),6,1,DB707),1,1,DH707),"")</f>
        <v/>
      </c>
      <c r="CW707" t="str">
        <f t="shared" ref="CW707:CW770" si="131">IF(DO707&lt;&gt;"",REPLACE(REPLACE(INDEX($DR$4:$DR$1516,MATCH(DO707,$DS$4:$DS$1516,0)),6,1,DC707),1,1,DI707),"")</f>
        <v/>
      </c>
      <c r="DR707">
        <v>5306052</v>
      </c>
      <c r="DS707" t="s">
        <v>299</v>
      </c>
    </row>
    <row r="708" spans="90:123" x14ac:dyDescent="0.15">
      <c r="CL708" s="13" t="str">
        <f t="shared" si="125"/>
        <v/>
      </c>
      <c r="CM708" s="13" t="str">
        <f t="shared" si="125"/>
        <v/>
      </c>
      <c r="CN708" s="13" t="str">
        <f t="shared" si="125"/>
        <v/>
      </c>
      <c r="CO708" s="13" t="str">
        <f t="shared" si="125"/>
        <v/>
      </c>
      <c r="CP708" s="13" t="str">
        <f t="shared" si="125"/>
        <v/>
      </c>
      <c r="CQ708" s="13" t="str">
        <f t="shared" si="125"/>
        <v/>
      </c>
      <c r="CR708" t="str">
        <f t="shared" si="126"/>
        <v/>
      </c>
      <c r="CS708" t="str">
        <f t="shared" si="127"/>
        <v/>
      </c>
      <c r="CT708" t="str">
        <f t="shared" si="128"/>
        <v/>
      </c>
      <c r="CU708" t="str">
        <f t="shared" si="129"/>
        <v/>
      </c>
      <c r="CV708" t="str">
        <f t="shared" si="130"/>
        <v/>
      </c>
      <c r="CW708" t="str">
        <f t="shared" si="131"/>
        <v/>
      </c>
      <c r="DR708">
        <v>5408052</v>
      </c>
      <c r="DS708" t="s">
        <v>300</v>
      </c>
    </row>
    <row r="709" spans="90:123" x14ac:dyDescent="0.15">
      <c r="CL709" s="13" t="str">
        <f t="shared" si="125"/>
        <v/>
      </c>
      <c r="CM709" s="13" t="str">
        <f t="shared" si="125"/>
        <v/>
      </c>
      <c r="CN709" s="13" t="str">
        <f t="shared" si="125"/>
        <v/>
      </c>
      <c r="CO709" s="13" t="str">
        <f t="shared" si="125"/>
        <v/>
      </c>
      <c r="CP709" s="13" t="str">
        <f t="shared" si="125"/>
        <v/>
      </c>
      <c r="CQ709" s="13" t="str">
        <f t="shared" si="125"/>
        <v/>
      </c>
      <c r="CR709" t="str">
        <f t="shared" si="126"/>
        <v/>
      </c>
      <c r="CS709" t="str">
        <f t="shared" si="127"/>
        <v/>
      </c>
      <c r="CT709" t="str">
        <f t="shared" si="128"/>
        <v/>
      </c>
      <c r="CU709" t="str">
        <f t="shared" si="129"/>
        <v/>
      </c>
      <c r="CV709" t="str">
        <f t="shared" si="130"/>
        <v/>
      </c>
      <c r="CW709" t="str">
        <f t="shared" si="131"/>
        <v/>
      </c>
      <c r="DR709">
        <v>5409052</v>
      </c>
      <c r="DS709" t="s">
        <v>301</v>
      </c>
    </row>
    <row r="710" spans="90:123" x14ac:dyDescent="0.15">
      <c r="CL710" s="13" t="str">
        <f t="shared" si="125"/>
        <v/>
      </c>
      <c r="CM710" s="13" t="str">
        <f t="shared" si="125"/>
        <v/>
      </c>
      <c r="CN710" s="13" t="str">
        <f t="shared" si="125"/>
        <v/>
      </c>
      <c r="CO710" s="13" t="str">
        <f t="shared" si="125"/>
        <v/>
      </c>
      <c r="CP710" s="13" t="str">
        <f t="shared" si="125"/>
        <v/>
      </c>
      <c r="CQ710" s="13" t="str">
        <f t="shared" si="125"/>
        <v/>
      </c>
      <c r="CR710" t="str">
        <f t="shared" si="126"/>
        <v/>
      </c>
      <c r="CS710" t="str">
        <f t="shared" si="127"/>
        <v/>
      </c>
      <c r="CT710" t="str">
        <f t="shared" si="128"/>
        <v/>
      </c>
      <c r="CU710" t="str">
        <f t="shared" si="129"/>
        <v/>
      </c>
      <c r="CV710" t="str">
        <f t="shared" si="130"/>
        <v/>
      </c>
      <c r="CW710" t="str">
        <f t="shared" si="131"/>
        <v/>
      </c>
      <c r="DR710">
        <v>5505052</v>
      </c>
      <c r="DS710" t="s">
        <v>302</v>
      </c>
    </row>
    <row r="711" spans="90:123" x14ac:dyDescent="0.15">
      <c r="CL711" s="13" t="str">
        <f t="shared" si="125"/>
        <v/>
      </c>
      <c r="CM711" s="13" t="str">
        <f t="shared" si="125"/>
        <v/>
      </c>
      <c r="CN711" s="13" t="str">
        <f t="shared" si="125"/>
        <v/>
      </c>
      <c r="CO711" s="13" t="str">
        <f t="shared" si="125"/>
        <v/>
      </c>
      <c r="CP711" s="13" t="str">
        <f t="shared" si="125"/>
        <v/>
      </c>
      <c r="CQ711" s="13" t="str">
        <f t="shared" si="125"/>
        <v/>
      </c>
      <c r="CR711" t="str">
        <f t="shared" si="126"/>
        <v/>
      </c>
      <c r="CS711" t="str">
        <f t="shared" si="127"/>
        <v/>
      </c>
      <c r="CT711" t="str">
        <f t="shared" si="128"/>
        <v/>
      </c>
      <c r="CU711" t="str">
        <f t="shared" si="129"/>
        <v/>
      </c>
      <c r="CV711" t="str">
        <f t="shared" si="130"/>
        <v/>
      </c>
      <c r="CW711" t="str">
        <f t="shared" si="131"/>
        <v/>
      </c>
      <c r="DR711">
        <v>5507052</v>
      </c>
      <c r="DS711" t="s">
        <v>303</v>
      </c>
    </row>
    <row r="712" spans="90:123" x14ac:dyDescent="0.15">
      <c r="CL712" s="13" t="str">
        <f t="shared" si="125"/>
        <v/>
      </c>
      <c r="CM712" s="13" t="str">
        <f t="shared" si="125"/>
        <v/>
      </c>
      <c r="CN712" s="13" t="str">
        <f t="shared" si="125"/>
        <v/>
      </c>
      <c r="CO712" s="13" t="str">
        <f t="shared" si="125"/>
        <v/>
      </c>
      <c r="CP712" s="13" t="str">
        <f t="shared" si="125"/>
        <v/>
      </c>
      <c r="CQ712" s="13" t="str">
        <f t="shared" si="125"/>
        <v/>
      </c>
      <c r="CR712" t="str">
        <f t="shared" si="126"/>
        <v/>
      </c>
      <c r="CS712" t="str">
        <f t="shared" si="127"/>
        <v/>
      </c>
      <c r="CT712" t="str">
        <f t="shared" si="128"/>
        <v/>
      </c>
      <c r="CU712" t="str">
        <f t="shared" si="129"/>
        <v/>
      </c>
      <c r="CV712" t="str">
        <f t="shared" si="130"/>
        <v/>
      </c>
      <c r="CW712" t="str">
        <f t="shared" si="131"/>
        <v/>
      </c>
      <c r="DR712">
        <v>5604052</v>
      </c>
      <c r="DS712" t="s">
        <v>304</v>
      </c>
    </row>
    <row r="713" spans="90:123" x14ac:dyDescent="0.15">
      <c r="CL713" s="13" t="str">
        <f t="shared" si="125"/>
        <v/>
      </c>
      <c r="CM713" s="13" t="str">
        <f t="shared" si="125"/>
        <v/>
      </c>
      <c r="CN713" s="13" t="str">
        <f t="shared" si="125"/>
        <v/>
      </c>
      <c r="CO713" s="13" t="str">
        <f t="shared" si="125"/>
        <v/>
      </c>
      <c r="CP713" s="13" t="str">
        <f t="shared" si="125"/>
        <v/>
      </c>
      <c r="CQ713" s="13" t="str">
        <f t="shared" si="125"/>
        <v/>
      </c>
      <c r="CR713" t="str">
        <f t="shared" si="126"/>
        <v/>
      </c>
      <c r="CS713" t="str">
        <f t="shared" si="127"/>
        <v/>
      </c>
      <c r="CT713" t="str">
        <f t="shared" si="128"/>
        <v/>
      </c>
      <c r="CU713" t="str">
        <f t="shared" si="129"/>
        <v/>
      </c>
      <c r="CV713" t="str">
        <f t="shared" si="130"/>
        <v/>
      </c>
      <c r="CW713" t="str">
        <f t="shared" si="131"/>
        <v/>
      </c>
      <c r="DR713">
        <v>5207053</v>
      </c>
      <c r="DS713" t="s">
        <v>305</v>
      </c>
    </row>
    <row r="714" spans="90:123" x14ac:dyDescent="0.15">
      <c r="CL714" s="13" t="str">
        <f t="shared" si="125"/>
        <v/>
      </c>
      <c r="CM714" s="13" t="str">
        <f t="shared" si="125"/>
        <v/>
      </c>
      <c r="CN714" s="13" t="str">
        <f t="shared" si="125"/>
        <v/>
      </c>
      <c r="CO714" s="13" t="str">
        <f t="shared" si="125"/>
        <v/>
      </c>
      <c r="CP714" s="13" t="str">
        <f t="shared" si="125"/>
        <v/>
      </c>
      <c r="CQ714" s="13" t="str">
        <f t="shared" si="125"/>
        <v/>
      </c>
      <c r="CR714" t="str">
        <f t="shared" si="126"/>
        <v/>
      </c>
      <c r="CS714" t="str">
        <f t="shared" si="127"/>
        <v/>
      </c>
      <c r="CT714" t="str">
        <f t="shared" si="128"/>
        <v/>
      </c>
      <c r="CU714" t="str">
        <f t="shared" si="129"/>
        <v/>
      </c>
      <c r="CV714" t="str">
        <f t="shared" si="130"/>
        <v/>
      </c>
      <c r="CW714" t="str">
        <f t="shared" si="131"/>
        <v/>
      </c>
      <c r="DR714">
        <v>5208053</v>
      </c>
      <c r="DS714" t="s">
        <v>306</v>
      </c>
    </row>
    <row r="715" spans="90:123" x14ac:dyDescent="0.15">
      <c r="CL715" s="13" t="str">
        <f t="shared" si="125"/>
        <v/>
      </c>
      <c r="CM715" s="13" t="str">
        <f t="shared" si="125"/>
        <v/>
      </c>
      <c r="CN715" s="13" t="str">
        <f t="shared" si="125"/>
        <v/>
      </c>
      <c r="CO715" s="13" t="str">
        <f t="shared" si="125"/>
        <v/>
      </c>
      <c r="CP715" s="13" t="str">
        <f t="shared" si="125"/>
        <v/>
      </c>
      <c r="CQ715" s="13" t="str">
        <f t="shared" si="125"/>
        <v/>
      </c>
      <c r="CR715" t="str">
        <f t="shared" si="126"/>
        <v/>
      </c>
      <c r="CS715" t="str">
        <f t="shared" si="127"/>
        <v/>
      </c>
      <c r="CT715" t="str">
        <f t="shared" si="128"/>
        <v/>
      </c>
      <c r="CU715" t="str">
        <f t="shared" si="129"/>
        <v/>
      </c>
      <c r="CV715" t="str">
        <f t="shared" si="130"/>
        <v/>
      </c>
      <c r="CW715" t="str">
        <f t="shared" si="131"/>
        <v/>
      </c>
      <c r="DR715">
        <v>5209053</v>
      </c>
      <c r="DS715" t="s">
        <v>307</v>
      </c>
    </row>
    <row r="716" spans="90:123" x14ac:dyDescent="0.15">
      <c r="CL716" s="13" t="str">
        <f t="shared" si="125"/>
        <v/>
      </c>
      <c r="CM716" s="13" t="str">
        <f t="shared" si="125"/>
        <v/>
      </c>
      <c r="CN716" s="13" t="str">
        <f t="shared" si="125"/>
        <v/>
      </c>
      <c r="CO716" s="13" t="str">
        <f t="shared" si="125"/>
        <v/>
      </c>
      <c r="CP716" s="13" t="str">
        <f t="shared" si="125"/>
        <v/>
      </c>
      <c r="CQ716" s="13" t="str">
        <f t="shared" si="125"/>
        <v/>
      </c>
      <c r="CR716" t="str">
        <f t="shared" si="126"/>
        <v/>
      </c>
      <c r="CS716" t="str">
        <f t="shared" si="127"/>
        <v/>
      </c>
      <c r="CT716" t="str">
        <f t="shared" si="128"/>
        <v/>
      </c>
      <c r="CU716" t="str">
        <f t="shared" si="129"/>
        <v/>
      </c>
      <c r="CV716" t="str">
        <f t="shared" si="130"/>
        <v/>
      </c>
      <c r="CW716" t="str">
        <f t="shared" si="131"/>
        <v/>
      </c>
      <c r="DR716">
        <v>5306053</v>
      </c>
      <c r="DS716" t="s">
        <v>308</v>
      </c>
    </row>
    <row r="717" spans="90:123" x14ac:dyDescent="0.15">
      <c r="CL717" s="13" t="str">
        <f t="shared" si="125"/>
        <v/>
      </c>
      <c r="CM717" s="13" t="str">
        <f t="shared" si="125"/>
        <v/>
      </c>
      <c r="CN717" s="13" t="str">
        <f t="shared" si="125"/>
        <v/>
      </c>
      <c r="CO717" s="13" t="str">
        <f t="shared" si="125"/>
        <v/>
      </c>
      <c r="CP717" s="13" t="str">
        <f t="shared" si="125"/>
        <v/>
      </c>
      <c r="CQ717" s="13" t="str">
        <f t="shared" si="125"/>
        <v/>
      </c>
      <c r="CR717" t="str">
        <f t="shared" si="126"/>
        <v/>
      </c>
      <c r="CS717" t="str">
        <f t="shared" si="127"/>
        <v/>
      </c>
      <c r="CT717" t="str">
        <f t="shared" si="128"/>
        <v/>
      </c>
      <c r="CU717" t="str">
        <f t="shared" si="129"/>
        <v/>
      </c>
      <c r="CV717" t="str">
        <f t="shared" si="130"/>
        <v/>
      </c>
      <c r="CW717" t="str">
        <f t="shared" si="131"/>
        <v/>
      </c>
      <c r="DR717">
        <v>5408053</v>
      </c>
      <c r="DS717" t="s">
        <v>309</v>
      </c>
    </row>
    <row r="718" spans="90:123" x14ac:dyDescent="0.15">
      <c r="CL718" s="13" t="str">
        <f t="shared" si="125"/>
        <v/>
      </c>
      <c r="CM718" s="13" t="str">
        <f t="shared" si="125"/>
        <v/>
      </c>
      <c r="CN718" s="13" t="str">
        <f t="shared" si="125"/>
        <v/>
      </c>
      <c r="CO718" s="13" t="str">
        <f t="shared" si="125"/>
        <v/>
      </c>
      <c r="CP718" s="13" t="str">
        <f t="shared" si="125"/>
        <v/>
      </c>
      <c r="CQ718" s="13" t="str">
        <f t="shared" si="125"/>
        <v/>
      </c>
      <c r="CR718" t="str">
        <f t="shared" si="126"/>
        <v/>
      </c>
      <c r="CS718" t="str">
        <f t="shared" si="127"/>
        <v/>
      </c>
      <c r="CT718" t="str">
        <f t="shared" si="128"/>
        <v/>
      </c>
      <c r="CU718" t="str">
        <f t="shared" si="129"/>
        <v/>
      </c>
      <c r="CV718" t="str">
        <f t="shared" si="130"/>
        <v/>
      </c>
      <c r="CW718" t="str">
        <f t="shared" si="131"/>
        <v/>
      </c>
      <c r="DR718">
        <v>5409053</v>
      </c>
      <c r="DS718" t="s">
        <v>310</v>
      </c>
    </row>
    <row r="719" spans="90:123" x14ac:dyDescent="0.15">
      <c r="CL719" s="13" t="str">
        <f t="shared" si="125"/>
        <v/>
      </c>
      <c r="CM719" s="13" t="str">
        <f t="shared" si="125"/>
        <v/>
      </c>
      <c r="CN719" s="13" t="str">
        <f t="shared" si="125"/>
        <v/>
      </c>
      <c r="CO719" s="13" t="str">
        <f t="shared" si="125"/>
        <v/>
      </c>
      <c r="CP719" s="13" t="str">
        <f t="shared" si="125"/>
        <v/>
      </c>
      <c r="CQ719" s="13" t="str">
        <f t="shared" si="125"/>
        <v/>
      </c>
      <c r="CR719" t="str">
        <f t="shared" si="126"/>
        <v/>
      </c>
      <c r="CS719" t="str">
        <f t="shared" si="127"/>
        <v/>
      </c>
      <c r="CT719" t="str">
        <f t="shared" si="128"/>
        <v/>
      </c>
      <c r="CU719" t="str">
        <f t="shared" si="129"/>
        <v/>
      </c>
      <c r="CV719" t="str">
        <f t="shared" si="130"/>
        <v/>
      </c>
      <c r="CW719" t="str">
        <f t="shared" si="131"/>
        <v/>
      </c>
      <c r="DR719">
        <v>5505053</v>
      </c>
      <c r="DS719" t="s">
        <v>311</v>
      </c>
    </row>
    <row r="720" spans="90:123" x14ac:dyDescent="0.15">
      <c r="CL720" s="13" t="str">
        <f t="shared" si="125"/>
        <v/>
      </c>
      <c r="CM720" s="13" t="str">
        <f t="shared" si="125"/>
        <v/>
      </c>
      <c r="CN720" s="13" t="str">
        <f t="shared" si="125"/>
        <v/>
      </c>
      <c r="CO720" s="13" t="str">
        <f t="shared" si="125"/>
        <v/>
      </c>
      <c r="CP720" s="13" t="str">
        <f t="shared" si="125"/>
        <v/>
      </c>
      <c r="CQ720" s="13" t="str">
        <f t="shared" si="125"/>
        <v/>
      </c>
      <c r="CR720" t="str">
        <f t="shared" si="126"/>
        <v/>
      </c>
      <c r="CS720" t="str">
        <f t="shared" si="127"/>
        <v/>
      </c>
      <c r="CT720" t="str">
        <f t="shared" si="128"/>
        <v/>
      </c>
      <c r="CU720" t="str">
        <f t="shared" si="129"/>
        <v/>
      </c>
      <c r="CV720" t="str">
        <f t="shared" si="130"/>
        <v/>
      </c>
      <c r="CW720" t="str">
        <f t="shared" si="131"/>
        <v/>
      </c>
      <c r="DR720">
        <v>5507053</v>
      </c>
      <c r="DS720" t="s">
        <v>312</v>
      </c>
    </row>
    <row r="721" spans="90:123" x14ac:dyDescent="0.15">
      <c r="CL721" s="13" t="str">
        <f t="shared" si="125"/>
        <v/>
      </c>
      <c r="CM721" s="13" t="str">
        <f t="shared" si="125"/>
        <v/>
      </c>
      <c r="CN721" s="13" t="str">
        <f t="shared" si="125"/>
        <v/>
      </c>
      <c r="CO721" s="13" t="str">
        <f t="shared" si="125"/>
        <v/>
      </c>
      <c r="CP721" s="13" t="str">
        <f t="shared" si="125"/>
        <v/>
      </c>
      <c r="CQ721" s="13" t="str">
        <f t="shared" si="125"/>
        <v/>
      </c>
      <c r="CR721" t="str">
        <f t="shared" si="126"/>
        <v/>
      </c>
      <c r="CS721" t="str">
        <f t="shared" si="127"/>
        <v/>
      </c>
      <c r="CT721" t="str">
        <f t="shared" si="128"/>
        <v/>
      </c>
      <c r="CU721" t="str">
        <f t="shared" si="129"/>
        <v/>
      </c>
      <c r="CV721" t="str">
        <f t="shared" si="130"/>
        <v/>
      </c>
      <c r="CW721" t="str">
        <f t="shared" si="131"/>
        <v/>
      </c>
      <c r="DR721">
        <v>5604053</v>
      </c>
      <c r="DS721" t="s">
        <v>313</v>
      </c>
    </row>
    <row r="722" spans="90:123" x14ac:dyDescent="0.15">
      <c r="CL722" s="13" t="str">
        <f t="shared" si="125"/>
        <v/>
      </c>
      <c r="CM722" s="13" t="str">
        <f t="shared" si="125"/>
        <v/>
      </c>
      <c r="CN722" s="13" t="str">
        <f t="shared" si="125"/>
        <v/>
      </c>
      <c r="CO722" s="13" t="str">
        <f t="shared" si="125"/>
        <v/>
      </c>
      <c r="CP722" s="13" t="str">
        <f t="shared" si="125"/>
        <v/>
      </c>
      <c r="CQ722" s="13" t="str">
        <f t="shared" si="125"/>
        <v/>
      </c>
      <c r="CR722" t="str">
        <f t="shared" si="126"/>
        <v/>
      </c>
      <c r="CS722" t="str">
        <f t="shared" si="127"/>
        <v/>
      </c>
      <c r="CT722" t="str">
        <f t="shared" si="128"/>
        <v/>
      </c>
      <c r="CU722" t="str">
        <f t="shared" si="129"/>
        <v/>
      </c>
      <c r="CV722" t="str">
        <f t="shared" si="130"/>
        <v/>
      </c>
      <c r="CW722" t="str">
        <f t="shared" si="131"/>
        <v/>
      </c>
      <c r="DR722">
        <v>5506054</v>
      </c>
      <c r="DS722" t="s">
        <v>314</v>
      </c>
    </row>
    <row r="723" spans="90:123" x14ac:dyDescent="0.15">
      <c r="CL723" s="13" t="str">
        <f t="shared" si="125"/>
        <v/>
      </c>
      <c r="CM723" s="13" t="str">
        <f t="shared" si="125"/>
        <v/>
      </c>
      <c r="CN723" s="13" t="str">
        <f t="shared" si="125"/>
        <v/>
      </c>
      <c r="CO723" s="13" t="str">
        <f t="shared" si="125"/>
        <v/>
      </c>
      <c r="CP723" s="13" t="str">
        <f t="shared" si="125"/>
        <v/>
      </c>
      <c r="CQ723" s="13" t="str">
        <f t="shared" si="125"/>
        <v/>
      </c>
      <c r="CR723" t="str">
        <f t="shared" si="126"/>
        <v/>
      </c>
      <c r="CS723" t="str">
        <f t="shared" si="127"/>
        <v/>
      </c>
      <c r="CT723" t="str">
        <f t="shared" si="128"/>
        <v/>
      </c>
      <c r="CU723" t="str">
        <f t="shared" si="129"/>
        <v/>
      </c>
      <c r="CV723" t="str">
        <f t="shared" si="130"/>
        <v/>
      </c>
      <c r="CW723" t="str">
        <f t="shared" si="131"/>
        <v/>
      </c>
      <c r="DR723">
        <v>5603054</v>
      </c>
      <c r="DS723" t="s">
        <v>315</v>
      </c>
    </row>
    <row r="724" spans="90:123" x14ac:dyDescent="0.15">
      <c r="CL724" s="13" t="str">
        <f t="shared" si="125"/>
        <v/>
      </c>
      <c r="CM724" s="13" t="str">
        <f t="shared" si="125"/>
        <v/>
      </c>
      <c r="CN724" s="13" t="str">
        <f t="shared" si="125"/>
        <v/>
      </c>
      <c r="CO724" s="13" t="str">
        <f t="shared" si="125"/>
        <v/>
      </c>
      <c r="CP724" s="13" t="str">
        <f t="shared" si="125"/>
        <v/>
      </c>
      <c r="CQ724" s="13" t="str">
        <f t="shared" si="125"/>
        <v/>
      </c>
      <c r="CR724" t="str">
        <f t="shared" si="126"/>
        <v/>
      </c>
      <c r="CS724" t="str">
        <f t="shared" si="127"/>
        <v/>
      </c>
      <c r="CT724" t="str">
        <f t="shared" si="128"/>
        <v/>
      </c>
      <c r="CU724" t="str">
        <f t="shared" si="129"/>
        <v/>
      </c>
      <c r="CV724" t="str">
        <f t="shared" si="130"/>
        <v/>
      </c>
      <c r="CW724" t="str">
        <f t="shared" si="131"/>
        <v/>
      </c>
      <c r="DR724">
        <v>5605054</v>
      </c>
      <c r="DS724" t="s">
        <v>316</v>
      </c>
    </row>
    <row r="725" spans="90:123" x14ac:dyDescent="0.15">
      <c r="CL725" s="13" t="str">
        <f t="shared" si="125"/>
        <v/>
      </c>
      <c r="CM725" s="13" t="str">
        <f t="shared" si="125"/>
        <v/>
      </c>
      <c r="CN725" s="13" t="str">
        <f t="shared" si="125"/>
        <v/>
      </c>
      <c r="CO725" s="13" t="str">
        <f t="shared" si="125"/>
        <v/>
      </c>
      <c r="CP725" s="13" t="str">
        <f t="shared" si="125"/>
        <v/>
      </c>
      <c r="CQ725" s="13" t="str">
        <f t="shared" si="125"/>
        <v/>
      </c>
      <c r="CR725" t="str">
        <f t="shared" si="126"/>
        <v/>
      </c>
      <c r="CS725" t="str">
        <f t="shared" si="127"/>
        <v/>
      </c>
      <c r="CT725" t="str">
        <f t="shared" si="128"/>
        <v/>
      </c>
      <c r="CU725" t="str">
        <f t="shared" si="129"/>
        <v/>
      </c>
      <c r="CV725" t="str">
        <f t="shared" si="130"/>
        <v/>
      </c>
      <c r="CW725" t="str">
        <f t="shared" si="131"/>
        <v/>
      </c>
      <c r="DR725">
        <v>5305055</v>
      </c>
      <c r="DS725" t="s">
        <v>317</v>
      </c>
    </row>
    <row r="726" spans="90:123" x14ac:dyDescent="0.15">
      <c r="CL726" s="13" t="str">
        <f t="shared" si="125"/>
        <v/>
      </c>
      <c r="CM726" s="13" t="str">
        <f t="shared" si="125"/>
        <v/>
      </c>
      <c r="CN726" s="13" t="str">
        <f t="shared" si="125"/>
        <v/>
      </c>
      <c r="CO726" s="13" t="str">
        <f t="shared" ref="CO726:CQ789" si="132">IF(DM726&lt;&gt;"",IF(ISERROR(MATCH(INT(CU726),$DR$4:$DR$1516,0))=FALSE,TRUE),"")</f>
        <v/>
      </c>
      <c r="CP726" s="13" t="str">
        <f t="shared" si="132"/>
        <v/>
      </c>
      <c r="CQ726" s="13" t="str">
        <f t="shared" si="132"/>
        <v/>
      </c>
      <c r="CR726" t="str">
        <f t="shared" si="126"/>
        <v/>
      </c>
      <c r="CS726" t="str">
        <f t="shared" si="127"/>
        <v/>
      </c>
      <c r="CT726" t="str">
        <f t="shared" si="128"/>
        <v/>
      </c>
      <c r="CU726" t="str">
        <f t="shared" si="129"/>
        <v/>
      </c>
      <c r="CV726" t="str">
        <f t="shared" si="130"/>
        <v/>
      </c>
      <c r="CW726" t="str">
        <f t="shared" si="131"/>
        <v/>
      </c>
      <c r="DR726">
        <v>5307055</v>
      </c>
      <c r="DS726" t="s">
        <v>318</v>
      </c>
    </row>
    <row r="727" spans="90:123" x14ac:dyDescent="0.15">
      <c r="CL727" s="13" t="str">
        <f t="shared" ref="CL727:CQ790" si="133">IF(DJ727&lt;&gt;"",IF(ISERROR(MATCH(INT(CR727),$DR$4:$DR$1516,0))=FALSE,TRUE),"")</f>
        <v/>
      </c>
      <c r="CM727" s="13" t="str">
        <f t="shared" si="133"/>
        <v/>
      </c>
      <c r="CN727" s="13" t="str">
        <f t="shared" si="133"/>
        <v/>
      </c>
      <c r="CO727" s="13" t="str">
        <f t="shared" si="132"/>
        <v/>
      </c>
      <c r="CP727" s="13" t="str">
        <f t="shared" si="132"/>
        <v/>
      </c>
      <c r="CQ727" s="13" t="str">
        <f t="shared" si="132"/>
        <v/>
      </c>
      <c r="CR727" t="str">
        <f t="shared" si="126"/>
        <v/>
      </c>
      <c r="CS727" t="str">
        <f t="shared" si="127"/>
        <v/>
      </c>
      <c r="CT727" t="str">
        <f t="shared" si="128"/>
        <v/>
      </c>
      <c r="CU727" t="str">
        <f t="shared" si="129"/>
        <v/>
      </c>
      <c r="CV727" t="str">
        <f t="shared" si="130"/>
        <v/>
      </c>
      <c r="CW727" t="str">
        <f t="shared" si="131"/>
        <v/>
      </c>
      <c r="DR727">
        <v>5407055</v>
      </c>
      <c r="DS727" t="s">
        <v>319</v>
      </c>
    </row>
    <row r="728" spans="90:123" x14ac:dyDescent="0.15">
      <c r="CL728" s="13" t="str">
        <f t="shared" si="133"/>
        <v/>
      </c>
      <c r="CM728" s="13" t="str">
        <f t="shared" si="133"/>
        <v/>
      </c>
      <c r="CN728" s="13" t="str">
        <f t="shared" si="133"/>
        <v/>
      </c>
      <c r="CO728" s="13" t="str">
        <f t="shared" si="132"/>
        <v/>
      </c>
      <c r="CP728" s="13" t="str">
        <f t="shared" si="132"/>
        <v/>
      </c>
      <c r="CQ728" s="13" t="str">
        <f t="shared" si="132"/>
        <v/>
      </c>
      <c r="CR728" t="str">
        <f t="shared" si="126"/>
        <v/>
      </c>
      <c r="CS728" t="str">
        <f t="shared" si="127"/>
        <v/>
      </c>
      <c r="CT728" t="str">
        <f t="shared" si="128"/>
        <v/>
      </c>
      <c r="CU728" t="str">
        <f t="shared" si="129"/>
        <v/>
      </c>
      <c r="CV728" t="str">
        <f t="shared" si="130"/>
        <v/>
      </c>
      <c r="CW728" t="str">
        <f t="shared" si="131"/>
        <v/>
      </c>
      <c r="DR728">
        <v>5207061</v>
      </c>
      <c r="DS728" t="s">
        <v>287</v>
      </c>
    </row>
    <row r="729" spans="90:123" x14ac:dyDescent="0.15">
      <c r="CL729" s="13" t="str">
        <f t="shared" si="133"/>
        <v/>
      </c>
      <c r="CM729" s="13" t="str">
        <f t="shared" si="133"/>
        <v/>
      </c>
      <c r="CN729" s="13" t="str">
        <f t="shared" si="133"/>
        <v/>
      </c>
      <c r="CO729" s="13" t="str">
        <f t="shared" si="132"/>
        <v/>
      </c>
      <c r="CP729" s="13" t="str">
        <f t="shared" si="132"/>
        <v/>
      </c>
      <c r="CQ729" s="13" t="str">
        <f t="shared" si="132"/>
        <v/>
      </c>
      <c r="CR729" t="str">
        <f t="shared" si="126"/>
        <v/>
      </c>
      <c r="CS729" t="str">
        <f t="shared" si="127"/>
        <v/>
      </c>
      <c r="CT729" t="str">
        <f t="shared" si="128"/>
        <v/>
      </c>
      <c r="CU729" t="str">
        <f t="shared" si="129"/>
        <v/>
      </c>
      <c r="CV729" t="str">
        <f t="shared" si="130"/>
        <v/>
      </c>
      <c r="CW729" t="str">
        <f t="shared" si="131"/>
        <v/>
      </c>
      <c r="DR729">
        <v>5208061</v>
      </c>
      <c r="DS729" t="s">
        <v>288</v>
      </c>
    </row>
    <row r="730" spans="90:123" x14ac:dyDescent="0.15">
      <c r="CL730" s="13" t="str">
        <f t="shared" si="133"/>
        <v/>
      </c>
      <c r="CM730" s="13" t="str">
        <f t="shared" si="133"/>
        <v/>
      </c>
      <c r="CN730" s="13" t="str">
        <f t="shared" si="133"/>
        <v/>
      </c>
      <c r="CO730" s="13" t="str">
        <f t="shared" si="132"/>
        <v/>
      </c>
      <c r="CP730" s="13" t="str">
        <f t="shared" si="132"/>
        <v/>
      </c>
      <c r="CQ730" s="13" t="str">
        <f t="shared" si="132"/>
        <v/>
      </c>
      <c r="CR730" t="str">
        <f t="shared" si="126"/>
        <v/>
      </c>
      <c r="CS730" t="str">
        <f t="shared" si="127"/>
        <v/>
      </c>
      <c r="CT730" t="str">
        <f t="shared" si="128"/>
        <v/>
      </c>
      <c r="CU730" t="str">
        <f t="shared" si="129"/>
        <v/>
      </c>
      <c r="CV730" t="str">
        <f t="shared" si="130"/>
        <v/>
      </c>
      <c r="CW730" t="str">
        <f t="shared" si="131"/>
        <v/>
      </c>
      <c r="DR730">
        <v>5209061</v>
      </c>
      <c r="DS730" t="s">
        <v>289</v>
      </c>
    </row>
    <row r="731" spans="90:123" x14ac:dyDescent="0.15">
      <c r="CL731" s="13" t="str">
        <f t="shared" si="133"/>
        <v/>
      </c>
      <c r="CM731" s="13" t="str">
        <f t="shared" si="133"/>
        <v/>
      </c>
      <c r="CN731" s="13" t="str">
        <f t="shared" si="133"/>
        <v/>
      </c>
      <c r="CO731" s="13" t="str">
        <f t="shared" si="132"/>
        <v/>
      </c>
      <c r="CP731" s="13" t="str">
        <f t="shared" si="132"/>
        <v/>
      </c>
      <c r="CQ731" s="13" t="str">
        <f t="shared" si="132"/>
        <v/>
      </c>
      <c r="CR731" t="str">
        <f t="shared" si="126"/>
        <v/>
      </c>
      <c r="CS731" t="str">
        <f t="shared" si="127"/>
        <v/>
      </c>
      <c r="CT731" t="str">
        <f t="shared" si="128"/>
        <v/>
      </c>
      <c r="CU731" t="str">
        <f t="shared" si="129"/>
        <v/>
      </c>
      <c r="CV731" t="str">
        <f t="shared" si="130"/>
        <v/>
      </c>
      <c r="CW731" t="str">
        <f t="shared" si="131"/>
        <v/>
      </c>
      <c r="DR731">
        <v>5306061</v>
      </c>
      <c r="DS731" t="s">
        <v>290</v>
      </c>
    </row>
    <row r="732" spans="90:123" x14ac:dyDescent="0.15">
      <c r="CL732" s="13" t="str">
        <f t="shared" si="133"/>
        <v/>
      </c>
      <c r="CM732" s="13" t="str">
        <f t="shared" si="133"/>
        <v/>
      </c>
      <c r="CN732" s="13" t="str">
        <f t="shared" si="133"/>
        <v/>
      </c>
      <c r="CO732" s="13" t="str">
        <f t="shared" si="132"/>
        <v/>
      </c>
      <c r="CP732" s="13" t="str">
        <f t="shared" si="132"/>
        <v/>
      </c>
      <c r="CQ732" s="13" t="str">
        <f t="shared" si="132"/>
        <v/>
      </c>
      <c r="CR732" t="str">
        <f t="shared" si="126"/>
        <v/>
      </c>
      <c r="CS732" t="str">
        <f t="shared" si="127"/>
        <v/>
      </c>
      <c r="CT732" t="str">
        <f t="shared" si="128"/>
        <v/>
      </c>
      <c r="CU732" t="str">
        <f t="shared" si="129"/>
        <v/>
      </c>
      <c r="CV732" t="str">
        <f t="shared" si="130"/>
        <v/>
      </c>
      <c r="CW732" t="str">
        <f t="shared" si="131"/>
        <v/>
      </c>
      <c r="DR732">
        <v>5408061</v>
      </c>
      <c r="DS732" t="s">
        <v>291</v>
      </c>
    </row>
    <row r="733" spans="90:123" x14ac:dyDescent="0.15">
      <c r="CL733" s="13" t="str">
        <f t="shared" si="133"/>
        <v/>
      </c>
      <c r="CM733" s="13" t="str">
        <f t="shared" si="133"/>
        <v/>
      </c>
      <c r="CN733" s="13" t="str">
        <f t="shared" si="133"/>
        <v/>
      </c>
      <c r="CO733" s="13" t="str">
        <f t="shared" si="132"/>
        <v/>
      </c>
      <c r="CP733" s="13" t="str">
        <f t="shared" si="132"/>
        <v/>
      </c>
      <c r="CQ733" s="13" t="str">
        <f t="shared" si="132"/>
        <v/>
      </c>
      <c r="CR733" t="str">
        <f t="shared" si="126"/>
        <v/>
      </c>
      <c r="CS733" t="str">
        <f t="shared" si="127"/>
        <v/>
      </c>
      <c r="CT733" t="str">
        <f t="shared" si="128"/>
        <v/>
      </c>
      <c r="CU733" t="str">
        <f t="shared" si="129"/>
        <v/>
      </c>
      <c r="CV733" t="str">
        <f t="shared" si="130"/>
        <v/>
      </c>
      <c r="CW733" t="str">
        <f t="shared" si="131"/>
        <v/>
      </c>
      <c r="DR733">
        <v>5409061</v>
      </c>
      <c r="DS733" t="s">
        <v>292</v>
      </c>
    </row>
    <row r="734" spans="90:123" x14ac:dyDescent="0.15">
      <c r="CL734" s="13" t="str">
        <f t="shared" si="133"/>
        <v/>
      </c>
      <c r="CM734" s="13" t="str">
        <f t="shared" si="133"/>
        <v/>
      </c>
      <c r="CN734" s="13" t="str">
        <f t="shared" si="133"/>
        <v/>
      </c>
      <c r="CO734" s="13" t="str">
        <f t="shared" si="132"/>
        <v/>
      </c>
      <c r="CP734" s="13" t="str">
        <f t="shared" si="132"/>
        <v/>
      </c>
      <c r="CQ734" s="13" t="str">
        <f t="shared" si="132"/>
        <v/>
      </c>
      <c r="CR734" t="str">
        <f t="shared" si="126"/>
        <v/>
      </c>
      <c r="CS734" t="str">
        <f t="shared" si="127"/>
        <v/>
      </c>
      <c r="CT734" t="str">
        <f t="shared" si="128"/>
        <v/>
      </c>
      <c r="CU734" t="str">
        <f t="shared" si="129"/>
        <v/>
      </c>
      <c r="CV734" t="str">
        <f t="shared" si="130"/>
        <v/>
      </c>
      <c r="CW734" t="str">
        <f t="shared" si="131"/>
        <v/>
      </c>
      <c r="DR734">
        <v>5505061</v>
      </c>
      <c r="DS734" t="s">
        <v>293</v>
      </c>
    </row>
    <row r="735" spans="90:123" x14ac:dyDescent="0.15">
      <c r="CL735" s="13" t="str">
        <f t="shared" si="133"/>
        <v/>
      </c>
      <c r="CM735" s="13" t="str">
        <f t="shared" si="133"/>
        <v/>
      </c>
      <c r="CN735" s="13" t="str">
        <f t="shared" si="133"/>
        <v/>
      </c>
      <c r="CO735" s="13" t="str">
        <f t="shared" si="132"/>
        <v/>
      </c>
      <c r="CP735" s="13" t="str">
        <f t="shared" si="132"/>
        <v/>
      </c>
      <c r="CQ735" s="13" t="str">
        <f t="shared" si="132"/>
        <v/>
      </c>
      <c r="CR735" t="str">
        <f t="shared" si="126"/>
        <v/>
      </c>
      <c r="CS735" t="str">
        <f t="shared" si="127"/>
        <v/>
      </c>
      <c r="CT735" t="str">
        <f t="shared" si="128"/>
        <v/>
      </c>
      <c r="CU735" t="str">
        <f t="shared" si="129"/>
        <v/>
      </c>
      <c r="CV735" t="str">
        <f t="shared" si="130"/>
        <v/>
      </c>
      <c r="CW735" t="str">
        <f t="shared" si="131"/>
        <v/>
      </c>
      <c r="DR735">
        <v>5507061</v>
      </c>
      <c r="DS735" t="s">
        <v>294</v>
      </c>
    </row>
    <row r="736" spans="90:123" x14ac:dyDescent="0.15">
      <c r="CL736" s="13" t="str">
        <f t="shared" si="133"/>
        <v/>
      </c>
      <c r="CM736" s="13" t="str">
        <f t="shared" si="133"/>
        <v/>
      </c>
      <c r="CN736" s="13" t="str">
        <f t="shared" si="133"/>
        <v/>
      </c>
      <c r="CO736" s="13" t="str">
        <f t="shared" si="132"/>
        <v/>
      </c>
      <c r="CP736" s="13" t="str">
        <f t="shared" si="132"/>
        <v/>
      </c>
      <c r="CQ736" s="13" t="str">
        <f t="shared" si="132"/>
        <v/>
      </c>
      <c r="CR736" t="str">
        <f t="shared" si="126"/>
        <v/>
      </c>
      <c r="CS736" t="str">
        <f t="shared" si="127"/>
        <v/>
      </c>
      <c r="CT736" t="str">
        <f t="shared" si="128"/>
        <v/>
      </c>
      <c r="CU736" t="str">
        <f t="shared" si="129"/>
        <v/>
      </c>
      <c r="CV736" t="str">
        <f t="shared" si="130"/>
        <v/>
      </c>
      <c r="CW736" t="str">
        <f t="shared" si="131"/>
        <v/>
      </c>
      <c r="DR736">
        <v>5604061</v>
      </c>
      <c r="DS736" t="s">
        <v>295</v>
      </c>
    </row>
    <row r="737" spans="90:123" x14ac:dyDescent="0.15">
      <c r="CL737" s="13" t="str">
        <f t="shared" si="133"/>
        <v/>
      </c>
      <c r="CM737" s="13" t="str">
        <f t="shared" si="133"/>
        <v/>
      </c>
      <c r="CN737" s="13" t="str">
        <f t="shared" si="133"/>
        <v/>
      </c>
      <c r="CO737" s="13" t="str">
        <f t="shared" si="132"/>
        <v/>
      </c>
      <c r="CP737" s="13" t="str">
        <f t="shared" si="132"/>
        <v/>
      </c>
      <c r="CQ737" s="13" t="str">
        <f t="shared" si="132"/>
        <v/>
      </c>
      <c r="CR737" t="str">
        <f t="shared" si="126"/>
        <v/>
      </c>
      <c r="CS737" t="str">
        <f t="shared" si="127"/>
        <v/>
      </c>
      <c r="CT737" t="str">
        <f t="shared" si="128"/>
        <v/>
      </c>
      <c r="CU737" t="str">
        <f t="shared" si="129"/>
        <v/>
      </c>
      <c r="CV737" t="str">
        <f t="shared" si="130"/>
        <v/>
      </c>
      <c r="CW737" t="str">
        <f t="shared" si="131"/>
        <v/>
      </c>
      <c r="DR737">
        <v>5207062</v>
      </c>
      <c r="DS737" t="s">
        <v>296</v>
      </c>
    </row>
    <row r="738" spans="90:123" x14ac:dyDescent="0.15">
      <c r="CL738" s="13" t="str">
        <f t="shared" si="133"/>
        <v/>
      </c>
      <c r="CM738" s="13" t="str">
        <f t="shared" si="133"/>
        <v/>
      </c>
      <c r="CN738" s="13" t="str">
        <f t="shared" si="133"/>
        <v/>
      </c>
      <c r="CO738" s="13" t="str">
        <f t="shared" si="132"/>
        <v/>
      </c>
      <c r="CP738" s="13" t="str">
        <f t="shared" si="132"/>
        <v/>
      </c>
      <c r="CQ738" s="13" t="str">
        <f t="shared" si="132"/>
        <v/>
      </c>
      <c r="CR738" t="str">
        <f t="shared" si="126"/>
        <v/>
      </c>
      <c r="CS738" t="str">
        <f t="shared" si="127"/>
        <v/>
      </c>
      <c r="CT738" t="str">
        <f t="shared" si="128"/>
        <v/>
      </c>
      <c r="CU738" t="str">
        <f t="shared" si="129"/>
        <v/>
      </c>
      <c r="CV738" t="str">
        <f t="shared" si="130"/>
        <v/>
      </c>
      <c r="CW738" t="str">
        <f t="shared" si="131"/>
        <v/>
      </c>
      <c r="DR738">
        <v>5208062</v>
      </c>
      <c r="DS738" t="s">
        <v>297</v>
      </c>
    </row>
    <row r="739" spans="90:123" x14ac:dyDescent="0.15">
      <c r="CL739" s="13" t="str">
        <f t="shared" si="133"/>
        <v/>
      </c>
      <c r="CM739" s="13" t="str">
        <f t="shared" si="133"/>
        <v/>
      </c>
      <c r="CN739" s="13" t="str">
        <f t="shared" si="133"/>
        <v/>
      </c>
      <c r="CO739" s="13" t="str">
        <f t="shared" si="132"/>
        <v/>
      </c>
      <c r="CP739" s="13" t="str">
        <f t="shared" si="132"/>
        <v/>
      </c>
      <c r="CQ739" s="13" t="str">
        <f t="shared" si="132"/>
        <v/>
      </c>
      <c r="CR739" t="str">
        <f t="shared" si="126"/>
        <v/>
      </c>
      <c r="CS739" t="str">
        <f t="shared" si="127"/>
        <v/>
      </c>
      <c r="CT739" t="str">
        <f t="shared" si="128"/>
        <v/>
      </c>
      <c r="CU739" t="str">
        <f t="shared" si="129"/>
        <v/>
      </c>
      <c r="CV739" t="str">
        <f t="shared" si="130"/>
        <v/>
      </c>
      <c r="CW739" t="str">
        <f t="shared" si="131"/>
        <v/>
      </c>
      <c r="DR739">
        <v>5209062</v>
      </c>
      <c r="DS739" t="s">
        <v>298</v>
      </c>
    </row>
    <row r="740" spans="90:123" x14ac:dyDescent="0.15">
      <c r="CL740" s="13" t="str">
        <f t="shared" si="133"/>
        <v/>
      </c>
      <c r="CM740" s="13" t="str">
        <f t="shared" si="133"/>
        <v/>
      </c>
      <c r="CN740" s="13" t="str">
        <f t="shared" si="133"/>
        <v/>
      </c>
      <c r="CO740" s="13" t="str">
        <f t="shared" si="132"/>
        <v/>
      </c>
      <c r="CP740" s="13" t="str">
        <f t="shared" si="132"/>
        <v/>
      </c>
      <c r="CQ740" s="13" t="str">
        <f t="shared" si="132"/>
        <v/>
      </c>
      <c r="CR740" t="str">
        <f t="shared" si="126"/>
        <v/>
      </c>
      <c r="CS740" t="str">
        <f t="shared" si="127"/>
        <v/>
      </c>
      <c r="CT740" t="str">
        <f t="shared" si="128"/>
        <v/>
      </c>
      <c r="CU740" t="str">
        <f t="shared" si="129"/>
        <v/>
      </c>
      <c r="CV740" t="str">
        <f t="shared" si="130"/>
        <v/>
      </c>
      <c r="CW740" t="str">
        <f t="shared" si="131"/>
        <v/>
      </c>
      <c r="DR740">
        <v>5306062</v>
      </c>
      <c r="DS740" t="s">
        <v>299</v>
      </c>
    </row>
    <row r="741" spans="90:123" x14ac:dyDescent="0.15">
      <c r="CL741" s="13" t="str">
        <f t="shared" si="133"/>
        <v/>
      </c>
      <c r="CM741" s="13" t="str">
        <f t="shared" si="133"/>
        <v/>
      </c>
      <c r="CN741" s="13" t="str">
        <f t="shared" si="133"/>
        <v/>
      </c>
      <c r="CO741" s="13" t="str">
        <f t="shared" si="132"/>
        <v/>
      </c>
      <c r="CP741" s="13" t="str">
        <f t="shared" si="132"/>
        <v/>
      </c>
      <c r="CQ741" s="13" t="str">
        <f t="shared" si="132"/>
        <v/>
      </c>
      <c r="CR741" t="str">
        <f t="shared" si="126"/>
        <v/>
      </c>
      <c r="CS741" t="str">
        <f t="shared" si="127"/>
        <v/>
      </c>
      <c r="CT741" t="str">
        <f t="shared" si="128"/>
        <v/>
      </c>
      <c r="CU741" t="str">
        <f t="shared" si="129"/>
        <v/>
      </c>
      <c r="CV741" t="str">
        <f t="shared" si="130"/>
        <v/>
      </c>
      <c r="CW741" t="str">
        <f t="shared" si="131"/>
        <v/>
      </c>
      <c r="DR741">
        <v>5408062</v>
      </c>
      <c r="DS741" t="s">
        <v>300</v>
      </c>
    </row>
    <row r="742" spans="90:123" x14ac:dyDescent="0.15">
      <c r="CL742" s="13" t="str">
        <f t="shared" si="133"/>
        <v/>
      </c>
      <c r="CM742" s="13" t="str">
        <f t="shared" si="133"/>
        <v/>
      </c>
      <c r="CN742" s="13" t="str">
        <f t="shared" si="133"/>
        <v/>
      </c>
      <c r="CO742" s="13" t="str">
        <f t="shared" si="132"/>
        <v/>
      </c>
      <c r="CP742" s="13" t="str">
        <f t="shared" si="132"/>
        <v/>
      </c>
      <c r="CQ742" s="13" t="str">
        <f t="shared" si="132"/>
        <v/>
      </c>
      <c r="CR742" t="str">
        <f t="shared" si="126"/>
        <v/>
      </c>
      <c r="CS742" t="str">
        <f t="shared" si="127"/>
        <v/>
      </c>
      <c r="CT742" t="str">
        <f t="shared" si="128"/>
        <v/>
      </c>
      <c r="CU742" t="str">
        <f t="shared" si="129"/>
        <v/>
      </c>
      <c r="CV742" t="str">
        <f t="shared" si="130"/>
        <v/>
      </c>
      <c r="CW742" t="str">
        <f t="shared" si="131"/>
        <v/>
      </c>
      <c r="DR742">
        <v>5409062</v>
      </c>
      <c r="DS742" t="s">
        <v>301</v>
      </c>
    </row>
    <row r="743" spans="90:123" x14ac:dyDescent="0.15">
      <c r="CL743" s="13" t="str">
        <f t="shared" si="133"/>
        <v/>
      </c>
      <c r="CM743" s="13" t="str">
        <f t="shared" si="133"/>
        <v/>
      </c>
      <c r="CN743" s="13" t="str">
        <f t="shared" si="133"/>
        <v/>
      </c>
      <c r="CO743" s="13" t="str">
        <f t="shared" si="132"/>
        <v/>
      </c>
      <c r="CP743" s="13" t="str">
        <f t="shared" si="132"/>
        <v/>
      </c>
      <c r="CQ743" s="13" t="str">
        <f t="shared" si="132"/>
        <v/>
      </c>
      <c r="CR743" t="str">
        <f t="shared" si="126"/>
        <v/>
      </c>
      <c r="CS743" t="str">
        <f t="shared" si="127"/>
        <v/>
      </c>
      <c r="CT743" t="str">
        <f t="shared" si="128"/>
        <v/>
      </c>
      <c r="CU743" t="str">
        <f t="shared" si="129"/>
        <v/>
      </c>
      <c r="CV743" t="str">
        <f t="shared" si="130"/>
        <v/>
      </c>
      <c r="CW743" t="str">
        <f t="shared" si="131"/>
        <v/>
      </c>
      <c r="DR743">
        <v>5505062</v>
      </c>
      <c r="DS743" t="s">
        <v>302</v>
      </c>
    </row>
    <row r="744" spans="90:123" x14ac:dyDescent="0.15">
      <c r="CL744" s="13" t="str">
        <f t="shared" si="133"/>
        <v/>
      </c>
      <c r="CM744" s="13" t="str">
        <f t="shared" si="133"/>
        <v/>
      </c>
      <c r="CN744" s="13" t="str">
        <f t="shared" si="133"/>
        <v/>
      </c>
      <c r="CO744" s="13" t="str">
        <f t="shared" si="132"/>
        <v/>
      </c>
      <c r="CP744" s="13" t="str">
        <f t="shared" si="132"/>
        <v/>
      </c>
      <c r="CQ744" s="13" t="str">
        <f t="shared" si="132"/>
        <v/>
      </c>
      <c r="CR744" t="str">
        <f t="shared" si="126"/>
        <v/>
      </c>
      <c r="CS744" t="str">
        <f t="shared" si="127"/>
        <v/>
      </c>
      <c r="CT744" t="str">
        <f t="shared" si="128"/>
        <v/>
      </c>
      <c r="CU744" t="str">
        <f t="shared" si="129"/>
        <v/>
      </c>
      <c r="CV744" t="str">
        <f t="shared" si="130"/>
        <v/>
      </c>
      <c r="CW744" t="str">
        <f t="shared" si="131"/>
        <v/>
      </c>
      <c r="DR744">
        <v>5507062</v>
      </c>
      <c r="DS744" t="s">
        <v>303</v>
      </c>
    </row>
    <row r="745" spans="90:123" x14ac:dyDescent="0.15">
      <c r="CL745" s="13" t="str">
        <f t="shared" si="133"/>
        <v/>
      </c>
      <c r="CM745" s="13" t="str">
        <f t="shared" si="133"/>
        <v/>
      </c>
      <c r="CN745" s="13" t="str">
        <f t="shared" si="133"/>
        <v/>
      </c>
      <c r="CO745" s="13" t="str">
        <f t="shared" si="132"/>
        <v/>
      </c>
      <c r="CP745" s="13" t="str">
        <f t="shared" si="132"/>
        <v/>
      </c>
      <c r="CQ745" s="13" t="str">
        <f t="shared" si="132"/>
        <v/>
      </c>
      <c r="CR745" t="str">
        <f t="shared" si="126"/>
        <v/>
      </c>
      <c r="CS745" t="str">
        <f t="shared" si="127"/>
        <v/>
      </c>
      <c r="CT745" t="str">
        <f t="shared" si="128"/>
        <v/>
      </c>
      <c r="CU745" t="str">
        <f t="shared" si="129"/>
        <v/>
      </c>
      <c r="CV745" t="str">
        <f t="shared" si="130"/>
        <v/>
      </c>
      <c r="CW745" t="str">
        <f t="shared" si="131"/>
        <v/>
      </c>
      <c r="DR745">
        <v>5604062</v>
      </c>
      <c r="DS745" t="s">
        <v>304</v>
      </c>
    </row>
    <row r="746" spans="90:123" x14ac:dyDescent="0.15">
      <c r="CL746" s="13" t="str">
        <f t="shared" si="133"/>
        <v/>
      </c>
      <c r="CM746" s="13" t="str">
        <f t="shared" si="133"/>
        <v/>
      </c>
      <c r="CN746" s="13" t="str">
        <f t="shared" si="133"/>
        <v/>
      </c>
      <c r="CO746" s="13" t="str">
        <f t="shared" si="132"/>
        <v/>
      </c>
      <c r="CP746" s="13" t="str">
        <f t="shared" si="132"/>
        <v/>
      </c>
      <c r="CQ746" s="13" t="str">
        <f t="shared" si="132"/>
        <v/>
      </c>
      <c r="CR746" t="str">
        <f t="shared" si="126"/>
        <v/>
      </c>
      <c r="CS746" t="str">
        <f t="shared" si="127"/>
        <v/>
      </c>
      <c r="CT746" t="str">
        <f t="shared" si="128"/>
        <v/>
      </c>
      <c r="CU746" t="str">
        <f t="shared" si="129"/>
        <v/>
      </c>
      <c r="CV746" t="str">
        <f t="shared" si="130"/>
        <v/>
      </c>
      <c r="CW746" t="str">
        <f t="shared" si="131"/>
        <v/>
      </c>
      <c r="DR746">
        <v>5207063</v>
      </c>
      <c r="DS746" t="s">
        <v>305</v>
      </c>
    </row>
    <row r="747" spans="90:123" x14ac:dyDescent="0.15">
      <c r="CL747" s="13" t="str">
        <f t="shared" si="133"/>
        <v/>
      </c>
      <c r="CM747" s="13" t="str">
        <f t="shared" si="133"/>
        <v/>
      </c>
      <c r="CN747" s="13" t="str">
        <f t="shared" si="133"/>
        <v/>
      </c>
      <c r="CO747" s="13" t="str">
        <f t="shared" si="132"/>
        <v/>
      </c>
      <c r="CP747" s="13" t="str">
        <f t="shared" si="132"/>
        <v/>
      </c>
      <c r="CQ747" s="13" t="str">
        <f t="shared" si="132"/>
        <v/>
      </c>
      <c r="CR747" t="str">
        <f t="shared" si="126"/>
        <v/>
      </c>
      <c r="CS747" t="str">
        <f t="shared" si="127"/>
        <v/>
      </c>
      <c r="CT747" t="str">
        <f t="shared" si="128"/>
        <v/>
      </c>
      <c r="CU747" t="str">
        <f t="shared" si="129"/>
        <v/>
      </c>
      <c r="CV747" t="str">
        <f t="shared" si="130"/>
        <v/>
      </c>
      <c r="CW747" t="str">
        <f t="shared" si="131"/>
        <v/>
      </c>
      <c r="DR747">
        <v>5208063</v>
      </c>
      <c r="DS747" t="s">
        <v>306</v>
      </c>
    </row>
    <row r="748" spans="90:123" x14ac:dyDescent="0.15">
      <c r="CL748" s="13" t="str">
        <f t="shared" si="133"/>
        <v/>
      </c>
      <c r="CM748" s="13" t="str">
        <f t="shared" si="133"/>
        <v/>
      </c>
      <c r="CN748" s="13" t="str">
        <f t="shared" si="133"/>
        <v/>
      </c>
      <c r="CO748" s="13" t="str">
        <f t="shared" si="132"/>
        <v/>
      </c>
      <c r="CP748" s="13" t="str">
        <f t="shared" si="132"/>
        <v/>
      </c>
      <c r="CQ748" s="13" t="str">
        <f t="shared" si="132"/>
        <v/>
      </c>
      <c r="CR748" t="str">
        <f t="shared" si="126"/>
        <v/>
      </c>
      <c r="CS748" t="str">
        <f t="shared" si="127"/>
        <v/>
      </c>
      <c r="CT748" t="str">
        <f t="shared" si="128"/>
        <v/>
      </c>
      <c r="CU748" t="str">
        <f t="shared" si="129"/>
        <v/>
      </c>
      <c r="CV748" t="str">
        <f t="shared" si="130"/>
        <v/>
      </c>
      <c r="CW748" t="str">
        <f t="shared" si="131"/>
        <v/>
      </c>
      <c r="DR748">
        <v>5209063</v>
      </c>
      <c r="DS748" t="s">
        <v>307</v>
      </c>
    </row>
    <row r="749" spans="90:123" x14ac:dyDescent="0.15">
      <c r="CL749" s="13" t="str">
        <f t="shared" si="133"/>
        <v/>
      </c>
      <c r="CM749" s="13" t="str">
        <f t="shared" si="133"/>
        <v/>
      </c>
      <c r="CN749" s="13" t="str">
        <f t="shared" si="133"/>
        <v/>
      </c>
      <c r="CO749" s="13" t="str">
        <f t="shared" si="132"/>
        <v/>
      </c>
      <c r="CP749" s="13" t="str">
        <f t="shared" si="132"/>
        <v/>
      </c>
      <c r="CQ749" s="13" t="str">
        <f t="shared" si="132"/>
        <v/>
      </c>
      <c r="CR749" t="str">
        <f t="shared" si="126"/>
        <v/>
      </c>
      <c r="CS749" t="str">
        <f t="shared" si="127"/>
        <v/>
      </c>
      <c r="CT749" t="str">
        <f t="shared" si="128"/>
        <v/>
      </c>
      <c r="CU749" t="str">
        <f t="shared" si="129"/>
        <v/>
      </c>
      <c r="CV749" t="str">
        <f t="shared" si="130"/>
        <v/>
      </c>
      <c r="CW749" t="str">
        <f t="shared" si="131"/>
        <v/>
      </c>
      <c r="DR749">
        <v>5306063</v>
      </c>
      <c r="DS749" t="s">
        <v>308</v>
      </c>
    </row>
    <row r="750" spans="90:123" x14ac:dyDescent="0.15">
      <c r="CL750" s="13" t="str">
        <f t="shared" si="133"/>
        <v/>
      </c>
      <c r="CM750" s="13" t="str">
        <f t="shared" si="133"/>
        <v/>
      </c>
      <c r="CN750" s="13" t="str">
        <f t="shared" si="133"/>
        <v/>
      </c>
      <c r="CO750" s="13" t="str">
        <f t="shared" si="132"/>
        <v/>
      </c>
      <c r="CP750" s="13" t="str">
        <f t="shared" si="132"/>
        <v/>
      </c>
      <c r="CQ750" s="13" t="str">
        <f t="shared" si="132"/>
        <v/>
      </c>
      <c r="CR750" t="str">
        <f t="shared" si="126"/>
        <v/>
      </c>
      <c r="CS750" t="str">
        <f t="shared" si="127"/>
        <v/>
      </c>
      <c r="CT750" t="str">
        <f t="shared" si="128"/>
        <v/>
      </c>
      <c r="CU750" t="str">
        <f t="shared" si="129"/>
        <v/>
      </c>
      <c r="CV750" t="str">
        <f t="shared" si="130"/>
        <v/>
      </c>
      <c r="CW750" t="str">
        <f t="shared" si="131"/>
        <v/>
      </c>
      <c r="DR750">
        <v>5408063</v>
      </c>
      <c r="DS750" t="s">
        <v>309</v>
      </c>
    </row>
    <row r="751" spans="90:123" x14ac:dyDescent="0.15">
      <c r="CL751" s="13" t="str">
        <f t="shared" si="133"/>
        <v/>
      </c>
      <c r="CM751" s="13" t="str">
        <f t="shared" si="133"/>
        <v/>
      </c>
      <c r="CN751" s="13" t="str">
        <f t="shared" si="133"/>
        <v/>
      </c>
      <c r="CO751" s="13" t="str">
        <f t="shared" si="132"/>
        <v/>
      </c>
      <c r="CP751" s="13" t="str">
        <f t="shared" si="132"/>
        <v/>
      </c>
      <c r="CQ751" s="13" t="str">
        <f t="shared" si="132"/>
        <v/>
      </c>
      <c r="CR751" t="str">
        <f t="shared" si="126"/>
        <v/>
      </c>
      <c r="CS751" t="str">
        <f t="shared" si="127"/>
        <v/>
      </c>
      <c r="CT751" t="str">
        <f t="shared" si="128"/>
        <v/>
      </c>
      <c r="CU751" t="str">
        <f t="shared" si="129"/>
        <v/>
      </c>
      <c r="CV751" t="str">
        <f t="shared" si="130"/>
        <v/>
      </c>
      <c r="CW751" t="str">
        <f t="shared" si="131"/>
        <v/>
      </c>
      <c r="DR751">
        <v>5409063</v>
      </c>
      <c r="DS751" t="s">
        <v>310</v>
      </c>
    </row>
    <row r="752" spans="90:123" x14ac:dyDescent="0.15">
      <c r="CL752" s="13" t="str">
        <f t="shared" si="133"/>
        <v/>
      </c>
      <c r="CM752" s="13" t="str">
        <f t="shared" si="133"/>
        <v/>
      </c>
      <c r="CN752" s="13" t="str">
        <f t="shared" si="133"/>
        <v/>
      </c>
      <c r="CO752" s="13" t="str">
        <f t="shared" si="132"/>
        <v/>
      </c>
      <c r="CP752" s="13" t="str">
        <f t="shared" si="132"/>
        <v/>
      </c>
      <c r="CQ752" s="13" t="str">
        <f t="shared" si="132"/>
        <v/>
      </c>
      <c r="CR752" t="str">
        <f t="shared" si="126"/>
        <v/>
      </c>
      <c r="CS752" t="str">
        <f t="shared" si="127"/>
        <v/>
      </c>
      <c r="CT752" t="str">
        <f t="shared" si="128"/>
        <v/>
      </c>
      <c r="CU752" t="str">
        <f t="shared" si="129"/>
        <v/>
      </c>
      <c r="CV752" t="str">
        <f t="shared" si="130"/>
        <v/>
      </c>
      <c r="CW752" t="str">
        <f t="shared" si="131"/>
        <v/>
      </c>
      <c r="DR752">
        <v>5505063</v>
      </c>
      <c r="DS752" t="s">
        <v>311</v>
      </c>
    </row>
    <row r="753" spans="90:123" x14ac:dyDescent="0.15">
      <c r="CL753" s="13" t="str">
        <f t="shared" si="133"/>
        <v/>
      </c>
      <c r="CM753" s="13" t="str">
        <f t="shared" si="133"/>
        <v/>
      </c>
      <c r="CN753" s="13" t="str">
        <f t="shared" si="133"/>
        <v/>
      </c>
      <c r="CO753" s="13" t="str">
        <f t="shared" si="132"/>
        <v/>
      </c>
      <c r="CP753" s="13" t="str">
        <f t="shared" si="132"/>
        <v/>
      </c>
      <c r="CQ753" s="13" t="str">
        <f t="shared" si="132"/>
        <v/>
      </c>
      <c r="CR753" t="str">
        <f t="shared" si="126"/>
        <v/>
      </c>
      <c r="CS753" t="str">
        <f t="shared" si="127"/>
        <v/>
      </c>
      <c r="CT753" t="str">
        <f t="shared" si="128"/>
        <v/>
      </c>
      <c r="CU753" t="str">
        <f t="shared" si="129"/>
        <v/>
      </c>
      <c r="CV753" t="str">
        <f t="shared" si="130"/>
        <v/>
      </c>
      <c r="CW753" t="str">
        <f t="shared" si="131"/>
        <v/>
      </c>
      <c r="DR753">
        <v>5507063</v>
      </c>
      <c r="DS753" t="s">
        <v>312</v>
      </c>
    </row>
    <row r="754" spans="90:123" x14ac:dyDescent="0.15">
      <c r="CL754" s="13" t="str">
        <f t="shared" si="133"/>
        <v/>
      </c>
      <c r="CM754" s="13" t="str">
        <f t="shared" si="133"/>
        <v/>
      </c>
      <c r="CN754" s="13" t="str">
        <f t="shared" si="133"/>
        <v/>
      </c>
      <c r="CO754" s="13" t="str">
        <f t="shared" si="132"/>
        <v/>
      </c>
      <c r="CP754" s="13" t="str">
        <f t="shared" si="132"/>
        <v/>
      </c>
      <c r="CQ754" s="13" t="str">
        <f t="shared" si="132"/>
        <v/>
      </c>
      <c r="CR754" t="str">
        <f t="shared" si="126"/>
        <v/>
      </c>
      <c r="CS754" t="str">
        <f t="shared" si="127"/>
        <v/>
      </c>
      <c r="CT754" t="str">
        <f t="shared" si="128"/>
        <v/>
      </c>
      <c r="CU754" t="str">
        <f t="shared" si="129"/>
        <v/>
      </c>
      <c r="CV754" t="str">
        <f t="shared" si="130"/>
        <v/>
      </c>
      <c r="CW754" t="str">
        <f t="shared" si="131"/>
        <v/>
      </c>
      <c r="DR754">
        <v>5604063</v>
      </c>
      <c r="DS754" t="s">
        <v>313</v>
      </c>
    </row>
    <row r="755" spans="90:123" x14ac:dyDescent="0.15">
      <c r="CL755" s="13" t="str">
        <f t="shared" si="133"/>
        <v/>
      </c>
      <c r="CM755" s="13" t="str">
        <f t="shared" si="133"/>
        <v/>
      </c>
      <c r="CN755" s="13" t="str">
        <f t="shared" si="133"/>
        <v/>
      </c>
      <c r="CO755" s="13" t="str">
        <f t="shared" si="132"/>
        <v/>
      </c>
      <c r="CP755" s="13" t="str">
        <f t="shared" si="132"/>
        <v/>
      </c>
      <c r="CQ755" s="13" t="str">
        <f t="shared" si="132"/>
        <v/>
      </c>
      <c r="CR755" t="str">
        <f t="shared" si="126"/>
        <v/>
      </c>
      <c r="CS755" t="str">
        <f t="shared" si="127"/>
        <v/>
      </c>
      <c r="CT755" t="str">
        <f t="shared" si="128"/>
        <v/>
      </c>
      <c r="CU755" t="str">
        <f t="shared" si="129"/>
        <v/>
      </c>
      <c r="CV755" t="str">
        <f t="shared" si="130"/>
        <v/>
      </c>
      <c r="CW755" t="str">
        <f t="shared" si="131"/>
        <v/>
      </c>
      <c r="DR755">
        <v>5506064</v>
      </c>
      <c r="DS755" t="s">
        <v>314</v>
      </c>
    </row>
    <row r="756" spans="90:123" x14ac:dyDescent="0.15">
      <c r="CL756" s="13" t="str">
        <f t="shared" si="133"/>
        <v/>
      </c>
      <c r="CM756" s="13" t="str">
        <f t="shared" si="133"/>
        <v/>
      </c>
      <c r="CN756" s="13" t="str">
        <f t="shared" si="133"/>
        <v/>
      </c>
      <c r="CO756" s="13" t="str">
        <f t="shared" si="132"/>
        <v/>
      </c>
      <c r="CP756" s="13" t="str">
        <f t="shared" si="132"/>
        <v/>
      </c>
      <c r="CQ756" s="13" t="str">
        <f t="shared" si="132"/>
        <v/>
      </c>
      <c r="CR756" t="str">
        <f t="shared" si="126"/>
        <v/>
      </c>
      <c r="CS756" t="str">
        <f t="shared" si="127"/>
        <v/>
      </c>
      <c r="CT756" t="str">
        <f t="shared" si="128"/>
        <v/>
      </c>
      <c r="CU756" t="str">
        <f t="shared" si="129"/>
        <v/>
      </c>
      <c r="CV756" t="str">
        <f t="shared" si="130"/>
        <v/>
      </c>
      <c r="CW756" t="str">
        <f t="shared" si="131"/>
        <v/>
      </c>
      <c r="DR756">
        <v>5603064</v>
      </c>
      <c r="DS756" t="s">
        <v>315</v>
      </c>
    </row>
    <row r="757" spans="90:123" x14ac:dyDescent="0.15">
      <c r="CL757" s="13" t="str">
        <f t="shared" si="133"/>
        <v/>
      </c>
      <c r="CM757" s="13" t="str">
        <f t="shared" si="133"/>
        <v/>
      </c>
      <c r="CN757" s="13" t="str">
        <f t="shared" si="133"/>
        <v/>
      </c>
      <c r="CO757" s="13" t="str">
        <f t="shared" si="132"/>
        <v/>
      </c>
      <c r="CP757" s="13" t="str">
        <f t="shared" si="132"/>
        <v/>
      </c>
      <c r="CQ757" s="13" t="str">
        <f t="shared" si="132"/>
        <v/>
      </c>
      <c r="CR757" t="str">
        <f t="shared" si="126"/>
        <v/>
      </c>
      <c r="CS757" t="str">
        <f t="shared" si="127"/>
        <v/>
      </c>
      <c r="CT757" t="str">
        <f t="shared" si="128"/>
        <v/>
      </c>
      <c r="CU757" t="str">
        <f t="shared" si="129"/>
        <v/>
      </c>
      <c r="CV757" t="str">
        <f t="shared" si="130"/>
        <v/>
      </c>
      <c r="CW757" t="str">
        <f t="shared" si="131"/>
        <v/>
      </c>
      <c r="DR757">
        <v>5605064</v>
      </c>
      <c r="DS757" t="s">
        <v>316</v>
      </c>
    </row>
    <row r="758" spans="90:123" x14ac:dyDescent="0.15">
      <c r="CL758" s="13" t="str">
        <f t="shared" si="133"/>
        <v/>
      </c>
      <c r="CM758" s="13" t="str">
        <f t="shared" si="133"/>
        <v/>
      </c>
      <c r="CN758" s="13" t="str">
        <f t="shared" si="133"/>
        <v/>
      </c>
      <c r="CO758" s="13" t="str">
        <f t="shared" si="132"/>
        <v/>
      </c>
      <c r="CP758" s="13" t="str">
        <f t="shared" si="132"/>
        <v/>
      </c>
      <c r="CQ758" s="13" t="str">
        <f t="shared" si="132"/>
        <v/>
      </c>
      <c r="CR758" t="str">
        <f t="shared" si="126"/>
        <v/>
      </c>
      <c r="CS758" t="str">
        <f t="shared" si="127"/>
        <v/>
      </c>
      <c r="CT758" t="str">
        <f t="shared" si="128"/>
        <v/>
      </c>
      <c r="CU758" t="str">
        <f t="shared" si="129"/>
        <v/>
      </c>
      <c r="CV758" t="str">
        <f t="shared" si="130"/>
        <v/>
      </c>
      <c r="CW758" t="str">
        <f t="shared" si="131"/>
        <v/>
      </c>
      <c r="DR758">
        <v>5305065</v>
      </c>
      <c r="DS758" t="s">
        <v>317</v>
      </c>
    </row>
    <row r="759" spans="90:123" x14ac:dyDescent="0.15">
      <c r="CL759" s="13" t="str">
        <f t="shared" si="133"/>
        <v/>
      </c>
      <c r="CM759" s="13" t="str">
        <f t="shared" si="133"/>
        <v/>
      </c>
      <c r="CN759" s="13" t="str">
        <f t="shared" si="133"/>
        <v/>
      </c>
      <c r="CO759" s="13" t="str">
        <f t="shared" si="132"/>
        <v/>
      </c>
      <c r="CP759" s="13" t="str">
        <f t="shared" si="132"/>
        <v/>
      </c>
      <c r="CQ759" s="13" t="str">
        <f t="shared" si="132"/>
        <v/>
      </c>
      <c r="CR759" t="str">
        <f t="shared" si="126"/>
        <v/>
      </c>
      <c r="CS759" t="str">
        <f t="shared" si="127"/>
        <v/>
      </c>
      <c r="CT759" t="str">
        <f t="shared" si="128"/>
        <v/>
      </c>
      <c r="CU759" t="str">
        <f t="shared" si="129"/>
        <v/>
      </c>
      <c r="CV759" t="str">
        <f t="shared" si="130"/>
        <v/>
      </c>
      <c r="CW759" t="str">
        <f t="shared" si="131"/>
        <v/>
      </c>
      <c r="DR759">
        <v>5307065</v>
      </c>
      <c r="DS759" t="s">
        <v>318</v>
      </c>
    </row>
    <row r="760" spans="90:123" x14ac:dyDescent="0.15">
      <c r="CL760" s="13" t="str">
        <f t="shared" si="133"/>
        <v/>
      </c>
      <c r="CM760" s="13" t="str">
        <f t="shared" si="133"/>
        <v/>
      </c>
      <c r="CN760" s="13" t="str">
        <f t="shared" si="133"/>
        <v/>
      </c>
      <c r="CO760" s="13" t="str">
        <f t="shared" si="132"/>
        <v/>
      </c>
      <c r="CP760" s="13" t="str">
        <f t="shared" si="132"/>
        <v/>
      </c>
      <c r="CQ760" s="13" t="str">
        <f t="shared" si="132"/>
        <v/>
      </c>
      <c r="CR760" t="str">
        <f t="shared" si="126"/>
        <v/>
      </c>
      <c r="CS760" t="str">
        <f t="shared" si="127"/>
        <v/>
      </c>
      <c r="CT760" t="str">
        <f t="shared" si="128"/>
        <v/>
      </c>
      <c r="CU760" t="str">
        <f t="shared" si="129"/>
        <v/>
      </c>
      <c r="CV760" t="str">
        <f t="shared" si="130"/>
        <v/>
      </c>
      <c r="CW760" t="str">
        <f t="shared" si="131"/>
        <v/>
      </c>
      <c r="DR760">
        <v>5407065</v>
      </c>
      <c r="DS760" t="s">
        <v>319</v>
      </c>
    </row>
    <row r="761" spans="90:123" x14ac:dyDescent="0.15">
      <c r="CL761" s="13" t="str">
        <f t="shared" si="133"/>
        <v/>
      </c>
      <c r="CM761" s="13" t="str">
        <f t="shared" si="133"/>
        <v/>
      </c>
      <c r="CN761" s="13" t="str">
        <f t="shared" si="133"/>
        <v/>
      </c>
      <c r="CO761" s="13" t="str">
        <f t="shared" si="132"/>
        <v/>
      </c>
      <c r="CP761" s="13" t="str">
        <f t="shared" si="132"/>
        <v/>
      </c>
      <c r="CQ761" s="13" t="str">
        <f t="shared" si="132"/>
        <v/>
      </c>
      <c r="CR761" t="str">
        <f t="shared" si="126"/>
        <v/>
      </c>
      <c r="CS761" t="str">
        <f t="shared" si="127"/>
        <v/>
      </c>
      <c r="CT761" t="str">
        <f t="shared" si="128"/>
        <v/>
      </c>
      <c r="CU761" t="str">
        <f t="shared" si="129"/>
        <v/>
      </c>
      <c r="CV761" t="str">
        <f t="shared" si="130"/>
        <v/>
      </c>
      <c r="CW761" t="str">
        <f t="shared" si="131"/>
        <v/>
      </c>
      <c r="DR761">
        <v>5207071</v>
      </c>
      <c r="DS761" t="s">
        <v>287</v>
      </c>
    </row>
    <row r="762" spans="90:123" x14ac:dyDescent="0.15">
      <c r="CL762" s="13" t="str">
        <f t="shared" si="133"/>
        <v/>
      </c>
      <c r="CM762" s="13" t="str">
        <f t="shared" si="133"/>
        <v/>
      </c>
      <c r="CN762" s="13" t="str">
        <f t="shared" si="133"/>
        <v/>
      </c>
      <c r="CO762" s="13" t="str">
        <f t="shared" si="132"/>
        <v/>
      </c>
      <c r="CP762" s="13" t="str">
        <f t="shared" si="132"/>
        <v/>
      </c>
      <c r="CQ762" s="13" t="str">
        <f t="shared" si="132"/>
        <v/>
      </c>
      <c r="CR762" t="str">
        <f t="shared" si="126"/>
        <v/>
      </c>
      <c r="CS762" t="str">
        <f t="shared" si="127"/>
        <v/>
      </c>
      <c r="CT762" t="str">
        <f t="shared" si="128"/>
        <v/>
      </c>
      <c r="CU762" t="str">
        <f t="shared" si="129"/>
        <v/>
      </c>
      <c r="CV762" t="str">
        <f t="shared" si="130"/>
        <v/>
      </c>
      <c r="CW762" t="str">
        <f t="shared" si="131"/>
        <v/>
      </c>
      <c r="DR762">
        <v>5208071</v>
      </c>
      <c r="DS762" t="s">
        <v>288</v>
      </c>
    </row>
    <row r="763" spans="90:123" x14ac:dyDescent="0.15">
      <c r="CL763" s="13" t="str">
        <f t="shared" si="133"/>
        <v/>
      </c>
      <c r="CM763" s="13" t="str">
        <f t="shared" si="133"/>
        <v/>
      </c>
      <c r="CN763" s="13" t="str">
        <f t="shared" si="133"/>
        <v/>
      </c>
      <c r="CO763" s="13" t="str">
        <f t="shared" si="132"/>
        <v/>
      </c>
      <c r="CP763" s="13" t="str">
        <f t="shared" si="132"/>
        <v/>
      </c>
      <c r="CQ763" s="13" t="str">
        <f t="shared" si="132"/>
        <v/>
      </c>
      <c r="CR763" t="str">
        <f t="shared" si="126"/>
        <v/>
      </c>
      <c r="CS763" t="str">
        <f t="shared" si="127"/>
        <v/>
      </c>
      <c r="CT763" t="str">
        <f t="shared" si="128"/>
        <v/>
      </c>
      <c r="CU763" t="str">
        <f t="shared" si="129"/>
        <v/>
      </c>
      <c r="CV763" t="str">
        <f t="shared" si="130"/>
        <v/>
      </c>
      <c r="CW763" t="str">
        <f t="shared" si="131"/>
        <v/>
      </c>
      <c r="DR763">
        <v>5209071</v>
      </c>
      <c r="DS763" t="s">
        <v>289</v>
      </c>
    </row>
    <row r="764" spans="90:123" x14ac:dyDescent="0.15">
      <c r="CL764" s="13" t="str">
        <f t="shared" si="133"/>
        <v/>
      </c>
      <c r="CM764" s="13" t="str">
        <f t="shared" si="133"/>
        <v/>
      </c>
      <c r="CN764" s="13" t="str">
        <f t="shared" si="133"/>
        <v/>
      </c>
      <c r="CO764" s="13" t="str">
        <f t="shared" si="132"/>
        <v/>
      </c>
      <c r="CP764" s="13" t="str">
        <f t="shared" si="132"/>
        <v/>
      </c>
      <c r="CQ764" s="13" t="str">
        <f t="shared" si="132"/>
        <v/>
      </c>
      <c r="CR764" t="str">
        <f t="shared" si="126"/>
        <v/>
      </c>
      <c r="CS764" t="str">
        <f t="shared" si="127"/>
        <v/>
      </c>
      <c r="CT764" t="str">
        <f t="shared" si="128"/>
        <v/>
      </c>
      <c r="CU764" t="str">
        <f t="shared" si="129"/>
        <v/>
      </c>
      <c r="CV764" t="str">
        <f t="shared" si="130"/>
        <v/>
      </c>
      <c r="CW764" t="str">
        <f t="shared" si="131"/>
        <v/>
      </c>
      <c r="DR764">
        <v>5306071</v>
      </c>
      <c r="DS764" t="s">
        <v>290</v>
      </c>
    </row>
    <row r="765" spans="90:123" x14ac:dyDescent="0.15">
      <c r="CL765" s="13" t="str">
        <f t="shared" si="133"/>
        <v/>
      </c>
      <c r="CM765" s="13" t="str">
        <f t="shared" si="133"/>
        <v/>
      </c>
      <c r="CN765" s="13" t="str">
        <f t="shared" si="133"/>
        <v/>
      </c>
      <c r="CO765" s="13" t="str">
        <f t="shared" si="132"/>
        <v/>
      </c>
      <c r="CP765" s="13" t="str">
        <f t="shared" si="132"/>
        <v/>
      </c>
      <c r="CQ765" s="13" t="str">
        <f t="shared" si="132"/>
        <v/>
      </c>
      <c r="CR765" t="str">
        <f t="shared" si="126"/>
        <v/>
      </c>
      <c r="CS765" t="str">
        <f t="shared" si="127"/>
        <v/>
      </c>
      <c r="CT765" t="str">
        <f t="shared" si="128"/>
        <v/>
      </c>
      <c r="CU765" t="str">
        <f t="shared" si="129"/>
        <v/>
      </c>
      <c r="CV765" t="str">
        <f t="shared" si="130"/>
        <v/>
      </c>
      <c r="CW765" t="str">
        <f t="shared" si="131"/>
        <v/>
      </c>
      <c r="DR765">
        <v>5408071</v>
      </c>
      <c r="DS765" t="s">
        <v>291</v>
      </c>
    </row>
    <row r="766" spans="90:123" x14ac:dyDescent="0.15">
      <c r="CL766" s="13" t="str">
        <f t="shared" si="133"/>
        <v/>
      </c>
      <c r="CM766" s="13" t="str">
        <f t="shared" si="133"/>
        <v/>
      </c>
      <c r="CN766" s="13" t="str">
        <f t="shared" si="133"/>
        <v/>
      </c>
      <c r="CO766" s="13" t="str">
        <f t="shared" si="132"/>
        <v/>
      </c>
      <c r="CP766" s="13" t="str">
        <f t="shared" si="132"/>
        <v/>
      </c>
      <c r="CQ766" s="13" t="str">
        <f t="shared" si="132"/>
        <v/>
      </c>
      <c r="CR766" t="str">
        <f t="shared" si="126"/>
        <v/>
      </c>
      <c r="CS766" t="str">
        <f t="shared" si="127"/>
        <v/>
      </c>
      <c r="CT766" t="str">
        <f t="shared" si="128"/>
        <v/>
      </c>
      <c r="CU766" t="str">
        <f t="shared" si="129"/>
        <v/>
      </c>
      <c r="CV766" t="str">
        <f t="shared" si="130"/>
        <v/>
      </c>
      <c r="CW766" t="str">
        <f t="shared" si="131"/>
        <v/>
      </c>
      <c r="DR766">
        <v>5409071</v>
      </c>
      <c r="DS766" t="s">
        <v>292</v>
      </c>
    </row>
    <row r="767" spans="90:123" x14ac:dyDescent="0.15">
      <c r="CL767" s="13" t="str">
        <f t="shared" si="133"/>
        <v/>
      </c>
      <c r="CM767" s="13" t="str">
        <f t="shared" si="133"/>
        <v/>
      </c>
      <c r="CN767" s="13" t="str">
        <f t="shared" si="133"/>
        <v/>
      </c>
      <c r="CO767" s="13" t="str">
        <f t="shared" si="132"/>
        <v/>
      </c>
      <c r="CP767" s="13" t="str">
        <f t="shared" si="132"/>
        <v/>
      </c>
      <c r="CQ767" s="13" t="str">
        <f t="shared" si="132"/>
        <v/>
      </c>
      <c r="CR767" t="str">
        <f t="shared" si="126"/>
        <v/>
      </c>
      <c r="CS767" t="str">
        <f t="shared" si="127"/>
        <v/>
      </c>
      <c r="CT767" t="str">
        <f t="shared" si="128"/>
        <v/>
      </c>
      <c r="CU767" t="str">
        <f t="shared" si="129"/>
        <v/>
      </c>
      <c r="CV767" t="str">
        <f t="shared" si="130"/>
        <v/>
      </c>
      <c r="CW767" t="str">
        <f t="shared" si="131"/>
        <v/>
      </c>
      <c r="DR767">
        <v>5505071</v>
      </c>
      <c r="DS767" t="s">
        <v>293</v>
      </c>
    </row>
    <row r="768" spans="90:123" x14ac:dyDescent="0.15">
      <c r="CL768" s="13" t="str">
        <f t="shared" si="133"/>
        <v/>
      </c>
      <c r="CM768" s="13" t="str">
        <f t="shared" si="133"/>
        <v/>
      </c>
      <c r="CN768" s="13" t="str">
        <f t="shared" si="133"/>
        <v/>
      </c>
      <c r="CO768" s="13" t="str">
        <f t="shared" si="132"/>
        <v/>
      </c>
      <c r="CP768" s="13" t="str">
        <f t="shared" si="132"/>
        <v/>
      </c>
      <c r="CQ768" s="13" t="str">
        <f t="shared" si="132"/>
        <v/>
      </c>
      <c r="CR768" t="str">
        <f t="shared" si="126"/>
        <v/>
      </c>
      <c r="CS768" t="str">
        <f t="shared" si="127"/>
        <v/>
      </c>
      <c r="CT768" t="str">
        <f t="shared" si="128"/>
        <v/>
      </c>
      <c r="CU768" t="str">
        <f t="shared" si="129"/>
        <v/>
      </c>
      <c r="CV768" t="str">
        <f t="shared" si="130"/>
        <v/>
      </c>
      <c r="CW768" t="str">
        <f t="shared" si="131"/>
        <v/>
      </c>
      <c r="DR768">
        <v>5507071</v>
      </c>
      <c r="DS768" t="s">
        <v>294</v>
      </c>
    </row>
    <row r="769" spans="90:123" x14ac:dyDescent="0.15">
      <c r="CL769" s="13" t="str">
        <f t="shared" si="133"/>
        <v/>
      </c>
      <c r="CM769" s="13" t="str">
        <f t="shared" si="133"/>
        <v/>
      </c>
      <c r="CN769" s="13" t="str">
        <f t="shared" si="133"/>
        <v/>
      </c>
      <c r="CO769" s="13" t="str">
        <f t="shared" si="132"/>
        <v/>
      </c>
      <c r="CP769" s="13" t="str">
        <f t="shared" si="132"/>
        <v/>
      </c>
      <c r="CQ769" s="13" t="str">
        <f t="shared" si="132"/>
        <v/>
      </c>
      <c r="CR769" t="str">
        <f t="shared" si="126"/>
        <v/>
      </c>
      <c r="CS769" t="str">
        <f t="shared" si="127"/>
        <v/>
      </c>
      <c r="CT769" t="str">
        <f t="shared" si="128"/>
        <v/>
      </c>
      <c r="CU769" t="str">
        <f t="shared" si="129"/>
        <v/>
      </c>
      <c r="CV769" t="str">
        <f t="shared" si="130"/>
        <v/>
      </c>
      <c r="CW769" t="str">
        <f t="shared" si="131"/>
        <v/>
      </c>
      <c r="DR769">
        <v>5604071</v>
      </c>
      <c r="DS769" t="s">
        <v>295</v>
      </c>
    </row>
    <row r="770" spans="90:123" x14ac:dyDescent="0.15">
      <c r="CL770" s="13" t="str">
        <f t="shared" si="133"/>
        <v/>
      </c>
      <c r="CM770" s="13" t="str">
        <f t="shared" si="133"/>
        <v/>
      </c>
      <c r="CN770" s="13" t="str">
        <f t="shared" si="133"/>
        <v/>
      </c>
      <c r="CO770" s="13" t="str">
        <f t="shared" si="132"/>
        <v/>
      </c>
      <c r="CP770" s="13" t="str">
        <f t="shared" si="132"/>
        <v/>
      </c>
      <c r="CQ770" s="13" t="str">
        <f t="shared" si="132"/>
        <v/>
      </c>
      <c r="CR770" t="str">
        <f t="shared" si="126"/>
        <v/>
      </c>
      <c r="CS770" t="str">
        <f t="shared" si="127"/>
        <v/>
      </c>
      <c r="CT770" t="str">
        <f t="shared" si="128"/>
        <v/>
      </c>
      <c r="CU770" t="str">
        <f t="shared" si="129"/>
        <v/>
      </c>
      <c r="CV770" t="str">
        <f t="shared" si="130"/>
        <v/>
      </c>
      <c r="CW770" t="str">
        <f t="shared" si="131"/>
        <v/>
      </c>
      <c r="DR770">
        <v>5207072</v>
      </c>
      <c r="DS770" t="s">
        <v>296</v>
      </c>
    </row>
    <row r="771" spans="90:123" x14ac:dyDescent="0.15">
      <c r="CL771" s="13" t="str">
        <f t="shared" si="133"/>
        <v/>
      </c>
      <c r="CM771" s="13" t="str">
        <f t="shared" si="133"/>
        <v/>
      </c>
      <c r="CN771" s="13" t="str">
        <f t="shared" si="133"/>
        <v/>
      </c>
      <c r="CO771" s="13" t="str">
        <f t="shared" si="132"/>
        <v/>
      </c>
      <c r="CP771" s="13" t="str">
        <f t="shared" si="132"/>
        <v/>
      </c>
      <c r="CQ771" s="13" t="str">
        <f t="shared" si="132"/>
        <v/>
      </c>
      <c r="CR771" t="str">
        <f t="shared" ref="CR771:CR834" si="134">IF(DJ771&lt;&gt;"",REPLACE(REPLACE(INDEX($DR$4:$DR$1516,MATCH(DJ771,$DS$4:$DS$1516,0)),6,1,CX771),1,1,DD771),"")</f>
        <v/>
      </c>
      <c r="CS771" t="str">
        <f t="shared" ref="CS771:CS834" si="135">IF(DK771&lt;&gt;"",REPLACE(REPLACE(INDEX($DR$4:$DR$1516,MATCH(DK771,$DS$4:$DS$1516,0)),6,1,CY771),1,1,DE771),"")</f>
        <v/>
      </c>
      <c r="CT771" t="str">
        <f t="shared" ref="CT771:CT834" si="136">IF(DL771&lt;&gt;"",REPLACE(REPLACE(INDEX($DR$4:$DR$1516,MATCH(DL771,$DS$4:$DS$1516,0)),6,1,CZ771),1,1,DF771),"")</f>
        <v/>
      </c>
      <c r="CU771" t="str">
        <f t="shared" ref="CU771:CU834" si="137">IF(DM771&lt;&gt;"",REPLACE(REPLACE(INDEX($DR$4:$DR$1516,MATCH(DM771,$DS$4:$DS$1516,0)),6,1,DA771),1,1,DG771),"")</f>
        <v/>
      </c>
      <c r="CV771" t="str">
        <f t="shared" ref="CV771:CV834" si="138">IF(DN771&lt;&gt;"",REPLACE(REPLACE(INDEX($DR$4:$DR$1516,MATCH(DN771,$DS$4:$DS$1516,0)),6,1,DB771),1,1,DH771),"")</f>
        <v/>
      </c>
      <c r="CW771" t="str">
        <f t="shared" ref="CW771:CW834" si="139">IF(DO771&lt;&gt;"",REPLACE(REPLACE(INDEX($DR$4:$DR$1516,MATCH(DO771,$DS$4:$DS$1516,0)),6,1,DC771),1,1,DI771),"")</f>
        <v/>
      </c>
      <c r="DR771">
        <v>5208072</v>
      </c>
      <c r="DS771" t="s">
        <v>297</v>
      </c>
    </row>
    <row r="772" spans="90:123" x14ac:dyDescent="0.15">
      <c r="CL772" s="13" t="str">
        <f t="shared" si="133"/>
        <v/>
      </c>
      <c r="CM772" s="13" t="str">
        <f t="shared" si="133"/>
        <v/>
      </c>
      <c r="CN772" s="13" t="str">
        <f t="shared" si="133"/>
        <v/>
      </c>
      <c r="CO772" s="13" t="str">
        <f t="shared" si="132"/>
        <v/>
      </c>
      <c r="CP772" s="13" t="str">
        <f t="shared" si="132"/>
        <v/>
      </c>
      <c r="CQ772" s="13" t="str">
        <f t="shared" si="132"/>
        <v/>
      </c>
      <c r="CR772" t="str">
        <f t="shared" si="134"/>
        <v/>
      </c>
      <c r="CS772" t="str">
        <f t="shared" si="135"/>
        <v/>
      </c>
      <c r="CT772" t="str">
        <f t="shared" si="136"/>
        <v/>
      </c>
      <c r="CU772" t="str">
        <f t="shared" si="137"/>
        <v/>
      </c>
      <c r="CV772" t="str">
        <f t="shared" si="138"/>
        <v/>
      </c>
      <c r="CW772" t="str">
        <f t="shared" si="139"/>
        <v/>
      </c>
      <c r="DR772">
        <v>5209072</v>
      </c>
      <c r="DS772" t="s">
        <v>298</v>
      </c>
    </row>
    <row r="773" spans="90:123" x14ac:dyDescent="0.15">
      <c r="CL773" s="13" t="str">
        <f t="shared" si="133"/>
        <v/>
      </c>
      <c r="CM773" s="13" t="str">
        <f t="shared" si="133"/>
        <v/>
      </c>
      <c r="CN773" s="13" t="str">
        <f t="shared" si="133"/>
        <v/>
      </c>
      <c r="CO773" s="13" t="str">
        <f t="shared" si="132"/>
        <v/>
      </c>
      <c r="CP773" s="13" t="str">
        <f t="shared" si="132"/>
        <v/>
      </c>
      <c r="CQ773" s="13" t="str">
        <f t="shared" si="132"/>
        <v/>
      </c>
      <c r="CR773" t="str">
        <f t="shared" si="134"/>
        <v/>
      </c>
      <c r="CS773" t="str">
        <f t="shared" si="135"/>
        <v/>
      </c>
      <c r="CT773" t="str">
        <f t="shared" si="136"/>
        <v/>
      </c>
      <c r="CU773" t="str">
        <f t="shared" si="137"/>
        <v/>
      </c>
      <c r="CV773" t="str">
        <f t="shared" si="138"/>
        <v/>
      </c>
      <c r="CW773" t="str">
        <f t="shared" si="139"/>
        <v/>
      </c>
      <c r="DR773">
        <v>5306072</v>
      </c>
      <c r="DS773" t="s">
        <v>299</v>
      </c>
    </row>
    <row r="774" spans="90:123" x14ac:dyDescent="0.15">
      <c r="CL774" s="13" t="str">
        <f t="shared" si="133"/>
        <v/>
      </c>
      <c r="CM774" s="13" t="str">
        <f t="shared" si="133"/>
        <v/>
      </c>
      <c r="CN774" s="13" t="str">
        <f t="shared" si="133"/>
        <v/>
      </c>
      <c r="CO774" s="13" t="str">
        <f t="shared" si="132"/>
        <v/>
      </c>
      <c r="CP774" s="13" t="str">
        <f t="shared" si="132"/>
        <v/>
      </c>
      <c r="CQ774" s="13" t="str">
        <f t="shared" si="132"/>
        <v/>
      </c>
      <c r="CR774" t="str">
        <f t="shared" si="134"/>
        <v/>
      </c>
      <c r="CS774" t="str">
        <f t="shared" si="135"/>
        <v/>
      </c>
      <c r="CT774" t="str">
        <f t="shared" si="136"/>
        <v/>
      </c>
      <c r="CU774" t="str">
        <f t="shared" si="137"/>
        <v/>
      </c>
      <c r="CV774" t="str">
        <f t="shared" si="138"/>
        <v/>
      </c>
      <c r="CW774" t="str">
        <f t="shared" si="139"/>
        <v/>
      </c>
      <c r="DR774">
        <v>5408072</v>
      </c>
      <c r="DS774" t="s">
        <v>300</v>
      </c>
    </row>
    <row r="775" spans="90:123" x14ac:dyDescent="0.15">
      <c r="CL775" s="13" t="str">
        <f t="shared" si="133"/>
        <v/>
      </c>
      <c r="CM775" s="13" t="str">
        <f t="shared" si="133"/>
        <v/>
      </c>
      <c r="CN775" s="13" t="str">
        <f t="shared" si="133"/>
        <v/>
      </c>
      <c r="CO775" s="13" t="str">
        <f t="shared" si="132"/>
        <v/>
      </c>
      <c r="CP775" s="13" t="str">
        <f t="shared" si="132"/>
        <v/>
      </c>
      <c r="CQ775" s="13" t="str">
        <f t="shared" si="132"/>
        <v/>
      </c>
      <c r="CR775" t="str">
        <f t="shared" si="134"/>
        <v/>
      </c>
      <c r="CS775" t="str">
        <f t="shared" si="135"/>
        <v/>
      </c>
      <c r="CT775" t="str">
        <f t="shared" si="136"/>
        <v/>
      </c>
      <c r="CU775" t="str">
        <f t="shared" si="137"/>
        <v/>
      </c>
      <c r="CV775" t="str">
        <f t="shared" si="138"/>
        <v/>
      </c>
      <c r="CW775" t="str">
        <f t="shared" si="139"/>
        <v/>
      </c>
      <c r="DR775">
        <v>5409072</v>
      </c>
      <c r="DS775" t="s">
        <v>301</v>
      </c>
    </row>
    <row r="776" spans="90:123" x14ac:dyDescent="0.15">
      <c r="CL776" s="13" t="str">
        <f t="shared" si="133"/>
        <v/>
      </c>
      <c r="CM776" s="13" t="str">
        <f t="shared" si="133"/>
        <v/>
      </c>
      <c r="CN776" s="13" t="str">
        <f t="shared" si="133"/>
        <v/>
      </c>
      <c r="CO776" s="13" t="str">
        <f t="shared" si="132"/>
        <v/>
      </c>
      <c r="CP776" s="13" t="str">
        <f t="shared" si="132"/>
        <v/>
      </c>
      <c r="CQ776" s="13" t="str">
        <f t="shared" si="132"/>
        <v/>
      </c>
      <c r="CR776" t="str">
        <f t="shared" si="134"/>
        <v/>
      </c>
      <c r="CS776" t="str">
        <f t="shared" si="135"/>
        <v/>
      </c>
      <c r="CT776" t="str">
        <f t="shared" si="136"/>
        <v/>
      </c>
      <c r="CU776" t="str">
        <f t="shared" si="137"/>
        <v/>
      </c>
      <c r="CV776" t="str">
        <f t="shared" si="138"/>
        <v/>
      </c>
      <c r="CW776" t="str">
        <f t="shared" si="139"/>
        <v/>
      </c>
      <c r="DR776">
        <v>5505072</v>
      </c>
      <c r="DS776" t="s">
        <v>302</v>
      </c>
    </row>
    <row r="777" spans="90:123" x14ac:dyDescent="0.15">
      <c r="CL777" s="13" t="str">
        <f t="shared" si="133"/>
        <v/>
      </c>
      <c r="CM777" s="13" t="str">
        <f t="shared" si="133"/>
        <v/>
      </c>
      <c r="CN777" s="13" t="str">
        <f t="shared" si="133"/>
        <v/>
      </c>
      <c r="CO777" s="13" t="str">
        <f t="shared" si="132"/>
        <v/>
      </c>
      <c r="CP777" s="13" t="str">
        <f t="shared" si="132"/>
        <v/>
      </c>
      <c r="CQ777" s="13" t="str">
        <f t="shared" si="132"/>
        <v/>
      </c>
      <c r="CR777" t="str">
        <f t="shared" si="134"/>
        <v/>
      </c>
      <c r="CS777" t="str">
        <f t="shared" si="135"/>
        <v/>
      </c>
      <c r="CT777" t="str">
        <f t="shared" si="136"/>
        <v/>
      </c>
      <c r="CU777" t="str">
        <f t="shared" si="137"/>
        <v/>
      </c>
      <c r="CV777" t="str">
        <f t="shared" si="138"/>
        <v/>
      </c>
      <c r="CW777" t="str">
        <f t="shared" si="139"/>
        <v/>
      </c>
      <c r="DR777">
        <v>5507072</v>
      </c>
      <c r="DS777" t="s">
        <v>303</v>
      </c>
    </row>
    <row r="778" spans="90:123" x14ac:dyDescent="0.15">
      <c r="CL778" s="13" t="str">
        <f t="shared" si="133"/>
        <v/>
      </c>
      <c r="CM778" s="13" t="str">
        <f t="shared" si="133"/>
        <v/>
      </c>
      <c r="CN778" s="13" t="str">
        <f t="shared" si="133"/>
        <v/>
      </c>
      <c r="CO778" s="13" t="str">
        <f t="shared" si="132"/>
        <v/>
      </c>
      <c r="CP778" s="13" t="str">
        <f t="shared" si="132"/>
        <v/>
      </c>
      <c r="CQ778" s="13" t="str">
        <f t="shared" si="132"/>
        <v/>
      </c>
      <c r="CR778" t="str">
        <f t="shared" si="134"/>
        <v/>
      </c>
      <c r="CS778" t="str">
        <f t="shared" si="135"/>
        <v/>
      </c>
      <c r="CT778" t="str">
        <f t="shared" si="136"/>
        <v/>
      </c>
      <c r="CU778" t="str">
        <f t="shared" si="137"/>
        <v/>
      </c>
      <c r="CV778" t="str">
        <f t="shared" si="138"/>
        <v/>
      </c>
      <c r="CW778" t="str">
        <f t="shared" si="139"/>
        <v/>
      </c>
      <c r="DR778">
        <v>5604072</v>
      </c>
      <c r="DS778" t="s">
        <v>304</v>
      </c>
    </row>
    <row r="779" spans="90:123" x14ac:dyDescent="0.15">
      <c r="CL779" s="13" t="str">
        <f t="shared" si="133"/>
        <v/>
      </c>
      <c r="CM779" s="13" t="str">
        <f t="shared" si="133"/>
        <v/>
      </c>
      <c r="CN779" s="13" t="str">
        <f t="shared" si="133"/>
        <v/>
      </c>
      <c r="CO779" s="13" t="str">
        <f t="shared" si="132"/>
        <v/>
      </c>
      <c r="CP779" s="13" t="str">
        <f t="shared" si="132"/>
        <v/>
      </c>
      <c r="CQ779" s="13" t="str">
        <f t="shared" si="132"/>
        <v/>
      </c>
      <c r="CR779" t="str">
        <f t="shared" si="134"/>
        <v/>
      </c>
      <c r="CS779" t="str">
        <f t="shared" si="135"/>
        <v/>
      </c>
      <c r="CT779" t="str">
        <f t="shared" si="136"/>
        <v/>
      </c>
      <c r="CU779" t="str">
        <f t="shared" si="137"/>
        <v/>
      </c>
      <c r="CV779" t="str">
        <f t="shared" si="138"/>
        <v/>
      </c>
      <c r="CW779" t="str">
        <f t="shared" si="139"/>
        <v/>
      </c>
      <c r="DR779">
        <v>5207073</v>
      </c>
      <c r="DS779" t="s">
        <v>305</v>
      </c>
    </row>
    <row r="780" spans="90:123" x14ac:dyDescent="0.15">
      <c r="CL780" s="13" t="str">
        <f t="shared" si="133"/>
        <v/>
      </c>
      <c r="CM780" s="13" t="str">
        <f t="shared" si="133"/>
        <v/>
      </c>
      <c r="CN780" s="13" t="str">
        <f t="shared" si="133"/>
        <v/>
      </c>
      <c r="CO780" s="13" t="str">
        <f t="shared" si="132"/>
        <v/>
      </c>
      <c r="CP780" s="13" t="str">
        <f t="shared" si="132"/>
        <v/>
      </c>
      <c r="CQ780" s="13" t="str">
        <f t="shared" si="132"/>
        <v/>
      </c>
      <c r="CR780" t="str">
        <f t="shared" si="134"/>
        <v/>
      </c>
      <c r="CS780" t="str">
        <f t="shared" si="135"/>
        <v/>
      </c>
      <c r="CT780" t="str">
        <f t="shared" si="136"/>
        <v/>
      </c>
      <c r="CU780" t="str">
        <f t="shared" si="137"/>
        <v/>
      </c>
      <c r="CV780" t="str">
        <f t="shared" si="138"/>
        <v/>
      </c>
      <c r="CW780" t="str">
        <f t="shared" si="139"/>
        <v/>
      </c>
      <c r="DR780">
        <v>5208073</v>
      </c>
      <c r="DS780" t="s">
        <v>306</v>
      </c>
    </row>
    <row r="781" spans="90:123" x14ac:dyDescent="0.15">
      <c r="CL781" s="13" t="str">
        <f t="shared" si="133"/>
        <v/>
      </c>
      <c r="CM781" s="13" t="str">
        <f t="shared" si="133"/>
        <v/>
      </c>
      <c r="CN781" s="13" t="str">
        <f t="shared" si="133"/>
        <v/>
      </c>
      <c r="CO781" s="13" t="str">
        <f t="shared" si="132"/>
        <v/>
      </c>
      <c r="CP781" s="13" t="str">
        <f t="shared" si="132"/>
        <v/>
      </c>
      <c r="CQ781" s="13" t="str">
        <f t="shared" si="132"/>
        <v/>
      </c>
      <c r="CR781" t="str">
        <f t="shared" si="134"/>
        <v/>
      </c>
      <c r="CS781" t="str">
        <f t="shared" si="135"/>
        <v/>
      </c>
      <c r="CT781" t="str">
        <f t="shared" si="136"/>
        <v/>
      </c>
      <c r="CU781" t="str">
        <f t="shared" si="137"/>
        <v/>
      </c>
      <c r="CV781" t="str">
        <f t="shared" si="138"/>
        <v/>
      </c>
      <c r="CW781" t="str">
        <f t="shared" si="139"/>
        <v/>
      </c>
      <c r="DR781">
        <v>5209073</v>
      </c>
      <c r="DS781" t="s">
        <v>307</v>
      </c>
    </row>
    <row r="782" spans="90:123" x14ac:dyDescent="0.15">
      <c r="CL782" s="13" t="str">
        <f t="shared" si="133"/>
        <v/>
      </c>
      <c r="CM782" s="13" t="str">
        <f t="shared" si="133"/>
        <v/>
      </c>
      <c r="CN782" s="13" t="str">
        <f t="shared" si="133"/>
        <v/>
      </c>
      <c r="CO782" s="13" t="str">
        <f t="shared" si="132"/>
        <v/>
      </c>
      <c r="CP782" s="13" t="str">
        <f t="shared" si="132"/>
        <v/>
      </c>
      <c r="CQ782" s="13" t="str">
        <f t="shared" si="132"/>
        <v/>
      </c>
      <c r="CR782" t="str">
        <f t="shared" si="134"/>
        <v/>
      </c>
      <c r="CS782" t="str">
        <f t="shared" si="135"/>
        <v/>
      </c>
      <c r="CT782" t="str">
        <f t="shared" si="136"/>
        <v/>
      </c>
      <c r="CU782" t="str">
        <f t="shared" si="137"/>
        <v/>
      </c>
      <c r="CV782" t="str">
        <f t="shared" si="138"/>
        <v/>
      </c>
      <c r="CW782" t="str">
        <f t="shared" si="139"/>
        <v/>
      </c>
      <c r="DR782">
        <v>5306073</v>
      </c>
      <c r="DS782" t="s">
        <v>308</v>
      </c>
    </row>
    <row r="783" spans="90:123" x14ac:dyDescent="0.15">
      <c r="CL783" s="13" t="str">
        <f t="shared" si="133"/>
        <v/>
      </c>
      <c r="CM783" s="13" t="str">
        <f t="shared" si="133"/>
        <v/>
      </c>
      <c r="CN783" s="13" t="str">
        <f t="shared" si="133"/>
        <v/>
      </c>
      <c r="CO783" s="13" t="str">
        <f t="shared" si="132"/>
        <v/>
      </c>
      <c r="CP783" s="13" t="str">
        <f t="shared" si="132"/>
        <v/>
      </c>
      <c r="CQ783" s="13" t="str">
        <f t="shared" si="132"/>
        <v/>
      </c>
      <c r="CR783" t="str">
        <f t="shared" si="134"/>
        <v/>
      </c>
      <c r="CS783" t="str">
        <f t="shared" si="135"/>
        <v/>
      </c>
      <c r="CT783" t="str">
        <f t="shared" si="136"/>
        <v/>
      </c>
      <c r="CU783" t="str">
        <f t="shared" si="137"/>
        <v/>
      </c>
      <c r="CV783" t="str">
        <f t="shared" si="138"/>
        <v/>
      </c>
      <c r="CW783" t="str">
        <f t="shared" si="139"/>
        <v/>
      </c>
      <c r="DR783">
        <v>5408073</v>
      </c>
      <c r="DS783" t="s">
        <v>309</v>
      </c>
    </row>
    <row r="784" spans="90:123" x14ac:dyDescent="0.15">
      <c r="CL784" s="13" t="str">
        <f t="shared" si="133"/>
        <v/>
      </c>
      <c r="CM784" s="13" t="str">
        <f t="shared" si="133"/>
        <v/>
      </c>
      <c r="CN784" s="13" t="str">
        <f t="shared" si="133"/>
        <v/>
      </c>
      <c r="CO784" s="13" t="str">
        <f t="shared" si="132"/>
        <v/>
      </c>
      <c r="CP784" s="13" t="str">
        <f t="shared" si="132"/>
        <v/>
      </c>
      <c r="CQ784" s="13" t="str">
        <f t="shared" si="132"/>
        <v/>
      </c>
      <c r="CR784" t="str">
        <f t="shared" si="134"/>
        <v/>
      </c>
      <c r="CS784" t="str">
        <f t="shared" si="135"/>
        <v/>
      </c>
      <c r="CT784" t="str">
        <f t="shared" si="136"/>
        <v/>
      </c>
      <c r="CU784" t="str">
        <f t="shared" si="137"/>
        <v/>
      </c>
      <c r="CV784" t="str">
        <f t="shared" si="138"/>
        <v/>
      </c>
      <c r="CW784" t="str">
        <f t="shared" si="139"/>
        <v/>
      </c>
      <c r="DR784">
        <v>5409073</v>
      </c>
      <c r="DS784" t="s">
        <v>310</v>
      </c>
    </row>
    <row r="785" spans="90:123" x14ac:dyDescent="0.15">
      <c r="CL785" s="13" t="str">
        <f t="shared" si="133"/>
        <v/>
      </c>
      <c r="CM785" s="13" t="str">
        <f t="shared" si="133"/>
        <v/>
      </c>
      <c r="CN785" s="13" t="str">
        <f t="shared" si="133"/>
        <v/>
      </c>
      <c r="CO785" s="13" t="str">
        <f t="shared" si="132"/>
        <v/>
      </c>
      <c r="CP785" s="13" t="str">
        <f t="shared" si="132"/>
        <v/>
      </c>
      <c r="CQ785" s="13" t="str">
        <f t="shared" si="132"/>
        <v/>
      </c>
      <c r="CR785" t="str">
        <f t="shared" si="134"/>
        <v/>
      </c>
      <c r="CS785" t="str">
        <f t="shared" si="135"/>
        <v/>
      </c>
      <c r="CT785" t="str">
        <f t="shared" si="136"/>
        <v/>
      </c>
      <c r="CU785" t="str">
        <f t="shared" si="137"/>
        <v/>
      </c>
      <c r="CV785" t="str">
        <f t="shared" si="138"/>
        <v/>
      </c>
      <c r="CW785" t="str">
        <f t="shared" si="139"/>
        <v/>
      </c>
      <c r="DR785">
        <v>5505073</v>
      </c>
      <c r="DS785" t="s">
        <v>311</v>
      </c>
    </row>
    <row r="786" spans="90:123" x14ac:dyDescent="0.15">
      <c r="CL786" s="13" t="str">
        <f t="shared" si="133"/>
        <v/>
      </c>
      <c r="CM786" s="13" t="str">
        <f t="shared" si="133"/>
        <v/>
      </c>
      <c r="CN786" s="13" t="str">
        <f t="shared" si="133"/>
        <v/>
      </c>
      <c r="CO786" s="13" t="str">
        <f t="shared" si="132"/>
        <v/>
      </c>
      <c r="CP786" s="13" t="str">
        <f t="shared" si="132"/>
        <v/>
      </c>
      <c r="CQ786" s="13" t="str">
        <f t="shared" si="132"/>
        <v/>
      </c>
      <c r="CR786" t="str">
        <f t="shared" si="134"/>
        <v/>
      </c>
      <c r="CS786" t="str">
        <f t="shared" si="135"/>
        <v/>
      </c>
      <c r="CT786" t="str">
        <f t="shared" si="136"/>
        <v/>
      </c>
      <c r="CU786" t="str">
        <f t="shared" si="137"/>
        <v/>
      </c>
      <c r="CV786" t="str">
        <f t="shared" si="138"/>
        <v/>
      </c>
      <c r="CW786" t="str">
        <f t="shared" si="139"/>
        <v/>
      </c>
      <c r="DR786">
        <v>5507073</v>
      </c>
      <c r="DS786" t="s">
        <v>312</v>
      </c>
    </row>
    <row r="787" spans="90:123" x14ac:dyDescent="0.15">
      <c r="CL787" s="13" t="str">
        <f t="shared" si="133"/>
        <v/>
      </c>
      <c r="CM787" s="13" t="str">
        <f t="shared" si="133"/>
        <v/>
      </c>
      <c r="CN787" s="13" t="str">
        <f t="shared" si="133"/>
        <v/>
      </c>
      <c r="CO787" s="13" t="str">
        <f t="shared" si="132"/>
        <v/>
      </c>
      <c r="CP787" s="13" t="str">
        <f t="shared" si="132"/>
        <v/>
      </c>
      <c r="CQ787" s="13" t="str">
        <f t="shared" si="132"/>
        <v/>
      </c>
      <c r="CR787" t="str">
        <f t="shared" si="134"/>
        <v/>
      </c>
      <c r="CS787" t="str">
        <f t="shared" si="135"/>
        <v/>
      </c>
      <c r="CT787" t="str">
        <f t="shared" si="136"/>
        <v/>
      </c>
      <c r="CU787" t="str">
        <f t="shared" si="137"/>
        <v/>
      </c>
      <c r="CV787" t="str">
        <f t="shared" si="138"/>
        <v/>
      </c>
      <c r="CW787" t="str">
        <f t="shared" si="139"/>
        <v/>
      </c>
      <c r="DR787">
        <v>5604073</v>
      </c>
      <c r="DS787" t="s">
        <v>313</v>
      </c>
    </row>
    <row r="788" spans="90:123" x14ac:dyDescent="0.15">
      <c r="CL788" s="13" t="str">
        <f t="shared" si="133"/>
        <v/>
      </c>
      <c r="CM788" s="13" t="str">
        <f t="shared" si="133"/>
        <v/>
      </c>
      <c r="CN788" s="13" t="str">
        <f t="shared" si="133"/>
        <v/>
      </c>
      <c r="CO788" s="13" t="str">
        <f t="shared" si="132"/>
        <v/>
      </c>
      <c r="CP788" s="13" t="str">
        <f t="shared" si="132"/>
        <v/>
      </c>
      <c r="CQ788" s="13" t="str">
        <f t="shared" si="132"/>
        <v/>
      </c>
      <c r="CR788" t="str">
        <f t="shared" si="134"/>
        <v/>
      </c>
      <c r="CS788" t="str">
        <f t="shared" si="135"/>
        <v/>
      </c>
      <c r="CT788" t="str">
        <f t="shared" si="136"/>
        <v/>
      </c>
      <c r="CU788" t="str">
        <f t="shared" si="137"/>
        <v/>
      </c>
      <c r="CV788" t="str">
        <f t="shared" si="138"/>
        <v/>
      </c>
      <c r="CW788" t="str">
        <f t="shared" si="139"/>
        <v/>
      </c>
      <c r="DR788">
        <v>5506074</v>
      </c>
      <c r="DS788" t="s">
        <v>314</v>
      </c>
    </row>
    <row r="789" spans="90:123" x14ac:dyDescent="0.15">
      <c r="CL789" s="13" t="str">
        <f t="shared" si="133"/>
        <v/>
      </c>
      <c r="CM789" s="13" t="str">
        <f t="shared" si="133"/>
        <v/>
      </c>
      <c r="CN789" s="13" t="str">
        <f t="shared" si="133"/>
        <v/>
      </c>
      <c r="CO789" s="13" t="str">
        <f t="shared" si="132"/>
        <v/>
      </c>
      <c r="CP789" s="13" t="str">
        <f t="shared" si="132"/>
        <v/>
      </c>
      <c r="CQ789" s="13" t="str">
        <f t="shared" si="132"/>
        <v/>
      </c>
      <c r="CR789" t="str">
        <f t="shared" si="134"/>
        <v/>
      </c>
      <c r="CS789" t="str">
        <f t="shared" si="135"/>
        <v/>
      </c>
      <c r="CT789" t="str">
        <f t="shared" si="136"/>
        <v/>
      </c>
      <c r="CU789" t="str">
        <f t="shared" si="137"/>
        <v/>
      </c>
      <c r="CV789" t="str">
        <f t="shared" si="138"/>
        <v/>
      </c>
      <c r="CW789" t="str">
        <f t="shared" si="139"/>
        <v/>
      </c>
      <c r="DR789">
        <v>5603074</v>
      </c>
      <c r="DS789" t="s">
        <v>315</v>
      </c>
    </row>
    <row r="790" spans="90:123" x14ac:dyDescent="0.15">
      <c r="CL790" s="13" t="str">
        <f t="shared" si="133"/>
        <v/>
      </c>
      <c r="CM790" s="13" t="str">
        <f t="shared" si="133"/>
        <v/>
      </c>
      <c r="CN790" s="13" t="str">
        <f t="shared" si="133"/>
        <v/>
      </c>
      <c r="CO790" s="13" t="str">
        <f t="shared" si="133"/>
        <v/>
      </c>
      <c r="CP790" s="13" t="str">
        <f t="shared" si="133"/>
        <v/>
      </c>
      <c r="CQ790" s="13" t="str">
        <f t="shared" si="133"/>
        <v/>
      </c>
      <c r="CR790" t="str">
        <f t="shared" si="134"/>
        <v/>
      </c>
      <c r="CS790" t="str">
        <f t="shared" si="135"/>
        <v/>
      </c>
      <c r="CT790" t="str">
        <f t="shared" si="136"/>
        <v/>
      </c>
      <c r="CU790" t="str">
        <f t="shared" si="137"/>
        <v/>
      </c>
      <c r="CV790" t="str">
        <f t="shared" si="138"/>
        <v/>
      </c>
      <c r="CW790" t="str">
        <f t="shared" si="139"/>
        <v/>
      </c>
      <c r="DR790">
        <v>5605074</v>
      </c>
      <c r="DS790" t="s">
        <v>316</v>
      </c>
    </row>
    <row r="791" spans="90:123" x14ac:dyDescent="0.15">
      <c r="CL791" s="13" t="str">
        <f t="shared" ref="CL791:CQ833" si="140">IF(DJ791&lt;&gt;"",IF(ISERROR(MATCH(INT(CR791),$DR$4:$DR$1516,0))=FALSE,TRUE),"")</f>
        <v/>
      </c>
      <c r="CM791" s="13" t="str">
        <f t="shared" si="140"/>
        <v/>
      </c>
      <c r="CN791" s="13" t="str">
        <f t="shared" si="140"/>
        <v/>
      </c>
      <c r="CO791" s="13" t="str">
        <f t="shared" si="140"/>
        <v/>
      </c>
      <c r="CP791" s="13" t="str">
        <f t="shared" si="140"/>
        <v/>
      </c>
      <c r="CQ791" s="13" t="str">
        <f t="shared" si="140"/>
        <v/>
      </c>
      <c r="CR791" t="str">
        <f t="shared" si="134"/>
        <v/>
      </c>
      <c r="CS791" t="str">
        <f t="shared" si="135"/>
        <v/>
      </c>
      <c r="CT791" t="str">
        <f t="shared" si="136"/>
        <v/>
      </c>
      <c r="CU791" t="str">
        <f t="shared" si="137"/>
        <v/>
      </c>
      <c r="CV791" t="str">
        <f t="shared" si="138"/>
        <v/>
      </c>
      <c r="CW791" t="str">
        <f t="shared" si="139"/>
        <v/>
      </c>
      <c r="DR791">
        <v>5305075</v>
      </c>
      <c r="DS791" t="s">
        <v>317</v>
      </c>
    </row>
    <row r="792" spans="90:123" x14ac:dyDescent="0.15">
      <c r="CL792" s="13" t="str">
        <f t="shared" si="140"/>
        <v/>
      </c>
      <c r="CM792" s="13" t="str">
        <f t="shared" si="140"/>
        <v/>
      </c>
      <c r="CN792" s="13" t="str">
        <f t="shared" si="140"/>
        <v/>
      </c>
      <c r="CO792" s="13" t="str">
        <f t="shared" si="140"/>
        <v/>
      </c>
      <c r="CP792" s="13" t="str">
        <f t="shared" si="140"/>
        <v/>
      </c>
      <c r="CQ792" s="13" t="str">
        <f t="shared" si="140"/>
        <v/>
      </c>
      <c r="CR792" t="str">
        <f t="shared" si="134"/>
        <v/>
      </c>
      <c r="CS792" t="str">
        <f t="shared" si="135"/>
        <v/>
      </c>
      <c r="CT792" t="str">
        <f t="shared" si="136"/>
        <v/>
      </c>
      <c r="CU792" t="str">
        <f t="shared" si="137"/>
        <v/>
      </c>
      <c r="CV792" t="str">
        <f t="shared" si="138"/>
        <v/>
      </c>
      <c r="CW792" t="str">
        <f t="shared" si="139"/>
        <v/>
      </c>
      <c r="DR792">
        <v>5307075</v>
      </c>
      <c r="DS792" t="s">
        <v>318</v>
      </c>
    </row>
    <row r="793" spans="90:123" x14ac:dyDescent="0.15">
      <c r="CL793" s="13" t="str">
        <f t="shared" si="140"/>
        <v/>
      </c>
      <c r="CM793" s="13" t="str">
        <f t="shared" si="140"/>
        <v/>
      </c>
      <c r="CN793" s="13" t="str">
        <f t="shared" si="140"/>
        <v/>
      </c>
      <c r="CO793" s="13" t="str">
        <f t="shared" si="140"/>
        <v/>
      </c>
      <c r="CP793" s="13" t="str">
        <f t="shared" si="140"/>
        <v/>
      </c>
      <c r="CQ793" s="13" t="str">
        <f t="shared" si="140"/>
        <v/>
      </c>
      <c r="CR793" t="str">
        <f t="shared" si="134"/>
        <v/>
      </c>
      <c r="CS793" t="str">
        <f t="shared" si="135"/>
        <v/>
      </c>
      <c r="CT793" t="str">
        <f t="shared" si="136"/>
        <v/>
      </c>
      <c r="CU793" t="str">
        <f t="shared" si="137"/>
        <v/>
      </c>
      <c r="CV793" t="str">
        <f t="shared" si="138"/>
        <v/>
      </c>
      <c r="CW793" t="str">
        <f t="shared" si="139"/>
        <v/>
      </c>
      <c r="DR793">
        <v>5407075</v>
      </c>
      <c r="DS793" t="s">
        <v>319</v>
      </c>
    </row>
    <row r="794" spans="90:123" x14ac:dyDescent="0.15">
      <c r="CL794" s="13" t="str">
        <f t="shared" si="140"/>
        <v/>
      </c>
      <c r="CM794" s="13" t="str">
        <f t="shared" si="140"/>
        <v/>
      </c>
      <c r="CN794" s="13" t="str">
        <f t="shared" si="140"/>
        <v/>
      </c>
      <c r="CO794" s="13" t="str">
        <f t="shared" si="140"/>
        <v/>
      </c>
      <c r="CP794" s="13" t="str">
        <f t="shared" si="140"/>
        <v/>
      </c>
      <c r="CQ794" s="13" t="str">
        <f t="shared" si="140"/>
        <v/>
      </c>
      <c r="CR794" t="str">
        <f t="shared" si="134"/>
        <v/>
      </c>
      <c r="CS794" t="str">
        <f t="shared" si="135"/>
        <v/>
      </c>
      <c r="CT794" t="str">
        <f t="shared" si="136"/>
        <v/>
      </c>
      <c r="CU794" t="str">
        <f t="shared" si="137"/>
        <v/>
      </c>
      <c r="CV794" t="str">
        <f t="shared" si="138"/>
        <v/>
      </c>
      <c r="CW794" t="str">
        <f t="shared" si="139"/>
        <v/>
      </c>
      <c r="DR794">
        <v>5207081</v>
      </c>
      <c r="DS794" t="s">
        <v>287</v>
      </c>
    </row>
    <row r="795" spans="90:123" x14ac:dyDescent="0.15">
      <c r="CL795" s="13" t="str">
        <f t="shared" si="140"/>
        <v/>
      </c>
      <c r="CM795" s="13" t="str">
        <f t="shared" si="140"/>
        <v/>
      </c>
      <c r="CN795" s="13" t="str">
        <f t="shared" si="140"/>
        <v/>
      </c>
      <c r="CO795" s="13" t="str">
        <f t="shared" si="140"/>
        <v/>
      </c>
      <c r="CP795" s="13" t="str">
        <f t="shared" si="140"/>
        <v/>
      </c>
      <c r="CQ795" s="13" t="str">
        <f t="shared" si="140"/>
        <v/>
      </c>
      <c r="CR795" t="str">
        <f t="shared" si="134"/>
        <v/>
      </c>
      <c r="CS795" t="str">
        <f t="shared" si="135"/>
        <v/>
      </c>
      <c r="CT795" t="str">
        <f t="shared" si="136"/>
        <v/>
      </c>
      <c r="CU795" t="str">
        <f t="shared" si="137"/>
        <v/>
      </c>
      <c r="CV795" t="str">
        <f t="shared" si="138"/>
        <v/>
      </c>
      <c r="CW795" t="str">
        <f t="shared" si="139"/>
        <v/>
      </c>
      <c r="DR795">
        <v>5208081</v>
      </c>
      <c r="DS795" t="s">
        <v>288</v>
      </c>
    </row>
    <row r="796" spans="90:123" x14ac:dyDescent="0.15">
      <c r="CL796" s="13" t="str">
        <f t="shared" si="140"/>
        <v/>
      </c>
      <c r="CM796" s="13" t="str">
        <f t="shared" si="140"/>
        <v/>
      </c>
      <c r="CN796" s="13" t="str">
        <f t="shared" si="140"/>
        <v/>
      </c>
      <c r="CO796" s="13" t="str">
        <f t="shared" si="140"/>
        <v/>
      </c>
      <c r="CP796" s="13" t="str">
        <f t="shared" si="140"/>
        <v/>
      </c>
      <c r="CQ796" s="13" t="str">
        <f t="shared" si="140"/>
        <v/>
      </c>
      <c r="CR796" t="str">
        <f t="shared" si="134"/>
        <v/>
      </c>
      <c r="CS796" t="str">
        <f t="shared" si="135"/>
        <v/>
      </c>
      <c r="CT796" t="str">
        <f t="shared" si="136"/>
        <v/>
      </c>
      <c r="CU796" t="str">
        <f t="shared" si="137"/>
        <v/>
      </c>
      <c r="CV796" t="str">
        <f t="shared" si="138"/>
        <v/>
      </c>
      <c r="CW796" t="str">
        <f t="shared" si="139"/>
        <v/>
      </c>
      <c r="DR796">
        <v>5209081</v>
      </c>
      <c r="DS796" t="s">
        <v>289</v>
      </c>
    </row>
    <row r="797" spans="90:123" x14ac:dyDescent="0.15">
      <c r="CL797" s="13" t="str">
        <f t="shared" si="140"/>
        <v/>
      </c>
      <c r="CM797" s="13" t="str">
        <f t="shared" si="140"/>
        <v/>
      </c>
      <c r="CN797" s="13" t="str">
        <f t="shared" si="140"/>
        <v/>
      </c>
      <c r="CO797" s="13" t="str">
        <f t="shared" si="140"/>
        <v/>
      </c>
      <c r="CP797" s="13" t="str">
        <f t="shared" si="140"/>
        <v/>
      </c>
      <c r="CQ797" s="13" t="str">
        <f t="shared" si="140"/>
        <v/>
      </c>
      <c r="CR797" t="str">
        <f t="shared" si="134"/>
        <v/>
      </c>
      <c r="CS797" t="str">
        <f t="shared" si="135"/>
        <v/>
      </c>
      <c r="CT797" t="str">
        <f t="shared" si="136"/>
        <v/>
      </c>
      <c r="CU797" t="str">
        <f t="shared" si="137"/>
        <v/>
      </c>
      <c r="CV797" t="str">
        <f t="shared" si="138"/>
        <v/>
      </c>
      <c r="CW797" t="str">
        <f t="shared" si="139"/>
        <v/>
      </c>
      <c r="DR797">
        <v>5306081</v>
      </c>
      <c r="DS797" t="s">
        <v>290</v>
      </c>
    </row>
    <row r="798" spans="90:123" x14ac:dyDescent="0.15">
      <c r="CL798" s="13" t="str">
        <f t="shared" si="140"/>
        <v/>
      </c>
      <c r="CM798" s="13" t="str">
        <f t="shared" si="140"/>
        <v/>
      </c>
      <c r="CN798" s="13" t="str">
        <f t="shared" si="140"/>
        <v/>
      </c>
      <c r="CO798" s="13" t="str">
        <f t="shared" si="140"/>
        <v/>
      </c>
      <c r="CP798" s="13" t="str">
        <f t="shared" si="140"/>
        <v/>
      </c>
      <c r="CQ798" s="13" t="str">
        <f t="shared" si="140"/>
        <v/>
      </c>
      <c r="CR798" t="str">
        <f t="shared" si="134"/>
        <v/>
      </c>
      <c r="CS798" t="str">
        <f t="shared" si="135"/>
        <v/>
      </c>
      <c r="CT798" t="str">
        <f t="shared" si="136"/>
        <v/>
      </c>
      <c r="CU798" t="str">
        <f t="shared" si="137"/>
        <v/>
      </c>
      <c r="CV798" t="str">
        <f t="shared" si="138"/>
        <v/>
      </c>
      <c r="CW798" t="str">
        <f t="shared" si="139"/>
        <v/>
      </c>
      <c r="DR798">
        <v>5408081</v>
      </c>
      <c r="DS798" t="s">
        <v>291</v>
      </c>
    </row>
    <row r="799" spans="90:123" x14ac:dyDescent="0.15">
      <c r="CL799" s="13" t="str">
        <f t="shared" si="140"/>
        <v/>
      </c>
      <c r="CM799" s="13" t="str">
        <f t="shared" si="140"/>
        <v/>
      </c>
      <c r="CN799" s="13" t="str">
        <f t="shared" si="140"/>
        <v/>
      </c>
      <c r="CO799" s="13" t="str">
        <f t="shared" si="140"/>
        <v/>
      </c>
      <c r="CP799" s="13" t="str">
        <f t="shared" si="140"/>
        <v/>
      </c>
      <c r="CQ799" s="13" t="str">
        <f t="shared" si="140"/>
        <v/>
      </c>
      <c r="CR799" t="str">
        <f t="shared" si="134"/>
        <v/>
      </c>
      <c r="CS799" t="str">
        <f t="shared" si="135"/>
        <v/>
      </c>
      <c r="CT799" t="str">
        <f t="shared" si="136"/>
        <v/>
      </c>
      <c r="CU799" t="str">
        <f t="shared" si="137"/>
        <v/>
      </c>
      <c r="CV799" t="str">
        <f t="shared" si="138"/>
        <v/>
      </c>
      <c r="CW799" t="str">
        <f t="shared" si="139"/>
        <v/>
      </c>
      <c r="DR799">
        <v>5409081</v>
      </c>
      <c r="DS799" t="s">
        <v>292</v>
      </c>
    </row>
    <row r="800" spans="90:123" x14ac:dyDescent="0.15">
      <c r="CL800" s="13" t="str">
        <f t="shared" si="140"/>
        <v/>
      </c>
      <c r="CM800" s="13" t="str">
        <f t="shared" si="140"/>
        <v/>
      </c>
      <c r="CN800" s="13" t="str">
        <f t="shared" si="140"/>
        <v/>
      </c>
      <c r="CO800" s="13" t="str">
        <f t="shared" si="140"/>
        <v/>
      </c>
      <c r="CP800" s="13" t="str">
        <f t="shared" si="140"/>
        <v/>
      </c>
      <c r="CQ800" s="13" t="str">
        <f t="shared" si="140"/>
        <v/>
      </c>
      <c r="CR800" t="str">
        <f t="shared" si="134"/>
        <v/>
      </c>
      <c r="CS800" t="str">
        <f t="shared" si="135"/>
        <v/>
      </c>
      <c r="CT800" t="str">
        <f t="shared" si="136"/>
        <v/>
      </c>
      <c r="CU800" t="str">
        <f t="shared" si="137"/>
        <v/>
      </c>
      <c r="CV800" t="str">
        <f t="shared" si="138"/>
        <v/>
      </c>
      <c r="CW800" t="str">
        <f t="shared" si="139"/>
        <v/>
      </c>
      <c r="DR800">
        <v>5505081</v>
      </c>
      <c r="DS800" t="s">
        <v>293</v>
      </c>
    </row>
    <row r="801" spans="90:123" x14ac:dyDescent="0.15">
      <c r="CL801" s="13" t="str">
        <f t="shared" si="140"/>
        <v/>
      </c>
      <c r="CM801" s="13" t="str">
        <f t="shared" si="140"/>
        <v/>
      </c>
      <c r="CN801" s="13" t="str">
        <f t="shared" si="140"/>
        <v/>
      </c>
      <c r="CO801" s="13" t="str">
        <f t="shared" si="140"/>
        <v/>
      </c>
      <c r="CP801" s="13" t="str">
        <f t="shared" si="140"/>
        <v/>
      </c>
      <c r="CQ801" s="13" t="str">
        <f t="shared" si="140"/>
        <v/>
      </c>
      <c r="CR801" t="str">
        <f t="shared" si="134"/>
        <v/>
      </c>
      <c r="CS801" t="str">
        <f t="shared" si="135"/>
        <v/>
      </c>
      <c r="CT801" t="str">
        <f t="shared" si="136"/>
        <v/>
      </c>
      <c r="CU801" t="str">
        <f t="shared" si="137"/>
        <v/>
      </c>
      <c r="CV801" t="str">
        <f t="shared" si="138"/>
        <v/>
      </c>
      <c r="CW801" t="str">
        <f t="shared" si="139"/>
        <v/>
      </c>
      <c r="DR801">
        <v>5507081</v>
      </c>
      <c r="DS801" t="s">
        <v>294</v>
      </c>
    </row>
    <row r="802" spans="90:123" x14ac:dyDescent="0.15">
      <c r="CL802" s="13" t="str">
        <f t="shared" si="140"/>
        <v/>
      </c>
      <c r="CM802" s="13" t="str">
        <f t="shared" si="140"/>
        <v/>
      </c>
      <c r="CN802" s="13" t="str">
        <f t="shared" si="140"/>
        <v/>
      </c>
      <c r="CO802" s="13" t="str">
        <f t="shared" si="140"/>
        <v/>
      </c>
      <c r="CP802" s="13" t="str">
        <f t="shared" si="140"/>
        <v/>
      </c>
      <c r="CQ802" s="13" t="str">
        <f t="shared" si="140"/>
        <v/>
      </c>
      <c r="CR802" t="str">
        <f t="shared" si="134"/>
        <v/>
      </c>
      <c r="CS802" t="str">
        <f t="shared" si="135"/>
        <v/>
      </c>
      <c r="CT802" t="str">
        <f t="shared" si="136"/>
        <v/>
      </c>
      <c r="CU802" t="str">
        <f t="shared" si="137"/>
        <v/>
      </c>
      <c r="CV802" t="str">
        <f t="shared" si="138"/>
        <v/>
      </c>
      <c r="CW802" t="str">
        <f t="shared" si="139"/>
        <v/>
      </c>
      <c r="DR802">
        <v>5604081</v>
      </c>
      <c r="DS802" t="s">
        <v>295</v>
      </c>
    </row>
    <row r="803" spans="90:123" x14ac:dyDescent="0.15">
      <c r="CL803" s="13" t="str">
        <f t="shared" si="140"/>
        <v/>
      </c>
      <c r="CM803" s="13" t="str">
        <f t="shared" si="140"/>
        <v/>
      </c>
      <c r="CN803" s="13" t="str">
        <f t="shared" si="140"/>
        <v/>
      </c>
      <c r="CO803" s="13" t="str">
        <f t="shared" si="140"/>
        <v/>
      </c>
      <c r="CP803" s="13" t="str">
        <f t="shared" si="140"/>
        <v/>
      </c>
      <c r="CQ803" s="13" t="str">
        <f t="shared" si="140"/>
        <v/>
      </c>
      <c r="CR803" t="str">
        <f t="shared" si="134"/>
        <v/>
      </c>
      <c r="CS803" t="str">
        <f t="shared" si="135"/>
        <v/>
      </c>
      <c r="CT803" t="str">
        <f t="shared" si="136"/>
        <v/>
      </c>
      <c r="CU803" t="str">
        <f t="shared" si="137"/>
        <v/>
      </c>
      <c r="CV803" t="str">
        <f t="shared" si="138"/>
        <v/>
      </c>
      <c r="CW803" t="str">
        <f t="shared" si="139"/>
        <v/>
      </c>
      <c r="DR803">
        <v>5207082</v>
      </c>
      <c r="DS803" t="s">
        <v>296</v>
      </c>
    </row>
    <row r="804" spans="90:123" x14ac:dyDescent="0.15">
      <c r="CL804" s="13" t="str">
        <f t="shared" si="140"/>
        <v/>
      </c>
      <c r="CM804" s="13" t="str">
        <f t="shared" si="140"/>
        <v/>
      </c>
      <c r="CN804" s="13" t="str">
        <f t="shared" si="140"/>
        <v/>
      </c>
      <c r="CO804" s="13" t="str">
        <f t="shared" si="140"/>
        <v/>
      </c>
      <c r="CP804" s="13" t="str">
        <f t="shared" si="140"/>
        <v/>
      </c>
      <c r="CQ804" s="13" t="str">
        <f t="shared" si="140"/>
        <v/>
      </c>
      <c r="CR804" t="str">
        <f t="shared" si="134"/>
        <v/>
      </c>
      <c r="CS804" t="str">
        <f t="shared" si="135"/>
        <v/>
      </c>
      <c r="CT804" t="str">
        <f t="shared" si="136"/>
        <v/>
      </c>
      <c r="CU804" t="str">
        <f t="shared" si="137"/>
        <v/>
      </c>
      <c r="CV804" t="str">
        <f t="shared" si="138"/>
        <v/>
      </c>
      <c r="CW804" t="str">
        <f t="shared" si="139"/>
        <v/>
      </c>
      <c r="DR804">
        <v>5208082</v>
      </c>
      <c r="DS804" t="s">
        <v>297</v>
      </c>
    </row>
    <row r="805" spans="90:123" x14ac:dyDescent="0.15">
      <c r="CL805" s="13" t="str">
        <f t="shared" si="140"/>
        <v/>
      </c>
      <c r="CM805" s="13" t="str">
        <f t="shared" si="140"/>
        <v/>
      </c>
      <c r="CN805" s="13" t="str">
        <f t="shared" si="140"/>
        <v/>
      </c>
      <c r="CO805" s="13" t="str">
        <f t="shared" si="140"/>
        <v/>
      </c>
      <c r="CP805" s="13" t="str">
        <f t="shared" si="140"/>
        <v/>
      </c>
      <c r="CQ805" s="13" t="str">
        <f t="shared" si="140"/>
        <v/>
      </c>
      <c r="CR805" t="str">
        <f t="shared" si="134"/>
        <v/>
      </c>
      <c r="CS805" t="str">
        <f t="shared" si="135"/>
        <v/>
      </c>
      <c r="CT805" t="str">
        <f t="shared" si="136"/>
        <v/>
      </c>
      <c r="CU805" t="str">
        <f t="shared" si="137"/>
        <v/>
      </c>
      <c r="CV805" t="str">
        <f t="shared" si="138"/>
        <v/>
      </c>
      <c r="CW805" t="str">
        <f t="shared" si="139"/>
        <v/>
      </c>
      <c r="DR805">
        <v>5209082</v>
      </c>
      <c r="DS805" t="s">
        <v>298</v>
      </c>
    </row>
    <row r="806" spans="90:123" x14ac:dyDescent="0.15">
      <c r="CL806" s="13" t="str">
        <f t="shared" si="140"/>
        <v/>
      </c>
      <c r="CM806" s="13" t="str">
        <f t="shared" si="140"/>
        <v/>
      </c>
      <c r="CN806" s="13" t="str">
        <f t="shared" si="140"/>
        <v/>
      </c>
      <c r="CO806" s="13" t="str">
        <f t="shared" si="140"/>
        <v/>
      </c>
      <c r="CP806" s="13" t="str">
        <f t="shared" si="140"/>
        <v/>
      </c>
      <c r="CQ806" s="13" t="str">
        <f t="shared" si="140"/>
        <v/>
      </c>
      <c r="CR806" t="str">
        <f t="shared" si="134"/>
        <v/>
      </c>
      <c r="CS806" t="str">
        <f t="shared" si="135"/>
        <v/>
      </c>
      <c r="CT806" t="str">
        <f t="shared" si="136"/>
        <v/>
      </c>
      <c r="CU806" t="str">
        <f t="shared" si="137"/>
        <v/>
      </c>
      <c r="CV806" t="str">
        <f t="shared" si="138"/>
        <v/>
      </c>
      <c r="CW806" t="str">
        <f t="shared" si="139"/>
        <v/>
      </c>
      <c r="DR806">
        <v>5306082</v>
      </c>
      <c r="DS806" t="s">
        <v>299</v>
      </c>
    </row>
    <row r="807" spans="90:123" x14ac:dyDescent="0.15">
      <c r="CL807" s="13" t="str">
        <f t="shared" si="140"/>
        <v/>
      </c>
      <c r="CM807" s="13" t="str">
        <f t="shared" si="140"/>
        <v/>
      </c>
      <c r="CN807" s="13" t="str">
        <f t="shared" si="140"/>
        <v/>
      </c>
      <c r="CO807" s="13" t="str">
        <f t="shared" si="140"/>
        <v/>
      </c>
      <c r="CP807" s="13" t="str">
        <f t="shared" si="140"/>
        <v/>
      </c>
      <c r="CQ807" s="13" t="str">
        <f t="shared" si="140"/>
        <v/>
      </c>
      <c r="CR807" t="str">
        <f t="shared" si="134"/>
        <v/>
      </c>
      <c r="CS807" t="str">
        <f t="shared" si="135"/>
        <v/>
      </c>
      <c r="CT807" t="str">
        <f t="shared" si="136"/>
        <v/>
      </c>
      <c r="CU807" t="str">
        <f t="shared" si="137"/>
        <v/>
      </c>
      <c r="CV807" t="str">
        <f t="shared" si="138"/>
        <v/>
      </c>
      <c r="CW807" t="str">
        <f t="shared" si="139"/>
        <v/>
      </c>
      <c r="DR807">
        <v>5408082</v>
      </c>
      <c r="DS807" t="s">
        <v>300</v>
      </c>
    </row>
    <row r="808" spans="90:123" x14ac:dyDescent="0.15">
      <c r="CL808" s="13" t="str">
        <f t="shared" si="140"/>
        <v/>
      </c>
      <c r="CM808" s="13" t="str">
        <f t="shared" si="140"/>
        <v/>
      </c>
      <c r="CN808" s="13" t="str">
        <f t="shared" si="140"/>
        <v/>
      </c>
      <c r="CO808" s="13" t="str">
        <f t="shared" si="140"/>
        <v/>
      </c>
      <c r="CP808" s="13" t="str">
        <f t="shared" si="140"/>
        <v/>
      </c>
      <c r="CQ808" s="13" t="str">
        <f t="shared" si="140"/>
        <v/>
      </c>
      <c r="CR808" t="str">
        <f t="shared" si="134"/>
        <v/>
      </c>
      <c r="CS808" t="str">
        <f t="shared" si="135"/>
        <v/>
      </c>
      <c r="CT808" t="str">
        <f t="shared" si="136"/>
        <v/>
      </c>
      <c r="CU808" t="str">
        <f t="shared" si="137"/>
        <v/>
      </c>
      <c r="CV808" t="str">
        <f t="shared" si="138"/>
        <v/>
      </c>
      <c r="CW808" t="str">
        <f t="shared" si="139"/>
        <v/>
      </c>
      <c r="DR808">
        <v>5409082</v>
      </c>
      <c r="DS808" t="s">
        <v>301</v>
      </c>
    </row>
    <row r="809" spans="90:123" x14ac:dyDescent="0.15">
      <c r="CL809" s="13" t="str">
        <f t="shared" si="140"/>
        <v/>
      </c>
      <c r="CM809" s="13" t="str">
        <f t="shared" si="140"/>
        <v/>
      </c>
      <c r="CN809" s="13" t="str">
        <f t="shared" si="140"/>
        <v/>
      </c>
      <c r="CO809" s="13" t="str">
        <f t="shared" si="140"/>
        <v/>
      </c>
      <c r="CP809" s="13" t="str">
        <f t="shared" si="140"/>
        <v/>
      </c>
      <c r="CQ809" s="13" t="str">
        <f t="shared" si="140"/>
        <v/>
      </c>
      <c r="CR809" t="str">
        <f t="shared" si="134"/>
        <v/>
      </c>
      <c r="CS809" t="str">
        <f t="shared" si="135"/>
        <v/>
      </c>
      <c r="CT809" t="str">
        <f t="shared" si="136"/>
        <v/>
      </c>
      <c r="CU809" t="str">
        <f t="shared" si="137"/>
        <v/>
      </c>
      <c r="CV809" t="str">
        <f t="shared" si="138"/>
        <v/>
      </c>
      <c r="CW809" t="str">
        <f t="shared" si="139"/>
        <v/>
      </c>
      <c r="DR809">
        <v>5505082</v>
      </c>
      <c r="DS809" t="s">
        <v>302</v>
      </c>
    </row>
    <row r="810" spans="90:123" x14ac:dyDescent="0.15">
      <c r="CL810" s="13" t="str">
        <f t="shared" si="140"/>
        <v/>
      </c>
      <c r="CM810" s="13" t="str">
        <f t="shared" si="140"/>
        <v/>
      </c>
      <c r="CN810" s="13" t="str">
        <f t="shared" si="140"/>
        <v/>
      </c>
      <c r="CO810" s="13" t="str">
        <f t="shared" si="140"/>
        <v/>
      </c>
      <c r="CP810" s="13" t="str">
        <f t="shared" si="140"/>
        <v/>
      </c>
      <c r="CQ810" s="13" t="str">
        <f t="shared" si="140"/>
        <v/>
      </c>
      <c r="CR810" t="str">
        <f t="shared" si="134"/>
        <v/>
      </c>
      <c r="CS810" t="str">
        <f t="shared" si="135"/>
        <v/>
      </c>
      <c r="CT810" t="str">
        <f t="shared" si="136"/>
        <v/>
      </c>
      <c r="CU810" t="str">
        <f t="shared" si="137"/>
        <v/>
      </c>
      <c r="CV810" t="str">
        <f t="shared" si="138"/>
        <v/>
      </c>
      <c r="CW810" t="str">
        <f t="shared" si="139"/>
        <v/>
      </c>
      <c r="DR810">
        <v>5507082</v>
      </c>
      <c r="DS810" t="s">
        <v>303</v>
      </c>
    </row>
    <row r="811" spans="90:123" x14ac:dyDescent="0.15">
      <c r="CL811" s="13" t="str">
        <f t="shared" si="140"/>
        <v/>
      </c>
      <c r="CM811" s="13" t="str">
        <f t="shared" si="140"/>
        <v/>
      </c>
      <c r="CN811" s="13" t="str">
        <f t="shared" si="140"/>
        <v/>
      </c>
      <c r="CO811" s="13" t="str">
        <f t="shared" si="140"/>
        <v/>
      </c>
      <c r="CP811" s="13" t="str">
        <f t="shared" si="140"/>
        <v/>
      </c>
      <c r="CQ811" s="13" t="str">
        <f t="shared" si="140"/>
        <v/>
      </c>
      <c r="CR811" t="str">
        <f t="shared" si="134"/>
        <v/>
      </c>
      <c r="CS811" t="str">
        <f t="shared" si="135"/>
        <v/>
      </c>
      <c r="CT811" t="str">
        <f t="shared" si="136"/>
        <v/>
      </c>
      <c r="CU811" t="str">
        <f t="shared" si="137"/>
        <v/>
      </c>
      <c r="CV811" t="str">
        <f t="shared" si="138"/>
        <v/>
      </c>
      <c r="CW811" t="str">
        <f t="shared" si="139"/>
        <v/>
      </c>
      <c r="DR811">
        <v>5604082</v>
      </c>
      <c r="DS811" t="s">
        <v>304</v>
      </c>
    </row>
    <row r="812" spans="90:123" x14ac:dyDescent="0.15">
      <c r="CL812" s="13" t="str">
        <f t="shared" si="140"/>
        <v/>
      </c>
      <c r="CM812" s="13" t="str">
        <f t="shared" si="140"/>
        <v/>
      </c>
      <c r="CN812" s="13" t="str">
        <f t="shared" si="140"/>
        <v/>
      </c>
      <c r="CO812" s="13" t="str">
        <f t="shared" si="140"/>
        <v/>
      </c>
      <c r="CP812" s="13" t="str">
        <f t="shared" si="140"/>
        <v/>
      </c>
      <c r="CQ812" s="13" t="str">
        <f t="shared" si="140"/>
        <v/>
      </c>
      <c r="CR812" t="str">
        <f t="shared" si="134"/>
        <v/>
      </c>
      <c r="CS812" t="str">
        <f t="shared" si="135"/>
        <v/>
      </c>
      <c r="CT812" t="str">
        <f t="shared" si="136"/>
        <v/>
      </c>
      <c r="CU812" t="str">
        <f t="shared" si="137"/>
        <v/>
      </c>
      <c r="CV812" t="str">
        <f t="shared" si="138"/>
        <v/>
      </c>
      <c r="CW812" t="str">
        <f t="shared" si="139"/>
        <v/>
      </c>
      <c r="DR812">
        <v>5207083</v>
      </c>
      <c r="DS812" t="s">
        <v>305</v>
      </c>
    </row>
    <row r="813" spans="90:123" x14ac:dyDescent="0.15">
      <c r="CL813" s="13" t="str">
        <f t="shared" si="140"/>
        <v/>
      </c>
      <c r="CM813" s="13" t="str">
        <f t="shared" si="140"/>
        <v/>
      </c>
      <c r="CN813" s="13" t="str">
        <f t="shared" si="140"/>
        <v/>
      </c>
      <c r="CO813" s="13" t="str">
        <f t="shared" si="140"/>
        <v/>
      </c>
      <c r="CP813" s="13" t="str">
        <f t="shared" si="140"/>
        <v/>
      </c>
      <c r="CQ813" s="13" t="str">
        <f t="shared" si="140"/>
        <v/>
      </c>
      <c r="CR813" t="str">
        <f t="shared" si="134"/>
        <v/>
      </c>
      <c r="CS813" t="str">
        <f t="shared" si="135"/>
        <v/>
      </c>
      <c r="CT813" t="str">
        <f t="shared" si="136"/>
        <v/>
      </c>
      <c r="CU813" t="str">
        <f t="shared" si="137"/>
        <v/>
      </c>
      <c r="CV813" t="str">
        <f t="shared" si="138"/>
        <v/>
      </c>
      <c r="CW813" t="str">
        <f t="shared" si="139"/>
        <v/>
      </c>
      <c r="DR813">
        <v>5208083</v>
      </c>
      <c r="DS813" t="s">
        <v>306</v>
      </c>
    </row>
    <row r="814" spans="90:123" x14ac:dyDescent="0.15">
      <c r="CL814" s="13" t="str">
        <f t="shared" si="140"/>
        <v/>
      </c>
      <c r="CM814" s="13" t="str">
        <f t="shared" si="140"/>
        <v/>
      </c>
      <c r="CN814" s="13" t="str">
        <f t="shared" si="140"/>
        <v/>
      </c>
      <c r="CO814" s="13" t="str">
        <f t="shared" si="140"/>
        <v/>
      </c>
      <c r="CP814" s="13" t="str">
        <f t="shared" si="140"/>
        <v/>
      </c>
      <c r="CQ814" s="13" t="str">
        <f t="shared" si="140"/>
        <v/>
      </c>
      <c r="CR814" t="str">
        <f t="shared" si="134"/>
        <v/>
      </c>
      <c r="CS814" t="str">
        <f t="shared" si="135"/>
        <v/>
      </c>
      <c r="CT814" t="str">
        <f t="shared" si="136"/>
        <v/>
      </c>
      <c r="CU814" t="str">
        <f t="shared" si="137"/>
        <v/>
      </c>
      <c r="CV814" t="str">
        <f t="shared" si="138"/>
        <v/>
      </c>
      <c r="CW814" t="str">
        <f t="shared" si="139"/>
        <v/>
      </c>
      <c r="DR814">
        <v>5209083</v>
      </c>
      <c r="DS814" t="s">
        <v>307</v>
      </c>
    </row>
    <row r="815" spans="90:123" x14ac:dyDescent="0.15">
      <c r="CL815" s="13" t="str">
        <f t="shared" si="140"/>
        <v/>
      </c>
      <c r="CM815" s="13" t="str">
        <f t="shared" si="140"/>
        <v/>
      </c>
      <c r="CN815" s="13" t="str">
        <f t="shared" si="140"/>
        <v/>
      </c>
      <c r="CO815" s="13" t="str">
        <f t="shared" si="140"/>
        <v/>
      </c>
      <c r="CP815" s="13" t="str">
        <f t="shared" si="140"/>
        <v/>
      </c>
      <c r="CQ815" s="13" t="str">
        <f t="shared" si="140"/>
        <v/>
      </c>
      <c r="CR815" t="str">
        <f t="shared" si="134"/>
        <v/>
      </c>
      <c r="CS815" t="str">
        <f t="shared" si="135"/>
        <v/>
      </c>
      <c r="CT815" t="str">
        <f t="shared" si="136"/>
        <v/>
      </c>
      <c r="CU815" t="str">
        <f t="shared" si="137"/>
        <v/>
      </c>
      <c r="CV815" t="str">
        <f t="shared" si="138"/>
        <v/>
      </c>
      <c r="CW815" t="str">
        <f t="shared" si="139"/>
        <v/>
      </c>
      <c r="DR815">
        <v>5306083</v>
      </c>
      <c r="DS815" t="s">
        <v>308</v>
      </c>
    </row>
    <row r="816" spans="90:123" x14ac:dyDescent="0.15">
      <c r="CL816" s="13" t="str">
        <f t="shared" si="140"/>
        <v/>
      </c>
      <c r="CM816" s="13" t="str">
        <f t="shared" si="140"/>
        <v/>
      </c>
      <c r="CN816" s="13" t="str">
        <f t="shared" si="140"/>
        <v/>
      </c>
      <c r="CO816" s="13" t="str">
        <f t="shared" si="140"/>
        <v/>
      </c>
      <c r="CP816" s="13" t="str">
        <f t="shared" si="140"/>
        <v/>
      </c>
      <c r="CQ816" s="13" t="str">
        <f t="shared" si="140"/>
        <v/>
      </c>
      <c r="CR816" t="str">
        <f t="shared" si="134"/>
        <v/>
      </c>
      <c r="CS816" t="str">
        <f t="shared" si="135"/>
        <v/>
      </c>
      <c r="CT816" t="str">
        <f t="shared" si="136"/>
        <v/>
      </c>
      <c r="CU816" t="str">
        <f t="shared" si="137"/>
        <v/>
      </c>
      <c r="CV816" t="str">
        <f t="shared" si="138"/>
        <v/>
      </c>
      <c r="CW816" t="str">
        <f t="shared" si="139"/>
        <v/>
      </c>
      <c r="DR816">
        <v>5408083</v>
      </c>
      <c r="DS816" t="s">
        <v>309</v>
      </c>
    </row>
    <row r="817" spans="90:123" x14ac:dyDescent="0.15">
      <c r="CL817" s="13" t="str">
        <f t="shared" si="140"/>
        <v/>
      </c>
      <c r="CM817" s="13" t="str">
        <f t="shared" si="140"/>
        <v/>
      </c>
      <c r="CN817" s="13" t="str">
        <f t="shared" si="140"/>
        <v/>
      </c>
      <c r="CO817" s="13" t="str">
        <f t="shared" si="140"/>
        <v/>
      </c>
      <c r="CP817" s="13" t="str">
        <f t="shared" si="140"/>
        <v/>
      </c>
      <c r="CQ817" s="13" t="str">
        <f t="shared" si="140"/>
        <v/>
      </c>
      <c r="CR817" t="str">
        <f t="shared" si="134"/>
        <v/>
      </c>
      <c r="CS817" t="str">
        <f t="shared" si="135"/>
        <v/>
      </c>
      <c r="CT817" t="str">
        <f t="shared" si="136"/>
        <v/>
      </c>
      <c r="CU817" t="str">
        <f t="shared" si="137"/>
        <v/>
      </c>
      <c r="CV817" t="str">
        <f t="shared" si="138"/>
        <v/>
      </c>
      <c r="CW817" t="str">
        <f t="shared" si="139"/>
        <v/>
      </c>
      <c r="DR817">
        <v>5409083</v>
      </c>
      <c r="DS817" t="s">
        <v>310</v>
      </c>
    </row>
    <row r="818" spans="90:123" x14ac:dyDescent="0.15">
      <c r="CL818" s="13" t="str">
        <f t="shared" si="140"/>
        <v/>
      </c>
      <c r="CM818" s="13" t="str">
        <f t="shared" si="140"/>
        <v/>
      </c>
      <c r="CN818" s="13" t="str">
        <f t="shared" si="140"/>
        <v/>
      </c>
      <c r="CO818" s="13" t="str">
        <f t="shared" si="140"/>
        <v/>
      </c>
      <c r="CP818" s="13" t="str">
        <f t="shared" si="140"/>
        <v/>
      </c>
      <c r="CQ818" s="13" t="str">
        <f t="shared" si="140"/>
        <v/>
      </c>
      <c r="CR818" t="str">
        <f t="shared" si="134"/>
        <v/>
      </c>
      <c r="CS818" t="str">
        <f t="shared" si="135"/>
        <v/>
      </c>
      <c r="CT818" t="str">
        <f t="shared" si="136"/>
        <v/>
      </c>
      <c r="CU818" t="str">
        <f t="shared" si="137"/>
        <v/>
      </c>
      <c r="CV818" t="str">
        <f t="shared" si="138"/>
        <v/>
      </c>
      <c r="CW818" t="str">
        <f t="shared" si="139"/>
        <v/>
      </c>
      <c r="DR818">
        <v>5505083</v>
      </c>
      <c r="DS818" t="s">
        <v>311</v>
      </c>
    </row>
    <row r="819" spans="90:123" x14ac:dyDescent="0.15">
      <c r="CL819" s="13" t="str">
        <f t="shared" si="140"/>
        <v/>
      </c>
      <c r="CM819" s="13" t="str">
        <f t="shared" si="140"/>
        <v/>
      </c>
      <c r="CN819" s="13" t="str">
        <f t="shared" si="140"/>
        <v/>
      </c>
      <c r="CO819" s="13" t="str">
        <f t="shared" si="140"/>
        <v/>
      </c>
      <c r="CP819" s="13" t="str">
        <f t="shared" si="140"/>
        <v/>
      </c>
      <c r="CQ819" s="13" t="str">
        <f t="shared" si="140"/>
        <v/>
      </c>
      <c r="CR819" t="str">
        <f t="shared" si="134"/>
        <v/>
      </c>
      <c r="CS819" t="str">
        <f t="shared" si="135"/>
        <v/>
      </c>
      <c r="CT819" t="str">
        <f t="shared" si="136"/>
        <v/>
      </c>
      <c r="CU819" t="str">
        <f t="shared" si="137"/>
        <v/>
      </c>
      <c r="CV819" t="str">
        <f t="shared" si="138"/>
        <v/>
      </c>
      <c r="CW819" t="str">
        <f t="shared" si="139"/>
        <v/>
      </c>
      <c r="DR819">
        <v>5507083</v>
      </c>
      <c r="DS819" t="s">
        <v>312</v>
      </c>
    </row>
    <row r="820" spans="90:123" x14ac:dyDescent="0.15">
      <c r="CL820" s="13" t="str">
        <f t="shared" si="140"/>
        <v/>
      </c>
      <c r="CM820" s="13" t="str">
        <f t="shared" si="140"/>
        <v/>
      </c>
      <c r="CN820" s="13" t="str">
        <f t="shared" si="140"/>
        <v/>
      </c>
      <c r="CO820" s="13" t="str">
        <f t="shared" si="140"/>
        <v/>
      </c>
      <c r="CP820" s="13" t="str">
        <f t="shared" si="140"/>
        <v/>
      </c>
      <c r="CQ820" s="13" t="str">
        <f t="shared" si="140"/>
        <v/>
      </c>
      <c r="CR820" t="str">
        <f t="shared" si="134"/>
        <v/>
      </c>
      <c r="CS820" t="str">
        <f t="shared" si="135"/>
        <v/>
      </c>
      <c r="CT820" t="str">
        <f t="shared" si="136"/>
        <v/>
      </c>
      <c r="CU820" t="str">
        <f t="shared" si="137"/>
        <v/>
      </c>
      <c r="CV820" t="str">
        <f t="shared" si="138"/>
        <v/>
      </c>
      <c r="CW820" t="str">
        <f t="shared" si="139"/>
        <v/>
      </c>
      <c r="DR820">
        <v>5604083</v>
      </c>
      <c r="DS820" t="s">
        <v>313</v>
      </c>
    </row>
    <row r="821" spans="90:123" x14ac:dyDescent="0.15">
      <c r="CL821" s="13" t="str">
        <f t="shared" si="140"/>
        <v/>
      </c>
      <c r="CM821" s="13" t="str">
        <f t="shared" si="140"/>
        <v/>
      </c>
      <c r="CN821" s="13" t="str">
        <f t="shared" si="140"/>
        <v/>
      </c>
      <c r="CO821" s="13" t="str">
        <f t="shared" si="140"/>
        <v/>
      </c>
      <c r="CP821" s="13" t="str">
        <f t="shared" si="140"/>
        <v/>
      </c>
      <c r="CQ821" s="13" t="str">
        <f t="shared" si="140"/>
        <v/>
      </c>
      <c r="CR821" t="str">
        <f t="shared" si="134"/>
        <v/>
      </c>
      <c r="CS821" t="str">
        <f t="shared" si="135"/>
        <v/>
      </c>
      <c r="CT821" t="str">
        <f t="shared" si="136"/>
        <v/>
      </c>
      <c r="CU821" t="str">
        <f t="shared" si="137"/>
        <v/>
      </c>
      <c r="CV821" t="str">
        <f t="shared" si="138"/>
        <v/>
      </c>
      <c r="CW821" t="str">
        <f t="shared" si="139"/>
        <v/>
      </c>
      <c r="DR821">
        <v>5506084</v>
      </c>
      <c r="DS821" t="s">
        <v>314</v>
      </c>
    </row>
    <row r="822" spans="90:123" x14ac:dyDescent="0.15">
      <c r="CL822" s="13" t="str">
        <f t="shared" si="140"/>
        <v/>
      </c>
      <c r="CM822" s="13" t="str">
        <f t="shared" si="140"/>
        <v/>
      </c>
      <c r="CN822" s="13" t="str">
        <f t="shared" si="140"/>
        <v/>
      </c>
      <c r="CO822" s="13" t="str">
        <f t="shared" si="140"/>
        <v/>
      </c>
      <c r="CP822" s="13" t="str">
        <f t="shared" si="140"/>
        <v/>
      </c>
      <c r="CQ822" s="13" t="str">
        <f t="shared" si="140"/>
        <v/>
      </c>
      <c r="CR822" t="str">
        <f t="shared" si="134"/>
        <v/>
      </c>
      <c r="CS822" t="str">
        <f t="shared" si="135"/>
        <v/>
      </c>
      <c r="CT822" t="str">
        <f t="shared" si="136"/>
        <v/>
      </c>
      <c r="CU822" t="str">
        <f t="shared" si="137"/>
        <v/>
      </c>
      <c r="CV822" t="str">
        <f t="shared" si="138"/>
        <v/>
      </c>
      <c r="CW822" t="str">
        <f t="shared" si="139"/>
        <v/>
      </c>
      <c r="DR822">
        <v>5603084</v>
      </c>
      <c r="DS822" t="s">
        <v>315</v>
      </c>
    </row>
    <row r="823" spans="90:123" x14ac:dyDescent="0.15">
      <c r="CL823" s="13" t="str">
        <f t="shared" si="140"/>
        <v/>
      </c>
      <c r="CM823" s="13" t="str">
        <f t="shared" si="140"/>
        <v/>
      </c>
      <c r="CN823" s="13" t="str">
        <f t="shared" si="140"/>
        <v/>
      </c>
      <c r="CO823" s="13" t="str">
        <f t="shared" si="140"/>
        <v/>
      </c>
      <c r="CP823" s="13" t="str">
        <f t="shared" si="140"/>
        <v/>
      </c>
      <c r="CQ823" s="13" t="str">
        <f t="shared" si="140"/>
        <v/>
      </c>
      <c r="CR823" t="str">
        <f t="shared" si="134"/>
        <v/>
      </c>
      <c r="CS823" t="str">
        <f t="shared" si="135"/>
        <v/>
      </c>
      <c r="CT823" t="str">
        <f t="shared" si="136"/>
        <v/>
      </c>
      <c r="CU823" t="str">
        <f t="shared" si="137"/>
        <v/>
      </c>
      <c r="CV823" t="str">
        <f t="shared" si="138"/>
        <v/>
      </c>
      <c r="CW823" t="str">
        <f t="shared" si="139"/>
        <v/>
      </c>
      <c r="DR823">
        <v>5605084</v>
      </c>
      <c r="DS823" t="s">
        <v>316</v>
      </c>
    </row>
    <row r="824" spans="90:123" x14ac:dyDescent="0.15">
      <c r="CL824" s="13" t="str">
        <f t="shared" si="140"/>
        <v/>
      </c>
      <c r="CM824" s="13" t="str">
        <f t="shared" si="140"/>
        <v/>
      </c>
      <c r="CN824" s="13" t="str">
        <f t="shared" si="140"/>
        <v/>
      </c>
      <c r="CO824" s="13" t="str">
        <f t="shared" si="140"/>
        <v/>
      </c>
      <c r="CP824" s="13" t="str">
        <f t="shared" si="140"/>
        <v/>
      </c>
      <c r="CQ824" s="13" t="str">
        <f t="shared" si="140"/>
        <v/>
      </c>
      <c r="CR824" t="str">
        <f t="shared" si="134"/>
        <v/>
      </c>
      <c r="CS824" t="str">
        <f t="shared" si="135"/>
        <v/>
      </c>
      <c r="CT824" t="str">
        <f t="shared" si="136"/>
        <v/>
      </c>
      <c r="CU824" t="str">
        <f t="shared" si="137"/>
        <v/>
      </c>
      <c r="CV824" t="str">
        <f t="shared" si="138"/>
        <v/>
      </c>
      <c r="CW824" t="str">
        <f t="shared" si="139"/>
        <v/>
      </c>
      <c r="DR824">
        <v>5305085</v>
      </c>
      <c r="DS824" t="s">
        <v>317</v>
      </c>
    </row>
    <row r="825" spans="90:123" x14ac:dyDescent="0.15">
      <c r="CL825" s="13" t="str">
        <f t="shared" si="140"/>
        <v/>
      </c>
      <c r="CM825" s="13" t="str">
        <f t="shared" si="140"/>
        <v/>
      </c>
      <c r="CN825" s="13" t="str">
        <f t="shared" si="140"/>
        <v/>
      </c>
      <c r="CO825" s="13" t="str">
        <f t="shared" si="140"/>
        <v/>
      </c>
      <c r="CP825" s="13" t="str">
        <f t="shared" si="140"/>
        <v/>
      </c>
      <c r="CQ825" s="13" t="str">
        <f t="shared" si="140"/>
        <v/>
      </c>
      <c r="CR825" t="str">
        <f t="shared" si="134"/>
        <v/>
      </c>
      <c r="CS825" t="str">
        <f t="shared" si="135"/>
        <v/>
      </c>
      <c r="CT825" t="str">
        <f t="shared" si="136"/>
        <v/>
      </c>
      <c r="CU825" t="str">
        <f t="shared" si="137"/>
        <v/>
      </c>
      <c r="CV825" t="str">
        <f t="shared" si="138"/>
        <v/>
      </c>
      <c r="CW825" t="str">
        <f t="shared" si="139"/>
        <v/>
      </c>
      <c r="DR825">
        <v>5307085</v>
      </c>
      <c r="DS825" t="s">
        <v>318</v>
      </c>
    </row>
    <row r="826" spans="90:123" x14ac:dyDescent="0.15">
      <c r="CL826" s="13" t="str">
        <f t="shared" si="140"/>
        <v/>
      </c>
      <c r="CM826" s="13" t="str">
        <f t="shared" si="140"/>
        <v/>
      </c>
      <c r="CN826" s="13" t="str">
        <f t="shared" si="140"/>
        <v/>
      </c>
      <c r="CO826" s="13" t="str">
        <f t="shared" si="140"/>
        <v/>
      </c>
      <c r="CP826" s="13" t="str">
        <f t="shared" si="140"/>
        <v/>
      </c>
      <c r="CQ826" s="13" t="str">
        <f t="shared" si="140"/>
        <v/>
      </c>
      <c r="CR826" t="str">
        <f t="shared" si="134"/>
        <v/>
      </c>
      <c r="CS826" t="str">
        <f t="shared" si="135"/>
        <v/>
      </c>
      <c r="CT826" t="str">
        <f t="shared" si="136"/>
        <v/>
      </c>
      <c r="CU826" t="str">
        <f t="shared" si="137"/>
        <v/>
      </c>
      <c r="CV826" t="str">
        <f t="shared" si="138"/>
        <v/>
      </c>
      <c r="CW826" t="str">
        <f t="shared" si="139"/>
        <v/>
      </c>
      <c r="DR826">
        <v>5407085</v>
      </c>
      <c r="DS826" t="s">
        <v>319</v>
      </c>
    </row>
    <row r="827" spans="90:123" x14ac:dyDescent="0.15">
      <c r="CL827" s="13" t="str">
        <f t="shared" si="140"/>
        <v/>
      </c>
      <c r="CM827" s="13" t="str">
        <f t="shared" si="140"/>
        <v/>
      </c>
      <c r="CN827" s="13" t="str">
        <f t="shared" si="140"/>
        <v/>
      </c>
      <c r="CO827" s="13" t="str">
        <f t="shared" si="140"/>
        <v/>
      </c>
      <c r="CP827" s="13" t="str">
        <f t="shared" si="140"/>
        <v/>
      </c>
      <c r="CQ827" s="13" t="str">
        <f t="shared" si="140"/>
        <v/>
      </c>
      <c r="CR827" t="str">
        <f t="shared" si="134"/>
        <v/>
      </c>
      <c r="CS827" t="str">
        <f t="shared" si="135"/>
        <v/>
      </c>
      <c r="CT827" t="str">
        <f t="shared" si="136"/>
        <v/>
      </c>
      <c r="CU827" t="str">
        <f t="shared" si="137"/>
        <v/>
      </c>
      <c r="CV827" t="str">
        <f t="shared" si="138"/>
        <v/>
      </c>
      <c r="CW827" t="str">
        <f t="shared" si="139"/>
        <v/>
      </c>
      <c r="DR827">
        <v>5207091</v>
      </c>
      <c r="DS827" t="s">
        <v>287</v>
      </c>
    </row>
    <row r="828" spans="90:123" x14ac:dyDescent="0.15">
      <c r="CL828" s="13" t="str">
        <f t="shared" si="140"/>
        <v/>
      </c>
      <c r="CM828" s="13" t="str">
        <f t="shared" si="140"/>
        <v/>
      </c>
      <c r="CN828" s="13" t="str">
        <f t="shared" si="140"/>
        <v/>
      </c>
      <c r="CO828" s="13" t="str">
        <f t="shared" si="140"/>
        <v/>
      </c>
      <c r="CP828" s="13" t="str">
        <f t="shared" si="140"/>
        <v/>
      </c>
      <c r="CQ828" s="13" t="str">
        <f t="shared" si="140"/>
        <v/>
      </c>
      <c r="CR828" t="str">
        <f t="shared" si="134"/>
        <v/>
      </c>
      <c r="CS828" t="str">
        <f t="shared" si="135"/>
        <v/>
      </c>
      <c r="CT828" t="str">
        <f t="shared" si="136"/>
        <v/>
      </c>
      <c r="CU828" t="str">
        <f t="shared" si="137"/>
        <v/>
      </c>
      <c r="CV828" t="str">
        <f t="shared" si="138"/>
        <v/>
      </c>
      <c r="CW828" t="str">
        <f t="shared" si="139"/>
        <v/>
      </c>
      <c r="DR828">
        <v>5208091</v>
      </c>
      <c r="DS828" t="s">
        <v>288</v>
      </c>
    </row>
    <row r="829" spans="90:123" x14ac:dyDescent="0.15">
      <c r="CL829" s="13" t="str">
        <f t="shared" si="140"/>
        <v/>
      </c>
      <c r="CM829" s="13" t="str">
        <f t="shared" si="140"/>
        <v/>
      </c>
      <c r="CN829" s="13" t="str">
        <f t="shared" si="140"/>
        <v/>
      </c>
      <c r="CO829" s="13" t="str">
        <f t="shared" si="140"/>
        <v/>
      </c>
      <c r="CP829" s="13" t="str">
        <f t="shared" si="140"/>
        <v/>
      </c>
      <c r="CQ829" s="13" t="str">
        <f t="shared" si="140"/>
        <v/>
      </c>
      <c r="CR829" t="str">
        <f t="shared" si="134"/>
        <v/>
      </c>
      <c r="CS829" t="str">
        <f t="shared" si="135"/>
        <v/>
      </c>
      <c r="CT829" t="str">
        <f t="shared" si="136"/>
        <v/>
      </c>
      <c r="CU829" t="str">
        <f t="shared" si="137"/>
        <v/>
      </c>
      <c r="CV829" t="str">
        <f t="shared" si="138"/>
        <v/>
      </c>
      <c r="CW829" t="str">
        <f t="shared" si="139"/>
        <v/>
      </c>
      <c r="DR829">
        <v>5209091</v>
      </c>
      <c r="DS829" t="s">
        <v>289</v>
      </c>
    </row>
    <row r="830" spans="90:123" x14ac:dyDescent="0.15">
      <c r="CL830" s="13" t="str">
        <f t="shared" si="140"/>
        <v/>
      </c>
      <c r="CM830" s="13" t="str">
        <f t="shared" si="140"/>
        <v/>
      </c>
      <c r="CN830" s="13" t="str">
        <f t="shared" si="140"/>
        <v/>
      </c>
      <c r="CO830" s="13" t="str">
        <f t="shared" si="140"/>
        <v/>
      </c>
      <c r="CP830" s="13" t="str">
        <f t="shared" si="140"/>
        <v/>
      </c>
      <c r="CQ830" s="13" t="str">
        <f t="shared" si="140"/>
        <v/>
      </c>
      <c r="CR830" t="str">
        <f t="shared" si="134"/>
        <v/>
      </c>
      <c r="CS830" t="str">
        <f t="shared" si="135"/>
        <v/>
      </c>
      <c r="CT830" t="str">
        <f t="shared" si="136"/>
        <v/>
      </c>
      <c r="CU830" t="str">
        <f t="shared" si="137"/>
        <v/>
      </c>
      <c r="CV830" t="str">
        <f t="shared" si="138"/>
        <v/>
      </c>
      <c r="CW830" t="str">
        <f t="shared" si="139"/>
        <v/>
      </c>
      <c r="DR830">
        <v>5306091</v>
      </c>
      <c r="DS830" t="s">
        <v>290</v>
      </c>
    </row>
    <row r="831" spans="90:123" x14ac:dyDescent="0.15">
      <c r="CL831" s="13" t="str">
        <f t="shared" si="140"/>
        <v/>
      </c>
      <c r="CM831" s="13" t="str">
        <f t="shared" si="140"/>
        <v/>
      </c>
      <c r="CN831" s="13" t="str">
        <f t="shared" si="140"/>
        <v/>
      </c>
      <c r="CO831" s="13" t="str">
        <f t="shared" si="140"/>
        <v/>
      </c>
      <c r="CP831" s="13" t="str">
        <f t="shared" si="140"/>
        <v/>
      </c>
      <c r="CQ831" s="13" t="str">
        <f t="shared" si="140"/>
        <v/>
      </c>
      <c r="CR831" t="str">
        <f t="shared" si="134"/>
        <v/>
      </c>
      <c r="CS831" t="str">
        <f t="shared" si="135"/>
        <v/>
      </c>
      <c r="CT831" t="str">
        <f t="shared" si="136"/>
        <v/>
      </c>
      <c r="CU831" t="str">
        <f t="shared" si="137"/>
        <v/>
      </c>
      <c r="CV831" t="str">
        <f t="shared" si="138"/>
        <v/>
      </c>
      <c r="CW831" t="str">
        <f t="shared" si="139"/>
        <v/>
      </c>
      <c r="DR831">
        <v>5408091</v>
      </c>
      <c r="DS831" t="s">
        <v>291</v>
      </c>
    </row>
    <row r="832" spans="90:123" x14ac:dyDescent="0.15">
      <c r="CL832" s="13" t="str">
        <f t="shared" si="140"/>
        <v/>
      </c>
      <c r="CM832" s="13" t="str">
        <f t="shared" si="140"/>
        <v/>
      </c>
      <c r="CN832" s="13" t="str">
        <f t="shared" si="140"/>
        <v/>
      </c>
      <c r="CO832" s="13" t="str">
        <f t="shared" si="140"/>
        <v/>
      </c>
      <c r="CP832" s="13" t="str">
        <f t="shared" si="140"/>
        <v/>
      </c>
      <c r="CQ832" s="13" t="str">
        <f t="shared" si="140"/>
        <v/>
      </c>
      <c r="CR832" t="str">
        <f t="shared" si="134"/>
        <v/>
      </c>
      <c r="CS832" t="str">
        <f t="shared" si="135"/>
        <v/>
      </c>
      <c r="CT832" t="str">
        <f t="shared" si="136"/>
        <v/>
      </c>
      <c r="CU832" t="str">
        <f t="shared" si="137"/>
        <v/>
      </c>
      <c r="CV832" t="str">
        <f t="shared" si="138"/>
        <v/>
      </c>
      <c r="CW832" t="str">
        <f t="shared" si="139"/>
        <v/>
      </c>
      <c r="DR832">
        <v>5409091</v>
      </c>
      <c r="DS832" t="s">
        <v>292</v>
      </c>
    </row>
    <row r="833" spans="90:123" x14ac:dyDescent="0.15">
      <c r="CL833" s="13" t="str">
        <f t="shared" si="140"/>
        <v/>
      </c>
      <c r="CM833" s="13" t="str">
        <f t="shared" si="140"/>
        <v/>
      </c>
      <c r="CN833" s="13" t="str">
        <f t="shared" si="140"/>
        <v/>
      </c>
      <c r="CO833" s="13" t="str">
        <f t="shared" ref="CO833:CQ896" si="141">IF(DM833&lt;&gt;"",IF(ISERROR(MATCH(INT(CU833),$DR$4:$DR$1516,0))=FALSE,TRUE),"")</f>
        <v/>
      </c>
      <c r="CP833" s="13" t="str">
        <f t="shared" si="141"/>
        <v/>
      </c>
      <c r="CQ833" s="13" t="str">
        <f t="shared" si="141"/>
        <v/>
      </c>
      <c r="CR833" t="str">
        <f t="shared" si="134"/>
        <v/>
      </c>
      <c r="CS833" t="str">
        <f t="shared" si="135"/>
        <v/>
      </c>
      <c r="CT833" t="str">
        <f t="shared" si="136"/>
        <v/>
      </c>
      <c r="CU833" t="str">
        <f t="shared" si="137"/>
        <v/>
      </c>
      <c r="CV833" t="str">
        <f t="shared" si="138"/>
        <v/>
      </c>
      <c r="CW833" t="str">
        <f t="shared" si="139"/>
        <v/>
      </c>
      <c r="DR833">
        <v>5505091</v>
      </c>
      <c r="DS833" t="s">
        <v>293</v>
      </c>
    </row>
    <row r="834" spans="90:123" x14ac:dyDescent="0.15">
      <c r="CL834" s="13" t="str">
        <f t="shared" ref="CL834:CQ897" si="142">IF(DJ834&lt;&gt;"",IF(ISERROR(MATCH(INT(CR834),$DR$4:$DR$1516,0))=FALSE,TRUE),"")</f>
        <v/>
      </c>
      <c r="CM834" s="13" t="str">
        <f t="shared" si="142"/>
        <v/>
      </c>
      <c r="CN834" s="13" t="str">
        <f t="shared" si="142"/>
        <v/>
      </c>
      <c r="CO834" s="13" t="str">
        <f t="shared" si="141"/>
        <v/>
      </c>
      <c r="CP834" s="13" t="str">
        <f t="shared" si="141"/>
        <v/>
      </c>
      <c r="CQ834" s="13" t="str">
        <f t="shared" si="141"/>
        <v/>
      </c>
      <c r="CR834" t="str">
        <f t="shared" si="134"/>
        <v/>
      </c>
      <c r="CS834" t="str">
        <f t="shared" si="135"/>
        <v/>
      </c>
      <c r="CT834" t="str">
        <f t="shared" si="136"/>
        <v/>
      </c>
      <c r="CU834" t="str">
        <f t="shared" si="137"/>
        <v/>
      </c>
      <c r="CV834" t="str">
        <f t="shared" si="138"/>
        <v/>
      </c>
      <c r="CW834" t="str">
        <f t="shared" si="139"/>
        <v/>
      </c>
      <c r="DR834">
        <v>5507091</v>
      </c>
      <c r="DS834" t="s">
        <v>294</v>
      </c>
    </row>
    <row r="835" spans="90:123" x14ac:dyDescent="0.15">
      <c r="CL835" s="13" t="str">
        <f t="shared" si="142"/>
        <v/>
      </c>
      <c r="CM835" s="13" t="str">
        <f t="shared" si="142"/>
        <v/>
      </c>
      <c r="CN835" s="13" t="str">
        <f t="shared" si="142"/>
        <v/>
      </c>
      <c r="CO835" s="13" t="str">
        <f t="shared" si="141"/>
        <v/>
      </c>
      <c r="CP835" s="13" t="str">
        <f t="shared" si="141"/>
        <v/>
      </c>
      <c r="CQ835" s="13" t="str">
        <f t="shared" si="141"/>
        <v/>
      </c>
      <c r="CR835" t="str">
        <f t="shared" ref="CR835:CR888" si="143">IF(DJ835&lt;&gt;"",REPLACE(REPLACE(INDEX($DR$4:$DR$1516,MATCH(DJ835,$DS$4:$DS$1516,0)),6,1,CX835),1,1,DD835),"")</f>
        <v/>
      </c>
      <c r="CS835" t="str">
        <f t="shared" ref="CS835:CS888" si="144">IF(DK835&lt;&gt;"",REPLACE(REPLACE(INDEX($DR$4:$DR$1516,MATCH(DK835,$DS$4:$DS$1516,0)),6,1,CY835),1,1,DE835),"")</f>
        <v/>
      </c>
      <c r="CT835" t="str">
        <f t="shared" ref="CT835:CT888" si="145">IF(DL835&lt;&gt;"",REPLACE(REPLACE(INDEX($DR$4:$DR$1516,MATCH(DL835,$DS$4:$DS$1516,0)),6,1,CZ835),1,1,DF835),"")</f>
        <v/>
      </c>
      <c r="CU835" t="str">
        <f t="shared" ref="CU835:CU888" si="146">IF(DM835&lt;&gt;"",REPLACE(REPLACE(INDEX($DR$4:$DR$1516,MATCH(DM835,$DS$4:$DS$1516,0)),6,1,DA835),1,1,DG835),"")</f>
        <v/>
      </c>
      <c r="CV835" t="str">
        <f t="shared" ref="CV835:CV888" si="147">IF(DN835&lt;&gt;"",REPLACE(REPLACE(INDEX($DR$4:$DR$1516,MATCH(DN835,$DS$4:$DS$1516,0)),6,1,DB835),1,1,DH835),"")</f>
        <v/>
      </c>
      <c r="CW835" t="str">
        <f t="shared" ref="CW835:CW888" si="148">IF(DO835&lt;&gt;"",REPLACE(REPLACE(INDEX($DR$4:$DR$1516,MATCH(DO835,$DS$4:$DS$1516,0)),6,1,DC835),1,1,DI835),"")</f>
        <v/>
      </c>
      <c r="DR835">
        <v>5604091</v>
      </c>
      <c r="DS835" t="s">
        <v>295</v>
      </c>
    </row>
    <row r="836" spans="90:123" x14ac:dyDescent="0.15">
      <c r="CL836" s="13" t="str">
        <f t="shared" si="142"/>
        <v/>
      </c>
      <c r="CM836" s="13" t="str">
        <f t="shared" si="142"/>
        <v/>
      </c>
      <c r="CN836" s="13" t="str">
        <f t="shared" si="142"/>
        <v/>
      </c>
      <c r="CO836" s="13" t="str">
        <f t="shared" si="141"/>
        <v/>
      </c>
      <c r="CP836" s="13" t="str">
        <f t="shared" si="141"/>
        <v/>
      </c>
      <c r="CQ836" s="13" t="str">
        <f t="shared" si="141"/>
        <v/>
      </c>
      <c r="CR836" t="str">
        <f t="shared" si="143"/>
        <v/>
      </c>
      <c r="CS836" t="str">
        <f t="shared" si="144"/>
        <v/>
      </c>
      <c r="CT836" t="str">
        <f t="shared" si="145"/>
        <v/>
      </c>
      <c r="CU836" t="str">
        <f t="shared" si="146"/>
        <v/>
      </c>
      <c r="CV836" t="str">
        <f t="shared" si="147"/>
        <v/>
      </c>
      <c r="CW836" t="str">
        <f t="shared" si="148"/>
        <v/>
      </c>
      <c r="DR836">
        <v>5207092</v>
      </c>
      <c r="DS836" t="s">
        <v>296</v>
      </c>
    </row>
    <row r="837" spans="90:123" x14ac:dyDescent="0.15">
      <c r="CL837" s="13" t="str">
        <f t="shared" si="142"/>
        <v/>
      </c>
      <c r="CM837" s="13" t="str">
        <f t="shared" si="142"/>
        <v/>
      </c>
      <c r="CN837" s="13" t="str">
        <f t="shared" si="142"/>
        <v/>
      </c>
      <c r="CO837" s="13" t="str">
        <f t="shared" si="141"/>
        <v/>
      </c>
      <c r="CP837" s="13" t="str">
        <f t="shared" si="141"/>
        <v/>
      </c>
      <c r="CQ837" s="13" t="str">
        <f t="shared" si="141"/>
        <v/>
      </c>
      <c r="CR837" t="str">
        <f t="shared" si="143"/>
        <v/>
      </c>
      <c r="CS837" t="str">
        <f t="shared" si="144"/>
        <v/>
      </c>
      <c r="CT837" t="str">
        <f t="shared" si="145"/>
        <v/>
      </c>
      <c r="CU837" t="str">
        <f t="shared" si="146"/>
        <v/>
      </c>
      <c r="CV837" t="str">
        <f t="shared" si="147"/>
        <v/>
      </c>
      <c r="CW837" t="str">
        <f t="shared" si="148"/>
        <v/>
      </c>
      <c r="DR837">
        <v>5208092</v>
      </c>
      <c r="DS837" t="s">
        <v>297</v>
      </c>
    </row>
    <row r="838" spans="90:123" x14ac:dyDescent="0.15">
      <c r="CL838" s="13" t="str">
        <f t="shared" si="142"/>
        <v/>
      </c>
      <c r="CM838" s="13" t="str">
        <f t="shared" si="142"/>
        <v/>
      </c>
      <c r="CN838" s="13" t="str">
        <f t="shared" si="142"/>
        <v/>
      </c>
      <c r="CO838" s="13" t="str">
        <f t="shared" si="141"/>
        <v/>
      </c>
      <c r="CP838" s="13" t="str">
        <f t="shared" si="141"/>
        <v/>
      </c>
      <c r="CQ838" s="13" t="str">
        <f t="shared" si="141"/>
        <v/>
      </c>
      <c r="CR838" t="str">
        <f t="shared" si="143"/>
        <v/>
      </c>
      <c r="CS838" t="str">
        <f t="shared" si="144"/>
        <v/>
      </c>
      <c r="CT838" t="str">
        <f t="shared" si="145"/>
        <v/>
      </c>
      <c r="CU838" t="str">
        <f t="shared" si="146"/>
        <v/>
      </c>
      <c r="CV838" t="str">
        <f t="shared" si="147"/>
        <v/>
      </c>
      <c r="CW838" t="str">
        <f t="shared" si="148"/>
        <v/>
      </c>
      <c r="DR838">
        <v>5209092</v>
      </c>
      <c r="DS838" t="s">
        <v>298</v>
      </c>
    </row>
    <row r="839" spans="90:123" x14ac:dyDescent="0.15">
      <c r="CL839" s="13" t="str">
        <f t="shared" si="142"/>
        <v/>
      </c>
      <c r="CM839" s="13" t="str">
        <f t="shared" si="142"/>
        <v/>
      </c>
      <c r="CN839" s="13" t="str">
        <f t="shared" si="142"/>
        <v/>
      </c>
      <c r="CO839" s="13" t="str">
        <f t="shared" si="141"/>
        <v/>
      </c>
      <c r="CP839" s="13" t="str">
        <f t="shared" si="141"/>
        <v/>
      </c>
      <c r="CQ839" s="13" t="str">
        <f t="shared" si="141"/>
        <v/>
      </c>
      <c r="CR839" t="str">
        <f t="shared" si="143"/>
        <v/>
      </c>
      <c r="CS839" t="str">
        <f t="shared" si="144"/>
        <v/>
      </c>
      <c r="CT839" t="str">
        <f t="shared" si="145"/>
        <v/>
      </c>
      <c r="CU839" t="str">
        <f t="shared" si="146"/>
        <v/>
      </c>
      <c r="CV839" t="str">
        <f t="shared" si="147"/>
        <v/>
      </c>
      <c r="CW839" t="str">
        <f t="shared" si="148"/>
        <v/>
      </c>
      <c r="DR839">
        <v>5306092</v>
      </c>
      <c r="DS839" t="s">
        <v>299</v>
      </c>
    </row>
    <row r="840" spans="90:123" x14ac:dyDescent="0.15">
      <c r="CL840" s="13" t="str">
        <f t="shared" si="142"/>
        <v/>
      </c>
      <c r="CM840" s="13" t="str">
        <f t="shared" si="142"/>
        <v/>
      </c>
      <c r="CN840" s="13" t="str">
        <f t="shared" si="142"/>
        <v/>
      </c>
      <c r="CO840" s="13" t="str">
        <f t="shared" si="141"/>
        <v/>
      </c>
      <c r="CP840" s="13" t="str">
        <f t="shared" si="141"/>
        <v/>
      </c>
      <c r="CQ840" s="13" t="str">
        <f t="shared" si="141"/>
        <v/>
      </c>
      <c r="CR840" t="str">
        <f t="shared" si="143"/>
        <v/>
      </c>
      <c r="CS840" t="str">
        <f t="shared" si="144"/>
        <v/>
      </c>
      <c r="CT840" t="str">
        <f t="shared" si="145"/>
        <v/>
      </c>
      <c r="CU840" t="str">
        <f t="shared" si="146"/>
        <v/>
      </c>
      <c r="CV840" t="str">
        <f t="shared" si="147"/>
        <v/>
      </c>
      <c r="CW840" t="str">
        <f t="shared" si="148"/>
        <v/>
      </c>
      <c r="DR840">
        <v>5408092</v>
      </c>
      <c r="DS840" t="s">
        <v>300</v>
      </c>
    </row>
    <row r="841" spans="90:123" x14ac:dyDescent="0.15">
      <c r="CL841" s="13" t="str">
        <f t="shared" si="142"/>
        <v/>
      </c>
      <c r="CM841" s="13" t="str">
        <f t="shared" si="142"/>
        <v/>
      </c>
      <c r="CN841" s="13" t="str">
        <f t="shared" si="142"/>
        <v/>
      </c>
      <c r="CO841" s="13" t="str">
        <f t="shared" si="141"/>
        <v/>
      </c>
      <c r="CP841" s="13" t="str">
        <f t="shared" si="141"/>
        <v/>
      </c>
      <c r="CQ841" s="13" t="str">
        <f t="shared" si="141"/>
        <v/>
      </c>
      <c r="CR841" t="str">
        <f t="shared" si="143"/>
        <v/>
      </c>
      <c r="CS841" t="str">
        <f t="shared" si="144"/>
        <v/>
      </c>
      <c r="CT841" t="str">
        <f t="shared" si="145"/>
        <v/>
      </c>
      <c r="CU841" t="str">
        <f t="shared" si="146"/>
        <v/>
      </c>
      <c r="CV841" t="str">
        <f t="shared" si="147"/>
        <v/>
      </c>
      <c r="CW841" t="str">
        <f t="shared" si="148"/>
        <v/>
      </c>
      <c r="DR841">
        <v>5409092</v>
      </c>
      <c r="DS841" t="s">
        <v>301</v>
      </c>
    </row>
    <row r="842" spans="90:123" x14ac:dyDescent="0.15">
      <c r="CL842" s="13" t="str">
        <f t="shared" si="142"/>
        <v/>
      </c>
      <c r="CM842" s="13" t="str">
        <f t="shared" si="142"/>
        <v/>
      </c>
      <c r="CN842" s="13" t="str">
        <f t="shared" si="142"/>
        <v/>
      </c>
      <c r="CO842" s="13" t="str">
        <f t="shared" si="141"/>
        <v/>
      </c>
      <c r="CP842" s="13" t="str">
        <f t="shared" si="141"/>
        <v/>
      </c>
      <c r="CQ842" s="13" t="str">
        <f t="shared" si="141"/>
        <v/>
      </c>
      <c r="CR842" t="str">
        <f t="shared" si="143"/>
        <v/>
      </c>
      <c r="CS842" t="str">
        <f t="shared" si="144"/>
        <v/>
      </c>
      <c r="CT842" t="str">
        <f t="shared" si="145"/>
        <v/>
      </c>
      <c r="CU842" t="str">
        <f t="shared" si="146"/>
        <v/>
      </c>
      <c r="CV842" t="str">
        <f t="shared" si="147"/>
        <v/>
      </c>
      <c r="CW842" t="str">
        <f t="shared" si="148"/>
        <v/>
      </c>
      <c r="DR842">
        <v>5505092</v>
      </c>
      <c r="DS842" t="s">
        <v>302</v>
      </c>
    </row>
    <row r="843" spans="90:123" x14ac:dyDescent="0.15">
      <c r="CL843" s="13" t="str">
        <f t="shared" si="142"/>
        <v/>
      </c>
      <c r="CM843" s="13" t="str">
        <f t="shared" si="142"/>
        <v/>
      </c>
      <c r="CN843" s="13" t="str">
        <f t="shared" si="142"/>
        <v/>
      </c>
      <c r="CO843" s="13" t="str">
        <f t="shared" si="141"/>
        <v/>
      </c>
      <c r="CP843" s="13" t="str">
        <f t="shared" si="141"/>
        <v/>
      </c>
      <c r="CQ843" s="13" t="str">
        <f t="shared" si="141"/>
        <v/>
      </c>
      <c r="CR843" t="str">
        <f t="shared" si="143"/>
        <v/>
      </c>
      <c r="CS843" t="str">
        <f t="shared" si="144"/>
        <v/>
      </c>
      <c r="CT843" t="str">
        <f t="shared" si="145"/>
        <v/>
      </c>
      <c r="CU843" t="str">
        <f t="shared" si="146"/>
        <v/>
      </c>
      <c r="CV843" t="str">
        <f t="shared" si="147"/>
        <v/>
      </c>
      <c r="CW843" t="str">
        <f t="shared" si="148"/>
        <v/>
      </c>
      <c r="DR843">
        <v>5507092</v>
      </c>
      <c r="DS843" t="s">
        <v>303</v>
      </c>
    </row>
    <row r="844" spans="90:123" x14ac:dyDescent="0.15">
      <c r="CL844" s="13" t="str">
        <f t="shared" si="142"/>
        <v/>
      </c>
      <c r="CM844" s="13" t="str">
        <f t="shared" si="142"/>
        <v/>
      </c>
      <c r="CN844" s="13" t="str">
        <f t="shared" si="142"/>
        <v/>
      </c>
      <c r="CO844" s="13" t="str">
        <f t="shared" si="141"/>
        <v/>
      </c>
      <c r="CP844" s="13" t="str">
        <f t="shared" si="141"/>
        <v/>
      </c>
      <c r="CQ844" s="13" t="str">
        <f t="shared" si="141"/>
        <v/>
      </c>
      <c r="CR844" t="str">
        <f t="shared" si="143"/>
        <v/>
      </c>
      <c r="CS844" t="str">
        <f t="shared" si="144"/>
        <v/>
      </c>
      <c r="CT844" t="str">
        <f t="shared" si="145"/>
        <v/>
      </c>
      <c r="CU844" t="str">
        <f t="shared" si="146"/>
        <v/>
      </c>
      <c r="CV844" t="str">
        <f t="shared" si="147"/>
        <v/>
      </c>
      <c r="CW844" t="str">
        <f t="shared" si="148"/>
        <v/>
      </c>
      <c r="DR844">
        <v>5604092</v>
      </c>
      <c r="DS844" t="s">
        <v>304</v>
      </c>
    </row>
    <row r="845" spans="90:123" x14ac:dyDescent="0.15">
      <c r="CL845" s="13" t="str">
        <f t="shared" si="142"/>
        <v/>
      </c>
      <c r="CM845" s="13" t="str">
        <f t="shared" si="142"/>
        <v/>
      </c>
      <c r="CN845" s="13" t="str">
        <f t="shared" si="142"/>
        <v/>
      </c>
      <c r="CO845" s="13" t="str">
        <f t="shared" si="141"/>
        <v/>
      </c>
      <c r="CP845" s="13" t="str">
        <f t="shared" si="141"/>
        <v/>
      </c>
      <c r="CQ845" s="13" t="str">
        <f t="shared" si="141"/>
        <v/>
      </c>
      <c r="CR845" t="str">
        <f t="shared" si="143"/>
        <v/>
      </c>
      <c r="CS845" t="str">
        <f t="shared" si="144"/>
        <v/>
      </c>
      <c r="CT845" t="str">
        <f t="shared" si="145"/>
        <v/>
      </c>
      <c r="CU845" t="str">
        <f t="shared" si="146"/>
        <v/>
      </c>
      <c r="CV845" t="str">
        <f t="shared" si="147"/>
        <v/>
      </c>
      <c r="CW845" t="str">
        <f t="shared" si="148"/>
        <v/>
      </c>
      <c r="DR845">
        <v>5207093</v>
      </c>
      <c r="DS845" t="s">
        <v>305</v>
      </c>
    </row>
    <row r="846" spans="90:123" x14ac:dyDescent="0.15">
      <c r="CL846" s="13" t="str">
        <f t="shared" si="142"/>
        <v/>
      </c>
      <c r="CM846" s="13" t="str">
        <f t="shared" si="142"/>
        <v/>
      </c>
      <c r="CN846" s="13" t="str">
        <f t="shared" si="142"/>
        <v/>
      </c>
      <c r="CO846" s="13" t="str">
        <f t="shared" si="141"/>
        <v/>
      </c>
      <c r="CP846" s="13" t="str">
        <f t="shared" si="141"/>
        <v/>
      </c>
      <c r="CQ846" s="13" t="str">
        <f t="shared" si="141"/>
        <v/>
      </c>
      <c r="CR846" t="str">
        <f t="shared" si="143"/>
        <v/>
      </c>
      <c r="CS846" t="str">
        <f t="shared" si="144"/>
        <v/>
      </c>
      <c r="CT846" t="str">
        <f t="shared" si="145"/>
        <v/>
      </c>
      <c r="CU846" t="str">
        <f t="shared" si="146"/>
        <v/>
      </c>
      <c r="CV846" t="str">
        <f t="shared" si="147"/>
        <v/>
      </c>
      <c r="CW846" t="str">
        <f t="shared" si="148"/>
        <v/>
      </c>
      <c r="DR846">
        <v>5208093</v>
      </c>
      <c r="DS846" t="s">
        <v>306</v>
      </c>
    </row>
    <row r="847" spans="90:123" x14ac:dyDescent="0.15">
      <c r="CL847" s="13" t="str">
        <f t="shared" si="142"/>
        <v/>
      </c>
      <c r="CM847" s="13" t="str">
        <f t="shared" si="142"/>
        <v/>
      </c>
      <c r="CN847" s="13" t="str">
        <f t="shared" si="142"/>
        <v/>
      </c>
      <c r="CO847" s="13" t="str">
        <f t="shared" si="141"/>
        <v/>
      </c>
      <c r="CP847" s="13" t="str">
        <f t="shared" si="141"/>
        <v/>
      </c>
      <c r="CQ847" s="13" t="str">
        <f t="shared" si="141"/>
        <v/>
      </c>
      <c r="CR847" t="str">
        <f t="shared" si="143"/>
        <v/>
      </c>
      <c r="CS847" t="str">
        <f t="shared" si="144"/>
        <v/>
      </c>
      <c r="CT847" t="str">
        <f t="shared" si="145"/>
        <v/>
      </c>
      <c r="CU847" t="str">
        <f t="shared" si="146"/>
        <v/>
      </c>
      <c r="CV847" t="str">
        <f t="shared" si="147"/>
        <v/>
      </c>
      <c r="CW847" t="str">
        <f t="shared" si="148"/>
        <v/>
      </c>
      <c r="DR847">
        <v>5209093</v>
      </c>
      <c r="DS847" t="s">
        <v>307</v>
      </c>
    </row>
    <row r="848" spans="90:123" x14ac:dyDescent="0.15">
      <c r="CL848" s="13" t="str">
        <f t="shared" si="142"/>
        <v/>
      </c>
      <c r="CM848" s="13" t="str">
        <f t="shared" si="142"/>
        <v/>
      </c>
      <c r="CN848" s="13" t="str">
        <f t="shared" si="142"/>
        <v/>
      </c>
      <c r="CO848" s="13" t="str">
        <f t="shared" si="141"/>
        <v/>
      </c>
      <c r="CP848" s="13" t="str">
        <f t="shared" si="141"/>
        <v/>
      </c>
      <c r="CQ848" s="13" t="str">
        <f t="shared" si="141"/>
        <v/>
      </c>
      <c r="CR848" t="str">
        <f t="shared" si="143"/>
        <v/>
      </c>
      <c r="CS848" t="str">
        <f t="shared" si="144"/>
        <v/>
      </c>
      <c r="CT848" t="str">
        <f t="shared" si="145"/>
        <v/>
      </c>
      <c r="CU848" t="str">
        <f t="shared" si="146"/>
        <v/>
      </c>
      <c r="CV848" t="str">
        <f t="shared" si="147"/>
        <v/>
      </c>
      <c r="CW848" t="str">
        <f t="shared" si="148"/>
        <v/>
      </c>
      <c r="DR848">
        <v>5306093</v>
      </c>
      <c r="DS848" t="s">
        <v>308</v>
      </c>
    </row>
    <row r="849" spans="90:123" x14ac:dyDescent="0.15">
      <c r="CL849" s="13" t="str">
        <f t="shared" si="142"/>
        <v/>
      </c>
      <c r="CM849" s="13" t="str">
        <f t="shared" si="142"/>
        <v/>
      </c>
      <c r="CN849" s="13" t="str">
        <f t="shared" si="142"/>
        <v/>
      </c>
      <c r="CO849" s="13" t="str">
        <f t="shared" si="141"/>
        <v/>
      </c>
      <c r="CP849" s="13" t="str">
        <f t="shared" si="141"/>
        <v/>
      </c>
      <c r="CQ849" s="13" t="str">
        <f t="shared" si="141"/>
        <v/>
      </c>
      <c r="CR849" t="str">
        <f t="shared" si="143"/>
        <v/>
      </c>
      <c r="CS849" t="str">
        <f t="shared" si="144"/>
        <v/>
      </c>
      <c r="CT849" t="str">
        <f t="shared" si="145"/>
        <v/>
      </c>
      <c r="CU849" t="str">
        <f t="shared" si="146"/>
        <v/>
      </c>
      <c r="CV849" t="str">
        <f t="shared" si="147"/>
        <v/>
      </c>
      <c r="CW849" t="str">
        <f t="shared" si="148"/>
        <v/>
      </c>
      <c r="DR849">
        <v>5408093</v>
      </c>
      <c r="DS849" t="s">
        <v>309</v>
      </c>
    </row>
    <row r="850" spans="90:123" x14ac:dyDescent="0.15">
      <c r="CL850" s="13" t="str">
        <f t="shared" si="142"/>
        <v/>
      </c>
      <c r="CM850" s="13" t="str">
        <f t="shared" si="142"/>
        <v/>
      </c>
      <c r="CN850" s="13" t="str">
        <f t="shared" si="142"/>
        <v/>
      </c>
      <c r="CO850" s="13" t="str">
        <f t="shared" si="141"/>
        <v/>
      </c>
      <c r="CP850" s="13" t="str">
        <f t="shared" si="141"/>
        <v/>
      </c>
      <c r="CQ850" s="13" t="str">
        <f t="shared" si="141"/>
        <v/>
      </c>
      <c r="CR850" t="str">
        <f t="shared" si="143"/>
        <v/>
      </c>
      <c r="CS850" t="str">
        <f t="shared" si="144"/>
        <v/>
      </c>
      <c r="CT850" t="str">
        <f t="shared" si="145"/>
        <v/>
      </c>
      <c r="CU850" t="str">
        <f t="shared" si="146"/>
        <v/>
      </c>
      <c r="CV850" t="str">
        <f t="shared" si="147"/>
        <v/>
      </c>
      <c r="CW850" t="str">
        <f t="shared" si="148"/>
        <v/>
      </c>
      <c r="DR850">
        <v>5409093</v>
      </c>
      <c r="DS850" t="s">
        <v>310</v>
      </c>
    </row>
    <row r="851" spans="90:123" x14ac:dyDescent="0.15">
      <c r="CL851" s="13" t="str">
        <f t="shared" si="142"/>
        <v/>
      </c>
      <c r="CM851" s="13" t="str">
        <f t="shared" si="142"/>
        <v/>
      </c>
      <c r="CN851" s="13" t="str">
        <f t="shared" si="142"/>
        <v/>
      </c>
      <c r="CO851" s="13" t="str">
        <f t="shared" si="141"/>
        <v/>
      </c>
      <c r="CP851" s="13" t="str">
        <f t="shared" si="141"/>
        <v/>
      </c>
      <c r="CQ851" s="13" t="str">
        <f t="shared" si="141"/>
        <v/>
      </c>
      <c r="CR851" t="str">
        <f t="shared" si="143"/>
        <v/>
      </c>
      <c r="CS851" t="str">
        <f t="shared" si="144"/>
        <v/>
      </c>
      <c r="CT851" t="str">
        <f t="shared" si="145"/>
        <v/>
      </c>
      <c r="CU851" t="str">
        <f t="shared" si="146"/>
        <v/>
      </c>
      <c r="CV851" t="str">
        <f t="shared" si="147"/>
        <v/>
      </c>
      <c r="CW851" t="str">
        <f t="shared" si="148"/>
        <v/>
      </c>
      <c r="DR851">
        <v>5505093</v>
      </c>
      <c r="DS851" t="s">
        <v>311</v>
      </c>
    </row>
    <row r="852" spans="90:123" x14ac:dyDescent="0.15">
      <c r="CL852" s="13" t="str">
        <f t="shared" si="142"/>
        <v/>
      </c>
      <c r="CM852" s="13" t="str">
        <f t="shared" si="142"/>
        <v/>
      </c>
      <c r="CN852" s="13" t="str">
        <f t="shared" si="142"/>
        <v/>
      </c>
      <c r="CO852" s="13" t="str">
        <f t="shared" si="141"/>
        <v/>
      </c>
      <c r="CP852" s="13" t="str">
        <f t="shared" si="141"/>
        <v/>
      </c>
      <c r="CQ852" s="13" t="str">
        <f t="shared" si="141"/>
        <v/>
      </c>
      <c r="CR852" t="str">
        <f t="shared" si="143"/>
        <v/>
      </c>
      <c r="CS852" t="str">
        <f t="shared" si="144"/>
        <v/>
      </c>
      <c r="CT852" t="str">
        <f t="shared" si="145"/>
        <v/>
      </c>
      <c r="CU852" t="str">
        <f t="shared" si="146"/>
        <v/>
      </c>
      <c r="CV852" t="str">
        <f t="shared" si="147"/>
        <v/>
      </c>
      <c r="CW852" t="str">
        <f t="shared" si="148"/>
        <v/>
      </c>
      <c r="DR852">
        <v>5507093</v>
      </c>
      <c r="DS852" t="s">
        <v>312</v>
      </c>
    </row>
    <row r="853" spans="90:123" x14ac:dyDescent="0.15">
      <c r="CL853" s="13" t="str">
        <f t="shared" si="142"/>
        <v/>
      </c>
      <c r="CM853" s="13" t="str">
        <f t="shared" si="142"/>
        <v/>
      </c>
      <c r="CN853" s="13" t="str">
        <f t="shared" si="142"/>
        <v/>
      </c>
      <c r="CO853" s="13" t="str">
        <f t="shared" si="141"/>
        <v/>
      </c>
      <c r="CP853" s="13" t="str">
        <f t="shared" si="141"/>
        <v/>
      </c>
      <c r="CQ853" s="13" t="str">
        <f t="shared" si="141"/>
        <v/>
      </c>
      <c r="CR853" t="str">
        <f t="shared" si="143"/>
        <v/>
      </c>
      <c r="CS853" t="str">
        <f t="shared" si="144"/>
        <v/>
      </c>
      <c r="CT853" t="str">
        <f t="shared" si="145"/>
        <v/>
      </c>
      <c r="CU853" t="str">
        <f t="shared" si="146"/>
        <v/>
      </c>
      <c r="CV853" t="str">
        <f t="shared" si="147"/>
        <v/>
      </c>
      <c r="CW853" t="str">
        <f t="shared" si="148"/>
        <v/>
      </c>
      <c r="DR853">
        <v>5604093</v>
      </c>
      <c r="DS853" t="s">
        <v>313</v>
      </c>
    </row>
    <row r="854" spans="90:123" x14ac:dyDescent="0.15">
      <c r="CL854" s="13" t="str">
        <f t="shared" si="142"/>
        <v/>
      </c>
      <c r="CM854" s="13" t="str">
        <f t="shared" si="142"/>
        <v/>
      </c>
      <c r="CN854" s="13" t="str">
        <f t="shared" si="142"/>
        <v/>
      </c>
      <c r="CO854" s="13" t="str">
        <f t="shared" si="141"/>
        <v/>
      </c>
      <c r="CP854" s="13" t="str">
        <f t="shared" si="141"/>
        <v/>
      </c>
      <c r="CQ854" s="13" t="str">
        <f t="shared" si="141"/>
        <v/>
      </c>
      <c r="CR854" t="str">
        <f t="shared" si="143"/>
        <v/>
      </c>
      <c r="CS854" t="str">
        <f t="shared" si="144"/>
        <v/>
      </c>
      <c r="CT854" t="str">
        <f t="shared" si="145"/>
        <v/>
      </c>
      <c r="CU854" t="str">
        <f t="shared" si="146"/>
        <v/>
      </c>
      <c r="CV854" t="str">
        <f t="shared" si="147"/>
        <v/>
      </c>
      <c r="CW854" t="str">
        <f t="shared" si="148"/>
        <v/>
      </c>
      <c r="DR854">
        <v>5506094</v>
      </c>
      <c r="DS854" t="s">
        <v>314</v>
      </c>
    </row>
    <row r="855" spans="90:123" x14ac:dyDescent="0.15">
      <c r="CL855" s="13" t="str">
        <f t="shared" si="142"/>
        <v/>
      </c>
      <c r="CM855" s="13" t="str">
        <f t="shared" si="142"/>
        <v/>
      </c>
      <c r="CN855" s="13" t="str">
        <f t="shared" si="142"/>
        <v/>
      </c>
      <c r="CO855" s="13" t="str">
        <f t="shared" si="141"/>
        <v/>
      </c>
      <c r="CP855" s="13" t="str">
        <f t="shared" si="141"/>
        <v/>
      </c>
      <c r="CQ855" s="13" t="str">
        <f t="shared" si="141"/>
        <v/>
      </c>
      <c r="CR855" t="str">
        <f t="shared" si="143"/>
        <v/>
      </c>
      <c r="CS855" t="str">
        <f t="shared" si="144"/>
        <v/>
      </c>
      <c r="CT855" t="str">
        <f t="shared" si="145"/>
        <v/>
      </c>
      <c r="CU855" t="str">
        <f t="shared" si="146"/>
        <v/>
      </c>
      <c r="CV855" t="str">
        <f t="shared" si="147"/>
        <v/>
      </c>
      <c r="CW855" t="str">
        <f t="shared" si="148"/>
        <v/>
      </c>
      <c r="DR855">
        <v>5603094</v>
      </c>
      <c r="DS855" t="s">
        <v>315</v>
      </c>
    </row>
    <row r="856" spans="90:123" x14ac:dyDescent="0.15">
      <c r="CL856" s="13" t="str">
        <f t="shared" si="142"/>
        <v/>
      </c>
      <c r="CM856" s="13" t="str">
        <f t="shared" si="142"/>
        <v/>
      </c>
      <c r="CN856" s="13" t="str">
        <f t="shared" si="142"/>
        <v/>
      </c>
      <c r="CO856" s="13" t="str">
        <f t="shared" si="141"/>
        <v/>
      </c>
      <c r="CP856" s="13" t="str">
        <f t="shared" si="141"/>
        <v/>
      </c>
      <c r="CQ856" s="13" t="str">
        <f t="shared" si="141"/>
        <v/>
      </c>
      <c r="CR856" t="str">
        <f t="shared" si="143"/>
        <v/>
      </c>
      <c r="CS856" t="str">
        <f t="shared" si="144"/>
        <v/>
      </c>
      <c r="CT856" t="str">
        <f t="shared" si="145"/>
        <v/>
      </c>
      <c r="CU856" t="str">
        <f t="shared" si="146"/>
        <v/>
      </c>
      <c r="CV856" t="str">
        <f t="shared" si="147"/>
        <v/>
      </c>
      <c r="CW856" t="str">
        <f t="shared" si="148"/>
        <v/>
      </c>
      <c r="DR856">
        <v>5605094</v>
      </c>
      <c r="DS856" t="s">
        <v>316</v>
      </c>
    </row>
    <row r="857" spans="90:123" x14ac:dyDescent="0.15">
      <c r="CL857" s="13" t="str">
        <f t="shared" si="142"/>
        <v/>
      </c>
      <c r="CM857" s="13" t="str">
        <f t="shared" si="142"/>
        <v/>
      </c>
      <c r="CN857" s="13" t="str">
        <f t="shared" si="142"/>
        <v/>
      </c>
      <c r="CO857" s="13" t="str">
        <f t="shared" si="141"/>
        <v/>
      </c>
      <c r="CP857" s="13" t="str">
        <f t="shared" si="141"/>
        <v/>
      </c>
      <c r="CQ857" s="13" t="str">
        <f t="shared" si="141"/>
        <v/>
      </c>
      <c r="CR857" t="str">
        <f t="shared" si="143"/>
        <v/>
      </c>
      <c r="CS857" t="str">
        <f t="shared" si="144"/>
        <v/>
      </c>
      <c r="CT857" t="str">
        <f t="shared" si="145"/>
        <v/>
      </c>
      <c r="CU857" t="str">
        <f t="shared" si="146"/>
        <v/>
      </c>
      <c r="CV857" t="str">
        <f t="shared" si="147"/>
        <v/>
      </c>
      <c r="CW857" t="str">
        <f t="shared" si="148"/>
        <v/>
      </c>
      <c r="DR857">
        <v>5305095</v>
      </c>
      <c r="DS857" t="s">
        <v>317</v>
      </c>
    </row>
    <row r="858" spans="90:123" x14ac:dyDescent="0.15">
      <c r="CL858" s="13" t="str">
        <f t="shared" si="142"/>
        <v/>
      </c>
      <c r="CM858" s="13" t="str">
        <f t="shared" si="142"/>
        <v/>
      </c>
      <c r="CN858" s="13" t="str">
        <f t="shared" si="142"/>
        <v/>
      </c>
      <c r="CO858" s="13" t="str">
        <f t="shared" si="141"/>
        <v/>
      </c>
      <c r="CP858" s="13" t="str">
        <f t="shared" si="141"/>
        <v/>
      </c>
      <c r="CQ858" s="13" t="str">
        <f t="shared" si="141"/>
        <v/>
      </c>
      <c r="CR858" t="str">
        <f t="shared" si="143"/>
        <v/>
      </c>
      <c r="CS858" t="str">
        <f t="shared" si="144"/>
        <v/>
      </c>
      <c r="CT858" t="str">
        <f t="shared" si="145"/>
        <v/>
      </c>
      <c r="CU858" t="str">
        <f t="shared" si="146"/>
        <v/>
      </c>
      <c r="CV858" t="str">
        <f t="shared" si="147"/>
        <v/>
      </c>
      <c r="CW858" t="str">
        <f t="shared" si="148"/>
        <v/>
      </c>
      <c r="DR858">
        <v>5307095</v>
      </c>
      <c r="DS858" t="s">
        <v>318</v>
      </c>
    </row>
    <row r="859" spans="90:123" x14ac:dyDescent="0.15">
      <c r="CL859" s="13" t="str">
        <f t="shared" si="142"/>
        <v/>
      </c>
      <c r="CM859" s="13" t="str">
        <f t="shared" si="142"/>
        <v/>
      </c>
      <c r="CN859" s="13" t="str">
        <f t="shared" si="142"/>
        <v/>
      </c>
      <c r="CO859" s="13" t="str">
        <f t="shared" si="141"/>
        <v/>
      </c>
      <c r="CP859" s="13" t="str">
        <f t="shared" si="141"/>
        <v/>
      </c>
      <c r="CQ859" s="13" t="str">
        <f t="shared" si="141"/>
        <v/>
      </c>
      <c r="CR859" t="str">
        <f t="shared" si="143"/>
        <v/>
      </c>
      <c r="CS859" t="str">
        <f t="shared" si="144"/>
        <v/>
      </c>
      <c r="CT859" t="str">
        <f t="shared" si="145"/>
        <v/>
      </c>
      <c r="CU859" t="str">
        <f t="shared" si="146"/>
        <v/>
      </c>
      <c r="CV859" t="str">
        <f t="shared" si="147"/>
        <v/>
      </c>
      <c r="CW859" t="str">
        <f t="shared" si="148"/>
        <v/>
      </c>
      <c r="DR859">
        <v>5407095</v>
      </c>
      <c r="DS859" t="s">
        <v>319</v>
      </c>
    </row>
    <row r="860" spans="90:123" x14ac:dyDescent="0.15">
      <c r="CL860" s="13" t="str">
        <f t="shared" si="142"/>
        <v/>
      </c>
      <c r="CM860" s="13" t="str">
        <f t="shared" si="142"/>
        <v/>
      </c>
      <c r="CN860" s="13" t="str">
        <f t="shared" si="142"/>
        <v/>
      </c>
      <c r="CO860" s="13" t="str">
        <f t="shared" si="141"/>
        <v/>
      </c>
      <c r="CP860" s="13" t="str">
        <f t="shared" si="141"/>
        <v/>
      </c>
      <c r="CQ860" s="13" t="str">
        <f t="shared" si="141"/>
        <v/>
      </c>
      <c r="CR860" t="str">
        <f t="shared" si="143"/>
        <v/>
      </c>
      <c r="CS860" t="str">
        <f t="shared" si="144"/>
        <v/>
      </c>
      <c r="CT860" t="str">
        <f t="shared" si="145"/>
        <v/>
      </c>
      <c r="CU860" t="str">
        <f t="shared" si="146"/>
        <v/>
      </c>
      <c r="CV860" t="str">
        <f t="shared" si="147"/>
        <v/>
      </c>
      <c r="CW860" t="str">
        <f t="shared" si="148"/>
        <v/>
      </c>
      <c r="DR860">
        <v>5207101</v>
      </c>
      <c r="DS860" t="s">
        <v>287</v>
      </c>
    </row>
    <row r="861" spans="90:123" x14ac:dyDescent="0.15">
      <c r="CL861" s="13" t="str">
        <f t="shared" si="142"/>
        <v/>
      </c>
      <c r="CM861" s="13" t="str">
        <f t="shared" si="142"/>
        <v/>
      </c>
      <c r="CN861" s="13" t="str">
        <f t="shared" si="142"/>
        <v/>
      </c>
      <c r="CO861" s="13" t="str">
        <f t="shared" si="141"/>
        <v/>
      </c>
      <c r="CP861" s="13" t="str">
        <f t="shared" si="141"/>
        <v/>
      </c>
      <c r="CQ861" s="13" t="str">
        <f t="shared" si="141"/>
        <v/>
      </c>
      <c r="CR861" t="str">
        <f t="shared" si="143"/>
        <v/>
      </c>
      <c r="CS861" t="str">
        <f t="shared" si="144"/>
        <v/>
      </c>
      <c r="CT861" t="str">
        <f t="shared" si="145"/>
        <v/>
      </c>
      <c r="CU861" t="str">
        <f t="shared" si="146"/>
        <v/>
      </c>
      <c r="CV861" t="str">
        <f t="shared" si="147"/>
        <v/>
      </c>
      <c r="CW861" t="str">
        <f t="shared" si="148"/>
        <v/>
      </c>
      <c r="DR861">
        <v>5208101</v>
      </c>
      <c r="DS861" t="s">
        <v>288</v>
      </c>
    </row>
    <row r="862" spans="90:123" x14ac:dyDescent="0.15">
      <c r="CL862" s="13" t="str">
        <f t="shared" si="142"/>
        <v/>
      </c>
      <c r="CM862" s="13" t="str">
        <f t="shared" si="142"/>
        <v/>
      </c>
      <c r="CN862" s="13" t="str">
        <f t="shared" si="142"/>
        <v/>
      </c>
      <c r="CO862" s="13" t="str">
        <f t="shared" si="141"/>
        <v/>
      </c>
      <c r="CP862" s="13" t="str">
        <f t="shared" si="141"/>
        <v/>
      </c>
      <c r="CQ862" s="13" t="str">
        <f t="shared" si="141"/>
        <v/>
      </c>
      <c r="CR862" t="str">
        <f t="shared" si="143"/>
        <v/>
      </c>
      <c r="CS862" t="str">
        <f t="shared" si="144"/>
        <v/>
      </c>
      <c r="CT862" t="str">
        <f t="shared" si="145"/>
        <v/>
      </c>
      <c r="CU862" t="str">
        <f t="shared" si="146"/>
        <v/>
      </c>
      <c r="CV862" t="str">
        <f t="shared" si="147"/>
        <v/>
      </c>
      <c r="CW862" t="str">
        <f t="shared" si="148"/>
        <v/>
      </c>
      <c r="DR862">
        <v>5209101</v>
      </c>
      <c r="DS862" t="s">
        <v>289</v>
      </c>
    </row>
    <row r="863" spans="90:123" x14ac:dyDescent="0.15">
      <c r="CL863" s="13" t="str">
        <f t="shared" si="142"/>
        <v/>
      </c>
      <c r="CM863" s="13" t="str">
        <f t="shared" si="142"/>
        <v/>
      </c>
      <c r="CN863" s="13" t="str">
        <f t="shared" si="142"/>
        <v/>
      </c>
      <c r="CO863" s="13" t="str">
        <f t="shared" si="141"/>
        <v/>
      </c>
      <c r="CP863" s="13" t="str">
        <f t="shared" si="141"/>
        <v/>
      </c>
      <c r="CQ863" s="13" t="str">
        <f t="shared" si="141"/>
        <v/>
      </c>
      <c r="CR863" t="str">
        <f t="shared" si="143"/>
        <v/>
      </c>
      <c r="CS863" t="str">
        <f t="shared" si="144"/>
        <v/>
      </c>
      <c r="CT863" t="str">
        <f t="shared" si="145"/>
        <v/>
      </c>
      <c r="CU863" t="str">
        <f t="shared" si="146"/>
        <v/>
      </c>
      <c r="CV863" t="str">
        <f t="shared" si="147"/>
        <v/>
      </c>
      <c r="CW863" t="str">
        <f t="shared" si="148"/>
        <v/>
      </c>
      <c r="DR863">
        <v>5306101</v>
      </c>
      <c r="DS863" t="s">
        <v>290</v>
      </c>
    </row>
    <row r="864" spans="90:123" x14ac:dyDescent="0.15">
      <c r="CL864" s="13" t="str">
        <f t="shared" si="142"/>
        <v/>
      </c>
      <c r="CM864" s="13" t="str">
        <f t="shared" si="142"/>
        <v/>
      </c>
      <c r="CN864" s="13" t="str">
        <f t="shared" si="142"/>
        <v/>
      </c>
      <c r="CO864" s="13" t="str">
        <f t="shared" si="141"/>
        <v/>
      </c>
      <c r="CP864" s="13" t="str">
        <f t="shared" si="141"/>
        <v/>
      </c>
      <c r="CQ864" s="13" t="str">
        <f t="shared" si="141"/>
        <v/>
      </c>
      <c r="CR864" t="str">
        <f t="shared" si="143"/>
        <v/>
      </c>
      <c r="CS864" t="str">
        <f t="shared" si="144"/>
        <v/>
      </c>
      <c r="CT864" t="str">
        <f t="shared" si="145"/>
        <v/>
      </c>
      <c r="CU864" t="str">
        <f t="shared" si="146"/>
        <v/>
      </c>
      <c r="CV864" t="str">
        <f t="shared" si="147"/>
        <v/>
      </c>
      <c r="CW864" t="str">
        <f t="shared" si="148"/>
        <v/>
      </c>
      <c r="DR864">
        <v>5408101</v>
      </c>
      <c r="DS864" t="s">
        <v>291</v>
      </c>
    </row>
    <row r="865" spans="90:123" x14ac:dyDescent="0.15">
      <c r="CL865" s="13" t="str">
        <f t="shared" si="142"/>
        <v/>
      </c>
      <c r="CM865" s="13" t="str">
        <f t="shared" si="142"/>
        <v/>
      </c>
      <c r="CN865" s="13" t="str">
        <f t="shared" si="142"/>
        <v/>
      </c>
      <c r="CO865" s="13" t="str">
        <f t="shared" si="141"/>
        <v/>
      </c>
      <c r="CP865" s="13" t="str">
        <f t="shared" si="141"/>
        <v/>
      </c>
      <c r="CQ865" s="13" t="str">
        <f t="shared" si="141"/>
        <v/>
      </c>
      <c r="CR865" t="str">
        <f t="shared" si="143"/>
        <v/>
      </c>
      <c r="CS865" t="str">
        <f t="shared" si="144"/>
        <v/>
      </c>
      <c r="CT865" t="str">
        <f t="shared" si="145"/>
        <v/>
      </c>
      <c r="CU865" t="str">
        <f t="shared" si="146"/>
        <v/>
      </c>
      <c r="CV865" t="str">
        <f t="shared" si="147"/>
        <v/>
      </c>
      <c r="CW865" t="str">
        <f t="shared" si="148"/>
        <v/>
      </c>
      <c r="DR865">
        <v>5409101</v>
      </c>
      <c r="DS865" t="s">
        <v>292</v>
      </c>
    </row>
    <row r="866" spans="90:123" x14ac:dyDescent="0.15">
      <c r="CL866" s="13" t="str">
        <f t="shared" si="142"/>
        <v/>
      </c>
      <c r="CM866" s="13" t="str">
        <f t="shared" si="142"/>
        <v/>
      </c>
      <c r="CN866" s="13" t="str">
        <f t="shared" si="142"/>
        <v/>
      </c>
      <c r="CO866" s="13" t="str">
        <f t="shared" si="141"/>
        <v/>
      </c>
      <c r="CP866" s="13" t="str">
        <f t="shared" si="141"/>
        <v/>
      </c>
      <c r="CQ866" s="13" t="str">
        <f t="shared" si="141"/>
        <v/>
      </c>
      <c r="CR866" t="str">
        <f t="shared" si="143"/>
        <v/>
      </c>
      <c r="CS866" t="str">
        <f t="shared" si="144"/>
        <v/>
      </c>
      <c r="CT866" t="str">
        <f t="shared" si="145"/>
        <v/>
      </c>
      <c r="CU866" t="str">
        <f t="shared" si="146"/>
        <v/>
      </c>
      <c r="CV866" t="str">
        <f t="shared" si="147"/>
        <v/>
      </c>
      <c r="CW866" t="str">
        <f t="shared" si="148"/>
        <v/>
      </c>
      <c r="DR866">
        <v>5505101</v>
      </c>
      <c r="DS866" t="s">
        <v>293</v>
      </c>
    </row>
    <row r="867" spans="90:123" x14ac:dyDescent="0.15">
      <c r="CL867" s="13" t="str">
        <f t="shared" si="142"/>
        <v/>
      </c>
      <c r="CM867" s="13" t="str">
        <f t="shared" si="142"/>
        <v/>
      </c>
      <c r="CN867" s="13" t="str">
        <f t="shared" si="142"/>
        <v/>
      </c>
      <c r="CO867" s="13" t="str">
        <f t="shared" si="141"/>
        <v/>
      </c>
      <c r="CP867" s="13" t="str">
        <f t="shared" si="141"/>
        <v/>
      </c>
      <c r="CQ867" s="13" t="str">
        <f t="shared" si="141"/>
        <v/>
      </c>
      <c r="CR867" t="str">
        <f t="shared" si="143"/>
        <v/>
      </c>
      <c r="CS867" t="str">
        <f t="shared" si="144"/>
        <v/>
      </c>
      <c r="CT867" t="str">
        <f t="shared" si="145"/>
        <v/>
      </c>
      <c r="CU867" t="str">
        <f t="shared" si="146"/>
        <v/>
      </c>
      <c r="CV867" t="str">
        <f t="shared" si="147"/>
        <v/>
      </c>
      <c r="CW867" t="str">
        <f t="shared" si="148"/>
        <v/>
      </c>
      <c r="DR867">
        <v>5507101</v>
      </c>
      <c r="DS867" t="s">
        <v>294</v>
      </c>
    </row>
    <row r="868" spans="90:123" x14ac:dyDescent="0.15">
      <c r="CL868" s="13" t="str">
        <f t="shared" si="142"/>
        <v/>
      </c>
      <c r="CM868" s="13" t="str">
        <f t="shared" si="142"/>
        <v/>
      </c>
      <c r="CN868" s="13" t="str">
        <f t="shared" si="142"/>
        <v/>
      </c>
      <c r="CO868" s="13" t="str">
        <f t="shared" si="141"/>
        <v/>
      </c>
      <c r="CP868" s="13" t="str">
        <f t="shared" si="141"/>
        <v/>
      </c>
      <c r="CQ868" s="13" t="str">
        <f t="shared" si="141"/>
        <v/>
      </c>
      <c r="CR868" t="str">
        <f t="shared" si="143"/>
        <v/>
      </c>
      <c r="CS868" t="str">
        <f t="shared" si="144"/>
        <v/>
      </c>
      <c r="CT868" t="str">
        <f t="shared" si="145"/>
        <v/>
      </c>
      <c r="CU868" t="str">
        <f t="shared" si="146"/>
        <v/>
      </c>
      <c r="CV868" t="str">
        <f t="shared" si="147"/>
        <v/>
      </c>
      <c r="CW868" t="str">
        <f t="shared" si="148"/>
        <v/>
      </c>
      <c r="DR868">
        <v>5604101</v>
      </c>
      <c r="DS868" t="s">
        <v>295</v>
      </c>
    </row>
    <row r="869" spans="90:123" x14ac:dyDescent="0.15">
      <c r="CL869" s="13" t="str">
        <f t="shared" si="142"/>
        <v/>
      </c>
      <c r="CM869" s="13" t="str">
        <f t="shared" si="142"/>
        <v/>
      </c>
      <c r="CN869" s="13" t="str">
        <f t="shared" si="142"/>
        <v/>
      </c>
      <c r="CO869" s="13" t="str">
        <f t="shared" si="141"/>
        <v/>
      </c>
      <c r="CP869" s="13" t="str">
        <f t="shared" si="141"/>
        <v/>
      </c>
      <c r="CQ869" s="13" t="str">
        <f t="shared" si="141"/>
        <v/>
      </c>
      <c r="CR869" t="str">
        <f t="shared" si="143"/>
        <v/>
      </c>
      <c r="CS869" t="str">
        <f t="shared" si="144"/>
        <v/>
      </c>
      <c r="CT869" t="str">
        <f t="shared" si="145"/>
        <v/>
      </c>
      <c r="CU869" t="str">
        <f t="shared" si="146"/>
        <v/>
      </c>
      <c r="CV869" t="str">
        <f t="shared" si="147"/>
        <v/>
      </c>
      <c r="CW869" t="str">
        <f t="shared" si="148"/>
        <v/>
      </c>
      <c r="DR869">
        <v>5207102</v>
      </c>
      <c r="DS869" t="s">
        <v>296</v>
      </c>
    </row>
    <row r="870" spans="90:123" x14ac:dyDescent="0.15">
      <c r="CL870" s="13" t="str">
        <f t="shared" si="142"/>
        <v/>
      </c>
      <c r="CM870" s="13" t="str">
        <f t="shared" si="142"/>
        <v/>
      </c>
      <c r="CN870" s="13" t="str">
        <f t="shared" si="142"/>
        <v/>
      </c>
      <c r="CO870" s="13" t="str">
        <f t="shared" si="141"/>
        <v/>
      </c>
      <c r="CP870" s="13" t="str">
        <f t="shared" si="141"/>
        <v/>
      </c>
      <c r="CQ870" s="13" t="str">
        <f t="shared" si="141"/>
        <v/>
      </c>
      <c r="CR870" t="str">
        <f t="shared" si="143"/>
        <v/>
      </c>
      <c r="CS870" t="str">
        <f t="shared" si="144"/>
        <v/>
      </c>
      <c r="CT870" t="str">
        <f t="shared" si="145"/>
        <v/>
      </c>
      <c r="CU870" t="str">
        <f t="shared" si="146"/>
        <v/>
      </c>
      <c r="CV870" t="str">
        <f t="shared" si="147"/>
        <v/>
      </c>
      <c r="CW870" t="str">
        <f t="shared" si="148"/>
        <v/>
      </c>
      <c r="DR870">
        <v>5208102</v>
      </c>
      <c r="DS870" t="s">
        <v>297</v>
      </c>
    </row>
    <row r="871" spans="90:123" x14ac:dyDescent="0.15">
      <c r="CL871" s="13" t="str">
        <f t="shared" si="142"/>
        <v/>
      </c>
      <c r="CM871" s="13" t="str">
        <f t="shared" si="142"/>
        <v/>
      </c>
      <c r="CN871" s="13" t="str">
        <f t="shared" si="142"/>
        <v/>
      </c>
      <c r="CO871" s="13" t="str">
        <f t="shared" si="141"/>
        <v/>
      </c>
      <c r="CP871" s="13" t="str">
        <f t="shared" si="141"/>
        <v/>
      </c>
      <c r="CQ871" s="13" t="str">
        <f t="shared" si="141"/>
        <v/>
      </c>
      <c r="CR871" t="str">
        <f t="shared" si="143"/>
        <v/>
      </c>
      <c r="CS871" t="str">
        <f t="shared" si="144"/>
        <v/>
      </c>
      <c r="CT871" t="str">
        <f t="shared" si="145"/>
        <v/>
      </c>
      <c r="CU871" t="str">
        <f t="shared" si="146"/>
        <v/>
      </c>
      <c r="CV871" t="str">
        <f t="shared" si="147"/>
        <v/>
      </c>
      <c r="CW871" t="str">
        <f t="shared" si="148"/>
        <v/>
      </c>
      <c r="DR871">
        <v>5209102</v>
      </c>
      <c r="DS871" t="s">
        <v>298</v>
      </c>
    </row>
    <row r="872" spans="90:123" x14ac:dyDescent="0.15">
      <c r="CL872" s="13" t="str">
        <f t="shared" si="142"/>
        <v/>
      </c>
      <c r="CM872" s="13" t="str">
        <f t="shared" si="142"/>
        <v/>
      </c>
      <c r="CN872" s="13" t="str">
        <f t="shared" si="142"/>
        <v/>
      </c>
      <c r="CO872" s="13" t="str">
        <f t="shared" si="141"/>
        <v/>
      </c>
      <c r="CP872" s="13" t="str">
        <f t="shared" si="141"/>
        <v/>
      </c>
      <c r="CQ872" s="13" t="str">
        <f t="shared" si="141"/>
        <v/>
      </c>
      <c r="CR872" t="str">
        <f t="shared" si="143"/>
        <v/>
      </c>
      <c r="CS872" t="str">
        <f t="shared" si="144"/>
        <v/>
      </c>
      <c r="CT872" t="str">
        <f t="shared" si="145"/>
        <v/>
      </c>
      <c r="CU872" t="str">
        <f t="shared" si="146"/>
        <v/>
      </c>
      <c r="CV872" t="str">
        <f t="shared" si="147"/>
        <v/>
      </c>
      <c r="CW872" t="str">
        <f t="shared" si="148"/>
        <v/>
      </c>
      <c r="DR872">
        <v>5306102</v>
      </c>
      <c r="DS872" t="s">
        <v>299</v>
      </c>
    </row>
    <row r="873" spans="90:123" x14ac:dyDescent="0.15">
      <c r="CL873" s="13" t="str">
        <f t="shared" si="142"/>
        <v/>
      </c>
      <c r="CM873" s="13" t="str">
        <f t="shared" si="142"/>
        <v/>
      </c>
      <c r="CN873" s="13" t="str">
        <f t="shared" si="142"/>
        <v/>
      </c>
      <c r="CO873" s="13" t="str">
        <f t="shared" si="141"/>
        <v/>
      </c>
      <c r="CP873" s="13" t="str">
        <f t="shared" si="141"/>
        <v/>
      </c>
      <c r="CQ873" s="13" t="str">
        <f t="shared" si="141"/>
        <v/>
      </c>
      <c r="CR873" t="str">
        <f t="shared" si="143"/>
        <v/>
      </c>
      <c r="CS873" t="str">
        <f t="shared" si="144"/>
        <v/>
      </c>
      <c r="CT873" t="str">
        <f t="shared" si="145"/>
        <v/>
      </c>
      <c r="CU873" t="str">
        <f t="shared" si="146"/>
        <v/>
      </c>
      <c r="CV873" t="str">
        <f t="shared" si="147"/>
        <v/>
      </c>
      <c r="CW873" t="str">
        <f t="shared" si="148"/>
        <v/>
      </c>
      <c r="DR873">
        <v>5408102</v>
      </c>
      <c r="DS873" t="s">
        <v>300</v>
      </c>
    </row>
    <row r="874" spans="90:123" x14ac:dyDescent="0.15">
      <c r="CL874" s="13" t="str">
        <f t="shared" si="142"/>
        <v/>
      </c>
      <c r="CM874" s="13" t="str">
        <f t="shared" si="142"/>
        <v/>
      </c>
      <c r="CN874" s="13" t="str">
        <f t="shared" si="142"/>
        <v/>
      </c>
      <c r="CO874" s="13" t="str">
        <f t="shared" si="141"/>
        <v/>
      </c>
      <c r="CP874" s="13" t="str">
        <f t="shared" si="141"/>
        <v/>
      </c>
      <c r="CQ874" s="13" t="str">
        <f t="shared" si="141"/>
        <v/>
      </c>
      <c r="CR874" t="str">
        <f t="shared" si="143"/>
        <v/>
      </c>
      <c r="CS874" t="str">
        <f t="shared" si="144"/>
        <v/>
      </c>
      <c r="CT874" t="str">
        <f t="shared" si="145"/>
        <v/>
      </c>
      <c r="CU874" t="str">
        <f t="shared" si="146"/>
        <v/>
      </c>
      <c r="CV874" t="str">
        <f t="shared" si="147"/>
        <v/>
      </c>
      <c r="CW874" t="str">
        <f t="shared" si="148"/>
        <v/>
      </c>
      <c r="DR874">
        <v>5409102</v>
      </c>
      <c r="DS874" t="s">
        <v>301</v>
      </c>
    </row>
    <row r="875" spans="90:123" x14ac:dyDescent="0.15">
      <c r="CL875" s="13" t="str">
        <f t="shared" si="142"/>
        <v/>
      </c>
      <c r="CM875" s="13" t="str">
        <f t="shared" si="142"/>
        <v/>
      </c>
      <c r="CN875" s="13" t="str">
        <f t="shared" si="142"/>
        <v/>
      </c>
      <c r="CO875" s="13" t="str">
        <f t="shared" si="141"/>
        <v/>
      </c>
      <c r="CP875" s="13" t="str">
        <f t="shared" si="141"/>
        <v/>
      </c>
      <c r="CQ875" s="13" t="str">
        <f t="shared" si="141"/>
        <v/>
      </c>
      <c r="CR875" t="str">
        <f t="shared" si="143"/>
        <v/>
      </c>
      <c r="CS875" t="str">
        <f t="shared" si="144"/>
        <v/>
      </c>
      <c r="CT875" t="str">
        <f t="shared" si="145"/>
        <v/>
      </c>
      <c r="CU875" t="str">
        <f t="shared" si="146"/>
        <v/>
      </c>
      <c r="CV875" t="str">
        <f t="shared" si="147"/>
        <v/>
      </c>
      <c r="CW875" t="str">
        <f t="shared" si="148"/>
        <v/>
      </c>
      <c r="DR875">
        <v>5505102</v>
      </c>
      <c r="DS875" t="s">
        <v>302</v>
      </c>
    </row>
    <row r="876" spans="90:123" x14ac:dyDescent="0.15">
      <c r="CL876" s="13" t="str">
        <f t="shared" si="142"/>
        <v/>
      </c>
      <c r="CM876" s="13" t="str">
        <f t="shared" si="142"/>
        <v/>
      </c>
      <c r="CN876" s="13" t="str">
        <f t="shared" si="142"/>
        <v/>
      </c>
      <c r="CO876" s="13" t="str">
        <f t="shared" si="141"/>
        <v/>
      </c>
      <c r="CP876" s="13" t="str">
        <f t="shared" si="141"/>
        <v/>
      </c>
      <c r="CQ876" s="13" t="str">
        <f t="shared" si="141"/>
        <v/>
      </c>
      <c r="CR876" t="str">
        <f t="shared" si="143"/>
        <v/>
      </c>
      <c r="CS876" t="str">
        <f t="shared" si="144"/>
        <v/>
      </c>
      <c r="CT876" t="str">
        <f t="shared" si="145"/>
        <v/>
      </c>
      <c r="CU876" t="str">
        <f t="shared" si="146"/>
        <v/>
      </c>
      <c r="CV876" t="str">
        <f t="shared" si="147"/>
        <v/>
      </c>
      <c r="CW876" t="str">
        <f t="shared" si="148"/>
        <v/>
      </c>
      <c r="DR876">
        <v>5507102</v>
      </c>
      <c r="DS876" t="s">
        <v>303</v>
      </c>
    </row>
    <row r="877" spans="90:123" x14ac:dyDescent="0.15">
      <c r="CL877" s="13" t="str">
        <f t="shared" si="142"/>
        <v/>
      </c>
      <c r="CM877" s="13" t="str">
        <f t="shared" si="142"/>
        <v/>
      </c>
      <c r="CN877" s="13" t="str">
        <f t="shared" si="142"/>
        <v/>
      </c>
      <c r="CO877" s="13" t="str">
        <f t="shared" si="141"/>
        <v/>
      </c>
      <c r="CP877" s="13" t="str">
        <f t="shared" si="141"/>
        <v/>
      </c>
      <c r="CQ877" s="13" t="str">
        <f t="shared" si="141"/>
        <v/>
      </c>
      <c r="CR877" t="str">
        <f t="shared" si="143"/>
        <v/>
      </c>
      <c r="CS877" t="str">
        <f t="shared" si="144"/>
        <v/>
      </c>
      <c r="CT877" t="str">
        <f t="shared" si="145"/>
        <v/>
      </c>
      <c r="CU877" t="str">
        <f t="shared" si="146"/>
        <v/>
      </c>
      <c r="CV877" t="str">
        <f t="shared" si="147"/>
        <v/>
      </c>
      <c r="CW877" t="str">
        <f t="shared" si="148"/>
        <v/>
      </c>
      <c r="DR877">
        <v>5604102</v>
      </c>
      <c r="DS877" t="s">
        <v>304</v>
      </c>
    </row>
    <row r="878" spans="90:123" x14ac:dyDescent="0.15">
      <c r="CL878" s="13" t="str">
        <f t="shared" si="142"/>
        <v/>
      </c>
      <c r="CM878" s="13" t="str">
        <f t="shared" si="142"/>
        <v/>
      </c>
      <c r="CN878" s="13" t="str">
        <f t="shared" si="142"/>
        <v/>
      </c>
      <c r="CO878" s="13" t="str">
        <f t="shared" si="141"/>
        <v/>
      </c>
      <c r="CP878" s="13" t="str">
        <f t="shared" si="141"/>
        <v/>
      </c>
      <c r="CQ878" s="13" t="str">
        <f t="shared" si="141"/>
        <v/>
      </c>
      <c r="CR878" t="str">
        <f t="shared" si="143"/>
        <v/>
      </c>
      <c r="CS878" t="str">
        <f t="shared" si="144"/>
        <v/>
      </c>
      <c r="CT878" t="str">
        <f t="shared" si="145"/>
        <v/>
      </c>
      <c r="CU878" t="str">
        <f t="shared" si="146"/>
        <v/>
      </c>
      <c r="CV878" t="str">
        <f t="shared" si="147"/>
        <v/>
      </c>
      <c r="CW878" t="str">
        <f t="shared" si="148"/>
        <v/>
      </c>
      <c r="DR878">
        <v>5207103</v>
      </c>
      <c r="DS878" t="s">
        <v>305</v>
      </c>
    </row>
    <row r="879" spans="90:123" x14ac:dyDescent="0.15">
      <c r="CL879" s="13" t="str">
        <f t="shared" si="142"/>
        <v/>
      </c>
      <c r="CM879" s="13" t="str">
        <f t="shared" si="142"/>
        <v/>
      </c>
      <c r="CN879" s="13" t="str">
        <f t="shared" si="142"/>
        <v/>
      </c>
      <c r="CO879" s="13" t="str">
        <f t="shared" si="141"/>
        <v/>
      </c>
      <c r="CP879" s="13" t="str">
        <f t="shared" si="141"/>
        <v/>
      </c>
      <c r="CQ879" s="13" t="str">
        <f t="shared" si="141"/>
        <v/>
      </c>
      <c r="CR879" t="str">
        <f t="shared" si="143"/>
        <v/>
      </c>
      <c r="CS879" t="str">
        <f t="shared" si="144"/>
        <v/>
      </c>
      <c r="CT879" t="str">
        <f t="shared" si="145"/>
        <v/>
      </c>
      <c r="CU879" t="str">
        <f t="shared" si="146"/>
        <v/>
      </c>
      <c r="CV879" t="str">
        <f t="shared" si="147"/>
        <v/>
      </c>
      <c r="CW879" t="str">
        <f t="shared" si="148"/>
        <v/>
      </c>
      <c r="DR879">
        <v>5208103</v>
      </c>
      <c r="DS879" t="s">
        <v>306</v>
      </c>
    </row>
    <row r="880" spans="90:123" x14ac:dyDescent="0.15">
      <c r="CL880" s="13" t="str">
        <f t="shared" si="142"/>
        <v/>
      </c>
      <c r="CM880" s="13" t="str">
        <f t="shared" si="142"/>
        <v/>
      </c>
      <c r="CN880" s="13" t="str">
        <f t="shared" si="142"/>
        <v/>
      </c>
      <c r="CO880" s="13" t="str">
        <f t="shared" si="141"/>
        <v/>
      </c>
      <c r="CP880" s="13" t="str">
        <f t="shared" si="141"/>
        <v/>
      </c>
      <c r="CQ880" s="13" t="str">
        <f t="shared" si="141"/>
        <v/>
      </c>
      <c r="CR880" t="str">
        <f t="shared" si="143"/>
        <v/>
      </c>
      <c r="CS880" t="str">
        <f t="shared" si="144"/>
        <v/>
      </c>
      <c r="CT880" t="str">
        <f t="shared" si="145"/>
        <v/>
      </c>
      <c r="CU880" t="str">
        <f t="shared" si="146"/>
        <v/>
      </c>
      <c r="CV880" t="str">
        <f t="shared" si="147"/>
        <v/>
      </c>
      <c r="CW880" t="str">
        <f t="shared" si="148"/>
        <v/>
      </c>
      <c r="DR880">
        <v>5209103</v>
      </c>
      <c r="DS880" t="s">
        <v>307</v>
      </c>
    </row>
    <row r="881" spans="90:123" x14ac:dyDescent="0.15">
      <c r="CL881" s="13" t="str">
        <f t="shared" si="142"/>
        <v/>
      </c>
      <c r="CM881" s="13" t="str">
        <f t="shared" si="142"/>
        <v/>
      </c>
      <c r="CN881" s="13" t="str">
        <f t="shared" si="142"/>
        <v/>
      </c>
      <c r="CO881" s="13" t="str">
        <f t="shared" si="141"/>
        <v/>
      </c>
      <c r="CP881" s="13" t="str">
        <f t="shared" si="141"/>
        <v/>
      </c>
      <c r="CQ881" s="13" t="str">
        <f t="shared" si="141"/>
        <v/>
      </c>
      <c r="CR881" t="str">
        <f t="shared" si="143"/>
        <v/>
      </c>
      <c r="CS881" t="str">
        <f t="shared" si="144"/>
        <v/>
      </c>
      <c r="CT881" t="str">
        <f t="shared" si="145"/>
        <v/>
      </c>
      <c r="CU881" t="str">
        <f t="shared" si="146"/>
        <v/>
      </c>
      <c r="CV881" t="str">
        <f t="shared" si="147"/>
        <v/>
      </c>
      <c r="CW881" t="str">
        <f t="shared" si="148"/>
        <v/>
      </c>
      <c r="DR881">
        <v>5306103</v>
      </c>
      <c r="DS881" t="s">
        <v>308</v>
      </c>
    </row>
    <row r="882" spans="90:123" x14ac:dyDescent="0.15">
      <c r="CL882" s="13" t="str">
        <f t="shared" si="142"/>
        <v/>
      </c>
      <c r="CM882" s="13" t="str">
        <f t="shared" si="142"/>
        <v/>
      </c>
      <c r="CN882" s="13" t="str">
        <f t="shared" si="142"/>
        <v/>
      </c>
      <c r="CO882" s="13" t="str">
        <f t="shared" si="141"/>
        <v/>
      </c>
      <c r="CP882" s="13" t="str">
        <f t="shared" si="141"/>
        <v/>
      </c>
      <c r="CQ882" s="13" t="str">
        <f t="shared" si="141"/>
        <v/>
      </c>
      <c r="CR882" t="str">
        <f t="shared" si="143"/>
        <v/>
      </c>
      <c r="CS882" t="str">
        <f t="shared" si="144"/>
        <v/>
      </c>
      <c r="CT882" t="str">
        <f t="shared" si="145"/>
        <v/>
      </c>
      <c r="CU882" t="str">
        <f t="shared" si="146"/>
        <v/>
      </c>
      <c r="CV882" t="str">
        <f t="shared" si="147"/>
        <v/>
      </c>
      <c r="CW882" t="str">
        <f t="shared" si="148"/>
        <v/>
      </c>
      <c r="DR882">
        <v>5408103</v>
      </c>
      <c r="DS882" t="s">
        <v>309</v>
      </c>
    </row>
    <row r="883" spans="90:123" x14ac:dyDescent="0.15">
      <c r="CL883" s="13" t="str">
        <f t="shared" si="142"/>
        <v/>
      </c>
      <c r="CM883" s="13" t="str">
        <f t="shared" si="142"/>
        <v/>
      </c>
      <c r="CN883" s="13" t="str">
        <f t="shared" si="142"/>
        <v/>
      </c>
      <c r="CO883" s="13" t="str">
        <f t="shared" si="141"/>
        <v/>
      </c>
      <c r="CP883" s="13" t="str">
        <f t="shared" si="141"/>
        <v/>
      </c>
      <c r="CQ883" s="13" t="str">
        <f t="shared" si="141"/>
        <v/>
      </c>
      <c r="CR883" t="str">
        <f t="shared" si="143"/>
        <v/>
      </c>
      <c r="CS883" t="str">
        <f t="shared" si="144"/>
        <v/>
      </c>
      <c r="CT883" t="str">
        <f t="shared" si="145"/>
        <v/>
      </c>
      <c r="CU883" t="str">
        <f t="shared" si="146"/>
        <v/>
      </c>
      <c r="CV883" t="str">
        <f t="shared" si="147"/>
        <v/>
      </c>
      <c r="CW883" t="str">
        <f t="shared" si="148"/>
        <v/>
      </c>
      <c r="DR883">
        <v>5409103</v>
      </c>
      <c r="DS883" t="s">
        <v>310</v>
      </c>
    </row>
    <row r="884" spans="90:123" x14ac:dyDescent="0.15">
      <c r="CL884" s="13" t="str">
        <f t="shared" si="142"/>
        <v/>
      </c>
      <c r="CM884" s="13" t="str">
        <f t="shared" si="142"/>
        <v/>
      </c>
      <c r="CN884" s="13" t="str">
        <f t="shared" si="142"/>
        <v/>
      </c>
      <c r="CO884" s="13" t="str">
        <f t="shared" si="141"/>
        <v/>
      </c>
      <c r="CP884" s="13" t="str">
        <f t="shared" si="141"/>
        <v/>
      </c>
      <c r="CQ884" s="13" t="str">
        <f t="shared" si="141"/>
        <v/>
      </c>
      <c r="CR884" t="str">
        <f t="shared" si="143"/>
        <v/>
      </c>
      <c r="CS884" t="str">
        <f t="shared" si="144"/>
        <v/>
      </c>
      <c r="CT884" t="str">
        <f t="shared" si="145"/>
        <v/>
      </c>
      <c r="CU884" t="str">
        <f t="shared" si="146"/>
        <v/>
      </c>
      <c r="CV884" t="str">
        <f t="shared" si="147"/>
        <v/>
      </c>
      <c r="CW884" t="str">
        <f t="shared" si="148"/>
        <v/>
      </c>
      <c r="DR884">
        <v>5505103</v>
      </c>
      <c r="DS884" t="s">
        <v>311</v>
      </c>
    </row>
    <row r="885" spans="90:123" x14ac:dyDescent="0.15">
      <c r="CL885" s="13" t="str">
        <f t="shared" si="142"/>
        <v/>
      </c>
      <c r="CM885" s="13" t="str">
        <f t="shared" si="142"/>
        <v/>
      </c>
      <c r="CN885" s="13" t="str">
        <f t="shared" si="142"/>
        <v/>
      </c>
      <c r="CO885" s="13" t="str">
        <f t="shared" si="141"/>
        <v/>
      </c>
      <c r="CP885" s="13" t="str">
        <f t="shared" si="141"/>
        <v/>
      </c>
      <c r="CQ885" s="13" t="str">
        <f t="shared" si="141"/>
        <v/>
      </c>
      <c r="CR885" t="str">
        <f t="shared" si="143"/>
        <v/>
      </c>
      <c r="CS885" t="str">
        <f t="shared" si="144"/>
        <v/>
      </c>
      <c r="CT885" t="str">
        <f t="shared" si="145"/>
        <v/>
      </c>
      <c r="CU885" t="str">
        <f t="shared" si="146"/>
        <v/>
      </c>
      <c r="CV885" t="str">
        <f t="shared" si="147"/>
        <v/>
      </c>
      <c r="CW885" t="str">
        <f t="shared" si="148"/>
        <v/>
      </c>
      <c r="DR885">
        <v>5507103</v>
      </c>
      <c r="DS885" t="s">
        <v>312</v>
      </c>
    </row>
    <row r="886" spans="90:123" x14ac:dyDescent="0.15">
      <c r="CL886" s="13" t="str">
        <f t="shared" si="142"/>
        <v/>
      </c>
      <c r="CM886" s="13" t="str">
        <f t="shared" si="142"/>
        <v/>
      </c>
      <c r="CN886" s="13" t="str">
        <f t="shared" si="142"/>
        <v/>
      </c>
      <c r="CO886" s="13" t="str">
        <f t="shared" si="141"/>
        <v/>
      </c>
      <c r="CP886" s="13" t="str">
        <f t="shared" si="141"/>
        <v/>
      </c>
      <c r="CQ886" s="13" t="str">
        <f t="shared" si="141"/>
        <v/>
      </c>
      <c r="CR886" t="str">
        <f t="shared" si="143"/>
        <v/>
      </c>
      <c r="CS886" t="str">
        <f t="shared" si="144"/>
        <v/>
      </c>
      <c r="CT886" t="str">
        <f t="shared" si="145"/>
        <v/>
      </c>
      <c r="CU886" t="str">
        <f t="shared" si="146"/>
        <v/>
      </c>
      <c r="CV886" t="str">
        <f t="shared" si="147"/>
        <v/>
      </c>
      <c r="CW886" t="str">
        <f t="shared" si="148"/>
        <v/>
      </c>
      <c r="DR886">
        <v>5604103</v>
      </c>
      <c r="DS886" t="s">
        <v>313</v>
      </c>
    </row>
    <row r="887" spans="90:123" x14ac:dyDescent="0.15">
      <c r="CL887" s="13" t="str">
        <f t="shared" si="142"/>
        <v/>
      </c>
      <c r="CM887" s="13" t="str">
        <f t="shared" si="142"/>
        <v/>
      </c>
      <c r="CN887" s="13" t="str">
        <f t="shared" si="142"/>
        <v/>
      </c>
      <c r="CO887" s="13" t="str">
        <f t="shared" si="141"/>
        <v/>
      </c>
      <c r="CP887" s="13" t="str">
        <f t="shared" si="141"/>
        <v/>
      </c>
      <c r="CQ887" s="13" t="str">
        <f t="shared" si="141"/>
        <v/>
      </c>
      <c r="CR887" t="str">
        <f t="shared" si="143"/>
        <v/>
      </c>
      <c r="CS887" t="str">
        <f t="shared" si="144"/>
        <v/>
      </c>
      <c r="CT887" t="str">
        <f t="shared" si="145"/>
        <v/>
      </c>
      <c r="CU887" t="str">
        <f t="shared" si="146"/>
        <v/>
      </c>
      <c r="CV887" t="str">
        <f t="shared" si="147"/>
        <v/>
      </c>
      <c r="CW887" t="str">
        <f t="shared" si="148"/>
        <v/>
      </c>
      <c r="DR887">
        <v>5506104</v>
      </c>
      <c r="DS887" t="s">
        <v>314</v>
      </c>
    </row>
    <row r="888" spans="90:123" x14ac:dyDescent="0.15">
      <c r="CL888" s="13" t="str">
        <f t="shared" si="142"/>
        <v/>
      </c>
      <c r="CM888" s="13" t="str">
        <f t="shared" si="142"/>
        <v/>
      </c>
      <c r="CN888" s="13" t="str">
        <f t="shared" si="142"/>
        <v/>
      </c>
      <c r="CO888" s="13" t="str">
        <f t="shared" si="141"/>
        <v/>
      </c>
      <c r="CP888" s="13" t="str">
        <f t="shared" si="141"/>
        <v/>
      </c>
      <c r="CQ888" s="13" t="str">
        <f t="shared" si="141"/>
        <v/>
      </c>
      <c r="CR888" t="str">
        <f t="shared" si="143"/>
        <v/>
      </c>
      <c r="CS888" t="str">
        <f t="shared" si="144"/>
        <v/>
      </c>
      <c r="CT888" t="str">
        <f t="shared" si="145"/>
        <v/>
      </c>
      <c r="CU888" t="str">
        <f t="shared" si="146"/>
        <v/>
      </c>
      <c r="CV888" t="str">
        <f t="shared" si="147"/>
        <v/>
      </c>
      <c r="CW888" t="str">
        <f t="shared" si="148"/>
        <v/>
      </c>
      <c r="DR888">
        <v>5603104</v>
      </c>
      <c r="DS888" t="s">
        <v>315</v>
      </c>
    </row>
    <row r="889" spans="90:123" x14ac:dyDescent="0.15">
      <c r="CL889" s="13" t="str">
        <f t="shared" si="142"/>
        <v/>
      </c>
      <c r="CM889" s="13" t="str">
        <f t="shared" si="142"/>
        <v/>
      </c>
      <c r="CN889" s="13" t="str">
        <f t="shared" si="142"/>
        <v/>
      </c>
      <c r="CO889" s="13" t="str">
        <f t="shared" si="141"/>
        <v/>
      </c>
      <c r="CP889" s="13" t="str">
        <f t="shared" si="141"/>
        <v/>
      </c>
      <c r="CQ889" s="13" t="str">
        <f t="shared" si="141"/>
        <v/>
      </c>
      <c r="CR889" t="str">
        <f>IF(DJ889&lt;&gt;"",REPLACE(REPLACE(INDEX($DR$4:$DR$1516,MATCH(DJ889,$DS$4:$DS$1516,0)),6,1,#REF!),1,1,#REF!),"")</f>
        <v/>
      </c>
      <c r="CS889" t="str">
        <f>IF(DK889&lt;&gt;"",REPLACE(REPLACE(INDEX($DR$4:$DR$1516,MATCH(DK889,$DS$4:$DS$1516,0)),6,1,#REF!),1,1,#REF!),"")</f>
        <v/>
      </c>
      <c r="CT889" t="str">
        <f>IF(DL889&lt;&gt;"",REPLACE(REPLACE(INDEX($DR$4:$DR$1516,MATCH(DL889,$DS$4:$DS$1516,0)),6,1,#REF!),1,1,#REF!),"")</f>
        <v/>
      </c>
      <c r="CU889" t="str">
        <f>IF(DM889&lt;&gt;"",REPLACE(REPLACE(INDEX($DR$4:$DR$1516,MATCH(DM889,$DS$4:$DS$1516,0)),6,1,#REF!),1,1,#REF!),"")</f>
        <v/>
      </c>
      <c r="CV889" t="str">
        <f>IF(DN889&lt;&gt;"",REPLACE(REPLACE(INDEX($DR$4:$DR$1516,MATCH(DN889,$DS$4:$DS$1516,0)),6,1,#REF!),1,1,#REF!),"")</f>
        <v/>
      </c>
      <c r="CW889" t="str">
        <f>IF(DO889&lt;&gt;"",REPLACE(REPLACE(INDEX($DR$4:$DR$1516,MATCH(DO889,$DS$4:$DS$1516,0)),6,1,#REF!),1,1,#REF!),"")</f>
        <v/>
      </c>
      <c r="DR889">
        <v>5605104</v>
      </c>
      <c r="DS889" t="s">
        <v>316</v>
      </c>
    </row>
    <row r="890" spans="90:123" x14ac:dyDescent="0.15">
      <c r="CL890" s="13" t="str">
        <f t="shared" si="142"/>
        <v/>
      </c>
      <c r="CM890" s="13" t="str">
        <f t="shared" si="142"/>
        <v/>
      </c>
      <c r="CN890" s="13" t="str">
        <f t="shared" si="142"/>
        <v/>
      </c>
      <c r="CO890" s="13" t="str">
        <f t="shared" si="141"/>
        <v/>
      </c>
      <c r="CP890" s="13" t="str">
        <f t="shared" si="141"/>
        <v/>
      </c>
      <c r="CQ890" s="13" t="str">
        <f t="shared" si="141"/>
        <v/>
      </c>
      <c r="CR890" t="str">
        <f>IF(DJ890&lt;&gt;"",REPLACE(REPLACE(INDEX($DR$4:$DR$1516,MATCH(DJ890,$DS$4:$DS$1516,0)),6,1,#REF!),1,1,#REF!),"")</f>
        <v/>
      </c>
      <c r="CS890" t="str">
        <f>IF(DK890&lt;&gt;"",REPLACE(REPLACE(INDEX($DR$4:$DR$1516,MATCH(DK890,$DS$4:$DS$1516,0)),6,1,#REF!),1,1,#REF!),"")</f>
        <v/>
      </c>
      <c r="CT890" t="str">
        <f>IF(DL890&lt;&gt;"",REPLACE(REPLACE(INDEX($DR$4:$DR$1516,MATCH(DL890,$DS$4:$DS$1516,0)),6,1,#REF!),1,1,#REF!),"")</f>
        <v/>
      </c>
      <c r="CU890" t="str">
        <f>IF(DM890&lt;&gt;"",REPLACE(REPLACE(INDEX($DR$4:$DR$1516,MATCH(DM890,$DS$4:$DS$1516,0)),6,1,#REF!),1,1,#REF!),"")</f>
        <v/>
      </c>
      <c r="CV890" t="str">
        <f>IF(DN890&lt;&gt;"",REPLACE(REPLACE(INDEX($DR$4:$DR$1516,MATCH(DN890,$DS$4:$DS$1516,0)),6,1,#REF!),1,1,#REF!),"")</f>
        <v/>
      </c>
      <c r="CW890" t="str">
        <f>IF(DO890&lt;&gt;"",REPLACE(REPLACE(INDEX($DR$4:$DR$1516,MATCH(DO890,$DS$4:$DS$1516,0)),6,1,#REF!),1,1,#REF!),"")</f>
        <v/>
      </c>
      <c r="DR890">
        <v>5305105</v>
      </c>
      <c r="DS890" t="s">
        <v>317</v>
      </c>
    </row>
    <row r="891" spans="90:123" x14ac:dyDescent="0.15">
      <c r="CL891" s="13" t="str">
        <f t="shared" si="142"/>
        <v/>
      </c>
      <c r="CM891" s="13" t="str">
        <f t="shared" si="142"/>
        <v/>
      </c>
      <c r="CN891" s="13" t="str">
        <f t="shared" si="142"/>
        <v/>
      </c>
      <c r="CO891" s="13" t="str">
        <f t="shared" si="141"/>
        <v/>
      </c>
      <c r="CP891" s="13" t="str">
        <f t="shared" si="141"/>
        <v/>
      </c>
      <c r="CQ891" s="13" t="str">
        <f t="shared" si="141"/>
        <v/>
      </c>
      <c r="CR891" t="str">
        <f>IF(DJ891&lt;&gt;"",REPLACE(REPLACE(INDEX($DR$4:$DR$1516,MATCH(DJ891,$DS$4:$DS$1516,0)),6,1,#REF!),1,1,#REF!),"")</f>
        <v/>
      </c>
      <c r="CS891" t="str">
        <f>IF(DK891&lt;&gt;"",REPLACE(REPLACE(INDEX($DR$4:$DR$1516,MATCH(DK891,$DS$4:$DS$1516,0)),6,1,#REF!),1,1,#REF!),"")</f>
        <v/>
      </c>
      <c r="CT891" t="str">
        <f>IF(DL891&lt;&gt;"",REPLACE(REPLACE(INDEX($DR$4:$DR$1516,MATCH(DL891,$DS$4:$DS$1516,0)),6,1,#REF!),1,1,#REF!),"")</f>
        <v/>
      </c>
      <c r="CU891" t="str">
        <f>IF(DM891&lt;&gt;"",REPLACE(REPLACE(INDEX($DR$4:$DR$1516,MATCH(DM891,$DS$4:$DS$1516,0)),6,1,#REF!),1,1,#REF!),"")</f>
        <v/>
      </c>
      <c r="CV891" t="str">
        <f>IF(DN891&lt;&gt;"",REPLACE(REPLACE(INDEX($DR$4:$DR$1516,MATCH(DN891,$DS$4:$DS$1516,0)),6,1,#REF!),1,1,#REF!),"")</f>
        <v/>
      </c>
      <c r="CW891" t="str">
        <f>IF(DO891&lt;&gt;"",REPLACE(REPLACE(INDEX($DR$4:$DR$1516,MATCH(DO891,$DS$4:$DS$1516,0)),6,1,#REF!),1,1,#REF!),"")</f>
        <v/>
      </c>
      <c r="DR891">
        <v>5307105</v>
      </c>
      <c r="DS891" t="s">
        <v>318</v>
      </c>
    </row>
    <row r="892" spans="90:123" x14ac:dyDescent="0.15">
      <c r="CL892" s="13" t="str">
        <f t="shared" si="142"/>
        <v/>
      </c>
      <c r="CM892" s="13" t="str">
        <f t="shared" si="142"/>
        <v/>
      </c>
      <c r="CN892" s="13" t="str">
        <f t="shared" si="142"/>
        <v/>
      </c>
      <c r="CO892" s="13" t="str">
        <f t="shared" si="141"/>
        <v/>
      </c>
      <c r="CP892" s="13" t="str">
        <f t="shared" si="141"/>
        <v/>
      </c>
      <c r="CQ892" s="13" t="str">
        <f t="shared" si="141"/>
        <v/>
      </c>
      <c r="CR892" t="str">
        <f>IF(DJ892&lt;&gt;"",REPLACE(REPLACE(INDEX($DR$4:$DR$1516,MATCH(DJ892,$DS$4:$DS$1516,0)),6,1,#REF!),1,1,#REF!),"")</f>
        <v/>
      </c>
      <c r="CS892" t="str">
        <f>IF(DK892&lt;&gt;"",REPLACE(REPLACE(INDEX($DR$4:$DR$1516,MATCH(DK892,$DS$4:$DS$1516,0)),6,1,#REF!),1,1,#REF!),"")</f>
        <v/>
      </c>
      <c r="CT892" t="str">
        <f>IF(DL892&lt;&gt;"",REPLACE(REPLACE(INDEX($DR$4:$DR$1516,MATCH(DL892,$DS$4:$DS$1516,0)),6,1,#REF!),1,1,#REF!),"")</f>
        <v/>
      </c>
      <c r="CU892" t="str">
        <f>IF(DM892&lt;&gt;"",REPLACE(REPLACE(INDEX($DR$4:$DR$1516,MATCH(DM892,$DS$4:$DS$1516,0)),6,1,#REF!),1,1,#REF!),"")</f>
        <v/>
      </c>
      <c r="CV892" t="str">
        <f>IF(DN892&lt;&gt;"",REPLACE(REPLACE(INDEX($DR$4:$DR$1516,MATCH(DN892,$DS$4:$DS$1516,0)),6,1,#REF!),1,1,#REF!),"")</f>
        <v/>
      </c>
      <c r="CW892" t="str">
        <f>IF(DO892&lt;&gt;"",REPLACE(REPLACE(INDEX($DR$4:$DR$1516,MATCH(DO892,$DS$4:$DS$1516,0)),6,1,#REF!),1,1,#REF!),"")</f>
        <v/>
      </c>
      <c r="DR892">
        <v>5407105</v>
      </c>
      <c r="DS892" t="s">
        <v>319</v>
      </c>
    </row>
    <row r="893" spans="90:123" x14ac:dyDescent="0.15">
      <c r="CL893" s="13" t="str">
        <f t="shared" si="142"/>
        <v/>
      </c>
      <c r="CM893" s="13" t="str">
        <f t="shared" si="142"/>
        <v/>
      </c>
      <c r="CN893" s="13" t="str">
        <f t="shared" si="142"/>
        <v/>
      </c>
      <c r="CO893" s="13" t="str">
        <f t="shared" si="141"/>
        <v/>
      </c>
      <c r="CP893" s="13" t="str">
        <f t="shared" si="141"/>
        <v/>
      </c>
      <c r="CQ893" s="13" t="str">
        <f t="shared" si="141"/>
        <v/>
      </c>
      <c r="CR893" t="str">
        <f>IF(DJ893&lt;&gt;"",REPLACE(REPLACE(INDEX($DR$4:$DR$1516,MATCH(DJ893,$DS$4:$DS$1516,0)),6,1,#REF!),1,1,#REF!),"")</f>
        <v/>
      </c>
      <c r="CS893" t="str">
        <f>IF(DK893&lt;&gt;"",REPLACE(REPLACE(INDEX($DR$4:$DR$1516,MATCH(DK893,$DS$4:$DS$1516,0)),6,1,#REF!),1,1,#REF!),"")</f>
        <v/>
      </c>
      <c r="CT893" t="str">
        <f>IF(DL893&lt;&gt;"",REPLACE(REPLACE(INDEX($DR$4:$DR$1516,MATCH(DL893,$DS$4:$DS$1516,0)),6,1,#REF!),1,1,#REF!),"")</f>
        <v/>
      </c>
      <c r="CU893" t="str">
        <f>IF(DM893&lt;&gt;"",REPLACE(REPLACE(INDEX($DR$4:$DR$1516,MATCH(DM893,$DS$4:$DS$1516,0)),6,1,#REF!),1,1,#REF!),"")</f>
        <v/>
      </c>
      <c r="CV893" t="str">
        <f>IF(DN893&lt;&gt;"",REPLACE(REPLACE(INDEX($DR$4:$DR$1516,MATCH(DN893,$DS$4:$DS$1516,0)),6,1,#REF!),1,1,#REF!),"")</f>
        <v/>
      </c>
      <c r="CW893" t="str">
        <f>IF(DO893&lt;&gt;"",REPLACE(REPLACE(INDEX($DR$4:$DR$1516,MATCH(DO893,$DS$4:$DS$1516,0)),6,1,#REF!),1,1,#REF!),"")</f>
        <v/>
      </c>
      <c r="DR893">
        <v>5207111</v>
      </c>
      <c r="DS893" t="s">
        <v>287</v>
      </c>
    </row>
    <row r="894" spans="90:123" x14ac:dyDescent="0.15">
      <c r="CL894" s="13" t="str">
        <f t="shared" si="142"/>
        <v/>
      </c>
      <c r="CM894" s="13" t="str">
        <f t="shared" si="142"/>
        <v/>
      </c>
      <c r="CN894" s="13" t="str">
        <f t="shared" si="142"/>
        <v/>
      </c>
      <c r="CO894" s="13" t="str">
        <f t="shared" si="141"/>
        <v/>
      </c>
      <c r="CP894" s="13" t="str">
        <f t="shared" si="141"/>
        <v/>
      </c>
      <c r="CQ894" s="13" t="str">
        <f t="shared" si="141"/>
        <v/>
      </c>
      <c r="CR894" t="str">
        <f>IF(DJ894&lt;&gt;"",REPLACE(REPLACE(INDEX($DR$4:$DR$1516,MATCH(DJ894,$DS$4:$DS$1516,0)),6,1,#REF!),1,1,#REF!),"")</f>
        <v/>
      </c>
      <c r="CS894" t="str">
        <f>IF(DK894&lt;&gt;"",REPLACE(REPLACE(INDEX($DR$4:$DR$1516,MATCH(DK894,$DS$4:$DS$1516,0)),6,1,#REF!),1,1,#REF!),"")</f>
        <v/>
      </c>
      <c r="CT894" t="str">
        <f>IF(DL894&lt;&gt;"",REPLACE(REPLACE(INDEX($DR$4:$DR$1516,MATCH(DL894,$DS$4:$DS$1516,0)),6,1,#REF!),1,1,#REF!),"")</f>
        <v/>
      </c>
      <c r="CU894" t="str">
        <f>IF(DM894&lt;&gt;"",REPLACE(REPLACE(INDEX($DR$4:$DR$1516,MATCH(DM894,$DS$4:$DS$1516,0)),6,1,#REF!),1,1,#REF!),"")</f>
        <v/>
      </c>
      <c r="CV894" t="str">
        <f>IF(DN894&lt;&gt;"",REPLACE(REPLACE(INDEX($DR$4:$DR$1516,MATCH(DN894,$DS$4:$DS$1516,0)),6,1,#REF!),1,1,#REF!),"")</f>
        <v/>
      </c>
      <c r="CW894" t="str">
        <f>IF(DO894&lt;&gt;"",REPLACE(REPLACE(INDEX($DR$4:$DR$1516,MATCH(DO894,$DS$4:$DS$1516,0)),6,1,#REF!),1,1,#REF!),"")</f>
        <v/>
      </c>
      <c r="DR894">
        <v>5208111</v>
      </c>
      <c r="DS894" t="s">
        <v>288</v>
      </c>
    </row>
    <row r="895" spans="90:123" x14ac:dyDescent="0.15">
      <c r="CL895" s="13" t="str">
        <f t="shared" si="142"/>
        <v/>
      </c>
      <c r="CM895" s="13" t="str">
        <f t="shared" si="142"/>
        <v/>
      </c>
      <c r="CN895" s="13" t="str">
        <f t="shared" si="142"/>
        <v/>
      </c>
      <c r="CO895" s="13" t="str">
        <f t="shared" si="141"/>
        <v/>
      </c>
      <c r="CP895" s="13" t="str">
        <f t="shared" si="141"/>
        <v/>
      </c>
      <c r="CQ895" s="13" t="str">
        <f t="shared" si="141"/>
        <v/>
      </c>
      <c r="CR895" t="str">
        <f>IF(DJ895&lt;&gt;"",REPLACE(REPLACE(INDEX($DR$4:$DR$1516,MATCH(DJ895,$DS$4:$DS$1516,0)),6,1,#REF!),1,1,#REF!),"")</f>
        <v/>
      </c>
      <c r="CS895" t="str">
        <f>IF(DK895&lt;&gt;"",REPLACE(REPLACE(INDEX($DR$4:$DR$1516,MATCH(DK895,$DS$4:$DS$1516,0)),6,1,#REF!),1,1,#REF!),"")</f>
        <v/>
      </c>
      <c r="CT895" t="str">
        <f>IF(DL895&lt;&gt;"",REPLACE(REPLACE(INDEX($DR$4:$DR$1516,MATCH(DL895,$DS$4:$DS$1516,0)),6,1,#REF!),1,1,#REF!),"")</f>
        <v/>
      </c>
      <c r="CU895" t="str">
        <f>IF(DM895&lt;&gt;"",REPLACE(REPLACE(INDEX($DR$4:$DR$1516,MATCH(DM895,$DS$4:$DS$1516,0)),6,1,#REF!),1,1,#REF!),"")</f>
        <v/>
      </c>
      <c r="CV895" t="str">
        <f>IF(DN895&lt;&gt;"",REPLACE(REPLACE(INDEX($DR$4:$DR$1516,MATCH(DN895,$DS$4:$DS$1516,0)),6,1,#REF!),1,1,#REF!),"")</f>
        <v/>
      </c>
      <c r="CW895" t="str">
        <f>IF(DO895&lt;&gt;"",REPLACE(REPLACE(INDEX($DR$4:$DR$1516,MATCH(DO895,$DS$4:$DS$1516,0)),6,1,#REF!),1,1,#REF!),"")</f>
        <v/>
      </c>
      <c r="DR895">
        <v>5209111</v>
      </c>
      <c r="DS895" t="s">
        <v>289</v>
      </c>
    </row>
    <row r="896" spans="90:123" x14ac:dyDescent="0.15">
      <c r="CL896" s="13" t="str">
        <f t="shared" si="142"/>
        <v/>
      </c>
      <c r="CM896" s="13" t="str">
        <f t="shared" si="142"/>
        <v/>
      </c>
      <c r="CN896" s="13" t="str">
        <f t="shared" si="142"/>
        <v/>
      </c>
      <c r="CO896" s="13" t="str">
        <f t="shared" si="141"/>
        <v/>
      </c>
      <c r="CP896" s="13" t="str">
        <f t="shared" si="141"/>
        <v/>
      </c>
      <c r="CQ896" s="13" t="str">
        <f t="shared" si="141"/>
        <v/>
      </c>
      <c r="CR896" t="str">
        <f>IF(DJ896&lt;&gt;"",REPLACE(REPLACE(INDEX($DR$4:$DR$1516,MATCH(DJ896,$DS$4:$DS$1516,0)),6,1,#REF!),1,1,#REF!),"")</f>
        <v/>
      </c>
      <c r="CS896" t="str">
        <f>IF(DK896&lt;&gt;"",REPLACE(REPLACE(INDEX($DR$4:$DR$1516,MATCH(DK896,$DS$4:$DS$1516,0)),6,1,#REF!),1,1,#REF!),"")</f>
        <v/>
      </c>
      <c r="CT896" t="str">
        <f>IF(DL896&lt;&gt;"",REPLACE(REPLACE(INDEX($DR$4:$DR$1516,MATCH(DL896,$DS$4:$DS$1516,0)),6,1,#REF!),1,1,#REF!),"")</f>
        <v/>
      </c>
      <c r="CU896" t="str">
        <f>IF(DM896&lt;&gt;"",REPLACE(REPLACE(INDEX($DR$4:$DR$1516,MATCH(DM896,$DS$4:$DS$1516,0)),6,1,#REF!),1,1,#REF!),"")</f>
        <v/>
      </c>
      <c r="CV896" t="str">
        <f>IF(DN896&lt;&gt;"",REPLACE(REPLACE(INDEX($DR$4:$DR$1516,MATCH(DN896,$DS$4:$DS$1516,0)),6,1,#REF!),1,1,#REF!),"")</f>
        <v/>
      </c>
      <c r="CW896" t="str">
        <f>IF(DO896&lt;&gt;"",REPLACE(REPLACE(INDEX($DR$4:$DR$1516,MATCH(DO896,$DS$4:$DS$1516,0)),6,1,#REF!),1,1,#REF!),"")</f>
        <v/>
      </c>
      <c r="DR896">
        <v>5306111</v>
      </c>
      <c r="DS896" t="s">
        <v>290</v>
      </c>
    </row>
    <row r="897" spans="90:123" x14ac:dyDescent="0.15">
      <c r="CL897" s="13" t="str">
        <f t="shared" si="142"/>
        <v/>
      </c>
      <c r="CM897" s="13" t="str">
        <f t="shared" si="142"/>
        <v/>
      </c>
      <c r="CN897" s="13" t="str">
        <f t="shared" si="142"/>
        <v/>
      </c>
      <c r="CO897" s="13" t="str">
        <f t="shared" si="142"/>
        <v/>
      </c>
      <c r="CP897" s="13" t="str">
        <f t="shared" si="142"/>
        <v/>
      </c>
      <c r="CQ897" s="13" t="str">
        <f t="shared" si="142"/>
        <v/>
      </c>
      <c r="CR897" t="str">
        <f>IF(DJ897&lt;&gt;"",REPLACE(REPLACE(INDEX($DR$4:$DR$1516,MATCH(DJ897,$DS$4:$DS$1516,0)),6,1,#REF!),1,1,#REF!),"")</f>
        <v/>
      </c>
      <c r="CS897" t="str">
        <f>IF(DK897&lt;&gt;"",REPLACE(REPLACE(INDEX($DR$4:$DR$1516,MATCH(DK897,$DS$4:$DS$1516,0)),6,1,#REF!),1,1,#REF!),"")</f>
        <v/>
      </c>
      <c r="CT897" t="str">
        <f>IF(DL897&lt;&gt;"",REPLACE(REPLACE(INDEX($DR$4:$DR$1516,MATCH(DL897,$DS$4:$DS$1516,0)),6,1,#REF!),1,1,#REF!),"")</f>
        <v/>
      </c>
      <c r="CU897" t="str">
        <f>IF(DM897&lt;&gt;"",REPLACE(REPLACE(INDEX($DR$4:$DR$1516,MATCH(DM897,$DS$4:$DS$1516,0)),6,1,#REF!),1,1,#REF!),"")</f>
        <v/>
      </c>
      <c r="CV897" t="str">
        <f>IF(DN897&lt;&gt;"",REPLACE(REPLACE(INDEX($DR$4:$DR$1516,MATCH(DN897,$DS$4:$DS$1516,0)),6,1,#REF!),1,1,#REF!),"")</f>
        <v/>
      </c>
      <c r="CW897" t="str">
        <f>IF(DO897&lt;&gt;"",REPLACE(REPLACE(INDEX($DR$4:$DR$1516,MATCH(DO897,$DS$4:$DS$1516,0)),6,1,#REF!),1,1,#REF!),"")</f>
        <v/>
      </c>
      <c r="DR897">
        <v>5408111</v>
      </c>
      <c r="DS897" t="s">
        <v>291</v>
      </c>
    </row>
    <row r="898" spans="90:123" x14ac:dyDescent="0.15">
      <c r="CL898" s="13" t="str">
        <f t="shared" ref="CL898:CQ940" si="149">IF(DJ898&lt;&gt;"",IF(ISERROR(MATCH(INT(CR898),$DR$4:$DR$1516,0))=FALSE,TRUE),"")</f>
        <v/>
      </c>
      <c r="CM898" s="13" t="str">
        <f t="shared" si="149"/>
        <v/>
      </c>
      <c r="CN898" s="13" t="str">
        <f t="shared" si="149"/>
        <v/>
      </c>
      <c r="CO898" s="13" t="str">
        <f t="shared" si="149"/>
        <v/>
      </c>
      <c r="CP898" s="13" t="str">
        <f t="shared" si="149"/>
        <v/>
      </c>
      <c r="CQ898" s="13" t="str">
        <f t="shared" si="149"/>
        <v/>
      </c>
      <c r="CR898" t="str">
        <f>IF(DJ898&lt;&gt;"",REPLACE(REPLACE(INDEX($DR$4:$DR$1516,MATCH(DJ898,$DS$4:$DS$1516,0)),6,1,#REF!),1,1,#REF!),"")</f>
        <v/>
      </c>
      <c r="CS898" t="str">
        <f>IF(DK898&lt;&gt;"",REPLACE(REPLACE(INDEX($DR$4:$DR$1516,MATCH(DK898,$DS$4:$DS$1516,0)),6,1,#REF!),1,1,#REF!),"")</f>
        <v/>
      </c>
      <c r="CT898" t="str">
        <f>IF(DL898&lt;&gt;"",REPLACE(REPLACE(INDEX($DR$4:$DR$1516,MATCH(DL898,$DS$4:$DS$1516,0)),6,1,#REF!),1,1,#REF!),"")</f>
        <v/>
      </c>
      <c r="CU898" t="str">
        <f>IF(DM898&lt;&gt;"",REPLACE(REPLACE(INDEX($DR$4:$DR$1516,MATCH(DM898,$DS$4:$DS$1516,0)),6,1,#REF!),1,1,#REF!),"")</f>
        <v/>
      </c>
      <c r="CV898" t="str">
        <f>IF(DN898&lt;&gt;"",REPLACE(REPLACE(INDEX($DR$4:$DR$1516,MATCH(DN898,$DS$4:$DS$1516,0)),6,1,#REF!),1,1,#REF!),"")</f>
        <v/>
      </c>
      <c r="CW898" t="str">
        <f>IF(DO898&lt;&gt;"",REPLACE(REPLACE(INDEX($DR$4:$DR$1516,MATCH(DO898,$DS$4:$DS$1516,0)),6,1,#REF!),1,1,#REF!),"")</f>
        <v/>
      </c>
      <c r="DR898">
        <v>5409111</v>
      </c>
      <c r="DS898" t="s">
        <v>292</v>
      </c>
    </row>
    <row r="899" spans="90:123" x14ac:dyDescent="0.15">
      <c r="CL899" s="13" t="str">
        <f t="shared" si="149"/>
        <v/>
      </c>
      <c r="CM899" s="13" t="str">
        <f t="shared" si="149"/>
        <v/>
      </c>
      <c r="CN899" s="13" t="str">
        <f t="shared" si="149"/>
        <v/>
      </c>
      <c r="CO899" s="13" t="str">
        <f t="shared" si="149"/>
        <v/>
      </c>
      <c r="CP899" s="13" t="str">
        <f t="shared" si="149"/>
        <v/>
      </c>
      <c r="CQ899" s="13" t="str">
        <f t="shared" si="149"/>
        <v/>
      </c>
      <c r="CR899" t="str">
        <f>IF(DJ899&lt;&gt;"",REPLACE(REPLACE(INDEX($DR$4:$DR$1516,MATCH(DJ899,$DS$4:$DS$1516,0)),6,1,#REF!),1,1,#REF!),"")</f>
        <v/>
      </c>
      <c r="CS899" t="str">
        <f>IF(DK899&lt;&gt;"",REPLACE(REPLACE(INDEX($DR$4:$DR$1516,MATCH(DK899,$DS$4:$DS$1516,0)),6,1,#REF!),1,1,#REF!),"")</f>
        <v/>
      </c>
      <c r="CT899" t="str">
        <f>IF(DL899&lt;&gt;"",REPLACE(REPLACE(INDEX($DR$4:$DR$1516,MATCH(DL899,$DS$4:$DS$1516,0)),6,1,#REF!),1,1,#REF!),"")</f>
        <v/>
      </c>
      <c r="CU899" t="str">
        <f>IF(DM899&lt;&gt;"",REPLACE(REPLACE(INDEX($DR$4:$DR$1516,MATCH(DM899,$DS$4:$DS$1516,0)),6,1,#REF!),1,1,#REF!),"")</f>
        <v/>
      </c>
      <c r="CV899" t="str">
        <f>IF(DN899&lt;&gt;"",REPLACE(REPLACE(INDEX($DR$4:$DR$1516,MATCH(DN899,$DS$4:$DS$1516,0)),6,1,#REF!),1,1,#REF!),"")</f>
        <v/>
      </c>
      <c r="CW899" t="str">
        <f>IF(DO899&lt;&gt;"",REPLACE(REPLACE(INDEX($DR$4:$DR$1516,MATCH(DO899,$DS$4:$DS$1516,0)),6,1,#REF!),1,1,#REF!),"")</f>
        <v/>
      </c>
      <c r="DR899">
        <v>5505111</v>
      </c>
      <c r="DS899" t="s">
        <v>293</v>
      </c>
    </row>
    <row r="900" spans="90:123" x14ac:dyDescent="0.15">
      <c r="CL900" s="13" t="str">
        <f t="shared" si="149"/>
        <v/>
      </c>
      <c r="CM900" s="13" t="str">
        <f t="shared" si="149"/>
        <v/>
      </c>
      <c r="CN900" s="13" t="str">
        <f t="shared" si="149"/>
        <v/>
      </c>
      <c r="CO900" s="13" t="str">
        <f t="shared" si="149"/>
        <v/>
      </c>
      <c r="CP900" s="13" t="str">
        <f t="shared" si="149"/>
        <v/>
      </c>
      <c r="CQ900" s="13" t="str">
        <f t="shared" si="149"/>
        <v/>
      </c>
      <c r="CR900" t="str">
        <f>IF(DJ900&lt;&gt;"",REPLACE(REPLACE(INDEX($DR$4:$DR$1516,MATCH(DJ900,$DS$4:$DS$1516,0)),6,1,#REF!),1,1,#REF!),"")</f>
        <v/>
      </c>
      <c r="CS900" t="str">
        <f>IF(DK900&lt;&gt;"",REPLACE(REPLACE(INDEX($DR$4:$DR$1516,MATCH(DK900,$DS$4:$DS$1516,0)),6,1,#REF!),1,1,#REF!),"")</f>
        <v/>
      </c>
      <c r="CT900" t="str">
        <f>IF(DL900&lt;&gt;"",REPLACE(REPLACE(INDEX($DR$4:$DR$1516,MATCH(DL900,$DS$4:$DS$1516,0)),6,1,#REF!),1,1,#REF!),"")</f>
        <v/>
      </c>
      <c r="CU900" t="str">
        <f>IF(DM900&lt;&gt;"",REPLACE(REPLACE(INDEX($DR$4:$DR$1516,MATCH(DM900,$DS$4:$DS$1516,0)),6,1,#REF!),1,1,#REF!),"")</f>
        <v/>
      </c>
      <c r="CV900" t="str">
        <f>IF(DN900&lt;&gt;"",REPLACE(REPLACE(INDEX($DR$4:$DR$1516,MATCH(DN900,$DS$4:$DS$1516,0)),6,1,#REF!),1,1,#REF!),"")</f>
        <v/>
      </c>
      <c r="CW900" t="str">
        <f>IF(DO900&lt;&gt;"",REPLACE(REPLACE(INDEX($DR$4:$DR$1516,MATCH(DO900,$DS$4:$DS$1516,0)),6,1,#REF!),1,1,#REF!),"")</f>
        <v/>
      </c>
      <c r="DR900">
        <v>5507111</v>
      </c>
      <c r="DS900" t="s">
        <v>294</v>
      </c>
    </row>
    <row r="901" spans="90:123" x14ac:dyDescent="0.15">
      <c r="CL901" s="13" t="str">
        <f t="shared" si="149"/>
        <v/>
      </c>
      <c r="CM901" s="13" t="str">
        <f t="shared" si="149"/>
        <v/>
      </c>
      <c r="CN901" s="13" t="str">
        <f t="shared" si="149"/>
        <v/>
      </c>
      <c r="CO901" s="13" t="str">
        <f t="shared" si="149"/>
        <v/>
      </c>
      <c r="CP901" s="13" t="str">
        <f t="shared" si="149"/>
        <v/>
      </c>
      <c r="CQ901" s="13" t="str">
        <f t="shared" si="149"/>
        <v/>
      </c>
      <c r="CR901" t="str">
        <f>IF(DJ901&lt;&gt;"",REPLACE(REPLACE(INDEX($DR$4:$DR$1516,MATCH(DJ901,$DS$4:$DS$1516,0)),6,1,#REF!),1,1,#REF!),"")</f>
        <v/>
      </c>
      <c r="CS901" t="str">
        <f>IF(DK901&lt;&gt;"",REPLACE(REPLACE(INDEX($DR$4:$DR$1516,MATCH(DK901,$DS$4:$DS$1516,0)),6,1,#REF!),1,1,#REF!),"")</f>
        <v/>
      </c>
      <c r="CT901" t="str">
        <f>IF(DL901&lt;&gt;"",REPLACE(REPLACE(INDEX($DR$4:$DR$1516,MATCH(DL901,$DS$4:$DS$1516,0)),6,1,#REF!),1,1,#REF!),"")</f>
        <v/>
      </c>
      <c r="CU901" t="str">
        <f>IF(DM901&lt;&gt;"",REPLACE(REPLACE(INDEX($DR$4:$DR$1516,MATCH(DM901,$DS$4:$DS$1516,0)),6,1,#REF!),1,1,#REF!),"")</f>
        <v/>
      </c>
      <c r="CV901" t="str">
        <f>IF(DN901&lt;&gt;"",REPLACE(REPLACE(INDEX($DR$4:$DR$1516,MATCH(DN901,$DS$4:$DS$1516,0)),6,1,#REF!),1,1,#REF!),"")</f>
        <v/>
      </c>
      <c r="CW901" t="str">
        <f>IF(DO901&lt;&gt;"",REPLACE(REPLACE(INDEX($DR$4:$DR$1516,MATCH(DO901,$DS$4:$DS$1516,0)),6,1,#REF!),1,1,#REF!),"")</f>
        <v/>
      </c>
      <c r="DR901">
        <v>5604111</v>
      </c>
      <c r="DS901" t="s">
        <v>295</v>
      </c>
    </row>
    <row r="902" spans="90:123" x14ac:dyDescent="0.15">
      <c r="CL902" s="13" t="str">
        <f t="shared" si="149"/>
        <v/>
      </c>
      <c r="CM902" s="13" t="str">
        <f t="shared" si="149"/>
        <v/>
      </c>
      <c r="CN902" s="13" t="str">
        <f t="shared" si="149"/>
        <v/>
      </c>
      <c r="CO902" s="13" t="str">
        <f t="shared" si="149"/>
        <v/>
      </c>
      <c r="CP902" s="13" t="str">
        <f t="shared" si="149"/>
        <v/>
      </c>
      <c r="CQ902" s="13" t="str">
        <f t="shared" si="149"/>
        <v/>
      </c>
      <c r="CR902" t="str">
        <f>IF(DJ902&lt;&gt;"",REPLACE(REPLACE(INDEX($DR$4:$DR$1516,MATCH(DJ902,$DS$4:$DS$1516,0)),6,1,#REF!),1,1,#REF!),"")</f>
        <v/>
      </c>
      <c r="CS902" t="str">
        <f>IF(DK902&lt;&gt;"",REPLACE(REPLACE(INDEX($DR$4:$DR$1516,MATCH(DK902,$DS$4:$DS$1516,0)),6,1,#REF!),1,1,#REF!),"")</f>
        <v/>
      </c>
      <c r="CT902" t="str">
        <f>IF(DL902&lt;&gt;"",REPLACE(REPLACE(INDEX($DR$4:$DR$1516,MATCH(DL902,$DS$4:$DS$1516,0)),6,1,#REF!),1,1,#REF!),"")</f>
        <v/>
      </c>
      <c r="CU902" t="str">
        <f>IF(DM902&lt;&gt;"",REPLACE(REPLACE(INDEX($DR$4:$DR$1516,MATCH(DM902,$DS$4:$DS$1516,0)),6,1,#REF!),1,1,#REF!),"")</f>
        <v/>
      </c>
      <c r="CV902" t="str">
        <f>IF(DN902&lt;&gt;"",REPLACE(REPLACE(INDEX($DR$4:$DR$1516,MATCH(DN902,$DS$4:$DS$1516,0)),6,1,#REF!),1,1,#REF!),"")</f>
        <v/>
      </c>
      <c r="CW902" t="str">
        <f>IF(DO902&lt;&gt;"",REPLACE(REPLACE(INDEX($DR$4:$DR$1516,MATCH(DO902,$DS$4:$DS$1516,0)),6,1,#REF!),1,1,#REF!),"")</f>
        <v/>
      </c>
      <c r="DR902">
        <v>5207112</v>
      </c>
      <c r="DS902" t="s">
        <v>296</v>
      </c>
    </row>
    <row r="903" spans="90:123" x14ac:dyDescent="0.15">
      <c r="CL903" s="13" t="str">
        <f t="shared" si="149"/>
        <v/>
      </c>
      <c r="CM903" s="13" t="str">
        <f t="shared" si="149"/>
        <v/>
      </c>
      <c r="CN903" s="13" t="str">
        <f t="shared" si="149"/>
        <v/>
      </c>
      <c r="CO903" s="13" t="str">
        <f t="shared" si="149"/>
        <v/>
      </c>
      <c r="CP903" s="13" t="str">
        <f t="shared" si="149"/>
        <v/>
      </c>
      <c r="CQ903" s="13" t="str">
        <f t="shared" si="149"/>
        <v/>
      </c>
      <c r="CR903" t="str">
        <f>IF(DJ903&lt;&gt;"",REPLACE(REPLACE(INDEX($DR$4:$DR$1516,MATCH(DJ903,$DS$4:$DS$1516,0)),6,1,#REF!),1,1,#REF!),"")</f>
        <v/>
      </c>
      <c r="CS903" t="str">
        <f>IF(DK903&lt;&gt;"",REPLACE(REPLACE(INDEX($DR$4:$DR$1516,MATCH(DK903,$DS$4:$DS$1516,0)),6,1,#REF!),1,1,#REF!),"")</f>
        <v/>
      </c>
      <c r="CT903" t="str">
        <f>IF(DL903&lt;&gt;"",REPLACE(REPLACE(INDEX($DR$4:$DR$1516,MATCH(DL903,$DS$4:$DS$1516,0)),6,1,#REF!),1,1,#REF!),"")</f>
        <v/>
      </c>
      <c r="CU903" t="str">
        <f>IF(DM903&lt;&gt;"",REPLACE(REPLACE(INDEX($DR$4:$DR$1516,MATCH(DM903,$DS$4:$DS$1516,0)),6,1,#REF!),1,1,#REF!),"")</f>
        <v/>
      </c>
      <c r="CV903" t="str">
        <f>IF(DN903&lt;&gt;"",REPLACE(REPLACE(INDEX($DR$4:$DR$1516,MATCH(DN903,$DS$4:$DS$1516,0)),6,1,#REF!),1,1,#REF!),"")</f>
        <v/>
      </c>
      <c r="CW903" t="str">
        <f>IF(DO903&lt;&gt;"",REPLACE(REPLACE(INDEX($DR$4:$DR$1516,MATCH(DO903,$DS$4:$DS$1516,0)),6,1,#REF!),1,1,#REF!),"")</f>
        <v/>
      </c>
      <c r="DR903">
        <v>5208112</v>
      </c>
      <c r="DS903" t="s">
        <v>297</v>
      </c>
    </row>
    <row r="904" spans="90:123" x14ac:dyDescent="0.15">
      <c r="CL904" s="13" t="str">
        <f t="shared" si="149"/>
        <v/>
      </c>
      <c r="CM904" s="13" t="str">
        <f t="shared" si="149"/>
        <v/>
      </c>
      <c r="CN904" s="13" t="str">
        <f t="shared" si="149"/>
        <v/>
      </c>
      <c r="CO904" s="13" t="str">
        <f t="shared" si="149"/>
        <v/>
      </c>
      <c r="CP904" s="13" t="str">
        <f t="shared" si="149"/>
        <v/>
      </c>
      <c r="CQ904" s="13" t="str">
        <f t="shared" si="149"/>
        <v/>
      </c>
      <c r="CR904" t="str">
        <f>IF(DJ904&lt;&gt;"",REPLACE(REPLACE(INDEX($DR$4:$DR$1516,MATCH(DJ904,$DS$4:$DS$1516,0)),6,1,#REF!),1,1,#REF!),"")</f>
        <v/>
      </c>
      <c r="CS904" t="str">
        <f>IF(DK904&lt;&gt;"",REPLACE(REPLACE(INDEX($DR$4:$DR$1516,MATCH(DK904,$DS$4:$DS$1516,0)),6,1,#REF!),1,1,#REF!),"")</f>
        <v/>
      </c>
      <c r="CT904" t="str">
        <f>IF(DL904&lt;&gt;"",REPLACE(REPLACE(INDEX($DR$4:$DR$1516,MATCH(DL904,$DS$4:$DS$1516,0)),6,1,#REF!),1,1,#REF!),"")</f>
        <v/>
      </c>
      <c r="CU904" t="str">
        <f>IF(DM904&lt;&gt;"",REPLACE(REPLACE(INDEX($DR$4:$DR$1516,MATCH(DM904,$DS$4:$DS$1516,0)),6,1,#REF!),1,1,#REF!),"")</f>
        <v/>
      </c>
      <c r="CV904" t="str">
        <f>IF(DN904&lt;&gt;"",REPLACE(REPLACE(INDEX($DR$4:$DR$1516,MATCH(DN904,$DS$4:$DS$1516,0)),6,1,#REF!),1,1,#REF!),"")</f>
        <v/>
      </c>
      <c r="CW904" t="str">
        <f>IF(DO904&lt;&gt;"",REPLACE(REPLACE(INDEX($DR$4:$DR$1516,MATCH(DO904,$DS$4:$DS$1516,0)),6,1,#REF!),1,1,#REF!),"")</f>
        <v/>
      </c>
      <c r="DR904">
        <v>5209112</v>
      </c>
      <c r="DS904" t="s">
        <v>298</v>
      </c>
    </row>
    <row r="905" spans="90:123" x14ac:dyDescent="0.15">
      <c r="CL905" s="13" t="str">
        <f t="shared" si="149"/>
        <v/>
      </c>
      <c r="CM905" s="13" t="str">
        <f t="shared" si="149"/>
        <v/>
      </c>
      <c r="CN905" s="13" t="str">
        <f t="shared" si="149"/>
        <v/>
      </c>
      <c r="CO905" s="13" t="str">
        <f t="shared" si="149"/>
        <v/>
      </c>
      <c r="CP905" s="13" t="str">
        <f t="shared" si="149"/>
        <v/>
      </c>
      <c r="CQ905" s="13" t="str">
        <f t="shared" si="149"/>
        <v/>
      </c>
      <c r="CR905" t="str">
        <f>IF(DJ905&lt;&gt;"",REPLACE(REPLACE(INDEX($DR$4:$DR$1516,MATCH(DJ905,$DS$4:$DS$1516,0)),6,1,#REF!),1,1,#REF!),"")</f>
        <v/>
      </c>
      <c r="CS905" t="str">
        <f>IF(DK905&lt;&gt;"",REPLACE(REPLACE(INDEX($DR$4:$DR$1516,MATCH(DK905,$DS$4:$DS$1516,0)),6,1,#REF!),1,1,#REF!),"")</f>
        <v/>
      </c>
      <c r="CT905" t="str">
        <f>IF(DL905&lt;&gt;"",REPLACE(REPLACE(INDEX($DR$4:$DR$1516,MATCH(DL905,$DS$4:$DS$1516,0)),6,1,#REF!),1,1,#REF!),"")</f>
        <v/>
      </c>
      <c r="CU905" t="str">
        <f>IF(DM905&lt;&gt;"",REPLACE(REPLACE(INDEX($DR$4:$DR$1516,MATCH(DM905,$DS$4:$DS$1516,0)),6,1,#REF!),1,1,#REF!),"")</f>
        <v/>
      </c>
      <c r="CV905" t="str">
        <f>IF(DN905&lt;&gt;"",REPLACE(REPLACE(INDEX($DR$4:$DR$1516,MATCH(DN905,$DS$4:$DS$1516,0)),6,1,#REF!),1,1,#REF!),"")</f>
        <v/>
      </c>
      <c r="CW905" t="str">
        <f>IF(DO905&lt;&gt;"",REPLACE(REPLACE(INDEX($DR$4:$DR$1516,MATCH(DO905,$DS$4:$DS$1516,0)),6,1,#REF!),1,1,#REF!),"")</f>
        <v/>
      </c>
      <c r="DR905">
        <v>5306112</v>
      </c>
      <c r="DS905" t="s">
        <v>299</v>
      </c>
    </row>
    <row r="906" spans="90:123" x14ac:dyDescent="0.15">
      <c r="CL906" s="13" t="str">
        <f t="shared" si="149"/>
        <v/>
      </c>
      <c r="CM906" s="13" t="str">
        <f t="shared" si="149"/>
        <v/>
      </c>
      <c r="CN906" s="13" t="str">
        <f t="shared" si="149"/>
        <v/>
      </c>
      <c r="CO906" s="13" t="str">
        <f t="shared" si="149"/>
        <v/>
      </c>
      <c r="CP906" s="13" t="str">
        <f t="shared" si="149"/>
        <v/>
      </c>
      <c r="CQ906" s="13" t="str">
        <f t="shared" si="149"/>
        <v/>
      </c>
      <c r="CR906" t="str">
        <f>IF(DJ906&lt;&gt;"",REPLACE(REPLACE(INDEX($DR$4:$DR$1516,MATCH(DJ906,$DS$4:$DS$1516,0)),6,1,#REF!),1,1,#REF!),"")</f>
        <v/>
      </c>
      <c r="CS906" t="str">
        <f>IF(DK906&lt;&gt;"",REPLACE(REPLACE(INDEX($DR$4:$DR$1516,MATCH(DK906,$DS$4:$DS$1516,0)),6,1,#REF!),1,1,#REF!),"")</f>
        <v/>
      </c>
      <c r="CT906" t="str">
        <f>IF(DL906&lt;&gt;"",REPLACE(REPLACE(INDEX($DR$4:$DR$1516,MATCH(DL906,$DS$4:$DS$1516,0)),6,1,#REF!),1,1,#REF!),"")</f>
        <v/>
      </c>
      <c r="CU906" t="str">
        <f>IF(DM906&lt;&gt;"",REPLACE(REPLACE(INDEX($DR$4:$DR$1516,MATCH(DM906,$DS$4:$DS$1516,0)),6,1,#REF!),1,1,#REF!),"")</f>
        <v/>
      </c>
      <c r="CV906" t="str">
        <f>IF(DN906&lt;&gt;"",REPLACE(REPLACE(INDEX($DR$4:$DR$1516,MATCH(DN906,$DS$4:$DS$1516,0)),6,1,#REF!),1,1,#REF!),"")</f>
        <v/>
      </c>
      <c r="CW906" t="str">
        <f>IF(DO906&lt;&gt;"",REPLACE(REPLACE(INDEX($DR$4:$DR$1516,MATCH(DO906,$DS$4:$DS$1516,0)),6,1,#REF!),1,1,#REF!),"")</f>
        <v/>
      </c>
      <c r="DR906">
        <v>5408112</v>
      </c>
      <c r="DS906" t="s">
        <v>300</v>
      </c>
    </row>
    <row r="907" spans="90:123" x14ac:dyDescent="0.15">
      <c r="CL907" s="13" t="str">
        <f t="shared" si="149"/>
        <v/>
      </c>
      <c r="CM907" s="13" t="str">
        <f t="shared" si="149"/>
        <v/>
      </c>
      <c r="CN907" s="13" t="str">
        <f t="shared" si="149"/>
        <v/>
      </c>
      <c r="CO907" s="13" t="str">
        <f t="shared" si="149"/>
        <v/>
      </c>
      <c r="CP907" s="13" t="str">
        <f t="shared" si="149"/>
        <v/>
      </c>
      <c r="CQ907" s="13" t="str">
        <f t="shared" si="149"/>
        <v/>
      </c>
      <c r="CR907" t="str">
        <f>IF(DJ907&lt;&gt;"",REPLACE(REPLACE(INDEX($DR$4:$DR$1516,MATCH(DJ907,$DS$4:$DS$1516,0)),6,1,#REF!),1,1,#REF!),"")</f>
        <v/>
      </c>
      <c r="CS907" t="str">
        <f>IF(DK907&lt;&gt;"",REPLACE(REPLACE(INDEX($DR$4:$DR$1516,MATCH(DK907,$DS$4:$DS$1516,0)),6,1,#REF!),1,1,#REF!),"")</f>
        <v/>
      </c>
      <c r="CT907" t="str">
        <f>IF(DL907&lt;&gt;"",REPLACE(REPLACE(INDEX($DR$4:$DR$1516,MATCH(DL907,$DS$4:$DS$1516,0)),6,1,#REF!),1,1,#REF!),"")</f>
        <v/>
      </c>
      <c r="CU907" t="str">
        <f>IF(DM907&lt;&gt;"",REPLACE(REPLACE(INDEX($DR$4:$DR$1516,MATCH(DM907,$DS$4:$DS$1516,0)),6,1,#REF!),1,1,#REF!),"")</f>
        <v/>
      </c>
      <c r="CV907" t="str">
        <f>IF(DN907&lt;&gt;"",REPLACE(REPLACE(INDEX($DR$4:$DR$1516,MATCH(DN907,$DS$4:$DS$1516,0)),6,1,#REF!),1,1,#REF!),"")</f>
        <v/>
      </c>
      <c r="CW907" t="str">
        <f>IF(DO907&lt;&gt;"",REPLACE(REPLACE(INDEX($DR$4:$DR$1516,MATCH(DO907,$DS$4:$DS$1516,0)),6,1,#REF!),1,1,#REF!),"")</f>
        <v/>
      </c>
      <c r="DR907">
        <v>5409112</v>
      </c>
      <c r="DS907" t="s">
        <v>301</v>
      </c>
    </row>
    <row r="908" spans="90:123" x14ac:dyDescent="0.15">
      <c r="CL908" s="13" t="str">
        <f t="shared" si="149"/>
        <v/>
      </c>
      <c r="CM908" s="13" t="str">
        <f t="shared" si="149"/>
        <v/>
      </c>
      <c r="CN908" s="13" t="str">
        <f t="shared" si="149"/>
        <v/>
      </c>
      <c r="CO908" s="13" t="str">
        <f t="shared" si="149"/>
        <v/>
      </c>
      <c r="CP908" s="13" t="str">
        <f t="shared" si="149"/>
        <v/>
      </c>
      <c r="CQ908" s="13" t="str">
        <f t="shared" si="149"/>
        <v/>
      </c>
      <c r="CR908" t="str">
        <f>IF(DJ908&lt;&gt;"",REPLACE(REPLACE(INDEX($DR$4:$DR$1516,MATCH(DJ908,$DS$4:$DS$1516,0)),6,1,#REF!),1,1,#REF!),"")</f>
        <v/>
      </c>
      <c r="CS908" t="str">
        <f>IF(DK908&lt;&gt;"",REPLACE(REPLACE(INDEX($DR$4:$DR$1516,MATCH(DK908,$DS$4:$DS$1516,0)),6,1,#REF!),1,1,#REF!),"")</f>
        <v/>
      </c>
      <c r="CT908" t="str">
        <f>IF(DL908&lt;&gt;"",REPLACE(REPLACE(INDEX($DR$4:$DR$1516,MATCH(DL908,$DS$4:$DS$1516,0)),6,1,#REF!),1,1,#REF!),"")</f>
        <v/>
      </c>
      <c r="CU908" t="str">
        <f>IF(DM908&lt;&gt;"",REPLACE(REPLACE(INDEX($DR$4:$DR$1516,MATCH(DM908,$DS$4:$DS$1516,0)),6,1,#REF!),1,1,#REF!),"")</f>
        <v/>
      </c>
      <c r="CV908" t="str">
        <f>IF(DN908&lt;&gt;"",REPLACE(REPLACE(INDEX($DR$4:$DR$1516,MATCH(DN908,$DS$4:$DS$1516,0)),6,1,#REF!),1,1,#REF!),"")</f>
        <v/>
      </c>
      <c r="CW908" t="str">
        <f>IF(DO908&lt;&gt;"",REPLACE(REPLACE(INDEX($DR$4:$DR$1516,MATCH(DO908,$DS$4:$DS$1516,0)),6,1,#REF!),1,1,#REF!),"")</f>
        <v/>
      </c>
      <c r="DR908">
        <v>5505112</v>
      </c>
      <c r="DS908" t="s">
        <v>302</v>
      </c>
    </row>
    <row r="909" spans="90:123" x14ac:dyDescent="0.15">
      <c r="CL909" s="13" t="str">
        <f t="shared" si="149"/>
        <v/>
      </c>
      <c r="CM909" s="13" t="str">
        <f t="shared" si="149"/>
        <v/>
      </c>
      <c r="CN909" s="13" t="str">
        <f t="shared" si="149"/>
        <v/>
      </c>
      <c r="CO909" s="13" t="str">
        <f t="shared" si="149"/>
        <v/>
      </c>
      <c r="CP909" s="13" t="str">
        <f t="shared" si="149"/>
        <v/>
      </c>
      <c r="CQ909" s="13" t="str">
        <f t="shared" si="149"/>
        <v/>
      </c>
      <c r="CR909" t="str">
        <f>IF(DJ909&lt;&gt;"",REPLACE(REPLACE(INDEX($DR$4:$DR$1516,MATCH(DJ909,$DS$4:$DS$1516,0)),6,1,#REF!),1,1,#REF!),"")</f>
        <v/>
      </c>
      <c r="CS909" t="str">
        <f>IF(DK909&lt;&gt;"",REPLACE(REPLACE(INDEX($DR$4:$DR$1516,MATCH(DK909,$DS$4:$DS$1516,0)),6,1,#REF!),1,1,#REF!),"")</f>
        <v/>
      </c>
      <c r="CT909" t="str">
        <f>IF(DL909&lt;&gt;"",REPLACE(REPLACE(INDEX($DR$4:$DR$1516,MATCH(DL909,$DS$4:$DS$1516,0)),6,1,#REF!),1,1,#REF!),"")</f>
        <v/>
      </c>
      <c r="CU909" t="str">
        <f>IF(DM909&lt;&gt;"",REPLACE(REPLACE(INDEX($DR$4:$DR$1516,MATCH(DM909,$DS$4:$DS$1516,0)),6,1,#REF!),1,1,#REF!),"")</f>
        <v/>
      </c>
      <c r="CV909" t="str">
        <f>IF(DN909&lt;&gt;"",REPLACE(REPLACE(INDEX($DR$4:$DR$1516,MATCH(DN909,$DS$4:$DS$1516,0)),6,1,#REF!),1,1,#REF!),"")</f>
        <v/>
      </c>
      <c r="CW909" t="str">
        <f>IF(DO909&lt;&gt;"",REPLACE(REPLACE(INDEX($DR$4:$DR$1516,MATCH(DO909,$DS$4:$DS$1516,0)),6,1,#REF!),1,1,#REF!),"")</f>
        <v/>
      </c>
      <c r="DR909">
        <v>5507112</v>
      </c>
      <c r="DS909" t="s">
        <v>303</v>
      </c>
    </row>
    <row r="910" spans="90:123" x14ac:dyDescent="0.15">
      <c r="CL910" s="13" t="str">
        <f t="shared" si="149"/>
        <v/>
      </c>
      <c r="CM910" s="13" t="str">
        <f t="shared" si="149"/>
        <v/>
      </c>
      <c r="CN910" s="13" t="str">
        <f t="shared" si="149"/>
        <v/>
      </c>
      <c r="CO910" s="13" t="str">
        <f t="shared" si="149"/>
        <v/>
      </c>
      <c r="CP910" s="13" t="str">
        <f t="shared" si="149"/>
        <v/>
      </c>
      <c r="CQ910" s="13" t="str">
        <f t="shared" si="149"/>
        <v/>
      </c>
      <c r="CR910" t="str">
        <f>IF(DJ910&lt;&gt;"",REPLACE(REPLACE(INDEX($DR$4:$DR$1516,MATCH(DJ910,$DS$4:$DS$1516,0)),6,1,#REF!),1,1,#REF!),"")</f>
        <v/>
      </c>
      <c r="CS910" t="str">
        <f>IF(DK910&lt;&gt;"",REPLACE(REPLACE(INDEX($DR$4:$DR$1516,MATCH(DK910,$DS$4:$DS$1516,0)),6,1,#REF!),1,1,#REF!),"")</f>
        <v/>
      </c>
      <c r="CT910" t="str">
        <f>IF(DL910&lt;&gt;"",REPLACE(REPLACE(INDEX($DR$4:$DR$1516,MATCH(DL910,$DS$4:$DS$1516,0)),6,1,#REF!),1,1,#REF!),"")</f>
        <v/>
      </c>
      <c r="CU910" t="str">
        <f>IF(DM910&lt;&gt;"",REPLACE(REPLACE(INDEX($DR$4:$DR$1516,MATCH(DM910,$DS$4:$DS$1516,0)),6,1,#REF!),1,1,#REF!),"")</f>
        <v/>
      </c>
      <c r="CV910" t="str">
        <f>IF(DN910&lt;&gt;"",REPLACE(REPLACE(INDEX($DR$4:$DR$1516,MATCH(DN910,$DS$4:$DS$1516,0)),6,1,#REF!),1,1,#REF!),"")</f>
        <v/>
      </c>
      <c r="CW910" t="str">
        <f>IF(DO910&lt;&gt;"",REPLACE(REPLACE(INDEX($DR$4:$DR$1516,MATCH(DO910,$DS$4:$DS$1516,0)),6,1,#REF!),1,1,#REF!),"")</f>
        <v/>
      </c>
      <c r="DR910">
        <v>5604112</v>
      </c>
      <c r="DS910" t="s">
        <v>304</v>
      </c>
    </row>
    <row r="911" spans="90:123" x14ac:dyDescent="0.15">
      <c r="CL911" s="13" t="str">
        <f t="shared" si="149"/>
        <v/>
      </c>
      <c r="CM911" s="13" t="str">
        <f t="shared" si="149"/>
        <v/>
      </c>
      <c r="CN911" s="13" t="str">
        <f t="shared" si="149"/>
        <v/>
      </c>
      <c r="CO911" s="13" t="str">
        <f t="shared" si="149"/>
        <v/>
      </c>
      <c r="CP911" s="13" t="str">
        <f t="shared" si="149"/>
        <v/>
      </c>
      <c r="CQ911" s="13" t="str">
        <f t="shared" si="149"/>
        <v/>
      </c>
      <c r="CR911" t="str">
        <f>IF(DJ911&lt;&gt;"",REPLACE(REPLACE(INDEX($DR$4:$DR$1516,MATCH(DJ911,$DS$4:$DS$1516,0)),6,1,#REF!),1,1,#REF!),"")</f>
        <v/>
      </c>
      <c r="CS911" t="str">
        <f>IF(DK911&lt;&gt;"",REPLACE(REPLACE(INDEX($DR$4:$DR$1516,MATCH(DK911,$DS$4:$DS$1516,0)),6,1,#REF!),1,1,#REF!),"")</f>
        <v/>
      </c>
      <c r="CT911" t="str">
        <f>IF(DL911&lt;&gt;"",REPLACE(REPLACE(INDEX($DR$4:$DR$1516,MATCH(DL911,$DS$4:$DS$1516,0)),6,1,#REF!),1,1,#REF!),"")</f>
        <v/>
      </c>
      <c r="CU911" t="str">
        <f>IF(DM911&lt;&gt;"",REPLACE(REPLACE(INDEX($DR$4:$DR$1516,MATCH(DM911,$DS$4:$DS$1516,0)),6,1,#REF!),1,1,#REF!),"")</f>
        <v/>
      </c>
      <c r="CV911" t="str">
        <f>IF(DN911&lt;&gt;"",REPLACE(REPLACE(INDEX($DR$4:$DR$1516,MATCH(DN911,$DS$4:$DS$1516,0)),6,1,#REF!),1,1,#REF!),"")</f>
        <v/>
      </c>
      <c r="CW911" t="str">
        <f>IF(DO911&lt;&gt;"",REPLACE(REPLACE(INDEX($DR$4:$DR$1516,MATCH(DO911,$DS$4:$DS$1516,0)),6,1,#REF!),1,1,#REF!),"")</f>
        <v/>
      </c>
      <c r="DR911">
        <v>5207113</v>
      </c>
      <c r="DS911" t="s">
        <v>305</v>
      </c>
    </row>
    <row r="912" spans="90:123" x14ac:dyDescent="0.15">
      <c r="CL912" s="13" t="str">
        <f t="shared" si="149"/>
        <v/>
      </c>
      <c r="CM912" s="13" t="str">
        <f t="shared" si="149"/>
        <v/>
      </c>
      <c r="CN912" s="13" t="str">
        <f t="shared" si="149"/>
        <v/>
      </c>
      <c r="CO912" s="13" t="str">
        <f t="shared" si="149"/>
        <v/>
      </c>
      <c r="CP912" s="13" t="str">
        <f t="shared" si="149"/>
        <v/>
      </c>
      <c r="CQ912" s="13" t="str">
        <f t="shared" si="149"/>
        <v/>
      </c>
      <c r="CR912" t="str">
        <f>IF(DJ912&lt;&gt;"",REPLACE(REPLACE(INDEX($DR$4:$DR$1516,MATCH(DJ912,$DS$4:$DS$1516,0)),6,1,#REF!),1,1,#REF!),"")</f>
        <v/>
      </c>
      <c r="CS912" t="str">
        <f>IF(DK912&lt;&gt;"",REPLACE(REPLACE(INDEX($DR$4:$DR$1516,MATCH(DK912,$DS$4:$DS$1516,0)),6,1,#REF!),1,1,#REF!),"")</f>
        <v/>
      </c>
      <c r="CT912" t="str">
        <f>IF(DL912&lt;&gt;"",REPLACE(REPLACE(INDEX($DR$4:$DR$1516,MATCH(DL912,$DS$4:$DS$1516,0)),6,1,#REF!),1,1,#REF!),"")</f>
        <v/>
      </c>
      <c r="CU912" t="str">
        <f>IF(DM912&lt;&gt;"",REPLACE(REPLACE(INDEX($DR$4:$DR$1516,MATCH(DM912,$DS$4:$DS$1516,0)),6,1,#REF!),1,1,#REF!),"")</f>
        <v/>
      </c>
      <c r="CV912" t="str">
        <f>IF(DN912&lt;&gt;"",REPLACE(REPLACE(INDEX($DR$4:$DR$1516,MATCH(DN912,$DS$4:$DS$1516,0)),6,1,#REF!),1,1,#REF!),"")</f>
        <v/>
      </c>
      <c r="CW912" t="str">
        <f>IF(DO912&lt;&gt;"",REPLACE(REPLACE(INDEX($DR$4:$DR$1516,MATCH(DO912,$DS$4:$DS$1516,0)),6,1,#REF!),1,1,#REF!),"")</f>
        <v/>
      </c>
      <c r="DR912">
        <v>5208113</v>
      </c>
      <c r="DS912" t="s">
        <v>306</v>
      </c>
    </row>
    <row r="913" spans="90:123" x14ac:dyDescent="0.15">
      <c r="CL913" s="13" t="str">
        <f t="shared" si="149"/>
        <v/>
      </c>
      <c r="CM913" s="13" t="str">
        <f t="shared" si="149"/>
        <v/>
      </c>
      <c r="CN913" s="13" t="str">
        <f t="shared" si="149"/>
        <v/>
      </c>
      <c r="CO913" s="13" t="str">
        <f t="shared" si="149"/>
        <v/>
      </c>
      <c r="CP913" s="13" t="str">
        <f t="shared" si="149"/>
        <v/>
      </c>
      <c r="CQ913" s="13" t="str">
        <f t="shared" si="149"/>
        <v/>
      </c>
      <c r="CR913" t="str">
        <f>IF(DJ913&lt;&gt;"",REPLACE(REPLACE(INDEX($DR$4:$DR$1516,MATCH(DJ913,$DS$4:$DS$1516,0)),6,1,#REF!),1,1,#REF!),"")</f>
        <v/>
      </c>
      <c r="CS913" t="str">
        <f>IF(DK913&lt;&gt;"",REPLACE(REPLACE(INDEX($DR$4:$DR$1516,MATCH(DK913,$DS$4:$DS$1516,0)),6,1,#REF!),1,1,#REF!),"")</f>
        <v/>
      </c>
      <c r="CT913" t="str">
        <f>IF(DL913&lt;&gt;"",REPLACE(REPLACE(INDEX($DR$4:$DR$1516,MATCH(DL913,$DS$4:$DS$1516,0)),6,1,#REF!),1,1,#REF!),"")</f>
        <v/>
      </c>
      <c r="CU913" t="str">
        <f>IF(DM913&lt;&gt;"",REPLACE(REPLACE(INDEX($DR$4:$DR$1516,MATCH(DM913,$DS$4:$DS$1516,0)),6,1,#REF!),1,1,#REF!),"")</f>
        <v/>
      </c>
      <c r="CV913" t="str">
        <f>IF(DN913&lt;&gt;"",REPLACE(REPLACE(INDEX($DR$4:$DR$1516,MATCH(DN913,$DS$4:$DS$1516,0)),6,1,#REF!),1,1,#REF!),"")</f>
        <v/>
      </c>
      <c r="CW913" t="str">
        <f>IF(DO913&lt;&gt;"",REPLACE(REPLACE(INDEX($DR$4:$DR$1516,MATCH(DO913,$DS$4:$DS$1516,0)),6,1,#REF!),1,1,#REF!),"")</f>
        <v/>
      </c>
      <c r="DR913">
        <v>5209113</v>
      </c>
      <c r="DS913" t="s">
        <v>307</v>
      </c>
    </row>
    <row r="914" spans="90:123" x14ac:dyDescent="0.15">
      <c r="CL914" s="13" t="str">
        <f t="shared" si="149"/>
        <v/>
      </c>
      <c r="CM914" s="13" t="str">
        <f t="shared" si="149"/>
        <v/>
      </c>
      <c r="CN914" s="13" t="str">
        <f t="shared" si="149"/>
        <v/>
      </c>
      <c r="CO914" s="13" t="str">
        <f t="shared" si="149"/>
        <v/>
      </c>
      <c r="CP914" s="13" t="str">
        <f t="shared" si="149"/>
        <v/>
      </c>
      <c r="CQ914" s="13" t="str">
        <f t="shared" si="149"/>
        <v/>
      </c>
      <c r="CR914" t="str">
        <f>IF(DJ914&lt;&gt;"",REPLACE(REPLACE(INDEX($DR$4:$DR$1516,MATCH(DJ914,$DS$4:$DS$1516,0)),6,1,#REF!),1,1,#REF!),"")</f>
        <v/>
      </c>
      <c r="CS914" t="str">
        <f>IF(DK914&lt;&gt;"",REPLACE(REPLACE(INDEX($DR$4:$DR$1516,MATCH(DK914,$DS$4:$DS$1516,0)),6,1,#REF!),1,1,#REF!),"")</f>
        <v/>
      </c>
      <c r="CT914" t="str">
        <f>IF(DL914&lt;&gt;"",REPLACE(REPLACE(INDEX($DR$4:$DR$1516,MATCH(DL914,$DS$4:$DS$1516,0)),6,1,#REF!),1,1,#REF!),"")</f>
        <v/>
      </c>
      <c r="CU914" t="str">
        <f>IF(DM914&lt;&gt;"",REPLACE(REPLACE(INDEX($DR$4:$DR$1516,MATCH(DM914,$DS$4:$DS$1516,0)),6,1,#REF!),1,1,#REF!),"")</f>
        <v/>
      </c>
      <c r="CV914" t="str">
        <f>IF(DN914&lt;&gt;"",REPLACE(REPLACE(INDEX($DR$4:$DR$1516,MATCH(DN914,$DS$4:$DS$1516,0)),6,1,#REF!),1,1,#REF!),"")</f>
        <v/>
      </c>
      <c r="CW914" t="str">
        <f>IF(DO914&lt;&gt;"",REPLACE(REPLACE(INDEX($DR$4:$DR$1516,MATCH(DO914,$DS$4:$DS$1516,0)),6,1,#REF!),1,1,#REF!),"")</f>
        <v/>
      </c>
      <c r="DR914">
        <v>5306113</v>
      </c>
      <c r="DS914" t="s">
        <v>308</v>
      </c>
    </row>
    <row r="915" spans="90:123" x14ac:dyDescent="0.15">
      <c r="CL915" s="13" t="str">
        <f t="shared" si="149"/>
        <v/>
      </c>
      <c r="CM915" s="13" t="str">
        <f t="shared" si="149"/>
        <v/>
      </c>
      <c r="CN915" s="13" t="str">
        <f t="shared" si="149"/>
        <v/>
      </c>
      <c r="CO915" s="13" t="str">
        <f t="shared" si="149"/>
        <v/>
      </c>
      <c r="CP915" s="13" t="str">
        <f t="shared" si="149"/>
        <v/>
      </c>
      <c r="CQ915" s="13" t="str">
        <f t="shared" si="149"/>
        <v/>
      </c>
      <c r="CR915" t="str">
        <f>IF(DJ915&lt;&gt;"",REPLACE(REPLACE(INDEX($DR$4:$DR$1516,MATCH(DJ915,$DS$4:$DS$1516,0)),6,1,#REF!),1,1,#REF!),"")</f>
        <v/>
      </c>
      <c r="CS915" t="str">
        <f>IF(DK915&lt;&gt;"",REPLACE(REPLACE(INDEX($DR$4:$DR$1516,MATCH(DK915,$DS$4:$DS$1516,0)),6,1,#REF!),1,1,#REF!),"")</f>
        <v/>
      </c>
      <c r="CT915" t="str">
        <f>IF(DL915&lt;&gt;"",REPLACE(REPLACE(INDEX($DR$4:$DR$1516,MATCH(DL915,$DS$4:$DS$1516,0)),6,1,#REF!),1,1,#REF!),"")</f>
        <v/>
      </c>
      <c r="CU915" t="str">
        <f>IF(DM915&lt;&gt;"",REPLACE(REPLACE(INDEX($DR$4:$DR$1516,MATCH(DM915,$DS$4:$DS$1516,0)),6,1,#REF!),1,1,#REF!),"")</f>
        <v/>
      </c>
      <c r="CV915" t="str">
        <f>IF(DN915&lt;&gt;"",REPLACE(REPLACE(INDEX($DR$4:$DR$1516,MATCH(DN915,$DS$4:$DS$1516,0)),6,1,#REF!),1,1,#REF!),"")</f>
        <v/>
      </c>
      <c r="CW915" t="str">
        <f>IF(DO915&lt;&gt;"",REPLACE(REPLACE(INDEX($DR$4:$DR$1516,MATCH(DO915,$DS$4:$DS$1516,0)),6,1,#REF!),1,1,#REF!),"")</f>
        <v/>
      </c>
      <c r="DR915">
        <v>5408113</v>
      </c>
      <c r="DS915" t="s">
        <v>309</v>
      </c>
    </row>
    <row r="916" spans="90:123" x14ac:dyDescent="0.15">
      <c r="CL916" s="13" t="str">
        <f t="shared" si="149"/>
        <v/>
      </c>
      <c r="CM916" s="13" t="str">
        <f t="shared" si="149"/>
        <v/>
      </c>
      <c r="CN916" s="13" t="str">
        <f t="shared" si="149"/>
        <v/>
      </c>
      <c r="CO916" s="13" t="str">
        <f t="shared" si="149"/>
        <v/>
      </c>
      <c r="CP916" s="13" t="str">
        <f t="shared" si="149"/>
        <v/>
      </c>
      <c r="CQ916" s="13" t="str">
        <f t="shared" si="149"/>
        <v/>
      </c>
      <c r="CR916" t="str">
        <f>IF(DJ916&lt;&gt;"",REPLACE(REPLACE(INDEX($DR$4:$DR$1516,MATCH(DJ916,$DS$4:$DS$1516,0)),6,1,#REF!),1,1,#REF!),"")</f>
        <v/>
      </c>
      <c r="CS916" t="str">
        <f>IF(DK916&lt;&gt;"",REPLACE(REPLACE(INDEX($DR$4:$DR$1516,MATCH(DK916,$DS$4:$DS$1516,0)),6,1,#REF!),1,1,#REF!),"")</f>
        <v/>
      </c>
      <c r="CT916" t="str">
        <f>IF(DL916&lt;&gt;"",REPLACE(REPLACE(INDEX($DR$4:$DR$1516,MATCH(DL916,$DS$4:$DS$1516,0)),6,1,#REF!),1,1,#REF!),"")</f>
        <v/>
      </c>
      <c r="CU916" t="str">
        <f>IF(DM916&lt;&gt;"",REPLACE(REPLACE(INDEX($DR$4:$DR$1516,MATCH(DM916,$DS$4:$DS$1516,0)),6,1,#REF!),1,1,#REF!),"")</f>
        <v/>
      </c>
      <c r="CV916" t="str">
        <f>IF(DN916&lt;&gt;"",REPLACE(REPLACE(INDEX($DR$4:$DR$1516,MATCH(DN916,$DS$4:$DS$1516,0)),6,1,#REF!),1,1,#REF!),"")</f>
        <v/>
      </c>
      <c r="CW916" t="str">
        <f>IF(DO916&lt;&gt;"",REPLACE(REPLACE(INDEX($DR$4:$DR$1516,MATCH(DO916,$DS$4:$DS$1516,0)),6,1,#REF!),1,1,#REF!),"")</f>
        <v/>
      </c>
      <c r="DR916">
        <v>5409113</v>
      </c>
      <c r="DS916" t="s">
        <v>310</v>
      </c>
    </row>
    <row r="917" spans="90:123" x14ac:dyDescent="0.15">
      <c r="CL917" s="13" t="str">
        <f t="shared" si="149"/>
        <v/>
      </c>
      <c r="CM917" s="13" t="str">
        <f t="shared" si="149"/>
        <v/>
      </c>
      <c r="CN917" s="13" t="str">
        <f t="shared" si="149"/>
        <v/>
      </c>
      <c r="CO917" s="13" t="str">
        <f t="shared" si="149"/>
        <v/>
      </c>
      <c r="CP917" s="13" t="str">
        <f t="shared" si="149"/>
        <v/>
      </c>
      <c r="CQ917" s="13" t="str">
        <f t="shared" si="149"/>
        <v/>
      </c>
      <c r="CR917" t="str">
        <f>IF(DJ917&lt;&gt;"",REPLACE(REPLACE(INDEX($DR$4:$DR$1516,MATCH(DJ917,$DS$4:$DS$1516,0)),6,1,#REF!),1,1,#REF!),"")</f>
        <v/>
      </c>
      <c r="CS917" t="str">
        <f>IF(DK917&lt;&gt;"",REPLACE(REPLACE(INDEX($DR$4:$DR$1516,MATCH(DK917,$DS$4:$DS$1516,0)),6,1,#REF!),1,1,#REF!),"")</f>
        <v/>
      </c>
      <c r="CT917" t="str">
        <f>IF(DL917&lt;&gt;"",REPLACE(REPLACE(INDEX($DR$4:$DR$1516,MATCH(DL917,$DS$4:$DS$1516,0)),6,1,#REF!),1,1,#REF!),"")</f>
        <v/>
      </c>
      <c r="CU917" t="str">
        <f>IF(DM917&lt;&gt;"",REPLACE(REPLACE(INDEX($DR$4:$DR$1516,MATCH(DM917,$DS$4:$DS$1516,0)),6,1,#REF!),1,1,#REF!),"")</f>
        <v/>
      </c>
      <c r="CV917" t="str">
        <f>IF(DN917&lt;&gt;"",REPLACE(REPLACE(INDEX($DR$4:$DR$1516,MATCH(DN917,$DS$4:$DS$1516,0)),6,1,#REF!),1,1,#REF!),"")</f>
        <v/>
      </c>
      <c r="CW917" t="str">
        <f>IF(DO917&lt;&gt;"",REPLACE(REPLACE(INDEX($DR$4:$DR$1516,MATCH(DO917,$DS$4:$DS$1516,0)),6,1,#REF!),1,1,#REF!),"")</f>
        <v/>
      </c>
      <c r="DR917">
        <v>5505113</v>
      </c>
      <c r="DS917" t="s">
        <v>311</v>
      </c>
    </row>
    <row r="918" spans="90:123" x14ac:dyDescent="0.15">
      <c r="CL918" s="13" t="str">
        <f t="shared" si="149"/>
        <v/>
      </c>
      <c r="CM918" s="13" t="str">
        <f t="shared" si="149"/>
        <v/>
      </c>
      <c r="CN918" s="13" t="str">
        <f t="shared" si="149"/>
        <v/>
      </c>
      <c r="CO918" s="13" t="str">
        <f t="shared" si="149"/>
        <v/>
      </c>
      <c r="CP918" s="13" t="str">
        <f t="shared" si="149"/>
        <v/>
      </c>
      <c r="CQ918" s="13" t="str">
        <f t="shared" si="149"/>
        <v/>
      </c>
      <c r="CR918" t="str">
        <f>IF(DJ918&lt;&gt;"",REPLACE(REPLACE(INDEX($DR$4:$DR$1516,MATCH(DJ918,$DS$4:$DS$1516,0)),6,1,#REF!),1,1,#REF!),"")</f>
        <v/>
      </c>
      <c r="CS918" t="str">
        <f>IF(DK918&lt;&gt;"",REPLACE(REPLACE(INDEX($DR$4:$DR$1516,MATCH(DK918,$DS$4:$DS$1516,0)),6,1,#REF!),1,1,#REF!),"")</f>
        <v/>
      </c>
      <c r="CT918" t="str">
        <f>IF(DL918&lt;&gt;"",REPLACE(REPLACE(INDEX($DR$4:$DR$1516,MATCH(DL918,$DS$4:$DS$1516,0)),6,1,#REF!),1,1,#REF!),"")</f>
        <v/>
      </c>
      <c r="CU918" t="str">
        <f>IF(DM918&lt;&gt;"",REPLACE(REPLACE(INDEX($DR$4:$DR$1516,MATCH(DM918,$DS$4:$DS$1516,0)),6,1,#REF!),1,1,#REF!),"")</f>
        <v/>
      </c>
      <c r="CV918" t="str">
        <f>IF(DN918&lt;&gt;"",REPLACE(REPLACE(INDEX($DR$4:$DR$1516,MATCH(DN918,$DS$4:$DS$1516,0)),6,1,#REF!),1,1,#REF!),"")</f>
        <v/>
      </c>
      <c r="CW918" t="str">
        <f>IF(DO918&lt;&gt;"",REPLACE(REPLACE(INDEX($DR$4:$DR$1516,MATCH(DO918,$DS$4:$DS$1516,0)),6,1,#REF!),1,1,#REF!),"")</f>
        <v/>
      </c>
      <c r="DR918">
        <v>5507113</v>
      </c>
      <c r="DS918" t="s">
        <v>312</v>
      </c>
    </row>
    <row r="919" spans="90:123" x14ac:dyDescent="0.15">
      <c r="CL919" s="13" t="str">
        <f t="shared" si="149"/>
        <v/>
      </c>
      <c r="CM919" s="13" t="str">
        <f t="shared" si="149"/>
        <v/>
      </c>
      <c r="CN919" s="13" t="str">
        <f t="shared" si="149"/>
        <v/>
      </c>
      <c r="CO919" s="13" t="str">
        <f t="shared" si="149"/>
        <v/>
      </c>
      <c r="CP919" s="13" t="str">
        <f t="shared" si="149"/>
        <v/>
      </c>
      <c r="CQ919" s="13" t="str">
        <f t="shared" si="149"/>
        <v/>
      </c>
      <c r="CR919" t="str">
        <f>IF(DJ919&lt;&gt;"",REPLACE(REPLACE(INDEX($DR$4:$DR$1516,MATCH(DJ919,$DS$4:$DS$1516,0)),6,1,#REF!),1,1,#REF!),"")</f>
        <v/>
      </c>
      <c r="CS919" t="str">
        <f>IF(DK919&lt;&gt;"",REPLACE(REPLACE(INDEX($DR$4:$DR$1516,MATCH(DK919,$DS$4:$DS$1516,0)),6,1,#REF!),1,1,#REF!),"")</f>
        <v/>
      </c>
      <c r="CT919" t="str">
        <f>IF(DL919&lt;&gt;"",REPLACE(REPLACE(INDEX($DR$4:$DR$1516,MATCH(DL919,$DS$4:$DS$1516,0)),6,1,#REF!),1,1,#REF!),"")</f>
        <v/>
      </c>
      <c r="CU919" t="str">
        <f>IF(DM919&lt;&gt;"",REPLACE(REPLACE(INDEX($DR$4:$DR$1516,MATCH(DM919,$DS$4:$DS$1516,0)),6,1,#REF!),1,1,#REF!),"")</f>
        <v/>
      </c>
      <c r="CV919" t="str">
        <f>IF(DN919&lt;&gt;"",REPLACE(REPLACE(INDEX($DR$4:$DR$1516,MATCH(DN919,$DS$4:$DS$1516,0)),6,1,#REF!),1,1,#REF!),"")</f>
        <v/>
      </c>
      <c r="CW919" t="str">
        <f>IF(DO919&lt;&gt;"",REPLACE(REPLACE(INDEX($DR$4:$DR$1516,MATCH(DO919,$DS$4:$DS$1516,0)),6,1,#REF!),1,1,#REF!),"")</f>
        <v/>
      </c>
      <c r="DR919">
        <v>5604113</v>
      </c>
      <c r="DS919" t="s">
        <v>313</v>
      </c>
    </row>
    <row r="920" spans="90:123" x14ac:dyDescent="0.15">
      <c r="CL920" s="13" t="str">
        <f t="shared" si="149"/>
        <v/>
      </c>
      <c r="CM920" s="13" t="str">
        <f t="shared" si="149"/>
        <v/>
      </c>
      <c r="CN920" s="13" t="str">
        <f t="shared" si="149"/>
        <v/>
      </c>
      <c r="CO920" s="13" t="str">
        <f t="shared" si="149"/>
        <v/>
      </c>
      <c r="CP920" s="13" t="str">
        <f t="shared" si="149"/>
        <v/>
      </c>
      <c r="CQ920" s="13" t="str">
        <f t="shared" si="149"/>
        <v/>
      </c>
      <c r="CR920" t="str">
        <f>IF(DJ920&lt;&gt;"",REPLACE(REPLACE(INDEX($DR$4:$DR$1516,MATCH(DJ920,$DS$4:$DS$1516,0)),6,1,#REF!),1,1,#REF!),"")</f>
        <v/>
      </c>
      <c r="CS920" t="str">
        <f>IF(DK920&lt;&gt;"",REPLACE(REPLACE(INDEX($DR$4:$DR$1516,MATCH(DK920,$DS$4:$DS$1516,0)),6,1,#REF!),1,1,#REF!),"")</f>
        <v/>
      </c>
      <c r="CT920" t="str">
        <f>IF(DL920&lt;&gt;"",REPLACE(REPLACE(INDEX($DR$4:$DR$1516,MATCH(DL920,$DS$4:$DS$1516,0)),6,1,#REF!),1,1,#REF!),"")</f>
        <v/>
      </c>
      <c r="CU920" t="str">
        <f>IF(DM920&lt;&gt;"",REPLACE(REPLACE(INDEX($DR$4:$DR$1516,MATCH(DM920,$DS$4:$DS$1516,0)),6,1,#REF!),1,1,#REF!),"")</f>
        <v/>
      </c>
      <c r="CV920" t="str">
        <f>IF(DN920&lt;&gt;"",REPLACE(REPLACE(INDEX($DR$4:$DR$1516,MATCH(DN920,$DS$4:$DS$1516,0)),6,1,#REF!),1,1,#REF!),"")</f>
        <v/>
      </c>
      <c r="CW920" t="str">
        <f>IF(DO920&lt;&gt;"",REPLACE(REPLACE(INDEX($DR$4:$DR$1516,MATCH(DO920,$DS$4:$DS$1516,0)),6,1,#REF!),1,1,#REF!),"")</f>
        <v/>
      </c>
      <c r="DR920">
        <v>5506114</v>
      </c>
      <c r="DS920" t="s">
        <v>314</v>
      </c>
    </row>
    <row r="921" spans="90:123" x14ac:dyDescent="0.15">
      <c r="CL921" s="13" t="str">
        <f t="shared" si="149"/>
        <v/>
      </c>
      <c r="CM921" s="13" t="str">
        <f t="shared" si="149"/>
        <v/>
      </c>
      <c r="CN921" s="13" t="str">
        <f t="shared" si="149"/>
        <v/>
      </c>
      <c r="CO921" s="13" t="str">
        <f t="shared" si="149"/>
        <v/>
      </c>
      <c r="CP921" s="13" t="str">
        <f t="shared" si="149"/>
        <v/>
      </c>
      <c r="CQ921" s="13" t="str">
        <f t="shared" si="149"/>
        <v/>
      </c>
      <c r="CR921" t="str">
        <f>IF(DJ921&lt;&gt;"",REPLACE(REPLACE(INDEX($DR$4:$DR$1516,MATCH(DJ921,$DS$4:$DS$1516,0)),6,1,#REF!),1,1,#REF!),"")</f>
        <v/>
      </c>
      <c r="CS921" t="str">
        <f>IF(DK921&lt;&gt;"",REPLACE(REPLACE(INDEX($DR$4:$DR$1516,MATCH(DK921,$DS$4:$DS$1516,0)),6,1,#REF!),1,1,#REF!),"")</f>
        <v/>
      </c>
      <c r="CT921" t="str">
        <f>IF(DL921&lt;&gt;"",REPLACE(REPLACE(INDEX($DR$4:$DR$1516,MATCH(DL921,$DS$4:$DS$1516,0)),6,1,#REF!),1,1,#REF!),"")</f>
        <v/>
      </c>
      <c r="CU921" t="str">
        <f>IF(DM921&lt;&gt;"",REPLACE(REPLACE(INDEX($DR$4:$DR$1516,MATCH(DM921,$DS$4:$DS$1516,0)),6,1,#REF!),1,1,#REF!),"")</f>
        <v/>
      </c>
      <c r="CV921" t="str">
        <f>IF(DN921&lt;&gt;"",REPLACE(REPLACE(INDEX($DR$4:$DR$1516,MATCH(DN921,$DS$4:$DS$1516,0)),6,1,#REF!),1,1,#REF!),"")</f>
        <v/>
      </c>
      <c r="CW921" t="str">
        <f>IF(DO921&lt;&gt;"",REPLACE(REPLACE(INDEX($DR$4:$DR$1516,MATCH(DO921,$DS$4:$DS$1516,0)),6,1,#REF!),1,1,#REF!),"")</f>
        <v/>
      </c>
      <c r="DR921">
        <v>5603114</v>
      </c>
      <c r="DS921" t="s">
        <v>315</v>
      </c>
    </row>
    <row r="922" spans="90:123" x14ac:dyDescent="0.15">
      <c r="CL922" s="13" t="str">
        <f t="shared" si="149"/>
        <v/>
      </c>
      <c r="CM922" s="13" t="str">
        <f t="shared" si="149"/>
        <v/>
      </c>
      <c r="CN922" s="13" t="str">
        <f t="shared" si="149"/>
        <v/>
      </c>
      <c r="CO922" s="13" t="str">
        <f t="shared" si="149"/>
        <v/>
      </c>
      <c r="CP922" s="13" t="str">
        <f t="shared" si="149"/>
        <v/>
      </c>
      <c r="CQ922" s="13" t="str">
        <f t="shared" si="149"/>
        <v/>
      </c>
      <c r="CR922" t="str">
        <f>IF(DJ922&lt;&gt;"",REPLACE(REPLACE(INDEX($DR$4:$DR$1516,MATCH(DJ922,$DS$4:$DS$1516,0)),6,1,#REF!),1,1,#REF!),"")</f>
        <v/>
      </c>
      <c r="CS922" t="str">
        <f>IF(DK922&lt;&gt;"",REPLACE(REPLACE(INDEX($DR$4:$DR$1516,MATCH(DK922,$DS$4:$DS$1516,0)),6,1,#REF!),1,1,#REF!),"")</f>
        <v/>
      </c>
      <c r="CT922" t="str">
        <f>IF(DL922&lt;&gt;"",REPLACE(REPLACE(INDEX($DR$4:$DR$1516,MATCH(DL922,$DS$4:$DS$1516,0)),6,1,#REF!),1,1,#REF!),"")</f>
        <v/>
      </c>
      <c r="CU922" t="str">
        <f>IF(DM922&lt;&gt;"",REPLACE(REPLACE(INDEX($DR$4:$DR$1516,MATCH(DM922,$DS$4:$DS$1516,0)),6,1,#REF!),1,1,#REF!),"")</f>
        <v/>
      </c>
      <c r="CV922" t="str">
        <f>IF(DN922&lt;&gt;"",REPLACE(REPLACE(INDEX($DR$4:$DR$1516,MATCH(DN922,$DS$4:$DS$1516,0)),6,1,#REF!),1,1,#REF!),"")</f>
        <v/>
      </c>
      <c r="CW922" t="str">
        <f>IF(DO922&lt;&gt;"",REPLACE(REPLACE(INDEX($DR$4:$DR$1516,MATCH(DO922,$DS$4:$DS$1516,0)),6,1,#REF!),1,1,#REF!),"")</f>
        <v/>
      </c>
      <c r="DR922">
        <v>5605114</v>
      </c>
      <c r="DS922" t="s">
        <v>316</v>
      </c>
    </row>
    <row r="923" spans="90:123" x14ac:dyDescent="0.15">
      <c r="CL923" s="13" t="str">
        <f t="shared" si="149"/>
        <v/>
      </c>
      <c r="CM923" s="13" t="str">
        <f t="shared" si="149"/>
        <v/>
      </c>
      <c r="CN923" s="13" t="str">
        <f t="shared" si="149"/>
        <v/>
      </c>
      <c r="CO923" s="13" t="str">
        <f t="shared" si="149"/>
        <v/>
      </c>
      <c r="CP923" s="13" t="str">
        <f t="shared" si="149"/>
        <v/>
      </c>
      <c r="CQ923" s="13" t="str">
        <f t="shared" si="149"/>
        <v/>
      </c>
      <c r="CR923" t="str">
        <f>IF(DJ923&lt;&gt;"",REPLACE(REPLACE(INDEX($DR$4:$DR$1516,MATCH(DJ923,$DS$4:$DS$1516,0)),6,1,#REF!),1,1,#REF!),"")</f>
        <v/>
      </c>
      <c r="CS923" t="str">
        <f>IF(DK923&lt;&gt;"",REPLACE(REPLACE(INDEX($DR$4:$DR$1516,MATCH(DK923,$DS$4:$DS$1516,0)),6,1,#REF!),1,1,#REF!),"")</f>
        <v/>
      </c>
      <c r="CT923" t="str">
        <f>IF(DL923&lt;&gt;"",REPLACE(REPLACE(INDEX($DR$4:$DR$1516,MATCH(DL923,$DS$4:$DS$1516,0)),6,1,#REF!),1,1,#REF!),"")</f>
        <v/>
      </c>
      <c r="CU923" t="str">
        <f>IF(DM923&lt;&gt;"",REPLACE(REPLACE(INDEX($DR$4:$DR$1516,MATCH(DM923,$DS$4:$DS$1516,0)),6,1,#REF!),1,1,#REF!),"")</f>
        <v/>
      </c>
      <c r="CV923" t="str">
        <f>IF(DN923&lt;&gt;"",REPLACE(REPLACE(INDEX($DR$4:$DR$1516,MATCH(DN923,$DS$4:$DS$1516,0)),6,1,#REF!),1,1,#REF!),"")</f>
        <v/>
      </c>
      <c r="CW923" t="str">
        <f>IF(DO923&lt;&gt;"",REPLACE(REPLACE(INDEX($DR$4:$DR$1516,MATCH(DO923,$DS$4:$DS$1516,0)),6,1,#REF!),1,1,#REF!),"")</f>
        <v/>
      </c>
      <c r="DR923">
        <v>5305115</v>
      </c>
      <c r="DS923" t="s">
        <v>317</v>
      </c>
    </row>
    <row r="924" spans="90:123" x14ac:dyDescent="0.15">
      <c r="CL924" s="13" t="str">
        <f t="shared" si="149"/>
        <v/>
      </c>
      <c r="CM924" s="13" t="str">
        <f t="shared" si="149"/>
        <v/>
      </c>
      <c r="CN924" s="13" t="str">
        <f t="shared" si="149"/>
        <v/>
      </c>
      <c r="CO924" s="13" t="str">
        <f t="shared" si="149"/>
        <v/>
      </c>
      <c r="CP924" s="13" t="str">
        <f t="shared" si="149"/>
        <v/>
      </c>
      <c r="CQ924" s="13" t="str">
        <f t="shared" si="149"/>
        <v/>
      </c>
      <c r="CR924" t="str">
        <f>IF(DJ924&lt;&gt;"",REPLACE(REPLACE(INDEX($DR$4:$DR$1516,MATCH(DJ924,$DS$4:$DS$1516,0)),6,1,#REF!),1,1,#REF!),"")</f>
        <v/>
      </c>
      <c r="CS924" t="str">
        <f>IF(DK924&lt;&gt;"",REPLACE(REPLACE(INDEX($DR$4:$DR$1516,MATCH(DK924,$DS$4:$DS$1516,0)),6,1,#REF!),1,1,#REF!),"")</f>
        <v/>
      </c>
      <c r="CT924" t="str">
        <f>IF(DL924&lt;&gt;"",REPLACE(REPLACE(INDEX($DR$4:$DR$1516,MATCH(DL924,$DS$4:$DS$1516,0)),6,1,#REF!),1,1,#REF!),"")</f>
        <v/>
      </c>
      <c r="CU924" t="str">
        <f>IF(DM924&lt;&gt;"",REPLACE(REPLACE(INDEX($DR$4:$DR$1516,MATCH(DM924,$DS$4:$DS$1516,0)),6,1,#REF!),1,1,#REF!),"")</f>
        <v/>
      </c>
      <c r="CV924" t="str">
        <f>IF(DN924&lt;&gt;"",REPLACE(REPLACE(INDEX($DR$4:$DR$1516,MATCH(DN924,$DS$4:$DS$1516,0)),6,1,#REF!),1,1,#REF!),"")</f>
        <v/>
      </c>
      <c r="CW924" t="str">
        <f>IF(DO924&lt;&gt;"",REPLACE(REPLACE(INDEX($DR$4:$DR$1516,MATCH(DO924,$DS$4:$DS$1516,0)),6,1,#REF!),1,1,#REF!),"")</f>
        <v/>
      </c>
      <c r="DR924">
        <v>5307115</v>
      </c>
      <c r="DS924" t="s">
        <v>318</v>
      </c>
    </row>
    <row r="925" spans="90:123" x14ac:dyDescent="0.15">
      <c r="CL925" s="13" t="str">
        <f t="shared" si="149"/>
        <v/>
      </c>
      <c r="CM925" s="13" t="str">
        <f t="shared" si="149"/>
        <v/>
      </c>
      <c r="CN925" s="13" t="str">
        <f t="shared" si="149"/>
        <v/>
      </c>
      <c r="CO925" s="13" t="str">
        <f t="shared" si="149"/>
        <v/>
      </c>
      <c r="CP925" s="13" t="str">
        <f t="shared" si="149"/>
        <v/>
      </c>
      <c r="CQ925" s="13" t="str">
        <f t="shared" si="149"/>
        <v/>
      </c>
      <c r="CR925" t="str">
        <f>IF(DJ925&lt;&gt;"",REPLACE(REPLACE(INDEX($DR$4:$DR$1516,MATCH(DJ925,$DS$4:$DS$1516,0)),6,1,#REF!),1,1,#REF!),"")</f>
        <v/>
      </c>
      <c r="CS925" t="str">
        <f>IF(DK925&lt;&gt;"",REPLACE(REPLACE(INDEX($DR$4:$DR$1516,MATCH(DK925,$DS$4:$DS$1516,0)),6,1,#REF!),1,1,#REF!),"")</f>
        <v/>
      </c>
      <c r="CT925" t="str">
        <f>IF(DL925&lt;&gt;"",REPLACE(REPLACE(INDEX($DR$4:$DR$1516,MATCH(DL925,$DS$4:$DS$1516,0)),6,1,#REF!),1,1,#REF!),"")</f>
        <v/>
      </c>
      <c r="CU925" t="str">
        <f>IF(DM925&lt;&gt;"",REPLACE(REPLACE(INDEX($DR$4:$DR$1516,MATCH(DM925,$DS$4:$DS$1516,0)),6,1,#REF!),1,1,#REF!),"")</f>
        <v/>
      </c>
      <c r="CV925" t="str">
        <f>IF(DN925&lt;&gt;"",REPLACE(REPLACE(INDEX($DR$4:$DR$1516,MATCH(DN925,$DS$4:$DS$1516,0)),6,1,#REF!),1,1,#REF!),"")</f>
        <v/>
      </c>
      <c r="CW925" t="str">
        <f>IF(DO925&lt;&gt;"",REPLACE(REPLACE(INDEX($DR$4:$DR$1516,MATCH(DO925,$DS$4:$DS$1516,0)),6,1,#REF!),1,1,#REF!),"")</f>
        <v/>
      </c>
      <c r="DR925">
        <v>5407115</v>
      </c>
      <c r="DS925" t="s">
        <v>319</v>
      </c>
    </row>
    <row r="926" spans="90:123" x14ac:dyDescent="0.15">
      <c r="CL926" s="13" t="str">
        <f t="shared" si="149"/>
        <v/>
      </c>
      <c r="CM926" s="13" t="str">
        <f t="shared" si="149"/>
        <v/>
      </c>
      <c r="CN926" s="13" t="str">
        <f t="shared" si="149"/>
        <v/>
      </c>
      <c r="CO926" s="13" t="str">
        <f t="shared" si="149"/>
        <v/>
      </c>
      <c r="CP926" s="13" t="str">
        <f t="shared" si="149"/>
        <v/>
      </c>
      <c r="CQ926" s="13" t="str">
        <f t="shared" si="149"/>
        <v/>
      </c>
      <c r="CR926" t="str">
        <f>IF(DJ926&lt;&gt;"",REPLACE(REPLACE(INDEX($DR$4:$DR$1516,MATCH(DJ926,$DS$4:$DS$1516,0)),6,1,#REF!),1,1,#REF!),"")</f>
        <v/>
      </c>
      <c r="CS926" t="str">
        <f>IF(DK926&lt;&gt;"",REPLACE(REPLACE(INDEX($DR$4:$DR$1516,MATCH(DK926,$DS$4:$DS$1516,0)),6,1,#REF!),1,1,#REF!),"")</f>
        <v/>
      </c>
      <c r="CT926" t="str">
        <f>IF(DL926&lt;&gt;"",REPLACE(REPLACE(INDEX($DR$4:$DR$1516,MATCH(DL926,$DS$4:$DS$1516,0)),6,1,#REF!),1,1,#REF!),"")</f>
        <v/>
      </c>
      <c r="CU926" t="str">
        <f>IF(DM926&lt;&gt;"",REPLACE(REPLACE(INDEX($DR$4:$DR$1516,MATCH(DM926,$DS$4:$DS$1516,0)),6,1,#REF!),1,1,#REF!),"")</f>
        <v/>
      </c>
      <c r="CV926" t="str">
        <f>IF(DN926&lt;&gt;"",REPLACE(REPLACE(INDEX($DR$4:$DR$1516,MATCH(DN926,$DS$4:$DS$1516,0)),6,1,#REF!),1,1,#REF!),"")</f>
        <v/>
      </c>
      <c r="CW926" t="str">
        <f>IF(DO926&lt;&gt;"",REPLACE(REPLACE(INDEX($DR$4:$DR$1516,MATCH(DO926,$DS$4:$DS$1516,0)),6,1,#REF!),1,1,#REF!),"")</f>
        <v/>
      </c>
      <c r="DR926">
        <v>5207121</v>
      </c>
      <c r="DS926" t="s">
        <v>287</v>
      </c>
    </row>
    <row r="927" spans="90:123" x14ac:dyDescent="0.15">
      <c r="CL927" s="13" t="str">
        <f t="shared" si="149"/>
        <v/>
      </c>
      <c r="CM927" s="13" t="str">
        <f t="shared" si="149"/>
        <v/>
      </c>
      <c r="CN927" s="13" t="str">
        <f t="shared" si="149"/>
        <v/>
      </c>
      <c r="CO927" s="13" t="str">
        <f t="shared" si="149"/>
        <v/>
      </c>
      <c r="CP927" s="13" t="str">
        <f t="shared" si="149"/>
        <v/>
      </c>
      <c r="CQ927" s="13" t="str">
        <f t="shared" si="149"/>
        <v/>
      </c>
      <c r="CR927" t="str">
        <f>IF(DJ927&lt;&gt;"",REPLACE(REPLACE(INDEX($DR$4:$DR$1516,MATCH(DJ927,$DS$4:$DS$1516,0)),6,1,#REF!),1,1,#REF!),"")</f>
        <v/>
      </c>
      <c r="CS927" t="str">
        <f>IF(DK927&lt;&gt;"",REPLACE(REPLACE(INDEX($DR$4:$DR$1516,MATCH(DK927,$DS$4:$DS$1516,0)),6,1,#REF!),1,1,#REF!),"")</f>
        <v/>
      </c>
      <c r="CT927" t="str">
        <f>IF(DL927&lt;&gt;"",REPLACE(REPLACE(INDEX($DR$4:$DR$1516,MATCH(DL927,$DS$4:$DS$1516,0)),6,1,#REF!),1,1,#REF!),"")</f>
        <v/>
      </c>
      <c r="CU927" t="str">
        <f>IF(DM927&lt;&gt;"",REPLACE(REPLACE(INDEX($DR$4:$DR$1516,MATCH(DM927,$DS$4:$DS$1516,0)),6,1,#REF!),1,1,#REF!),"")</f>
        <v/>
      </c>
      <c r="CV927" t="str">
        <f>IF(DN927&lt;&gt;"",REPLACE(REPLACE(INDEX($DR$4:$DR$1516,MATCH(DN927,$DS$4:$DS$1516,0)),6,1,#REF!),1,1,#REF!),"")</f>
        <v/>
      </c>
      <c r="CW927" t="str">
        <f>IF(DO927&lt;&gt;"",REPLACE(REPLACE(INDEX($DR$4:$DR$1516,MATCH(DO927,$DS$4:$DS$1516,0)),6,1,#REF!),1,1,#REF!),"")</f>
        <v/>
      </c>
      <c r="DR927">
        <v>5208121</v>
      </c>
      <c r="DS927" t="s">
        <v>288</v>
      </c>
    </row>
    <row r="928" spans="90:123" x14ac:dyDescent="0.15">
      <c r="CL928" s="13" t="str">
        <f t="shared" si="149"/>
        <v/>
      </c>
      <c r="CM928" s="13" t="str">
        <f t="shared" si="149"/>
        <v/>
      </c>
      <c r="CN928" s="13" t="str">
        <f t="shared" si="149"/>
        <v/>
      </c>
      <c r="CO928" s="13" t="str">
        <f t="shared" si="149"/>
        <v/>
      </c>
      <c r="CP928" s="13" t="str">
        <f t="shared" si="149"/>
        <v/>
      </c>
      <c r="CQ928" s="13" t="str">
        <f t="shared" si="149"/>
        <v/>
      </c>
      <c r="CR928" t="str">
        <f>IF(DJ928&lt;&gt;"",REPLACE(REPLACE(INDEX($DR$4:$DR$1516,MATCH(DJ928,$DS$4:$DS$1516,0)),6,1,#REF!),1,1,#REF!),"")</f>
        <v/>
      </c>
      <c r="CS928" t="str">
        <f>IF(DK928&lt;&gt;"",REPLACE(REPLACE(INDEX($DR$4:$DR$1516,MATCH(DK928,$DS$4:$DS$1516,0)),6,1,#REF!),1,1,#REF!),"")</f>
        <v/>
      </c>
      <c r="CT928" t="str">
        <f>IF(DL928&lt;&gt;"",REPLACE(REPLACE(INDEX($DR$4:$DR$1516,MATCH(DL928,$DS$4:$DS$1516,0)),6,1,#REF!),1,1,#REF!),"")</f>
        <v/>
      </c>
      <c r="CU928" t="str">
        <f>IF(DM928&lt;&gt;"",REPLACE(REPLACE(INDEX($DR$4:$DR$1516,MATCH(DM928,$DS$4:$DS$1516,0)),6,1,#REF!),1,1,#REF!),"")</f>
        <v/>
      </c>
      <c r="CV928" t="str">
        <f>IF(DN928&lt;&gt;"",REPLACE(REPLACE(INDEX($DR$4:$DR$1516,MATCH(DN928,$DS$4:$DS$1516,0)),6,1,#REF!),1,1,#REF!),"")</f>
        <v/>
      </c>
      <c r="CW928" t="str">
        <f>IF(DO928&lt;&gt;"",REPLACE(REPLACE(INDEX($DR$4:$DR$1516,MATCH(DO928,$DS$4:$DS$1516,0)),6,1,#REF!),1,1,#REF!),"")</f>
        <v/>
      </c>
      <c r="DR928">
        <v>5209121</v>
      </c>
      <c r="DS928" t="s">
        <v>289</v>
      </c>
    </row>
    <row r="929" spans="90:123" x14ac:dyDescent="0.15">
      <c r="CL929" s="13" t="str">
        <f t="shared" si="149"/>
        <v/>
      </c>
      <c r="CM929" s="13" t="str">
        <f t="shared" si="149"/>
        <v/>
      </c>
      <c r="CN929" s="13" t="str">
        <f t="shared" si="149"/>
        <v/>
      </c>
      <c r="CO929" s="13" t="str">
        <f t="shared" si="149"/>
        <v/>
      </c>
      <c r="CP929" s="13" t="str">
        <f t="shared" si="149"/>
        <v/>
      </c>
      <c r="CQ929" s="13" t="str">
        <f t="shared" si="149"/>
        <v/>
      </c>
      <c r="CR929" t="str">
        <f>IF(DJ929&lt;&gt;"",REPLACE(REPLACE(INDEX($DR$4:$DR$1516,MATCH(DJ929,$DS$4:$DS$1516,0)),6,1,#REF!),1,1,#REF!),"")</f>
        <v/>
      </c>
      <c r="CS929" t="str">
        <f>IF(DK929&lt;&gt;"",REPLACE(REPLACE(INDEX($DR$4:$DR$1516,MATCH(DK929,$DS$4:$DS$1516,0)),6,1,#REF!),1,1,#REF!),"")</f>
        <v/>
      </c>
      <c r="CT929" t="str">
        <f>IF(DL929&lt;&gt;"",REPLACE(REPLACE(INDEX($DR$4:$DR$1516,MATCH(DL929,$DS$4:$DS$1516,0)),6,1,#REF!),1,1,#REF!),"")</f>
        <v/>
      </c>
      <c r="CU929" t="str">
        <f>IF(DM929&lt;&gt;"",REPLACE(REPLACE(INDEX($DR$4:$DR$1516,MATCH(DM929,$DS$4:$DS$1516,0)),6,1,#REF!),1,1,#REF!),"")</f>
        <v/>
      </c>
      <c r="CV929" t="str">
        <f>IF(DN929&lt;&gt;"",REPLACE(REPLACE(INDEX($DR$4:$DR$1516,MATCH(DN929,$DS$4:$DS$1516,0)),6,1,#REF!),1,1,#REF!),"")</f>
        <v/>
      </c>
      <c r="CW929" t="str">
        <f>IF(DO929&lt;&gt;"",REPLACE(REPLACE(INDEX($DR$4:$DR$1516,MATCH(DO929,$DS$4:$DS$1516,0)),6,1,#REF!),1,1,#REF!),"")</f>
        <v/>
      </c>
      <c r="DR929">
        <v>5306121</v>
      </c>
      <c r="DS929" t="s">
        <v>290</v>
      </c>
    </row>
    <row r="930" spans="90:123" x14ac:dyDescent="0.15">
      <c r="CL930" s="13" t="str">
        <f t="shared" si="149"/>
        <v/>
      </c>
      <c r="CM930" s="13" t="str">
        <f t="shared" si="149"/>
        <v/>
      </c>
      <c r="CN930" s="13" t="str">
        <f t="shared" si="149"/>
        <v/>
      </c>
      <c r="CO930" s="13" t="str">
        <f t="shared" si="149"/>
        <v/>
      </c>
      <c r="CP930" s="13" t="str">
        <f t="shared" si="149"/>
        <v/>
      </c>
      <c r="CQ930" s="13" t="str">
        <f t="shared" si="149"/>
        <v/>
      </c>
      <c r="CR930" t="str">
        <f>IF(DJ930&lt;&gt;"",REPLACE(REPLACE(INDEX($DR$4:$DR$1516,MATCH(DJ930,$DS$4:$DS$1516,0)),6,1,#REF!),1,1,#REF!),"")</f>
        <v/>
      </c>
      <c r="CS930" t="str">
        <f>IF(DK930&lt;&gt;"",REPLACE(REPLACE(INDEX($DR$4:$DR$1516,MATCH(DK930,$DS$4:$DS$1516,0)),6,1,#REF!),1,1,#REF!),"")</f>
        <v/>
      </c>
      <c r="CT930" t="str">
        <f>IF(DL930&lt;&gt;"",REPLACE(REPLACE(INDEX($DR$4:$DR$1516,MATCH(DL930,$DS$4:$DS$1516,0)),6,1,#REF!),1,1,#REF!),"")</f>
        <v/>
      </c>
      <c r="CU930" t="str">
        <f>IF(DM930&lt;&gt;"",REPLACE(REPLACE(INDEX($DR$4:$DR$1516,MATCH(DM930,$DS$4:$DS$1516,0)),6,1,#REF!),1,1,#REF!),"")</f>
        <v/>
      </c>
      <c r="CV930" t="str">
        <f>IF(DN930&lt;&gt;"",REPLACE(REPLACE(INDEX($DR$4:$DR$1516,MATCH(DN930,$DS$4:$DS$1516,0)),6,1,#REF!),1,1,#REF!),"")</f>
        <v/>
      </c>
      <c r="CW930" t="str">
        <f>IF(DO930&lt;&gt;"",REPLACE(REPLACE(INDEX($DR$4:$DR$1516,MATCH(DO930,$DS$4:$DS$1516,0)),6,1,#REF!),1,1,#REF!),"")</f>
        <v/>
      </c>
      <c r="DR930">
        <v>5408121</v>
      </c>
      <c r="DS930" t="s">
        <v>291</v>
      </c>
    </row>
    <row r="931" spans="90:123" x14ac:dyDescent="0.15">
      <c r="CL931" s="13" t="str">
        <f t="shared" si="149"/>
        <v/>
      </c>
      <c r="CM931" s="13" t="str">
        <f t="shared" si="149"/>
        <v/>
      </c>
      <c r="CN931" s="13" t="str">
        <f t="shared" si="149"/>
        <v/>
      </c>
      <c r="CO931" s="13" t="str">
        <f t="shared" si="149"/>
        <v/>
      </c>
      <c r="CP931" s="13" t="str">
        <f t="shared" si="149"/>
        <v/>
      </c>
      <c r="CQ931" s="13" t="str">
        <f t="shared" si="149"/>
        <v/>
      </c>
      <c r="CR931" t="str">
        <f>IF(DJ931&lt;&gt;"",REPLACE(REPLACE(INDEX($DR$4:$DR$1516,MATCH(DJ931,$DS$4:$DS$1516,0)),6,1,#REF!),1,1,#REF!),"")</f>
        <v/>
      </c>
      <c r="CS931" t="str">
        <f>IF(DK931&lt;&gt;"",REPLACE(REPLACE(INDEX($DR$4:$DR$1516,MATCH(DK931,$DS$4:$DS$1516,0)),6,1,#REF!),1,1,#REF!),"")</f>
        <v/>
      </c>
      <c r="CT931" t="str">
        <f>IF(DL931&lt;&gt;"",REPLACE(REPLACE(INDEX($DR$4:$DR$1516,MATCH(DL931,$DS$4:$DS$1516,0)),6,1,#REF!),1,1,#REF!),"")</f>
        <v/>
      </c>
      <c r="CU931" t="str">
        <f>IF(DM931&lt;&gt;"",REPLACE(REPLACE(INDEX($DR$4:$DR$1516,MATCH(DM931,$DS$4:$DS$1516,0)),6,1,#REF!),1,1,#REF!),"")</f>
        <v/>
      </c>
      <c r="CV931" t="str">
        <f>IF(DN931&lt;&gt;"",REPLACE(REPLACE(INDEX($DR$4:$DR$1516,MATCH(DN931,$DS$4:$DS$1516,0)),6,1,#REF!),1,1,#REF!),"")</f>
        <v/>
      </c>
      <c r="CW931" t="str">
        <f>IF(DO931&lt;&gt;"",REPLACE(REPLACE(INDEX($DR$4:$DR$1516,MATCH(DO931,$DS$4:$DS$1516,0)),6,1,#REF!),1,1,#REF!),"")</f>
        <v/>
      </c>
      <c r="DR931">
        <v>5409121</v>
      </c>
      <c r="DS931" t="s">
        <v>292</v>
      </c>
    </row>
    <row r="932" spans="90:123" x14ac:dyDescent="0.15">
      <c r="CL932" s="13" t="str">
        <f t="shared" si="149"/>
        <v/>
      </c>
      <c r="CM932" s="13" t="str">
        <f t="shared" si="149"/>
        <v/>
      </c>
      <c r="CN932" s="13" t="str">
        <f t="shared" si="149"/>
        <v/>
      </c>
      <c r="CO932" s="13" t="str">
        <f t="shared" si="149"/>
        <v/>
      </c>
      <c r="CP932" s="13" t="str">
        <f t="shared" si="149"/>
        <v/>
      </c>
      <c r="CQ932" s="13" t="str">
        <f t="shared" si="149"/>
        <v/>
      </c>
      <c r="CR932" t="str">
        <f>IF(DJ932&lt;&gt;"",REPLACE(REPLACE(INDEX($DR$4:$DR$1516,MATCH(DJ932,$DS$4:$DS$1516,0)),6,1,#REF!),1,1,#REF!),"")</f>
        <v/>
      </c>
      <c r="CS932" t="str">
        <f>IF(DK932&lt;&gt;"",REPLACE(REPLACE(INDEX($DR$4:$DR$1516,MATCH(DK932,$DS$4:$DS$1516,0)),6,1,#REF!),1,1,#REF!),"")</f>
        <v/>
      </c>
      <c r="CT932" t="str">
        <f>IF(DL932&lt;&gt;"",REPLACE(REPLACE(INDEX($DR$4:$DR$1516,MATCH(DL932,$DS$4:$DS$1516,0)),6,1,#REF!),1,1,#REF!),"")</f>
        <v/>
      </c>
      <c r="CU932" t="str">
        <f>IF(DM932&lt;&gt;"",REPLACE(REPLACE(INDEX($DR$4:$DR$1516,MATCH(DM932,$DS$4:$DS$1516,0)),6,1,#REF!),1,1,#REF!),"")</f>
        <v/>
      </c>
      <c r="CV932" t="str">
        <f>IF(DN932&lt;&gt;"",REPLACE(REPLACE(INDEX($DR$4:$DR$1516,MATCH(DN932,$DS$4:$DS$1516,0)),6,1,#REF!),1,1,#REF!),"")</f>
        <v/>
      </c>
      <c r="CW932" t="str">
        <f>IF(DO932&lt;&gt;"",REPLACE(REPLACE(INDEX($DR$4:$DR$1516,MATCH(DO932,$DS$4:$DS$1516,0)),6,1,#REF!),1,1,#REF!),"")</f>
        <v/>
      </c>
      <c r="DR932">
        <v>5505121</v>
      </c>
      <c r="DS932" t="s">
        <v>293</v>
      </c>
    </row>
    <row r="933" spans="90:123" x14ac:dyDescent="0.15">
      <c r="CL933" s="13" t="str">
        <f t="shared" si="149"/>
        <v/>
      </c>
      <c r="CM933" s="13" t="str">
        <f t="shared" si="149"/>
        <v/>
      </c>
      <c r="CN933" s="13" t="str">
        <f t="shared" si="149"/>
        <v/>
      </c>
      <c r="CO933" s="13" t="str">
        <f t="shared" si="149"/>
        <v/>
      </c>
      <c r="CP933" s="13" t="str">
        <f t="shared" si="149"/>
        <v/>
      </c>
      <c r="CQ933" s="13" t="str">
        <f t="shared" si="149"/>
        <v/>
      </c>
      <c r="CR933" t="str">
        <f>IF(DJ933&lt;&gt;"",REPLACE(REPLACE(INDEX($DR$4:$DR$1516,MATCH(DJ933,$DS$4:$DS$1516,0)),6,1,#REF!),1,1,#REF!),"")</f>
        <v/>
      </c>
      <c r="CS933" t="str">
        <f>IF(DK933&lt;&gt;"",REPLACE(REPLACE(INDEX($DR$4:$DR$1516,MATCH(DK933,$DS$4:$DS$1516,0)),6,1,#REF!),1,1,#REF!),"")</f>
        <v/>
      </c>
      <c r="CT933" t="str">
        <f>IF(DL933&lt;&gt;"",REPLACE(REPLACE(INDEX($DR$4:$DR$1516,MATCH(DL933,$DS$4:$DS$1516,0)),6,1,#REF!),1,1,#REF!),"")</f>
        <v/>
      </c>
      <c r="CU933" t="str">
        <f>IF(DM933&lt;&gt;"",REPLACE(REPLACE(INDEX($DR$4:$DR$1516,MATCH(DM933,$DS$4:$DS$1516,0)),6,1,#REF!),1,1,#REF!),"")</f>
        <v/>
      </c>
      <c r="CV933" t="str">
        <f>IF(DN933&lt;&gt;"",REPLACE(REPLACE(INDEX($DR$4:$DR$1516,MATCH(DN933,$DS$4:$DS$1516,0)),6,1,#REF!),1,1,#REF!),"")</f>
        <v/>
      </c>
      <c r="CW933" t="str">
        <f>IF(DO933&lt;&gt;"",REPLACE(REPLACE(INDEX($DR$4:$DR$1516,MATCH(DO933,$DS$4:$DS$1516,0)),6,1,#REF!),1,1,#REF!),"")</f>
        <v/>
      </c>
      <c r="DR933">
        <v>5507121</v>
      </c>
      <c r="DS933" t="s">
        <v>294</v>
      </c>
    </row>
    <row r="934" spans="90:123" x14ac:dyDescent="0.15">
      <c r="CL934" s="13" t="str">
        <f t="shared" si="149"/>
        <v/>
      </c>
      <c r="CM934" s="13" t="str">
        <f t="shared" si="149"/>
        <v/>
      </c>
      <c r="CN934" s="13" t="str">
        <f t="shared" si="149"/>
        <v/>
      </c>
      <c r="CO934" s="13" t="str">
        <f t="shared" si="149"/>
        <v/>
      </c>
      <c r="CP934" s="13" t="str">
        <f t="shared" si="149"/>
        <v/>
      </c>
      <c r="CQ934" s="13" t="str">
        <f t="shared" si="149"/>
        <v/>
      </c>
      <c r="CR934" t="str">
        <f>IF(DJ934&lt;&gt;"",REPLACE(REPLACE(INDEX($DR$4:$DR$1516,MATCH(DJ934,$DS$4:$DS$1516,0)),6,1,#REF!),1,1,#REF!),"")</f>
        <v/>
      </c>
      <c r="CS934" t="str">
        <f>IF(DK934&lt;&gt;"",REPLACE(REPLACE(INDEX($DR$4:$DR$1516,MATCH(DK934,$DS$4:$DS$1516,0)),6,1,#REF!),1,1,#REF!),"")</f>
        <v/>
      </c>
      <c r="CT934" t="str">
        <f>IF(DL934&lt;&gt;"",REPLACE(REPLACE(INDEX($DR$4:$DR$1516,MATCH(DL934,$DS$4:$DS$1516,0)),6,1,#REF!),1,1,#REF!),"")</f>
        <v/>
      </c>
      <c r="CU934" t="str">
        <f>IF(DM934&lt;&gt;"",REPLACE(REPLACE(INDEX($DR$4:$DR$1516,MATCH(DM934,$DS$4:$DS$1516,0)),6,1,#REF!),1,1,#REF!),"")</f>
        <v/>
      </c>
      <c r="CV934" t="str">
        <f>IF(DN934&lt;&gt;"",REPLACE(REPLACE(INDEX($DR$4:$DR$1516,MATCH(DN934,$DS$4:$DS$1516,0)),6,1,#REF!),1,1,#REF!),"")</f>
        <v/>
      </c>
      <c r="CW934" t="str">
        <f>IF(DO934&lt;&gt;"",REPLACE(REPLACE(INDEX($DR$4:$DR$1516,MATCH(DO934,$DS$4:$DS$1516,0)),6,1,#REF!),1,1,#REF!),"")</f>
        <v/>
      </c>
      <c r="DR934">
        <v>5604121</v>
      </c>
      <c r="DS934" t="s">
        <v>295</v>
      </c>
    </row>
    <row r="935" spans="90:123" x14ac:dyDescent="0.15">
      <c r="CL935" s="13" t="str">
        <f t="shared" si="149"/>
        <v/>
      </c>
      <c r="CM935" s="13" t="str">
        <f t="shared" si="149"/>
        <v/>
      </c>
      <c r="CN935" s="13" t="str">
        <f t="shared" si="149"/>
        <v/>
      </c>
      <c r="CO935" s="13" t="str">
        <f t="shared" si="149"/>
        <v/>
      </c>
      <c r="CP935" s="13" t="str">
        <f t="shared" si="149"/>
        <v/>
      </c>
      <c r="CQ935" s="13" t="str">
        <f t="shared" si="149"/>
        <v/>
      </c>
      <c r="CR935" t="str">
        <f>IF(DJ935&lt;&gt;"",REPLACE(REPLACE(INDEX($DR$4:$DR$1516,MATCH(DJ935,$DS$4:$DS$1516,0)),6,1,#REF!),1,1,#REF!),"")</f>
        <v/>
      </c>
      <c r="CS935" t="str">
        <f>IF(DK935&lt;&gt;"",REPLACE(REPLACE(INDEX($DR$4:$DR$1516,MATCH(DK935,$DS$4:$DS$1516,0)),6,1,#REF!),1,1,#REF!),"")</f>
        <v/>
      </c>
      <c r="CT935" t="str">
        <f>IF(DL935&lt;&gt;"",REPLACE(REPLACE(INDEX($DR$4:$DR$1516,MATCH(DL935,$DS$4:$DS$1516,0)),6,1,#REF!),1,1,#REF!),"")</f>
        <v/>
      </c>
      <c r="CU935" t="str">
        <f>IF(DM935&lt;&gt;"",REPLACE(REPLACE(INDEX($DR$4:$DR$1516,MATCH(DM935,$DS$4:$DS$1516,0)),6,1,#REF!),1,1,#REF!),"")</f>
        <v/>
      </c>
      <c r="CV935" t="str">
        <f>IF(DN935&lt;&gt;"",REPLACE(REPLACE(INDEX($DR$4:$DR$1516,MATCH(DN935,$DS$4:$DS$1516,0)),6,1,#REF!),1,1,#REF!),"")</f>
        <v/>
      </c>
      <c r="CW935" t="str">
        <f>IF(DO935&lt;&gt;"",REPLACE(REPLACE(INDEX($DR$4:$DR$1516,MATCH(DO935,$DS$4:$DS$1516,0)),6,1,#REF!),1,1,#REF!),"")</f>
        <v/>
      </c>
      <c r="DR935">
        <v>5207122</v>
      </c>
      <c r="DS935" t="s">
        <v>296</v>
      </c>
    </row>
    <row r="936" spans="90:123" x14ac:dyDescent="0.15">
      <c r="CL936" s="13" t="str">
        <f t="shared" si="149"/>
        <v/>
      </c>
      <c r="CM936" s="13" t="str">
        <f t="shared" si="149"/>
        <v/>
      </c>
      <c r="CN936" s="13" t="str">
        <f t="shared" si="149"/>
        <v/>
      </c>
      <c r="CO936" s="13" t="str">
        <f t="shared" si="149"/>
        <v/>
      </c>
      <c r="CP936" s="13" t="str">
        <f t="shared" si="149"/>
        <v/>
      </c>
      <c r="CQ936" s="13" t="str">
        <f t="shared" si="149"/>
        <v/>
      </c>
      <c r="CR936" t="str">
        <f>IF(DJ936&lt;&gt;"",REPLACE(REPLACE(INDEX($DR$4:$DR$1516,MATCH(DJ936,$DS$4:$DS$1516,0)),6,1,#REF!),1,1,#REF!),"")</f>
        <v/>
      </c>
      <c r="CS936" t="str">
        <f>IF(DK936&lt;&gt;"",REPLACE(REPLACE(INDEX($DR$4:$DR$1516,MATCH(DK936,$DS$4:$DS$1516,0)),6,1,#REF!),1,1,#REF!),"")</f>
        <v/>
      </c>
      <c r="CT936" t="str">
        <f>IF(DL936&lt;&gt;"",REPLACE(REPLACE(INDEX($DR$4:$DR$1516,MATCH(DL936,$DS$4:$DS$1516,0)),6,1,#REF!),1,1,#REF!),"")</f>
        <v/>
      </c>
      <c r="CU936" t="str">
        <f>IF(DM936&lt;&gt;"",REPLACE(REPLACE(INDEX($DR$4:$DR$1516,MATCH(DM936,$DS$4:$DS$1516,0)),6,1,#REF!),1,1,#REF!),"")</f>
        <v/>
      </c>
      <c r="CV936" t="str">
        <f>IF(DN936&lt;&gt;"",REPLACE(REPLACE(INDEX($DR$4:$DR$1516,MATCH(DN936,$DS$4:$DS$1516,0)),6,1,#REF!),1,1,#REF!),"")</f>
        <v/>
      </c>
      <c r="CW936" t="str">
        <f>IF(DO936&lt;&gt;"",REPLACE(REPLACE(INDEX($DR$4:$DR$1516,MATCH(DO936,$DS$4:$DS$1516,0)),6,1,#REF!),1,1,#REF!),"")</f>
        <v/>
      </c>
      <c r="DR936">
        <v>5208122</v>
      </c>
      <c r="DS936" t="s">
        <v>297</v>
      </c>
    </row>
    <row r="937" spans="90:123" x14ac:dyDescent="0.15">
      <c r="CL937" s="13" t="str">
        <f t="shared" si="149"/>
        <v/>
      </c>
      <c r="CM937" s="13" t="str">
        <f t="shared" si="149"/>
        <v/>
      </c>
      <c r="CN937" s="13" t="str">
        <f t="shared" si="149"/>
        <v/>
      </c>
      <c r="CO937" s="13" t="str">
        <f t="shared" si="149"/>
        <v/>
      </c>
      <c r="CP937" s="13" t="str">
        <f t="shared" si="149"/>
        <v/>
      </c>
      <c r="CQ937" s="13" t="str">
        <f t="shared" si="149"/>
        <v/>
      </c>
      <c r="CR937" t="str">
        <f>IF(DJ937&lt;&gt;"",REPLACE(REPLACE(INDEX($DR$4:$DR$1516,MATCH(DJ937,$DS$4:$DS$1516,0)),6,1,#REF!),1,1,#REF!),"")</f>
        <v/>
      </c>
      <c r="CS937" t="str">
        <f>IF(DK937&lt;&gt;"",REPLACE(REPLACE(INDEX($DR$4:$DR$1516,MATCH(DK937,$DS$4:$DS$1516,0)),6,1,#REF!),1,1,#REF!),"")</f>
        <v/>
      </c>
      <c r="CT937" t="str">
        <f>IF(DL937&lt;&gt;"",REPLACE(REPLACE(INDEX($DR$4:$DR$1516,MATCH(DL937,$DS$4:$DS$1516,0)),6,1,#REF!),1,1,#REF!),"")</f>
        <v/>
      </c>
      <c r="CU937" t="str">
        <f>IF(DM937&lt;&gt;"",REPLACE(REPLACE(INDEX($DR$4:$DR$1516,MATCH(DM937,$DS$4:$DS$1516,0)),6,1,#REF!),1,1,#REF!),"")</f>
        <v/>
      </c>
      <c r="CV937" t="str">
        <f>IF(DN937&lt;&gt;"",REPLACE(REPLACE(INDEX($DR$4:$DR$1516,MATCH(DN937,$DS$4:$DS$1516,0)),6,1,#REF!),1,1,#REF!),"")</f>
        <v/>
      </c>
      <c r="CW937" t="str">
        <f>IF(DO937&lt;&gt;"",REPLACE(REPLACE(INDEX($DR$4:$DR$1516,MATCH(DO937,$DS$4:$DS$1516,0)),6,1,#REF!),1,1,#REF!),"")</f>
        <v/>
      </c>
      <c r="DR937">
        <v>5209122</v>
      </c>
      <c r="DS937" t="s">
        <v>298</v>
      </c>
    </row>
    <row r="938" spans="90:123" x14ac:dyDescent="0.15">
      <c r="CL938" s="13" t="str">
        <f t="shared" si="149"/>
        <v/>
      </c>
      <c r="CM938" s="13" t="str">
        <f t="shared" si="149"/>
        <v/>
      </c>
      <c r="CN938" s="13" t="str">
        <f t="shared" si="149"/>
        <v/>
      </c>
      <c r="CO938" s="13" t="str">
        <f t="shared" si="149"/>
        <v/>
      </c>
      <c r="CP938" s="13" t="str">
        <f t="shared" si="149"/>
        <v/>
      </c>
      <c r="CQ938" s="13" t="str">
        <f t="shared" si="149"/>
        <v/>
      </c>
      <c r="CR938" t="str">
        <f>IF(DJ938&lt;&gt;"",REPLACE(REPLACE(INDEX($DR$4:$DR$1516,MATCH(DJ938,$DS$4:$DS$1516,0)),6,1,#REF!),1,1,#REF!),"")</f>
        <v/>
      </c>
      <c r="CS938" t="str">
        <f>IF(DK938&lt;&gt;"",REPLACE(REPLACE(INDEX($DR$4:$DR$1516,MATCH(DK938,$DS$4:$DS$1516,0)),6,1,#REF!),1,1,#REF!),"")</f>
        <v/>
      </c>
      <c r="CT938" t="str">
        <f>IF(DL938&lt;&gt;"",REPLACE(REPLACE(INDEX($DR$4:$DR$1516,MATCH(DL938,$DS$4:$DS$1516,0)),6,1,#REF!),1,1,#REF!),"")</f>
        <v/>
      </c>
      <c r="CU938" t="str">
        <f>IF(DM938&lt;&gt;"",REPLACE(REPLACE(INDEX($DR$4:$DR$1516,MATCH(DM938,$DS$4:$DS$1516,0)),6,1,#REF!),1,1,#REF!),"")</f>
        <v/>
      </c>
      <c r="CV938" t="str">
        <f>IF(DN938&lt;&gt;"",REPLACE(REPLACE(INDEX($DR$4:$DR$1516,MATCH(DN938,$DS$4:$DS$1516,0)),6,1,#REF!),1,1,#REF!),"")</f>
        <v/>
      </c>
      <c r="CW938" t="str">
        <f>IF(DO938&lt;&gt;"",REPLACE(REPLACE(INDEX($DR$4:$DR$1516,MATCH(DO938,$DS$4:$DS$1516,0)),6,1,#REF!),1,1,#REF!),"")</f>
        <v/>
      </c>
      <c r="DR938">
        <v>5306122</v>
      </c>
      <c r="DS938" t="s">
        <v>299</v>
      </c>
    </row>
    <row r="939" spans="90:123" x14ac:dyDescent="0.15">
      <c r="CL939" s="13" t="str">
        <f t="shared" si="149"/>
        <v/>
      </c>
      <c r="CM939" s="13" t="str">
        <f t="shared" si="149"/>
        <v/>
      </c>
      <c r="CN939" s="13" t="str">
        <f t="shared" si="149"/>
        <v/>
      </c>
      <c r="CO939" s="13" t="str">
        <f t="shared" si="149"/>
        <v/>
      </c>
      <c r="CP939" s="13" t="str">
        <f t="shared" si="149"/>
        <v/>
      </c>
      <c r="CQ939" s="13" t="str">
        <f t="shared" si="149"/>
        <v/>
      </c>
      <c r="CR939" t="str">
        <f>IF(DJ939&lt;&gt;"",REPLACE(REPLACE(INDEX($DR$4:$DR$1516,MATCH(DJ939,$DS$4:$DS$1516,0)),6,1,#REF!),1,1,#REF!),"")</f>
        <v/>
      </c>
      <c r="CS939" t="str">
        <f>IF(DK939&lt;&gt;"",REPLACE(REPLACE(INDEX($DR$4:$DR$1516,MATCH(DK939,$DS$4:$DS$1516,0)),6,1,#REF!),1,1,#REF!),"")</f>
        <v/>
      </c>
      <c r="CT939" t="str">
        <f>IF(DL939&lt;&gt;"",REPLACE(REPLACE(INDEX($DR$4:$DR$1516,MATCH(DL939,$DS$4:$DS$1516,0)),6,1,#REF!),1,1,#REF!),"")</f>
        <v/>
      </c>
      <c r="CU939" t="str">
        <f>IF(DM939&lt;&gt;"",REPLACE(REPLACE(INDEX($DR$4:$DR$1516,MATCH(DM939,$DS$4:$DS$1516,0)),6,1,#REF!),1,1,#REF!),"")</f>
        <v/>
      </c>
      <c r="CV939" t="str">
        <f>IF(DN939&lt;&gt;"",REPLACE(REPLACE(INDEX($DR$4:$DR$1516,MATCH(DN939,$DS$4:$DS$1516,0)),6,1,#REF!),1,1,#REF!),"")</f>
        <v/>
      </c>
      <c r="CW939" t="str">
        <f>IF(DO939&lt;&gt;"",REPLACE(REPLACE(INDEX($DR$4:$DR$1516,MATCH(DO939,$DS$4:$DS$1516,0)),6,1,#REF!),1,1,#REF!),"")</f>
        <v/>
      </c>
      <c r="DR939">
        <v>5408122</v>
      </c>
      <c r="DS939" t="s">
        <v>300</v>
      </c>
    </row>
    <row r="940" spans="90:123" x14ac:dyDescent="0.15">
      <c r="CL940" s="13" t="str">
        <f t="shared" si="149"/>
        <v/>
      </c>
      <c r="CM940" s="13" t="str">
        <f t="shared" si="149"/>
        <v/>
      </c>
      <c r="CN940" s="13" t="str">
        <f t="shared" si="149"/>
        <v/>
      </c>
      <c r="CO940" s="13" t="str">
        <f t="shared" ref="CO940:CQ981" si="150">IF(DM940&lt;&gt;"",IF(ISERROR(MATCH(INT(CU940),$DR$4:$DR$1516,0))=FALSE,TRUE),"")</f>
        <v/>
      </c>
      <c r="CP940" s="13" t="str">
        <f t="shared" si="150"/>
        <v/>
      </c>
      <c r="CQ940" s="13" t="str">
        <f t="shared" si="150"/>
        <v/>
      </c>
      <c r="CR940" t="str">
        <f>IF(DJ940&lt;&gt;"",REPLACE(REPLACE(INDEX($DR$4:$DR$1516,MATCH(DJ940,$DS$4:$DS$1516,0)),6,1,#REF!),1,1,#REF!),"")</f>
        <v/>
      </c>
      <c r="CS940" t="str">
        <f>IF(DK940&lt;&gt;"",REPLACE(REPLACE(INDEX($DR$4:$DR$1516,MATCH(DK940,$DS$4:$DS$1516,0)),6,1,#REF!),1,1,#REF!),"")</f>
        <v/>
      </c>
      <c r="CT940" t="str">
        <f>IF(DL940&lt;&gt;"",REPLACE(REPLACE(INDEX($DR$4:$DR$1516,MATCH(DL940,$DS$4:$DS$1516,0)),6,1,#REF!),1,1,#REF!),"")</f>
        <v/>
      </c>
      <c r="CU940" t="str">
        <f>IF(DM940&lt;&gt;"",REPLACE(REPLACE(INDEX($DR$4:$DR$1516,MATCH(DM940,$DS$4:$DS$1516,0)),6,1,#REF!),1,1,#REF!),"")</f>
        <v/>
      </c>
      <c r="CV940" t="str">
        <f>IF(DN940&lt;&gt;"",REPLACE(REPLACE(INDEX($DR$4:$DR$1516,MATCH(DN940,$DS$4:$DS$1516,0)),6,1,#REF!),1,1,#REF!),"")</f>
        <v/>
      </c>
      <c r="CW940" t="str">
        <f>IF(DO940&lt;&gt;"",REPLACE(REPLACE(INDEX($DR$4:$DR$1516,MATCH(DO940,$DS$4:$DS$1516,0)),6,1,#REF!),1,1,#REF!),"")</f>
        <v/>
      </c>
      <c r="DR940">
        <v>5409122</v>
      </c>
      <c r="DS940" t="s">
        <v>301</v>
      </c>
    </row>
    <row r="941" spans="90:123" x14ac:dyDescent="0.15">
      <c r="CL941" s="13" t="str">
        <f t="shared" ref="CL941:CN981" si="151">IF(DJ941&lt;&gt;"",IF(ISERROR(MATCH(INT(CR941),$DR$4:$DR$1516,0))=FALSE,TRUE),"")</f>
        <v/>
      </c>
      <c r="CM941" s="13" t="str">
        <f t="shared" si="151"/>
        <v/>
      </c>
      <c r="CN941" s="13" t="str">
        <f t="shared" si="151"/>
        <v/>
      </c>
      <c r="CO941" s="13" t="str">
        <f t="shared" si="150"/>
        <v/>
      </c>
      <c r="CP941" s="13" t="str">
        <f t="shared" si="150"/>
        <v/>
      </c>
      <c r="CQ941" s="13" t="str">
        <f t="shared" si="150"/>
        <v/>
      </c>
      <c r="CR941" t="str">
        <f>IF(DJ941&lt;&gt;"",REPLACE(REPLACE(INDEX($DR$4:$DR$1516,MATCH(DJ941,$DS$4:$DS$1516,0)),6,1,#REF!),1,1,#REF!),"")</f>
        <v/>
      </c>
      <c r="CS941" t="str">
        <f>IF(DK941&lt;&gt;"",REPLACE(REPLACE(INDEX($DR$4:$DR$1516,MATCH(DK941,$DS$4:$DS$1516,0)),6,1,#REF!),1,1,#REF!),"")</f>
        <v/>
      </c>
      <c r="CT941" t="str">
        <f>IF(DL941&lt;&gt;"",REPLACE(REPLACE(INDEX($DR$4:$DR$1516,MATCH(DL941,$DS$4:$DS$1516,0)),6,1,#REF!),1,1,#REF!),"")</f>
        <v/>
      </c>
      <c r="CU941" t="str">
        <f>IF(DM941&lt;&gt;"",REPLACE(REPLACE(INDEX($DR$4:$DR$1516,MATCH(DM941,$DS$4:$DS$1516,0)),6,1,#REF!),1,1,#REF!),"")</f>
        <v/>
      </c>
      <c r="CV941" t="str">
        <f>IF(DN941&lt;&gt;"",REPLACE(REPLACE(INDEX($DR$4:$DR$1516,MATCH(DN941,$DS$4:$DS$1516,0)),6,1,#REF!),1,1,#REF!),"")</f>
        <v/>
      </c>
      <c r="CW941" t="str">
        <f>IF(DO941&lt;&gt;"",REPLACE(REPLACE(INDEX($DR$4:$DR$1516,MATCH(DO941,$DS$4:$DS$1516,0)),6,1,#REF!),1,1,#REF!),"")</f>
        <v/>
      </c>
      <c r="DR941">
        <v>5505122</v>
      </c>
      <c r="DS941" t="s">
        <v>302</v>
      </c>
    </row>
    <row r="942" spans="90:123" x14ac:dyDescent="0.15">
      <c r="CL942" s="13" t="str">
        <f t="shared" si="151"/>
        <v/>
      </c>
      <c r="CM942" s="13" t="str">
        <f t="shared" si="151"/>
        <v/>
      </c>
      <c r="CN942" s="13" t="str">
        <f t="shared" si="151"/>
        <v/>
      </c>
      <c r="CO942" s="13" t="str">
        <f t="shared" si="150"/>
        <v/>
      </c>
      <c r="CP942" s="13" t="str">
        <f t="shared" si="150"/>
        <v/>
      </c>
      <c r="CQ942" s="13" t="str">
        <f t="shared" si="150"/>
        <v/>
      </c>
      <c r="CR942" t="str">
        <f>IF(DJ942&lt;&gt;"",REPLACE(REPLACE(INDEX($DR$4:$DR$1516,MATCH(DJ942,$DS$4:$DS$1516,0)),6,1,#REF!),1,1,#REF!),"")</f>
        <v/>
      </c>
      <c r="CS942" t="str">
        <f>IF(DK942&lt;&gt;"",REPLACE(REPLACE(INDEX($DR$4:$DR$1516,MATCH(DK942,$DS$4:$DS$1516,0)),6,1,#REF!),1,1,#REF!),"")</f>
        <v/>
      </c>
      <c r="CT942" t="str">
        <f>IF(DL942&lt;&gt;"",REPLACE(REPLACE(INDEX($DR$4:$DR$1516,MATCH(DL942,$DS$4:$DS$1516,0)),6,1,#REF!),1,1,#REF!),"")</f>
        <v/>
      </c>
      <c r="CU942" t="str">
        <f>IF(DM942&lt;&gt;"",REPLACE(REPLACE(INDEX($DR$4:$DR$1516,MATCH(DM942,$DS$4:$DS$1516,0)),6,1,#REF!),1,1,#REF!),"")</f>
        <v/>
      </c>
      <c r="CV942" t="str">
        <f>IF(DN942&lt;&gt;"",REPLACE(REPLACE(INDEX($DR$4:$DR$1516,MATCH(DN942,$DS$4:$DS$1516,0)),6,1,#REF!),1,1,#REF!),"")</f>
        <v/>
      </c>
      <c r="CW942" t="str">
        <f>IF(DO942&lt;&gt;"",REPLACE(REPLACE(INDEX($DR$4:$DR$1516,MATCH(DO942,$DS$4:$DS$1516,0)),6,1,#REF!),1,1,#REF!),"")</f>
        <v/>
      </c>
      <c r="DR942">
        <v>5507122</v>
      </c>
      <c r="DS942" t="s">
        <v>303</v>
      </c>
    </row>
    <row r="943" spans="90:123" x14ac:dyDescent="0.15">
      <c r="CL943" s="13" t="str">
        <f t="shared" si="151"/>
        <v/>
      </c>
      <c r="CM943" s="13" t="str">
        <f t="shared" si="151"/>
        <v/>
      </c>
      <c r="CN943" s="13" t="str">
        <f t="shared" si="151"/>
        <v/>
      </c>
      <c r="CO943" s="13" t="str">
        <f t="shared" si="150"/>
        <v/>
      </c>
      <c r="CP943" s="13" t="str">
        <f t="shared" si="150"/>
        <v/>
      </c>
      <c r="CQ943" s="13" t="str">
        <f t="shared" si="150"/>
        <v/>
      </c>
      <c r="CR943" t="str">
        <f>IF(DJ943&lt;&gt;"",REPLACE(REPLACE(INDEX($DR$4:$DR$1516,MATCH(DJ943,$DS$4:$DS$1516,0)),6,1,#REF!),1,1,#REF!),"")</f>
        <v/>
      </c>
      <c r="CS943" t="str">
        <f>IF(DK943&lt;&gt;"",REPLACE(REPLACE(INDEX($DR$4:$DR$1516,MATCH(DK943,$DS$4:$DS$1516,0)),6,1,#REF!),1,1,#REF!),"")</f>
        <v/>
      </c>
      <c r="CT943" t="str">
        <f>IF(DL943&lt;&gt;"",REPLACE(REPLACE(INDEX($DR$4:$DR$1516,MATCH(DL943,$DS$4:$DS$1516,0)),6,1,#REF!),1,1,#REF!),"")</f>
        <v/>
      </c>
      <c r="CU943" t="str">
        <f>IF(DM943&lt;&gt;"",REPLACE(REPLACE(INDEX($DR$4:$DR$1516,MATCH(DM943,$DS$4:$DS$1516,0)),6,1,#REF!),1,1,#REF!),"")</f>
        <v/>
      </c>
      <c r="CV943" t="str">
        <f>IF(DN943&lt;&gt;"",REPLACE(REPLACE(INDEX($DR$4:$DR$1516,MATCH(DN943,$DS$4:$DS$1516,0)),6,1,#REF!),1,1,#REF!),"")</f>
        <v/>
      </c>
      <c r="CW943" t="str">
        <f>IF(DO943&lt;&gt;"",REPLACE(REPLACE(INDEX($DR$4:$DR$1516,MATCH(DO943,$DS$4:$DS$1516,0)),6,1,#REF!),1,1,#REF!),"")</f>
        <v/>
      </c>
      <c r="DR943">
        <v>5604122</v>
      </c>
      <c r="DS943" t="s">
        <v>304</v>
      </c>
    </row>
    <row r="944" spans="90:123" x14ac:dyDescent="0.15">
      <c r="CL944" s="13" t="str">
        <f t="shared" si="151"/>
        <v/>
      </c>
      <c r="CM944" s="13" t="str">
        <f t="shared" si="151"/>
        <v/>
      </c>
      <c r="CN944" s="13" t="str">
        <f t="shared" si="151"/>
        <v/>
      </c>
      <c r="CO944" s="13" t="str">
        <f t="shared" si="150"/>
        <v/>
      </c>
      <c r="CP944" s="13" t="str">
        <f t="shared" si="150"/>
        <v/>
      </c>
      <c r="CQ944" s="13" t="str">
        <f t="shared" si="150"/>
        <v/>
      </c>
      <c r="CR944" t="str">
        <f>IF(DJ944&lt;&gt;"",REPLACE(REPLACE(INDEX($DR$4:$DR$1516,MATCH(DJ944,$DS$4:$DS$1516,0)),6,1,#REF!),1,1,#REF!),"")</f>
        <v/>
      </c>
      <c r="CS944" t="str">
        <f>IF(DK944&lt;&gt;"",REPLACE(REPLACE(INDEX($DR$4:$DR$1516,MATCH(DK944,$DS$4:$DS$1516,0)),6,1,#REF!),1,1,#REF!),"")</f>
        <v/>
      </c>
      <c r="CT944" t="str">
        <f>IF(DL944&lt;&gt;"",REPLACE(REPLACE(INDEX($DR$4:$DR$1516,MATCH(DL944,$DS$4:$DS$1516,0)),6,1,#REF!),1,1,#REF!),"")</f>
        <v/>
      </c>
      <c r="CU944" t="str">
        <f>IF(DM944&lt;&gt;"",REPLACE(REPLACE(INDEX($DR$4:$DR$1516,MATCH(DM944,$DS$4:$DS$1516,0)),6,1,#REF!),1,1,#REF!),"")</f>
        <v/>
      </c>
      <c r="CV944" t="str">
        <f>IF(DN944&lt;&gt;"",REPLACE(REPLACE(INDEX($DR$4:$DR$1516,MATCH(DN944,$DS$4:$DS$1516,0)),6,1,#REF!),1,1,#REF!),"")</f>
        <v/>
      </c>
      <c r="CW944" t="str">
        <f>IF(DO944&lt;&gt;"",REPLACE(REPLACE(INDEX($DR$4:$DR$1516,MATCH(DO944,$DS$4:$DS$1516,0)),6,1,#REF!),1,1,#REF!),"")</f>
        <v/>
      </c>
      <c r="DR944">
        <v>5207123</v>
      </c>
      <c r="DS944" t="s">
        <v>305</v>
      </c>
    </row>
    <row r="945" spans="90:125" x14ac:dyDescent="0.15">
      <c r="CL945" s="13" t="str">
        <f t="shared" si="151"/>
        <v/>
      </c>
      <c r="CM945" s="13" t="str">
        <f t="shared" si="151"/>
        <v/>
      </c>
      <c r="CN945" s="13" t="str">
        <f t="shared" si="151"/>
        <v/>
      </c>
      <c r="CO945" s="13" t="str">
        <f t="shared" si="150"/>
        <v/>
      </c>
      <c r="CP945" s="13" t="str">
        <f t="shared" si="150"/>
        <v/>
      </c>
      <c r="CQ945" s="13" t="str">
        <f t="shared" si="150"/>
        <v/>
      </c>
      <c r="CR945" t="str">
        <f>IF(DJ945&lt;&gt;"",REPLACE(REPLACE(INDEX($DR$4:$DR$1516,MATCH(DJ945,$DS$4:$DS$1516,0)),6,1,#REF!),1,1,#REF!),"")</f>
        <v/>
      </c>
      <c r="CS945" t="str">
        <f>IF(DK945&lt;&gt;"",REPLACE(REPLACE(INDEX($DR$4:$DR$1516,MATCH(DK945,$DS$4:$DS$1516,0)),6,1,#REF!),1,1,#REF!),"")</f>
        <v/>
      </c>
      <c r="CT945" t="str">
        <f>IF(DL945&lt;&gt;"",REPLACE(REPLACE(INDEX($DR$4:$DR$1516,MATCH(DL945,$DS$4:$DS$1516,0)),6,1,#REF!),1,1,#REF!),"")</f>
        <v/>
      </c>
      <c r="CU945" t="str">
        <f>IF(DM945&lt;&gt;"",REPLACE(REPLACE(INDEX($DR$4:$DR$1516,MATCH(DM945,$DS$4:$DS$1516,0)),6,1,#REF!),1,1,#REF!),"")</f>
        <v/>
      </c>
      <c r="CV945" t="str">
        <f>IF(DN945&lt;&gt;"",REPLACE(REPLACE(INDEX($DR$4:$DR$1516,MATCH(DN945,$DS$4:$DS$1516,0)),6,1,#REF!),1,1,#REF!),"")</f>
        <v/>
      </c>
      <c r="CW945" t="str">
        <f>IF(DO945&lt;&gt;"",REPLACE(REPLACE(INDEX($DR$4:$DR$1516,MATCH(DO945,$DS$4:$DS$1516,0)),6,1,#REF!),1,1,#REF!),"")</f>
        <v/>
      </c>
      <c r="DR945">
        <v>5208123</v>
      </c>
      <c r="DS945" t="s">
        <v>306</v>
      </c>
    </row>
    <row r="946" spans="90:125" x14ac:dyDescent="0.15">
      <c r="CL946" s="13" t="str">
        <f t="shared" si="151"/>
        <v/>
      </c>
      <c r="CM946" s="13" t="str">
        <f t="shared" si="151"/>
        <v/>
      </c>
      <c r="CN946" s="13" t="str">
        <f t="shared" si="151"/>
        <v/>
      </c>
      <c r="CO946" s="13" t="str">
        <f t="shared" si="150"/>
        <v/>
      </c>
      <c r="CP946" s="13" t="str">
        <f t="shared" si="150"/>
        <v/>
      </c>
      <c r="CQ946" s="13" t="str">
        <f t="shared" si="150"/>
        <v/>
      </c>
      <c r="CR946" t="str">
        <f>IF(DJ946&lt;&gt;"",REPLACE(REPLACE(INDEX($DR$4:$DR$1516,MATCH(DJ946,$DS$4:$DS$1516,0)),6,1,#REF!),1,1,#REF!),"")</f>
        <v/>
      </c>
      <c r="CS946" t="str">
        <f>IF(DK946&lt;&gt;"",REPLACE(REPLACE(INDEX($DR$4:$DR$1516,MATCH(DK946,$DS$4:$DS$1516,0)),6,1,#REF!),1,1,#REF!),"")</f>
        <v/>
      </c>
      <c r="CT946" t="str">
        <f>IF(DL946&lt;&gt;"",REPLACE(REPLACE(INDEX($DR$4:$DR$1516,MATCH(DL946,$DS$4:$DS$1516,0)),6,1,#REF!),1,1,#REF!),"")</f>
        <v/>
      </c>
      <c r="CU946" t="str">
        <f>IF(DM946&lt;&gt;"",REPLACE(REPLACE(INDEX($DR$4:$DR$1516,MATCH(DM946,$DS$4:$DS$1516,0)),6,1,#REF!),1,1,#REF!),"")</f>
        <v/>
      </c>
      <c r="CV946" t="str">
        <f>IF(DN946&lt;&gt;"",REPLACE(REPLACE(INDEX($DR$4:$DR$1516,MATCH(DN946,$DS$4:$DS$1516,0)),6,1,#REF!),1,1,#REF!),"")</f>
        <v/>
      </c>
      <c r="CW946" t="str">
        <f>IF(DO946&lt;&gt;"",REPLACE(REPLACE(INDEX($DR$4:$DR$1516,MATCH(DO946,$DS$4:$DS$1516,0)),6,1,#REF!),1,1,#REF!),"")</f>
        <v/>
      </c>
      <c r="DR946">
        <v>5209123</v>
      </c>
      <c r="DS946" t="s">
        <v>307</v>
      </c>
    </row>
    <row r="947" spans="90:125" x14ac:dyDescent="0.15">
      <c r="CL947" s="13" t="str">
        <f t="shared" si="151"/>
        <v/>
      </c>
      <c r="CM947" s="13" t="str">
        <f t="shared" si="151"/>
        <v/>
      </c>
      <c r="CN947" s="13" t="str">
        <f t="shared" si="151"/>
        <v/>
      </c>
      <c r="CO947" s="13" t="str">
        <f t="shared" si="150"/>
        <v/>
      </c>
      <c r="CP947" s="13" t="str">
        <f t="shared" si="150"/>
        <v/>
      </c>
      <c r="CQ947" s="13" t="str">
        <f t="shared" si="150"/>
        <v/>
      </c>
      <c r="CR947" t="str">
        <f>IF(DJ947&lt;&gt;"",REPLACE(REPLACE(INDEX($DR$4:$DR$1516,MATCH(DJ947,$DS$4:$DS$1516,0)),6,1,#REF!),1,1,#REF!),"")</f>
        <v/>
      </c>
      <c r="CS947" t="str">
        <f>IF(DK947&lt;&gt;"",REPLACE(REPLACE(INDEX($DR$4:$DR$1516,MATCH(DK947,$DS$4:$DS$1516,0)),6,1,#REF!),1,1,#REF!),"")</f>
        <v/>
      </c>
      <c r="CT947" t="str">
        <f>IF(DL947&lt;&gt;"",REPLACE(REPLACE(INDEX($DR$4:$DR$1516,MATCH(DL947,$DS$4:$DS$1516,0)),6,1,#REF!),1,1,#REF!),"")</f>
        <v/>
      </c>
      <c r="CU947" t="str">
        <f>IF(DM947&lt;&gt;"",REPLACE(REPLACE(INDEX($DR$4:$DR$1516,MATCH(DM947,$DS$4:$DS$1516,0)),6,1,#REF!),1,1,#REF!),"")</f>
        <v/>
      </c>
      <c r="CV947" t="str">
        <f>IF(DN947&lt;&gt;"",REPLACE(REPLACE(INDEX($DR$4:$DR$1516,MATCH(DN947,$DS$4:$DS$1516,0)),6,1,#REF!),1,1,#REF!),"")</f>
        <v/>
      </c>
      <c r="CW947" t="str">
        <f>IF(DO947&lt;&gt;"",REPLACE(REPLACE(INDEX($DR$4:$DR$1516,MATCH(DO947,$DS$4:$DS$1516,0)),6,1,#REF!),1,1,#REF!),"")</f>
        <v/>
      </c>
      <c r="DR947">
        <v>5306123</v>
      </c>
      <c r="DS947" t="s">
        <v>308</v>
      </c>
    </row>
    <row r="948" spans="90:125" x14ac:dyDescent="0.15">
      <c r="CL948" s="13" t="str">
        <f t="shared" si="151"/>
        <v/>
      </c>
      <c r="CM948" s="13" t="str">
        <f t="shared" si="151"/>
        <v/>
      </c>
      <c r="CN948" s="13" t="str">
        <f t="shared" si="151"/>
        <v/>
      </c>
      <c r="CO948" s="13" t="str">
        <f t="shared" si="150"/>
        <v/>
      </c>
      <c r="CP948" s="13" t="str">
        <f t="shared" si="150"/>
        <v/>
      </c>
      <c r="CQ948" s="13" t="str">
        <f t="shared" si="150"/>
        <v/>
      </c>
      <c r="CR948" t="str">
        <f>IF(DJ948&lt;&gt;"",REPLACE(REPLACE(INDEX($DR$4:$DR$1516,MATCH(DJ948,$DS$4:$DS$1516,0)),6,1,#REF!),1,1,#REF!),"")</f>
        <v/>
      </c>
      <c r="CS948" t="str">
        <f>IF(DK948&lt;&gt;"",REPLACE(REPLACE(INDEX($DR$4:$DR$1516,MATCH(DK948,$DS$4:$DS$1516,0)),6,1,#REF!),1,1,#REF!),"")</f>
        <v/>
      </c>
      <c r="CT948" t="str">
        <f>IF(DL948&lt;&gt;"",REPLACE(REPLACE(INDEX($DR$4:$DR$1516,MATCH(DL948,$DS$4:$DS$1516,0)),6,1,#REF!),1,1,#REF!),"")</f>
        <v/>
      </c>
      <c r="CU948" t="str">
        <f>IF(DM948&lt;&gt;"",REPLACE(REPLACE(INDEX($DR$4:$DR$1516,MATCH(DM948,$DS$4:$DS$1516,0)),6,1,#REF!),1,1,#REF!),"")</f>
        <v/>
      </c>
      <c r="CV948" t="str">
        <f>IF(DN948&lt;&gt;"",REPLACE(REPLACE(INDEX($DR$4:$DR$1516,MATCH(DN948,$DS$4:$DS$1516,0)),6,1,#REF!),1,1,#REF!),"")</f>
        <v/>
      </c>
      <c r="CW948" t="str">
        <f>IF(DO948&lt;&gt;"",REPLACE(REPLACE(INDEX($DR$4:$DR$1516,MATCH(DO948,$DS$4:$DS$1516,0)),6,1,#REF!),1,1,#REF!),"")</f>
        <v/>
      </c>
      <c r="DR948">
        <v>5408123</v>
      </c>
      <c r="DS948" t="s">
        <v>309</v>
      </c>
    </row>
    <row r="949" spans="90:125" x14ac:dyDescent="0.15">
      <c r="CL949" s="13" t="str">
        <f t="shared" si="151"/>
        <v/>
      </c>
      <c r="CM949" s="13" t="str">
        <f t="shared" si="151"/>
        <v/>
      </c>
      <c r="CN949" s="13" t="str">
        <f t="shared" si="151"/>
        <v/>
      </c>
      <c r="CO949" s="13" t="str">
        <f t="shared" si="150"/>
        <v/>
      </c>
      <c r="CP949" s="13" t="str">
        <f t="shared" si="150"/>
        <v/>
      </c>
      <c r="CQ949" s="13" t="str">
        <f t="shared" si="150"/>
        <v/>
      </c>
      <c r="CR949" t="str">
        <f>IF(DJ949&lt;&gt;"",REPLACE(REPLACE(INDEX($DR$4:$DR$1516,MATCH(DJ949,$DS$4:$DS$1516,0)),6,1,#REF!),1,1,#REF!),"")</f>
        <v/>
      </c>
      <c r="CS949" t="str">
        <f>IF(DK949&lt;&gt;"",REPLACE(REPLACE(INDEX($DR$4:$DR$1516,MATCH(DK949,$DS$4:$DS$1516,0)),6,1,#REF!),1,1,#REF!),"")</f>
        <v/>
      </c>
      <c r="CT949" t="str">
        <f>IF(DL949&lt;&gt;"",REPLACE(REPLACE(INDEX($DR$4:$DR$1516,MATCH(DL949,$DS$4:$DS$1516,0)),6,1,#REF!),1,1,#REF!),"")</f>
        <v/>
      </c>
      <c r="CU949" t="str">
        <f>IF(DM949&lt;&gt;"",REPLACE(REPLACE(INDEX($DR$4:$DR$1516,MATCH(DM949,$DS$4:$DS$1516,0)),6,1,#REF!),1,1,#REF!),"")</f>
        <v/>
      </c>
      <c r="CV949" t="str">
        <f>IF(DN949&lt;&gt;"",REPLACE(REPLACE(INDEX($DR$4:$DR$1516,MATCH(DN949,$DS$4:$DS$1516,0)),6,1,#REF!),1,1,#REF!),"")</f>
        <v/>
      </c>
      <c r="CW949" t="str">
        <f>IF(DO949&lt;&gt;"",REPLACE(REPLACE(INDEX($DR$4:$DR$1516,MATCH(DO949,$DS$4:$DS$1516,0)),6,1,#REF!),1,1,#REF!),"")</f>
        <v/>
      </c>
      <c r="DR949">
        <v>5409123</v>
      </c>
      <c r="DS949" t="s">
        <v>310</v>
      </c>
    </row>
    <row r="950" spans="90:125" x14ac:dyDescent="0.15">
      <c r="CL950" s="13" t="str">
        <f t="shared" si="151"/>
        <v/>
      </c>
      <c r="CM950" s="13" t="str">
        <f t="shared" si="151"/>
        <v/>
      </c>
      <c r="CN950" s="13" t="str">
        <f t="shared" si="151"/>
        <v/>
      </c>
      <c r="CO950" s="13" t="str">
        <f t="shared" si="150"/>
        <v/>
      </c>
      <c r="CP950" s="13" t="str">
        <f t="shared" si="150"/>
        <v/>
      </c>
      <c r="CQ950" s="13" t="str">
        <f t="shared" si="150"/>
        <v/>
      </c>
      <c r="CR950" t="str">
        <f>IF(DJ950&lt;&gt;"",REPLACE(REPLACE(INDEX($DR$4:$DR$1516,MATCH(DJ950,$DS$4:$DS$1516,0)),6,1,#REF!),1,1,#REF!),"")</f>
        <v/>
      </c>
      <c r="CS950" t="str">
        <f>IF(DK950&lt;&gt;"",REPLACE(REPLACE(INDEX($DR$4:$DR$1516,MATCH(DK950,$DS$4:$DS$1516,0)),6,1,#REF!),1,1,#REF!),"")</f>
        <v/>
      </c>
      <c r="CT950" t="str">
        <f>IF(DL950&lt;&gt;"",REPLACE(REPLACE(INDEX($DR$4:$DR$1516,MATCH(DL950,$DS$4:$DS$1516,0)),6,1,#REF!),1,1,#REF!),"")</f>
        <v/>
      </c>
      <c r="CU950" t="str">
        <f>IF(DM950&lt;&gt;"",REPLACE(REPLACE(INDEX($DR$4:$DR$1516,MATCH(DM950,$DS$4:$DS$1516,0)),6,1,#REF!),1,1,#REF!),"")</f>
        <v/>
      </c>
      <c r="CV950" t="str">
        <f>IF(DN950&lt;&gt;"",REPLACE(REPLACE(INDEX($DR$4:$DR$1516,MATCH(DN950,$DS$4:$DS$1516,0)),6,1,#REF!),1,1,#REF!),"")</f>
        <v/>
      </c>
      <c r="CW950" t="str">
        <f>IF(DO950&lt;&gt;"",REPLACE(REPLACE(INDEX($DR$4:$DR$1516,MATCH(DO950,$DS$4:$DS$1516,0)),6,1,#REF!),1,1,#REF!),"")</f>
        <v/>
      </c>
      <c r="DR950">
        <v>5505123</v>
      </c>
      <c r="DS950" t="s">
        <v>311</v>
      </c>
    </row>
    <row r="951" spans="90:125" x14ac:dyDescent="0.15">
      <c r="CL951" s="13" t="str">
        <f t="shared" si="151"/>
        <v/>
      </c>
      <c r="CM951" s="13" t="str">
        <f t="shared" si="151"/>
        <v/>
      </c>
      <c r="CN951" s="13" t="str">
        <f t="shared" si="151"/>
        <v/>
      </c>
      <c r="CO951" s="13" t="str">
        <f t="shared" si="150"/>
        <v/>
      </c>
      <c r="CP951" s="13" t="str">
        <f t="shared" si="150"/>
        <v/>
      </c>
      <c r="CQ951" s="13" t="str">
        <f t="shared" si="150"/>
        <v/>
      </c>
      <c r="CR951" t="str">
        <f>IF(DJ951&lt;&gt;"",REPLACE(REPLACE(INDEX($DR$4:$DR$1516,MATCH(DJ951,$DS$4:$DS$1516,0)),6,1,#REF!),1,1,#REF!),"")</f>
        <v/>
      </c>
      <c r="CS951" t="str">
        <f>IF(DK951&lt;&gt;"",REPLACE(REPLACE(INDEX($DR$4:$DR$1516,MATCH(DK951,$DS$4:$DS$1516,0)),6,1,#REF!),1,1,#REF!),"")</f>
        <v/>
      </c>
      <c r="CT951" t="str">
        <f>IF(DL951&lt;&gt;"",REPLACE(REPLACE(INDEX($DR$4:$DR$1516,MATCH(DL951,$DS$4:$DS$1516,0)),6,1,#REF!),1,1,#REF!),"")</f>
        <v/>
      </c>
      <c r="CU951" t="str">
        <f>IF(DM951&lt;&gt;"",REPLACE(REPLACE(INDEX($DR$4:$DR$1516,MATCH(DM951,$DS$4:$DS$1516,0)),6,1,#REF!),1,1,#REF!),"")</f>
        <v/>
      </c>
      <c r="CV951" t="str">
        <f>IF(DN951&lt;&gt;"",REPLACE(REPLACE(INDEX($DR$4:$DR$1516,MATCH(DN951,$DS$4:$DS$1516,0)),6,1,#REF!),1,1,#REF!),"")</f>
        <v/>
      </c>
      <c r="CW951" t="str">
        <f>IF(DO951&lt;&gt;"",REPLACE(REPLACE(INDEX($DR$4:$DR$1516,MATCH(DO951,$DS$4:$DS$1516,0)),6,1,#REF!),1,1,#REF!),"")</f>
        <v/>
      </c>
      <c r="DR951">
        <v>5507123</v>
      </c>
      <c r="DS951" t="s">
        <v>312</v>
      </c>
    </row>
    <row r="952" spans="90:125" x14ac:dyDescent="0.15">
      <c r="CL952" s="13" t="str">
        <f t="shared" si="151"/>
        <v/>
      </c>
      <c r="CM952" s="13" t="str">
        <f t="shared" si="151"/>
        <v/>
      </c>
      <c r="CN952" s="13" t="str">
        <f t="shared" si="151"/>
        <v/>
      </c>
      <c r="CO952" s="13" t="str">
        <f t="shared" si="150"/>
        <v/>
      </c>
      <c r="CP952" s="13" t="str">
        <f t="shared" si="150"/>
        <v/>
      </c>
      <c r="CQ952" s="13" t="str">
        <f t="shared" si="150"/>
        <v/>
      </c>
      <c r="CR952" t="str">
        <f>IF(DJ952&lt;&gt;"",REPLACE(REPLACE(INDEX($DR$4:$DR$1516,MATCH(DJ952,$DS$4:$DS$1516,0)),6,1,#REF!),1,1,#REF!),"")</f>
        <v/>
      </c>
      <c r="CS952" t="str">
        <f>IF(DK952&lt;&gt;"",REPLACE(REPLACE(INDEX($DR$4:$DR$1516,MATCH(DK952,$DS$4:$DS$1516,0)),6,1,#REF!),1,1,#REF!),"")</f>
        <v/>
      </c>
      <c r="CT952" t="str">
        <f>IF(DL952&lt;&gt;"",REPLACE(REPLACE(INDEX($DR$4:$DR$1516,MATCH(DL952,$DS$4:$DS$1516,0)),6,1,#REF!),1,1,#REF!),"")</f>
        <v/>
      </c>
      <c r="CU952" t="str">
        <f>IF(DM952&lt;&gt;"",REPLACE(REPLACE(INDEX($DR$4:$DR$1516,MATCH(DM952,$DS$4:$DS$1516,0)),6,1,#REF!),1,1,#REF!),"")</f>
        <v/>
      </c>
      <c r="CV952" t="str">
        <f>IF(DN952&lt;&gt;"",REPLACE(REPLACE(INDEX($DR$4:$DR$1516,MATCH(DN952,$DS$4:$DS$1516,0)),6,1,#REF!),1,1,#REF!),"")</f>
        <v/>
      </c>
      <c r="CW952" t="str">
        <f>IF(DO952&lt;&gt;"",REPLACE(REPLACE(INDEX($DR$4:$DR$1516,MATCH(DO952,$DS$4:$DS$1516,0)),6,1,#REF!),1,1,#REF!),"")</f>
        <v/>
      </c>
      <c r="DR952">
        <v>5604123</v>
      </c>
      <c r="DS952" t="s">
        <v>313</v>
      </c>
    </row>
    <row r="953" spans="90:125" x14ac:dyDescent="0.15">
      <c r="CL953" s="13" t="str">
        <f t="shared" si="151"/>
        <v/>
      </c>
      <c r="CM953" s="13" t="str">
        <f t="shared" si="151"/>
        <v/>
      </c>
      <c r="CN953" s="13" t="str">
        <f t="shared" si="151"/>
        <v/>
      </c>
      <c r="CO953" s="13" t="str">
        <f t="shared" si="150"/>
        <v/>
      </c>
      <c r="CP953" s="13" t="str">
        <f t="shared" si="150"/>
        <v/>
      </c>
      <c r="CQ953" s="13" t="str">
        <f t="shared" si="150"/>
        <v/>
      </c>
      <c r="CR953" t="str">
        <f>IF(DJ953&lt;&gt;"",REPLACE(REPLACE(INDEX($DR$4:$DR$1516,MATCH(DJ953,$DS$4:$DS$1516,0)),6,1,#REF!),1,1,#REF!),"")</f>
        <v/>
      </c>
      <c r="CS953" t="str">
        <f>IF(DK953&lt;&gt;"",REPLACE(REPLACE(INDEX($DR$4:$DR$1516,MATCH(DK953,$DS$4:$DS$1516,0)),6,1,#REF!),1,1,#REF!),"")</f>
        <v/>
      </c>
      <c r="CT953" t="str">
        <f>IF(DL953&lt;&gt;"",REPLACE(REPLACE(INDEX($DR$4:$DR$1516,MATCH(DL953,$DS$4:$DS$1516,0)),6,1,#REF!),1,1,#REF!),"")</f>
        <v/>
      </c>
      <c r="CU953" t="str">
        <f>IF(DM953&lt;&gt;"",REPLACE(REPLACE(INDEX($DR$4:$DR$1516,MATCH(DM953,$DS$4:$DS$1516,0)),6,1,#REF!),1,1,#REF!),"")</f>
        <v/>
      </c>
      <c r="CV953" t="str">
        <f>IF(DN953&lt;&gt;"",REPLACE(REPLACE(INDEX($DR$4:$DR$1516,MATCH(DN953,$DS$4:$DS$1516,0)),6,1,#REF!),1,1,#REF!),"")</f>
        <v/>
      </c>
      <c r="CW953" t="str">
        <f>IF(DO953&lt;&gt;"",REPLACE(REPLACE(INDEX($DR$4:$DR$1516,MATCH(DO953,$DS$4:$DS$1516,0)),6,1,#REF!),1,1,#REF!),"")</f>
        <v/>
      </c>
      <c r="DR953">
        <v>5506124</v>
      </c>
      <c r="DS953" t="s">
        <v>314</v>
      </c>
    </row>
    <row r="954" spans="90:125" x14ac:dyDescent="0.15">
      <c r="CL954" s="13" t="str">
        <f t="shared" si="151"/>
        <v/>
      </c>
      <c r="CM954" s="13" t="str">
        <f t="shared" si="151"/>
        <v/>
      </c>
      <c r="CN954" s="13" t="str">
        <f t="shared" si="151"/>
        <v/>
      </c>
      <c r="CO954" s="13" t="str">
        <f t="shared" si="150"/>
        <v/>
      </c>
      <c r="CP954" s="13" t="str">
        <f t="shared" si="150"/>
        <v/>
      </c>
      <c r="CQ954" s="13" t="str">
        <f t="shared" si="150"/>
        <v/>
      </c>
      <c r="CR954" t="str">
        <f>IF(DJ954&lt;&gt;"",REPLACE(REPLACE(INDEX($DR$4:$DR$1516,MATCH(DJ954,$DS$4:$DS$1516,0)),6,1,#REF!),1,1,#REF!),"")</f>
        <v/>
      </c>
      <c r="CS954" t="str">
        <f>IF(DK954&lt;&gt;"",REPLACE(REPLACE(INDEX($DR$4:$DR$1516,MATCH(DK954,$DS$4:$DS$1516,0)),6,1,#REF!),1,1,#REF!),"")</f>
        <v/>
      </c>
      <c r="CT954" t="str">
        <f>IF(DL954&lt;&gt;"",REPLACE(REPLACE(INDEX($DR$4:$DR$1516,MATCH(DL954,$DS$4:$DS$1516,0)),6,1,#REF!),1,1,#REF!),"")</f>
        <v/>
      </c>
      <c r="CU954" t="str">
        <f>IF(DM954&lt;&gt;"",REPLACE(REPLACE(INDEX($DR$4:$DR$1516,MATCH(DM954,$DS$4:$DS$1516,0)),6,1,#REF!),1,1,#REF!),"")</f>
        <v/>
      </c>
      <c r="CV954" t="str">
        <f>IF(DN954&lt;&gt;"",REPLACE(REPLACE(INDEX($DR$4:$DR$1516,MATCH(DN954,$DS$4:$DS$1516,0)),6,1,#REF!),1,1,#REF!),"")</f>
        <v/>
      </c>
      <c r="CW954" t="str">
        <f>IF(DO954&lt;&gt;"",REPLACE(REPLACE(INDEX($DR$4:$DR$1516,MATCH(DO954,$DS$4:$DS$1516,0)),6,1,#REF!),1,1,#REF!),"")</f>
        <v/>
      </c>
      <c r="DR954">
        <v>5603124</v>
      </c>
      <c r="DS954" t="s">
        <v>315</v>
      </c>
    </row>
    <row r="955" spans="90:125" x14ac:dyDescent="0.15">
      <c r="CL955" s="13" t="str">
        <f t="shared" si="151"/>
        <v/>
      </c>
      <c r="CM955" s="13" t="str">
        <f t="shared" si="151"/>
        <v/>
      </c>
      <c r="CN955" s="13" t="str">
        <f t="shared" si="151"/>
        <v/>
      </c>
      <c r="CO955" s="13" t="str">
        <f t="shared" si="150"/>
        <v/>
      </c>
      <c r="CP955" s="13" t="str">
        <f t="shared" si="150"/>
        <v/>
      </c>
      <c r="CQ955" s="13" t="str">
        <f t="shared" si="150"/>
        <v/>
      </c>
      <c r="CR955" t="str">
        <f>IF(DJ955&lt;&gt;"",REPLACE(REPLACE(INDEX($DR$4:$DR$1516,MATCH(DJ955,$DS$4:$DS$1516,0)),6,1,#REF!),1,1,#REF!),"")</f>
        <v/>
      </c>
      <c r="CS955" t="str">
        <f>IF(DK955&lt;&gt;"",REPLACE(REPLACE(INDEX($DR$4:$DR$1516,MATCH(DK955,$DS$4:$DS$1516,0)),6,1,#REF!),1,1,#REF!),"")</f>
        <v/>
      </c>
      <c r="CT955" t="str">
        <f>IF(DL955&lt;&gt;"",REPLACE(REPLACE(INDEX($DR$4:$DR$1516,MATCH(DL955,$DS$4:$DS$1516,0)),6,1,#REF!),1,1,#REF!),"")</f>
        <v/>
      </c>
      <c r="CU955" t="str">
        <f>IF(DM955&lt;&gt;"",REPLACE(REPLACE(INDEX($DR$4:$DR$1516,MATCH(DM955,$DS$4:$DS$1516,0)),6,1,#REF!),1,1,#REF!),"")</f>
        <v/>
      </c>
      <c r="CV955" t="str">
        <f>IF(DN955&lt;&gt;"",REPLACE(REPLACE(INDEX($DR$4:$DR$1516,MATCH(DN955,$DS$4:$DS$1516,0)),6,1,#REF!),1,1,#REF!),"")</f>
        <v/>
      </c>
      <c r="CW955" t="str">
        <f>IF(DO955&lt;&gt;"",REPLACE(REPLACE(INDEX($DR$4:$DR$1516,MATCH(DO955,$DS$4:$DS$1516,0)),6,1,#REF!),1,1,#REF!),"")</f>
        <v/>
      </c>
      <c r="DR955">
        <v>5605124</v>
      </c>
      <c r="DS955" t="s">
        <v>316</v>
      </c>
    </row>
    <row r="956" spans="90:125" x14ac:dyDescent="0.15">
      <c r="CL956" s="13" t="str">
        <f t="shared" si="151"/>
        <v/>
      </c>
      <c r="CM956" s="13" t="str">
        <f t="shared" si="151"/>
        <v/>
      </c>
      <c r="CN956" s="13" t="str">
        <f t="shared" si="151"/>
        <v/>
      </c>
      <c r="CO956" s="13" t="str">
        <f t="shared" si="150"/>
        <v/>
      </c>
      <c r="CP956" s="13" t="str">
        <f t="shared" si="150"/>
        <v/>
      </c>
      <c r="CQ956" s="13" t="str">
        <f t="shared" si="150"/>
        <v/>
      </c>
      <c r="CR956" t="str">
        <f>IF(DJ956&lt;&gt;"",REPLACE(REPLACE(INDEX($DR$4:$DR$1516,MATCH(DJ956,$DS$4:$DS$1516,0)),6,1,#REF!),1,1,#REF!),"")</f>
        <v/>
      </c>
      <c r="CS956" t="str">
        <f>IF(DK956&lt;&gt;"",REPLACE(REPLACE(INDEX($DR$4:$DR$1516,MATCH(DK956,$DS$4:$DS$1516,0)),6,1,#REF!),1,1,#REF!),"")</f>
        <v/>
      </c>
      <c r="CT956" t="str">
        <f>IF(DL956&lt;&gt;"",REPLACE(REPLACE(INDEX($DR$4:$DR$1516,MATCH(DL956,$DS$4:$DS$1516,0)),6,1,#REF!),1,1,#REF!),"")</f>
        <v/>
      </c>
      <c r="CU956" t="str">
        <f>IF(DM956&lt;&gt;"",REPLACE(REPLACE(INDEX($DR$4:$DR$1516,MATCH(DM956,$DS$4:$DS$1516,0)),6,1,#REF!),1,1,#REF!),"")</f>
        <v/>
      </c>
      <c r="CV956" t="str">
        <f>IF(DN956&lt;&gt;"",REPLACE(REPLACE(INDEX($DR$4:$DR$1516,MATCH(DN956,$DS$4:$DS$1516,0)),6,1,#REF!),1,1,#REF!),"")</f>
        <v/>
      </c>
      <c r="CW956" t="str">
        <f>IF(DO956&lt;&gt;"",REPLACE(REPLACE(INDEX($DR$4:$DR$1516,MATCH(DO956,$DS$4:$DS$1516,0)),6,1,#REF!),1,1,#REF!),"")</f>
        <v/>
      </c>
      <c r="DR956">
        <v>5305125</v>
      </c>
      <c r="DS956" t="s">
        <v>317</v>
      </c>
    </row>
    <row r="957" spans="90:125" x14ac:dyDescent="0.15">
      <c r="CL957" s="13" t="str">
        <f t="shared" si="151"/>
        <v/>
      </c>
      <c r="CM957" s="13" t="str">
        <f t="shared" si="151"/>
        <v/>
      </c>
      <c r="CN957" s="13" t="str">
        <f t="shared" si="151"/>
        <v/>
      </c>
      <c r="CO957" s="13" t="str">
        <f t="shared" si="150"/>
        <v/>
      </c>
      <c r="CP957" s="13" t="str">
        <f t="shared" si="150"/>
        <v/>
      </c>
      <c r="CQ957" s="13" t="str">
        <f t="shared" si="150"/>
        <v/>
      </c>
      <c r="CR957" t="str">
        <f>IF(DJ957&lt;&gt;"",REPLACE(REPLACE(INDEX($DR$4:$DR$1516,MATCH(DJ957,$DS$4:$DS$1516,0)),6,1,#REF!),1,1,#REF!),"")</f>
        <v/>
      </c>
      <c r="CS957" t="str">
        <f>IF(DK957&lt;&gt;"",REPLACE(REPLACE(INDEX($DR$4:$DR$1516,MATCH(DK957,$DS$4:$DS$1516,0)),6,1,#REF!),1,1,#REF!),"")</f>
        <v/>
      </c>
      <c r="CT957" t="str">
        <f>IF(DL957&lt;&gt;"",REPLACE(REPLACE(INDEX($DR$4:$DR$1516,MATCH(DL957,$DS$4:$DS$1516,0)),6,1,#REF!),1,1,#REF!),"")</f>
        <v/>
      </c>
      <c r="CU957" t="str">
        <f>IF(DM957&lt;&gt;"",REPLACE(REPLACE(INDEX($DR$4:$DR$1516,MATCH(DM957,$DS$4:$DS$1516,0)),6,1,#REF!),1,1,#REF!),"")</f>
        <v/>
      </c>
      <c r="CV957" t="str">
        <f>IF(DN957&lt;&gt;"",REPLACE(REPLACE(INDEX($DR$4:$DR$1516,MATCH(DN957,$DS$4:$DS$1516,0)),6,1,#REF!),1,1,#REF!),"")</f>
        <v/>
      </c>
      <c r="CW957" t="str">
        <f>IF(DO957&lt;&gt;"",REPLACE(REPLACE(INDEX($DR$4:$DR$1516,MATCH(DO957,$DS$4:$DS$1516,0)),6,1,#REF!),1,1,#REF!),"")</f>
        <v/>
      </c>
      <c r="DR957">
        <v>5307125</v>
      </c>
      <c r="DS957" t="s">
        <v>318</v>
      </c>
    </row>
    <row r="958" spans="90:125" x14ac:dyDescent="0.15">
      <c r="CL958" s="13" t="str">
        <f t="shared" si="151"/>
        <v/>
      </c>
      <c r="CM958" s="13" t="str">
        <f t="shared" si="151"/>
        <v/>
      </c>
      <c r="CN958" s="13" t="str">
        <f t="shared" si="151"/>
        <v/>
      </c>
      <c r="CO958" s="13" t="str">
        <f t="shared" si="150"/>
        <v/>
      </c>
      <c r="CP958" s="13" t="str">
        <f t="shared" si="150"/>
        <v/>
      </c>
      <c r="CQ958" s="13" t="str">
        <f t="shared" si="150"/>
        <v/>
      </c>
      <c r="CR958" t="str">
        <f>IF(DJ958&lt;&gt;"",REPLACE(REPLACE(INDEX($DR$4:$DR$1516,MATCH(DJ958,$DS$4:$DS$1516,0)),6,1,#REF!),1,1,#REF!),"")</f>
        <v/>
      </c>
      <c r="CS958" t="str">
        <f>IF(DK958&lt;&gt;"",REPLACE(REPLACE(INDEX($DR$4:$DR$1516,MATCH(DK958,$DS$4:$DS$1516,0)),6,1,#REF!),1,1,#REF!),"")</f>
        <v/>
      </c>
      <c r="CT958" t="str">
        <f>IF(DL958&lt;&gt;"",REPLACE(REPLACE(INDEX($DR$4:$DR$1516,MATCH(DL958,$DS$4:$DS$1516,0)),6,1,#REF!),1,1,#REF!),"")</f>
        <v/>
      </c>
      <c r="CU958" t="str">
        <f>IF(DM958&lt;&gt;"",REPLACE(REPLACE(INDEX($DR$4:$DR$1516,MATCH(DM958,$DS$4:$DS$1516,0)),6,1,#REF!),1,1,#REF!),"")</f>
        <v/>
      </c>
      <c r="CV958" t="str">
        <f>IF(DN958&lt;&gt;"",REPLACE(REPLACE(INDEX($DR$4:$DR$1516,MATCH(DN958,$DS$4:$DS$1516,0)),6,1,#REF!),1,1,#REF!),"")</f>
        <v/>
      </c>
      <c r="CW958" t="str">
        <f>IF(DO958&lt;&gt;"",REPLACE(REPLACE(INDEX($DR$4:$DR$1516,MATCH(DO958,$DS$4:$DS$1516,0)),6,1,#REF!),1,1,#REF!),"")</f>
        <v/>
      </c>
      <c r="DR958">
        <v>5407125</v>
      </c>
      <c r="DS958" t="s">
        <v>319</v>
      </c>
    </row>
    <row r="959" spans="90:125" x14ac:dyDescent="0.15">
      <c r="CL959" s="13" t="str">
        <f t="shared" si="151"/>
        <v/>
      </c>
      <c r="CM959" s="13" t="str">
        <f t="shared" si="151"/>
        <v/>
      </c>
      <c r="CN959" s="13" t="str">
        <f t="shared" si="151"/>
        <v/>
      </c>
      <c r="CO959" s="13" t="str">
        <f t="shared" si="150"/>
        <v/>
      </c>
      <c r="CP959" s="13" t="str">
        <f t="shared" si="150"/>
        <v/>
      </c>
      <c r="CQ959" s="13" t="str">
        <f t="shared" si="150"/>
        <v/>
      </c>
      <c r="CR959" t="str">
        <f>IF(DJ959&lt;&gt;"",REPLACE(REPLACE(INDEX($DR$4:$DR$1516,MATCH(DJ959,$DS$4:$DS$1516,0)),6,1,#REF!),1,1,#REF!),"")</f>
        <v/>
      </c>
      <c r="CS959" t="str">
        <f>IF(DK959&lt;&gt;"",REPLACE(REPLACE(INDEX($DR$4:$DR$1516,MATCH(DK959,$DS$4:$DS$1516,0)),6,1,#REF!),1,1,#REF!),"")</f>
        <v/>
      </c>
      <c r="CT959" t="str">
        <f>IF(DL959&lt;&gt;"",REPLACE(REPLACE(INDEX($DR$4:$DR$1516,MATCH(DL959,$DS$4:$DS$1516,0)),6,1,#REF!),1,1,#REF!),"")</f>
        <v/>
      </c>
      <c r="CU959" t="str">
        <f>IF(DM959&lt;&gt;"",REPLACE(REPLACE(INDEX($DR$4:$DR$1516,MATCH(DM959,$DS$4:$DS$1516,0)),6,1,#REF!),1,1,#REF!),"")</f>
        <v/>
      </c>
      <c r="CV959" t="str">
        <f>IF(DN959&lt;&gt;"",REPLACE(REPLACE(INDEX($DR$4:$DR$1516,MATCH(DN959,$DS$4:$DS$1516,0)),6,1,#REF!),1,1,#REF!),"")</f>
        <v/>
      </c>
      <c r="CW959" t="str">
        <f>IF(DO959&lt;&gt;"",REPLACE(REPLACE(INDEX($DR$4:$DR$1516,MATCH(DO959,$DS$4:$DS$1516,0)),6,1,#REF!),1,1,#REF!),"")</f>
        <v/>
      </c>
      <c r="DR959">
        <v>5207131</v>
      </c>
      <c r="DS959" t="s">
        <v>287</v>
      </c>
      <c r="DU959" s="17"/>
    </row>
    <row r="960" spans="90:125" x14ac:dyDescent="0.15">
      <c r="CL960" s="13" t="str">
        <f t="shared" si="151"/>
        <v/>
      </c>
      <c r="CM960" s="13" t="str">
        <f t="shared" si="151"/>
        <v/>
      </c>
      <c r="CN960" s="13" t="str">
        <f t="shared" si="151"/>
        <v/>
      </c>
      <c r="CO960" s="13" t="str">
        <f t="shared" si="150"/>
        <v/>
      </c>
      <c r="CP960" s="13" t="str">
        <f t="shared" si="150"/>
        <v/>
      </c>
      <c r="CQ960" s="13" t="str">
        <f t="shared" si="150"/>
        <v/>
      </c>
      <c r="CR960" t="str">
        <f>IF(DJ960&lt;&gt;"",REPLACE(REPLACE(INDEX($DR$4:$DR$1516,MATCH(DJ960,$DS$4:$DS$1516,0)),6,1,#REF!),1,1,#REF!),"")</f>
        <v/>
      </c>
      <c r="CS960" t="str">
        <f>IF(DK960&lt;&gt;"",REPLACE(REPLACE(INDEX($DR$4:$DR$1516,MATCH(DK960,$DS$4:$DS$1516,0)),6,1,#REF!),1,1,#REF!),"")</f>
        <v/>
      </c>
      <c r="CT960" t="str">
        <f>IF(DL960&lt;&gt;"",REPLACE(REPLACE(INDEX($DR$4:$DR$1516,MATCH(DL960,$DS$4:$DS$1516,0)),6,1,#REF!),1,1,#REF!),"")</f>
        <v/>
      </c>
      <c r="CU960" t="str">
        <f>IF(DM960&lt;&gt;"",REPLACE(REPLACE(INDEX($DR$4:$DR$1516,MATCH(DM960,$DS$4:$DS$1516,0)),6,1,#REF!),1,1,#REF!),"")</f>
        <v/>
      </c>
      <c r="CV960" t="str">
        <f>IF(DN960&lt;&gt;"",REPLACE(REPLACE(INDEX($DR$4:$DR$1516,MATCH(DN960,$DS$4:$DS$1516,0)),6,1,#REF!),1,1,#REF!),"")</f>
        <v/>
      </c>
      <c r="CW960" t="str">
        <f>IF(DO960&lt;&gt;"",REPLACE(REPLACE(INDEX($DR$4:$DR$1516,MATCH(DO960,$DS$4:$DS$1516,0)),6,1,#REF!),1,1,#REF!),"")</f>
        <v/>
      </c>
      <c r="DR960">
        <v>5208131</v>
      </c>
      <c r="DS960" t="s">
        <v>288</v>
      </c>
      <c r="DU960" s="17"/>
    </row>
    <row r="961" spans="90:125" x14ac:dyDescent="0.15">
      <c r="CL961" s="13" t="str">
        <f t="shared" si="151"/>
        <v/>
      </c>
      <c r="CM961" s="13" t="str">
        <f t="shared" si="151"/>
        <v/>
      </c>
      <c r="CN961" s="13" t="str">
        <f t="shared" si="151"/>
        <v/>
      </c>
      <c r="CO961" s="13" t="str">
        <f t="shared" si="150"/>
        <v/>
      </c>
      <c r="CP961" s="13" t="str">
        <f t="shared" si="150"/>
        <v/>
      </c>
      <c r="CQ961" s="13" t="str">
        <f t="shared" si="150"/>
        <v/>
      </c>
      <c r="CR961" t="str">
        <f>IF(DJ961&lt;&gt;"",REPLACE(REPLACE(INDEX($DR$4:$DR$1516,MATCH(DJ961,$DS$4:$DS$1516,0)),6,1,#REF!),1,1,#REF!),"")</f>
        <v/>
      </c>
      <c r="CS961" t="str">
        <f>IF(DK961&lt;&gt;"",REPLACE(REPLACE(INDEX($DR$4:$DR$1516,MATCH(DK961,$DS$4:$DS$1516,0)),6,1,#REF!),1,1,#REF!),"")</f>
        <v/>
      </c>
      <c r="CT961" t="str">
        <f>IF(DL961&lt;&gt;"",REPLACE(REPLACE(INDEX($DR$4:$DR$1516,MATCH(DL961,$DS$4:$DS$1516,0)),6,1,#REF!),1,1,#REF!),"")</f>
        <v/>
      </c>
      <c r="CU961" t="str">
        <f>IF(DM961&lt;&gt;"",REPLACE(REPLACE(INDEX($DR$4:$DR$1516,MATCH(DM961,$DS$4:$DS$1516,0)),6,1,#REF!),1,1,#REF!),"")</f>
        <v/>
      </c>
      <c r="CV961" t="str">
        <f>IF(DN961&lt;&gt;"",REPLACE(REPLACE(INDEX($DR$4:$DR$1516,MATCH(DN961,$DS$4:$DS$1516,0)),6,1,#REF!),1,1,#REF!),"")</f>
        <v/>
      </c>
      <c r="CW961" t="str">
        <f>IF(DO961&lt;&gt;"",REPLACE(REPLACE(INDEX($DR$4:$DR$1516,MATCH(DO961,$DS$4:$DS$1516,0)),6,1,#REF!),1,1,#REF!),"")</f>
        <v/>
      </c>
      <c r="DR961">
        <v>5209131</v>
      </c>
      <c r="DS961" t="s">
        <v>289</v>
      </c>
      <c r="DU961" s="17"/>
    </row>
    <row r="962" spans="90:125" x14ac:dyDescent="0.15">
      <c r="CL962" s="13" t="str">
        <f t="shared" si="151"/>
        <v/>
      </c>
      <c r="CM962" s="13" t="str">
        <f t="shared" si="151"/>
        <v/>
      </c>
      <c r="CN962" s="13" t="str">
        <f t="shared" si="151"/>
        <v/>
      </c>
      <c r="CO962" s="13" t="str">
        <f t="shared" si="150"/>
        <v/>
      </c>
      <c r="CP962" s="13" t="str">
        <f t="shared" si="150"/>
        <v/>
      </c>
      <c r="CQ962" s="13" t="str">
        <f t="shared" si="150"/>
        <v/>
      </c>
      <c r="CR962" t="str">
        <f>IF(DJ962&lt;&gt;"",REPLACE(REPLACE(INDEX($DR$4:$DR$1516,MATCH(DJ962,$DS$4:$DS$1516,0)),6,1,#REF!),1,1,#REF!),"")</f>
        <v/>
      </c>
      <c r="CS962" t="str">
        <f>IF(DK962&lt;&gt;"",REPLACE(REPLACE(INDEX($DR$4:$DR$1516,MATCH(DK962,$DS$4:$DS$1516,0)),6,1,#REF!),1,1,#REF!),"")</f>
        <v/>
      </c>
      <c r="CT962" t="str">
        <f>IF(DL962&lt;&gt;"",REPLACE(REPLACE(INDEX($DR$4:$DR$1516,MATCH(DL962,$DS$4:$DS$1516,0)),6,1,#REF!),1,1,#REF!),"")</f>
        <v/>
      </c>
      <c r="CU962" t="str">
        <f>IF(DM962&lt;&gt;"",REPLACE(REPLACE(INDEX($DR$4:$DR$1516,MATCH(DM962,$DS$4:$DS$1516,0)),6,1,#REF!),1,1,#REF!),"")</f>
        <v/>
      </c>
      <c r="CV962" t="str">
        <f>IF(DN962&lt;&gt;"",REPLACE(REPLACE(INDEX($DR$4:$DR$1516,MATCH(DN962,$DS$4:$DS$1516,0)),6,1,#REF!),1,1,#REF!),"")</f>
        <v/>
      </c>
      <c r="CW962" t="str">
        <f>IF(DO962&lt;&gt;"",REPLACE(REPLACE(INDEX($DR$4:$DR$1516,MATCH(DO962,$DS$4:$DS$1516,0)),6,1,#REF!),1,1,#REF!),"")</f>
        <v/>
      </c>
      <c r="DR962">
        <v>5306131</v>
      </c>
      <c r="DS962" t="s">
        <v>290</v>
      </c>
      <c r="DU962" s="17"/>
    </row>
    <row r="963" spans="90:125" x14ac:dyDescent="0.15">
      <c r="CL963" s="13" t="str">
        <f t="shared" si="151"/>
        <v/>
      </c>
      <c r="CM963" s="13" t="str">
        <f t="shared" si="151"/>
        <v/>
      </c>
      <c r="CN963" s="13" t="str">
        <f t="shared" si="151"/>
        <v/>
      </c>
      <c r="CO963" s="13" t="str">
        <f t="shared" si="150"/>
        <v/>
      </c>
      <c r="CP963" s="13" t="str">
        <f t="shared" si="150"/>
        <v/>
      </c>
      <c r="CQ963" s="13" t="str">
        <f t="shared" si="150"/>
        <v/>
      </c>
      <c r="CR963" t="str">
        <f>IF(DJ963&lt;&gt;"",REPLACE(REPLACE(INDEX($DR$4:$DR$1516,MATCH(DJ963,$DS$4:$DS$1516,0)),6,1,#REF!),1,1,#REF!),"")</f>
        <v/>
      </c>
      <c r="CS963" t="str">
        <f>IF(DK963&lt;&gt;"",REPLACE(REPLACE(INDEX($DR$4:$DR$1516,MATCH(DK963,$DS$4:$DS$1516,0)),6,1,#REF!),1,1,#REF!),"")</f>
        <v/>
      </c>
      <c r="CT963" t="str">
        <f>IF(DL963&lt;&gt;"",REPLACE(REPLACE(INDEX($DR$4:$DR$1516,MATCH(DL963,$DS$4:$DS$1516,0)),6,1,#REF!),1,1,#REF!),"")</f>
        <v/>
      </c>
      <c r="CU963" t="str">
        <f>IF(DM963&lt;&gt;"",REPLACE(REPLACE(INDEX($DR$4:$DR$1516,MATCH(DM963,$DS$4:$DS$1516,0)),6,1,#REF!),1,1,#REF!),"")</f>
        <v/>
      </c>
      <c r="CV963" t="str">
        <f>IF(DN963&lt;&gt;"",REPLACE(REPLACE(INDEX($DR$4:$DR$1516,MATCH(DN963,$DS$4:$DS$1516,0)),6,1,#REF!),1,1,#REF!),"")</f>
        <v/>
      </c>
      <c r="CW963" t="str">
        <f>IF(DO963&lt;&gt;"",REPLACE(REPLACE(INDEX($DR$4:$DR$1516,MATCH(DO963,$DS$4:$DS$1516,0)),6,1,#REF!),1,1,#REF!),"")</f>
        <v/>
      </c>
      <c r="DR963">
        <v>5408131</v>
      </c>
      <c r="DS963" t="s">
        <v>291</v>
      </c>
      <c r="DU963" s="17"/>
    </row>
    <row r="964" spans="90:125" x14ac:dyDescent="0.15">
      <c r="CL964" s="13" t="str">
        <f t="shared" si="151"/>
        <v/>
      </c>
      <c r="CM964" s="13" t="str">
        <f t="shared" si="151"/>
        <v/>
      </c>
      <c r="CN964" s="13" t="str">
        <f t="shared" si="151"/>
        <v/>
      </c>
      <c r="CO964" s="13" t="str">
        <f t="shared" si="150"/>
        <v/>
      </c>
      <c r="CP964" s="13" t="str">
        <f t="shared" si="150"/>
        <v/>
      </c>
      <c r="CQ964" s="13" t="str">
        <f t="shared" si="150"/>
        <v/>
      </c>
      <c r="CR964" t="str">
        <f>IF(DJ964&lt;&gt;"",REPLACE(REPLACE(INDEX($DR$4:$DR$1516,MATCH(DJ964,$DS$4:$DS$1516,0)),6,1,#REF!),1,1,#REF!),"")</f>
        <v/>
      </c>
      <c r="CS964" t="str">
        <f>IF(DK964&lt;&gt;"",REPLACE(REPLACE(INDEX($DR$4:$DR$1516,MATCH(DK964,$DS$4:$DS$1516,0)),6,1,#REF!),1,1,#REF!),"")</f>
        <v/>
      </c>
      <c r="CT964" t="str">
        <f>IF(DL964&lt;&gt;"",REPLACE(REPLACE(INDEX($DR$4:$DR$1516,MATCH(DL964,$DS$4:$DS$1516,0)),6,1,#REF!),1,1,#REF!),"")</f>
        <v/>
      </c>
      <c r="CU964" t="str">
        <f>IF(DM964&lt;&gt;"",REPLACE(REPLACE(INDEX($DR$4:$DR$1516,MATCH(DM964,$DS$4:$DS$1516,0)),6,1,#REF!),1,1,#REF!),"")</f>
        <v/>
      </c>
      <c r="CV964" t="str">
        <f>IF(DN964&lt;&gt;"",REPLACE(REPLACE(INDEX($DR$4:$DR$1516,MATCH(DN964,$DS$4:$DS$1516,0)),6,1,#REF!),1,1,#REF!),"")</f>
        <v/>
      </c>
      <c r="CW964" t="str">
        <f>IF(DO964&lt;&gt;"",REPLACE(REPLACE(INDEX($DR$4:$DR$1516,MATCH(DO964,$DS$4:$DS$1516,0)),6,1,#REF!),1,1,#REF!),"")</f>
        <v/>
      </c>
      <c r="DR964">
        <v>5409131</v>
      </c>
      <c r="DS964" t="s">
        <v>292</v>
      </c>
      <c r="DU964" s="17"/>
    </row>
    <row r="965" spans="90:125" x14ac:dyDescent="0.15">
      <c r="CL965" s="13" t="str">
        <f t="shared" si="151"/>
        <v/>
      </c>
      <c r="CM965" s="13" t="str">
        <f t="shared" si="151"/>
        <v/>
      </c>
      <c r="CN965" s="13" t="str">
        <f t="shared" si="151"/>
        <v/>
      </c>
      <c r="CO965" s="13" t="str">
        <f t="shared" si="150"/>
        <v/>
      </c>
      <c r="CP965" s="13" t="str">
        <f t="shared" si="150"/>
        <v/>
      </c>
      <c r="CQ965" s="13" t="str">
        <f t="shared" si="150"/>
        <v/>
      </c>
      <c r="CR965" t="str">
        <f>IF(DJ965&lt;&gt;"",REPLACE(REPLACE(INDEX($DR$4:$DR$1516,MATCH(DJ965,$DS$4:$DS$1516,0)),6,1,#REF!),1,1,#REF!),"")</f>
        <v/>
      </c>
      <c r="CS965" t="str">
        <f>IF(DK965&lt;&gt;"",REPLACE(REPLACE(INDEX($DR$4:$DR$1516,MATCH(DK965,$DS$4:$DS$1516,0)),6,1,#REF!),1,1,#REF!),"")</f>
        <v/>
      </c>
      <c r="CT965" t="str">
        <f>IF(DL965&lt;&gt;"",REPLACE(REPLACE(INDEX($DR$4:$DR$1516,MATCH(DL965,$DS$4:$DS$1516,0)),6,1,#REF!),1,1,#REF!),"")</f>
        <v/>
      </c>
      <c r="CU965" t="str">
        <f>IF(DM965&lt;&gt;"",REPLACE(REPLACE(INDEX($DR$4:$DR$1516,MATCH(DM965,$DS$4:$DS$1516,0)),6,1,#REF!),1,1,#REF!),"")</f>
        <v/>
      </c>
      <c r="CV965" t="str">
        <f>IF(DN965&lt;&gt;"",REPLACE(REPLACE(INDEX($DR$4:$DR$1516,MATCH(DN965,$DS$4:$DS$1516,0)),6,1,#REF!),1,1,#REF!),"")</f>
        <v/>
      </c>
      <c r="CW965" t="str">
        <f>IF(DO965&lt;&gt;"",REPLACE(REPLACE(INDEX($DR$4:$DR$1516,MATCH(DO965,$DS$4:$DS$1516,0)),6,1,#REF!),1,1,#REF!),"")</f>
        <v/>
      </c>
      <c r="DR965">
        <v>5505131</v>
      </c>
      <c r="DS965" t="s">
        <v>293</v>
      </c>
      <c r="DU965" s="17"/>
    </row>
    <row r="966" spans="90:125" x14ac:dyDescent="0.15">
      <c r="CL966" s="13" t="str">
        <f t="shared" si="151"/>
        <v/>
      </c>
      <c r="CM966" s="13" t="str">
        <f t="shared" si="151"/>
        <v/>
      </c>
      <c r="CN966" s="13" t="str">
        <f t="shared" si="151"/>
        <v/>
      </c>
      <c r="CO966" s="13" t="str">
        <f t="shared" si="150"/>
        <v/>
      </c>
      <c r="CP966" s="13" t="str">
        <f t="shared" si="150"/>
        <v/>
      </c>
      <c r="CQ966" s="13" t="str">
        <f t="shared" si="150"/>
        <v/>
      </c>
      <c r="CR966" t="str">
        <f>IF(DJ966&lt;&gt;"",REPLACE(REPLACE(INDEX($DR$4:$DR$1516,MATCH(DJ966,$DS$4:$DS$1516,0)),6,1,#REF!),1,1,#REF!),"")</f>
        <v/>
      </c>
      <c r="CS966" t="str">
        <f>IF(DK966&lt;&gt;"",REPLACE(REPLACE(INDEX($DR$4:$DR$1516,MATCH(DK966,$DS$4:$DS$1516,0)),6,1,#REF!),1,1,#REF!),"")</f>
        <v/>
      </c>
      <c r="CT966" t="str">
        <f>IF(DL966&lt;&gt;"",REPLACE(REPLACE(INDEX($DR$4:$DR$1516,MATCH(DL966,$DS$4:$DS$1516,0)),6,1,#REF!),1,1,#REF!),"")</f>
        <v/>
      </c>
      <c r="CU966" t="str">
        <f>IF(DM966&lt;&gt;"",REPLACE(REPLACE(INDEX($DR$4:$DR$1516,MATCH(DM966,$DS$4:$DS$1516,0)),6,1,#REF!),1,1,#REF!),"")</f>
        <v/>
      </c>
      <c r="CV966" t="str">
        <f>IF(DN966&lt;&gt;"",REPLACE(REPLACE(INDEX($DR$4:$DR$1516,MATCH(DN966,$DS$4:$DS$1516,0)),6,1,#REF!),1,1,#REF!),"")</f>
        <v/>
      </c>
      <c r="CW966" t="str">
        <f>IF(DO966&lt;&gt;"",REPLACE(REPLACE(INDEX($DR$4:$DR$1516,MATCH(DO966,$DS$4:$DS$1516,0)),6,1,#REF!),1,1,#REF!),"")</f>
        <v/>
      </c>
      <c r="DR966">
        <v>5507131</v>
      </c>
      <c r="DS966" t="s">
        <v>294</v>
      </c>
      <c r="DU966" s="17"/>
    </row>
    <row r="967" spans="90:125" x14ac:dyDescent="0.15">
      <c r="CL967" s="13" t="str">
        <f t="shared" si="151"/>
        <v/>
      </c>
      <c r="CM967" s="13" t="str">
        <f t="shared" si="151"/>
        <v/>
      </c>
      <c r="CN967" s="13" t="str">
        <f t="shared" si="151"/>
        <v/>
      </c>
      <c r="CO967" s="13" t="str">
        <f t="shared" si="150"/>
        <v/>
      </c>
      <c r="CP967" s="13" t="str">
        <f t="shared" si="150"/>
        <v/>
      </c>
      <c r="CQ967" s="13" t="str">
        <f t="shared" si="150"/>
        <v/>
      </c>
      <c r="CR967" t="str">
        <f>IF(DJ967&lt;&gt;"",REPLACE(REPLACE(INDEX($DR$4:$DR$1516,MATCH(DJ967,$DS$4:$DS$1516,0)),6,1,#REF!),1,1,#REF!),"")</f>
        <v/>
      </c>
      <c r="CS967" t="str">
        <f>IF(DK967&lt;&gt;"",REPLACE(REPLACE(INDEX($DR$4:$DR$1516,MATCH(DK967,$DS$4:$DS$1516,0)),6,1,#REF!),1,1,#REF!),"")</f>
        <v/>
      </c>
      <c r="CT967" t="str">
        <f>IF(DL967&lt;&gt;"",REPLACE(REPLACE(INDEX($DR$4:$DR$1516,MATCH(DL967,$DS$4:$DS$1516,0)),6,1,#REF!),1,1,#REF!),"")</f>
        <v/>
      </c>
      <c r="CU967" t="str">
        <f>IF(DM967&lt;&gt;"",REPLACE(REPLACE(INDEX($DR$4:$DR$1516,MATCH(DM967,$DS$4:$DS$1516,0)),6,1,#REF!),1,1,#REF!),"")</f>
        <v/>
      </c>
      <c r="CV967" t="str">
        <f>IF(DN967&lt;&gt;"",REPLACE(REPLACE(INDEX($DR$4:$DR$1516,MATCH(DN967,$DS$4:$DS$1516,0)),6,1,#REF!),1,1,#REF!),"")</f>
        <v/>
      </c>
      <c r="CW967" t="str">
        <f>IF(DO967&lt;&gt;"",REPLACE(REPLACE(INDEX($DR$4:$DR$1516,MATCH(DO967,$DS$4:$DS$1516,0)),6,1,#REF!),1,1,#REF!),"")</f>
        <v/>
      </c>
      <c r="DR967">
        <v>5604131</v>
      </c>
      <c r="DS967" t="s">
        <v>295</v>
      </c>
      <c r="DU967" s="17"/>
    </row>
    <row r="968" spans="90:125" x14ac:dyDescent="0.15">
      <c r="CL968" s="13" t="str">
        <f t="shared" si="151"/>
        <v/>
      </c>
      <c r="CM968" s="13" t="str">
        <f t="shared" si="151"/>
        <v/>
      </c>
      <c r="CN968" s="13" t="str">
        <f t="shared" si="151"/>
        <v/>
      </c>
      <c r="CO968" s="13" t="str">
        <f t="shared" si="150"/>
        <v/>
      </c>
      <c r="CP968" s="13" t="str">
        <f t="shared" si="150"/>
        <v/>
      </c>
      <c r="CQ968" s="13" t="str">
        <f t="shared" si="150"/>
        <v/>
      </c>
      <c r="CR968" t="str">
        <f>IF(DJ968&lt;&gt;"",REPLACE(REPLACE(INDEX($DR$4:$DR$1516,MATCH(DJ968,$DS$4:$DS$1516,0)),6,1,#REF!),1,1,#REF!),"")</f>
        <v/>
      </c>
      <c r="CS968" t="str">
        <f>IF(DK968&lt;&gt;"",REPLACE(REPLACE(INDEX($DR$4:$DR$1516,MATCH(DK968,$DS$4:$DS$1516,0)),6,1,#REF!),1,1,#REF!),"")</f>
        <v/>
      </c>
      <c r="CT968" t="str">
        <f>IF(DL968&lt;&gt;"",REPLACE(REPLACE(INDEX($DR$4:$DR$1516,MATCH(DL968,$DS$4:$DS$1516,0)),6,1,#REF!),1,1,#REF!),"")</f>
        <v/>
      </c>
      <c r="CU968" t="str">
        <f>IF(DM968&lt;&gt;"",REPLACE(REPLACE(INDEX($DR$4:$DR$1516,MATCH(DM968,$DS$4:$DS$1516,0)),6,1,#REF!),1,1,#REF!),"")</f>
        <v/>
      </c>
      <c r="CV968" t="str">
        <f>IF(DN968&lt;&gt;"",REPLACE(REPLACE(INDEX($DR$4:$DR$1516,MATCH(DN968,$DS$4:$DS$1516,0)),6,1,#REF!),1,1,#REF!),"")</f>
        <v/>
      </c>
      <c r="CW968" t="str">
        <f>IF(DO968&lt;&gt;"",REPLACE(REPLACE(INDEX($DR$4:$DR$1516,MATCH(DO968,$DS$4:$DS$1516,0)),6,1,#REF!),1,1,#REF!),"")</f>
        <v/>
      </c>
      <c r="DR968">
        <v>5207132</v>
      </c>
      <c r="DS968" t="s">
        <v>296</v>
      </c>
      <c r="DU968" s="17"/>
    </row>
    <row r="969" spans="90:125" x14ac:dyDescent="0.15">
      <c r="CL969" s="13" t="str">
        <f t="shared" si="151"/>
        <v/>
      </c>
      <c r="CM969" s="13" t="str">
        <f t="shared" si="151"/>
        <v/>
      </c>
      <c r="CN969" s="13" t="str">
        <f t="shared" si="151"/>
        <v/>
      </c>
      <c r="CO969" s="13" t="str">
        <f t="shared" si="150"/>
        <v/>
      </c>
      <c r="CP969" s="13" t="str">
        <f t="shared" si="150"/>
        <v/>
      </c>
      <c r="CQ969" s="13" t="str">
        <f t="shared" si="150"/>
        <v/>
      </c>
      <c r="CR969" t="str">
        <f>IF(DJ969&lt;&gt;"",REPLACE(REPLACE(INDEX($DR$4:$DR$1516,MATCH(DJ969,$DS$4:$DS$1516,0)),6,1,#REF!),1,1,#REF!),"")</f>
        <v/>
      </c>
      <c r="CS969" t="str">
        <f>IF(DK969&lt;&gt;"",REPLACE(REPLACE(INDEX($DR$4:$DR$1516,MATCH(DK969,$DS$4:$DS$1516,0)),6,1,#REF!),1,1,#REF!),"")</f>
        <v/>
      </c>
      <c r="CT969" t="str">
        <f>IF(DL969&lt;&gt;"",REPLACE(REPLACE(INDEX($DR$4:$DR$1516,MATCH(DL969,$DS$4:$DS$1516,0)),6,1,#REF!),1,1,#REF!),"")</f>
        <v/>
      </c>
      <c r="CU969" t="str">
        <f>IF(DM969&lt;&gt;"",REPLACE(REPLACE(INDEX($DR$4:$DR$1516,MATCH(DM969,$DS$4:$DS$1516,0)),6,1,#REF!),1,1,#REF!),"")</f>
        <v/>
      </c>
      <c r="CV969" t="str">
        <f>IF(DN969&lt;&gt;"",REPLACE(REPLACE(INDEX($DR$4:$DR$1516,MATCH(DN969,$DS$4:$DS$1516,0)),6,1,#REF!),1,1,#REF!),"")</f>
        <v/>
      </c>
      <c r="CW969" t="str">
        <f>IF(DO969&lt;&gt;"",REPLACE(REPLACE(INDEX($DR$4:$DR$1516,MATCH(DO969,$DS$4:$DS$1516,0)),6,1,#REF!),1,1,#REF!),"")</f>
        <v/>
      </c>
      <c r="DR969">
        <v>5208132</v>
      </c>
      <c r="DS969" t="s">
        <v>297</v>
      </c>
      <c r="DU969" s="17"/>
    </row>
    <row r="970" spans="90:125" x14ac:dyDescent="0.15">
      <c r="CL970" s="13" t="str">
        <f t="shared" si="151"/>
        <v/>
      </c>
      <c r="CM970" s="13" t="str">
        <f t="shared" si="151"/>
        <v/>
      </c>
      <c r="CN970" s="13" t="str">
        <f t="shared" si="151"/>
        <v/>
      </c>
      <c r="CO970" s="13" t="str">
        <f t="shared" si="150"/>
        <v/>
      </c>
      <c r="CP970" s="13" t="str">
        <f t="shared" si="150"/>
        <v/>
      </c>
      <c r="CQ970" s="13" t="str">
        <f t="shared" si="150"/>
        <v/>
      </c>
      <c r="CR970" t="str">
        <f>IF(DJ970&lt;&gt;"",REPLACE(REPLACE(INDEX($DR$4:$DR$1516,MATCH(DJ970,$DS$4:$DS$1516,0)),6,1,#REF!),1,1,#REF!),"")</f>
        <v/>
      </c>
      <c r="CS970" t="str">
        <f>IF(DK970&lt;&gt;"",REPLACE(REPLACE(INDEX($DR$4:$DR$1516,MATCH(DK970,$DS$4:$DS$1516,0)),6,1,#REF!),1,1,#REF!),"")</f>
        <v/>
      </c>
      <c r="CT970" t="str">
        <f>IF(DL970&lt;&gt;"",REPLACE(REPLACE(INDEX($DR$4:$DR$1516,MATCH(DL970,$DS$4:$DS$1516,0)),6,1,#REF!),1,1,#REF!),"")</f>
        <v/>
      </c>
      <c r="CU970" t="str">
        <f>IF(DM970&lt;&gt;"",REPLACE(REPLACE(INDEX($DR$4:$DR$1516,MATCH(DM970,$DS$4:$DS$1516,0)),6,1,#REF!),1,1,#REF!),"")</f>
        <v/>
      </c>
      <c r="CV970" t="str">
        <f>IF(DN970&lt;&gt;"",REPLACE(REPLACE(INDEX($DR$4:$DR$1516,MATCH(DN970,$DS$4:$DS$1516,0)),6,1,#REF!),1,1,#REF!),"")</f>
        <v/>
      </c>
      <c r="CW970" t="str">
        <f>IF(DO970&lt;&gt;"",REPLACE(REPLACE(INDEX($DR$4:$DR$1516,MATCH(DO970,$DS$4:$DS$1516,0)),6,1,#REF!),1,1,#REF!),"")</f>
        <v/>
      </c>
      <c r="DR970">
        <v>5209132</v>
      </c>
      <c r="DS970" t="s">
        <v>298</v>
      </c>
      <c r="DU970" s="17"/>
    </row>
    <row r="971" spans="90:125" x14ac:dyDescent="0.15">
      <c r="CL971" s="13" t="str">
        <f t="shared" si="151"/>
        <v/>
      </c>
      <c r="CM971" s="13" t="str">
        <f t="shared" si="151"/>
        <v/>
      </c>
      <c r="CN971" s="13" t="str">
        <f t="shared" si="151"/>
        <v/>
      </c>
      <c r="CO971" s="13" t="str">
        <f t="shared" si="150"/>
        <v/>
      </c>
      <c r="CP971" s="13" t="str">
        <f t="shared" si="150"/>
        <v/>
      </c>
      <c r="CQ971" s="13" t="str">
        <f t="shared" si="150"/>
        <v/>
      </c>
      <c r="CR971" t="str">
        <f>IF(DJ971&lt;&gt;"",REPLACE(REPLACE(INDEX($DR$4:$DR$1516,MATCH(DJ971,$DS$4:$DS$1516,0)),6,1,#REF!),1,1,#REF!),"")</f>
        <v/>
      </c>
      <c r="CS971" t="str">
        <f>IF(DK971&lt;&gt;"",REPLACE(REPLACE(INDEX($DR$4:$DR$1516,MATCH(DK971,$DS$4:$DS$1516,0)),6,1,#REF!),1,1,#REF!),"")</f>
        <v/>
      </c>
      <c r="CT971" t="str">
        <f>IF(DL971&lt;&gt;"",REPLACE(REPLACE(INDEX($DR$4:$DR$1516,MATCH(DL971,$DS$4:$DS$1516,0)),6,1,#REF!),1,1,#REF!),"")</f>
        <v/>
      </c>
      <c r="CU971" t="str">
        <f>IF(DM971&lt;&gt;"",REPLACE(REPLACE(INDEX($DR$4:$DR$1516,MATCH(DM971,$DS$4:$DS$1516,0)),6,1,#REF!),1,1,#REF!),"")</f>
        <v/>
      </c>
      <c r="CV971" t="str">
        <f>IF(DN971&lt;&gt;"",REPLACE(REPLACE(INDEX($DR$4:$DR$1516,MATCH(DN971,$DS$4:$DS$1516,0)),6,1,#REF!),1,1,#REF!),"")</f>
        <v/>
      </c>
      <c r="CW971" t="str">
        <f>IF(DO971&lt;&gt;"",REPLACE(REPLACE(INDEX($DR$4:$DR$1516,MATCH(DO971,$DS$4:$DS$1516,0)),6,1,#REF!),1,1,#REF!),"")</f>
        <v/>
      </c>
      <c r="DR971">
        <v>5306132</v>
      </c>
      <c r="DS971" t="s">
        <v>299</v>
      </c>
      <c r="DU971" s="17"/>
    </row>
    <row r="972" spans="90:125" x14ac:dyDescent="0.15">
      <c r="CL972" s="13" t="str">
        <f t="shared" si="151"/>
        <v/>
      </c>
      <c r="CM972" s="13" t="str">
        <f t="shared" si="151"/>
        <v/>
      </c>
      <c r="CN972" s="13" t="str">
        <f t="shared" si="151"/>
        <v/>
      </c>
      <c r="CO972" s="13" t="str">
        <f t="shared" si="150"/>
        <v/>
      </c>
      <c r="CP972" s="13" t="str">
        <f t="shared" si="150"/>
        <v/>
      </c>
      <c r="CQ972" s="13" t="str">
        <f t="shared" si="150"/>
        <v/>
      </c>
      <c r="CR972" t="str">
        <f>IF(DJ972&lt;&gt;"",REPLACE(REPLACE(INDEX($DR$4:$DR$1516,MATCH(DJ972,$DS$4:$DS$1516,0)),6,1,#REF!),1,1,#REF!),"")</f>
        <v/>
      </c>
      <c r="CS972" t="str">
        <f>IF(DK972&lt;&gt;"",REPLACE(REPLACE(INDEX($DR$4:$DR$1516,MATCH(DK972,$DS$4:$DS$1516,0)),6,1,#REF!),1,1,#REF!),"")</f>
        <v/>
      </c>
      <c r="CT972" t="str">
        <f>IF(DL972&lt;&gt;"",REPLACE(REPLACE(INDEX($DR$4:$DR$1516,MATCH(DL972,$DS$4:$DS$1516,0)),6,1,#REF!),1,1,#REF!),"")</f>
        <v/>
      </c>
      <c r="CU972" t="str">
        <f>IF(DM972&lt;&gt;"",REPLACE(REPLACE(INDEX($DR$4:$DR$1516,MATCH(DM972,$DS$4:$DS$1516,0)),6,1,#REF!),1,1,#REF!),"")</f>
        <v/>
      </c>
      <c r="CV972" t="str">
        <f>IF(DN972&lt;&gt;"",REPLACE(REPLACE(INDEX($DR$4:$DR$1516,MATCH(DN972,$DS$4:$DS$1516,0)),6,1,#REF!),1,1,#REF!),"")</f>
        <v/>
      </c>
      <c r="CW972" t="str">
        <f>IF(DO972&lt;&gt;"",REPLACE(REPLACE(INDEX($DR$4:$DR$1516,MATCH(DO972,$DS$4:$DS$1516,0)),6,1,#REF!),1,1,#REF!),"")</f>
        <v/>
      </c>
      <c r="DR972">
        <v>5408132</v>
      </c>
      <c r="DS972" t="s">
        <v>300</v>
      </c>
      <c r="DU972" s="17"/>
    </row>
    <row r="973" spans="90:125" x14ac:dyDescent="0.15">
      <c r="CL973" s="13" t="str">
        <f t="shared" si="151"/>
        <v/>
      </c>
      <c r="CM973" s="13" t="str">
        <f t="shared" si="151"/>
        <v/>
      </c>
      <c r="CN973" s="13" t="str">
        <f t="shared" si="151"/>
        <v/>
      </c>
      <c r="CO973" s="13" t="str">
        <f t="shared" si="150"/>
        <v/>
      </c>
      <c r="CP973" s="13" t="str">
        <f t="shared" si="150"/>
        <v/>
      </c>
      <c r="CQ973" s="13" t="str">
        <f t="shared" si="150"/>
        <v/>
      </c>
      <c r="CR973" t="str">
        <f>IF(DJ973&lt;&gt;"",REPLACE(REPLACE(INDEX($DR$4:$DR$1516,MATCH(DJ973,$DS$4:$DS$1516,0)),6,1,#REF!),1,1,#REF!),"")</f>
        <v/>
      </c>
      <c r="CS973" t="str">
        <f>IF(DK973&lt;&gt;"",REPLACE(REPLACE(INDEX($DR$4:$DR$1516,MATCH(DK973,$DS$4:$DS$1516,0)),6,1,#REF!),1,1,#REF!),"")</f>
        <v/>
      </c>
      <c r="CT973" t="str">
        <f>IF(DL973&lt;&gt;"",REPLACE(REPLACE(INDEX($DR$4:$DR$1516,MATCH(DL973,$DS$4:$DS$1516,0)),6,1,#REF!),1,1,#REF!),"")</f>
        <v/>
      </c>
      <c r="CU973" t="str">
        <f>IF(DM973&lt;&gt;"",REPLACE(REPLACE(INDEX($DR$4:$DR$1516,MATCH(DM973,$DS$4:$DS$1516,0)),6,1,#REF!),1,1,#REF!),"")</f>
        <v/>
      </c>
      <c r="CV973" t="str">
        <f>IF(DN973&lt;&gt;"",REPLACE(REPLACE(INDEX($DR$4:$DR$1516,MATCH(DN973,$DS$4:$DS$1516,0)),6,1,#REF!),1,1,#REF!),"")</f>
        <v/>
      </c>
      <c r="CW973" t="str">
        <f>IF(DO973&lt;&gt;"",REPLACE(REPLACE(INDEX($DR$4:$DR$1516,MATCH(DO973,$DS$4:$DS$1516,0)),6,1,#REF!),1,1,#REF!),"")</f>
        <v/>
      </c>
      <c r="DR973">
        <v>5409132</v>
      </c>
      <c r="DS973" t="s">
        <v>301</v>
      </c>
      <c r="DU973" s="17"/>
    </row>
    <row r="974" spans="90:125" x14ac:dyDescent="0.15">
      <c r="CL974" s="13" t="str">
        <f t="shared" si="151"/>
        <v/>
      </c>
      <c r="CM974" s="13" t="str">
        <f t="shared" si="151"/>
        <v/>
      </c>
      <c r="CN974" s="13" t="str">
        <f t="shared" si="151"/>
        <v/>
      </c>
      <c r="CO974" s="13" t="str">
        <f t="shared" si="150"/>
        <v/>
      </c>
      <c r="CP974" s="13" t="str">
        <f t="shared" si="150"/>
        <v/>
      </c>
      <c r="CQ974" s="13" t="str">
        <f t="shared" si="150"/>
        <v/>
      </c>
      <c r="CR974" t="str">
        <f>IF(DJ974&lt;&gt;"",REPLACE(REPLACE(INDEX($DR$4:$DR$1516,MATCH(DJ974,$DS$4:$DS$1516,0)),6,1,#REF!),1,1,#REF!),"")</f>
        <v/>
      </c>
      <c r="CS974" t="str">
        <f>IF(DK974&lt;&gt;"",REPLACE(REPLACE(INDEX($DR$4:$DR$1516,MATCH(DK974,$DS$4:$DS$1516,0)),6,1,#REF!),1,1,#REF!),"")</f>
        <v/>
      </c>
      <c r="CT974" t="str">
        <f>IF(DL974&lt;&gt;"",REPLACE(REPLACE(INDEX($DR$4:$DR$1516,MATCH(DL974,$DS$4:$DS$1516,0)),6,1,#REF!),1,1,#REF!),"")</f>
        <v/>
      </c>
      <c r="CU974" t="str">
        <f>IF(DM974&lt;&gt;"",REPLACE(REPLACE(INDEX($DR$4:$DR$1516,MATCH(DM974,$DS$4:$DS$1516,0)),6,1,#REF!),1,1,#REF!),"")</f>
        <v/>
      </c>
      <c r="CV974" t="str">
        <f>IF(DN974&lt;&gt;"",REPLACE(REPLACE(INDEX($DR$4:$DR$1516,MATCH(DN974,$DS$4:$DS$1516,0)),6,1,#REF!),1,1,#REF!),"")</f>
        <v/>
      </c>
      <c r="CW974" t="str">
        <f>IF(DO974&lt;&gt;"",REPLACE(REPLACE(INDEX($DR$4:$DR$1516,MATCH(DO974,$DS$4:$DS$1516,0)),6,1,#REF!),1,1,#REF!),"")</f>
        <v/>
      </c>
      <c r="DR974">
        <v>5505132</v>
      </c>
      <c r="DS974" t="s">
        <v>302</v>
      </c>
      <c r="DU974" s="17"/>
    </row>
    <row r="975" spans="90:125" x14ac:dyDescent="0.15">
      <c r="CL975" s="13" t="str">
        <f t="shared" si="151"/>
        <v/>
      </c>
      <c r="CM975" s="13" t="str">
        <f t="shared" si="151"/>
        <v/>
      </c>
      <c r="CN975" s="13" t="str">
        <f t="shared" si="151"/>
        <v/>
      </c>
      <c r="CO975" s="13" t="str">
        <f t="shared" si="150"/>
        <v/>
      </c>
      <c r="CP975" s="13" t="str">
        <f t="shared" si="150"/>
        <v/>
      </c>
      <c r="CQ975" s="13" t="str">
        <f t="shared" si="150"/>
        <v/>
      </c>
      <c r="CR975" t="str">
        <f>IF(DJ975&lt;&gt;"",REPLACE(REPLACE(INDEX($DR$4:$DR$1516,MATCH(DJ975,$DS$4:$DS$1516,0)),6,1,#REF!),1,1,#REF!),"")</f>
        <v/>
      </c>
      <c r="CS975" t="str">
        <f>IF(DK975&lt;&gt;"",REPLACE(REPLACE(INDEX($DR$4:$DR$1516,MATCH(DK975,$DS$4:$DS$1516,0)),6,1,#REF!),1,1,#REF!),"")</f>
        <v/>
      </c>
      <c r="CT975" t="str">
        <f>IF(DL975&lt;&gt;"",REPLACE(REPLACE(INDEX($DR$4:$DR$1516,MATCH(DL975,$DS$4:$DS$1516,0)),6,1,#REF!),1,1,#REF!),"")</f>
        <v/>
      </c>
      <c r="CU975" t="str">
        <f>IF(DM975&lt;&gt;"",REPLACE(REPLACE(INDEX($DR$4:$DR$1516,MATCH(DM975,$DS$4:$DS$1516,0)),6,1,#REF!),1,1,#REF!),"")</f>
        <v/>
      </c>
      <c r="CV975" t="str">
        <f>IF(DN975&lt;&gt;"",REPLACE(REPLACE(INDEX($DR$4:$DR$1516,MATCH(DN975,$DS$4:$DS$1516,0)),6,1,#REF!),1,1,#REF!),"")</f>
        <v/>
      </c>
      <c r="CW975" t="str">
        <f>IF(DO975&lt;&gt;"",REPLACE(REPLACE(INDEX($DR$4:$DR$1516,MATCH(DO975,$DS$4:$DS$1516,0)),6,1,#REF!),1,1,#REF!),"")</f>
        <v/>
      </c>
      <c r="DR975">
        <v>5507132</v>
      </c>
      <c r="DS975" t="s">
        <v>303</v>
      </c>
      <c r="DU975" s="17"/>
    </row>
    <row r="976" spans="90:125" x14ac:dyDescent="0.15">
      <c r="CL976" s="13" t="str">
        <f t="shared" si="151"/>
        <v/>
      </c>
      <c r="CM976" s="13" t="str">
        <f t="shared" si="151"/>
        <v/>
      </c>
      <c r="CN976" s="13" t="str">
        <f t="shared" si="151"/>
        <v/>
      </c>
      <c r="CO976" s="13" t="str">
        <f t="shared" si="150"/>
        <v/>
      </c>
      <c r="CP976" s="13" t="str">
        <f t="shared" si="150"/>
        <v/>
      </c>
      <c r="CQ976" s="13" t="str">
        <f t="shared" si="150"/>
        <v/>
      </c>
      <c r="CR976" t="str">
        <f>IF(DJ976&lt;&gt;"",REPLACE(REPLACE(INDEX($DR$4:$DR$1516,MATCH(DJ976,$DS$4:$DS$1516,0)),6,1,#REF!),1,1,#REF!),"")</f>
        <v/>
      </c>
      <c r="CS976" t="str">
        <f>IF(DK976&lt;&gt;"",REPLACE(REPLACE(INDEX($DR$4:$DR$1516,MATCH(DK976,$DS$4:$DS$1516,0)),6,1,#REF!),1,1,#REF!),"")</f>
        <v/>
      </c>
      <c r="CT976" t="str">
        <f>IF(DL976&lt;&gt;"",REPLACE(REPLACE(INDEX($DR$4:$DR$1516,MATCH(DL976,$DS$4:$DS$1516,0)),6,1,#REF!),1,1,#REF!),"")</f>
        <v/>
      </c>
      <c r="CU976" t="str">
        <f>IF(DM976&lt;&gt;"",REPLACE(REPLACE(INDEX($DR$4:$DR$1516,MATCH(DM976,$DS$4:$DS$1516,0)),6,1,#REF!),1,1,#REF!),"")</f>
        <v/>
      </c>
      <c r="CV976" t="str">
        <f>IF(DN976&lt;&gt;"",REPLACE(REPLACE(INDEX($DR$4:$DR$1516,MATCH(DN976,$DS$4:$DS$1516,0)),6,1,#REF!),1,1,#REF!),"")</f>
        <v/>
      </c>
      <c r="CW976" t="str">
        <f>IF(DO976&lt;&gt;"",REPLACE(REPLACE(INDEX($DR$4:$DR$1516,MATCH(DO976,$DS$4:$DS$1516,0)),6,1,#REF!),1,1,#REF!),"")</f>
        <v/>
      </c>
      <c r="DR976">
        <v>5604132</v>
      </c>
      <c r="DS976" t="s">
        <v>304</v>
      </c>
      <c r="DU976" s="17"/>
    </row>
    <row r="977" spans="90:125" x14ac:dyDescent="0.15">
      <c r="CL977" s="13" t="str">
        <f t="shared" si="151"/>
        <v/>
      </c>
      <c r="CM977" s="13" t="str">
        <f t="shared" si="151"/>
        <v/>
      </c>
      <c r="CN977" s="13" t="str">
        <f t="shared" si="151"/>
        <v/>
      </c>
      <c r="CO977" s="13" t="str">
        <f t="shared" si="150"/>
        <v/>
      </c>
      <c r="CP977" s="13" t="str">
        <f t="shared" si="150"/>
        <v/>
      </c>
      <c r="CQ977" s="13" t="str">
        <f t="shared" si="150"/>
        <v/>
      </c>
      <c r="CR977" t="str">
        <f>IF(DJ977&lt;&gt;"",REPLACE(REPLACE(INDEX($DR$4:$DR$1516,MATCH(DJ977,$DS$4:$DS$1516,0)),6,1,#REF!),1,1,#REF!),"")</f>
        <v/>
      </c>
      <c r="CS977" t="str">
        <f>IF(DK977&lt;&gt;"",REPLACE(REPLACE(INDEX($DR$4:$DR$1516,MATCH(DK977,$DS$4:$DS$1516,0)),6,1,#REF!),1,1,#REF!),"")</f>
        <v/>
      </c>
      <c r="CT977" t="str">
        <f>IF(DL977&lt;&gt;"",REPLACE(REPLACE(INDEX($DR$4:$DR$1516,MATCH(DL977,$DS$4:$DS$1516,0)),6,1,#REF!),1,1,#REF!),"")</f>
        <v/>
      </c>
      <c r="CU977" t="str">
        <f>IF(DM977&lt;&gt;"",REPLACE(REPLACE(INDEX($DR$4:$DR$1516,MATCH(DM977,$DS$4:$DS$1516,0)),6,1,#REF!),1,1,#REF!),"")</f>
        <v/>
      </c>
      <c r="CV977" t="str">
        <f>IF(DN977&lt;&gt;"",REPLACE(REPLACE(INDEX($DR$4:$DR$1516,MATCH(DN977,$DS$4:$DS$1516,0)),6,1,#REF!),1,1,#REF!),"")</f>
        <v/>
      </c>
      <c r="CW977" t="str">
        <f>IF(DO977&lt;&gt;"",REPLACE(REPLACE(INDEX($DR$4:$DR$1516,MATCH(DO977,$DS$4:$DS$1516,0)),6,1,#REF!),1,1,#REF!),"")</f>
        <v/>
      </c>
      <c r="DR977">
        <v>5207133</v>
      </c>
      <c r="DS977" t="s">
        <v>305</v>
      </c>
      <c r="DU977" s="17"/>
    </row>
    <row r="978" spans="90:125" x14ac:dyDescent="0.15">
      <c r="CL978" s="13" t="str">
        <f t="shared" si="151"/>
        <v/>
      </c>
      <c r="CM978" s="13" t="str">
        <f t="shared" si="151"/>
        <v/>
      </c>
      <c r="CN978" s="13" t="str">
        <f t="shared" si="151"/>
        <v/>
      </c>
      <c r="CO978" s="13" t="str">
        <f t="shared" si="150"/>
        <v/>
      </c>
      <c r="CP978" s="13" t="str">
        <f t="shared" si="150"/>
        <v/>
      </c>
      <c r="CQ978" s="13" t="str">
        <f t="shared" si="150"/>
        <v/>
      </c>
      <c r="CR978" t="str">
        <f>IF(DJ978&lt;&gt;"",REPLACE(REPLACE(INDEX($DR$4:$DR$1516,MATCH(DJ978,$DS$4:$DS$1516,0)),6,1,#REF!),1,1,#REF!),"")</f>
        <v/>
      </c>
      <c r="CS978" t="str">
        <f>IF(DK978&lt;&gt;"",REPLACE(REPLACE(INDEX($DR$4:$DR$1516,MATCH(DK978,$DS$4:$DS$1516,0)),6,1,#REF!),1,1,#REF!),"")</f>
        <v/>
      </c>
      <c r="CT978" t="str">
        <f>IF(DL978&lt;&gt;"",REPLACE(REPLACE(INDEX($DR$4:$DR$1516,MATCH(DL978,$DS$4:$DS$1516,0)),6,1,#REF!),1,1,#REF!),"")</f>
        <v/>
      </c>
      <c r="CU978" t="str">
        <f>IF(DM978&lt;&gt;"",REPLACE(REPLACE(INDEX($DR$4:$DR$1516,MATCH(DM978,$DS$4:$DS$1516,0)),6,1,#REF!),1,1,#REF!),"")</f>
        <v/>
      </c>
      <c r="CV978" t="str">
        <f>IF(DN978&lt;&gt;"",REPLACE(REPLACE(INDEX($DR$4:$DR$1516,MATCH(DN978,$DS$4:$DS$1516,0)),6,1,#REF!),1,1,#REF!),"")</f>
        <v/>
      </c>
      <c r="CW978" t="str">
        <f>IF(DO978&lt;&gt;"",REPLACE(REPLACE(INDEX($DR$4:$DR$1516,MATCH(DO978,$DS$4:$DS$1516,0)),6,1,#REF!),1,1,#REF!),"")</f>
        <v/>
      </c>
      <c r="DR978">
        <v>5208133</v>
      </c>
      <c r="DS978" t="s">
        <v>306</v>
      </c>
      <c r="DU978" s="17"/>
    </row>
    <row r="979" spans="90:125" x14ac:dyDescent="0.15">
      <c r="CL979" s="13" t="str">
        <f t="shared" si="151"/>
        <v/>
      </c>
      <c r="CM979" s="13" t="str">
        <f t="shared" si="151"/>
        <v/>
      </c>
      <c r="CN979" s="13" t="str">
        <f t="shared" si="151"/>
        <v/>
      </c>
      <c r="CO979" s="13" t="str">
        <f t="shared" si="150"/>
        <v/>
      </c>
      <c r="CP979" s="13" t="str">
        <f t="shared" si="150"/>
        <v/>
      </c>
      <c r="CQ979" s="13" t="str">
        <f t="shared" si="150"/>
        <v/>
      </c>
      <c r="CR979" t="str">
        <f>IF(DJ979&lt;&gt;"",REPLACE(REPLACE(INDEX($DR$4:$DR$1516,MATCH(DJ979,$DS$4:$DS$1516,0)),6,1,#REF!),1,1,#REF!),"")</f>
        <v/>
      </c>
      <c r="CS979" t="str">
        <f>IF(DK979&lt;&gt;"",REPLACE(REPLACE(INDEX($DR$4:$DR$1516,MATCH(DK979,$DS$4:$DS$1516,0)),6,1,#REF!),1,1,#REF!),"")</f>
        <v/>
      </c>
      <c r="CT979" t="str">
        <f>IF(DL979&lt;&gt;"",REPLACE(REPLACE(INDEX($DR$4:$DR$1516,MATCH(DL979,$DS$4:$DS$1516,0)),6,1,#REF!),1,1,#REF!),"")</f>
        <v/>
      </c>
      <c r="CU979" t="str">
        <f>IF(DM979&lt;&gt;"",REPLACE(REPLACE(INDEX($DR$4:$DR$1516,MATCH(DM979,$DS$4:$DS$1516,0)),6,1,#REF!),1,1,#REF!),"")</f>
        <v/>
      </c>
      <c r="CV979" t="str">
        <f>IF(DN979&lt;&gt;"",REPLACE(REPLACE(INDEX($DR$4:$DR$1516,MATCH(DN979,$DS$4:$DS$1516,0)),6,1,#REF!),1,1,#REF!),"")</f>
        <v/>
      </c>
      <c r="CW979" t="str">
        <f>IF(DO979&lt;&gt;"",REPLACE(REPLACE(INDEX($DR$4:$DR$1516,MATCH(DO979,$DS$4:$DS$1516,0)),6,1,#REF!),1,1,#REF!),"")</f>
        <v/>
      </c>
      <c r="DR979">
        <v>5209133</v>
      </c>
      <c r="DS979" t="s">
        <v>307</v>
      </c>
      <c r="DU979" s="17"/>
    </row>
    <row r="980" spans="90:125" x14ac:dyDescent="0.15">
      <c r="CL980" s="13" t="str">
        <f t="shared" si="151"/>
        <v/>
      </c>
      <c r="CM980" s="13" t="str">
        <f t="shared" si="151"/>
        <v/>
      </c>
      <c r="CN980" s="13" t="str">
        <f t="shared" si="151"/>
        <v/>
      </c>
      <c r="CO980" s="13" t="str">
        <f t="shared" si="150"/>
        <v/>
      </c>
      <c r="CP980" s="13" t="str">
        <f t="shared" si="150"/>
        <v/>
      </c>
      <c r="CQ980" s="13" t="str">
        <f t="shared" si="150"/>
        <v/>
      </c>
      <c r="CR980" t="str">
        <f>IF(DJ980&lt;&gt;"",REPLACE(REPLACE(INDEX($DR$4:$DR$1516,MATCH(DJ980,$DS$4:$DS$1516,0)),6,1,#REF!),1,1,#REF!),"")</f>
        <v/>
      </c>
      <c r="CS980" t="str">
        <f>IF(DK980&lt;&gt;"",REPLACE(REPLACE(INDEX($DR$4:$DR$1516,MATCH(DK980,$DS$4:$DS$1516,0)),6,1,#REF!),1,1,#REF!),"")</f>
        <v/>
      </c>
      <c r="CT980" t="str">
        <f>IF(DL980&lt;&gt;"",REPLACE(REPLACE(INDEX($DR$4:$DR$1516,MATCH(DL980,$DS$4:$DS$1516,0)),6,1,#REF!),1,1,#REF!),"")</f>
        <v/>
      </c>
      <c r="CU980" t="str">
        <f>IF(DM980&lt;&gt;"",REPLACE(REPLACE(INDEX($DR$4:$DR$1516,MATCH(DM980,$DS$4:$DS$1516,0)),6,1,#REF!),1,1,#REF!),"")</f>
        <v/>
      </c>
      <c r="CV980" t="str">
        <f>IF(DN980&lt;&gt;"",REPLACE(REPLACE(INDEX($DR$4:$DR$1516,MATCH(DN980,$DS$4:$DS$1516,0)),6,1,#REF!),1,1,#REF!),"")</f>
        <v/>
      </c>
      <c r="CW980" t="str">
        <f>IF(DO980&lt;&gt;"",REPLACE(REPLACE(INDEX($DR$4:$DR$1516,MATCH(DO980,$DS$4:$DS$1516,0)),6,1,#REF!),1,1,#REF!),"")</f>
        <v/>
      </c>
      <c r="DR980">
        <v>5306133</v>
      </c>
      <c r="DS980" t="s">
        <v>308</v>
      </c>
      <c r="DU980" s="17"/>
    </row>
    <row r="981" spans="90:125" x14ac:dyDescent="0.15">
      <c r="CL981" s="13" t="str">
        <f t="shared" si="151"/>
        <v/>
      </c>
      <c r="CM981" s="13" t="str">
        <f t="shared" si="151"/>
        <v/>
      </c>
      <c r="CN981" s="13" t="str">
        <f t="shared" si="151"/>
        <v/>
      </c>
      <c r="CO981" s="13" t="str">
        <f t="shared" si="150"/>
        <v/>
      </c>
      <c r="CP981" s="13" t="str">
        <f t="shared" si="150"/>
        <v/>
      </c>
      <c r="CQ981" s="13" t="str">
        <f t="shared" si="150"/>
        <v/>
      </c>
      <c r="CR981" t="str">
        <f>IF(DJ981&lt;&gt;"",REPLACE(REPLACE(INDEX($DR$4:$DR$1516,MATCH(DJ981,$DS$4:$DS$1516,0)),6,1,#REF!),1,1,#REF!),"")</f>
        <v/>
      </c>
      <c r="CS981" t="str">
        <f>IF(DK981&lt;&gt;"",REPLACE(REPLACE(INDEX($DR$4:$DR$1516,MATCH(DK981,$DS$4:$DS$1516,0)),6,1,#REF!),1,1,#REF!),"")</f>
        <v/>
      </c>
      <c r="CT981" t="str">
        <f>IF(DL981&lt;&gt;"",REPLACE(REPLACE(INDEX($DR$4:$DR$1516,MATCH(DL981,$DS$4:$DS$1516,0)),6,1,#REF!),1,1,#REF!),"")</f>
        <v/>
      </c>
      <c r="CU981" t="str">
        <f>IF(DM981&lt;&gt;"",REPLACE(REPLACE(INDEX($DR$4:$DR$1516,MATCH(DM981,$DS$4:$DS$1516,0)),6,1,#REF!),1,1,#REF!),"")</f>
        <v/>
      </c>
      <c r="CV981" t="str">
        <f>IF(DN981&lt;&gt;"",REPLACE(REPLACE(INDEX($DR$4:$DR$1516,MATCH(DN981,$DS$4:$DS$1516,0)),6,1,#REF!),1,1,#REF!),"")</f>
        <v/>
      </c>
      <c r="CW981" t="str">
        <f>IF(DO981&lt;&gt;"",REPLACE(REPLACE(INDEX($DR$4:$DR$1516,MATCH(DO981,$DS$4:$DS$1516,0)),6,1,#REF!),1,1,#REF!),"")</f>
        <v/>
      </c>
      <c r="DR981">
        <v>5408133</v>
      </c>
      <c r="DS981" t="s">
        <v>309</v>
      </c>
      <c r="DU981" s="17"/>
    </row>
    <row r="982" spans="90:125" x14ac:dyDescent="0.15">
      <c r="DR982">
        <v>5409133</v>
      </c>
      <c r="DS982" t="s">
        <v>310</v>
      </c>
      <c r="DU982" s="17"/>
    </row>
    <row r="983" spans="90:125" x14ac:dyDescent="0.15">
      <c r="DR983">
        <v>5505133</v>
      </c>
      <c r="DS983" t="s">
        <v>311</v>
      </c>
      <c r="DU983" s="17"/>
    </row>
    <row r="984" spans="90:125" x14ac:dyDescent="0.15">
      <c r="DR984">
        <v>5507133</v>
      </c>
      <c r="DS984" t="s">
        <v>312</v>
      </c>
      <c r="DU984" s="17"/>
    </row>
    <row r="985" spans="90:125" x14ac:dyDescent="0.15">
      <c r="DR985">
        <v>5604133</v>
      </c>
      <c r="DS985" t="s">
        <v>313</v>
      </c>
      <c r="DU985" s="17"/>
    </row>
    <row r="986" spans="90:125" x14ac:dyDescent="0.15">
      <c r="DR986">
        <v>5506134</v>
      </c>
      <c r="DS986" t="s">
        <v>314</v>
      </c>
      <c r="DU986" s="17"/>
    </row>
    <row r="987" spans="90:125" x14ac:dyDescent="0.15">
      <c r="DR987">
        <v>5603134</v>
      </c>
      <c r="DS987" t="s">
        <v>315</v>
      </c>
      <c r="DU987" s="17"/>
    </row>
    <row r="988" spans="90:125" x14ac:dyDescent="0.15">
      <c r="DR988">
        <v>5605134</v>
      </c>
      <c r="DS988" t="s">
        <v>316</v>
      </c>
      <c r="DU988" s="17"/>
    </row>
    <row r="989" spans="90:125" x14ac:dyDescent="0.15">
      <c r="DR989">
        <v>5305135</v>
      </c>
      <c r="DS989" t="s">
        <v>317</v>
      </c>
      <c r="DU989" s="17"/>
    </row>
    <row r="990" spans="90:125" x14ac:dyDescent="0.15">
      <c r="DR990">
        <v>5307135</v>
      </c>
      <c r="DS990" t="s">
        <v>318</v>
      </c>
      <c r="DU990" s="17"/>
    </row>
    <row r="991" spans="90:125" x14ac:dyDescent="0.15">
      <c r="DR991">
        <v>5407135</v>
      </c>
      <c r="DS991" t="s">
        <v>319</v>
      </c>
      <c r="DU991" s="17"/>
    </row>
    <row r="992" spans="90:125" x14ac:dyDescent="0.15">
      <c r="DR992">
        <v>1203011</v>
      </c>
      <c r="DS992" t="s">
        <v>61</v>
      </c>
    </row>
    <row r="993" spans="122:125" x14ac:dyDescent="0.15">
      <c r="DR993">
        <v>1403011</v>
      </c>
      <c r="DS993" t="s">
        <v>320</v>
      </c>
    </row>
    <row r="994" spans="122:125" x14ac:dyDescent="0.15">
      <c r="DR994">
        <v>1205011</v>
      </c>
      <c r="DS994" t="s">
        <v>64</v>
      </c>
    </row>
    <row r="995" spans="122:125" x14ac:dyDescent="0.15">
      <c r="DR995">
        <v>1405011</v>
      </c>
      <c r="DS995" t="s">
        <v>321</v>
      </c>
    </row>
    <row r="996" spans="122:125" x14ac:dyDescent="0.15">
      <c r="DR996">
        <v>1303011</v>
      </c>
      <c r="DS996" t="s">
        <v>322</v>
      </c>
    </row>
    <row r="997" spans="122:125" x14ac:dyDescent="0.15">
      <c r="DR997">
        <v>1504011</v>
      </c>
      <c r="DS997" t="s">
        <v>323</v>
      </c>
    </row>
    <row r="998" spans="122:125" x14ac:dyDescent="0.15">
      <c r="DR998">
        <v>1206011</v>
      </c>
      <c r="DS998" t="s">
        <v>67</v>
      </c>
      <c r="DU998" s="18"/>
    </row>
    <row r="999" spans="122:125" x14ac:dyDescent="0.15">
      <c r="DR999">
        <v>1406011</v>
      </c>
      <c r="DS999" t="s">
        <v>324</v>
      </c>
      <c r="DU999" s="18"/>
    </row>
    <row r="1000" spans="122:125" x14ac:dyDescent="0.15">
      <c r="DR1000">
        <v>1204011</v>
      </c>
      <c r="DS1000" t="s">
        <v>70</v>
      </c>
      <c r="DU1000" s="18"/>
    </row>
    <row r="1001" spans="122:125" x14ac:dyDescent="0.15">
      <c r="DR1001">
        <v>1404011</v>
      </c>
      <c r="DS1001" t="s">
        <v>325</v>
      </c>
      <c r="DU1001" s="18"/>
    </row>
    <row r="1002" spans="122:125" x14ac:dyDescent="0.15">
      <c r="DR1002">
        <v>1503011</v>
      </c>
      <c r="DS1002" t="s">
        <v>83</v>
      </c>
      <c r="DU1002" s="18"/>
    </row>
    <row r="1003" spans="122:125" x14ac:dyDescent="0.15">
      <c r="DR1003">
        <v>1304011</v>
      </c>
      <c r="DS1003" t="s">
        <v>75</v>
      </c>
      <c r="DU1003" s="18"/>
    </row>
    <row r="1004" spans="122:125" x14ac:dyDescent="0.15">
      <c r="DR1004">
        <v>1203012</v>
      </c>
      <c r="DS1004" t="s">
        <v>78</v>
      </c>
    </row>
    <row r="1005" spans="122:125" x14ac:dyDescent="0.15">
      <c r="DR1005">
        <v>1403012</v>
      </c>
      <c r="DS1005" t="s">
        <v>326</v>
      </c>
    </row>
    <row r="1006" spans="122:125" x14ac:dyDescent="0.15">
      <c r="DR1006">
        <v>1205012</v>
      </c>
      <c r="DS1006" t="s">
        <v>87</v>
      </c>
    </row>
    <row r="1007" spans="122:125" x14ac:dyDescent="0.15">
      <c r="DR1007">
        <v>1405012</v>
      </c>
      <c r="DS1007" t="s">
        <v>327</v>
      </c>
    </row>
    <row r="1008" spans="122:125" x14ac:dyDescent="0.15">
      <c r="DR1008">
        <v>1303012</v>
      </c>
      <c r="DS1008" t="s">
        <v>328</v>
      </c>
    </row>
    <row r="1009" spans="122:125" x14ac:dyDescent="0.15">
      <c r="DR1009">
        <v>1504012</v>
      </c>
      <c r="DS1009" t="s">
        <v>329</v>
      </c>
    </row>
    <row r="1010" spans="122:125" x14ac:dyDescent="0.15">
      <c r="DR1010">
        <v>1206012</v>
      </c>
      <c r="DS1010" t="s">
        <v>97</v>
      </c>
      <c r="DU1010" s="18"/>
    </row>
    <row r="1011" spans="122:125" x14ac:dyDescent="0.15">
      <c r="DR1011">
        <v>1406012</v>
      </c>
      <c r="DS1011" t="s">
        <v>330</v>
      </c>
      <c r="DU1011" s="18"/>
    </row>
    <row r="1012" spans="122:125" x14ac:dyDescent="0.15">
      <c r="DR1012">
        <v>1204012</v>
      </c>
      <c r="DS1012" t="s">
        <v>106</v>
      </c>
      <c r="DU1012" s="18"/>
    </row>
    <row r="1013" spans="122:125" x14ac:dyDescent="0.15">
      <c r="DR1013">
        <v>1404012</v>
      </c>
      <c r="DS1013" t="s">
        <v>331</v>
      </c>
      <c r="DU1013" s="18"/>
    </row>
    <row r="1014" spans="122:125" x14ac:dyDescent="0.15">
      <c r="DR1014">
        <v>1503012</v>
      </c>
      <c r="DS1014" t="s">
        <v>161</v>
      </c>
      <c r="DU1014" s="18"/>
    </row>
    <row r="1015" spans="122:125" x14ac:dyDescent="0.15">
      <c r="DR1015">
        <v>1304012</v>
      </c>
      <c r="DS1015" t="s">
        <v>117</v>
      </c>
      <c r="DU1015" s="18"/>
    </row>
    <row r="1016" spans="122:125" x14ac:dyDescent="0.15">
      <c r="DR1016">
        <v>1203013</v>
      </c>
      <c r="DS1016" t="s">
        <v>140</v>
      </c>
    </row>
    <row r="1017" spans="122:125" x14ac:dyDescent="0.15">
      <c r="DR1017">
        <v>1403013</v>
      </c>
      <c r="DS1017" t="s">
        <v>332</v>
      </c>
    </row>
    <row r="1018" spans="122:125" x14ac:dyDescent="0.15">
      <c r="DR1018">
        <v>1205013</v>
      </c>
      <c r="DS1018" t="s">
        <v>138</v>
      </c>
    </row>
    <row r="1019" spans="122:125" x14ac:dyDescent="0.15">
      <c r="DR1019">
        <v>1405013</v>
      </c>
      <c r="DS1019" t="s">
        <v>333</v>
      </c>
    </row>
    <row r="1020" spans="122:125" x14ac:dyDescent="0.15">
      <c r="DR1020">
        <v>1303013</v>
      </c>
      <c r="DS1020" t="s">
        <v>334</v>
      </c>
    </row>
    <row r="1021" spans="122:125" x14ac:dyDescent="0.15">
      <c r="DR1021">
        <v>1504013</v>
      </c>
      <c r="DS1021" t="s">
        <v>335</v>
      </c>
    </row>
    <row r="1022" spans="122:125" x14ac:dyDescent="0.15">
      <c r="DR1022">
        <v>1206013</v>
      </c>
      <c r="DS1022" t="s">
        <v>110</v>
      </c>
      <c r="DU1022" s="18"/>
    </row>
    <row r="1023" spans="122:125" x14ac:dyDescent="0.15">
      <c r="DR1023">
        <v>1406013</v>
      </c>
      <c r="DS1023" t="s">
        <v>336</v>
      </c>
      <c r="DU1023" s="18"/>
    </row>
    <row r="1024" spans="122:125" x14ac:dyDescent="0.15">
      <c r="DR1024">
        <v>1204013</v>
      </c>
      <c r="DS1024" t="s">
        <v>142</v>
      </c>
      <c r="DU1024" s="18"/>
    </row>
    <row r="1025" spans="122:125" x14ac:dyDescent="0.15">
      <c r="DR1025">
        <v>1404013</v>
      </c>
      <c r="DS1025" t="s">
        <v>337</v>
      </c>
      <c r="DU1025" s="18"/>
    </row>
    <row r="1026" spans="122:125" x14ac:dyDescent="0.15">
      <c r="DR1026">
        <v>1503013</v>
      </c>
      <c r="DS1026" t="s">
        <v>163</v>
      </c>
      <c r="DU1026" s="18"/>
    </row>
    <row r="1027" spans="122:125" x14ac:dyDescent="0.15">
      <c r="DR1027">
        <v>1304013</v>
      </c>
      <c r="DS1027" t="s">
        <v>129</v>
      </c>
      <c r="DU1027" s="18"/>
    </row>
    <row r="1028" spans="122:125" x14ac:dyDescent="0.15">
      <c r="DR1028">
        <v>1203014</v>
      </c>
      <c r="DS1028" t="s">
        <v>338</v>
      </c>
    </row>
    <row r="1029" spans="122:125" x14ac:dyDescent="0.15">
      <c r="DR1029">
        <v>1403014</v>
      </c>
      <c r="DS1029" t="s">
        <v>339</v>
      </c>
    </row>
    <row r="1030" spans="122:125" x14ac:dyDescent="0.15">
      <c r="DR1030">
        <v>1205014</v>
      </c>
      <c r="DS1030" t="s">
        <v>340</v>
      </c>
    </row>
    <row r="1031" spans="122:125" x14ac:dyDescent="0.15">
      <c r="DR1031">
        <v>1405014</v>
      </c>
      <c r="DS1031" t="s">
        <v>341</v>
      </c>
    </row>
    <row r="1032" spans="122:125" x14ac:dyDescent="0.15">
      <c r="DR1032">
        <v>1303014</v>
      </c>
      <c r="DS1032" t="s">
        <v>342</v>
      </c>
    </row>
    <row r="1033" spans="122:125" x14ac:dyDescent="0.15">
      <c r="DR1033">
        <v>1504014</v>
      </c>
      <c r="DS1033" t="s">
        <v>343</v>
      </c>
    </row>
    <row r="1034" spans="122:125" x14ac:dyDescent="0.15">
      <c r="DR1034">
        <v>1206014</v>
      </c>
      <c r="DS1034" t="s">
        <v>125</v>
      </c>
      <c r="DU1034" s="18"/>
    </row>
    <row r="1035" spans="122:125" x14ac:dyDescent="0.15">
      <c r="DR1035">
        <v>1406014</v>
      </c>
      <c r="DS1035" t="s">
        <v>344</v>
      </c>
      <c r="DU1035" s="18"/>
    </row>
    <row r="1036" spans="122:125" x14ac:dyDescent="0.15">
      <c r="DR1036">
        <v>1204014</v>
      </c>
      <c r="DS1036" t="s">
        <v>345</v>
      </c>
      <c r="DU1036" s="18"/>
    </row>
    <row r="1037" spans="122:125" x14ac:dyDescent="0.15">
      <c r="DR1037">
        <v>1404014</v>
      </c>
      <c r="DS1037" t="s">
        <v>346</v>
      </c>
      <c r="DU1037" s="18"/>
    </row>
    <row r="1038" spans="122:125" x14ac:dyDescent="0.15">
      <c r="DR1038">
        <v>1503014</v>
      </c>
      <c r="DS1038" t="s">
        <v>134</v>
      </c>
      <c r="DU1038" s="18"/>
    </row>
    <row r="1039" spans="122:125" x14ac:dyDescent="0.15">
      <c r="DR1039">
        <v>1304014</v>
      </c>
      <c r="DS1039" t="s">
        <v>120</v>
      </c>
      <c r="DU1039" s="18"/>
    </row>
    <row r="1040" spans="122:125" x14ac:dyDescent="0.15">
      <c r="DR1040">
        <v>1203015</v>
      </c>
      <c r="DS1040" t="s">
        <v>123</v>
      </c>
    </row>
    <row r="1041" spans="122:125" x14ac:dyDescent="0.15">
      <c r="DR1041">
        <v>1403015</v>
      </c>
      <c r="DS1041" t="s">
        <v>347</v>
      </c>
    </row>
    <row r="1042" spans="122:125" x14ac:dyDescent="0.15">
      <c r="DR1042">
        <v>1205015</v>
      </c>
      <c r="DS1042" t="s">
        <v>147</v>
      </c>
    </row>
    <row r="1043" spans="122:125" x14ac:dyDescent="0.15">
      <c r="DR1043">
        <v>1405015</v>
      </c>
      <c r="DS1043" t="s">
        <v>348</v>
      </c>
    </row>
    <row r="1044" spans="122:125" x14ac:dyDescent="0.15">
      <c r="DR1044">
        <v>1303015</v>
      </c>
      <c r="DS1044" t="s">
        <v>349</v>
      </c>
    </row>
    <row r="1045" spans="122:125" x14ac:dyDescent="0.15">
      <c r="DR1045">
        <v>1504015</v>
      </c>
      <c r="DS1045" t="s">
        <v>350</v>
      </c>
    </row>
    <row r="1046" spans="122:125" x14ac:dyDescent="0.15">
      <c r="DR1046">
        <v>1206015</v>
      </c>
      <c r="DS1046" t="s">
        <v>158</v>
      </c>
      <c r="DU1046" s="18"/>
    </row>
    <row r="1047" spans="122:125" x14ac:dyDescent="0.15">
      <c r="DR1047">
        <v>1406015</v>
      </c>
      <c r="DS1047" t="s">
        <v>351</v>
      </c>
      <c r="DU1047" s="18"/>
    </row>
    <row r="1048" spans="122:125" x14ac:dyDescent="0.15">
      <c r="DR1048">
        <v>1204015</v>
      </c>
      <c r="DS1048" t="s">
        <v>152</v>
      </c>
      <c r="DU1048" s="18"/>
    </row>
    <row r="1049" spans="122:125" x14ac:dyDescent="0.15">
      <c r="DR1049">
        <v>1404015</v>
      </c>
      <c r="DS1049" t="s">
        <v>352</v>
      </c>
      <c r="DU1049" s="18"/>
    </row>
    <row r="1050" spans="122:125" x14ac:dyDescent="0.15">
      <c r="DR1050">
        <v>1503015</v>
      </c>
      <c r="DS1050" t="s">
        <v>162</v>
      </c>
      <c r="DU1050" s="18"/>
    </row>
    <row r="1051" spans="122:125" x14ac:dyDescent="0.15">
      <c r="DR1051">
        <v>1304015</v>
      </c>
      <c r="DS1051" t="s">
        <v>155</v>
      </c>
      <c r="DU1051" s="18"/>
    </row>
    <row r="1052" spans="122:125" x14ac:dyDescent="0.15">
      <c r="DR1052">
        <v>1203031</v>
      </c>
      <c r="DS1052" t="s">
        <v>61</v>
      </c>
    </row>
    <row r="1053" spans="122:125" x14ac:dyDescent="0.15">
      <c r="DR1053">
        <v>1403031</v>
      </c>
      <c r="DS1053" t="s">
        <v>320</v>
      </c>
    </row>
    <row r="1054" spans="122:125" x14ac:dyDescent="0.15">
      <c r="DR1054">
        <v>1205031</v>
      </c>
      <c r="DS1054" t="s">
        <v>64</v>
      </c>
    </row>
    <row r="1055" spans="122:125" x14ac:dyDescent="0.15">
      <c r="DR1055">
        <v>1405031</v>
      </c>
      <c r="DS1055" t="s">
        <v>321</v>
      </c>
    </row>
    <row r="1056" spans="122:125" x14ac:dyDescent="0.15">
      <c r="DR1056">
        <v>1303031</v>
      </c>
      <c r="DS1056" t="s">
        <v>322</v>
      </c>
    </row>
    <row r="1057" spans="122:123" x14ac:dyDescent="0.15">
      <c r="DR1057">
        <v>1504031</v>
      </c>
      <c r="DS1057" t="s">
        <v>323</v>
      </c>
    </row>
    <row r="1058" spans="122:123" x14ac:dyDescent="0.15">
      <c r="DR1058">
        <v>1206031</v>
      </c>
      <c r="DS1058" t="s">
        <v>67</v>
      </c>
    </row>
    <row r="1059" spans="122:123" x14ac:dyDescent="0.15">
      <c r="DR1059">
        <v>1406031</v>
      </c>
      <c r="DS1059" t="s">
        <v>324</v>
      </c>
    </row>
    <row r="1060" spans="122:123" x14ac:dyDescent="0.15">
      <c r="DR1060">
        <v>1204031</v>
      </c>
      <c r="DS1060" t="s">
        <v>70</v>
      </c>
    </row>
    <row r="1061" spans="122:123" x14ac:dyDescent="0.15">
      <c r="DR1061">
        <v>1404031</v>
      </c>
      <c r="DS1061" t="s">
        <v>325</v>
      </c>
    </row>
    <row r="1062" spans="122:123" x14ac:dyDescent="0.15">
      <c r="DR1062">
        <v>1503031</v>
      </c>
      <c r="DS1062" t="s">
        <v>83</v>
      </c>
    </row>
    <row r="1063" spans="122:123" x14ac:dyDescent="0.15">
      <c r="DR1063">
        <v>1304031</v>
      </c>
      <c r="DS1063" t="s">
        <v>75</v>
      </c>
    </row>
    <row r="1064" spans="122:123" x14ac:dyDescent="0.15">
      <c r="DR1064">
        <v>1203032</v>
      </c>
      <c r="DS1064" t="s">
        <v>78</v>
      </c>
    </row>
    <row r="1065" spans="122:123" x14ac:dyDescent="0.15">
      <c r="DR1065">
        <v>1403032</v>
      </c>
      <c r="DS1065" t="s">
        <v>326</v>
      </c>
    </row>
    <row r="1066" spans="122:123" x14ac:dyDescent="0.15">
      <c r="DR1066">
        <v>1205032</v>
      </c>
      <c r="DS1066" t="s">
        <v>87</v>
      </c>
    </row>
    <row r="1067" spans="122:123" x14ac:dyDescent="0.15">
      <c r="DR1067">
        <v>1405032</v>
      </c>
      <c r="DS1067" t="s">
        <v>327</v>
      </c>
    </row>
    <row r="1068" spans="122:123" x14ac:dyDescent="0.15">
      <c r="DR1068">
        <v>1303032</v>
      </c>
      <c r="DS1068" t="s">
        <v>328</v>
      </c>
    </row>
    <row r="1069" spans="122:123" x14ac:dyDescent="0.15">
      <c r="DR1069">
        <v>1504032</v>
      </c>
      <c r="DS1069" t="s">
        <v>329</v>
      </c>
    </row>
    <row r="1070" spans="122:123" x14ac:dyDescent="0.15">
      <c r="DR1070">
        <v>1206032</v>
      </c>
      <c r="DS1070" t="s">
        <v>97</v>
      </c>
    </row>
    <row r="1071" spans="122:123" x14ac:dyDescent="0.15">
      <c r="DR1071">
        <v>1406032</v>
      </c>
      <c r="DS1071" t="s">
        <v>330</v>
      </c>
    </row>
    <row r="1072" spans="122:123" x14ac:dyDescent="0.15">
      <c r="DR1072">
        <v>1204032</v>
      </c>
      <c r="DS1072" t="s">
        <v>106</v>
      </c>
    </row>
    <row r="1073" spans="122:123" x14ac:dyDescent="0.15">
      <c r="DR1073">
        <v>1404032</v>
      </c>
      <c r="DS1073" t="s">
        <v>331</v>
      </c>
    </row>
    <row r="1074" spans="122:123" x14ac:dyDescent="0.15">
      <c r="DR1074">
        <v>1503032</v>
      </c>
      <c r="DS1074" t="s">
        <v>161</v>
      </c>
    </row>
    <row r="1075" spans="122:123" x14ac:dyDescent="0.15">
      <c r="DR1075">
        <v>1304032</v>
      </c>
      <c r="DS1075" t="s">
        <v>117</v>
      </c>
    </row>
    <row r="1076" spans="122:123" x14ac:dyDescent="0.15">
      <c r="DR1076">
        <v>1203033</v>
      </c>
      <c r="DS1076" t="s">
        <v>140</v>
      </c>
    </row>
    <row r="1077" spans="122:123" x14ac:dyDescent="0.15">
      <c r="DR1077">
        <v>1403033</v>
      </c>
      <c r="DS1077" t="s">
        <v>332</v>
      </c>
    </row>
    <row r="1078" spans="122:123" x14ac:dyDescent="0.15">
      <c r="DR1078">
        <v>1205033</v>
      </c>
      <c r="DS1078" t="s">
        <v>138</v>
      </c>
    </row>
    <row r="1079" spans="122:123" x14ac:dyDescent="0.15">
      <c r="DR1079">
        <v>1405033</v>
      </c>
      <c r="DS1079" t="s">
        <v>333</v>
      </c>
    </row>
    <row r="1080" spans="122:123" x14ac:dyDescent="0.15">
      <c r="DR1080">
        <v>1303033</v>
      </c>
      <c r="DS1080" t="s">
        <v>334</v>
      </c>
    </row>
    <row r="1081" spans="122:123" x14ac:dyDescent="0.15">
      <c r="DR1081">
        <v>1504033</v>
      </c>
      <c r="DS1081" t="s">
        <v>335</v>
      </c>
    </row>
    <row r="1082" spans="122:123" x14ac:dyDescent="0.15">
      <c r="DR1082">
        <v>1206033</v>
      </c>
      <c r="DS1082" t="s">
        <v>110</v>
      </c>
    </row>
    <row r="1083" spans="122:123" x14ac:dyDescent="0.15">
      <c r="DR1083">
        <v>1406033</v>
      </c>
      <c r="DS1083" t="s">
        <v>336</v>
      </c>
    </row>
    <row r="1084" spans="122:123" x14ac:dyDescent="0.15">
      <c r="DR1084">
        <v>1204033</v>
      </c>
      <c r="DS1084" t="s">
        <v>142</v>
      </c>
    </row>
    <row r="1085" spans="122:123" x14ac:dyDescent="0.15">
      <c r="DR1085">
        <v>1404033</v>
      </c>
      <c r="DS1085" t="s">
        <v>337</v>
      </c>
    </row>
    <row r="1086" spans="122:123" x14ac:dyDescent="0.15">
      <c r="DR1086">
        <v>1503033</v>
      </c>
      <c r="DS1086" t="s">
        <v>163</v>
      </c>
    </row>
    <row r="1087" spans="122:123" x14ac:dyDescent="0.15">
      <c r="DR1087">
        <v>1304033</v>
      </c>
      <c r="DS1087" t="s">
        <v>129</v>
      </c>
    </row>
    <row r="1088" spans="122:123" x14ac:dyDescent="0.15">
      <c r="DR1088">
        <v>1203034</v>
      </c>
      <c r="DS1088" t="s">
        <v>338</v>
      </c>
    </row>
    <row r="1089" spans="122:123" x14ac:dyDescent="0.15">
      <c r="DR1089">
        <v>1403034</v>
      </c>
      <c r="DS1089" t="s">
        <v>339</v>
      </c>
    </row>
    <row r="1090" spans="122:123" x14ac:dyDescent="0.15">
      <c r="DR1090">
        <v>1205034</v>
      </c>
      <c r="DS1090" t="s">
        <v>340</v>
      </c>
    </row>
    <row r="1091" spans="122:123" x14ac:dyDescent="0.15">
      <c r="DR1091">
        <v>1405034</v>
      </c>
      <c r="DS1091" t="s">
        <v>341</v>
      </c>
    </row>
    <row r="1092" spans="122:123" x14ac:dyDescent="0.15">
      <c r="DR1092">
        <v>1303034</v>
      </c>
      <c r="DS1092" t="s">
        <v>342</v>
      </c>
    </row>
    <row r="1093" spans="122:123" x14ac:dyDescent="0.15">
      <c r="DR1093">
        <v>1504034</v>
      </c>
      <c r="DS1093" t="s">
        <v>343</v>
      </c>
    </row>
    <row r="1094" spans="122:123" x14ac:dyDescent="0.15">
      <c r="DR1094">
        <v>1206034</v>
      </c>
      <c r="DS1094" t="s">
        <v>125</v>
      </c>
    </row>
    <row r="1095" spans="122:123" x14ac:dyDescent="0.15">
      <c r="DR1095">
        <v>1406034</v>
      </c>
      <c r="DS1095" t="s">
        <v>344</v>
      </c>
    </row>
    <row r="1096" spans="122:123" x14ac:dyDescent="0.15">
      <c r="DR1096">
        <v>1204034</v>
      </c>
      <c r="DS1096" t="s">
        <v>345</v>
      </c>
    </row>
    <row r="1097" spans="122:123" x14ac:dyDescent="0.15">
      <c r="DR1097">
        <v>1404034</v>
      </c>
      <c r="DS1097" t="s">
        <v>346</v>
      </c>
    </row>
    <row r="1098" spans="122:123" x14ac:dyDescent="0.15">
      <c r="DR1098">
        <v>1503034</v>
      </c>
      <c r="DS1098" t="s">
        <v>134</v>
      </c>
    </row>
    <row r="1099" spans="122:123" x14ac:dyDescent="0.15">
      <c r="DR1099">
        <v>1304034</v>
      </c>
      <c r="DS1099" t="s">
        <v>120</v>
      </c>
    </row>
    <row r="1100" spans="122:123" x14ac:dyDescent="0.15">
      <c r="DR1100">
        <v>1203035</v>
      </c>
      <c r="DS1100" t="s">
        <v>123</v>
      </c>
    </row>
    <row r="1101" spans="122:123" x14ac:dyDescent="0.15">
      <c r="DR1101">
        <v>1403035</v>
      </c>
      <c r="DS1101" t="s">
        <v>347</v>
      </c>
    </row>
    <row r="1102" spans="122:123" x14ac:dyDescent="0.15">
      <c r="DR1102">
        <v>1205035</v>
      </c>
      <c r="DS1102" t="s">
        <v>147</v>
      </c>
    </row>
    <row r="1103" spans="122:123" x14ac:dyDescent="0.15">
      <c r="DR1103">
        <v>1405035</v>
      </c>
      <c r="DS1103" t="s">
        <v>348</v>
      </c>
    </row>
    <row r="1104" spans="122:123" x14ac:dyDescent="0.15">
      <c r="DR1104">
        <v>1303035</v>
      </c>
      <c r="DS1104" t="s">
        <v>349</v>
      </c>
    </row>
    <row r="1105" spans="122:123" x14ac:dyDescent="0.15">
      <c r="DR1105">
        <v>1504035</v>
      </c>
      <c r="DS1105" t="s">
        <v>350</v>
      </c>
    </row>
    <row r="1106" spans="122:123" x14ac:dyDescent="0.15">
      <c r="DR1106">
        <v>1206035</v>
      </c>
      <c r="DS1106" t="s">
        <v>158</v>
      </c>
    </row>
    <row r="1107" spans="122:123" x14ac:dyDescent="0.15">
      <c r="DR1107">
        <v>1406035</v>
      </c>
      <c r="DS1107" t="s">
        <v>351</v>
      </c>
    </row>
    <row r="1108" spans="122:123" x14ac:dyDescent="0.15">
      <c r="DR1108">
        <v>1204035</v>
      </c>
      <c r="DS1108" t="s">
        <v>152</v>
      </c>
    </row>
    <row r="1109" spans="122:123" x14ac:dyDescent="0.15">
      <c r="DR1109">
        <v>1404035</v>
      </c>
      <c r="DS1109" t="s">
        <v>352</v>
      </c>
    </row>
    <row r="1110" spans="122:123" x14ac:dyDescent="0.15">
      <c r="DR1110">
        <v>1503035</v>
      </c>
      <c r="DS1110" t="s">
        <v>162</v>
      </c>
    </row>
    <row r="1111" spans="122:123" x14ac:dyDescent="0.15">
      <c r="DR1111">
        <v>1304035</v>
      </c>
      <c r="DS1111" t="s">
        <v>155</v>
      </c>
    </row>
    <row r="1112" spans="122:123" x14ac:dyDescent="0.15">
      <c r="DR1112">
        <v>1203041</v>
      </c>
      <c r="DS1112" t="s">
        <v>61</v>
      </c>
    </row>
    <row r="1113" spans="122:123" x14ac:dyDescent="0.15">
      <c r="DR1113">
        <v>1403041</v>
      </c>
      <c r="DS1113" t="s">
        <v>320</v>
      </c>
    </row>
    <row r="1114" spans="122:123" x14ac:dyDescent="0.15">
      <c r="DR1114">
        <v>1205041</v>
      </c>
      <c r="DS1114" t="s">
        <v>64</v>
      </c>
    </row>
    <row r="1115" spans="122:123" x14ac:dyDescent="0.15">
      <c r="DR1115">
        <v>1405041</v>
      </c>
      <c r="DS1115" t="s">
        <v>321</v>
      </c>
    </row>
    <row r="1116" spans="122:123" x14ac:dyDescent="0.15">
      <c r="DR1116">
        <v>1303041</v>
      </c>
      <c r="DS1116" t="s">
        <v>322</v>
      </c>
    </row>
    <row r="1117" spans="122:123" x14ac:dyDescent="0.15">
      <c r="DR1117">
        <v>1504041</v>
      </c>
      <c r="DS1117" t="s">
        <v>323</v>
      </c>
    </row>
    <row r="1118" spans="122:123" x14ac:dyDescent="0.15">
      <c r="DR1118">
        <v>1206041</v>
      </c>
      <c r="DS1118" t="s">
        <v>67</v>
      </c>
    </row>
    <row r="1119" spans="122:123" x14ac:dyDescent="0.15">
      <c r="DR1119">
        <v>1406041</v>
      </c>
      <c r="DS1119" t="s">
        <v>324</v>
      </c>
    </row>
    <row r="1120" spans="122:123" x14ac:dyDescent="0.15">
      <c r="DR1120">
        <v>1204041</v>
      </c>
      <c r="DS1120" t="s">
        <v>70</v>
      </c>
    </row>
    <row r="1121" spans="122:123" x14ac:dyDescent="0.15">
      <c r="DR1121">
        <v>1404041</v>
      </c>
      <c r="DS1121" t="s">
        <v>325</v>
      </c>
    </row>
    <row r="1122" spans="122:123" x14ac:dyDescent="0.15">
      <c r="DR1122">
        <v>1503041</v>
      </c>
      <c r="DS1122" t="s">
        <v>83</v>
      </c>
    </row>
    <row r="1123" spans="122:123" x14ac:dyDescent="0.15">
      <c r="DR1123">
        <v>1304041</v>
      </c>
      <c r="DS1123" t="s">
        <v>75</v>
      </c>
    </row>
    <row r="1124" spans="122:123" x14ac:dyDescent="0.15">
      <c r="DR1124">
        <v>1203042</v>
      </c>
      <c r="DS1124" t="s">
        <v>78</v>
      </c>
    </row>
    <row r="1125" spans="122:123" x14ac:dyDescent="0.15">
      <c r="DR1125">
        <v>1403042</v>
      </c>
      <c r="DS1125" t="s">
        <v>326</v>
      </c>
    </row>
    <row r="1126" spans="122:123" x14ac:dyDescent="0.15">
      <c r="DR1126">
        <v>1205042</v>
      </c>
      <c r="DS1126" t="s">
        <v>87</v>
      </c>
    </row>
    <row r="1127" spans="122:123" x14ac:dyDescent="0.15">
      <c r="DR1127">
        <v>1405042</v>
      </c>
      <c r="DS1127" t="s">
        <v>327</v>
      </c>
    </row>
    <row r="1128" spans="122:123" x14ac:dyDescent="0.15">
      <c r="DR1128">
        <v>1303042</v>
      </c>
      <c r="DS1128" t="s">
        <v>328</v>
      </c>
    </row>
    <row r="1129" spans="122:123" x14ac:dyDescent="0.15">
      <c r="DR1129">
        <v>1504042</v>
      </c>
      <c r="DS1129" t="s">
        <v>329</v>
      </c>
    </row>
    <row r="1130" spans="122:123" x14ac:dyDescent="0.15">
      <c r="DR1130">
        <v>1206042</v>
      </c>
      <c r="DS1130" t="s">
        <v>97</v>
      </c>
    </row>
    <row r="1131" spans="122:123" x14ac:dyDescent="0.15">
      <c r="DR1131">
        <v>1406042</v>
      </c>
      <c r="DS1131" t="s">
        <v>330</v>
      </c>
    </row>
    <row r="1132" spans="122:123" x14ac:dyDescent="0.15">
      <c r="DR1132">
        <v>1204042</v>
      </c>
      <c r="DS1132" t="s">
        <v>106</v>
      </c>
    </row>
    <row r="1133" spans="122:123" x14ac:dyDescent="0.15">
      <c r="DR1133">
        <v>1404042</v>
      </c>
      <c r="DS1133" t="s">
        <v>331</v>
      </c>
    </row>
    <row r="1134" spans="122:123" x14ac:dyDescent="0.15">
      <c r="DR1134">
        <v>1503042</v>
      </c>
      <c r="DS1134" t="s">
        <v>161</v>
      </c>
    </row>
    <row r="1135" spans="122:123" x14ac:dyDescent="0.15">
      <c r="DR1135">
        <v>1304042</v>
      </c>
      <c r="DS1135" t="s">
        <v>117</v>
      </c>
    </row>
    <row r="1136" spans="122:123" x14ac:dyDescent="0.15">
      <c r="DR1136">
        <v>1203043</v>
      </c>
      <c r="DS1136" t="s">
        <v>140</v>
      </c>
    </row>
    <row r="1137" spans="122:123" x14ac:dyDescent="0.15">
      <c r="DR1137">
        <v>1403043</v>
      </c>
      <c r="DS1137" t="s">
        <v>332</v>
      </c>
    </row>
    <row r="1138" spans="122:123" x14ac:dyDescent="0.15">
      <c r="DR1138">
        <v>1205043</v>
      </c>
      <c r="DS1138" t="s">
        <v>138</v>
      </c>
    </row>
    <row r="1139" spans="122:123" x14ac:dyDescent="0.15">
      <c r="DR1139">
        <v>1405043</v>
      </c>
      <c r="DS1139" t="s">
        <v>333</v>
      </c>
    </row>
    <row r="1140" spans="122:123" x14ac:dyDescent="0.15">
      <c r="DR1140">
        <v>1303043</v>
      </c>
      <c r="DS1140" t="s">
        <v>334</v>
      </c>
    </row>
    <row r="1141" spans="122:123" x14ac:dyDescent="0.15">
      <c r="DR1141">
        <v>1504043</v>
      </c>
      <c r="DS1141" t="s">
        <v>335</v>
      </c>
    </row>
    <row r="1142" spans="122:123" x14ac:dyDescent="0.15">
      <c r="DR1142">
        <v>1206043</v>
      </c>
      <c r="DS1142" t="s">
        <v>110</v>
      </c>
    </row>
    <row r="1143" spans="122:123" x14ac:dyDescent="0.15">
      <c r="DR1143">
        <v>1406043</v>
      </c>
      <c r="DS1143" t="s">
        <v>336</v>
      </c>
    </row>
    <row r="1144" spans="122:123" x14ac:dyDescent="0.15">
      <c r="DR1144">
        <v>1204043</v>
      </c>
      <c r="DS1144" t="s">
        <v>142</v>
      </c>
    </row>
    <row r="1145" spans="122:123" x14ac:dyDescent="0.15">
      <c r="DR1145">
        <v>1404043</v>
      </c>
      <c r="DS1145" t="s">
        <v>337</v>
      </c>
    </row>
    <row r="1146" spans="122:123" x14ac:dyDescent="0.15">
      <c r="DR1146">
        <v>1503043</v>
      </c>
      <c r="DS1146" t="s">
        <v>163</v>
      </c>
    </row>
    <row r="1147" spans="122:123" x14ac:dyDescent="0.15">
      <c r="DR1147">
        <v>1304043</v>
      </c>
      <c r="DS1147" t="s">
        <v>129</v>
      </c>
    </row>
    <row r="1148" spans="122:123" x14ac:dyDescent="0.15">
      <c r="DR1148">
        <v>1203044</v>
      </c>
      <c r="DS1148" t="s">
        <v>338</v>
      </c>
    </row>
    <row r="1149" spans="122:123" x14ac:dyDescent="0.15">
      <c r="DR1149">
        <v>1403044</v>
      </c>
      <c r="DS1149" t="s">
        <v>339</v>
      </c>
    </row>
    <row r="1150" spans="122:123" x14ac:dyDescent="0.15">
      <c r="DR1150">
        <v>1205044</v>
      </c>
      <c r="DS1150" t="s">
        <v>340</v>
      </c>
    </row>
    <row r="1151" spans="122:123" x14ac:dyDescent="0.15">
      <c r="DR1151">
        <v>1405044</v>
      </c>
      <c r="DS1151" t="s">
        <v>341</v>
      </c>
    </row>
    <row r="1152" spans="122:123" x14ac:dyDescent="0.15">
      <c r="DR1152">
        <v>1303044</v>
      </c>
      <c r="DS1152" t="s">
        <v>342</v>
      </c>
    </row>
    <row r="1153" spans="122:123" x14ac:dyDescent="0.15">
      <c r="DR1153">
        <v>1504044</v>
      </c>
      <c r="DS1153" t="s">
        <v>343</v>
      </c>
    </row>
    <row r="1154" spans="122:123" x14ac:dyDescent="0.15">
      <c r="DR1154">
        <v>1206044</v>
      </c>
      <c r="DS1154" t="s">
        <v>125</v>
      </c>
    </row>
    <row r="1155" spans="122:123" x14ac:dyDescent="0.15">
      <c r="DR1155">
        <v>1406044</v>
      </c>
      <c r="DS1155" t="s">
        <v>344</v>
      </c>
    </row>
    <row r="1156" spans="122:123" x14ac:dyDescent="0.15">
      <c r="DR1156">
        <v>1204044</v>
      </c>
      <c r="DS1156" t="s">
        <v>345</v>
      </c>
    </row>
    <row r="1157" spans="122:123" x14ac:dyDescent="0.15">
      <c r="DR1157">
        <v>1404044</v>
      </c>
      <c r="DS1157" t="s">
        <v>346</v>
      </c>
    </row>
    <row r="1158" spans="122:123" x14ac:dyDescent="0.15">
      <c r="DR1158">
        <v>1503044</v>
      </c>
      <c r="DS1158" t="s">
        <v>134</v>
      </c>
    </row>
    <row r="1159" spans="122:123" x14ac:dyDescent="0.15">
      <c r="DR1159">
        <v>1304044</v>
      </c>
      <c r="DS1159" t="s">
        <v>120</v>
      </c>
    </row>
    <row r="1160" spans="122:123" x14ac:dyDescent="0.15">
      <c r="DR1160">
        <v>1203045</v>
      </c>
      <c r="DS1160" t="s">
        <v>123</v>
      </c>
    </row>
    <row r="1161" spans="122:123" x14ac:dyDescent="0.15">
      <c r="DR1161">
        <v>1403045</v>
      </c>
      <c r="DS1161" t="s">
        <v>347</v>
      </c>
    </row>
    <row r="1162" spans="122:123" x14ac:dyDescent="0.15">
      <c r="DR1162">
        <v>1205045</v>
      </c>
      <c r="DS1162" t="s">
        <v>147</v>
      </c>
    </row>
    <row r="1163" spans="122:123" x14ac:dyDescent="0.15">
      <c r="DR1163">
        <v>1405045</v>
      </c>
      <c r="DS1163" t="s">
        <v>348</v>
      </c>
    </row>
    <row r="1164" spans="122:123" x14ac:dyDescent="0.15">
      <c r="DR1164">
        <v>1303045</v>
      </c>
      <c r="DS1164" t="s">
        <v>349</v>
      </c>
    </row>
    <row r="1165" spans="122:123" x14ac:dyDescent="0.15">
      <c r="DR1165">
        <v>1504045</v>
      </c>
      <c r="DS1165" t="s">
        <v>350</v>
      </c>
    </row>
    <row r="1166" spans="122:123" x14ac:dyDescent="0.15">
      <c r="DR1166">
        <v>1206045</v>
      </c>
      <c r="DS1166" t="s">
        <v>158</v>
      </c>
    </row>
    <row r="1167" spans="122:123" x14ac:dyDescent="0.15">
      <c r="DR1167">
        <v>1406045</v>
      </c>
      <c r="DS1167" t="s">
        <v>351</v>
      </c>
    </row>
    <row r="1168" spans="122:123" x14ac:dyDescent="0.15">
      <c r="DR1168">
        <v>1204045</v>
      </c>
      <c r="DS1168" t="s">
        <v>152</v>
      </c>
    </row>
    <row r="1169" spans="122:123" x14ac:dyDescent="0.15">
      <c r="DR1169">
        <v>1404045</v>
      </c>
      <c r="DS1169" t="s">
        <v>352</v>
      </c>
    </row>
    <row r="1170" spans="122:123" x14ac:dyDescent="0.15">
      <c r="DR1170">
        <v>1503045</v>
      </c>
      <c r="DS1170" t="s">
        <v>162</v>
      </c>
    </row>
    <row r="1171" spans="122:123" x14ac:dyDescent="0.15">
      <c r="DR1171">
        <v>1304045</v>
      </c>
      <c r="DS1171" t="s">
        <v>155</v>
      </c>
    </row>
    <row r="1172" spans="122:123" x14ac:dyDescent="0.15">
      <c r="DR1172">
        <v>1101011</v>
      </c>
      <c r="DS1172" t="s">
        <v>353</v>
      </c>
    </row>
    <row r="1173" spans="122:123" x14ac:dyDescent="0.15">
      <c r="DR1173">
        <v>1101012</v>
      </c>
      <c r="DS1173" t="s">
        <v>354</v>
      </c>
    </row>
    <row r="1174" spans="122:123" x14ac:dyDescent="0.15">
      <c r="DR1174">
        <v>1101013</v>
      </c>
      <c r="DS1174" t="s">
        <v>355</v>
      </c>
    </row>
    <row r="1175" spans="122:123" x14ac:dyDescent="0.15">
      <c r="DR1175">
        <v>1101014</v>
      </c>
      <c r="DS1175" t="s">
        <v>356</v>
      </c>
    </row>
    <row r="1176" spans="122:123" x14ac:dyDescent="0.15">
      <c r="DR1176">
        <v>1101015</v>
      </c>
      <c r="DS1176" t="s">
        <v>357</v>
      </c>
    </row>
    <row r="1177" spans="122:123" x14ac:dyDescent="0.15">
      <c r="DR1177">
        <v>1101021</v>
      </c>
      <c r="DS1177" t="s">
        <v>353</v>
      </c>
    </row>
    <row r="1178" spans="122:123" x14ac:dyDescent="0.15">
      <c r="DR1178">
        <v>1101022</v>
      </c>
      <c r="DS1178" t="s">
        <v>354</v>
      </c>
    </row>
    <row r="1179" spans="122:123" x14ac:dyDescent="0.15">
      <c r="DR1179">
        <v>1101023</v>
      </c>
      <c r="DS1179" t="s">
        <v>355</v>
      </c>
    </row>
    <row r="1180" spans="122:123" x14ac:dyDescent="0.15">
      <c r="DR1180">
        <v>1101024</v>
      </c>
      <c r="DS1180" t="s">
        <v>356</v>
      </c>
    </row>
    <row r="1181" spans="122:123" x14ac:dyDescent="0.15">
      <c r="DR1181">
        <v>1101025</v>
      </c>
      <c r="DS1181" t="s">
        <v>357</v>
      </c>
    </row>
    <row r="1182" spans="122:123" x14ac:dyDescent="0.15">
      <c r="DR1182">
        <v>1101031</v>
      </c>
      <c r="DS1182" t="s">
        <v>353</v>
      </c>
    </row>
    <row r="1183" spans="122:123" x14ac:dyDescent="0.15">
      <c r="DR1183">
        <v>1101032</v>
      </c>
      <c r="DS1183" t="s">
        <v>354</v>
      </c>
    </row>
    <row r="1184" spans="122:123" x14ac:dyDescent="0.15">
      <c r="DR1184">
        <v>1101033</v>
      </c>
      <c r="DS1184" t="s">
        <v>355</v>
      </c>
    </row>
    <row r="1185" spans="122:123" x14ac:dyDescent="0.15">
      <c r="DR1185">
        <v>1101034</v>
      </c>
      <c r="DS1185" t="s">
        <v>356</v>
      </c>
    </row>
    <row r="1186" spans="122:123" x14ac:dyDescent="0.15">
      <c r="DR1186">
        <v>1101035</v>
      </c>
      <c r="DS1186" t="s">
        <v>357</v>
      </c>
    </row>
    <row r="1187" spans="122:123" x14ac:dyDescent="0.15">
      <c r="DR1187">
        <v>1101041</v>
      </c>
      <c r="DS1187" t="s">
        <v>353</v>
      </c>
    </row>
    <row r="1188" spans="122:123" x14ac:dyDescent="0.15">
      <c r="DR1188">
        <v>1101042</v>
      </c>
      <c r="DS1188" t="s">
        <v>354</v>
      </c>
    </row>
    <row r="1189" spans="122:123" x14ac:dyDescent="0.15">
      <c r="DR1189">
        <v>1101043</v>
      </c>
      <c r="DS1189" t="s">
        <v>355</v>
      </c>
    </row>
    <row r="1190" spans="122:123" x14ac:dyDescent="0.15">
      <c r="DR1190">
        <v>1101044</v>
      </c>
      <c r="DS1190" t="s">
        <v>356</v>
      </c>
    </row>
    <row r="1191" spans="122:123" x14ac:dyDescent="0.15">
      <c r="DR1191">
        <v>1101045</v>
      </c>
      <c r="DS1191" t="s">
        <v>357</v>
      </c>
    </row>
    <row r="1192" spans="122:123" x14ac:dyDescent="0.15">
      <c r="DR1192">
        <v>1101051</v>
      </c>
      <c r="DS1192" t="s">
        <v>353</v>
      </c>
    </row>
    <row r="1193" spans="122:123" x14ac:dyDescent="0.15">
      <c r="DR1193">
        <v>1101052</v>
      </c>
      <c r="DS1193" t="s">
        <v>354</v>
      </c>
    </row>
    <row r="1194" spans="122:123" x14ac:dyDescent="0.15">
      <c r="DR1194">
        <v>1101053</v>
      </c>
      <c r="DS1194" t="s">
        <v>355</v>
      </c>
    </row>
    <row r="1195" spans="122:123" x14ac:dyDescent="0.15">
      <c r="DR1195">
        <v>1101054</v>
      </c>
      <c r="DS1195" t="s">
        <v>356</v>
      </c>
    </row>
    <row r="1196" spans="122:123" x14ac:dyDescent="0.15">
      <c r="DR1196">
        <v>1101055</v>
      </c>
      <c r="DS1196" t="s">
        <v>357</v>
      </c>
    </row>
    <row r="1197" spans="122:123" x14ac:dyDescent="0.15">
      <c r="DR1197">
        <v>1101061</v>
      </c>
      <c r="DS1197" t="s">
        <v>353</v>
      </c>
    </row>
    <row r="1198" spans="122:123" x14ac:dyDescent="0.15">
      <c r="DR1198">
        <v>1101062</v>
      </c>
      <c r="DS1198" t="s">
        <v>354</v>
      </c>
    </row>
    <row r="1199" spans="122:123" x14ac:dyDescent="0.15">
      <c r="DR1199">
        <v>1101063</v>
      </c>
      <c r="DS1199" t="s">
        <v>355</v>
      </c>
    </row>
    <row r="1200" spans="122:123" x14ac:dyDescent="0.15">
      <c r="DR1200">
        <v>1101064</v>
      </c>
      <c r="DS1200" t="s">
        <v>356</v>
      </c>
    </row>
    <row r="1201" spans="122:123" x14ac:dyDescent="0.15">
      <c r="DR1201">
        <v>1101065</v>
      </c>
      <c r="DS1201" t="s">
        <v>357</v>
      </c>
    </row>
    <row r="1202" spans="122:123" x14ac:dyDescent="0.15">
      <c r="DR1202">
        <v>1101071</v>
      </c>
      <c r="DS1202" t="s">
        <v>353</v>
      </c>
    </row>
    <row r="1203" spans="122:123" x14ac:dyDescent="0.15">
      <c r="DR1203">
        <v>1101072</v>
      </c>
      <c r="DS1203" t="s">
        <v>354</v>
      </c>
    </row>
    <row r="1204" spans="122:123" x14ac:dyDescent="0.15">
      <c r="DR1204">
        <v>1101073</v>
      </c>
      <c r="DS1204" t="s">
        <v>355</v>
      </c>
    </row>
    <row r="1205" spans="122:123" x14ac:dyDescent="0.15">
      <c r="DR1205">
        <v>1101074</v>
      </c>
      <c r="DS1205" t="s">
        <v>356</v>
      </c>
    </row>
    <row r="1206" spans="122:123" x14ac:dyDescent="0.15">
      <c r="DR1206">
        <v>1101075</v>
      </c>
      <c r="DS1206" t="s">
        <v>357</v>
      </c>
    </row>
    <row r="1207" spans="122:123" x14ac:dyDescent="0.15">
      <c r="DR1207">
        <v>1101081</v>
      </c>
      <c r="DS1207" t="s">
        <v>353</v>
      </c>
    </row>
    <row r="1208" spans="122:123" x14ac:dyDescent="0.15">
      <c r="DR1208">
        <v>1101082</v>
      </c>
      <c r="DS1208" t="s">
        <v>354</v>
      </c>
    </row>
    <row r="1209" spans="122:123" x14ac:dyDescent="0.15">
      <c r="DR1209">
        <v>1101083</v>
      </c>
      <c r="DS1209" t="s">
        <v>355</v>
      </c>
    </row>
    <row r="1210" spans="122:123" x14ac:dyDescent="0.15">
      <c r="DR1210">
        <v>1101084</v>
      </c>
      <c r="DS1210" t="s">
        <v>356</v>
      </c>
    </row>
    <row r="1211" spans="122:123" x14ac:dyDescent="0.15">
      <c r="DR1211">
        <v>1101085</v>
      </c>
      <c r="DS1211" t="s">
        <v>357</v>
      </c>
    </row>
    <row r="1212" spans="122:123" x14ac:dyDescent="0.15">
      <c r="DR1212">
        <v>1101091</v>
      </c>
      <c r="DS1212" t="s">
        <v>353</v>
      </c>
    </row>
    <row r="1213" spans="122:123" x14ac:dyDescent="0.15">
      <c r="DR1213">
        <v>1101092</v>
      </c>
      <c r="DS1213" t="s">
        <v>354</v>
      </c>
    </row>
    <row r="1214" spans="122:123" x14ac:dyDescent="0.15">
      <c r="DR1214">
        <v>1101093</v>
      </c>
      <c r="DS1214" t="s">
        <v>355</v>
      </c>
    </row>
    <row r="1215" spans="122:123" x14ac:dyDescent="0.15">
      <c r="DR1215">
        <v>1101094</v>
      </c>
      <c r="DS1215" t="s">
        <v>356</v>
      </c>
    </row>
    <row r="1216" spans="122:123" x14ac:dyDescent="0.15">
      <c r="DR1216">
        <v>1101095</v>
      </c>
      <c r="DS1216" t="s">
        <v>357</v>
      </c>
    </row>
    <row r="1217" spans="122:123" x14ac:dyDescent="0.15">
      <c r="DR1217">
        <v>1101101</v>
      </c>
      <c r="DS1217" t="s">
        <v>353</v>
      </c>
    </row>
    <row r="1218" spans="122:123" x14ac:dyDescent="0.15">
      <c r="DR1218">
        <v>1101102</v>
      </c>
      <c r="DS1218" t="s">
        <v>354</v>
      </c>
    </row>
    <row r="1219" spans="122:123" x14ac:dyDescent="0.15">
      <c r="DR1219">
        <v>1101103</v>
      </c>
      <c r="DS1219" t="s">
        <v>355</v>
      </c>
    </row>
    <row r="1220" spans="122:123" x14ac:dyDescent="0.15">
      <c r="DR1220">
        <v>1101104</v>
      </c>
      <c r="DS1220" t="s">
        <v>356</v>
      </c>
    </row>
    <row r="1221" spans="122:123" x14ac:dyDescent="0.15">
      <c r="DR1221">
        <v>1101105</v>
      </c>
      <c r="DS1221" t="s">
        <v>357</v>
      </c>
    </row>
    <row r="1222" spans="122:123" x14ac:dyDescent="0.15">
      <c r="DR1222">
        <v>1101111</v>
      </c>
      <c r="DS1222" t="s">
        <v>353</v>
      </c>
    </row>
    <row r="1223" spans="122:123" x14ac:dyDescent="0.15">
      <c r="DR1223">
        <v>1101112</v>
      </c>
      <c r="DS1223" t="s">
        <v>354</v>
      </c>
    </row>
    <row r="1224" spans="122:123" x14ac:dyDescent="0.15">
      <c r="DR1224">
        <v>1101113</v>
      </c>
      <c r="DS1224" t="s">
        <v>355</v>
      </c>
    </row>
    <row r="1225" spans="122:123" x14ac:dyDescent="0.15">
      <c r="DR1225">
        <v>1101114</v>
      </c>
      <c r="DS1225" t="s">
        <v>356</v>
      </c>
    </row>
    <row r="1226" spans="122:123" x14ac:dyDescent="0.15">
      <c r="DR1226">
        <v>1101115</v>
      </c>
      <c r="DS1226" t="s">
        <v>357</v>
      </c>
    </row>
    <row r="1227" spans="122:123" x14ac:dyDescent="0.15">
      <c r="DR1227">
        <v>1101121</v>
      </c>
      <c r="DS1227" t="s">
        <v>353</v>
      </c>
    </row>
    <row r="1228" spans="122:123" x14ac:dyDescent="0.15">
      <c r="DR1228">
        <v>1101122</v>
      </c>
      <c r="DS1228" t="s">
        <v>354</v>
      </c>
    </row>
    <row r="1229" spans="122:123" x14ac:dyDescent="0.15">
      <c r="DR1229">
        <v>1101123</v>
      </c>
      <c r="DS1229" t="s">
        <v>355</v>
      </c>
    </row>
    <row r="1230" spans="122:123" x14ac:dyDescent="0.15">
      <c r="DR1230">
        <v>1101124</v>
      </c>
      <c r="DS1230" t="s">
        <v>356</v>
      </c>
    </row>
    <row r="1231" spans="122:123" x14ac:dyDescent="0.15">
      <c r="DR1231">
        <v>1101125</v>
      </c>
      <c r="DS1231" t="s">
        <v>357</v>
      </c>
    </row>
    <row r="1232" spans="122:123" x14ac:dyDescent="0.15">
      <c r="DR1232">
        <v>1101131</v>
      </c>
      <c r="DS1232" t="s">
        <v>353</v>
      </c>
    </row>
    <row r="1233" spans="122:123" x14ac:dyDescent="0.15">
      <c r="DR1233">
        <v>1101132</v>
      </c>
      <c r="DS1233" t="s">
        <v>354</v>
      </c>
    </row>
    <row r="1234" spans="122:123" x14ac:dyDescent="0.15">
      <c r="DR1234">
        <v>1101133</v>
      </c>
      <c r="DS1234" t="s">
        <v>355</v>
      </c>
    </row>
    <row r="1235" spans="122:123" x14ac:dyDescent="0.15">
      <c r="DR1235">
        <v>1101134</v>
      </c>
      <c r="DS1235" t="s">
        <v>356</v>
      </c>
    </row>
    <row r="1236" spans="122:123" x14ac:dyDescent="0.15">
      <c r="DR1236">
        <v>1101135</v>
      </c>
      <c r="DS1236" t="s">
        <v>357</v>
      </c>
    </row>
    <row r="1237" spans="122:123" x14ac:dyDescent="0.15">
      <c r="DR1237">
        <v>1102011</v>
      </c>
      <c r="DS1237" t="s">
        <v>358</v>
      </c>
    </row>
    <row r="1238" spans="122:123" x14ac:dyDescent="0.15">
      <c r="DR1238">
        <v>1102012</v>
      </c>
      <c r="DS1238" t="s">
        <v>359</v>
      </c>
    </row>
    <row r="1239" spans="122:123" x14ac:dyDescent="0.15">
      <c r="DR1239">
        <v>1102013</v>
      </c>
      <c r="DS1239" t="s">
        <v>360</v>
      </c>
    </row>
    <row r="1240" spans="122:123" x14ac:dyDescent="0.15">
      <c r="DR1240">
        <v>1102014</v>
      </c>
      <c r="DS1240" t="s">
        <v>361</v>
      </c>
    </row>
    <row r="1241" spans="122:123" x14ac:dyDescent="0.15">
      <c r="DR1241">
        <v>1102015</v>
      </c>
      <c r="DS1241" t="s">
        <v>362</v>
      </c>
    </row>
    <row r="1242" spans="122:123" x14ac:dyDescent="0.15">
      <c r="DR1242">
        <v>1102021</v>
      </c>
      <c r="DS1242" t="s">
        <v>358</v>
      </c>
    </row>
    <row r="1243" spans="122:123" x14ac:dyDescent="0.15">
      <c r="DR1243">
        <v>1102022</v>
      </c>
      <c r="DS1243" t="s">
        <v>359</v>
      </c>
    </row>
    <row r="1244" spans="122:123" x14ac:dyDescent="0.15">
      <c r="DR1244">
        <v>1102023</v>
      </c>
      <c r="DS1244" t="s">
        <v>360</v>
      </c>
    </row>
    <row r="1245" spans="122:123" x14ac:dyDescent="0.15">
      <c r="DR1245">
        <v>1102024</v>
      </c>
      <c r="DS1245" t="s">
        <v>361</v>
      </c>
    </row>
    <row r="1246" spans="122:123" x14ac:dyDescent="0.15">
      <c r="DR1246">
        <v>1102025</v>
      </c>
      <c r="DS1246" t="s">
        <v>362</v>
      </c>
    </row>
    <row r="1247" spans="122:123" x14ac:dyDescent="0.15">
      <c r="DR1247">
        <v>1102031</v>
      </c>
      <c r="DS1247" t="s">
        <v>358</v>
      </c>
    </row>
    <row r="1248" spans="122:123" x14ac:dyDescent="0.15">
      <c r="DR1248">
        <v>1102032</v>
      </c>
      <c r="DS1248" t="s">
        <v>359</v>
      </c>
    </row>
    <row r="1249" spans="122:123" x14ac:dyDescent="0.15">
      <c r="DR1249">
        <v>1102033</v>
      </c>
      <c r="DS1249" t="s">
        <v>360</v>
      </c>
    </row>
    <row r="1250" spans="122:123" x14ac:dyDescent="0.15">
      <c r="DR1250">
        <v>1102034</v>
      </c>
      <c r="DS1250" t="s">
        <v>361</v>
      </c>
    </row>
    <row r="1251" spans="122:123" x14ac:dyDescent="0.15">
      <c r="DR1251">
        <v>1102035</v>
      </c>
      <c r="DS1251" t="s">
        <v>362</v>
      </c>
    </row>
    <row r="1252" spans="122:123" x14ac:dyDescent="0.15">
      <c r="DR1252">
        <v>1102041</v>
      </c>
      <c r="DS1252" t="s">
        <v>358</v>
      </c>
    </row>
    <row r="1253" spans="122:123" x14ac:dyDescent="0.15">
      <c r="DR1253">
        <v>1102042</v>
      </c>
      <c r="DS1253" t="s">
        <v>359</v>
      </c>
    </row>
    <row r="1254" spans="122:123" x14ac:dyDescent="0.15">
      <c r="DR1254">
        <v>1102043</v>
      </c>
      <c r="DS1254" t="s">
        <v>360</v>
      </c>
    </row>
    <row r="1255" spans="122:123" x14ac:dyDescent="0.15">
      <c r="DR1255">
        <v>1102044</v>
      </c>
      <c r="DS1255" t="s">
        <v>361</v>
      </c>
    </row>
    <row r="1256" spans="122:123" x14ac:dyDescent="0.15">
      <c r="DR1256">
        <v>1102045</v>
      </c>
      <c r="DS1256" t="s">
        <v>362</v>
      </c>
    </row>
    <row r="1257" spans="122:123" x14ac:dyDescent="0.15">
      <c r="DR1257">
        <v>1102051</v>
      </c>
      <c r="DS1257" t="s">
        <v>358</v>
      </c>
    </row>
    <row r="1258" spans="122:123" x14ac:dyDescent="0.15">
      <c r="DR1258">
        <v>1102052</v>
      </c>
      <c r="DS1258" t="s">
        <v>359</v>
      </c>
    </row>
    <row r="1259" spans="122:123" x14ac:dyDescent="0.15">
      <c r="DR1259">
        <v>1102053</v>
      </c>
      <c r="DS1259" t="s">
        <v>360</v>
      </c>
    </row>
    <row r="1260" spans="122:123" x14ac:dyDescent="0.15">
      <c r="DR1260">
        <v>1102054</v>
      </c>
      <c r="DS1260" t="s">
        <v>361</v>
      </c>
    </row>
    <row r="1261" spans="122:123" x14ac:dyDescent="0.15">
      <c r="DR1261">
        <v>1102055</v>
      </c>
      <c r="DS1261" t="s">
        <v>362</v>
      </c>
    </row>
    <row r="1262" spans="122:123" x14ac:dyDescent="0.15">
      <c r="DR1262">
        <v>1102061</v>
      </c>
      <c r="DS1262" t="s">
        <v>358</v>
      </c>
    </row>
    <row r="1263" spans="122:123" x14ac:dyDescent="0.15">
      <c r="DR1263">
        <v>1102062</v>
      </c>
      <c r="DS1263" t="s">
        <v>359</v>
      </c>
    </row>
    <row r="1264" spans="122:123" x14ac:dyDescent="0.15">
      <c r="DR1264">
        <v>1102063</v>
      </c>
      <c r="DS1264" t="s">
        <v>360</v>
      </c>
    </row>
    <row r="1265" spans="122:123" x14ac:dyDescent="0.15">
      <c r="DR1265">
        <v>1102064</v>
      </c>
      <c r="DS1265" t="s">
        <v>361</v>
      </c>
    </row>
    <row r="1266" spans="122:123" x14ac:dyDescent="0.15">
      <c r="DR1266">
        <v>1102065</v>
      </c>
      <c r="DS1266" t="s">
        <v>362</v>
      </c>
    </row>
    <row r="1267" spans="122:123" x14ac:dyDescent="0.15">
      <c r="DR1267">
        <v>1102071</v>
      </c>
      <c r="DS1267" t="s">
        <v>358</v>
      </c>
    </row>
    <row r="1268" spans="122:123" x14ac:dyDescent="0.15">
      <c r="DR1268">
        <v>1102072</v>
      </c>
      <c r="DS1268" t="s">
        <v>359</v>
      </c>
    </row>
    <row r="1269" spans="122:123" x14ac:dyDescent="0.15">
      <c r="DR1269">
        <v>1102073</v>
      </c>
      <c r="DS1269" t="s">
        <v>360</v>
      </c>
    </row>
    <row r="1270" spans="122:123" x14ac:dyDescent="0.15">
      <c r="DR1270">
        <v>1102074</v>
      </c>
      <c r="DS1270" t="s">
        <v>361</v>
      </c>
    </row>
    <row r="1271" spans="122:123" x14ac:dyDescent="0.15">
      <c r="DR1271">
        <v>1102075</v>
      </c>
      <c r="DS1271" t="s">
        <v>362</v>
      </c>
    </row>
    <row r="1272" spans="122:123" x14ac:dyDescent="0.15">
      <c r="DR1272">
        <v>1102081</v>
      </c>
      <c r="DS1272" t="s">
        <v>358</v>
      </c>
    </row>
    <row r="1273" spans="122:123" x14ac:dyDescent="0.15">
      <c r="DR1273">
        <v>1102082</v>
      </c>
      <c r="DS1273" t="s">
        <v>359</v>
      </c>
    </row>
    <row r="1274" spans="122:123" x14ac:dyDescent="0.15">
      <c r="DR1274">
        <v>1102083</v>
      </c>
      <c r="DS1274" t="s">
        <v>360</v>
      </c>
    </row>
    <row r="1275" spans="122:123" x14ac:dyDescent="0.15">
      <c r="DR1275">
        <v>1102084</v>
      </c>
      <c r="DS1275" t="s">
        <v>361</v>
      </c>
    </row>
    <row r="1276" spans="122:123" x14ac:dyDescent="0.15">
      <c r="DR1276">
        <v>1102085</v>
      </c>
      <c r="DS1276" t="s">
        <v>362</v>
      </c>
    </row>
    <row r="1277" spans="122:123" x14ac:dyDescent="0.15">
      <c r="DR1277">
        <v>1102091</v>
      </c>
      <c r="DS1277" t="s">
        <v>358</v>
      </c>
    </row>
    <row r="1278" spans="122:123" x14ac:dyDescent="0.15">
      <c r="DR1278">
        <v>1102092</v>
      </c>
      <c r="DS1278" t="s">
        <v>359</v>
      </c>
    </row>
    <row r="1279" spans="122:123" x14ac:dyDescent="0.15">
      <c r="DR1279">
        <v>1102093</v>
      </c>
      <c r="DS1279" t="s">
        <v>360</v>
      </c>
    </row>
    <row r="1280" spans="122:123" x14ac:dyDescent="0.15">
      <c r="DR1280">
        <v>1102094</v>
      </c>
      <c r="DS1280" t="s">
        <v>361</v>
      </c>
    </row>
    <row r="1281" spans="122:123" x14ac:dyDescent="0.15">
      <c r="DR1281">
        <v>1102095</v>
      </c>
      <c r="DS1281" t="s">
        <v>362</v>
      </c>
    </row>
    <row r="1282" spans="122:123" x14ac:dyDescent="0.15">
      <c r="DR1282">
        <v>1102101</v>
      </c>
      <c r="DS1282" t="s">
        <v>358</v>
      </c>
    </row>
    <row r="1283" spans="122:123" x14ac:dyDescent="0.15">
      <c r="DR1283">
        <v>1102102</v>
      </c>
      <c r="DS1283" t="s">
        <v>359</v>
      </c>
    </row>
    <row r="1284" spans="122:123" x14ac:dyDescent="0.15">
      <c r="DR1284">
        <v>1102103</v>
      </c>
      <c r="DS1284" t="s">
        <v>360</v>
      </c>
    </row>
    <row r="1285" spans="122:123" x14ac:dyDescent="0.15">
      <c r="DR1285">
        <v>1102104</v>
      </c>
      <c r="DS1285" t="s">
        <v>361</v>
      </c>
    </row>
    <row r="1286" spans="122:123" x14ac:dyDescent="0.15">
      <c r="DR1286">
        <v>1102105</v>
      </c>
      <c r="DS1286" t="s">
        <v>362</v>
      </c>
    </row>
    <row r="1287" spans="122:123" x14ac:dyDescent="0.15">
      <c r="DR1287">
        <v>1102111</v>
      </c>
      <c r="DS1287" t="s">
        <v>358</v>
      </c>
    </row>
    <row r="1288" spans="122:123" x14ac:dyDescent="0.15">
      <c r="DR1288">
        <v>1102112</v>
      </c>
      <c r="DS1288" t="s">
        <v>359</v>
      </c>
    </row>
    <row r="1289" spans="122:123" x14ac:dyDescent="0.15">
      <c r="DR1289">
        <v>1102113</v>
      </c>
      <c r="DS1289" t="s">
        <v>360</v>
      </c>
    </row>
    <row r="1290" spans="122:123" x14ac:dyDescent="0.15">
      <c r="DR1290">
        <v>1102114</v>
      </c>
      <c r="DS1290" t="s">
        <v>361</v>
      </c>
    </row>
    <row r="1291" spans="122:123" x14ac:dyDescent="0.15">
      <c r="DR1291">
        <v>1102115</v>
      </c>
      <c r="DS1291" t="s">
        <v>362</v>
      </c>
    </row>
    <row r="1292" spans="122:123" x14ac:dyDescent="0.15">
      <c r="DR1292">
        <v>1102121</v>
      </c>
      <c r="DS1292" t="s">
        <v>358</v>
      </c>
    </row>
    <row r="1293" spans="122:123" x14ac:dyDescent="0.15">
      <c r="DR1293">
        <v>1102122</v>
      </c>
      <c r="DS1293" t="s">
        <v>359</v>
      </c>
    </row>
    <row r="1294" spans="122:123" x14ac:dyDescent="0.15">
      <c r="DR1294">
        <v>1102123</v>
      </c>
      <c r="DS1294" t="s">
        <v>360</v>
      </c>
    </row>
    <row r="1295" spans="122:123" x14ac:dyDescent="0.15">
      <c r="DR1295">
        <v>1102124</v>
      </c>
      <c r="DS1295" t="s">
        <v>361</v>
      </c>
    </row>
    <row r="1296" spans="122:123" x14ac:dyDescent="0.15">
      <c r="DR1296">
        <v>1102125</v>
      </c>
      <c r="DS1296" t="s">
        <v>362</v>
      </c>
    </row>
    <row r="1297" spans="122:123" x14ac:dyDescent="0.15">
      <c r="DR1297">
        <v>1102131</v>
      </c>
      <c r="DS1297" t="s">
        <v>358</v>
      </c>
    </row>
    <row r="1298" spans="122:123" x14ac:dyDescent="0.15">
      <c r="DR1298">
        <v>1102132</v>
      </c>
      <c r="DS1298" t="s">
        <v>359</v>
      </c>
    </row>
    <row r="1299" spans="122:123" x14ac:dyDescent="0.15">
      <c r="DR1299">
        <v>1102133</v>
      </c>
      <c r="DS1299" t="s">
        <v>360</v>
      </c>
    </row>
    <row r="1300" spans="122:123" x14ac:dyDescent="0.15">
      <c r="DR1300">
        <v>1102134</v>
      </c>
      <c r="DS1300" t="s">
        <v>361</v>
      </c>
    </row>
    <row r="1301" spans="122:123" x14ac:dyDescent="0.15">
      <c r="DR1301">
        <v>1102135</v>
      </c>
      <c r="DS1301" t="s">
        <v>362</v>
      </c>
    </row>
    <row r="1302" spans="122:123" x14ac:dyDescent="0.15">
      <c r="DR1302">
        <v>1103011</v>
      </c>
      <c r="DS1302" t="s">
        <v>363</v>
      </c>
    </row>
    <row r="1303" spans="122:123" x14ac:dyDescent="0.15">
      <c r="DR1303">
        <v>1103012</v>
      </c>
      <c r="DS1303" t="s">
        <v>364</v>
      </c>
    </row>
    <row r="1304" spans="122:123" x14ac:dyDescent="0.15">
      <c r="DR1304">
        <v>1103013</v>
      </c>
      <c r="DS1304" t="s">
        <v>365</v>
      </c>
    </row>
    <row r="1305" spans="122:123" x14ac:dyDescent="0.15">
      <c r="DR1305">
        <v>1103014</v>
      </c>
      <c r="DS1305" t="s">
        <v>366</v>
      </c>
    </row>
    <row r="1306" spans="122:123" x14ac:dyDescent="0.15">
      <c r="DR1306">
        <v>1103015</v>
      </c>
      <c r="DS1306" t="s">
        <v>367</v>
      </c>
    </row>
    <row r="1307" spans="122:123" x14ac:dyDescent="0.15">
      <c r="DR1307">
        <v>1103021</v>
      </c>
      <c r="DS1307" t="s">
        <v>363</v>
      </c>
    </row>
    <row r="1308" spans="122:123" x14ac:dyDescent="0.15">
      <c r="DR1308">
        <v>1103022</v>
      </c>
      <c r="DS1308" t="s">
        <v>364</v>
      </c>
    </row>
    <row r="1309" spans="122:123" x14ac:dyDescent="0.15">
      <c r="DR1309">
        <v>1103023</v>
      </c>
      <c r="DS1309" t="s">
        <v>365</v>
      </c>
    </row>
    <row r="1310" spans="122:123" x14ac:dyDescent="0.15">
      <c r="DR1310">
        <v>1103024</v>
      </c>
      <c r="DS1310" t="s">
        <v>366</v>
      </c>
    </row>
    <row r="1311" spans="122:123" x14ac:dyDescent="0.15">
      <c r="DR1311">
        <v>1103025</v>
      </c>
      <c r="DS1311" t="s">
        <v>367</v>
      </c>
    </row>
    <row r="1312" spans="122:123" x14ac:dyDescent="0.15">
      <c r="DR1312">
        <v>1103031</v>
      </c>
      <c r="DS1312" t="s">
        <v>363</v>
      </c>
    </row>
    <row r="1313" spans="122:123" x14ac:dyDescent="0.15">
      <c r="DR1313">
        <v>1103032</v>
      </c>
      <c r="DS1313" t="s">
        <v>364</v>
      </c>
    </row>
    <row r="1314" spans="122:123" x14ac:dyDescent="0.15">
      <c r="DR1314">
        <v>1103033</v>
      </c>
      <c r="DS1314" t="s">
        <v>365</v>
      </c>
    </row>
    <row r="1315" spans="122:123" x14ac:dyDescent="0.15">
      <c r="DR1315">
        <v>1103034</v>
      </c>
      <c r="DS1315" t="s">
        <v>366</v>
      </c>
    </row>
    <row r="1316" spans="122:123" x14ac:dyDescent="0.15">
      <c r="DR1316">
        <v>1103035</v>
      </c>
      <c r="DS1316" t="s">
        <v>367</v>
      </c>
    </row>
    <row r="1317" spans="122:123" x14ac:dyDescent="0.15">
      <c r="DR1317">
        <v>1103041</v>
      </c>
      <c r="DS1317" t="s">
        <v>363</v>
      </c>
    </row>
    <row r="1318" spans="122:123" x14ac:dyDescent="0.15">
      <c r="DR1318">
        <v>1103042</v>
      </c>
      <c r="DS1318" t="s">
        <v>364</v>
      </c>
    </row>
    <row r="1319" spans="122:123" x14ac:dyDescent="0.15">
      <c r="DR1319">
        <v>1103043</v>
      </c>
      <c r="DS1319" t="s">
        <v>365</v>
      </c>
    </row>
    <row r="1320" spans="122:123" x14ac:dyDescent="0.15">
      <c r="DR1320">
        <v>1103044</v>
      </c>
      <c r="DS1320" t="s">
        <v>366</v>
      </c>
    </row>
    <row r="1321" spans="122:123" x14ac:dyDescent="0.15">
      <c r="DR1321">
        <v>1103045</v>
      </c>
      <c r="DS1321" t="s">
        <v>367</v>
      </c>
    </row>
    <row r="1322" spans="122:123" x14ac:dyDescent="0.15">
      <c r="DR1322">
        <v>1103051</v>
      </c>
      <c r="DS1322" t="s">
        <v>363</v>
      </c>
    </row>
    <row r="1323" spans="122:123" x14ac:dyDescent="0.15">
      <c r="DR1323">
        <v>1103052</v>
      </c>
      <c r="DS1323" t="s">
        <v>364</v>
      </c>
    </row>
    <row r="1324" spans="122:123" x14ac:dyDescent="0.15">
      <c r="DR1324">
        <v>1103053</v>
      </c>
      <c r="DS1324" t="s">
        <v>365</v>
      </c>
    </row>
    <row r="1325" spans="122:123" x14ac:dyDescent="0.15">
      <c r="DR1325">
        <v>1103054</v>
      </c>
      <c r="DS1325" t="s">
        <v>366</v>
      </c>
    </row>
    <row r="1326" spans="122:123" x14ac:dyDescent="0.15">
      <c r="DR1326">
        <v>1103055</v>
      </c>
      <c r="DS1326" t="s">
        <v>367</v>
      </c>
    </row>
    <row r="1327" spans="122:123" x14ac:dyDescent="0.15">
      <c r="DR1327">
        <v>1103061</v>
      </c>
      <c r="DS1327" t="s">
        <v>363</v>
      </c>
    </row>
    <row r="1328" spans="122:123" x14ac:dyDescent="0.15">
      <c r="DR1328">
        <v>1103062</v>
      </c>
      <c r="DS1328" t="s">
        <v>364</v>
      </c>
    </row>
    <row r="1329" spans="122:123" x14ac:dyDescent="0.15">
      <c r="DR1329">
        <v>1103063</v>
      </c>
      <c r="DS1329" t="s">
        <v>365</v>
      </c>
    </row>
    <row r="1330" spans="122:123" x14ac:dyDescent="0.15">
      <c r="DR1330">
        <v>1103064</v>
      </c>
      <c r="DS1330" t="s">
        <v>366</v>
      </c>
    </row>
    <row r="1331" spans="122:123" x14ac:dyDescent="0.15">
      <c r="DR1331">
        <v>1103065</v>
      </c>
      <c r="DS1331" t="s">
        <v>367</v>
      </c>
    </row>
    <row r="1332" spans="122:123" x14ac:dyDescent="0.15">
      <c r="DR1332">
        <v>1103071</v>
      </c>
      <c r="DS1332" t="s">
        <v>363</v>
      </c>
    </row>
    <row r="1333" spans="122:123" x14ac:dyDescent="0.15">
      <c r="DR1333">
        <v>1103072</v>
      </c>
      <c r="DS1333" t="s">
        <v>364</v>
      </c>
    </row>
    <row r="1334" spans="122:123" x14ac:dyDescent="0.15">
      <c r="DR1334">
        <v>1103073</v>
      </c>
      <c r="DS1334" t="s">
        <v>365</v>
      </c>
    </row>
    <row r="1335" spans="122:123" x14ac:dyDescent="0.15">
      <c r="DR1335">
        <v>1103074</v>
      </c>
      <c r="DS1335" t="s">
        <v>366</v>
      </c>
    </row>
    <row r="1336" spans="122:123" x14ac:dyDescent="0.15">
      <c r="DR1336">
        <v>1103075</v>
      </c>
      <c r="DS1336" t="s">
        <v>367</v>
      </c>
    </row>
    <row r="1337" spans="122:123" x14ac:dyDescent="0.15">
      <c r="DR1337">
        <v>1103081</v>
      </c>
      <c r="DS1337" t="s">
        <v>363</v>
      </c>
    </row>
    <row r="1338" spans="122:123" x14ac:dyDescent="0.15">
      <c r="DR1338">
        <v>1103082</v>
      </c>
      <c r="DS1338" t="s">
        <v>364</v>
      </c>
    </row>
    <row r="1339" spans="122:123" x14ac:dyDescent="0.15">
      <c r="DR1339">
        <v>1103083</v>
      </c>
      <c r="DS1339" t="s">
        <v>365</v>
      </c>
    </row>
    <row r="1340" spans="122:123" x14ac:dyDescent="0.15">
      <c r="DR1340">
        <v>1103084</v>
      </c>
      <c r="DS1340" t="s">
        <v>366</v>
      </c>
    </row>
    <row r="1341" spans="122:123" x14ac:dyDescent="0.15">
      <c r="DR1341">
        <v>1103085</v>
      </c>
      <c r="DS1341" t="s">
        <v>367</v>
      </c>
    </row>
    <row r="1342" spans="122:123" x14ac:dyDescent="0.15">
      <c r="DR1342">
        <v>1103091</v>
      </c>
      <c r="DS1342" t="s">
        <v>363</v>
      </c>
    </row>
    <row r="1343" spans="122:123" x14ac:dyDescent="0.15">
      <c r="DR1343">
        <v>1103092</v>
      </c>
      <c r="DS1343" t="s">
        <v>364</v>
      </c>
    </row>
    <row r="1344" spans="122:123" x14ac:dyDescent="0.15">
      <c r="DR1344">
        <v>1103093</v>
      </c>
      <c r="DS1344" t="s">
        <v>365</v>
      </c>
    </row>
    <row r="1345" spans="122:123" x14ac:dyDescent="0.15">
      <c r="DR1345">
        <v>1103094</v>
      </c>
      <c r="DS1345" t="s">
        <v>366</v>
      </c>
    </row>
    <row r="1346" spans="122:123" x14ac:dyDescent="0.15">
      <c r="DR1346">
        <v>1103095</v>
      </c>
      <c r="DS1346" t="s">
        <v>367</v>
      </c>
    </row>
    <row r="1347" spans="122:123" x14ac:dyDescent="0.15">
      <c r="DR1347">
        <v>1103101</v>
      </c>
      <c r="DS1347" t="s">
        <v>363</v>
      </c>
    </row>
    <row r="1348" spans="122:123" x14ac:dyDescent="0.15">
      <c r="DR1348">
        <v>1103102</v>
      </c>
      <c r="DS1348" t="s">
        <v>364</v>
      </c>
    </row>
    <row r="1349" spans="122:123" x14ac:dyDescent="0.15">
      <c r="DR1349">
        <v>1103103</v>
      </c>
      <c r="DS1349" t="s">
        <v>365</v>
      </c>
    </row>
    <row r="1350" spans="122:123" x14ac:dyDescent="0.15">
      <c r="DR1350">
        <v>1103104</v>
      </c>
      <c r="DS1350" t="s">
        <v>366</v>
      </c>
    </row>
    <row r="1351" spans="122:123" x14ac:dyDescent="0.15">
      <c r="DR1351">
        <v>1103105</v>
      </c>
      <c r="DS1351" t="s">
        <v>367</v>
      </c>
    </row>
    <row r="1352" spans="122:123" x14ac:dyDescent="0.15">
      <c r="DR1352">
        <v>1103111</v>
      </c>
      <c r="DS1352" t="s">
        <v>363</v>
      </c>
    </row>
    <row r="1353" spans="122:123" x14ac:dyDescent="0.15">
      <c r="DR1353">
        <v>1103112</v>
      </c>
      <c r="DS1353" t="s">
        <v>364</v>
      </c>
    </row>
    <row r="1354" spans="122:123" x14ac:dyDescent="0.15">
      <c r="DR1354">
        <v>1103113</v>
      </c>
      <c r="DS1354" t="s">
        <v>365</v>
      </c>
    </row>
    <row r="1355" spans="122:123" x14ac:dyDescent="0.15">
      <c r="DR1355">
        <v>1103114</v>
      </c>
      <c r="DS1355" t="s">
        <v>366</v>
      </c>
    </row>
    <row r="1356" spans="122:123" x14ac:dyDescent="0.15">
      <c r="DR1356">
        <v>1103115</v>
      </c>
      <c r="DS1356" t="s">
        <v>367</v>
      </c>
    </row>
    <row r="1357" spans="122:123" x14ac:dyDescent="0.15">
      <c r="DR1357">
        <v>1103121</v>
      </c>
      <c r="DS1357" t="s">
        <v>363</v>
      </c>
    </row>
    <row r="1358" spans="122:123" x14ac:dyDescent="0.15">
      <c r="DR1358">
        <v>1103122</v>
      </c>
      <c r="DS1358" t="s">
        <v>364</v>
      </c>
    </row>
    <row r="1359" spans="122:123" x14ac:dyDescent="0.15">
      <c r="DR1359">
        <v>1103123</v>
      </c>
      <c r="DS1359" t="s">
        <v>365</v>
      </c>
    </row>
    <row r="1360" spans="122:123" x14ac:dyDescent="0.15">
      <c r="DR1360">
        <v>1103124</v>
      </c>
      <c r="DS1360" t="s">
        <v>366</v>
      </c>
    </row>
    <row r="1361" spans="122:123" x14ac:dyDescent="0.15">
      <c r="DR1361">
        <v>1103125</v>
      </c>
      <c r="DS1361" t="s">
        <v>367</v>
      </c>
    </row>
    <row r="1362" spans="122:123" x14ac:dyDescent="0.15">
      <c r="DR1362">
        <v>1103131</v>
      </c>
      <c r="DS1362" t="s">
        <v>363</v>
      </c>
    </row>
    <row r="1363" spans="122:123" x14ac:dyDescent="0.15">
      <c r="DR1363">
        <v>1103132</v>
      </c>
      <c r="DS1363" t="s">
        <v>364</v>
      </c>
    </row>
    <row r="1364" spans="122:123" x14ac:dyDescent="0.15">
      <c r="DR1364">
        <v>1103133</v>
      </c>
      <c r="DS1364" t="s">
        <v>365</v>
      </c>
    </row>
    <row r="1365" spans="122:123" x14ac:dyDescent="0.15">
      <c r="DR1365">
        <v>1103134</v>
      </c>
      <c r="DS1365" t="s">
        <v>366</v>
      </c>
    </row>
    <row r="1366" spans="122:123" x14ac:dyDescent="0.15">
      <c r="DR1366">
        <v>1103135</v>
      </c>
      <c r="DS1366" t="s">
        <v>367</v>
      </c>
    </row>
  </sheetData>
  <phoneticPr fontId="4" type="noConversion"/>
  <conditionalFormatting sqref="DR207">
    <cfRule type="duplicateValues" dxfId="7" priority="7"/>
  </conditionalFormatting>
  <conditionalFormatting sqref="DU1:DU36 DU70:DU173 DU367:DU958 DU200:DU333 DU1052:DU1048576">
    <cfRule type="containsText" dxfId="6" priority="1" operator="containsText" text="沉默">
      <formula>NOT(ISERROR(SEARCH("沉默",DU1)))</formula>
    </cfRule>
    <cfRule type="containsText" dxfId="5" priority="2" operator="containsText" text="石化">
      <formula>NOT(ISERROR(SEARCH("石化",DU1)))</formula>
    </cfRule>
    <cfRule type="containsText" dxfId="4" priority="3" operator="containsText" text="沉默">
      <formula>NOT(ISERROR(SEARCH("沉默",DU1)))</formula>
    </cfRule>
    <cfRule type="containsText" dxfId="3" priority="4" operator="containsText" text="嘲讽">
      <formula>NOT(ISERROR(SEARCH("嘲讽",DU1)))</formula>
    </cfRule>
    <cfRule type="containsText" dxfId="2" priority="5" operator="containsText" text="冰冻">
      <formula>NOT(ISERROR(SEARCH("冰冻",DU1)))</formula>
    </cfRule>
    <cfRule type="containsText" dxfId="1" priority="6" operator="containsText" text="眩晕">
      <formula>NOT(ISERROR(SEARCH("眩晕",DU1)))</formula>
    </cfRule>
  </conditionalFormatting>
  <conditionalFormatting sqref="DR4:DR36 DR200:DR232">
    <cfRule type="duplicateValues" dxfId="0" priority="8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guild_boss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2021-01-19T11:52:24Z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