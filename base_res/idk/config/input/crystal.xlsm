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720" windowHeight="13668"/>
  </bookViews>
  <sheets>
    <sheet name="crystal" sheetId="1" r:id="rId1"/>
    <sheet name="Sheet1" sheetId="2" r:id="rId2"/>
    <sheet name="Sheet2" sheetId="3" r:id="rId3"/>
  </sheets>
  <calcPr calcId="144525"/>
</workbook>
</file>

<file path=xl/sharedStrings.xml><?xml version="1.0" encoding="utf-8"?>
<sst xmlns="http://schemas.openxmlformats.org/spreadsheetml/2006/main" count="502" uniqueCount="221">
  <si>
    <t>id</t>
  </si>
  <si>
    <r>
      <rPr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ame</t>
    </r>
  </si>
  <si>
    <t>quality</t>
  </si>
  <si>
    <t>star</t>
  </si>
  <si>
    <t>cost</t>
  </si>
  <si>
    <t>pro_num</t>
  </si>
  <si>
    <t>upgrade_money</t>
  </si>
  <si>
    <t>upgrade_dust</t>
  </si>
  <si>
    <t>lock_pro_vrmb</t>
  </si>
  <si>
    <t>convert_money</t>
  </si>
  <si>
    <t>convert_dust</t>
  </si>
  <si>
    <t>icon</t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</si>
  <si>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nt32</t>
    </r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</si>
  <si>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tring</t>
    </r>
  </si>
  <si>
    <t>int32</t>
  </si>
  <si>
    <t>int</t>
  </si>
  <si>
    <t>string</t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</si>
  <si>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D</t>
    </r>
  </si>
  <si>
    <t>名字</t>
  </si>
  <si>
    <t>品质</t>
  </si>
  <si>
    <t>星级</t>
  </si>
  <si>
    <t>价值</t>
  </si>
  <si>
    <t>属性数量</t>
  </si>
  <si>
    <t>升级所需金币</t>
  </si>
  <si>
    <t>升级所需材料</t>
  </si>
  <si>
    <t>锁定属性需求钻石</t>
  </si>
  <si>
    <t>转换所需金币</t>
  </si>
  <si>
    <t>转换所需材料</t>
  </si>
  <si>
    <t>图片名字</t>
  </si>
  <si>
    <t>随从攻击</t>
  </si>
  <si>
    <t>宝石攻击</t>
  </si>
  <si>
    <t>血量</t>
  </si>
  <si>
    <t>升级金币</t>
  </si>
  <si>
    <t>升级材料</t>
  </si>
  <si>
    <t>转换金币</t>
  </si>
  <si>
    <t>转换材料</t>
  </si>
  <si>
    <t>特殊</t>
  </si>
  <si>
    <t>DATA_Crystal1</t>
  </si>
  <si>
    <t>crystal1</t>
  </si>
  <si>
    <t>初级宝石I</t>
  </si>
  <si>
    <t>初级宝石II</t>
  </si>
  <si>
    <t>DATA_Crystal2</t>
  </si>
  <si>
    <t>crystal2</t>
  </si>
  <si>
    <t>中级宝石I</t>
  </si>
  <si>
    <t>2%暴击、450血</t>
  </si>
  <si>
    <t>2%精准、50攻击</t>
  </si>
  <si>
    <t>中级宝石II</t>
  </si>
  <si>
    <t>3%暴击、600血</t>
  </si>
  <si>
    <t>3%精准、70攻击</t>
  </si>
  <si>
    <t>DATA_Crystal3</t>
  </si>
  <si>
    <t>crystal3</t>
  </si>
  <si>
    <t>高级宝石I</t>
  </si>
  <si>
    <t>4%攻击、210攻击</t>
  </si>
  <si>
    <r>
      <rPr>
        <sz val="11"/>
        <color theme="1"/>
        <rFont val="宋体"/>
        <charset val="134"/>
        <scheme val="minor"/>
      </rPr>
      <t>7</t>
    </r>
    <r>
      <rPr>
        <sz val="11"/>
        <color theme="1"/>
        <rFont val="宋体"/>
        <charset val="134"/>
        <scheme val="minor"/>
      </rPr>
      <t>%格挡、920血</t>
    </r>
  </si>
  <si>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%暴击、920血</t>
    </r>
  </si>
  <si>
    <t>7%血、1480血</t>
  </si>
  <si>
    <t>5%精准、125攻击</t>
  </si>
  <si>
    <t>8%破甲、125攻击</t>
  </si>
  <si>
    <t>高级宝石II</t>
  </si>
  <si>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%攻击、270攻击</t>
    </r>
  </si>
  <si>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charset val="134"/>
        <scheme val="minor"/>
      </rPr>
      <t>%格挡、1200血</t>
    </r>
  </si>
  <si>
    <t>6%暴击、1200血</t>
  </si>
  <si>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charset val="134"/>
        <scheme val="minor"/>
      </rPr>
      <t>%血、1960血</t>
    </r>
  </si>
  <si>
    <t>6%精准、155攻击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</si>
  <si>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1%破甲、155攻击</t>
    </r>
  </si>
  <si>
    <t>高级宝石III</t>
  </si>
  <si>
    <r>
      <rPr>
        <sz val="11"/>
        <color theme="1"/>
        <rFont val="宋体"/>
        <charset val="134"/>
        <scheme val="minor"/>
      </rPr>
      <t>6</t>
    </r>
    <r>
      <rPr>
        <sz val="11"/>
        <color theme="1"/>
        <rFont val="宋体"/>
        <charset val="134"/>
        <scheme val="minor"/>
      </rPr>
      <t>%攻击、330攻击</t>
    </r>
  </si>
  <si>
    <t>9%格挡、1480血</t>
  </si>
  <si>
    <t>7%暴击、1480血</t>
  </si>
  <si>
    <r>
      <rPr>
        <sz val="11"/>
        <color theme="1"/>
        <rFont val="宋体"/>
        <charset val="134"/>
        <scheme val="minor"/>
      </rPr>
      <t>9</t>
    </r>
    <r>
      <rPr>
        <sz val="11"/>
        <color theme="1"/>
        <rFont val="宋体"/>
        <charset val="134"/>
        <scheme val="minor"/>
      </rPr>
      <t>%血、2440血</t>
    </r>
  </si>
  <si>
    <t>7%精准、185攻击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</si>
  <si>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4%破甲、185攻击</t>
    </r>
  </si>
  <si>
    <t>DATA_Crystal4</t>
  </si>
  <si>
    <t>crystal4</t>
  </si>
  <si>
    <t>精品宝石I</t>
  </si>
  <si>
    <t>8%攻击、450攻击</t>
  </si>
  <si>
    <t>10%格挡、1680血</t>
  </si>
  <si>
    <t>9%暴击、1680血</t>
  </si>
  <si>
    <t>11%血、3260血</t>
  </si>
  <si>
    <t>9%精准、225攻击</t>
  </si>
  <si>
    <t>18%破甲、225攻击</t>
  </si>
  <si>
    <t>10%技能伤害、3%精准</t>
  </si>
  <si>
    <t>精品宝石II</t>
  </si>
  <si>
    <t>9.5%攻击、500攻击</t>
  </si>
  <si>
    <t>11%格挡、1980血</t>
  </si>
  <si>
    <t>10%暴击、1980血</t>
  </si>
  <si>
    <t>13%血、3680血</t>
  </si>
  <si>
    <t>10%精准、265攻击</t>
  </si>
  <si>
    <t>21%破甲、265攻击</t>
  </si>
  <si>
    <t>4%暴击、14%暴击伤害</t>
  </si>
  <si>
    <t>11.5%技能伤害、4%精准</t>
  </si>
  <si>
    <t>精品宝石III</t>
  </si>
  <si>
    <t>11%攻击、560攻击</t>
  </si>
  <si>
    <t>12%格挡、2280血</t>
  </si>
  <si>
    <t>11%暴击、2280血</t>
  </si>
  <si>
    <t>15%血、4120血</t>
  </si>
  <si>
    <t>11%精准、305攻击</t>
  </si>
  <si>
    <t>24%破甲、305攻击</t>
  </si>
  <si>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%暴击、18%暴击伤害</t>
    </r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</si>
  <si>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3%技能伤害、5%精准</t>
    </r>
  </si>
  <si>
    <t>crystal5</t>
  </si>
  <si>
    <t>极品宝石I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</si>
  <si>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3.5%攻击、640攻击</t>
    </r>
  </si>
  <si>
    <t>14%格挡、2980血</t>
  </si>
  <si>
    <t>13%暴击、2980血</t>
  </si>
  <si>
    <t>18%血、4820血</t>
  </si>
  <si>
    <t>13%精准、360攻击</t>
  </si>
  <si>
    <t>28%破甲、360攻击</t>
  </si>
  <si>
    <r>
      <rPr>
        <sz val="11"/>
        <color theme="1"/>
        <rFont val="宋体"/>
        <charset val="134"/>
        <scheme val="minor"/>
      </rPr>
      <t>7</t>
    </r>
    <r>
      <rPr>
        <sz val="11"/>
        <color theme="1"/>
        <rFont val="宋体"/>
        <charset val="134"/>
        <scheme val="minor"/>
      </rPr>
      <t>%暴击、24%暴击伤害</t>
    </r>
  </si>
  <si>
    <t>15%技能伤害、6%精准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</si>
  <si>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0速度、8%血</t>
    </r>
  </si>
  <si>
    <t>14%血、4820血、2%精准</t>
  </si>
  <si>
    <t>11%神圣伤害、360攻击</t>
  </si>
  <si>
    <t>DATA_Crystal5</t>
  </si>
  <si>
    <t>极品宝石II</t>
  </si>
  <si>
    <t>15%攻击、720攻击</t>
  </si>
  <si>
    <t>15%精准</t>
  </si>
  <si>
    <t>10%攻击、640攻击、2%精准</t>
  </si>
  <si>
    <t>极品宝石III</t>
  </si>
  <si>
    <t>16.5%攻击、800攻击</t>
  </si>
  <si>
    <t>16%精准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</si>
  <si>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1%攻击、720攻击、2.5%精准</t>
    </r>
  </si>
  <si>
    <t>极品宝石IV</t>
  </si>
  <si>
    <t>17%精准、540攻击</t>
  </si>
  <si>
    <t>crystal6</t>
  </si>
  <si>
    <t>无瑕宝玉I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</si>
  <si>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8%精准、620攻击、7%攻击</t>
    </r>
  </si>
  <si>
    <t>无瑕宝玉II</t>
  </si>
  <si>
    <t>DATA_Crystal6</t>
  </si>
  <si>
    <t>无瑕宝玉III</t>
  </si>
  <si>
    <t>排序</t>
  </si>
  <si>
    <t>原始魔法尘</t>
  </si>
  <si>
    <t>魔法尘</t>
  </si>
  <si>
    <t>增长倍数</t>
  </si>
  <si>
    <t>原始金币</t>
  </si>
  <si>
    <t>金币</t>
  </si>
  <si>
    <t>倍数</t>
  </si>
  <si>
    <t>蓝1</t>
  </si>
  <si>
    <t>攻击力</t>
  </si>
  <si>
    <t>蓝2</t>
  </si>
  <si>
    <t>黄1</t>
  </si>
  <si>
    <t>防御力</t>
  </si>
  <si>
    <t>黄2</t>
  </si>
  <si>
    <t>攻速</t>
  </si>
  <si>
    <t>紫1</t>
  </si>
  <si>
    <t>暴击率</t>
  </si>
  <si>
    <t>紫2</t>
  </si>
  <si>
    <t>暴击伤害</t>
  </si>
  <si>
    <t>紫3</t>
  </si>
  <si>
    <t>破甲</t>
  </si>
  <si>
    <t>绿1</t>
  </si>
  <si>
    <t>闪避</t>
  </si>
  <si>
    <t>绿2</t>
  </si>
  <si>
    <t>命中</t>
  </si>
  <si>
    <t>绿3</t>
  </si>
  <si>
    <t>攻击</t>
  </si>
  <si>
    <t>红1</t>
  </si>
  <si>
    <t>红2</t>
  </si>
  <si>
    <t>红3</t>
  </si>
  <si>
    <t>红4</t>
  </si>
  <si>
    <t>橙1</t>
  </si>
  <si>
    <t>橙2</t>
  </si>
  <si>
    <t>橙3</t>
  </si>
  <si>
    <t>橙4</t>
  </si>
  <si>
    <t>橙5</t>
  </si>
  <si>
    <t>血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</si>
  <si>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%攻击=28攻击力</t>
    </r>
  </si>
  <si>
    <t>1%血 = 155血量 = 20攻击</t>
  </si>
  <si>
    <t>100价值 = 0.4%攻击 = 0.4%防御 = 0.6%血 = 100血 = 12.5攻击 = 2.5防御 = 0.4%暴击 = 0.4%命中 =0.2%闪避=0.64%破甲 = 0.6%暴击伤害 = 0.4%速度</t>
  </si>
  <si>
    <t>下限</t>
  </si>
  <si>
    <t>上限</t>
  </si>
  <si>
    <t>正常</t>
  </si>
  <si>
    <t>超快</t>
  </si>
  <si>
    <t>1秒</t>
  </si>
  <si>
    <t>2秒</t>
  </si>
  <si>
    <t>1.5秒</t>
  </si>
  <si>
    <r>
      <rPr>
        <sz val="11"/>
        <color theme="1"/>
        <rFont val="宋体"/>
        <charset val="134"/>
        <scheme val="minor"/>
      </rPr>
      <t>0</t>
    </r>
    <r>
      <rPr>
        <sz val="11"/>
        <color theme="1"/>
        <rFont val="宋体"/>
        <charset val="134"/>
        <scheme val="minor"/>
      </rPr>
      <t>.5秒</t>
    </r>
  </si>
  <si>
    <t>百分数显示</t>
  </si>
  <si>
    <t>攻速区间</t>
  </si>
  <si>
    <t>基础攻速</t>
  </si>
  <si>
    <t>基础攻速百分比</t>
  </si>
  <si>
    <t>攻速加成</t>
  </si>
  <si>
    <t>最大时间-（当前攻速+攻速加成）</t>
  </si>
  <si>
    <t>1-2秒</t>
  </si>
  <si>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.5秒</t>
    </r>
  </si>
  <si>
    <t>√</t>
  </si>
  <si>
    <t>攻速按秒显示</t>
  </si>
  <si>
    <t>当前攻速*（100%-攻速加成）</t>
  </si>
  <si>
    <t>防御</t>
  </si>
  <si>
    <t>DATA_Crystal7</t>
  </si>
  <si>
    <t>DATA_Crystal8</t>
  </si>
  <si>
    <t>DATA_Crystal9</t>
  </si>
  <si>
    <t>DATA_Crystal10</t>
  </si>
  <si>
    <t>DATA_Crystal11</t>
  </si>
  <si>
    <t>DATA_Crystal12</t>
  </si>
  <si>
    <t>DATA_Crystal13</t>
  </si>
  <si>
    <t>DATA_Crystal14</t>
  </si>
  <si>
    <t>DATA_Crystal15</t>
  </si>
  <si>
    <t>DATA_Crystal16</t>
  </si>
  <si>
    <t>DATA_Crystal17</t>
  </si>
  <si>
    <t>DATA_Crystal18</t>
  </si>
  <si>
    <t>无瑕宝玉IV</t>
  </si>
  <si>
    <t>DATA_Crystal19</t>
  </si>
  <si>
    <t>无瑕宝玉V</t>
  </si>
  <si>
    <t>对应英雄星级</t>
  </si>
  <si>
    <t>对应英雄等级</t>
  </si>
  <si>
    <t>对应英雄品阶</t>
  </si>
  <si>
    <t>对应英雄标准攻击</t>
  </si>
  <si>
    <t>对应英雄标准血量</t>
  </si>
  <si>
    <t>对应英雄标准防御</t>
  </si>
  <si>
    <t>对应标准战力</t>
  </si>
  <si>
    <t>宝石战力比</t>
  </si>
  <si>
    <t>宝石攻击力加成</t>
  </si>
  <si>
    <t>宝石价值</t>
  </si>
  <si>
    <t>攻击加成</t>
  </si>
  <si>
    <t>升星加成</t>
  </si>
  <si>
    <t>品阶加成</t>
  </si>
  <si>
    <t>武器</t>
  </si>
  <si>
    <t>项链</t>
  </si>
  <si>
    <t>头盔</t>
  </si>
  <si>
    <t>铠甲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</si>
</sst>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000000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sz val="18"/>
      <color theme="3"/>
      <name val="宋体"/>
      <charset val="134"/>
      <scheme val="major"/>
    </font>
    <font>
      <b/>
      <sz val="11"/>
      <color rgb="FF3F3F3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5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" fillId="19" borderId="6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7" fillId="0" borderId="8" applyNumberFormat="0" applyFill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3" fillId="2" borderId="1" applyNumberFormat="0" applyAlignment="0" applyProtection="0">
      <alignment vertical="center"/>
    </xf>
    <xf numFmtId="0" fontId="13" fillId="17" borderId="4" applyNumberForma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" fillId="0" borderId="3" applyNumberFormat="0" applyFill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1" fillId="0" borderId="0" xfId="0" applyFont="1" applyAlignment="1"/>
    <xf numFmtId="0" fontId="1" fillId="0" borderId="0" xfId="0" applyFo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>
      <alignment vertical="center"/>
    </xf>
    <xf numFmtId="0" fontId="1" fillId="0" borderId="0" xfId="0" applyFont="1" applyAlignment="1">
      <alignment vertical="center"/>
    </xf>
    <xf numFmtId="0" fontId="0" fillId="0" borderId="0" xfId="0" applyFont="1" applyAlignment="1"/>
    <xf numFmtId="0" fontId="0" fillId="0" borderId="0" xfId="0" applyAlignment="1">
      <alignment vertical="center"/>
    </xf>
    <xf numFmtId="0" fontId="2" fillId="0" borderId="0" xfId="0" applyFont="1">
      <alignment vertical="center"/>
    </xf>
    <xf numFmtId="9" fontId="0" fillId="0" borderId="0" xfId="0" applyNumberFormat="1">
      <alignment vertical="center"/>
    </xf>
    <xf numFmtId="0" fontId="1" fillId="0" borderId="0" xfId="0" applyNumberFormat="1" applyFont="1">
      <alignment vertical="center"/>
    </xf>
    <xf numFmtId="58" fontId="1" fillId="0" borderId="0" xfId="0" applyNumberFormat="1" applyFo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J61"/>
  <sheetViews>
    <sheetView tabSelected="1" workbookViewId="0">
      <selection activeCell="B20" sqref="B20"/>
    </sheetView>
  </sheetViews>
  <sheetFormatPr defaultColWidth="9" defaultRowHeight="14.4"/>
  <cols>
    <col min="1" max="1" width="10.6296296296296" customWidth="1"/>
    <col min="2" max="2" width="16.1296296296296" customWidth="1"/>
    <col min="3" max="3" width="8.5" customWidth="1"/>
    <col min="4" max="4" width="6.5" customWidth="1"/>
    <col min="5" max="5" width="12.5" customWidth="1"/>
    <col min="6" max="6" width="13.25" customWidth="1"/>
    <col min="7" max="7" width="15" customWidth="1"/>
    <col min="8" max="8" width="13.8796296296296" customWidth="1"/>
    <col min="9" max="9" width="17.25" customWidth="1"/>
    <col min="10" max="10" width="15" customWidth="1"/>
    <col min="11" max="11" width="13.8796296296296" customWidth="1"/>
    <col min="12" max="14" width="11.6296296296296" customWidth="1"/>
    <col min="15" max="16" width="9.5" customWidth="1"/>
    <col min="17" max="17" width="13.1296296296296" customWidth="1"/>
    <col min="21" max="21" width="9.5" customWidth="1"/>
    <col min="24" max="24" width="14.1296296296296" customWidth="1"/>
    <col min="25" max="25" width="19.8796296296296" customWidth="1"/>
    <col min="26" max="26" width="16.5" customWidth="1"/>
    <col min="27" max="27" width="14.3796296296296" customWidth="1"/>
    <col min="28" max="28" width="13.5" customWidth="1"/>
    <col min="29" max="29" width="26.1296296296296" customWidth="1"/>
    <col min="30" max="30" width="16.5" customWidth="1"/>
    <col min="31" max="31" width="20.6296296296296" customWidth="1"/>
    <col min="32" max="32" width="28.25" customWidth="1"/>
    <col min="33" max="33" width="22.8796296296296" customWidth="1"/>
    <col min="34" max="34" width="13.3796296296296" customWidth="1"/>
    <col min="35" max="35" width="23" customWidth="1"/>
  </cols>
  <sheetData>
    <row r="1" spans="1:23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N1" s="1"/>
      <c r="O1" s="4"/>
      <c r="P1" s="4"/>
      <c r="Q1" s="4"/>
      <c r="R1" s="4"/>
      <c r="S1" s="4"/>
      <c r="T1" s="4"/>
      <c r="U1" s="4"/>
      <c r="V1" s="4"/>
      <c r="W1" s="8"/>
    </row>
    <row r="2" spans="1:23">
      <c r="A2" s="1" t="s">
        <v>12</v>
      </c>
      <c r="B2" s="1" t="s">
        <v>13</v>
      </c>
      <c r="C2" s="1" t="s">
        <v>14</v>
      </c>
      <c r="D2" s="1" t="s">
        <v>14</v>
      </c>
      <c r="E2" s="1" t="s">
        <v>14</v>
      </c>
      <c r="F2" s="1" t="s">
        <v>14</v>
      </c>
      <c r="G2" s="1" t="s">
        <v>14</v>
      </c>
      <c r="H2" s="1" t="s">
        <v>14</v>
      </c>
      <c r="I2" s="1" t="s">
        <v>14</v>
      </c>
      <c r="J2" s="1" t="s">
        <v>14</v>
      </c>
      <c r="K2" s="1" t="s">
        <v>15</v>
      </c>
      <c r="L2" s="1" t="s">
        <v>16</v>
      </c>
      <c r="M2" s="1"/>
      <c r="N2" s="1"/>
      <c r="O2" s="1"/>
      <c r="P2" s="1"/>
      <c r="Q2" s="6"/>
      <c r="R2" s="6"/>
      <c r="S2" s="6"/>
      <c r="T2" s="6"/>
      <c r="U2" s="6"/>
      <c r="V2" s="6"/>
      <c r="W2" s="6"/>
    </row>
    <row r="3" spans="1:25">
      <c r="A3" s="2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 t="s">
        <v>28</v>
      </c>
      <c r="M3" s="1"/>
      <c r="N3" s="1"/>
      <c r="O3" s="1" t="s">
        <v>22</v>
      </c>
      <c r="P3" s="1" t="s">
        <v>21</v>
      </c>
      <c r="Q3" s="7"/>
      <c r="R3" s="1" t="s">
        <v>29</v>
      </c>
      <c r="S3" s="1" t="s">
        <v>30</v>
      </c>
      <c r="T3" s="7" t="s">
        <v>31</v>
      </c>
      <c r="U3" s="7" t="s">
        <v>32</v>
      </c>
      <c r="V3" s="7" t="s">
        <v>33</v>
      </c>
      <c r="W3" s="1" t="s">
        <v>34</v>
      </c>
      <c r="X3" s="2" t="s">
        <v>35</v>
      </c>
      <c r="Y3" s="7" t="s">
        <v>36</v>
      </c>
    </row>
    <row r="4" spans="1:25">
      <c r="A4" s="1">
        <v>1</v>
      </c>
      <c r="B4" s="1" t="s">
        <v>37</v>
      </c>
      <c r="C4" s="1">
        <v>1</v>
      </c>
      <c r="D4" s="1">
        <v>1</v>
      </c>
      <c r="E4" s="1">
        <v>288</v>
      </c>
      <c r="F4" s="1">
        <v>1</v>
      </c>
      <c r="G4" s="4">
        <v>10000</v>
      </c>
      <c r="H4" s="4">
        <v>36</v>
      </c>
      <c r="I4" s="1">
        <v>0</v>
      </c>
      <c r="J4" s="1">
        <v>500</v>
      </c>
      <c r="K4" s="1">
        <v>2</v>
      </c>
      <c r="L4" s="1" t="s">
        <v>38</v>
      </c>
      <c r="M4" s="1"/>
      <c r="N4" s="1" t="s">
        <v>39</v>
      </c>
      <c r="O4" s="1">
        <v>1</v>
      </c>
      <c r="P4" s="1">
        <f>R4*(1+(O4-1)*0.5)</f>
        <v>400</v>
      </c>
      <c r="Q4" s="4">
        <v>1</v>
      </c>
      <c r="R4" s="4">
        <v>400</v>
      </c>
      <c r="S4" s="4">
        <f>R4*0.1</f>
        <v>40</v>
      </c>
      <c r="T4" s="4">
        <v>8000</v>
      </c>
      <c r="U4" s="4">
        <v>10000</v>
      </c>
      <c r="V4" s="4">
        <v>36</v>
      </c>
      <c r="W4" s="1">
        <v>500</v>
      </c>
      <c r="X4">
        <v>2</v>
      </c>
      <c r="Y4" s="4"/>
    </row>
    <row r="5" spans="1:25">
      <c r="A5" s="1">
        <v>2</v>
      </c>
      <c r="B5" s="1" t="s">
        <v>37</v>
      </c>
      <c r="C5" s="1">
        <v>1</v>
      </c>
      <c r="D5" s="1">
        <v>2</v>
      </c>
      <c r="E5" s="1">
        <v>360</v>
      </c>
      <c r="F5" s="1">
        <v>1</v>
      </c>
      <c r="G5" s="4">
        <v>20000</v>
      </c>
      <c r="H5" s="4">
        <v>108</v>
      </c>
      <c r="I5" s="1">
        <v>5</v>
      </c>
      <c r="J5" s="1">
        <v>1000</v>
      </c>
      <c r="K5" s="1">
        <v>4</v>
      </c>
      <c r="L5" s="1" t="s">
        <v>38</v>
      </c>
      <c r="M5" s="1"/>
      <c r="N5" s="1" t="s">
        <v>40</v>
      </c>
      <c r="O5" s="1">
        <v>1</v>
      </c>
      <c r="P5" s="1">
        <f t="shared" ref="P5:P20" si="0">R5*(1+(O5-1)*0.5)</f>
        <v>569</v>
      </c>
      <c r="Q5" s="4">
        <v>2</v>
      </c>
      <c r="R5" s="4">
        <v>569</v>
      </c>
      <c r="S5" s="4">
        <f t="shared" ref="S5:S20" si="1">R5*0.1</f>
        <v>56.9</v>
      </c>
      <c r="T5" s="4">
        <v>1</v>
      </c>
      <c r="U5" s="4">
        <v>20000</v>
      </c>
      <c r="V5" s="4">
        <v>108</v>
      </c>
      <c r="W5" s="7">
        <v>1000</v>
      </c>
      <c r="X5" s="7">
        <v>4</v>
      </c>
      <c r="Y5" s="4"/>
    </row>
    <row r="6" spans="1:29">
      <c r="A6" s="1">
        <v>3</v>
      </c>
      <c r="B6" s="1" t="s">
        <v>41</v>
      </c>
      <c r="C6" s="1">
        <v>2</v>
      </c>
      <c r="D6" s="1">
        <v>1</v>
      </c>
      <c r="E6" s="1">
        <v>504</v>
      </c>
      <c r="F6" s="1">
        <v>1</v>
      </c>
      <c r="G6" s="4">
        <v>40000</v>
      </c>
      <c r="H6" s="4">
        <v>180</v>
      </c>
      <c r="I6" s="1">
        <v>20</v>
      </c>
      <c r="J6" s="1">
        <v>2000</v>
      </c>
      <c r="K6" s="1">
        <v>10</v>
      </c>
      <c r="L6" s="1" t="s">
        <v>42</v>
      </c>
      <c r="M6" s="1"/>
      <c r="N6" s="1" t="s">
        <v>43</v>
      </c>
      <c r="O6" s="1">
        <v>1</v>
      </c>
      <c r="P6" s="1">
        <f t="shared" si="0"/>
        <v>805</v>
      </c>
      <c r="Q6" s="4">
        <v>3</v>
      </c>
      <c r="R6" s="4">
        <v>805</v>
      </c>
      <c r="S6" s="4">
        <f t="shared" si="1"/>
        <v>80.5</v>
      </c>
      <c r="T6" s="4">
        <v>880</v>
      </c>
      <c r="U6" s="4">
        <v>40000</v>
      </c>
      <c r="V6" s="4">
        <v>180</v>
      </c>
      <c r="W6" s="7">
        <v>2000</v>
      </c>
      <c r="X6" s="7">
        <v>10</v>
      </c>
      <c r="AA6" s="2" t="s">
        <v>44</v>
      </c>
      <c r="AC6" s="1" t="s">
        <v>45</v>
      </c>
    </row>
    <row r="7" spans="1:29">
      <c r="A7" s="1">
        <v>4</v>
      </c>
      <c r="B7" s="1" t="s">
        <v>41</v>
      </c>
      <c r="C7" s="1">
        <v>2</v>
      </c>
      <c r="D7" s="1">
        <v>2</v>
      </c>
      <c r="E7" s="1">
        <v>655</v>
      </c>
      <c r="F7" s="1">
        <v>2</v>
      </c>
      <c r="G7" s="4">
        <v>80000</v>
      </c>
      <c r="H7" s="4">
        <v>360</v>
      </c>
      <c r="I7" s="1">
        <v>40</v>
      </c>
      <c r="J7" s="1">
        <v>4000</v>
      </c>
      <c r="K7" s="1">
        <v>18</v>
      </c>
      <c r="L7" s="1" t="s">
        <v>42</v>
      </c>
      <c r="M7" s="1"/>
      <c r="N7" s="1" t="s">
        <v>46</v>
      </c>
      <c r="O7" s="1">
        <v>1</v>
      </c>
      <c r="P7" s="1">
        <f t="shared" si="0"/>
        <v>1046</v>
      </c>
      <c r="Q7" s="4">
        <v>4</v>
      </c>
      <c r="R7" s="4">
        <v>1046</v>
      </c>
      <c r="S7" s="4">
        <f t="shared" si="1"/>
        <v>104.6</v>
      </c>
      <c r="T7" s="4">
        <v>1120</v>
      </c>
      <c r="U7" s="4">
        <v>80000</v>
      </c>
      <c r="V7" s="4">
        <v>360</v>
      </c>
      <c r="W7" s="7">
        <v>4000</v>
      </c>
      <c r="X7" s="7">
        <v>18</v>
      </c>
      <c r="AA7" s="2" t="s">
        <v>47</v>
      </c>
      <c r="AC7" s="2" t="s">
        <v>48</v>
      </c>
    </row>
    <row r="8" spans="1:30">
      <c r="A8" s="1">
        <v>5</v>
      </c>
      <c r="B8" s="1" t="s">
        <v>49</v>
      </c>
      <c r="C8" s="1">
        <v>3</v>
      </c>
      <c r="D8" s="1">
        <v>1</v>
      </c>
      <c r="E8" s="1">
        <v>840</v>
      </c>
      <c r="F8" s="1">
        <v>2</v>
      </c>
      <c r="G8" s="4">
        <v>160000</v>
      </c>
      <c r="H8" s="4">
        <v>540</v>
      </c>
      <c r="I8" s="1">
        <v>100</v>
      </c>
      <c r="J8" s="1">
        <v>8000</v>
      </c>
      <c r="K8" s="1">
        <v>36</v>
      </c>
      <c r="L8" s="1" t="s">
        <v>50</v>
      </c>
      <c r="M8" s="1"/>
      <c r="N8" s="1" t="s">
        <v>51</v>
      </c>
      <c r="O8" s="1">
        <v>2</v>
      </c>
      <c r="P8" s="1">
        <f t="shared" si="0"/>
        <v>2197.5</v>
      </c>
      <c r="Q8" s="4">
        <v>5</v>
      </c>
      <c r="R8" s="4">
        <v>1465</v>
      </c>
      <c r="S8" s="4">
        <f t="shared" si="1"/>
        <v>146.5</v>
      </c>
      <c r="T8" s="4">
        <f>R8*8</f>
        <v>11720</v>
      </c>
      <c r="U8" s="4">
        <v>160000</v>
      </c>
      <c r="V8" s="4">
        <v>540</v>
      </c>
      <c r="W8" s="7">
        <v>8000</v>
      </c>
      <c r="X8" s="7">
        <v>36</v>
      </c>
      <c r="Y8" s="1" t="s">
        <v>52</v>
      </c>
      <c r="Z8" s="2" t="s">
        <v>53</v>
      </c>
      <c r="AA8" s="2" t="s">
        <v>54</v>
      </c>
      <c r="AB8" s="1" t="s">
        <v>55</v>
      </c>
      <c r="AC8" s="2" t="s">
        <v>56</v>
      </c>
      <c r="AD8" s="2" t="s">
        <v>57</v>
      </c>
    </row>
    <row r="9" spans="1:30">
      <c r="A9" s="1">
        <v>6</v>
      </c>
      <c r="B9" s="1" t="s">
        <v>49</v>
      </c>
      <c r="C9" s="1">
        <v>3</v>
      </c>
      <c r="D9" s="1">
        <v>2</v>
      </c>
      <c r="E9" s="1">
        <v>1044</v>
      </c>
      <c r="F9" s="1">
        <v>2</v>
      </c>
      <c r="G9" s="4">
        <v>320000</v>
      </c>
      <c r="H9" s="4">
        <v>720</v>
      </c>
      <c r="I9" s="1">
        <v>200</v>
      </c>
      <c r="J9" s="1">
        <v>16000</v>
      </c>
      <c r="K9" s="1">
        <v>54</v>
      </c>
      <c r="L9" s="1" t="s">
        <v>50</v>
      </c>
      <c r="M9" s="1"/>
      <c r="N9" s="1" t="s">
        <v>58</v>
      </c>
      <c r="O9" s="1">
        <v>2</v>
      </c>
      <c r="P9" s="1">
        <f t="shared" si="0"/>
        <v>2731.5</v>
      </c>
      <c r="Q9" s="4">
        <v>6</v>
      </c>
      <c r="R9" s="4">
        <v>1821</v>
      </c>
      <c r="S9" s="4">
        <f t="shared" si="1"/>
        <v>182.1</v>
      </c>
      <c r="T9" s="4">
        <v>3160</v>
      </c>
      <c r="U9" s="4">
        <v>320000</v>
      </c>
      <c r="V9" s="4">
        <v>720</v>
      </c>
      <c r="W9" s="7">
        <v>16000</v>
      </c>
      <c r="X9" s="7">
        <v>54</v>
      </c>
      <c r="Y9" s="2" t="s">
        <v>59</v>
      </c>
      <c r="Z9" s="2" t="s">
        <v>60</v>
      </c>
      <c r="AA9" s="2" t="s">
        <v>61</v>
      </c>
      <c r="AB9" s="2" t="s">
        <v>62</v>
      </c>
      <c r="AC9" s="2" t="s">
        <v>63</v>
      </c>
      <c r="AD9" s="2" t="s">
        <v>64</v>
      </c>
    </row>
    <row r="10" spans="1:30">
      <c r="A10" s="1">
        <v>7</v>
      </c>
      <c r="B10" s="1" t="s">
        <v>49</v>
      </c>
      <c r="C10" s="1">
        <v>3</v>
      </c>
      <c r="D10" s="1">
        <v>3</v>
      </c>
      <c r="E10" s="1">
        <v>1152</v>
      </c>
      <c r="F10" s="1">
        <v>2</v>
      </c>
      <c r="G10" s="4">
        <v>500000</v>
      </c>
      <c r="H10" s="4">
        <v>1440</v>
      </c>
      <c r="I10" s="1">
        <v>400</v>
      </c>
      <c r="J10" s="1">
        <v>32000</v>
      </c>
      <c r="K10" s="1">
        <v>72</v>
      </c>
      <c r="L10" s="1" t="s">
        <v>50</v>
      </c>
      <c r="M10" s="1"/>
      <c r="N10" s="1" t="s">
        <v>65</v>
      </c>
      <c r="O10" s="1">
        <v>2</v>
      </c>
      <c r="P10" s="1">
        <f t="shared" si="0"/>
        <v>3028.5</v>
      </c>
      <c r="Q10" s="4">
        <v>7</v>
      </c>
      <c r="R10" s="4">
        <v>2019</v>
      </c>
      <c r="S10" s="4">
        <f t="shared" si="1"/>
        <v>201.9</v>
      </c>
      <c r="T10" s="4">
        <v>3790</v>
      </c>
      <c r="U10" s="4">
        <v>500000</v>
      </c>
      <c r="V10" s="4">
        <v>1440</v>
      </c>
      <c r="W10" s="7">
        <v>32000</v>
      </c>
      <c r="X10" s="7">
        <v>72</v>
      </c>
      <c r="Y10" s="2" t="s">
        <v>66</v>
      </c>
      <c r="Z10" s="2" t="s">
        <v>67</v>
      </c>
      <c r="AA10" s="2" t="s">
        <v>68</v>
      </c>
      <c r="AB10" s="2" t="s">
        <v>69</v>
      </c>
      <c r="AC10" s="2" t="s">
        <v>70</v>
      </c>
      <c r="AD10" s="2" t="s">
        <v>71</v>
      </c>
    </row>
    <row r="11" spans="1:33">
      <c r="A11" s="1">
        <v>8</v>
      </c>
      <c r="B11" s="1" t="s">
        <v>72</v>
      </c>
      <c r="C11" s="1">
        <v>4</v>
      </c>
      <c r="D11" s="1">
        <v>1</v>
      </c>
      <c r="E11" s="1">
        <v>1620</v>
      </c>
      <c r="F11" s="1">
        <v>2</v>
      </c>
      <c r="G11" s="4">
        <v>1200000</v>
      </c>
      <c r="H11" s="4">
        <v>1800</v>
      </c>
      <c r="I11" s="1">
        <v>800</v>
      </c>
      <c r="J11" s="1">
        <v>50000</v>
      </c>
      <c r="K11" s="1">
        <v>86</v>
      </c>
      <c r="L11" s="1" t="s">
        <v>73</v>
      </c>
      <c r="M11" s="1"/>
      <c r="N11" s="1" t="s">
        <v>74</v>
      </c>
      <c r="O11" s="1">
        <v>2</v>
      </c>
      <c r="P11" s="1">
        <f t="shared" si="0"/>
        <v>3819</v>
      </c>
      <c r="Q11" s="4">
        <v>8</v>
      </c>
      <c r="R11" s="4">
        <v>2546</v>
      </c>
      <c r="S11" s="4">
        <f t="shared" si="1"/>
        <v>254.6</v>
      </c>
      <c r="T11" s="4">
        <v>4910</v>
      </c>
      <c r="U11" s="4">
        <v>1200000</v>
      </c>
      <c r="V11" s="4">
        <v>1800</v>
      </c>
      <c r="W11" s="7">
        <v>50000</v>
      </c>
      <c r="X11" s="7">
        <v>86</v>
      </c>
      <c r="Y11" s="2" t="s">
        <v>75</v>
      </c>
      <c r="Z11" s="2" t="s">
        <v>76</v>
      </c>
      <c r="AA11" s="2" t="s">
        <v>77</v>
      </c>
      <c r="AB11" s="2" t="s">
        <v>78</v>
      </c>
      <c r="AC11" s="2" t="s">
        <v>79</v>
      </c>
      <c r="AD11" s="2" t="s">
        <v>80</v>
      </c>
      <c r="AG11" s="2" t="s">
        <v>81</v>
      </c>
    </row>
    <row r="12" spans="1:33">
      <c r="A12" s="1">
        <v>9</v>
      </c>
      <c r="B12" s="1" t="s">
        <v>72</v>
      </c>
      <c r="C12" s="1">
        <v>4</v>
      </c>
      <c r="D12" s="1">
        <v>2</v>
      </c>
      <c r="E12" s="1">
        <v>2046</v>
      </c>
      <c r="F12" s="1">
        <v>2</v>
      </c>
      <c r="G12" s="4">
        <v>1800000</v>
      </c>
      <c r="H12" s="4">
        <v>2160</v>
      </c>
      <c r="I12" s="1">
        <v>800</v>
      </c>
      <c r="J12" s="1">
        <v>120000</v>
      </c>
      <c r="K12" s="1">
        <v>108</v>
      </c>
      <c r="L12" s="1" t="s">
        <v>73</v>
      </c>
      <c r="M12" s="4"/>
      <c r="N12" s="1" t="s">
        <v>82</v>
      </c>
      <c r="O12" s="1">
        <v>2</v>
      </c>
      <c r="P12" s="1">
        <f t="shared" si="0"/>
        <v>4159.5</v>
      </c>
      <c r="Q12" s="4">
        <v>9</v>
      </c>
      <c r="R12" s="4">
        <v>2773</v>
      </c>
      <c r="S12" s="4">
        <f t="shared" si="1"/>
        <v>277.3</v>
      </c>
      <c r="T12" s="4">
        <v>5630</v>
      </c>
      <c r="U12" s="4">
        <v>1800000</v>
      </c>
      <c r="V12" s="4">
        <v>2160</v>
      </c>
      <c r="W12" s="7">
        <v>120000</v>
      </c>
      <c r="X12" s="7">
        <v>108</v>
      </c>
      <c r="Y12" s="2" t="s">
        <v>83</v>
      </c>
      <c r="Z12" s="2" t="s">
        <v>84</v>
      </c>
      <c r="AA12" s="2" t="s">
        <v>85</v>
      </c>
      <c r="AB12" s="2" t="s">
        <v>86</v>
      </c>
      <c r="AC12" s="2" t="s">
        <v>87</v>
      </c>
      <c r="AD12" s="2" t="s">
        <v>88</v>
      </c>
      <c r="AE12" s="2" t="s">
        <v>89</v>
      </c>
      <c r="AG12" s="2" t="s">
        <v>90</v>
      </c>
    </row>
    <row r="13" spans="1:33">
      <c r="A13" s="1">
        <v>10</v>
      </c>
      <c r="B13" s="1" t="s">
        <v>72</v>
      </c>
      <c r="C13" s="1">
        <v>4</v>
      </c>
      <c r="D13" s="1">
        <v>3</v>
      </c>
      <c r="E13" s="1">
        <v>2730</v>
      </c>
      <c r="F13" s="1">
        <v>2</v>
      </c>
      <c r="G13" s="4">
        <v>2400000</v>
      </c>
      <c r="H13" s="4">
        <v>4320</v>
      </c>
      <c r="I13" s="1">
        <v>800</v>
      </c>
      <c r="J13" s="1">
        <v>180000</v>
      </c>
      <c r="K13" s="1">
        <v>129</v>
      </c>
      <c r="L13" s="1" t="s">
        <v>73</v>
      </c>
      <c r="M13" s="4"/>
      <c r="N13" s="1" t="s">
        <v>91</v>
      </c>
      <c r="O13" s="1">
        <v>2</v>
      </c>
      <c r="P13" s="1">
        <f t="shared" si="0"/>
        <v>4501.5</v>
      </c>
      <c r="Q13" s="4">
        <v>10</v>
      </c>
      <c r="R13" s="4">
        <v>3001</v>
      </c>
      <c r="S13" s="4">
        <f t="shared" si="1"/>
        <v>300.1</v>
      </c>
      <c r="T13" s="4">
        <v>6370</v>
      </c>
      <c r="U13" s="4">
        <v>2500000</v>
      </c>
      <c r="V13" s="4">
        <v>4320</v>
      </c>
      <c r="W13" s="7">
        <v>180000</v>
      </c>
      <c r="X13" s="7">
        <v>129</v>
      </c>
      <c r="Y13" s="2" t="s">
        <v>92</v>
      </c>
      <c r="Z13" s="2" t="s">
        <v>93</v>
      </c>
      <c r="AA13" s="2" t="s">
        <v>94</v>
      </c>
      <c r="AB13" s="2" t="s">
        <v>95</v>
      </c>
      <c r="AC13" s="2" t="s">
        <v>96</v>
      </c>
      <c r="AD13" s="2" t="s">
        <v>97</v>
      </c>
      <c r="AE13" s="2" t="s">
        <v>98</v>
      </c>
      <c r="AG13" s="2" t="s">
        <v>99</v>
      </c>
    </row>
    <row r="14" spans="1:36">
      <c r="A14" s="1">
        <v>11</v>
      </c>
      <c r="B14" s="1" t="s">
        <v>72</v>
      </c>
      <c r="C14" s="1">
        <v>4</v>
      </c>
      <c r="D14" s="1">
        <v>4</v>
      </c>
      <c r="E14" s="1">
        <v>3150</v>
      </c>
      <c r="F14" s="1">
        <v>2</v>
      </c>
      <c r="G14" s="4">
        <v>3000000</v>
      </c>
      <c r="H14" s="4">
        <v>5040</v>
      </c>
      <c r="I14" s="1">
        <v>800</v>
      </c>
      <c r="J14" s="1">
        <v>250000</v>
      </c>
      <c r="K14" s="1">
        <v>259</v>
      </c>
      <c r="L14" s="1" t="s">
        <v>100</v>
      </c>
      <c r="M14" s="4"/>
      <c r="N14" s="1" t="s">
        <v>101</v>
      </c>
      <c r="O14" s="1">
        <v>2</v>
      </c>
      <c r="P14" s="1">
        <f t="shared" si="0"/>
        <v>4843.5</v>
      </c>
      <c r="Q14" s="4">
        <v>11</v>
      </c>
      <c r="R14" s="4">
        <v>3229</v>
      </c>
      <c r="S14" s="4">
        <f t="shared" si="1"/>
        <v>322.9</v>
      </c>
      <c r="T14" s="4">
        <v>7520</v>
      </c>
      <c r="U14" s="4">
        <v>6000000</v>
      </c>
      <c r="V14" s="4">
        <v>5040</v>
      </c>
      <c r="W14" s="1">
        <v>250000</v>
      </c>
      <c r="X14" s="1">
        <v>259</v>
      </c>
      <c r="Y14" s="2" t="s">
        <v>102</v>
      </c>
      <c r="Z14" s="2" t="s">
        <v>103</v>
      </c>
      <c r="AA14" s="2" t="s">
        <v>104</v>
      </c>
      <c r="AB14" s="2" t="s">
        <v>105</v>
      </c>
      <c r="AC14" s="2" t="s">
        <v>106</v>
      </c>
      <c r="AD14" s="2" t="s">
        <v>107</v>
      </c>
      <c r="AE14" s="2" t="s">
        <v>108</v>
      </c>
      <c r="AG14" s="2" t="s">
        <v>109</v>
      </c>
      <c r="AH14" s="2" t="s">
        <v>110</v>
      </c>
      <c r="AI14" s="2" t="s">
        <v>111</v>
      </c>
      <c r="AJ14" s="2" t="s">
        <v>112</v>
      </c>
    </row>
    <row r="15" spans="1:32">
      <c r="A15" s="1">
        <v>12</v>
      </c>
      <c r="B15" s="1" t="s">
        <v>113</v>
      </c>
      <c r="C15" s="1">
        <v>5</v>
      </c>
      <c r="D15" s="1">
        <v>1</v>
      </c>
      <c r="E15" s="1">
        <v>3465</v>
      </c>
      <c r="F15" s="1">
        <v>2</v>
      </c>
      <c r="G15" s="4">
        <v>5000000</v>
      </c>
      <c r="H15" s="4">
        <v>5760</v>
      </c>
      <c r="I15" s="1">
        <v>800</v>
      </c>
      <c r="J15" s="1">
        <v>600000</v>
      </c>
      <c r="K15" s="1">
        <v>302</v>
      </c>
      <c r="L15" s="1" t="s">
        <v>100</v>
      </c>
      <c r="M15" s="4"/>
      <c r="N15" s="1" t="s">
        <v>114</v>
      </c>
      <c r="O15" s="1">
        <v>3</v>
      </c>
      <c r="P15" s="1">
        <f t="shared" si="0"/>
        <v>7380</v>
      </c>
      <c r="Q15" s="4">
        <v>12</v>
      </c>
      <c r="R15" s="4">
        <v>3690</v>
      </c>
      <c r="S15" s="4">
        <f t="shared" si="1"/>
        <v>369</v>
      </c>
      <c r="T15" s="4"/>
      <c r="U15" s="4">
        <v>9000000</v>
      </c>
      <c r="V15" s="4">
        <v>5760</v>
      </c>
      <c r="W15" s="1">
        <v>600000</v>
      </c>
      <c r="X15" s="1">
        <v>302</v>
      </c>
      <c r="Y15" s="2" t="s">
        <v>115</v>
      </c>
      <c r="AC15" s="2" t="s">
        <v>116</v>
      </c>
      <c r="AF15" s="2" t="s">
        <v>117</v>
      </c>
    </row>
    <row r="16" spans="1:32">
      <c r="A16" s="1">
        <v>13</v>
      </c>
      <c r="B16" s="1" t="s">
        <v>113</v>
      </c>
      <c r="C16" s="1">
        <v>5</v>
      </c>
      <c r="D16" s="1">
        <v>2</v>
      </c>
      <c r="E16" s="1">
        <v>3927</v>
      </c>
      <c r="F16" s="1">
        <v>2</v>
      </c>
      <c r="G16" s="4">
        <v>5000000</v>
      </c>
      <c r="H16" s="4">
        <v>6480</v>
      </c>
      <c r="I16" s="1">
        <v>800</v>
      </c>
      <c r="J16" s="1">
        <v>900000</v>
      </c>
      <c r="K16" s="1">
        <v>345</v>
      </c>
      <c r="L16" s="1" t="s">
        <v>100</v>
      </c>
      <c r="M16" s="4"/>
      <c r="N16" s="1" t="s">
        <v>118</v>
      </c>
      <c r="O16" s="1">
        <v>3</v>
      </c>
      <c r="P16" s="1">
        <f t="shared" si="0"/>
        <v>8040</v>
      </c>
      <c r="Q16" s="4">
        <v>13</v>
      </c>
      <c r="R16" s="4">
        <v>4020</v>
      </c>
      <c r="S16" s="4">
        <f t="shared" si="1"/>
        <v>402</v>
      </c>
      <c r="T16" s="4"/>
      <c r="U16" s="4">
        <v>12000000</v>
      </c>
      <c r="V16" s="4">
        <v>6480</v>
      </c>
      <c r="W16" s="1">
        <v>900000</v>
      </c>
      <c r="X16" s="1">
        <v>345</v>
      </c>
      <c r="Y16" s="2" t="s">
        <v>119</v>
      </c>
      <c r="AC16" s="2" t="s">
        <v>120</v>
      </c>
      <c r="AF16" s="2" t="s">
        <v>121</v>
      </c>
    </row>
    <row r="17" spans="1:29">
      <c r="A17" s="1">
        <v>14</v>
      </c>
      <c r="B17" s="1" t="s">
        <v>113</v>
      </c>
      <c r="C17" s="1">
        <v>5</v>
      </c>
      <c r="D17" s="1">
        <v>3</v>
      </c>
      <c r="E17" s="1">
        <v>4284</v>
      </c>
      <c r="F17" s="1">
        <v>2</v>
      </c>
      <c r="G17" s="4">
        <v>11000000</v>
      </c>
      <c r="H17">
        <v>8640</v>
      </c>
      <c r="I17" s="1">
        <v>800</v>
      </c>
      <c r="J17" s="1">
        <v>1200000</v>
      </c>
      <c r="K17" s="1">
        <v>388</v>
      </c>
      <c r="L17" s="1" t="s">
        <v>100</v>
      </c>
      <c r="M17" s="4"/>
      <c r="N17" s="1" t="s">
        <v>122</v>
      </c>
      <c r="O17" s="1">
        <v>3</v>
      </c>
      <c r="P17" s="1">
        <f t="shared" si="0"/>
        <v>8700</v>
      </c>
      <c r="Q17" s="4">
        <v>14</v>
      </c>
      <c r="R17" s="4">
        <v>4350</v>
      </c>
      <c r="S17" s="4">
        <f t="shared" si="1"/>
        <v>435</v>
      </c>
      <c r="U17">
        <v>15000000</v>
      </c>
      <c r="V17">
        <v>8640</v>
      </c>
      <c r="W17">
        <v>1200000</v>
      </c>
      <c r="X17">
        <v>388</v>
      </c>
      <c r="AC17" s="2" t="s">
        <v>123</v>
      </c>
    </row>
    <row r="18" spans="1:29">
      <c r="A18" s="1">
        <v>15</v>
      </c>
      <c r="B18" s="1" t="s">
        <v>113</v>
      </c>
      <c r="C18" s="1">
        <v>5</v>
      </c>
      <c r="D18" s="1">
        <v>4</v>
      </c>
      <c r="E18" s="1">
        <v>4788</v>
      </c>
      <c r="F18" s="1">
        <v>3</v>
      </c>
      <c r="G18" s="4">
        <v>14000000</v>
      </c>
      <c r="H18" s="4">
        <v>10080</v>
      </c>
      <c r="I18" s="1">
        <v>800</v>
      </c>
      <c r="J18" s="1">
        <v>1500000</v>
      </c>
      <c r="K18" s="1">
        <v>446</v>
      </c>
      <c r="L18" s="1" t="s">
        <v>124</v>
      </c>
      <c r="N18" s="1" t="s">
        <v>125</v>
      </c>
      <c r="O18" s="1">
        <v>3</v>
      </c>
      <c r="P18" s="1">
        <f t="shared" si="0"/>
        <v>9360</v>
      </c>
      <c r="Q18" s="4">
        <v>15</v>
      </c>
      <c r="R18" s="4">
        <v>4680</v>
      </c>
      <c r="S18" s="4">
        <f t="shared" si="1"/>
        <v>468</v>
      </c>
      <c r="U18" s="4">
        <v>20000000</v>
      </c>
      <c r="V18" s="4">
        <v>10080</v>
      </c>
      <c r="W18" s="1">
        <v>1500000</v>
      </c>
      <c r="X18" s="1">
        <f>X17+58</f>
        <v>446</v>
      </c>
      <c r="AC18" s="2" t="s">
        <v>126</v>
      </c>
    </row>
    <row r="19" spans="1:24">
      <c r="A19" s="1">
        <v>16</v>
      </c>
      <c r="B19" s="1" t="s">
        <v>113</v>
      </c>
      <c r="C19" s="1">
        <v>5</v>
      </c>
      <c r="D19" s="1">
        <v>5</v>
      </c>
      <c r="E19" s="1">
        <v>5187</v>
      </c>
      <c r="F19" s="1">
        <v>3</v>
      </c>
      <c r="G19" s="4">
        <v>17000000</v>
      </c>
      <c r="H19" s="4">
        <v>11520</v>
      </c>
      <c r="I19" s="1">
        <v>800</v>
      </c>
      <c r="J19" s="1">
        <v>2000000</v>
      </c>
      <c r="K19" s="1">
        <v>504</v>
      </c>
      <c r="L19" s="1" t="s">
        <v>124</v>
      </c>
      <c r="N19" s="1" t="s">
        <v>127</v>
      </c>
      <c r="O19" s="1">
        <v>3</v>
      </c>
      <c r="P19" s="1">
        <f t="shared" si="0"/>
        <v>10020</v>
      </c>
      <c r="Q19" s="4">
        <v>16</v>
      </c>
      <c r="R19" s="4">
        <v>5010</v>
      </c>
      <c r="S19" s="4">
        <f t="shared" si="1"/>
        <v>501</v>
      </c>
      <c r="U19" s="4">
        <v>24000000</v>
      </c>
      <c r="V19" s="4">
        <v>11520</v>
      </c>
      <c r="W19">
        <v>2000000</v>
      </c>
      <c r="X19" s="1">
        <f t="shared" ref="X19:X20" si="2">X18+58</f>
        <v>504</v>
      </c>
    </row>
    <row r="20" spans="1:24">
      <c r="A20" s="1">
        <v>17</v>
      </c>
      <c r="B20" s="1" t="s">
        <v>128</v>
      </c>
      <c r="C20" s="1">
        <v>6</v>
      </c>
      <c r="D20" s="1">
        <v>1</v>
      </c>
      <c r="E20" s="1">
        <v>5733</v>
      </c>
      <c r="F20" s="1">
        <v>3</v>
      </c>
      <c r="G20" s="4">
        <v>20000000</v>
      </c>
      <c r="H20" s="4">
        <v>12960</v>
      </c>
      <c r="I20" s="1">
        <v>800</v>
      </c>
      <c r="J20" s="1">
        <v>2400000</v>
      </c>
      <c r="K20" s="1">
        <v>562</v>
      </c>
      <c r="L20" s="1" t="s">
        <v>124</v>
      </c>
      <c r="N20" s="1" t="s">
        <v>129</v>
      </c>
      <c r="O20" s="1">
        <v>3</v>
      </c>
      <c r="P20" s="1">
        <f t="shared" si="0"/>
        <v>12024</v>
      </c>
      <c r="Q20" s="4">
        <v>17</v>
      </c>
      <c r="R20" s="4">
        <v>6012</v>
      </c>
      <c r="S20" s="4">
        <f t="shared" si="1"/>
        <v>601.2</v>
      </c>
      <c r="U20" s="4">
        <v>28000000</v>
      </c>
      <c r="V20" s="4">
        <v>12960</v>
      </c>
      <c r="W20" s="1">
        <v>2400000</v>
      </c>
      <c r="X20" s="1">
        <f t="shared" si="2"/>
        <v>562</v>
      </c>
    </row>
    <row r="21" spans="30:31">
      <c r="AD21">
        <f>340</f>
        <v>340</v>
      </c>
      <c r="AE21">
        <v>0.01</v>
      </c>
    </row>
    <row r="22" spans="20:32">
      <c r="T22" s="2" t="s">
        <v>19</v>
      </c>
      <c r="U22" s="2" t="s">
        <v>130</v>
      </c>
      <c r="V22" s="2" t="s">
        <v>131</v>
      </c>
      <c r="W22" s="2" t="s">
        <v>132</v>
      </c>
      <c r="X22" s="2" t="s">
        <v>133</v>
      </c>
      <c r="Y22" s="2" t="s">
        <v>134</v>
      </c>
      <c r="Z22" s="2" t="s">
        <v>135</v>
      </c>
      <c r="AA22" s="2" t="s">
        <v>136</v>
      </c>
      <c r="AD22">
        <v>40</v>
      </c>
      <c r="AE22">
        <v>0.01</v>
      </c>
      <c r="AF22" s="2"/>
    </row>
    <row r="23" spans="14:31">
      <c r="N23" s="2" t="s">
        <v>21</v>
      </c>
      <c r="O23">
        <v>1</v>
      </c>
      <c r="T23" s="1" t="s">
        <v>137</v>
      </c>
      <c r="U23">
        <v>1</v>
      </c>
      <c r="V23">
        <v>36</v>
      </c>
      <c r="W23">
        <f t="shared" ref="W23:W41" si="3">$V$23*X23</f>
        <v>36</v>
      </c>
      <c r="X23">
        <v>1</v>
      </c>
      <c r="Y23" s="4">
        <v>10000</v>
      </c>
      <c r="Z23">
        <f t="shared" ref="Z23:Z41" si="4">$Y$23*AA23</f>
        <v>10000</v>
      </c>
      <c r="AA23">
        <f t="shared" ref="AA23:AA36" si="5">Y23/$Y$23</f>
        <v>1</v>
      </c>
      <c r="AC23">
        <f>T4/R4</f>
        <v>20</v>
      </c>
      <c r="AD23">
        <f>880-450</f>
        <v>430</v>
      </c>
      <c r="AE23">
        <v>0.02</v>
      </c>
    </row>
    <row r="24" spans="14:31">
      <c r="N24" s="2" t="s">
        <v>138</v>
      </c>
      <c r="O24">
        <v>4e-5</v>
      </c>
      <c r="Q24">
        <f>P4*$O$27</f>
        <v>0.016</v>
      </c>
      <c r="T24" s="1" t="s">
        <v>139</v>
      </c>
      <c r="U24">
        <v>2</v>
      </c>
      <c r="V24">
        <v>108</v>
      </c>
      <c r="W24">
        <f t="shared" si="3"/>
        <v>108</v>
      </c>
      <c r="X24">
        <f t="shared" ref="X24:X34" si="6">V24/$V$23</f>
        <v>3</v>
      </c>
      <c r="Y24" s="4">
        <v>20000</v>
      </c>
      <c r="Z24">
        <f t="shared" si="4"/>
        <v>20000</v>
      </c>
      <c r="AA24">
        <f t="shared" si="5"/>
        <v>2</v>
      </c>
      <c r="AC24">
        <f>T5/R5</f>
        <v>0.00175746924428822</v>
      </c>
      <c r="AD24">
        <f>110-50</f>
        <v>60</v>
      </c>
      <c r="AE24">
        <f>0.02</f>
        <v>0.02</v>
      </c>
    </row>
    <row r="25" spans="14:31">
      <c r="N25" s="2" t="s">
        <v>31</v>
      </c>
      <c r="O25">
        <v>6e-5</v>
      </c>
      <c r="Q25">
        <f t="shared" ref="Q25:Q40" si="7">P5*$O$27</f>
        <v>0.02276</v>
      </c>
      <c r="T25" s="1" t="s">
        <v>140</v>
      </c>
      <c r="U25">
        <v>3</v>
      </c>
      <c r="V25">
        <v>180</v>
      </c>
      <c r="W25">
        <f t="shared" si="3"/>
        <v>180</v>
      </c>
      <c r="X25">
        <f t="shared" si="6"/>
        <v>5</v>
      </c>
      <c r="Y25" s="4">
        <v>40000</v>
      </c>
      <c r="Z25">
        <f t="shared" si="4"/>
        <v>40000</v>
      </c>
      <c r="AA25">
        <f t="shared" si="5"/>
        <v>4</v>
      </c>
      <c r="AC25">
        <f>T6/R6</f>
        <v>1.09316770186335</v>
      </c>
      <c r="AD25">
        <f>1120-600</f>
        <v>520</v>
      </c>
      <c r="AE25">
        <v>0.03</v>
      </c>
    </row>
    <row r="26" spans="14:31">
      <c r="N26" s="2" t="s">
        <v>141</v>
      </c>
      <c r="O26">
        <v>4e-5</v>
      </c>
      <c r="Q26">
        <f t="shared" si="7"/>
        <v>0.0322</v>
      </c>
      <c r="T26" s="1" t="s">
        <v>142</v>
      </c>
      <c r="U26">
        <v>4</v>
      </c>
      <c r="V26">
        <v>360</v>
      </c>
      <c r="W26">
        <f t="shared" si="3"/>
        <v>360</v>
      </c>
      <c r="X26">
        <f t="shared" si="6"/>
        <v>10</v>
      </c>
      <c r="Y26" s="4">
        <v>80000</v>
      </c>
      <c r="Z26">
        <f t="shared" si="4"/>
        <v>80000</v>
      </c>
      <c r="AA26">
        <f t="shared" si="5"/>
        <v>8</v>
      </c>
      <c r="AC26">
        <f>T7/R7</f>
        <v>1.07074569789675</v>
      </c>
      <c r="AD26">
        <f>150-70</f>
        <v>80</v>
      </c>
      <c r="AE26">
        <v>0.03</v>
      </c>
    </row>
    <row r="27" spans="14:31">
      <c r="N27" s="2" t="s">
        <v>143</v>
      </c>
      <c r="O27">
        <v>4e-5</v>
      </c>
      <c r="Q27">
        <f t="shared" si="7"/>
        <v>0.04184</v>
      </c>
      <c r="R27">
        <f>Q27/2</f>
        <v>0.02092</v>
      </c>
      <c r="T27" s="1" t="s">
        <v>144</v>
      </c>
      <c r="U27">
        <v>5</v>
      </c>
      <c r="V27">
        <v>540</v>
      </c>
      <c r="W27">
        <f t="shared" si="3"/>
        <v>540</v>
      </c>
      <c r="X27">
        <f t="shared" si="6"/>
        <v>15</v>
      </c>
      <c r="Y27" s="4">
        <v>160000</v>
      </c>
      <c r="Z27">
        <f t="shared" si="4"/>
        <v>160000</v>
      </c>
      <c r="AA27">
        <f t="shared" si="5"/>
        <v>16</v>
      </c>
      <c r="AE27">
        <v>0.05</v>
      </c>
    </row>
    <row r="28" spans="6:32">
      <c r="F28" s="5"/>
      <c r="N28" s="2" t="s">
        <v>145</v>
      </c>
      <c r="O28">
        <v>4e-5</v>
      </c>
      <c r="Q28">
        <f t="shared" si="7"/>
        <v>0.0879</v>
      </c>
      <c r="R28">
        <f t="shared" ref="R28:R37" si="8">Q28/2</f>
        <v>0.04395</v>
      </c>
      <c r="T28" s="1" t="s">
        <v>146</v>
      </c>
      <c r="U28">
        <v>6</v>
      </c>
      <c r="V28">
        <v>720</v>
      </c>
      <c r="W28">
        <f t="shared" si="3"/>
        <v>720</v>
      </c>
      <c r="X28">
        <f t="shared" si="6"/>
        <v>20</v>
      </c>
      <c r="Y28" s="4">
        <v>320000</v>
      </c>
      <c r="Z28">
        <f t="shared" si="4"/>
        <v>320000</v>
      </c>
      <c r="AA28">
        <f t="shared" si="5"/>
        <v>32</v>
      </c>
      <c r="AD28">
        <f>322-125</f>
        <v>197</v>
      </c>
      <c r="AE28">
        <v>0.05</v>
      </c>
      <c r="AF28">
        <f>AD28/4</f>
        <v>49.25</v>
      </c>
    </row>
    <row r="29" spans="14:32">
      <c r="N29" s="2" t="s">
        <v>147</v>
      </c>
      <c r="O29">
        <v>5e-5</v>
      </c>
      <c r="Q29">
        <f t="shared" si="7"/>
        <v>0.10926</v>
      </c>
      <c r="R29">
        <f t="shared" si="8"/>
        <v>0.05463</v>
      </c>
      <c r="T29" s="1" t="s">
        <v>148</v>
      </c>
      <c r="U29">
        <v>7</v>
      </c>
      <c r="V29">
        <v>1440</v>
      </c>
      <c r="W29">
        <f t="shared" si="3"/>
        <v>1440</v>
      </c>
      <c r="X29">
        <f t="shared" si="6"/>
        <v>40</v>
      </c>
      <c r="Y29" s="4">
        <v>500000</v>
      </c>
      <c r="Z29">
        <f t="shared" si="4"/>
        <v>500000</v>
      </c>
      <c r="AA29">
        <f t="shared" si="5"/>
        <v>50</v>
      </c>
      <c r="AD29">
        <f>410-155</f>
        <v>255</v>
      </c>
      <c r="AE29">
        <v>0.06</v>
      </c>
      <c r="AF29">
        <f>215/5</f>
        <v>43</v>
      </c>
    </row>
    <row r="30" spans="14:27">
      <c r="N30" s="2" t="s">
        <v>149</v>
      </c>
      <c r="O30">
        <v>3e-5</v>
      </c>
      <c r="Q30">
        <f t="shared" si="7"/>
        <v>0.12114</v>
      </c>
      <c r="R30">
        <f t="shared" si="8"/>
        <v>0.06057</v>
      </c>
      <c r="T30" s="1" t="s">
        <v>150</v>
      </c>
      <c r="U30">
        <v>8</v>
      </c>
      <c r="V30">
        <v>1800</v>
      </c>
      <c r="W30">
        <f t="shared" si="3"/>
        <v>1800</v>
      </c>
      <c r="X30">
        <f t="shared" si="6"/>
        <v>50</v>
      </c>
      <c r="Y30" s="4">
        <v>1200000</v>
      </c>
      <c r="Z30">
        <f t="shared" si="4"/>
        <v>1200000</v>
      </c>
      <c r="AA30">
        <f t="shared" si="5"/>
        <v>120</v>
      </c>
    </row>
    <row r="31" spans="14:27">
      <c r="N31" s="2" t="s">
        <v>151</v>
      </c>
      <c r="O31">
        <v>2.5e-5</v>
      </c>
      <c r="Q31">
        <f t="shared" si="7"/>
        <v>0.15276</v>
      </c>
      <c r="R31">
        <f t="shared" si="8"/>
        <v>0.07638</v>
      </c>
      <c r="T31" s="1" t="s">
        <v>152</v>
      </c>
      <c r="U31">
        <v>9</v>
      </c>
      <c r="V31">
        <v>2160</v>
      </c>
      <c r="W31">
        <f t="shared" si="3"/>
        <v>2160</v>
      </c>
      <c r="X31">
        <f t="shared" si="6"/>
        <v>60</v>
      </c>
      <c r="Y31" s="4">
        <v>1800000</v>
      </c>
      <c r="Z31">
        <f t="shared" si="4"/>
        <v>1800000</v>
      </c>
      <c r="AA31">
        <f t="shared" si="5"/>
        <v>180</v>
      </c>
    </row>
    <row r="32" spans="14:32">
      <c r="N32" s="2" t="s">
        <v>153</v>
      </c>
      <c r="O32">
        <v>4e-5</v>
      </c>
      <c r="Q32">
        <f t="shared" si="7"/>
        <v>0.16638</v>
      </c>
      <c r="R32">
        <f t="shared" si="8"/>
        <v>0.08319</v>
      </c>
      <c r="T32" s="1" t="s">
        <v>154</v>
      </c>
      <c r="U32">
        <v>10</v>
      </c>
      <c r="V32">
        <v>4320</v>
      </c>
      <c r="W32">
        <f t="shared" si="3"/>
        <v>4320</v>
      </c>
      <c r="X32">
        <f t="shared" si="6"/>
        <v>120</v>
      </c>
      <c r="Y32" s="4">
        <v>2500000</v>
      </c>
      <c r="Z32">
        <f t="shared" si="4"/>
        <v>2500000</v>
      </c>
      <c r="AA32">
        <f t="shared" si="5"/>
        <v>250</v>
      </c>
      <c r="AC32" s="2" t="s">
        <v>155</v>
      </c>
      <c r="AD32">
        <v>0.05</v>
      </c>
      <c r="AE32">
        <v>80</v>
      </c>
      <c r="AF32">
        <v>60</v>
      </c>
    </row>
    <row r="33" spans="17:31">
      <c r="Q33">
        <f t="shared" si="7"/>
        <v>0.18006</v>
      </c>
      <c r="R33">
        <f t="shared" si="8"/>
        <v>0.09003</v>
      </c>
      <c r="T33" s="1" t="s">
        <v>156</v>
      </c>
      <c r="U33">
        <v>11</v>
      </c>
      <c r="V33">
        <v>5040</v>
      </c>
      <c r="W33">
        <f t="shared" si="3"/>
        <v>5040</v>
      </c>
      <c r="X33">
        <f t="shared" si="6"/>
        <v>140</v>
      </c>
      <c r="Y33" s="4">
        <v>6000000</v>
      </c>
      <c r="Z33">
        <f t="shared" si="4"/>
        <v>6000000</v>
      </c>
      <c r="AA33">
        <f t="shared" si="5"/>
        <v>600</v>
      </c>
      <c r="AC33" s="2" t="s">
        <v>155</v>
      </c>
      <c r="AD33">
        <v>0.05</v>
      </c>
      <c r="AE33">
        <v>140</v>
      </c>
    </row>
    <row r="34" spans="17:31">
      <c r="Q34">
        <f t="shared" si="7"/>
        <v>0.19374</v>
      </c>
      <c r="R34">
        <f t="shared" si="8"/>
        <v>0.09687</v>
      </c>
      <c r="T34" s="1" t="s">
        <v>157</v>
      </c>
      <c r="U34">
        <v>12</v>
      </c>
      <c r="V34">
        <v>5760</v>
      </c>
      <c r="W34">
        <f t="shared" si="3"/>
        <v>5760</v>
      </c>
      <c r="X34">
        <f t="shared" si="6"/>
        <v>160</v>
      </c>
      <c r="Y34" s="4">
        <v>9000000</v>
      </c>
      <c r="Z34">
        <f t="shared" si="4"/>
        <v>9000000</v>
      </c>
      <c r="AA34">
        <f t="shared" si="5"/>
        <v>900</v>
      </c>
      <c r="AC34" s="2" t="s">
        <v>155</v>
      </c>
      <c r="AD34">
        <v>0.04</v>
      </c>
      <c r="AE34">
        <f>AD34*$AE$33/$AD$33</f>
        <v>112</v>
      </c>
    </row>
    <row r="35" spans="17:33">
      <c r="Q35">
        <f t="shared" si="7"/>
        <v>0.2952</v>
      </c>
      <c r="R35">
        <f t="shared" si="8"/>
        <v>0.1476</v>
      </c>
      <c r="T35" s="1" t="s">
        <v>158</v>
      </c>
      <c r="U35">
        <v>13</v>
      </c>
      <c r="W35">
        <f t="shared" si="3"/>
        <v>6480</v>
      </c>
      <c r="X35">
        <v>180</v>
      </c>
      <c r="Y35" s="4">
        <v>12000000</v>
      </c>
      <c r="Z35">
        <f t="shared" si="4"/>
        <v>12000000</v>
      </c>
      <c r="AA35">
        <f t="shared" si="5"/>
        <v>1200</v>
      </c>
      <c r="AC35" s="2" t="s">
        <v>155</v>
      </c>
      <c r="AD35">
        <v>0.06</v>
      </c>
      <c r="AE35">
        <f>AD35*$AE$33/$AD$33</f>
        <v>168</v>
      </c>
      <c r="AF35">
        <v>330</v>
      </c>
      <c r="AG35">
        <f>AE35+AF35</f>
        <v>498</v>
      </c>
    </row>
    <row r="36" spans="17:33">
      <c r="Q36">
        <f t="shared" si="7"/>
        <v>0.3216</v>
      </c>
      <c r="R36">
        <f t="shared" si="8"/>
        <v>0.1608</v>
      </c>
      <c r="T36" s="1" t="s">
        <v>159</v>
      </c>
      <c r="U36">
        <v>14</v>
      </c>
      <c r="V36">
        <v>8640</v>
      </c>
      <c r="W36">
        <f t="shared" si="3"/>
        <v>8640</v>
      </c>
      <c r="X36">
        <f>V36/$V$23</f>
        <v>240</v>
      </c>
      <c r="Y36">
        <v>15000000</v>
      </c>
      <c r="Z36">
        <f t="shared" si="4"/>
        <v>15000000</v>
      </c>
      <c r="AA36">
        <f t="shared" si="5"/>
        <v>1500</v>
      </c>
      <c r="AC36" s="2" t="s">
        <v>155</v>
      </c>
      <c r="AD36">
        <v>0.08</v>
      </c>
      <c r="AE36">
        <f t="shared" ref="AE36:AE42" si="9">AD36*$AE$33/$AD$33</f>
        <v>224</v>
      </c>
      <c r="AF36">
        <v>450</v>
      </c>
      <c r="AG36">
        <f>AE36+AF36</f>
        <v>674</v>
      </c>
    </row>
    <row r="37" spans="17:33">
      <c r="Q37">
        <f t="shared" si="7"/>
        <v>0.348</v>
      </c>
      <c r="R37">
        <f t="shared" si="8"/>
        <v>0.174</v>
      </c>
      <c r="T37" s="1" t="s">
        <v>160</v>
      </c>
      <c r="U37">
        <v>15</v>
      </c>
      <c r="W37">
        <f t="shared" si="3"/>
        <v>10080</v>
      </c>
      <c r="X37">
        <v>280</v>
      </c>
      <c r="Z37">
        <f t="shared" si="4"/>
        <v>20000000</v>
      </c>
      <c r="AA37">
        <v>2000</v>
      </c>
      <c r="AC37" s="2" t="s">
        <v>155</v>
      </c>
      <c r="AD37">
        <v>0.095</v>
      </c>
      <c r="AE37">
        <f t="shared" si="9"/>
        <v>266</v>
      </c>
      <c r="AF37">
        <v>500</v>
      </c>
      <c r="AG37">
        <f t="shared" ref="AG37:AG41" si="10">AE37+AF37</f>
        <v>766</v>
      </c>
    </row>
    <row r="38" spans="17:33">
      <c r="Q38">
        <f t="shared" si="7"/>
        <v>0.3744</v>
      </c>
      <c r="R38">
        <f>Q38/3</f>
        <v>0.1248</v>
      </c>
      <c r="T38" s="1" t="s">
        <v>161</v>
      </c>
      <c r="U38">
        <v>16</v>
      </c>
      <c r="W38">
        <f t="shared" si="3"/>
        <v>11520</v>
      </c>
      <c r="X38">
        <v>320</v>
      </c>
      <c r="Z38">
        <f t="shared" si="4"/>
        <v>24000000</v>
      </c>
      <c r="AA38">
        <v>2400</v>
      </c>
      <c r="AC38" s="2" t="s">
        <v>155</v>
      </c>
      <c r="AD38">
        <v>0.11</v>
      </c>
      <c r="AE38">
        <f t="shared" si="9"/>
        <v>308</v>
      </c>
      <c r="AF38">
        <v>560</v>
      </c>
      <c r="AG38">
        <f t="shared" si="10"/>
        <v>868</v>
      </c>
    </row>
    <row r="39" spans="17:33">
      <c r="Q39">
        <f t="shared" si="7"/>
        <v>0.4008</v>
      </c>
      <c r="R39">
        <f t="shared" ref="R39:R40" si="11">Q39/3</f>
        <v>0.1336</v>
      </c>
      <c r="T39" s="1" t="s">
        <v>162</v>
      </c>
      <c r="U39">
        <v>17</v>
      </c>
      <c r="W39">
        <f t="shared" si="3"/>
        <v>12960</v>
      </c>
      <c r="X39">
        <v>360</v>
      </c>
      <c r="Z39">
        <f t="shared" si="4"/>
        <v>28000000</v>
      </c>
      <c r="AA39">
        <v>2800</v>
      </c>
      <c r="AC39" s="2" t="s">
        <v>155</v>
      </c>
      <c r="AD39">
        <v>0.135</v>
      </c>
      <c r="AE39">
        <f t="shared" si="9"/>
        <v>378</v>
      </c>
      <c r="AF39">
        <v>640</v>
      </c>
      <c r="AG39">
        <f t="shared" si="10"/>
        <v>1018</v>
      </c>
    </row>
    <row r="40" spans="17:33">
      <c r="Q40">
        <f t="shared" si="7"/>
        <v>0.48096</v>
      </c>
      <c r="R40">
        <f t="shared" si="11"/>
        <v>0.16032</v>
      </c>
      <c r="T40" s="1" t="s">
        <v>163</v>
      </c>
      <c r="U40">
        <v>18</v>
      </c>
      <c r="W40">
        <f t="shared" si="3"/>
        <v>14400</v>
      </c>
      <c r="X40">
        <v>400</v>
      </c>
      <c r="Z40">
        <f t="shared" si="4"/>
        <v>32000000</v>
      </c>
      <c r="AA40">
        <v>3200</v>
      </c>
      <c r="AC40" s="2" t="s">
        <v>155</v>
      </c>
      <c r="AD40">
        <v>0.15</v>
      </c>
      <c r="AE40">
        <f t="shared" si="9"/>
        <v>420</v>
      </c>
      <c r="AF40">
        <v>720</v>
      </c>
      <c r="AG40">
        <f t="shared" si="10"/>
        <v>1140</v>
      </c>
    </row>
    <row r="41" spans="20:33">
      <c r="T41" s="1" t="s">
        <v>164</v>
      </c>
      <c r="U41">
        <v>19</v>
      </c>
      <c r="W41">
        <f t="shared" si="3"/>
        <v>18000</v>
      </c>
      <c r="X41">
        <v>500</v>
      </c>
      <c r="Z41">
        <f t="shared" si="4"/>
        <v>40000000</v>
      </c>
      <c r="AA41">
        <v>4000</v>
      </c>
      <c r="AC41" s="2" t="s">
        <v>155</v>
      </c>
      <c r="AD41">
        <v>0.165</v>
      </c>
      <c r="AE41">
        <f t="shared" si="9"/>
        <v>462</v>
      </c>
      <c r="AF41">
        <v>800</v>
      </c>
      <c r="AG41">
        <f t="shared" si="10"/>
        <v>1262</v>
      </c>
    </row>
    <row r="42" spans="29:31">
      <c r="AC42" s="2" t="s">
        <v>155</v>
      </c>
      <c r="AD42">
        <v>0.01</v>
      </c>
      <c r="AE42">
        <f t="shared" si="9"/>
        <v>28</v>
      </c>
    </row>
    <row r="44" spans="29:33">
      <c r="AC44" s="2" t="s">
        <v>165</v>
      </c>
      <c r="AD44">
        <v>0.07</v>
      </c>
      <c r="AE44">
        <f>2560-1480</f>
        <v>1080</v>
      </c>
      <c r="AF44">
        <v>1480</v>
      </c>
      <c r="AG44">
        <f>AE44+AF44</f>
        <v>2560</v>
      </c>
    </row>
    <row r="45" spans="30:33">
      <c r="AD45">
        <v>0.01</v>
      </c>
      <c r="AE45">
        <f>AD45*$AE$44/$AD$44</f>
        <v>154.285714285714</v>
      </c>
      <c r="AG45">
        <f>AE45+AF46</f>
        <v>2114.28571428571</v>
      </c>
    </row>
    <row r="46" spans="30:33">
      <c r="AD46">
        <v>0.08</v>
      </c>
      <c r="AE46">
        <f>150*AD46/$AD$45</f>
        <v>1200</v>
      </c>
      <c r="AF46">
        <v>1960</v>
      </c>
      <c r="AG46">
        <f t="shared" ref="AG46:AG51" si="12">AE46+AF46</f>
        <v>3160</v>
      </c>
    </row>
    <row r="47" spans="25:33">
      <c r="Y47" s="2" t="s">
        <v>166</v>
      </c>
      <c r="AD47">
        <v>0.09</v>
      </c>
      <c r="AE47">
        <f t="shared" ref="AE47:AE51" si="13">150*AD47/$AD$45</f>
        <v>1350</v>
      </c>
      <c r="AF47">
        <v>2440</v>
      </c>
      <c r="AG47">
        <f t="shared" si="12"/>
        <v>3790</v>
      </c>
    </row>
    <row r="48" spans="25:33">
      <c r="Y48" s="2" t="s">
        <v>167</v>
      </c>
      <c r="AD48">
        <v>0.11</v>
      </c>
      <c r="AE48">
        <f t="shared" si="13"/>
        <v>1650</v>
      </c>
      <c r="AF48">
        <v>3260</v>
      </c>
      <c r="AG48">
        <f t="shared" si="12"/>
        <v>4910</v>
      </c>
    </row>
    <row r="49" spans="30:33">
      <c r="AD49">
        <v>0.13</v>
      </c>
      <c r="AE49">
        <f t="shared" si="13"/>
        <v>1950</v>
      </c>
      <c r="AF49">
        <v>3680</v>
      </c>
      <c r="AG49">
        <f t="shared" si="12"/>
        <v>5630</v>
      </c>
    </row>
    <row r="50" spans="21:33">
      <c r="U50">
        <f>14000*0.004</f>
        <v>56</v>
      </c>
      <c r="W50" s="2" t="s">
        <v>168</v>
      </c>
      <c r="AD50">
        <v>0.15</v>
      </c>
      <c r="AE50">
        <f t="shared" si="13"/>
        <v>2250</v>
      </c>
      <c r="AF50">
        <v>4120</v>
      </c>
      <c r="AG50">
        <f t="shared" si="12"/>
        <v>6370</v>
      </c>
    </row>
    <row r="51" spans="30:33">
      <c r="AD51">
        <v>0.18</v>
      </c>
      <c r="AE51">
        <f t="shared" si="13"/>
        <v>2700</v>
      </c>
      <c r="AF51">
        <v>4820</v>
      </c>
      <c r="AG51">
        <f t="shared" si="12"/>
        <v>7520</v>
      </c>
    </row>
    <row r="53" spans="25:29">
      <c r="Y53" s="2" t="s">
        <v>143</v>
      </c>
      <c r="Z53" s="2" t="s">
        <v>169</v>
      </c>
      <c r="AA53" s="2" t="s">
        <v>170</v>
      </c>
      <c r="AB53" s="2" t="s">
        <v>171</v>
      </c>
      <c r="AC53" s="2" t="s">
        <v>172</v>
      </c>
    </row>
    <row r="54" spans="26:29">
      <c r="Z54" s="2" t="s">
        <v>173</v>
      </c>
      <c r="AA54" s="2" t="s">
        <v>174</v>
      </c>
      <c r="AB54" s="2" t="s">
        <v>175</v>
      </c>
      <c r="AC54" s="2" t="s">
        <v>176</v>
      </c>
    </row>
    <row r="55" spans="24:29">
      <c r="X55" s="9" t="s">
        <v>177</v>
      </c>
      <c r="Y55" s="2" t="s">
        <v>178</v>
      </c>
      <c r="Z55" s="2" t="s">
        <v>179</v>
      </c>
      <c r="AA55" s="2" t="s">
        <v>180</v>
      </c>
      <c r="AB55" s="2" t="s">
        <v>181</v>
      </c>
      <c r="AC55" s="2" t="s">
        <v>182</v>
      </c>
    </row>
    <row r="56" spans="25:29">
      <c r="Y56" s="2" t="s">
        <v>183</v>
      </c>
      <c r="Z56" s="2" t="s">
        <v>184</v>
      </c>
      <c r="AA56" s="3">
        <f>(2-1.5)</f>
        <v>0.5</v>
      </c>
      <c r="AB56" s="10">
        <v>0.05</v>
      </c>
      <c r="AC56" s="11">
        <f>2-(AA56+AB56)</f>
        <v>1.45</v>
      </c>
    </row>
    <row r="58" spans="23:29">
      <c r="W58" s="9" t="s">
        <v>185</v>
      </c>
      <c r="X58" s="9" t="s">
        <v>186</v>
      </c>
      <c r="AA58" s="2" t="s">
        <v>179</v>
      </c>
      <c r="AC58" s="2" t="s">
        <v>187</v>
      </c>
    </row>
    <row r="59" spans="26:29">
      <c r="Z59" s="2" t="s">
        <v>175</v>
      </c>
      <c r="AA59">
        <v>1.2</v>
      </c>
      <c r="AB59" s="10">
        <v>0.18</v>
      </c>
      <c r="AC59">
        <f>AA59*(1-AB59)</f>
        <v>0.984</v>
      </c>
    </row>
    <row r="61" spans="26:26">
      <c r="Z61" s="12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I63"/>
  <sheetViews>
    <sheetView workbookViewId="0">
      <selection activeCell="I35" sqref="I35"/>
    </sheetView>
  </sheetViews>
  <sheetFormatPr defaultColWidth="9" defaultRowHeight="14.4"/>
  <cols>
    <col min="1" max="1" width="10.6296296296296" customWidth="1"/>
    <col min="2" max="2" width="12.25" customWidth="1"/>
    <col min="3" max="3" width="8.5" customWidth="1"/>
    <col min="4" max="5" width="6.5" customWidth="1"/>
    <col min="6" max="6" width="13.25" customWidth="1"/>
    <col min="7" max="7" width="15" customWidth="1"/>
    <col min="8" max="8" width="13.8796296296296" customWidth="1"/>
    <col min="9" max="9" width="17.25" customWidth="1"/>
    <col min="10" max="10" width="15" customWidth="1"/>
    <col min="11" max="11" width="13.8796296296296" customWidth="1"/>
    <col min="12" max="14" width="11.6296296296296" customWidth="1"/>
    <col min="15" max="15" width="9.5" customWidth="1"/>
    <col min="16" max="16" width="13.1296296296296" customWidth="1"/>
    <col min="20" max="20" width="9.5" customWidth="1"/>
    <col min="23" max="23" width="14.1296296296296" customWidth="1"/>
    <col min="24" max="24" width="19.8796296296296" customWidth="1"/>
    <col min="25" max="25" width="16.5" customWidth="1"/>
    <col min="26" max="26" width="14.3796296296296" customWidth="1"/>
    <col min="27" max="27" width="13.5" customWidth="1"/>
    <col min="28" max="28" width="26.1296296296296" customWidth="1"/>
    <col min="29" max="29" width="16.5" customWidth="1"/>
    <col min="30" max="30" width="20.6296296296296" customWidth="1"/>
    <col min="31" max="31" width="28.25" customWidth="1"/>
    <col min="32" max="32" width="22.8796296296296" customWidth="1"/>
    <col min="33" max="33" width="13.3796296296296" customWidth="1"/>
    <col min="34" max="34" width="23" customWidth="1"/>
  </cols>
  <sheetData>
    <row r="1" spans="1:22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/>
      <c r="N1" s="1"/>
      <c r="O1" s="4"/>
      <c r="P1" s="4"/>
      <c r="Q1" s="4"/>
      <c r="R1" s="4"/>
      <c r="S1" s="4"/>
      <c r="T1" s="4"/>
      <c r="U1" s="4"/>
      <c r="V1" s="8"/>
    </row>
    <row r="2" spans="1:22">
      <c r="A2" s="1" t="s">
        <v>12</v>
      </c>
      <c r="B2" s="1" t="s">
        <v>13</v>
      </c>
      <c r="C2" s="1" t="s">
        <v>14</v>
      </c>
      <c r="D2" s="1" t="s">
        <v>14</v>
      </c>
      <c r="E2" s="1" t="s">
        <v>14</v>
      </c>
      <c r="F2" s="1" t="s">
        <v>14</v>
      </c>
      <c r="G2" s="1" t="s">
        <v>14</v>
      </c>
      <c r="H2" s="1" t="s">
        <v>14</v>
      </c>
      <c r="I2" s="1" t="s">
        <v>14</v>
      </c>
      <c r="J2" s="1" t="s">
        <v>14</v>
      </c>
      <c r="K2" s="1" t="s">
        <v>15</v>
      </c>
      <c r="L2" s="1" t="s">
        <v>16</v>
      </c>
      <c r="M2" s="1"/>
      <c r="N2" s="1"/>
      <c r="O2" s="1"/>
      <c r="P2" s="6"/>
      <c r="Q2" s="6"/>
      <c r="R2" s="6"/>
      <c r="S2" s="6"/>
      <c r="T2" s="6"/>
      <c r="U2" s="6"/>
      <c r="V2" s="6"/>
    </row>
    <row r="3" spans="1:24">
      <c r="A3" s="2" t="s">
        <v>17</v>
      </c>
      <c r="B3" s="1" t="s">
        <v>18</v>
      </c>
      <c r="C3" s="1" t="s">
        <v>19</v>
      </c>
      <c r="D3" s="1" t="s">
        <v>20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 t="s">
        <v>28</v>
      </c>
      <c r="M3" s="1"/>
      <c r="N3" s="1"/>
      <c r="O3" s="1"/>
      <c r="P3" s="7"/>
      <c r="Q3" s="4" t="s">
        <v>155</v>
      </c>
      <c r="R3" s="7" t="s">
        <v>188</v>
      </c>
      <c r="S3" s="7" t="s">
        <v>31</v>
      </c>
      <c r="T3" s="7" t="s">
        <v>32</v>
      </c>
      <c r="U3" s="7" t="s">
        <v>33</v>
      </c>
      <c r="V3" s="1" t="s">
        <v>34</v>
      </c>
      <c r="W3" s="2" t="s">
        <v>35</v>
      </c>
      <c r="X3" s="7" t="s">
        <v>36</v>
      </c>
    </row>
    <row r="4" spans="1:24">
      <c r="A4" s="1">
        <v>1</v>
      </c>
      <c r="B4" s="1" t="s">
        <v>37</v>
      </c>
      <c r="C4" s="1">
        <v>1</v>
      </c>
      <c r="D4" s="1">
        <v>1</v>
      </c>
      <c r="E4" s="1">
        <v>400</v>
      </c>
      <c r="F4" s="1">
        <v>1</v>
      </c>
      <c r="G4" s="4">
        <v>10000</v>
      </c>
      <c r="H4" s="4">
        <v>36</v>
      </c>
      <c r="I4" s="1">
        <v>0</v>
      </c>
      <c r="J4" s="1">
        <v>500</v>
      </c>
      <c r="K4" s="1">
        <v>2</v>
      </c>
      <c r="L4" s="1" t="s">
        <v>38</v>
      </c>
      <c r="M4" s="1"/>
      <c r="N4" s="1" t="s">
        <v>39</v>
      </c>
      <c r="O4" s="1" t="s">
        <v>137</v>
      </c>
      <c r="P4" s="4">
        <v>1</v>
      </c>
      <c r="Q4" s="4">
        <v>55</v>
      </c>
      <c r="R4" s="4">
        <f>S4/Q4</f>
        <v>8.18181818181818</v>
      </c>
      <c r="S4" s="4">
        <v>450</v>
      </c>
      <c r="T4" s="4">
        <v>10000</v>
      </c>
      <c r="U4" s="4">
        <v>36</v>
      </c>
      <c r="V4" s="1">
        <v>500</v>
      </c>
      <c r="W4">
        <v>2</v>
      </c>
      <c r="X4" s="4"/>
    </row>
    <row r="5" spans="1:24">
      <c r="A5" s="1">
        <v>2</v>
      </c>
      <c r="B5" s="1" t="s">
        <v>41</v>
      </c>
      <c r="C5" s="1">
        <v>1</v>
      </c>
      <c r="D5" s="1">
        <v>2</v>
      </c>
      <c r="E5" s="1">
        <v>550</v>
      </c>
      <c r="F5" s="1">
        <v>1</v>
      </c>
      <c r="G5" s="4">
        <v>20000</v>
      </c>
      <c r="H5" s="4">
        <v>108</v>
      </c>
      <c r="I5" s="1">
        <v>5</v>
      </c>
      <c r="J5" s="1">
        <v>1000</v>
      </c>
      <c r="K5" s="1">
        <v>4</v>
      </c>
      <c r="L5" s="1" t="s">
        <v>38</v>
      </c>
      <c r="M5" s="1"/>
      <c r="N5" s="1" t="s">
        <v>40</v>
      </c>
      <c r="O5" s="1" t="s">
        <v>139</v>
      </c>
      <c r="P5" s="4">
        <v>2</v>
      </c>
      <c r="Q5" s="4">
        <v>72</v>
      </c>
      <c r="R5" s="4">
        <f t="shared" ref="R5:R14" si="0">S5/Q5</f>
        <v>8.08333333333333</v>
      </c>
      <c r="S5" s="4">
        <v>582</v>
      </c>
      <c r="T5" s="4">
        <v>20000</v>
      </c>
      <c r="U5" s="4">
        <v>108</v>
      </c>
      <c r="V5" s="7">
        <v>1000</v>
      </c>
      <c r="W5" s="7">
        <v>4</v>
      </c>
      <c r="X5" s="4"/>
    </row>
    <row r="6" spans="1:28">
      <c r="A6" s="1">
        <v>3</v>
      </c>
      <c r="B6" s="1" t="s">
        <v>49</v>
      </c>
      <c r="C6" s="1">
        <v>2</v>
      </c>
      <c r="D6" s="1">
        <v>1</v>
      </c>
      <c r="E6" s="1">
        <v>850</v>
      </c>
      <c r="F6" s="1">
        <v>1</v>
      </c>
      <c r="G6" s="4">
        <v>40000</v>
      </c>
      <c r="H6" s="4">
        <v>180</v>
      </c>
      <c r="I6" s="1">
        <v>20</v>
      </c>
      <c r="J6" s="1">
        <v>2000</v>
      </c>
      <c r="K6" s="1">
        <v>10</v>
      </c>
      <c r="L6" s="1" t="s">
        <v>42</v>
      </c>
      <c r="M6" s="1"/>
      <c r="N6" s="1" t="s">
        <v>43</v>
      </c>
      <c r="O6" s="1" t="s">
        <v>140</v>
      </c>
      <c r="P6" s="4">
        <v>3</v>
      </c>
      <c r="Q6" s="4">
        <v>110</v>
      </c>
      <c r="R6" s="4">
        <f t="shared" si="0"/>
        <v>8</v>
      </c>
      <c r="S6" s="4">
        <v>880</v>
      </c>
      <c r="T6" s="4">
        <v>40000</v>
      </c>
      <c r="U6" s="4">
        <v>180</v>
      </c>
      <c r="V6" s="7">
        <v>2000</v>
      </c>
      <c r="W6" s="7">
        <v>10</v>
      </c>
      <c r="Z6" s="2" t="s">
        <v>44</v>
      </c>
      <c r="AB6" s="1" t="s">
        <v>45</v>
      </c>
    </row>
    <row r="7" spans="1:28">
      <c r="A7" s="1">
        <v>4</v>
      </c>
      <c r="B7" s="1" t="s">
        <v>72</v>
      </c>
      <c r="C7" s="1">
        <v>2</v>
      </c>
      <c r="D7" s="1">
        <v>2</v>
      </c>
      <c r="E7" s="1">
        <v>1200</v>
      </c>
      <c r="F7" s="1">
        <v>2</v>
      </c>
      <c r="G7" s="4">
        <v>80000</v>
      </c>
      <c r="H7" s="4">
        <v>360</v>
      </c>
      <c r="I7" s="1">
        <v>40</v>
      </c>
      <c r="J7" s="1">
        <v>4000</v>
      </c>
      <c r="K7" s="1">
        <v>18</v>
      </c>
      <c r="L7" s="1" t="s">
        <v>42</v>
      </c>
      <c r="M7" s="1"/>
      <c r="N7" s="1" t="s">
        <v>46</v>
      </c>
      <c r="O7" s="1" t="s">
        <v>142</v>
      </c>
      <c r="P7" s="4">
        <v>4</v>
      </c>
      <c r="Q7" s="4">
        <v>150</v>
      </c>
      <c r="R7" s="4">
        <f t="shared" si="0"/>
        <v>7.46666666666667</v>
      </c>
      <c r="S7" s="4">
        <v>1120</v>
      </c>
      <c r="T7" s="4">
        <v>80000</v>
      </c>
      <c r="U7" s="4">
        <v>360</v>
      </c>
      <c r="V7" s="7">
        <v>4000</v>
      </c>
      <c r="W7" s="7">
        <v>18</v>
      </c>
      <c r="Z7" s="2" t="s">
        <v>47</v>
      </c>
      <c r="AB7" s="2" t="s">
        <v>48</v>
      </c>
    </row>
    <row r="8" spans="1:29">
      <c r="A8" s="1">
        <v>5</v>
      </c>
      <c r="B8" s="1" t="s">
        <v>113</v>
      </c>
      <c r="C8" s="1">
        <v>3</v>
      </c>
      <c r="D8" s="1">
        <v>1</v>
      </c>
      <c r="E8" s="1">
        <v>2500</v>
      </c>
      <c r="F8" s="1">
        <v>2</v>
      </c>
      <c r="G8" s="4">
        <v>160000</v>
      </c>
      <c r="H8" s="4">
        <v>540</v>
      </c>
      <c r="I8" s="1">
        <v>100</v>
      </c>
      <c r="J8" s="1">
        <v>8000</v>
      </c>
      <c r="K8" s="1">
        <v>36</v>
      </c>
      <c r="L8" s="1" t="s">
        <v>50</v>
      </c>
      <c r="M8" s="1"/>
      <c r="N8" s="1" t="s">
        <v>51</v>
      </c>
      <c r="O8" s="1" t="s">
        <v>144</v>
      </c>
      <c r="P8" s="4">
        <v>5</v>
      </c>
      <c r="Q8" s="4">
        <v>322</v>
      </c>
      <c r="R8" s="4">
        <f t="shared" si="0"/>
        <v>8</v>
      </c>
      <c r="S8" s="4">
        <f>Q8*8</f>
        <v>2576</v>
      </c>
      <c r="T8" s="4">
        <v>160000</v>
      </c>
      <c r="U8" s="4">
        <v>540</v>
      </c>
      <c r="V8" s="7">
        <v>8000</v>
      </c>
      <c r="W8" s="7">
        <v>36</v>
      </c>
      <c r="X8" s="1" t="s">
        <v>52</v>
      </c>
      <c r="Y8" s="2" t="s">
        <v>53</v>
      </c>
      <c r="Z8" s="2" t="s">
        <v>54</v>
      </c>
      <c r="AA8" s="1" t="s">
        <v>55</v>
      </c>
      <c r="AB8" s="2" t="s">
        <v>56</v>
      </c>
      <c r="AC8" s="2" t="s">
        <v>57</v>
      </c>
    </row>
    <row r="9" spans="1:29">
      <c r="A9" s="1">
        <v>6</v>
      </c>
      <c r="B9" s="1" t="s">
        <v>128</v>
      </c>
      <c r="C9" s="1">
        <v>3</v>
      </c>
      <c r="D9" s="1">
        <v>2</v>
      </c>
      <c r="E9" s="1">
        <v>3100</v>
      </c>
      <c r="F9" s="1">
        <v>2</v>
      </c>
      <c r="G9" s="4">
        <v>320000</v>
      </c>
      <c r="H9" s="4">
        <v>720</v>
      </c>
      <c r="I9" s="1">
        <v>200</v>
      </c>
      <c r="J9" s="1">
        <v>16000</v>
      </c>
      <c r="K9" s="1">
        <v>54</v>
      </c>
      <c r="L9" s="1" t="s">
        <v>50</v>
      </c>
      <c r="M9" s="1"/>
      <c r="N9" s="1" t="s">
        <v>58</v>
      </c>
      <c r="O9" s="1" t="s">
        <v>146</v>
      </c>
      <c r="P9" s="4">
        <v>6</v>
      </c>
      <c r="Q9" s="4">
        <v>410</v>
      </c>
      <c r="R9" s="4">
        <f t="shared" si="0"/>
        <v>7.70731707317073</v>
      </c>
      <c r="S9" s="4">
        <v>3160</v>
      </c>
      <c r="T9" s="4">
        <v>320000</v>
      </c>
      <c r="U9" s="4">
        <v>720</v>
      </c>
      <c r="V9" s="7">
        <v>16000</v>
      </c>
      <c r="W9" s="7">
        <v>54</v>
      </c>
      <c r="X9" s="2" t="s">
        <v>59</v>
      </c>
      <c r="Y9" s="2" t="s">
        <v>60</v>
      </c>
      <c r="Z9" s="2" t="s">
        <v>61</v>
      </c>
      <c r="AA9" s="2" t="s">
        <v>62</v>
      </c>
      <c r="AB9" s="2" t="s">
        <v>63</v>
      </c>
      <c r="AC9" s="2" t="s">
        <v>64</v>
      </c>
    </row>
    <row r="10" spans="1:29">
      <c r="A10" s="1">
        <v>7</v>
      </c>
      <c r="B10" s="1" t="s">
        <v>189</v>
      </c>
      <c r="C10" s="1">
        <v>3</v>
      </c>
      <c r="D10" s="1">
        <v>3</v>
      </c>
      <c r="E10" s="1">
        <v>3700</v>
      </c>
      <c r="F10" s="1">
        <v>2</v>
      </c>
      <c r="G10" s="4">
        <v>500000</v>
      </c>
      <c r="H10" s="4">
        <v>1440</v>
      </c>
      <c r="I10" s="1">
        <v>400</v>
      </c>
      <c r="J10" s="1">
        <v>32000</v>
      </c>
      <c r="K10" s="1">
        <v>72</v>
      </c>
      <c r="L10" s="1" t="s">
        <v>50</v>
      </c>
      <c r="M10" s="1"/>
      <c r="N10" s="1" t="s">
        <v>65</v>
      </c>
      <c r="O10" s="1" t="s">
        <v>148</v>
      </c>
      <c r="P10" s="4">
        <v>7</v>
      </c>
      <c r="Q10" s="4">
        <v>498</v>
      </c>
      <c r="R10" s="4">
        <f t="shared" si="0"/>
        <v>7.61044176706827</v>
      </c>
      <c r="S10" s="4">
        <v>3790</v>
      </c>
      <c r="T10" s="4">
        <v>500000</v>
      </c>
      <c r="U10" s="4">
        <v>1440</v>
      </c>
      <c r="V10" s="7">
        <v>32000</v>
      </c>
      <c r="W10" s="7">
        <v>72</v>
      </c>
      <c r="X10" s="2" t="s">
        <v>66</v>
      </c>
      <c r="Y10" s="2" t="s">
        <v>67</v>
      </c>
      <c r="Z10" s="2" t="s">
        <v>68</v>
      </c>
      <c r="AA10" s="2" t="s">
        <v>69</v>
      </c>
      <c r="AB10" s="2" t="s">
        <v>70</v>
      </c>
      <c r="AC10" s="2" t="s">
        <v>71</v>
      </c>
    </row>
    <row r="11" spans="1:32">
      <c r="A11" s="1">
        <v>8</v>
      </c>
      <c r="B11" s="1" t="s">
        <v>190</v>
      </c>
      <c r="C11" s="1">
        <v>4</v>
      </c>
      <c r="D11" s="1">
        <v>1</v>
      </c>
      <c r="E11" s="1">
        <v>4900</v>
      </c>
      <c r="F11" s="1">
        <v>2</v>
      </c>
      <c r="G11" s="4">
        <v>1200000</v>
      </c>
      <c r="H11" s="4">
        <v>1800</v>
      </c>
      <c r="I11" s="1">
        <v>800</v>
      </c>
      <c r="J11" s="1">
        <v>50000</v>
      </c>
      <c r="K11" s="1">
        <v>86</v>
      </c>
      <c r="L11" s="1" t="s">
        <v>73</v>
      </c>
      <c r="M11" s="1"/>
      <c r="N11" s="1" t="s">
        <v>74</v>
      </c>
      <c r="O11" s="1" t="s">
        <v>150</v>
      </c>
      <c r="P11" s="4">
        <v>8</v>
      </c>
      <c r="Q11" s="4">
        <v>674</v>
      </c>
      <c r="R11" s="4">
        <f t="shared" si="0"/>
        <v>7.28486646884273</v>
      </c>
      <c r="S11" s="4">
        <v>4910</v>
      </c>
      <c r="T11" s="4">
        <v>1200000</v>
      </c>
      <c r="U11" s="4">
        <v>1800</v>
      </c>
      <c r="V11" s="7">
        <v>50000</v>
      </c>
      <c r="W11" s="7">
        <v>86</v>
      </c>
      <c r="X11" s="2" t="s">
        <v>75</v>
      </c>
      <c r="Y11" s="2" t="s">
        <v>76</v>
      </c>
      <c r="Z11" s="2" t="s">
        <v>77</v>
      </c>
      <c r="AA11" s="2" t="s">
        <v>78</v>
      </c>
      <c r="AB11" s="2" t="s">
        <v>79</v>
      </c>
      <c r="AC11" s="2" t="s">
        <v>80</v>
      </c>
      <c r="AF11" s="2" t="s">
        <v>81</v>
      </c>
    </row>
    <row r="12" spans="1:32">
      <c r="A12" s="1">
        <v>9</v>
      </c>
      <c r="B12" s="1" t="s">
        <v>191</v>
      </c>
      <c r="C12" s="1">
        <v>4</v>
      </c>
      <c r="D12" s="1">
        <v>2</v>
      </c>
      <c r="E12" s="1">
        <v>5600</v>
      </c>
      <c r="F12" s="1">
        <v>2</v>
      </c>
      <c r="G12" s="4">
        <v>1800000</v>
      </c>
      <c r="H12" s="4">
        <v>2160</v>
      </c>
      <c r="I12" s="1">
        <v>800</v>
      </c>
      <c r="J12" s="1">
        <v>120000</v>
      </c>
      <c r="K12" s="1">
        <v>108</v>
      </c>
      <c r="L12" s="1" t="s">
        <v>73</v>
      </c>
      <c r="M12" s="4"/>
      <c r="N12" s="1" t="s">
        <v>82</v>
      </c>
      <c r="O12" s="1" t="s">
        <v>152</v>
      </c>
      <c r="P12" s="4">
        <v>9</v>
      </c>
      <c r="Q12" s="4">
        <v>766</v>
      </c>
      <c r="R12" s="4">
        <f t="shared" si="0"/>
        <v>7.34986945169713</v>
      </c>
      <c r="S12" s="4">
        <v>5630</v>
      </c>
      <c r="T12" s="4">
        <v>1800000</v>
      </c>
      <c r="U12" s="4">
        <v>2160</v>
      </c>
      <c r="V12" s="7">
        <v>120000</v>
      </c>
      <c r="W12" s="7">
        <v>108</v>
      </c>
      <c r="X12" s="2" t="s">
        <v>83</v>
      </c>
      <c r="Y12" s="2" t="s">
        <v>84</v>
      </c>
      <c r="Z12" s="2" t="s">
        <v>85</v>
      </c>
      <c r="AA12" s="2" t="s">
        <v>86</v>
      </c>
      <c r="AB12" s="2" t="s">
        <v>87</v>
      </c>
      <c r="AC12" s="2" t="s">
        <v>88</v>
      </c>
      <c r="AD12" s="2" t="s">
        <v>89</v>
      </c>
      <c r="AF12" s="2" t="s">
        <v>90</v>
      </c>
    </row>
    <row r="13" spans="1:32">
      <c r="A13" s="1">
        <v>10</v>
      </c>
      <c r="B13" s="1" t="s">
        <v>192</v>
      </c>
      <c r="C13" s="1">
        <v>4</v>
      </c>
      <c r="D13" s="1">
        <v>3</v>
      </c>
      <c r="E13" s="1">
        <v>6300</v>
      </c>
      <c r="F13" s="1">
        <v>2</v>
      </c>
      <c r="G13" s="4">
        <v>2500000</v>
      </c>
      <c r="H13" s="4">
        <v>4320</v>
      </c>
      <c r="I13" s="1">
        <v>800</v>
      </c>
      <c r="J13" s="1">
        <v>180000</v>
      </c>
      <c r="K13" s="1">
        <v>129</v>
      </c>
      <c r="L13" s="1" t="s">
        <v>73</v>
      </c>
      <c r="M13" s="4"/>
      <c r="N13" s="1" t="s">
        <v>91</v>
      </c>
      <c r="O13" s="1" t="s">
        <v>154</v>
      </c>
      <c r="P13" s="4">
        <v>10</v>
      </c>
      <c r="Q13" s="4">
        <v>868</v>
      </c>
      <c r="R13" s="4">
        <f t="shared" si="0"/>
        <v>7.33870967741935</v>
      </c>
      <c r="S13" s="4">
        <v>6370</v>
      </c>
      <c r="T13" s="4">
        <v>2500000</v>
      </c>
      <c r="U13" s="4">
        <v>4320</v>
      </c>
      <c r="V13" s="7">
        <v>180000</v>
      </c>
      <c r="W13" s="7">
        <v>129</v>
      </c>
      <c r="X13" s="2" t="s">
        <v>92</v>
      </c>
      <c r="Y13" s="2" t="s">
        <v>93</v>
      </c>
      <c r="Z13" s="2" t="s">
        <v>94</v>
      </c>
      <c r="AA13" s="2" t="s">
        <v>95</v>
      </c>
      <c r="AB13" s="2" t="s">
        <v>96</v>
      </c>
      <c r="AC13" s="2" t="s">
        <v>97</v>
      </c>
      <c r="AD13" s="2" t="s">
        <v>98</v>
      </c>
      <c r="AF13" s="2" t="s">
        <v>99</v>
      </c>
    </row>
    <row r="14" spans="1:35">
      <c r="A14" s="1">
        <v>11</v>
      </c>
      <c r="B14" s="1" t="s">
        <v>193</v>
      </c>
      <c r="C14" s="1">
        <v>5</v>
      </c>
      <c r="D14" s="1">
        <v>1</v>
      </c>
      <c r="E14" s="1">
        <v>7500</v>
      </c>
      <c r="F14" s="1">
        <v>2</v>
      </c>
      <c r="G14" s="4">
        <v>6000000</v>
      </c>
      <c r="H14" s="4">
        <v>5040</v>
      </c>
      <c r="I14" s="1">
        <v>800</v>
      </c>
      <c r="J14" s="1">
        <v>250000</v>
      </c>
      <c r="K14" s="1">
        <v>259</v>
      </c>
      <c r="L14" s="1" t="s">
        <v>100</v>
      </c>
      <c r="M14" s="4"/>
      <c r="N14" s="1" t="s">
        <v>101</v>
      </c>
      <c r="O14" s="1" t="s">
        <v>156</v>
      </c>
      <c r="P14" s="4">
        <v>11</v>
      </c>
      <c r="Q14" s="4">
        <v>1018</v>
      </c>
      <c r="R14" s="4">
        <f t="shared" si="0"/>
        <v>7.38703339882122</v>
      </c>
      <c r="S14" s="4">
        <v>7520</v>
      </c>
      <c r="T14" s="4">
        <v>6000000</v>
      </c>
      <c r="U14" s="4">
        <v>5040</v>
      </c>
      <c r="V14" s="1">
        <v>250000</v>
      </c>
      <c r="W14" s="1">
        <v>259</v>
      </c>
      <c r="X14" s="2" t="s">
        <v>102</v>
      </c>
      <c r="Y14" s="2" t="s">
        <v>103</v>
      </c>
      <c r="Z14" s="2" t="s">
        <v>104</v>
      </c>
      <c r="AA14" s="2" t="s">
        <v>105</v>
      </c>
      <c r="AB14" s="2" t="s">
        <v>106</v>
      </c>
      <c r="AC14" s="2" t="s">
        <v>107</v>
      </c>
      <c r="AD14" s="2" t="s">
        <v>108</v>
      </c>
      <c r="AF14" s="2" t="s">
        <v>109</v>
      </c>
      <c r="AG14" s="2" t="s">
        <v>110</v>
      </c>
      <c r="AH14" s="2" t="s">
        <v>111</v>
      </c>
      <c r="AI14" s="2" t="s">
        <v>112</v>
      </c>
    </row>
    <row r="15" spans="1:31">
      <c r="A15" s="1">
        <v>12</v>
      </c>
      <c r="B15" s="1" t="s">
        <v>194</v>
      </c>
      <c r="C15" s="1">
        <v>5</v>
      </c>
      <c r="D15" s="1">
        <v>2</v>
      </c>
      <c r="E15" s="1">
        <v>8300</v>
      </c>
      <c r="F15" s="1">
        <v>2</v>
      </c>
      <c r="G15" s="4">
        <v>9000000</v>
      </c>
      <c r="H15" s="4">
        <v>5760</v>
      </c>
      <c r="I15" s="1">
        <v>800</v>
      </c>
      <c r="J15" s="1">
        <v>600000</v>
      </c>
      <c r="K15" s="1">
        <v>302</v>
      </c>
      <c r="L15" s="1" t="s">
        <v>100</v>
      </c>
      <c r="M15" s="4"/>
      <c r="N15" s="1" t="s">
        <v>114</v>
      </c>
      <c r="O15" s="1" t="s">
        <v>157</v>
      </c>
      <c r="P15" s="4">
        <v>12</v>
      </c>
      <c r="Q15" s="4">
        <v>1140</v>
      </c>
      <c r="R15" s="4"/>
      <c r="S15" s="4"/>
      <c r="T15" s="4">
        <v>9000000</v>
      </c>
      <c r="U15" s="4">
        <v>5760</v>
      </c>
      <c r="V15" s="1">
        <v>600000</v>
      </c>
      <c r="W15" s="1">
        <v>302</v>
      </c>
      <c r="X15" s="2" t="s">
        <v>115</v>
      </c>
      <c r="AB15" s="2" t="s">
        <v>116</v>
      </c>
      <c r="AE15" s="2" t="s">
        <v>117</v>
      </c>
    </row>
    <row r="16" spans="1:31">
      <c r="A16" s="1">
        <v>13</v>
      </c>
      <c r="B16" s="1" t="s">
        <v>195</v>
      </c>
      <c r="C16" s="1">
        <v>5</v>
      </c>
      <c r="D16" s="1">
        <v>3</v>
      </c>
      <c r="E16" s="1">
        <v>9100</v>
      </c>
      <c r="F16" s="1">
        <v>2</v>
      </c>
      <c r="G16" s="4">
        <v>12000000</v>
      </c>
      <c r="H16" s="4">
        <v>6480</v>
      </c>
      <c r="I16" s="1">
        <v>800</v>
      </c>
      <c r="J16" s="1">
        <v>900000</v>
      </c>
      <c r="K16" s="1">
        <v>345</v>
      </c>
      <c r="L16" s="1" t="s">
        <v>100</v>
      </c>
      <c r="M16" s="4"/>
      <c r="N16" s="1" t="s">
        <v>118</v>
      </c>
      <c r="O16" s="1" t="s">
        <v>158</v>
      </c>
      <c r="P16" s="4">
        <v>13</v>
      </c>
      <c r="Q16" s="4">
        <v>1262</v>
      </c>
      <c r="R16" s="4"/>
      <c r="S16" s="4"/>
      <c r="T16" s="4">
        <v>12000000</v>
      </c>
      <c r="U16" s="4">
        <v>6480</v>
      </c>
      <c r="V16" s="1">
        <v>900000</v>
      </c>
      <c r="W16" s="1">
        <v>345</v>
      </c>
      <c r="X16" s="2" t="s">
        <v>119</v>
      </c>
      <c r="AB16" s="2" t="s">
        <v>120</v>
      </c>
      <c r="AE16" s="2" t="s">
        <v>121</v>
      </c>
    </row>
    <row r="17" spans="1:28">
      <c r="A17" s="1">
        <v>14</v>
      </c>
      <c r="B17" s="1" t="s">
        <v>196</v>
      </c>
      <c r="C17" s="1">
        <v>5</v>
      </c>
      <c r="D17" s="1">
        <v>4</v>
      </c>
      <c r="E17" s="1">
        <v>9900</v>
      </c>
      <c r="F17" s="1">
        <v>2</v>
      </c>
      <c r="G17">
        <v>15000000</v>
      </c>
      <c r="H17">
        <v>8640</v>
      </c>
      <c r="I17" s="1">
        <v>800</v>
      </c>
      <c r="J17" s="1">
        <v>1200000</v>
      </c>
      <c r="K17" s="1">
        <v>388</v>
      </c>
      <c r="L17" s="1" t="s">
        <v>100</v>
      </c>
      <c r="M17" s="4"/>
      <c r="N17" s="1" t="s">
        <v>122</v>
      </c>
      <c r="O17" s="1" t="s">
        <v>159</v>
      </c>
      <c r="P17" s="4">
        <v>14</v>
      </c>
      <c r="T17">
        <v>15000000</v>
      </c>
      <c r="U17">
        <v>8640</v>
      </c>
      <c r="V17">
        <v>1200000</v>
      </c>
      <c r="W17">
        <v>388</v>
      </c>
      <c r="AB17" s="2" t="s">
        <v>123</v>
      </c>
    </row>
    <row r="18" spans="1:28">
      <c r="A18" s="1">
        <v>15</v>
      </c>
      <c r="B18" s="1" t="s">
        <v>197</v>
      </c>
      <c r="C18" s="1">
        <v>6</v>
      </c>
      <c r="D18" s="1">
        <v>1</v>
      </c>
      <c r="E18" s="1">
        <v>10400</v>
      </c>
      <c r="F18" s="1">
        <v>3</v>
      </c>
      <c r="G18" s="4">
        <v>20000000</v>
      </c>
      <c r="H18" s="4">
        <v>10080</v>
      </c>
      <c r="I18" s="1">
        <v>800</v>
      </c>
      <c r="J18" s="1">
        <v>1500000</v>
      </c>
      <c r="K18" s="1">
        <v>446</v>
      </c>
      <c r="L18" s="1" t="s">
        <v>124</v>
      </c>
      <c r="N18" s="1" t="s">
        <v>125</v>
      </c>
      <c r="O18" s="1" t="s">
        <v>160</v>
      </c>
      <c r="P18" s="4">
        <v>15</v>
      </c>
      <c r="T18" s="4">
        <v>20000000</v>
      </c>
      <c r="U18" s="4">
        <v>10080</v>
      </c>
      <c r="V18" s="1">
        <v>1500000</v>
      </c>
      <c r="W18" s="1">
        <f>W17+58</f>
        <v>446</v>
      </c>
      <c r="AB18" s="2" t="s">
        <v>126</v>
      </c>
    </row>
    <row r="19" spans="1:23">
      <c r="A19" s="1">
        <v>16</v>
      </c>
      <c r="B19" s="1" t="s">
        <v>198</v>
      </c>
      <c r="C19" s="1">
        <v>6</v>
      </c>
      <c r="D19" s="1">
        <v>2</v>
      </c>
      <c r="E19" s="1">
        <v>11300</v>
      </c>
      <c r="F19" s="1">
        <v>3</v>
      </c>
      <c r="G19" s="4">
        <v>24000000</v>
      </c>
      <c r="H19" s="4">
        <v>11520</v>
      </c>
      <c r="I19" s="1">
        <v>800</v>
      </c>
      <c r="J19" s="1">
        <v>2000000</v>
      </c>
      <c r="K19" s="1">
        <v>504</v>
      </c>
      <c r="L19" s="1" t="s">
        <v>124</v>
      </c>
      <c r="N19" s="1" t="s">
        <v>127</v>
      </c>
      <c r="O19" s="1" t="s">
        <v>161</v>
      </c>
      <c r="P19" s="4">
        <v>16</v>
      </c>
      <c r="T19" s="4">
        <v>24000000</v>
      </c>
      <c r="U19" s="4">
        <v>11520</v>
      </c>
      <c r="V19">
        <v>2000000</v>
      </c>
      <c r="W19" s="1">
        <f t="shared" ref="W19:W22" si="1">W18+58</f>
        <v>504</v>
      </c>
    </row>
    <row r="20" spans="1:23">
      <c r="A20" s="1">
        <v>17</v>
      </c>
      <c r="B20" s="1" t="s">
        <v>199</v>
      </c>
      <c r="C20" s="1">
        <v>6</v>
      </c>
      <c r="D20" s="1">
        <v>3</v>
      </c>
      <c r="E20" s="1">
        <v>12200</v>
      </c>
      <c r="F20" s="1">
        <v>3</v>
      </c>
      <c r="G20" s="4">
        <v>28000000</v>
      </c>
      <c r="H20" s="4">
        <v>12960</v>
      </c>
      <c r="I20" s="1">
        <v>800</v>
      </c>
      <c r="J20" s="1">
        <v>2400000</v>
      </c>
      <c r="K20" s="1">
        <v>562</v>
      </c>
      <c r="L20" s="1" t="s">
        <v>124</v>
      </c>
      <c r="N20" s="1" t="s">
        <v>129</v>
      </c>
      <c r="O20" s="1" t="s">
        <v>162</v>
      </c>
      <c r="P20" s="4">
        <v>17</v>
      </c>
      <c r="T20" s="4">
        <v>28000000</v>
      </c>
      <c r="U20" s="4">
        <v>12960</v>
      </c>
      <c r="V20" s="1">
        <v>2400000</v>
      </c>
      <c r="W20" s="1">
        <f t="shared" si="1"/>
        <v>562</v>
      </c>
    </row>
    <row r="21" spans="1:23">
      <c r="A21" s="1">
        <v>18</v>
      </c>
      <c r="B21" s="1" t="s">
        <v>200</v>
      </c>
      <c r="C21" s="1">
        <v>6</v>
      </c>
      <c r="D21" s="1">
        <v>4</v>
      </c>
      <c r="E21" s="1">
        <v>13100</v>
      </c>
      <c r="F21" s="1">
        <v>3</v>
      </c>
      <c r="G21" s="4">
        <v>32000000</v>
      </c>
      <c r="H21" s="4">
        <v>14400</v>
      </c>
      <c r="I21" s="1">
        <v>800</v>
      </c>
      <c r="J21" s="1">
        <v>2800000</v>
      </c>
      <c r="K21" s="1">
        <v>620</v>
      </c>
      <c r="L21" s="1" t="s">
        <v>124</v>
      </c>
      <c r="N21" s="1" t="s">
        <v>201</v>
      </c>
      <c r="O21" s="1" t="s">
        <v>163</v>
      </c>
      <c r="P21" s="4">
        <v>18</v>
      </c>
      <c r="T21" s="4">
        <v>32000000</v>
      </c>
      <c r="U21" s="4">
        <v>14400</v>
      </c>
      <c r="V21">
        <v>2800000</v>
      </c>
      <c r="W21" s="1">
        <f t="shared" si="1"/>
        <v>620</v>
      </c>
    </row>
    <row r="22" spans="1:23">
      <c r="A22" s="1">
        <v>19</v>
      </c>
      <c r="B22" s="1" t="s">
        <v>202</v>
      </c>
      <c r="C22" s="1">
        <v>6</v>
      </c>
      <c r="D22" s="1">
        <v>5</v>
      </c>
      <c r="E22" s="1">
        <v>14000</v>
      </c>
      <c r="F22" s="1">
        <v>3</v>
      </c>
      <c r="G22" s="4">
        <v>40000000</v>
      </c>
      <c r="H22" s="4">
        <v>18000</v>
      </c>
      <c r="I22" s="1">
        <v>800</v>
      </c>
      <c r="J22" s="1">
        <v>4000000</v>
      </c>
      <c r="K22" s="1">
        <v>678</v>
      </c>
      <c r="L22" s="1" t="s">
        <v>124</v>
      </c>
      <c r="N22" s="1" t="s">
        <v>203</v>
      </c>
      <c r="O22" s="1" t="s">
        <v>164</v>
      </c>
      <c r="P22" s="4">
        <v>19</v>
      </c>
      <c r="T22" s="4">
        <v>40000000</v>
      </c>
      <c r="U22" s="4">
        <v>18000</v>
      </c>
      <c r="V22" s="1">
        <v>4000000</v>
      </c>
      <c r="W22" s="1">
        <f t="shared" si="1"/>
        <v>678</v>
      </c>
    </row>
    <row r="23" spans="29:30">
      <c r="AC23">
        <f>340</f>
        <v>340</v>
      </c>
      <c r="AD23">
        <v>0.01</v>
      </c>
    </row>
    <row r="24" spans="19:31">
      <c r="S24" s="2" t="s">
        <v>19</v>
      </c>
      <c r="T24" s="2" t="s">
        <v>130</v>
      </c>
      <c r="U24" s="2" t="s">
        <v>131</v>
      </c>
      <c r="V24" s="2" t="s">
        <v>132</v>
      </c>
      <c r="W24" s="2" t="s">
        <v>133</v>
      </c>
      <c r="X24" s="2" t="s">
        <v>134</v>
      </c>
      <c r="Y24" s="2" t="s">
        <v>135</v>
      </c>
      <c r="Z24" s="2" t="s">
        <v>136</v>
      </c>
      <c r="AC24">
        <v>40</v>
      </c>
      <c r="AD24">
        <v>0.01</v>
      </c>
      <c r="AE24" s="2"/>
    </row>
    <row r="25" spans="19:30">
      <c r="S25" s="1" t="s">
        <v>137</v>
      </c>
      <c r="T25">
        <v>1</v>
      </c>
      <c r="U25">
        <v>36</v>
      </c>
      <c r="V25">
        <f t="shared" ref="V25:V43" si="2">$U$25*W25</f>
        <v>36</v>
      </c>
      <c r="W25">
        <v>1</v>
      </c>
      <c r="X25" s="4">
        <v>10000</v>
      </c>
      <c r="Y25">
        <f t="shared" ref="Y25:Y43" si="3">$X$25*Z25</f>
        <v>10000</v>
      </c>
      <c r="Z25">
        <f t="shared" ref="Z25:Z38" si="4">X25/$X$25</f>
        <v>1</v>
      </c>
      <c r="AB25">
        <f>S4/Q4</f>
        <v>8.18181818181818</v>
      </c>
      <c r="AC25">
        <f>880-450</f>
        <v>430</v>
      </c>
      <c r="AD25">
        <v>0.02</v>
      </c>
    </row>
    <row r="26" spans="19:30">
      <c r="S26" s="1" t="s">
        <v>139</v>
      </c>
      <c r="T26">
        <v>2</v>
      </c>
      <c r="U26">
        <v>108</v>
      </c>
      <c r="V26">
        <f t="shared" si="2"/>
        <v>108</v>
      </c>
      <c r="W26">
        <f t="shared" ref="W26:W36" si="5">U26/$U$25</f>
        <v>3</v>
      </c>
      <c r="X26" s="4">
        <v>20000</v>
      </c>
      <c r="Y26">
        <f t="shared" si="3"/>
        <v>20000</v>
      </c>
      <c r="Z26">
        <f t="shared" si="4"/>
        <v>2</v>
      </c>
      <c r="AB26">
        <f>S5/Q5</f>
        <v>8.08333333333333</v>
      </c>
      <c r="AC26">
        <f>110-50</f>
        <v>60</v>
      </c>
      <c r="AD26">
        <f>0.02</f>
        <v>0.02</v>
      </c>
    </row>
    <row r="27" spans="19:30">
      <c r="S27" s="1" t="s">
        <v>140</v>
      </c>
      <c r="T27">
        <v>3</v>
      </c>
      <c r="U27">
        <v>180</v>
      </c>
      <c r="V27">
        <f t="shared" si="2"/>
        <v>180</v>
      </c>
      <c r="W27">
        <f t="shared" si="5"/>
        <v>5</v>
      </c>
      <c r="X27" s="4">
        <v>40000</v>
      </c>
      <c r="Y27">
        <f t="shared" si="3"/>
        <v>40000</v>
      </c>
      <c r="Z27">
        <f t="shared" si="4"/>
        <v>4</v>
      </c>
      <c r="AB27">
        <f>S6/Q6</f>
        <v>8</v>
      </c>
      <c r="AC27">
        <f>1120-600</f>
        <v>520</v>
      </c>
      <c r="AD27">
        <v>0.03</v>
      </c>
    </row>
    <row r="28" spans="19:30">
      <c r="S28" s="1" t="s">
        <v>142</v>
      </c>
      <c r="T28">
        <v>4</v>
      </c>
      <c r="U28">
        <v>360</v>
      </c>
      <c r="V28">
        <f t="shared" si="2"/>
        <v>360</v>
      </c>
      <c r="W28">
        <f t="shared" si="5"/>
        <v>10</v>
      </c>
      <c r="X28" s="4">
        <v>80000</v>
      </c>
      <c r="Y28">
        <f t="shared" si="3"/>
        <v>80000</v>
      </c>
      <c r="Z28">
        <f t="shared" si="4"/>
        <v>8</v>
      </c>
      <c r="AB28">
        <f>S7/Q7</f>
        <v>7.46666666666667</v>
      </c>
      <c r="AC28">
        <f>150-70</f>
        <v>80</v>
      </c>
      <c r="AD28">
        <v>0.03</v>
      </c>
    </row>
    <row r="29" spans="19:30">
      <c r="S29" s="1" t="s">
        <v>144</v>
      </c>
      <c r="T29">
        <v>5</v>
      </c>
      <c r="U29">
        <v>540</v>
      </c>
      <c r="V29">
        <f t="shared" si="2"/>
        <v>540</v>
      </c>
      <c r="W29">
        <f t="shared" si="5"/>
        <v>15</v>
      </c>
      <c r="X29" s="4">
        <v>160000</v>
      </c>
      <c r="Y29">
        <f t="shared" si="3"/>
        <v>160000</v>
      </c>
      <c r="Z29">
        <f t="shared" si="4"/>
        <v>16</v>
      </c>
      <c r="AD29">
        <v>0.05</v>
      </c>
    </row>
    <row r="30" spans="6:31">
      <c r="F30" s="5"/>
      <c r="S30" s="1" t="s">
        <v>146</v>
      </c>
      <c r="T30">
        <v>6</v>
      </c>
      <c r="U30">
        <v>720</v>
      </c>
      <c r="V30">
        <f t="shared" si="2"/>
        <v>720</v>
      </c>
      <c r="W30">
        <f t="shared" si="5"/>
        <v>20</v>
      </c>
      <c r="X30" s="4">
        <v>320000</v>
      </c>
      <c r="Y30">
        <f t="shared" si="3"/>
        <v>320000</v>
      </c>
      <c r="Z30">
        <f t="shared" si="4"/>
        <v>32</v>
      </c>
      <c r="AC30">
        <f>322-125</f>
        <v>197</v>
      </c>
      <c r="AD30">
        <v>0.05</v>
      </c>
      <c r="AE30">
        <f>AC30/4</f>
        <v>49.25</v>
      </c>
    </row>
    <row r="31" spans="19:31">
      <c r="S31" s="1" t="s">
        <v>148</v>
      </c>
      <c r="T31">
        <v>7</v>
      </c>
      <c r="U31">
        <v>1440</v>
      </c>
      <c r="V31">
        <f t="shared" si="2"/>
        <v>1440</v>
      </c>
      <c r="W31">
        <f t="shared" si="5"/>
        <v>40</v>
      </c>
      <c r="X31" s="4">
        <v>500000</v>
      </c>
      <c r="Y31">
        <f t="shared" si="3"/>
        <v>500000</v>
      </c>
      <c r="Z31">
        <f t="shared" si="4"/>
        <v>50</v>
      </c>
      <c r="AC31">
        <f>410-155</f>
        <v>255</v>
      </c>
      <c r="AD31">
        <v>0.06</v>
      </c>
      <c r="AE31">
        <f>215/5</f>
        <v>43</v>
      </c>
    </row>
    <row r="32" spans="19:26">
      <c r="S32" s="1" t="s">
        <v>150</v>
      </c>
      <c r="T32">
        <v>8</v>
      </c>
      <c r="U32">
        <v>1800</v>
      </c>
      <c r="V32">
        <f t="shared" si="2"/>
        <v>1800</v>
      </c>
      <c r="W32">
        <f t="shared" si="5"/>
        <v>50</v>
      </c>
      <c r="X32" s="4">
        <v>1200000</v>
      </c>
      <c r="Y32">
        <f t="shared" si="3"/>
        <v>1200000</v>
      </c>
      <c r="Z32">
        <f t="shared" si="4"/>
        <v>120</v>
      </c>
    </row>
    <row r="33" spans="19:26">
      <c r="S33" s="1" t="s">
        <v>152</v>
      </c>
      <c r="T33">
        <v>9</v>
      </c>
      <c r="U33">
        <v>2160</v>
      </c>
      <c r="V33">
        <f t="shared" si="2"/>
        <v>2160</v>
      </c>
      <c r="W33">
        <f t="shared" si="5"/>
        <v>60</v>
      </c>
      <c r="X33" s="4">
        <v>1800000</v>
      </c>
      <c r="Y33">
        <f t="shared" si="3"/>
        <v>1800000</v>
      </c>
      <c r="Z33">
        <f t="shared" si="4"/>
        <v>180</v>
      </c>
    </row>
    <row r="34" spans="19:31">
      <c r="S34" s="1" t="s">
        <v>154</v>
      </c>
      <c r="T34">
        <v>10</v>
      </c>
      <c r="U34">
        <v>4320</v>
      </c>
      <c r="V34">
        <f t="shared" si="2"/>
        <v>4320</v>
      </c>
      <c r="W34">
        <f t="shared" si="5"/>
        <v>120</v>
      </c>
      <c r="X34" s="4">
        <v>2500000</v>
      </c>
      <c r="Y34">
        <f t="shared" si="3"/>
        <v>2500000</v>
      </c>
      <c r="Z34">
        <f t="shared" si="4"/>
        <v>250</v>
      </c>
      <c r="AB34" s="2" t="s">
        <v>155</v>
      </c>
      <c r="AC34">
        <v>0.05</v>
      </c>
      <c r="AD34">
        <v>80</v>
      </c>
      <c r="AE34">
        <v>60</v>
      </c>
    </row>
    <row r="35" spans="19:30">
      <c r="S35" s="1" t="s">
        <v>156</v>
      </c>
      <c r="T35">
        <v>11</v>
      </c>
      <c r="U35">
        <v>5040</v>
      </c>
      <c r="V35">
        <f t="shared" si="2"/>
        <v>5040</v>
      </c>
      <c r="W35">
        <f t="shared" si="5"/>
        <v>140</v>
      </c>
      <c r="X35" s="4">
        <v>6000000</v>
      </c>
      <c r="Y35">
        <f t="shared" si="3"/>
        <v>6000000</v>
      </c>
      <c r="Z35">
        <f t="shared" si="4"/>
        <v>600</v>
      </c>
      <c r="AB35" s="2" t="s">
        <v>155</v>
      </c>
      <c r="AC35">
        <v>0.05</v>
      </c>
      <c r="AD35">
        <v>140</v>
      </c>
    </row>
    <row r="36" spans="19:30">
      <c r="S36" s="1" t="s">
        <v>157</v>
      </c>
      <c r="T36">
        <v>12</v>
      </c>
      <c r="U36">
        <v>5760</v>
      </c>
      <c r="V36">
        <f t="shared" si="2"/>
        <v>5760</v>
      </c>
      <c r="W36">
        <f t="shared" si="5"/>
        <v>160</v>
      </c>
      <c r="X36" s="4">
        <v>9000000</v>
      </c>
      <c r="Y36">
        <f t="shared" si="3"/>
        <v>9000000</v>
      </c>
      <c r="Z36">
        <f t="shared" si="4"/>
        <v>900</v>
      </c>
      <c r="AB36" s="2" t="s">
        <v>155</v>
      </c>
      <c r="AC36">
        <v>0.04</v>
      </c>
      <c r="AD36">
        <f>AC36*$AD$35/$AC$35</f>
        <v>112</v>
      </c>
    </row>
    <row r="37" spans="19:32">
      <c r="S37" s="1" t="s">
        <v>158</v>
      </c>
      <c r="T37">
        <v>13</v>
      </c>
      <c r="V37">
        <f t="shared" si="2"/>
        <v>6480</v>
      </c>
      <c r="W37">
        <v>180</v>
      </c>
      <c r="X37" s="4">
        <v>12000000</v>
      </c>
      <c r="Y37">
        <f t="shared" si="3"/>
        <v>12000000</v>
      </c>
      <c r="Z37">
        <f t="shared" si="4"/>
        <v>1200</v>
      </c>
      <c r="AB37" s="2" t="s">
        <v>155</v>
      </c>
      <c r="AC37">
        <v>0.06</v>
      </c>
      <c r="AD37">
        <f>AC37*$AD$35/$AC$35</f>
        <v>168</v>
      </c>
      <c r="AE37">
        <v>330</v>
      </c>
      <c r="AF37">
        <f>AD37+AE37</f>
        <v>498</v>
      </c>
    </row>
    <row r="38" spans="19:32">
      <c r="S38" s="1" t="s">
        <v>159</v>
      </c>
      <c r="T38">
        <v>14</v>
      </c>
      <c r="U38">
        <v>8640</v>
      </c>
      <c r="V38">
        <f t="shared" si="2"/>
        <v>8640</v>
      </c>
      <c r="W38">
        <f>U38/$U$25</f>
        <v>240</v>
      </c>
      <c r="X38">
        <v>15000000</v>
      </c>
      <c r="Y38">
        <f t="shared" si="3"/>
        <v>15000000</v>
      </c>
      <c r="Z38">
        <f t="shared" si="4"/>
        <v>1500</v>
      </c>
      <c r="AB38" s="2" t="s">
        <v>155</v>
      </c>
      <c r="AC38">
        <v>0.08</v>
      </c>
      <c r="AD38">
        <f t="shared" ref="AD38:AD44" si="6">AC38*$AD$35/$AC$35</f>
        <v>224</v>
      </c>
      <c r="AE38">
        <v>450</v>
      </c>
      <c r="AF38">
        <f>AD38+AE38</f>
        <v>674</v>
      </c>
    </row>
    <row r="39" spans="19:32">
      <c r="S39" s="1" t="s">
        <v>160</v>
      </c>
      <c r="T39">
        <v>15</v>
      </c>
      <c r="V39">
        <f t="shared" si="2"/>
        <v>10080</v>
      </c>
      <c r="W39">
        <v>280</v>
      </c>
      <c r="Y39">
        <f t="shared" si="3"/>
        <v>20000000</v>
      </c>
      <c r="Z39">
        <v>2000</v>
      </c>
      <c r="AB39" s="2" t="s">
        <v>155</v>
      </c>
      <c r="AC39">
        <v>0.095</v>
      </c>
      <c r="AD39">
        <f t="shared" si="6"/>
        <v>266</v>
      </c>
      <c r="AE39">
        <v>500</v>
      </c>
      <c r="AF39">
        <f t="shared" ref="AF39:AF43" si="7">AD39+AE39</f>
        <v>766</v>
      </c>
    </row>
    <row r="40" spans="19:32">
      <c r="S40" s="1" t="s">
        <v>161</v>
      </c>
      <c r="T40">
        <v>16</v>
      </c>
      <c r="V40">
        <f t="shared" si="2"/>
        <v>11520</v>
      </c>
      <c r="W40">
        <v>320</v>
      </c>
      <c r="Y40">
        <f t="shared" si="3"/>
        <v>24000000</v>
      </c>
      <c r="Z40">
        <v>2400</v>
      </c>
      <c r="AB40" s="2" t="s">
        <v>155</v>
      </c>
      <c r="AC40">
        <v>0.11</v>
      </c>
      <c r="AD40">
        <f t="shared" si="6"/>
        <v>308</v>
      </c>
      <c r="AE40">
        <v>560</v>
      </c>
      <c r="AF40">
        <f t="shared" si="7"/>
        <v>868</v>
      </c>
    </row>
    <row r="41" spans="19:32">
      <c r="S41" s="1" t="s">
        <v>162</v>
      </c>
      <c r="T41">
        <v>17</v>
      </c>
      <c r="V41">
        <f t="shared" si="2"/>
        <v>12960</v>
      </c>
      <c r="W41">
        <v>360</v>
      </c>
      <c r="Y41">
        <f t="shared" si="3"/>
        <v>28000000</v>
      </c>
      <c r="Z41">
        <v>2800</v>
      </c>
      <c r="AB41" s="2" t="s">
        <v>155</v>
      </c>
      <c r="AC41">
        <v>0.135</v>
      </c>
      <c r="AD41">
        <f t="shared" si="6"/>
        <v>378</v>
      </c>
      <c r="AE41">
        <v>640</v>
      </c>
      <c r="AF41">
        <f t="shared" si="7"/>
        <v>1018</v>
      </c>
    </row>
    <row r="42" spans="19:32">
      <c r="S42" s="1" t="s">
        <v>163</v>
      </c>
      <c r="T42">
        <v>18</v>
      </c>
      <c r="V42">
        <f t="shared" si="2"/>
        <v>14400</v>
      </c>
      <c r="W42">
        <v>400</v>
      </c>
      <c r="Y42">
        <f t="shared" si="3"/>
        <v>32000000</v>
      </c>
      <c r="Z42">
        <v>3200</v>
      </c>
      <c r="AB42" s="2" t="s">
        <v>155</v>
      </c>
      <c r="AC42">
        <v>0.15</v>
      </c>
      <c r="AD42">
        <f t="shared" si="6"/>
        <v>420</v>
      </c>
      <c r="AE42">
        <v>720</v>
      </c>
      <c r="AF42">
        <f t="shared" si="7"/>
        <v>1140</v>
      </c>
    </row>
    <row r="43" spans="19:32">
      <c r="S43" s="1" t="s">
        <v>164</v>
      </c>
      <c r="T43">
        <v>19</v>
      </c>
      <c r="V43">
        <f t="shared" si="2"/>
        <v>18000</v>
      </c>
      <c r="W43">
        <v>500</v>
      </c>
      <c r="Y43">
        <f t="shared" si="3"/>
        <v>40000000</v>
      </c>
      <c r="Z43">
        <v>4000</v>
      </c>
      <c r="AB43" s="2" t="s">
        <v>155</v>
      </c>
      <c r="AC43">
        <v>0.165</v>
      </c>
      <c r="AD43">
        <f t="shared" si="6"/>
        <v>462</v>
      </c>
      <c r="AE43">
        <v>800</v>
      </c>
      <c r="AF43">
        <f t="shared" si="7"/>
        <v>1262</v>
      </c>
    </row>
    <row r="44" spans="28:30">
      <c r="AB44" s="2" t="s">
        <v>155</v>
      </c>
      <c r="AC44">
        <v>0.01</v>
      </c>
      <c r="AD44">
        <f t="shared" si="6"/>
        <v>28</v>
      </c>
    </row>
    <row r="46" spans="28:32">
      <c r="AB46" s="2" t="s">
        <v>165</v>
      </c>
      <c r="AC46">
        <v>0.07</v>
      </c>
      <c r="AD46">
        <f>2560-1480</f>
        <v>1080</v>
      </c>
      <c r="AE46">
        <v>1480</v>
      </c>
      <c r="AF46">
        <f>AD46+AE46</f>
        <v>2560</v>
      </c>
    </row>
    <row r="47" spans="29:32">
      <c r="AC47">
        <v>0.01</v>
      </c>
      <c r="AD47">
        <f>AC47*$AD$46/$AC$46</f>
        <v>154.285714285714</v>
      </c>
      <c r="AF47">
        <f>AD47+AE48</f>
        <v>2114.28571428571</v>
      </c>
    </row>
    <row r="48" spans="29:32">
      <c r="AC48">
        <v>0.08</v>
      </c>
      <c r="AD48">
        <f>150*AC48/$AC$47</f>
        <v>1200</v>
      </c>
      <c r="AE48">
        <v>1960</v>
      </c>
      <c r="AF48">
        <f t="shared" ref="AF48:AF53" si="8">AD48+AE48</f>
        <v>3160</v>
      </c>
    </row>
    <row r="49" spans="24:32">
      <c r="X49" s="2" t="s">
        <v>166</v>
      </c>
      <c r="AC49">
        <v>0.09</v>
      </c>
      <c r="AD49">
        <f t="shared" ref="AD49:AD53" si="9">150*AC49/$AC$47</f>
        <v>1350</v>
      </c>
      <c r="AE49">
        <v>2440</v>
      </c>
      <c r="AF49">
        <f t="shared" si="8"/>
        <v>3790</v>
      </c>
    </row>
    <row r="50" spans="24:32">
      <c r="X50" s="2" t="s">
        <v>167</v>
      </c>
      <c r="AC50">
        <v>0.11</v>
      </c>
      <c r="AD50">
        <f t="shared" si="9"/>
        <v>1650</v>
      </c>
      <c r="AE50">
        <v>3260</v>
      </c>
      <c r="AF50">
        <f t="shared" si="8"/>
        <v>4910</v>
      </c>
    </row>
    <row r="51" spans="29:32">
      <c r="AC51">
        <v>0.13</v>
      </c>
      <c r="AD51">
        <f t="shared" si="9"/>
        <v>1950</v>
      </c>
      <c r="AE51">
        <v>3680</v>
      </c>
      <c r="AF51">
        <f t="shared" si="8"/>
        <v>5630</v>
      </c>
    </row>
    <row r="52" spans="20:32">
      <c r="T52">
        <f>14000*0.004</f>
        <v>56</v>
      </c>
      <c r="V52" s="2" t="s">
        <v>168</v>
      </c>
      <c r="AC52">
        <v>0.15</v>
      </c>
      <c r="AD52">
        <f t="shared" si="9"/>
        <v>2250</v>
      </c>
      <c r="AE52">
        <v>4120</v>
      </c>
      <c r="AF52">
        <f t="shared" si="8"/>
        <v>6370</v>
      </c>
    </row>
    <row r="53" spans="29:32">
      <c r="AC53">
        <v>0.18</v>
      </c>
      <c r="AD53">
        <f t="shared" si="9"/>
        <v>2700</v>
      </c>
      <c r="AE53">
        <v>4820</v>
      </c>
      <c r="AF53">
        <f t="shared" si="8"/>
        <v>7520</v>
      </c>
    </row>
    <row r="55" spans="24:28">
      <c r="X55" s="2" t="s">
        <v>143</v>
      </c>
      <c r="Y55" s="2" t="s">
        <v>169</v>
      </c>
      <c r="Z55" s="2" t="s">
        <v>170</v>
      </c>
      <c r="AA55" s="2" t="s">
        <v>171</v>
      </c>
      <c r="AB55" s="2" t="s">
        <v>172</v>
      </c>
    </row>
    <row r="56" spans="25:28">
      <c r="Y56" s="2" t="s">
        <v>173</v>
      </c>
      <c r="Z56" s="2" t="s">
        <v>174</v>
      </c>
      <c r="AA56" s="2" t="s">
        <v>175</v>
      </c>
      <c r="AB56" s="2" t="s">
        <v>176</v>
      </c>
    </row>
    <row r="57" spans="23:28">
      <c r="W57" s="9" t="s">
        <v>177</v>
      </c>
      <c r="X57" s="2" t="s">
        <v>178</v>
      </c>
      <c r="Y57" s="2" t="s">
        <v>179</v>
      </c>
      <c r="Z57" s="2" t="s">
        <v>180</v>
      </c>
      <c r="AA57" s="2" t="s">
        <v>181</v>
      </c>
      <c r="AB57" s="2" t="s">
        <v>182</v>
      </c>
    </row>
    <row r="58" spans="24:28">
      <c r="X58" s="2" t="s">
        <v>183</v>
      </c>
      <c r="Y58" s="2" t="s">
        <v>184</v>
      </c>
      <c r="Z58" s="3">
        <f>(2-1.5)</f>
        <v>0.5</v>
      </c>
      <c r="AA58" s="10">
        <v>0.05</v>
      </c>
      <c r="AB58" s="11">
        <f>2-(Z58+AA58)</f>
        <v>1.45</v>
      </c>
    </row>
    <row r="60" spans="22:28">
      <c r="V60" s="9" t="s">
        <v>185</v>
      </c>
      <c r="W60" s="9" t="s">
        <v>186</v>
      </c>
      <c r="Z60" s="2" t="s">
        <v>179</v>
      </c>
      <c r="AB60" s="2" t="s">
        <v>187</v>
      </c>
    </row>
    <row r="61" spans="25:28">
      <c r="Y61" s="2" t="s">
        <v>175</v>
      </c>
      <c r="Z61">
        <v>1.2</v>
      </c>
      <c r="AA61" s="10">
        <v>0.18</v>
      </c>
      <c r="AB61">
        <f>Z61*(1-AA61)</f>
        <v>0.984</v>
      </c>
    </row>
    <row r="63" spans="25:25">
      <c r="Y63" s="12"/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Q31"/>
  <sheetViews>
    <sheetView workbookViewId="0">
      <selection activeCell="F13" sqref="F13"/>
    </sheetView>
  </sheetViews>
  <sheetFormatPr defaultColWidth="9" defaultRowHeight="14.4"/>
  <cols>
    <col min="8" max="10" width="9" hidden="1" customWidth="1"/>
  </cols>
  <sheetData>
    <row r="2" spans="2:15">
      <c r="B2" s="1" t="s">
        <v>19</v>
      </c>
      <c r="C2" s="1" t="s">
        <v>20</v>
      </c>
      <c r="D2" s="2" t="s">
        <v>204</v>
      </c>
      <c r="E2" s="2" t="s">
        <v>205</v>
      </c>
      <c r="F2" s="2" t="s">
        <v>206</v>
      </c>
      <c r="G2" s="2" t="s">
        <v>207</v>
      </c>
      <c r="H2" s="2" t="s">
        <v>208</v>
      </c>
      <c r="I2" s="2" t="s">
        <v>209</v>
      </c>
      <c r="J2" s="2" t="s">
        <v>210</v>
      </c>
      <c r="K2" s="2" t="s">
        <v>211</v>
      </c>
      <c r="L2" s="2" t="s">
        <v>212</v>
      </c>
      <c r="M2" s="2" t="s">
        <v>213</v>
      </c>
      <c r="N2" s="2" t="s">
        <v>214</v>
      </c>
      <c r="O2" s="2"/>
    </row>
    <row r="3" spans="2:14">
      <c r="B3" s="1">
        <v>1</v>
      </c>
      <c r="C3" s="1">
        <v>1</v>
      </c>
      <c r="D3">
        <v>3</v>
      </c>
      <c r="E3">
        <v>30</v>
      </c>
      <c r="F3">
        <v>0</v>
      </c>
      <c r="G3">
        <f t="shared" ref="G3:G19" si="0">INDEX($I$24:$Q$24,MATCH(D3,$I$23:$Q$23,0))*($A$23+$B$23*E3)*INDEX($I$26:$Q$26,MATCH(F3,$I$25:$Q$25,0))</f>
        <v>144</v>
      </c>
      <c r="H3">
        <f t="shared" ref="H3:H19" si="1">INDEX($I$24:$Q$24,MATCH(D3,$I$23:$Q$23,0))*($C$23+$D$23*E3)*INDEX($I$26:$Q$26,MATCH(F3,$I$25:$Q$25,0))</f>
        <v>2880</v>
      </c>
      <c r="I3">
        <f>INDEX($I$24:$Q$24,MATCH(D3,$I$23:$Q$23,0))*($A$23+$B$23*E3)*INDEX($I$26:$Q$26,MATCH(F3,$I$25:$Q$25,0))</f>
        <v>144</v>
      </c>
      <c r="J3">
        <f>H3*G3/1.1*0.9*(1+0.05)*1/1/(1-0.1-I3*0.0001)/3000</f>
        <v>134.10199556541</v>
      </c>
      <c r="K3">
        <v>0.2</v>
      </c>
      <c r="L3">
        <f>G3*K3</f>
        <v>28.8</v>
      </c>
      <c r="M3">
        <f>ROUND(L3/0.1,0)</f>
        <v>288</v>
      </c>
      <c r="N3" s="3">
        <f t="shared" ref="N3:N19" si="2">M3*0.00004</f>
        <v>0.01152</v>
      </c>
    </row>
    <row r="4" spans="2:14">
      <c r="B4" s="1">
        <v>1</v>
      </c>
      <c r="C4" s="1">
        <v>2</v>
      </c>
      <c r="D4">
        <v>3</v>
      </c>
      <c r="E4">
        <v>40</v>
      </c>
      <c r="F4">
        <v>0</v>
      </c>
      <c r="G4">
        <f t="shared" si="0"/>
        <v>180</v>
      </c>
      <c r="H4">
        <f t="shared" si="1"/>
        <v>3600</v>
      </c>
      <c r="I4">
        <f t="shared" ref="I4:I19" si="3">INDEX($I$24:$Q$24,MATCH(D4,$I$23:$Q$23,0))*($A$23+$B$23*E4)*INDEX($I$26:$Q$26,MATCH(F4,$I$25:$Q$25,0))</f>
        <v>180</v>
      </c>
      <c r="J4">
        <f t="shared" ref="J4:J19" si="4">H4*G4/1.1*0.9*(1+0.05)*1/1/(1-0.1-I4*0.0001)/3000</f>
        <v>210.38961038961</v>
      </c>
      <c r="K4">
        <v>0.2</v>
      </c>
      <c r="L4">
        <f t="shared" ref="L4:L19" si="5">G4*K4</f>
        <v>36</v>
      </c>
      <c r="M4">
        <f t="shared" ref="M4:M19" si="6">ROUND(L4/0.1,0)</f>
        <v>360</v>
      </c>
      <c r="N4" s="3">
        <f t="shared" si="2"/>
        <v>0.0144</v>
      </c>
    </row>
    <row r="5" spans="2:14">
      <c r="B5" s="1">
        <v>2</v>
      </c>
      <c r="C5" s="1">
        <v>1</v>
      </c>
      <c r="D5">
        <v>4</v>
      </c>
      <c r="E5">
        <v>50</v>
      </c>
      <c r="F5">
        <v>0</v>
      </c>
      <c r="G5">
        <f t="shared" si="0"/>
        <v>252</v>
      </c>
      <c r="H5">
        <f t="shared" si="1"/>
        <v>5040</v>
      </c>
      <c r="I5">
        <f t="shared" si="3"/>
        <v>252</v>
      </c>
      <c r="J5">
        <f t="shared" si="4"/>
        <v>415.757575757576</v>
      </c>
      <c r="K5">
        <v>0.2</v>
      </c>
      <c r="L5">
        <f t="shared" si="5"/>
        <v>50.4</v>
      </c>
      <c r="M5">
        <f t="shared" si="6"/>
        <v>504</v>
      </c>
      <c r="N5" s="3">
        <f t="shared" si="2"/>
        <v>0.02016</v>
      </c>
    </row>
    <row r="6" spans="2:14">
      <c r="B6" s="1">
        <v>2</v>
      </c>
      <c r="C6" s="1">
        <v>2</v>
      </c>
      <c r="D6">
        <v>4</v>
      </c>
      <c r="E6">
        <v>55</v>
      </c>
      <c r="F6">
        <v>1</v>
      </c>
      <c r="G6">
        <f t="shared" si="0"/>
        <v>327.6</v>
      </c>
      <c r="H6">
        <f t="shared" si="1"/>
        <v>6552</v>
      </c>
      <c r="I6">
        <f t="shared" si="3"/>
        <v>327.6</v>
      </c>
      <c r="J6">
        <f t="shared" si="4"/>
        <v>708.755349258462</v>
      </c>
      <c r="K6">
        <v>0.2</v>
      </c>
      <c r="L6">
        <f t="shared" si="5"/>
        <v>65.52</v>
      </c>
      <c r="M6">
        <f t="shared" si="6"/>
        <v>655</v>
      </c>
      <c r="N6" s="3">
        <f t="shared" si="2"/>
        <v>0.0262</v>
      </c>
    </row>
    <row r="7" spans="2:14">
      <c r="B7" s="1">
        <v>3</v>
      </c>
      <c r="C7" s="1">
        <v>1</v>
      </c>
      <c r="D7">
        <v>5</v>
      </c>
      <c r="E7">
        <v>60</v>
      </c>
      <c r="F7">
        <v>2</v>
      </c>
      <c r="G7">
        <f t="shared" si="0"/>
        <v>420</v>
      </c>
      <c r="H7">
        <f t="shared" si="1"/>
        <v>8400</v>
      </c>
      <c r="I7">
        <f t="shared" si="3"/>
        <v>420</v>
      </c>
      <c r="J7">
        <f t="shared" si="4"/>
        <v>1177.49523204069</v>
      </c>
      <c r="K7">
        <v>0.2</v>
      </c>
      <c r="L7">
        <f t="shared" si="5"/>
        <v>84</v>
      </c>
      <c r="M7">
        <f t="shared" si="6"/>
        <v>840</v>
      </c>
      <c r="N7" s="3">
        <f t="shared" si="2"/>
        <v>0.0336</v>
      </c>
    </row>
    <row r="8" spans="2:14">
      <c r="B8" s="1">
        <v>3</v>
      </c>
      <c r="C8" s="1">
        <v>2</v>
      </c>
      <c r="D8">
        <v>5</v>
      </c>
      <c r="E8">
        <v>65</v>
      </c>
      <c r="F8">
        <v>3</v>
      </c>
      <c r="G8">
        <f t="shared" si="0"/>
        <v>522</v>
      </c>
      <c r="H8">
        <f t="shared" si="1"/>
        <v>10440</v>
      </c>
      <c r="I8">
        <f t="shared" si="3"/>
        <v>522</v>
      </c>
      <c r="J8">
        <f t="shared" si="4"/>
        <v>1840.75275043428</v>
      </c>
      <c r="K8">
        <v>0.2</v>
      </c>
      <c r="L8">
        <f t="shared" si="5"/>
        <v>104.4</v>
      </c>
      <c r="M8">
        <f t="shared" si="6"/>
        <v>1044</v>
      </c>
      <c r="N8" s="3">
        <f t="shared" si="2"/>
        <v>0.04176</v>
      </c>
    </row>
    <row r="9" spans="2:14">
      <c r="B9" s="1">
        <v>3</v>
      </c>
      <c r="C9" s="1">
        <v>3</v>
      </c>
      <c r="D9">
        <v>5</v>
      </c>
      <c r="E9">
        <v>70</v>
      </c>
      <c r="F9">
        <v>4</v>
      </c>
      <c r="G9">
        <f t="shared" si="0"/>
        <v>576</v>
      </c>
      <c r="H9">
        <f t="shared" si="1"/>
        <v>11520</v>
      </c>
      <c r="I9">
        <f t="shared" si="3"/>
        <v>576</v>
      </c>
      <c r="J9">
        <f t="shared" si="4"/>
        <v>2255.66433566434</v>
      </c>
      <c r="K9">
        <v>0.2</v>
      </c>
      <c r="L9">
        <f t="shared" si="5"/>
        <v>115.2</v>
      </c>
      <c r="M9">
        <f t="shared" si="6"/>
        <v>1152</v>
      </c>
      <c r="N9" s="3">
        <f t="shared" si="2"/>
        <v>0.04608</v>
      </c>
    </row>
    <row r="10" spans="2:14">
      <c r="B10" s="1">
        <v>4</v>
      </c>
      <c r="C10" s="1">
        <v>1</v>
      </c>
      <c r="D10">
        <v>6</v>
      </c>
      <c r="E10">
        <v>80</v>
      </c>
      <c r="F10">
        <v>4</v>
      </c>
      <c r="G10">
        <f t="shared" si="0"/>
        <v>810</v>
      </c>
      <c r="H10">
        <f t="shared" si="1"/>
        <v>16200</v>
      </c>
      <c r="I10">
        <f t="shared" si="3"/>
        <v>810</v>
      </c>
      <c r="J10">
        <f t="shared" si="4"/>
        <v>4588.11188811189</v>
      </c>
      <c r="K10">
        <v>0.2</v>
      </c>
      <c r="L10">
        <f t="shared" si="5"/>
        <v>162</v>
      </c>
      <c r="M10">
        <f t="shared" si="6"/>
        <v>1620</v>
      </c>
      <c r="N10" s="3">
        <f t="shared" si="2"/>
        <v>0.0648</v>
      </c>
    </row>
    <row r="11" spans="2:14">
      <c r="B11" s="1">
        <v>4</v>
      </c>
      <c r="C11" s="1">
        <v>2</v>
      </c>
      <c r="D11">
        <v>6</v>
      </c>
      <c r="E11">
        <v>100</v>
      </c>
      <c r="F11">
        <v>5</v>
      </c>
      <c r="G11">
        <f t="shared" si="0"/>
        <v>1023</v>
      </c>
      <c r="H11">
        <f t="shared" si="1"/>
        <v>20460</v>
      </c>
      <c r="I11">
        <f t="shared" si="3"/>
        <v>1023</v>
      </c>
      <c r="J11">
        <f t="shared" si="4"/>
        <v>7513.79842045882</v>
      </c>
      <c r="K11">
        <v>0.2</v>
      </c>
      <c r="L11">
        <f t="shared" si="5"/>
        <v>204.6</v>
      </c>
      <c r="M11">
        <f t="shared" si="6"/>
        <v>2046</v>
      </c>
      <c r="N11" s="3">
        <f t="shared" si="2"/>
        <v>0.08184</v>
      </c>
    </row>
    <row r="12" spans="2:14">
      <c r="B12" s="1">
        <v>4</v>
      </c>
      <c r="C12" s="1">
        <v>3</v>
      </c>
      <c r="D12">
        <v>6</v>
      </c>
      <c r="E12">
        <v>120</v>
      </c>
      <c r="F12">
        <v>6</v>
      </c>
      <c r="G12">
        <f t="shared" si="0"/>
        <v>1365</v>
      </c>
      <c r="H12">
        <f t="shared" si="1"/>
        <v>27300</v>
      </c>
      <c r="I12">
        <f t="shared" si="3"/>
        <v>1365</v>
      </c>
      <c r="J12">
        <f t="shared" si="4"/>
        <v>13976.6833363101</v>
      </c>
      <c r="K12">
        <v>0.2</v>
      </c>
      <c r="L12">
        <f t="shared" si="5"/>
        <v>273</v>
      </c>
      <c r="M12">
        <f t="shared" si="6"/>
        <v>2730</v>
      </c>
      <c r="N12" s="3">
        <f t="shared" si="2"/>
        <v>0.1092</v>
      </c>
    </row>
    <row r="13" spans="2:14">
      <c r="B13" s="1">
        <v>4</v>
      </c>
      <c r="C13" s="1">
        <v>4</v>
      </c>
      <c r="D13">
        <v>6</v>
      </c>
      <c r="E13">
        <v>140</v>
      </c>
      <c r="F13">
        <v>6</v>
      </c>
      <c r="G13">
        <f t="shared" si="0"/>
        <v>1575</v>
      </c>
      <c r="H13">
        <f t="shared" si="1"/>
        <v>31500</v>
      </c>
      <c r="I13">
        <f t="shared" si="3"/>
        <v>1575</v>
      </c>
      <c r="J13">
        <f t="shared" si="4"/>
        <v>19134.2975206612</v>
      </c>
      <c r="K13">
        <v>0.2</v>
      </c>
      <c r="L13">
        <f t="shared" si="5"/>
        <v>315</v>
      </c>
      <c r="M13">
        <f t="shared" si="6"/>
        <v>3150</v>
      </c>
      <c r="N13" s="3">
        <f t="shared" si="2"/>
        <v>0.126</v>
      </c>
    </row>
    <row r="14" spans="2:14">
      <c r="B14" s="1">
        <v>5</v>
      </c>
      <c r="C14" s="1">
        <v>1</v>
      </c>
      <c r="D14">
        <v>7</v>
      </c>
      <c r="E14">
        <v>140</v>
      </c>
      <c r="F14">
        <v>6</v>
      </c>
      <c r="G14">
        <f t="shared" si="0"/>
        <v>1732.5</v>
      </c>
      <c r="H14">
        <f t="shared" si="1"/>
        <v>34650</v>
      </c>
      <c r="I14">
        <f t="shared" si="3"/>
        <v>1732.5</v>
      </c>
      <c r="J14">
        <f t="shared" si="4"/>
        <v>23654.2569659443</v>
      </c>
      <c r="K14">
        <v>0.2</v>
      </c>
      <c r="L14">
        <f t="shared" si="5"/>
        <v>346.5</v>
      </c>
      <c r="M14">
        <f t="shared" si="6"/>
        <v>3465</v>
      </c>
      <c r="N14" s="3">
        <f t="shared" si="2"/>
        <v>0.1386</v>
      </c>
    </row>
    <row r="15" spans="2:14">
      <c r="B15" s="1">
        <v>5</v>
      </c>
      <c r="C15" s="1">
        <v>2</v>
      </c>
      <c r="D15">
        <v>7</v>
      </c>
      <c r="E15">
        <v>160</v>
      </c>
      <c r="F15">
        <v>6</v>
      </c>
      <c r="G15">
        <f t="shared" si="0"/>
        <v>1963.5</v>
      </c>
      <c r="H15">
        <f t="shared" si="1"/>
        <v>39270</v>
      </c>
      <c r="I15">
        <f t="shared" si="3"/>
        <v>1963.5</v>
      </c>
      <c r="J15">
        <f t="shared" si="4"/>
        <v>31380.0031976124</v>
      </c>
      <c r="K15">
        <v>0.2</v>
      </c>
      <c r="L15">
        <f t="shared" si="5"/>
        <v>392.7</v>
      </c>
      <c r="M15">
        <f t="shared" si="6"/>
        <v>3927</v>
      </c>
      <c r="N15" s="3">
        <f t="shared" si="2"/>
        <v>0.15708</v>
      </c>
    </row>
    <row r="16" spans="2:14">
      <c r="B16" s="1">
        <v>5</v>
      </c>
      <c r="C16" s="1">
        <v>3</v>
      </c>
      <c r="D16">
        <v>8</v>
      </c>
      <c r="E16">
        <v>160</v>
      </c>
      <c r="F16">
        <v>6</v>
      </c>
      <c r="G16">
        <f t="shared" si="0"/>
        <v>2142</v>
      </c>
      <c r="H16">
        <f t="shared" si="1"/>
        <v>42840</v>
      </c>
      <c r="I16">
        <f t="shared" si="3"/>
        <v>2142</v>
      </c>
      <c r="J16">
        <f t="shared" si="4"/>
        <v>38316.807444524</v>
      </c>
      <c r="K16">
        <v>0.2</v>
      </c>
      <c r="L16">
        <f t="shared" si="5"/>
        <v>428.4</v>
      </c>
      <c r="M16">
        <f t="shared" si="6"/>
        <v>4284</v>
      </c>
      <c r="N16" s="3">
        <f t="shared" si="2"/>
        <v>0.17136</v>
      </c>
    </row>
    <row r="17" spans="2:14">
      <c r="B17" s="1">
        <v>5</v>
      </c>
      <c r="C17" s="1">
        <v>4</v>
      </c>
      <c r="D17">
        <v>8</v>
      </c>
      <c r="E17">
        <v>180</v>
      </c>
      <c r="F17">
        <v>6</v>
      </c>
      <c r="G17">
        <f t="shared" si="0"/>
        <v>2394</v>
      </c>
      <c r="H17">
        <f t="shared" si="1"/>
        <v>47880</v>
      </c>
      <c r="I17">
        <f t="shared" si="3"/>
        <v>2394</v>
      </c>
      <c r="J17">
        <f t="shared" si="4"/>
        <v>49688.6945751796</v>
      </c>
      <c r="K17">
        <v>0.2</v>
      </c>
      <c r="L17">
        <f t="shared" si="5"/>
        <v>478.8</v>
      </c>
      <c r="M17">
        <f t="shared" si="6"/>
        <v>4788</v>
      </c>
      <c r="N17" s="3">
        <f t="shared" si="2"/>
        <v>0.19152</v>
      </c>
    </row>
    <row r="18" spans="2:14">
      <c r="B18" s="1">
        <v>5</v>
      </c>
      <c r="C18" s="1">
        <v>5</v>
      </c>
      <c r="D18">
        <v>9</v>
      </c>
      <c r="E18">
        <v>180</v>
      </c>
      <c r="F18">
        <v>6</v>
      </c>
      <c r="G18">
        <f t="shared" si="0"/>
        <v>2593.5</v>
      </c>
      <c r="H18">
        <f t="shared" si="1"/>
        <v>51870</v>
      </c>
      <c r="I18">
        <f t="shared" si="3"/>
        <v>2593.5</v>
      </c>
      <c r="J18">
        <f t="shared" si="4"/>
        <v>60131.1539771397</v>
      </c>
      <c r="K18">
        <v>0.2</v>
      </c>
      <c r="L18">
        <f t="shared" si="5"/>
        <v>518.7</v>
      </c>
      <c r="M18">
        <f t="shared" si="6"/>
        <v>5187</v>
      </c>
      <c r="N18" s="3">
        <f t="shared" si="2"/>
        <v>0.20748</v>
      </c>
    </row>
    <row r="19" spans="2:14">
      <c r="B19" s="1">
        <v>6</v>
      </c>
      <c r="C19" s="1">
        <v>1</v>
      </c>
      <c r="D19">
        <v>9</v>
      </c>
      <c r="E19">
        <v>200</v>
      </c>
      <c r="F19">
        <v>6</v>
      </c>
      <c r="G19">
        <f t="shared" si="0"/>
        <v>2866.5</v>
      </c>
      <c r="H19">
        <f t="shared" si="1"/>
        <v>57330</v>
      </c>
      <c r="I19">
        <f t="shared" si="3"/>
        <v>2866.5</v>
      </c>
      <c r="J19">
        <f t="shared" si="4"/>
        <v>76726.1465350497</v>
      </c>
      <c r="K19">
        <v>0.2</v>
      </c>
      <c r="L19">
        <f t="shared" si="5"/>
        <v>573.3</v>
      </c>
      <c r="M19">
        <f t="shared" si="6"/>
        <v>5733</v>
      </c>
      <c r="N19" s="3">
        <f t="shared" si="2"/>
        <v>0.22932</v>
      </c>
    </row>
    <row r="23" spans="1:17">
      <c r="A23">
        <v>30</v>
      </c>
      <c r="B23">
        <v>3</v>
      </c>
      <c r="C23">
        <v>600</v>
      </c>
      <c r="D23">
        <v>60</v>
      </c>
      <c r="E23">
        <v>30</v>
      </c>
      <c r="F23">
        <v>3</v>
      </c>
      <c r="H23" s="2" t="s">
        <v>215</v>
      </c>
      <c r="I23">
        <v>1</v>
      </c>
      <c r="J23" s="4">
        <v>2</v>
      </c>
      <c r="K23" s="4">
        <v>3</v>
      </c>
      <c r="L23" s="4">
        <v>4</v>
      </c>
      <c r="M23" s="4">
        <v>5</v>
      </c>
      <c r="N23" s="4">
        <v>6</v>
      </c>
      <c r="O23" s="4">
        <v>7</v>
      </c>
      <c r="P23" s="4">
        <v>8</v>
      </c>
      <c r="Q23" s="4">
        <v>9</v>
      </c>
    </row>
    <row r="24" spans="9:17">
      <c r="I24">
        <v>1</v>
      </c>
      <c r="J24" s="4">
        <v>1.1</v>
      </c>
      <c r="K24">
        <v>1.2</v>
      </c>
      <c r="L24" s="4">
        <v>1.4</v>
      </c>
      <c r="M24">
        <v>1.6</v>
      </c>
      <c r="N24" s="4">
        <v>2</v>
      </c>
      <c r="O24">
        <v>2.2</v>
      </c>
      <c r="P24" s="4">
        <v>2.4</v>
      </c>
      <c r="Q24">
        <v>2.6</v>
      </c>
    </row>
    <row r="25" spans="8:15">
      <c r="H25" s="2" t="s">
        <v>216</v>
      </c>
      <c r="I25">
        <v>0</v>
      </c>
      <c r="J25">
        <v>1</v>
      </c>
      <c r="K25">
        <v>2</v>
      </c>
      <c r="L25">
        <v>3</v>
      </c>
      <c r="M25">
        <v>4</v>
      </c>
      <c r="N25">
        <v>5</v>
      </c>
      <c r="O25">
        <v>6</v>
      </c>
    </row>
    <row r="26" spans="9:15">
      <c r="I26">
        <v>1</v>
      </c>
      <c r="J26">
        <v>1.2</v>
      </c>
      <c r="K26">
        <v>1.25</v>
      </c>
      <c r="L26">
        <v>1.45</v>
      </c>
      <c r="M26">
        <v>1.5</v>
      </c>
      <c r="N26">
        <v>1.55</v>
      </c>
      <c r="O26">
        <v>1.75</v>
      </c>
    </row>
    <row r="28" spans="4:11">
      <c r="D28" s="2" t="s">
        <v>217</v>
      </c>
      <c r="E28">
        <v>0.6</v>
      </c>
      <c r="F28" s="2" t="s">
        <v>218</v>
      </c>
      <c r="G28">
        <v>0.4</v>
      </c>
      <c r="H28" s="2" t="s">
        <v>219</v>
      </c>
      <c r="I28">
        <v>0.4</v>
      </c>
      <c r="J28" s="2" t="s">
        <v>220</v>
      </c>
      <c r="K28">
        <v>0.6</v>
      </c>
    </row>
    <row r="31" spans="16:16">
      <c r="P31">
        <f>1.5/1.363</f>
        <v>1.10051357300073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crystal</vt:lpstr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zhang</cp:lastModifiedBy>
  <dcterms:created xsi:type="dcterms:W3CDTF">2017-06-13T02:34:00Z</dcterms:created>
  <dcterms:modified xsi:type="dcterms:W3CDTF">2019-05-09T06:17:22Z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2052-11.1.0.8661</vt:lpwstr>
  </property>
</Properties>
</file>