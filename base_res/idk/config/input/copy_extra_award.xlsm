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770CD0E5-5449-41F3-A093-302D087A536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opy_extra_award" sheetId="1" r:id="rId1"/>
    <sheet name="Sheet1" sheetId="2" r:id="rId2"/>
  </sheets>
  <definedNames>
    <definedName name="_xlnm._FilterDatabase" localSheetId="0" hidden="1">copy_extra_award!$A$3:$IP$360</definedName>
  </definedNames>
  <calcPr calcId="191029"/>
</workbook>
</file>

<file path=xl/calcChain.xml><?xml version="1.0" encoding="utf-8"?>
<calcChain xmlns="http://schemas.openxmlformats.org/spreadsheetml/2006/main">
  <c r="T20" i="2" l="1"/>
  <c r="T19" i="2"/>
  <c r="T18" i="2"/>
  <c r="T17" i="2"/>
  <c r="N2" i="2"/>
  <c r="M2" i="2"/>
  <c r="L2" i="2"/>
  <c r="K2" i="2"/>
  <c r="J2" i="2"/>
  <c r="I2" i="2"/>
  <c r="H2" i="2"/>
  <c r="G359" i="1"/>
  <c r="F359" i="1"/>
  <c r="E359" i="1"/>
  <c r="D359" i="1"/>
  <c r="C359" i="1"/>
  <c r="G358" i="1"/>
  <c r="F358" i="1"/>
  <c r="E358" i="1"/>
  <c r="D358" i="1"/>
  <c r="C358" i="1"/>
  <c r="G357" i="1"/>
  <c r="F357" i="1"/>
  <c r="E357" i="1"/>
  <c r="D357" i="1"/>
  <c r="C357" i="1"/>
  <c r="G356" i="1"/>
  <c r="F356" i="1"/>
  <c r="E356" i="1"/>
  <c r="D356" i="1"/>
  <c r="C356" i="1"/>
  <c r="G355" i="1"/>
  <c r="F355" i="1"/>
  <c r="E355" i="1"/>
  <c r="D355" i="1"/>
  <c r="C355" i="1"/>
  <c r="G354" i="1"/>
  <c r="F354" i="1"/>
  <c r="E354" i="1"/>
  <c r="D354" i="1"/>
  <c r="C354" i="1"/>
  <c r="G353" i="1"/>
  <c r="F353" i="1"/>
  <c r="E353" i="1"/>
  <c r="D353" i="1"/>
  <c r="C353" i="1"/>
  <c r="G352" i="1"/>
  <c r="F352" i="1"/>
  <c r="E352" i="1"/>
  <c r="D352" i="1"/>
  <c r="C352" i="1"/>
  <c r="G351" i="1"/>
  <c r="F351" i="1"/>
  <c r="E351" i="1"/>
  <c r="D351" i="1"/>
  <c r="C351" i="1"/>
  <c r="G350" i="1"/>
  <c r="F350" i="1"/>
  <c r="E350" i="1"/>
  <c r="D350" i="1"/>
  <c r="C350" i="1"/>
  <c r="G349" i="1"/>
  <c r="F349" i="1"/>
  <c r="E349" i="1"/>
  <c r="D349" i="1"/>
  <c r="C349" i="1"/>
  <c r="G348" i="1"/>
  <c r="F348" i="1"/>
  <c r="E348" i="1"/>
  <c r="D348" i="1"/>
  <c r="C348" i="1"/>
  <c r="G347" i="1"/>
  <c r="F347" i="1"/>
  <c r="E347" i="1"/>
  <c r="D347" i="1"/>
  <c r="C347" i="1"/>
  <c r="G346" i="1"/>
  <c r="F346" i="1"/>
  <c r="E346" i="1"/>
  <c r="D346" i="1"/>
  <c r="C346" i="1"/>
  <c r="G345" i="1"/>
  <c r="F345" i="1"/>
  <c r="E345" i="1"/>
  <c r="D345" i="1"/>
  <c r="C345" i="1"/>
  <c r="G344" i="1"/>
  <c r="F344" i="1"/>
  <c r="E344" i="1"/>
  <c r="D344" i="1"/>
  <c r="C344" i="1"/>
  <c r="G343" i="1"/>
  <c r="F343" i="1"/>
  <c r="E343" i="1"/>
  <c r="D343" i="1"/>
  <c r="C343" i="1"/>
  <c r="G342" i="1"/>
  <c r="F342" i="1"/>
  <c r="E342" i="1"/>
  <c r="D342" i="1"/>
  <c r="C342" i="1"/>
  <c r="G341" i="1"/>
  <c r="F341" i="1"/>
  <c r="E341" i="1"/>
  <c r="D341" i="1"/>
  <c r="C341" i="1"/>
  <c r="G340" i="1"/>
  <c r="F340" i="1"/>
  <c r="E340" i="1"/>
  <c r="D340" i="1"/>
  <c r="C340" i="1"/>
  <c r="G339" i="1"/>
  <c r="F339" i="1"/>
  <c r="E339" i="1"/>
  <c r="D339" i="1"/>
  <c r="C339" i="1"/>
  <c r="G338" i="1"/>
  <c r="F338" i="1"/>
  <c r="E338" i="1"/>
  <c r="D338" i="1"/>
  <c r="C338" i="1"/>
  <c r="G337" i="1"/>
  <c r="F337" i="1"/>
  <c r="E337" i="1"/>
  <c r="D337" i="1"/>
  <c r="C337" i="1"/>
  <c r="G336" i="1"/>
  <c r="F336" i="1"/>
  <c r="E336" i="1"/>
  <c r="D336" i="1"/>
  <c r="C336" i="1"/>
  <c r="G335" i="1"/>
  <c r="F335" i="1"/>
  <c r="E335" i="1"/>
  <c r="D335" i="1"/>
  <c r="C335" i="1"/>
  <c r="G334" i="1"/>
  <c r="F334" i="1"/>
  <c r="E334" i="1"/>
  <c r="D334" i="1"/>
  <c r="C334" i="1"/>
  <c r="G333" i="1"/>
  <c r="F333" i="1"/>
  <c r="E333" i="1"/>
  <c r="D333" i="1"/>
  <c r="C333" i="1"/>
  <c r="G332" i="1"/>
  <c r="F332" i="1"/>
  <c r="E332" i="1"/>
  <c r="D332" i="1"/>
  <c r="C332" i="1"/>
  <c r="G331" i="1"/>
  <c r="F331" i="1"/>
  <c r="E331" i="1"/>
  <c r="D331" i="1"/>
  <c r="C331" i="1"/>
  <c r="G330" i="1"/>
  <c r="F330" i="1"/>
  <c r="E330" i="1"/>
  <c r="D330" i="1"/>
  <c r="C330" i="1"/>
  <c r="G329" i="1"/>
  <c r="F329" i="1"/>
  <c r="E329" i="1"/>
  <c r="D329" i="1"/>
  <c r="C329" i="1"/>
  <c r="G328" i="1"/>
  <c r="F328" i="1"/>
  <c r="E328" i="1"/>
  <c r="D328" i="1"/>
  <c r="C328" i="1"/>
  <c r="G327" i="1"/>
  <c r="F327" i="1"/>
  <c r="E327" i="1"/>
  <c r="D327" i="1"/>
  <c r="C327" i="1"/>
  <c r="G326" i="1"/>
  <c r="F326" i="1"/>
  <c r="E326" i="1"/>
  <c r="D326" i="1"/>
  <c r="C326" i="1"/>
  <c r="G325" i="1"/>
  <c r="F325" i="1"/>
  <c r="E325" i="1"/>
  <c r="D325" i="1"/>
  <c r="C325" i="1"/>
  <c r="G324" i="1"/>
  <c r="F324" i="1"/>
  <c r="E324" i="1"/>
  <c r="D324" i="1"/>
  <c r="C324" i="1"/>
  <c r="G323" i="1"/>
  <c r="F323" i="1"/>
  <c r="E323" i="1"/>
  <c r="D323" i="1"/>
  <c r="C323" i="1"/>
  <c r="G322" i="1"/>
  <c r="F322" i="1"/>
  <c r="E322" i="1"/>
  <c r="D322" i="1"/>
  <c r="C322" i="1"/>
  <c r="G321" i="1"/>
  <c r="F321" i="1"/>
  <c r="E321" i="1"/>
  <c r="D321" i="1"/>
  <c r="C321" i="1"/>
  <c r="G320" i="1"/>
  <c r="F320" i="1"/>
  <c r="E320" i="1"/>
  <c r="D320" i="1"/>
  <c r="C320" i="1"/>
  <c r="G319" i="1"/>
  <c r="F319" i="1"/>
  <c r="E319" i="1"/>
  <c r="D319" i="1"/>
  <c r="C319" i="1"/>
  <c r="G318" i="1"/>
  <c r="F318" i="1"/>
  <c r="E318" i="1"/>
  <c r="D318" i="1"/>
  <c r="C318" i="1"/>
  <c r="G317" i="1"/>
  <c r="F317" i="1"/>
  <c r="E317" i="1"/>
  <c r="D317" i="1"/>
  <c r="C317" i="1"/>
  <c r="G316" i="1"/>
  <c r="F316" i="1"/>
  <c r="E316" i="1"/>
  <c r="D316" i="1"/>
  <c r="C316" i="1"/>
  <c r="G315" i="1"/>
  <c r="F315" i="1"/>
  <c r="E315" i="1"/>
  <c r="D315" i="1"/>
  <c r="C315" i="1"/>
  <c r="G314" i="1"/>
  <c r="F314" i="1"/>
  <c r="E314" i="1"/>
  <c r="D314" i="1"/>
  <c r="C314" i="1"/>
  <c r="G313" i="1"/>
  <c r="F313" i="1"/>
  <c r="E313" i="1"/>
  <c r="D313" i="1"/>
  <c r="C313" i="1"/>
  <c r="G312" i="1"/>
  <c r="F312" i="1"/>
  <c r="E312" i="1"/>
  <c r="D312" i="1"/>
  <c r="C312" i="1"/>
  <c r="G311" i="1"/>
  <c r="F311" i="1"/>
  <c r="E311" i="1"/>
  <c r="D311" i="1"/>
  <c r="C311" i="1"/>
  <c r="G310" i="1"/>
  <c r="F310" i="1"/>
  <c r="E310" i="1"/>
  <c r="D310" i="1"/>
  <c r="C310" i="1"/>
  <c r="G309" i="1"/>
  <c r="F309" i="1"/>
  <c r="E309" i="1"/>
  <c r="D309" i="1"/>
  <c r="C309" i="1"/>
  <c r="G308" i="1"/>
  <c r="F308" i="1"/>
  <c r="E308" i="1"/>
  <c r="D308" i="1"/>
  <c r="C308" i="1"/>
  <c r="G307" i="1"/>
  <c r="F307" i="1"/>
  <c r="E307" i="1"/>
  <c r="D307" i="1"/>
  <c r="C307" i="1"/>
  <c r="G306" i="1"/>
  <c r="F306" i="1"/>
  <c r="E306" i="1"/>
  <c r="D306" i="1"/>
  <c r="C306" i="1"/>
  <c r="G305" i="1"/>
  <c r="F305" i="1"/>
  <c r="E305" i="1"/>
  <c r="D305" i="1"/>
  <c r="C305" i="1"/>
  <c r="G304" i="1"/>
  <c r="F304" i="1"/>
  <c r="E304" i="1"/>
  <c r="D304" i="1"/>
  <c r="C304" i="1"/>
  <c r="G303" i="1"/>
  <c r="F303" i="1"/>
  <c r="E303" i="1"/>
  <c r="D303" i="1"/>
  <c r="C303" i="1"/>
  <c r="G302" i="1"/>
  <c r="F302" i="1"/>
  <c r="E302" i="1"/>
  <c r="D302" i="1"/>
  <c r="C302" i="1"/>
  <c r="G301" i="1"/>
  <c r="F301" i="1"/>
  <c r="E301" i="1"/>
  <c r="D301" i="1"/>
  <c r="C301" i="1"/>
  <c r="G300" i="1"/>
  <c r="F300" i="1"/>
  <c r="E300" i="1"/>
  <c r="D300" i="1"/>
  <c r="C300" i="1"/>
  <c r="G299" i="1"/>
  <c r="F299" i="1"/>
  <c r="E299" i="1"/>
  <c r="D299" i="1"/>
  <c r="C299" i="1"/>
  <c r="G298" i="1"/>
  <c r="F298" i="1"/>
  <c r="E298" i="1"/>
  <c r="D298" i="1"/>
  <c r="C298" i="1"/>
  <c r="G297" i="1"/>
  <c r="F297" i="1"/>
  <c r="E297" i="1"/>
  <c r="D297" i="1"/>
  <c r="C297" i="1"/>
  <c r="G296" i="1"/>
  <c r="F296" i="1"/>
  <c r="E296" i="1"/>
  <c r="D296" i="1"/>
  <c r="C296" i="1"/>
  <c r="G295" i="1"/>
  <c r="F295" i="1"/>
  <c r="E295" i="1"/>
  <c r="D295" i="1"/>
  <c r="C295" i="1"/>
  <c r="G294" i="1"/>
  <c r="F294" i="1"/>
  <c r="E294" i="1"/>
  <c r="D294" i="1"/>
  <c r="C294" i="1"/>
  <c r="G293" i="1"/>
  <c r="F293" i="1"/>
  <c r="E293" i="1"/>
  <c r="D293" i="1"/>
  <c r="C293" i="1"/>
  <c r="G292" i="1"/>
  <c r="F292" i="1"/>
  <c r="E292" i="1"/>
  <c r="D292" i="1"/>
  <c r="C292" i="1"/>
  <c r="G291" i="1"/>
  <c r="F291" i="1"/>
  <c r="E291" i="1"/>
  <c r="D291" i="1"/>
  <c r="C291" i="1"/>
  <c r="G290" i="1"/>
  <c r="F290" i="1"/>
  <c r="E290" i="1"/>
  <c r="D290" i="1"/>
  <c r="C290" i="1"/>
  <c r="G289" i="1"/>
  <c r="F289" i="1"/>
  <c r="E289" i="1"/>
  <c r="D289" i="1"/>
  <c r="C289" i="1"/>
  <c r="G288" i="1"/>
  <c r="F288" i="1"/>
  <c r="E288" i="1"/>
  <c r="D288" i="1"/>
  <c r="C288" i="1"/>
  <c r="G287" i="1"/>
  <c r="F287" i="1"/>
  <c r="E287" i="1"/>
  <c r="D287" i="1"/>
  <c r="C287" i="1"/>
  <c r="G286" i="1"/>
  <c r="F286" i="1"/>
  <c r="E286" i="1"/>
  <c r="D286" i="1"/>
  <c r="C286" i="1"/>
  <c r="G285" i="1"/>
  <c r="F285" i="1"/>
  <c r="E285" i="1"/>
  <c r="D285" i="1"/>
  <c r="C285" i="1"/>
  <c r="G284" i="1"/>
  <c r="F284" i="1"/>
  <c r="E284" i="1"/>
  <c r="D284" i="1"/>
  <c r="C284" i="1"/>
  <c r="G283" i="1"/>
  <c r="F283" i="1"/>
  <c r="E283" i="1"/>
  <c r="D283" i="1"/>
  <c r="C283" i="1"/>
  <c r="G282" i="1"/>
  <c r="F282" i="1"/>
  <c r="E282" i="1"/>
  <c r="D282" i="1"/>
  <c r="C282" i="1"/>
  <c r="G281" i="1"/>
  <c r="F281" i="1"/>
  <c r="E281" i="1"/>
  <c r="D281" i="1"/>
  <c r="C281" i="1"/>
  <c r="G280" i="1"/>
  <c r="F280" i="1"/>
  <c r="E280" i="1"/>
  <c r="D280" i="1"/>
  <c r="C280" i="1"/>
  <c r="G279" i="1"/>
  <c r="F279" i="1"/>
  <c r="E279" i="1"/>
  <c r="D279" i="1"/>
  <c r="C279" i="1"/>
  <c r="G278" i="1"/>
  <c r="F278" i="1"/>
  <c r="E278" i="1"/>
  <c r="D278" i="1"/>
  <c r="C278" i="1"/>
  <c r="G277" i="1"/>
  <c r="F277" i="1"/>
  <c r="E277" i="1"/>
  <c r="D277" i="1"/>
  <c r="C277" i="1"/>
  <c r="G276" i="1"/>
  <c r="F276" i="1"/>
  <c r="E276" i="1"/>
  <c r="D276" i="1"/>
  <c r="C276" i="1"/>
  <c r="G275" i="1"/>
  <c r="F275" i="1"/>
  <c r="E275" i="1"/>
  <c r="D275" i="1"/>
  <c r="C275" i="1"/>
  <c r="G274" i="1"/>
  <c r="F274" i="1"/>
  <c r="E274" i="1"/>
  <c r="D274" i="1"/>
  <c r="C274" i="1"/>
  <c r="G273" i="1"/>
  <c r="F273" i="1"/>
  <c r="E273" i="1"/>
  <c r="D273" i="1"/>
  <c r="C273" i="1"/>
  <c r="G272" i="1"/>
  <c r="F272" i="1"/>
  <c r="E272" i="1"/>
  <c r="D272" i="1"/>
  <c r="C272" i="1"/>
  <c r="G271" i="1"/>
  <c r="F271" i="1"/>
  <c r="E271" i="1"/>
  <c r="D271" i="1"/>
  <c r="C271" i="1"/>
  <c r="G270" i="1"/>
  <c r="F270" i="1"/>
  <c r="E270" i="1"/>
  <c r="D270" i="1"/>
  <c r="C270" i="1"/>
  <c r="G269" i="1"/>
  <c r="F269" i="1"/>
  <c r="E269" i="1"/>
  <c r="D269" i="1"/>
  <c r="C269" i="1"/>
  <c r="G268" i="1"/>
  <c r="F268" i="1"/>
  <c r="E268" i="1"/>
  <c r="D268" i="1"/>
  <c r="C268" i="1"/>
  <c r="G267" i="1"/>
  <c r="F267" i="1"/>
  <c r="E267" i="1"/>
  <c r="D267" i="1"/>
  <c r="C267" i="1"/>
  <c r="G266" i="1"/>
  <c r="F266" i="1"/>
  <c r="E266" i="1"/>
  <c r="D266" i="1"/>
  <c r="C266" i="1"/>
  <c r="G265" i="1"/>
  <c r="F265" i="1"/>
  <c r="E265" i="1"/>
  <c r="D265" i="1"/>
  <c r="C265" i="1"/>
  <c r="G264" i="1"/>
  <c r="F264" i="1"/>
  <c r="E264" i="1"/>
  <c r="D264" i="1"/>
  <c r="C264" i="1"/>
  <c r="G263" i="1"/>
  <c r="F263" i="1"/>
  <c r="E263" i="1"/>
  <c r="D263" i="1"/>
  <c r="C263" i="1"/>
  <c r="G262" i="1"/>
  <c r="F262" i="1"/>
  <c r="E262" i="1"/>
  <c r="D262" i="1"/>
  <c r="C262" i="1"/>
  <c r="G261" i="1"/>
  <c r="F261" i="1"/>
  <c r="E261" i="1"/>
  <c r="D261" i="1"/>
  <c r="C261" i="1"/>
  <c r="G260" i="1"/>
  <c r="F260" i="1"/>
  <c r="E260" i="1"/>
  <c r="D260" i="1"/>
  <c r="C260" i="1"/>
  <c r="G259" i="1"/>
  <c r="F259" i="1"/>
  <c r="E259" i="1"/>
  <c r="D259" i="1"/>
  <c r="C259" i="1"/>
  <c r="G258" i="1"/>
  <c r="F258" i="1"/>
  <c r="E258" i="1"/>
  <c r="D258" i="1"/>
  <c r="C258" i="1"/>
  <c r="G257" i="1"/>
  <c r="F257" i="1"/>
  <c r="E257" i="1"/>
  <c r="D257" i="1"/>
  <c r="C257" i="1"/>
  <c r="G256" i="1"/>
  <c r="F256" i="1"/>
  <c r="E256" i="1"/>
  <c r="D256" i="1"/>
  <c r="C256" i="1"/>
  <c r="G255" i="1"/>
  <c r="F255" i="1"/>
  <c r="E255" i="1"/>
  <c r="D255" i="1"/>
  <c r="C255" i="1"/>
  <c r="G254" i="1"/>
  <c r="F254" i="1"/>
  <c r="E254" i="1"/>
  <c r="D254" i="1"/>
  <c r="C254" i="1"/>
  <c r="G253" i="1"/>
  <c r="F253" i="1"/>
  <c r="E253" i="1"/>
  <c r="D253" i="1"/>
  <c r="C253" i="1"/>
  <c r="G252" i="1"/>
  <c r="F252" i="1"/>
  <c r="E252" i="1"/>
  <c r="D252" i="1"/>
  <c r="C252" i="1"/>
  <c r="G251" i="1"/>
  <c r="F251" i="1"/>
  <c r="E251" i="1"/>
  <c r="D251" i="1"/>
  <c r="C251" i="1"/>
  <c r="G250" i="1"/>
  <c r="F250" i="1"/>
  <c r="E250" i="1"/>
  <c r="D250" i="1"/>
  <c r="C250" i="1"/>
  <c r="G249" i="1"/>
  <c r="F249" i="1"/>
  <c r="E249" i="1"/>
  <c r="D249" i="1"/>
  <c r="C249" i="1"/>
  <c r="G248" i="1"/>
  <c r="F248" i="1"/>
  <c r="E248" i="1"/>
  <c r="D248" i="1"/>
  <c r="C248" i="1"/>
  <c r="G247" i="1"/>
  <c r="F247" i="1"/>
  <c r="E247" i="1"/>
  <c r="D247" i="1"/>
  <c r="C247" i="1"/>
  <c r="G246" i="1"/>
  <c r="F246" i="1"/>
  <c r="E246" i="1"/>
  <c r="D246" i="1"/>
  <c r="C246" i="1"/>
  <c r="G245" i="1"/>
  <c r="F245" i="1"/>
  <c r="E245" i="1"/>
  <c r="D245" i="1"/>
  <c r="C245" i="1"/>
  <c r="G244" i="1"/>
  <c r="F244" i="1"/>
  <c r="E244" i="1"/>
  <c r="D244" i="1"/>
  <c r="C244" i="1"/>
  <c r="G243" i="1"/>
  <c r="F243" i="1"/>
  <c r="E243" i="1"/>
  <c r="D243" i="1"/>
  <c r="C243" i="1"/>
  <c r="G242" i="1"/>
  <c r="F242" i="1"/>
  <c r="E242" i="1"/>
  <c r="D242" i="1"/>
  <c r="C242" i="1"/>
  <c r="G241" i="1"/>
  <c r="F241" i="1"/>
  <c r="E241" i="1"/>
  <c r="D241" i="1"/>
  <c r="C241" i="1"/>
  <c r="G240" i="1"/>
  <c r="F240" i="1"/>
  <c r="E240" i="1"/>
  <c r="D240" i="1"/>
  <c r="C240" i="1"/>
  <c r="G239" i="1"/>
  <c r="F239" i="1"/>
  <c r="E239" i="1"/>
  <c r="D239" i="1"/>
  <c r="C239" i="1"/>
  <c r="G238" i="1"/>
  <c r="F238" i="1"/>
  <c r="E238" i="1"/>
  <c r="D238" i="1"/>
  <c r="C238" i="1"/>
  <c r="G237" i="1"/>
  <c r="F237" i="1"/>
  <c r="E237" i="1"/>
  <c r="D237" i="1"/>
  <c r="C237" i="1"/>
  <c r="G236" i="1"/>
  <c r="F236" i="1"/>
  <c r="E236" i="1"/>
  <c r="D236" i="1"/>
  <c r="C236" i="1"/>
  <c r="G235" i="1"/>
  <c r="F235" i="1"/>
  <c r="E235" i="1"/>
  <c r="D235" i="1"/>
  <c r="C235" i="1"/>
  <c r="G234" i="1"/>
  <c r="F234" i="1"/>
  <c r="E234" i="1"/>
  <c r="D234" i="1"/>
  <c r="C234" i="1"/>
  <c r="G233" i="1"/>
  <c r="F233" i="1"/>
  <c r="E233" i="1"/>
  <c r="D233" i="1"/>
  <c r="C233" i="1"/>
  <c r="G232" i="1"/>
  <c r="F232" i="1"/>
  <c r="E232" i="1"/>
  <c r="D232" i="1"/>
  <c r="C232" i="1"/>
  <c r="G231" i="1"/>
  <c r="F231" i="1"/>
  <c r="E231" i="1"/>
  <c r="D231" i="1"/>
  <c r="C231" i="1"/>
  <c r="G230" i="1"/>
  <c r="F230" i="1"/>
  <c r="E230" i="1"/>
  <c r="D230" i="1"/>
  <c r="C230" i="1"/>
  <c r="G229" i="1"/>
  <c r="F229" i="1"/>
  <c r="E229" i="1"/>
  <c r="D229" i="1"/>
  <c r="C229" i="1"/>
  <c r="G228" i="1"/>
  <c r="F228" i="1"/>
  <c r="E228" i="1"/>
  <c r="D228" i="1"/>
  <c r="C228" i="1"/>
  <c r="G227" i="1"/>
  <c r="F227" i="1"/>
  <c r="E227" i="1"/>
  <c r="D227" i="1"/>
  <c r="C227" i="1"/>
  <c r="G226" i="1"/>
  <c r="F226" i="1"/>
  <c r="E226" i="1"/>
  <c r="D226" i="1"/>
  <c r="C226" i="1"/>
  <c r="G225" i="1"/>
  <c r="F225" i="1"/>
  <c r="E225" i="1"/>
  <c r="D225" i="1"/>
  <c r="C225" i="1"/>
  <c r="G224" i="1"/>
  <c r="F224" i="1"/>
  <c r="E224" i="1"/>
  <c r="D224" i="1"/>
  <c r="C224" i="1"/>
  <c r="G223" i="1"/>
  <c r="F223" i="1"/>
  <c r="E223" i="1"/>
  <c r="D223" i="1"/>
  <c r="C223" i="1"/>
  <c r="G222" i="1"/>
  <c r="F222" i="1"/>
  <c r="E222" i="1"/>
  <c r="D222" i="1"/>
  <c r="C222" i="1"/>
  <c r="G221" i="1"/>
  <c r="F221" i="1"/>
  <c r="E221" i="1"/>
  <c r="D221" i="1"/>
  <c r="C221" i="1"/>
  <c r="G220" i="1"/>
  <c r="F220" i="1"/>
  <c r="E220" i="1"/>
  <c r="D220" i="1"/>
  <c r="C220" i="1"/>
  <c r="G219" i="1"/>
  <c r="F219" i="1"/>
  <c r="E219" i="1"/>
  <c r="D219" i="1"/>
  <c r="C219" i="1"/>
  <c r="G218" i="1"/>
  <c r="F218" i="1"/>
  <c r="E218" i="1"/>
  <c r="D218" i="1"/>
  <c r="C218" i="1"/>
  <c r="G217" i="1"/>
  <c r="F217" i="1"/>
  <c r="E217" i="1"/>
  <c r="D217" i="1"/>
  <c r="C217" i="1"/>
  <c r="G216" i="1"/>
  <c r="F216" i="1"/>
  <c r="E216" i="1"/>
  <c r="D216" i="1"/>
  <c r="C216" i="1"/>
  <c r="G215" i="1"/>
  <c r="F215" i="1"/>
  <c r="E215" i="1"/>
  <c r="D215" i="1"/>
  <c r="C215" i="1"/>
  <c r="G214" i="1"/>
  <c r="F214" i="1"/>
  <c r="E214" i="1"/>
  <c r="D214" i="1"/>
  <c r="C214" i="1"/>
  <c r="G213" i="1"/>
  <c r="F213" i="1"/>
  <c r="E213" i="1"/>
  <c r="D213" i="1"/>
  <c r="C213" i="1"/>
  <c r="G212" i="1"/>
  <c r="F212" i="1"/>
  <c r="E212" i="1"/>
  <c r="D212" i="1"/>
  <c r="C212" i="1"/>
  <c r="G211" i="1"/>
  <c r="F211" i="1"/>
  <c r="E211" i="1"/>
  <c r="D211" i="1"/>
  <c r="C211" i="1"/>
  <c r="G210" i="1"/>
  <c r="F210" i="1"/>
  <c r="E210" i="1"/>
  <c r="D210" i="1"/>
  <c r="C210" i="1"/>
  <c r="G209" i="1"/>
  <c r="F209" i="1"/>
  <c r="E209" i="1"/>
  <c r="D209" i="1"/>
  <c r="C209" i="1"/>
  <c r="G208" i="1"/>
  <c r="F208" i="1"/>
  <c r="E208" i="1"/>
  <c r="D208" i="1"/>
  <c r="C208" i="1"/>
  <c r="G207" i="1"/>
  <c r="F207" i="1"/>
  <c r="E207" i="1"/>
  <c r="D207" i="1"/>
  <c r="C207" i="1"/>
  <c r="G206" i="1"/>
  <c r="F206" i="1"/>
  <c r="E206" i="1"/>
  <c r="D206" i="1"/>
  <c r="C206" i="1"/>
  <c r="G205" i="1"/>
  <c r="F205" i="1"/>
  <c r="E205" i="1"/>
  <c r="D205" i="1"/>
  <c r="C205" i="1"/>
  <c r="G204" i="1"/>
  <c r="F204" i="1"/>
  <c r="E204" i="1"/>
  <c r="D204" i="1"/>
  <c r="C204" i="1"/>
  <c r="G203" i="1"/>
  <c r="F203" i="1"/>
  <c r="E203" i="1"/>
  <c r="D203" i="1"/>
  <c r="C203" i="1"/>
  <c r="G202" i="1"/>
  <c r="F202" i="1"/>
  <c r="E202" i="1"/>
  <c r="D202" i="1"/>
  <c r="C202" i="1"/>
  <c r="G201" i="1"/>
  <c r="F201" i="1"/>
  <c r="E201" i="1"/>
  <c r="D201" i="1"/>
  <c r="C201" i="1"/>
  <c r="G200" i="1"/>
  <c r="F200" i="1"/>
  <c r="E200" i="1"/>
  <c r="D200" i="1"/>
  <c r="C200" i="1"/>
  <c r="G199" i="1"/>
  <c r="F199" i="1"/>
  <c r="E199" i="1"/>
  <c r="D199" i="1"/>
  <c r="C199" i="1"/>
  <c r="G198" i="1"/>
  <c r="F198" i="1"/>
  <c r="E198" i="1"/>
  <c r="D198" i="1"/>
  <c r="C198" i="1"/>
  <c r="G197" i="1"/>
  <c r="F197" i="1"/>
  <c r="E197" i="1"/>
  <c r="D197" i="1"/>
  <c r="C197" i="1"/>
  <c r="G196" i="1"/>
  <c r="F196" i="1"/>
  <c r="E196" i="1"/>
  <c r="D196" i="1"/>
  <c r="C196" i="1"/>
  <c r="G195" i="1"/>
  <c r="F195" i="1"/>
  <c r="E195" i="1"/>
  <c r="D195" i="1"/>
  <c r="C195" i="1"/>
  <c r="G194" i="1"/>
  <c r="F194" i="1"/>
  <c r="E194" i="1"/>
  <c r="D194" i="1"/>
  <c r="C194" i="1"/>
  <c r="G193" i="1"/>
  <c r="F193" i="1"/>
  <c r="E193" i="1"/>
  <c r="D193" i="1"/>
  <c r="C193" i="1"/>
  <c r="G192" i="1"/>
  <c r="F192" i="1"/>
  <c r="E192" i="1"/>
  <c r="D192" i="1"/>
  <c r="C192" i="1"/>
  <c r="G191" i="1"/>
  <c r="F191" i="1"/>
  <c r="E191" i="1"/>
  <c r="D191" i="1"/>
  <c r="C191" i="1"/>
  <c r="G190" i="1"/>
  <c r="F190" i="1"/>
  <c r="E190" i="1"/>
  <c r="D190" i="1"/>
  <c r="C190" i="1"/>
  <c r="G189" i="1"/>
  <c r="F189" i="1"/>
  <c r="E189" i="1"/>
  <c r="D189" i="1"/>
  <c r="C189" i="1"/>
  <c r="G188" i="1"/>
  <c r="F188" i="1"/>
  <c r="E188" i="1"/>
  <c r="D188" i="1"/>
  <c r="C188" i="1"/>
  <c r="G187" i="1"/>
  <c r="F187" i="1"/>
  <c r="E187" i="1"/>
  <c r="D187" i="1"/>
  <c r="C187" i="1"/>
  <c r="G186" i="1"/>
  <c r="F186" i="1"/>
  <c r="E186" i="1"/>
  <c r="D186" i="1"/>
  <c r="C186" i="1"/>
  <c r="G185" i="1"/>
  <c r="F185" i="1"/>
  <c r="E185" i="1"/>
  <c r="D185" i="1"/>
  <c r="C185" i="1"/>
  <c r="G184" i="1"/>
  <c r="F184" i="1"/>
  <c r="E184" i="1"/>
  <c r="D184" i="1"/>
  <c r="C184" i="1"/>
  <c r="G183" i="1"/>
  <c r="F183" i="1"/>
  <c r="E183" i="1"/>
  <c r="D183" i="1"/>
  <c r="C183" i="1"/>
  <c r="G182" i="1"/>
  <c r="F182" i="1"/>
  <c r="E182" i="1"/>
  <c r="D182" i="1"/>
  <c r="C182" i="1"/>
  <c r="G181" i="1"/>
  <c r="F181" i="1"/>
  <c r="E181" i="1"/>
  <c r="D181" i="1"/>
  <c r="C181" i="1"/>
  <c r="G180" i="1"/>
  <c r="F180" i="1"/>
  <c r="E180" i="1"/>
  <c r="D180" i="1"/>
  <c r="C180" i="1"/>
  <c r="G179" i="1"/>
  <c r="F179" i="1"/>
  <c r="E179" i="1"/>
  <c r="D179" i="1"/>
  <c r="C179" i="1"/>
  <c r="G178" i="1"/>
  <c r="F178" i="1"/>
  <c r="E178" i="1"/>
  <c r="D178" i="1"/>
  <c r="C178" i="1"/>
  <c r="G177" i="1"/>
  <c r="F177" i="1"/>
  <c r="E177" i="1"/>
  <c r="D177" i="1"/>
  <c r="C177" i="1"/>
  <c r="G176" i="1"/>
  <c r="F176" i="1"/>
  <c r="E176" i="1"/>
  <c r="D176" i="1"/>
  <c r="C176" i="1"/>
  <c r="G175" i="1"/>
  <c r="F175" i="1"/>
  <c r="E175" i="1"/>
  <c r="D175" i="1"/>
  <c r="C175" i="1"/>
  <c r="G174" i="1"/>
  <c r="F174" i="1"/>
  <c r="E174" i="1"/>
  <c r="D174" i="1"/>
  <c r="C174" i="1"/>
  <c r="G173" i="1"/>
  <c r="F173" i="1"/>
  <c r="E173" i="1"/>
  <c r="D173" i="1"/>
  <c r="C173" i="1"/>
  <c r="G172" i="1"/>
  <c r="F172" i="1"/>
  <c r="E172" i="1"/>
  <c r="D172" i="1"/>
  <c r="C172" i="1"/>
  <c r="G171" i="1"/>
  <c r="F171" i="1"/>
  <c r="E171" i="1"/>
  <c r="D171" i="1"/>
  <c r="C171" i="1"/>
  <c r="G170" i="1"/>
  <c r="F170" i="1"/>
  <c r="E170" i="1"/>
  <c r="D170" i="1"/>
  <c r="C170" i="1"/>
  <c r="G169" i="1"/>
  <c r="F169" i="1"/>
  <c r="E169" i="1"/>
  <c r="D169" i="1"/>
  <c r="C169" i="1"/>
  <c r="G168" i="1"/>
  <c r="F168" i="1"/>
  <c r="E168" i="1"/>
  <c r="D168" i="1"/>
  <c r="C168" i="1"/>
  <c r="G167" i="1"/>
  <c r="F167" i="1"/>
  <c r="E167" i="1"/>
  <c r="D167" i="1"/>
  <c r="C167" i="1"/>
  <c r="G166" i="1"/>
  <c r="F166" i="1"/>
  <c r="E166" i="1"/>
  <c r="D166" i="1"/>
  <c r="C166" i="1"/>
  <c r="G165" i="1"/>
  <c r="F165" i="1"/>
  <c r="E165" i="1"/>
  <c r="D165" i="1"/>
  <c r="C165" i="1"/>
  <c r="G164" i="1"/>
  <c r="F164" i="1"/>
  <c r="E164" i="1"/>
  <c r="D164" i="1"/>
  <c r="C164" i="1"/>
  <c r="G163" i="1"/>
  <c r="F163" i="1"/>
  <c r="E163" i="1"/>
  <c r="D163" i="1"/>
  <c r="C163" i="1"/>
  <c r="G162" i="1"/>
  <c r="F162" i="1"/>
  <c r="E162" i="1"/>
  <c r="D162" i="1"/>
  <c r="C162" i="1"/>
  <c r="G161" i="1"/>
  <c r="F161" i="1"/>
  <c r="E161" i="1"/>
  <c r="D161" i="1"/>
  <c r="C161" i="1"/>
  <c r="G160" i="1"/>
  <c r="F160" i="1"/>
  <c r="E160" i="1"/>
  <c r="D160" i="1"/>
  <c r="C160" i="1"/>
  <c r="G159" i="1"/>
  <c r="F159" i="1"/>
  <c r="E159" i="1"/>
  <c r="D159" i="1"/>
  <c r="C159" i="1"/>
  <c r="G158" i="1"/>
  <c r="F158" i="1"/>
  <c r="E158" i="1"/>
  <c r="D158" i="1"/>
  <c r="C158" i="1"/>
  <c r="G157" i="1"/>
  <c r="F157" i="1"/>
  <c r="E157" i="1"/>
  <c r="D157" i="1"/>
  <c r="C157" i="1"/>
  <c r="G156" i="1"/>
  <c r="F156" i="1"/>
  <c r="E156" i="1"/>
  <c r="D156" i="1"/>
  <c r="C156" i="1"/>
  <c r="G155" i="1"/>
  <c r="F155" i="1"/>
  <c r="E155" i="1"/>
  <c r="D155" i="1"/>
  <c r="C155" i="1"/>
  <c r="G154" i="1"/>
  <c r="F154" i="1"/>
  <c r="E154" i="1"/>
  <c r="D154" i="1"/>
  <c r="C154" i="1"/>
  <c r="G153" i="1"/>
  <c r="F153" i="1"/>
  <c r="E153" i="1"/>
  <c r="D153" i="1"/>
  <c r="C153" i="1"/>
  <c r="G152" i="1"/>
  <c r="F152" i="1"/>
  <c r="E152" i="1"/>
  <c r="D152" i="1"/>
  <c r="C152" i="1"/>
  <c r="G151" i="1"/>
  <c r="F151" i="1"/>
  <c r="E151" i="1"/>
  <c r="D151" i="1"/>
  <c r="C151" i="1"/>
  <c r="G150" i="1"/>
  <c r="F150" i="1"/>
  <c r="E150" i="1"/>
  <c r="D150" i="1"/>
  <c r="C150" i="1"/>
  <c r="G149" i="1"/>
  <c r="F149" i="1"/>
  <c r="E149" i="1"/>
  <c r="D149" i="1"/>
  <c r="C149" i="1"/>
  <c r="G148" i="1"/>
  <c r="F148" i="1"/>
  <c r="E148" i="1"/>
  <c r="D148" i="1"/>
  <c r="C148" i="1"/>
  <c r="G147" i="1"/>
  <c r="F147" i="1"/>
  <c r="E147" i="1"/>
  <c r="D147" i="1"/>
  <c r="C147" i="1"/>
  <c r="G146" i="1"/>
  <c r="F146" i="1"/>
  <c r="E146" i="1"/>
  <c r="D146" i="1"/>
  <c r="C146" i="1"/>
  <c r="G145" i="1"/>
  <c r="F145" i="1"/>
  <c r="E145" i="1"/>
  <c r="D145" i="1"/>
  <c r="C145" i="1"/>
  <c r="G144" i="1"/>
  <c r="F144" i="1"/>
  <c r="E144" i="1"/>
  <c r="D144" i="1"/>
  <c r="C144" i="1"/>
  <c r="G143" i="1"/>
  <c r="F143" i="1"/>
  <c r="E143" i="1"/>
  <c r="D143" i="1"/>
  <c r="C143" i="1"/>
  <c r="G142" i="1"/>
  <c r="F142" i="1"/>
  <c r="E142" i="1"/>
  <c r="D142" i="1"/>
  <c r="C142" i="1"/>
  <c r="G141" i="1"/>
  <c r="F141" i="1"/>
  <c r="E141" i="1"/>
  <c r="D141" i="1"/>
  <c r="C141" i="1"/>
  <c r="G140" i="1"/>
  <c r="F140" i="1"/>
  <c r="E140" i="1"/>
  <c r="D140" i="1"/>
  <c r="C140" i="1"/>
  <c r="G139" i="1"/>
  <c r="F139" i="1"/>
  <c r="E139" i="1"/>
  <c r="D139" i="1"/>
  <c r="C139" i="1"/>
  <c r="G138" i="1"/>
  <c r="F138" i="1"/>
  <c r="E138" i="1"/>
  <c r="D138" i="1"/>
  <c r="C138" i="1"/>
  <c r="G137" i="1"/>
  <c r="F137" i="1"/>
  <c r="E137" i="1"/>
  <c r="D137" i="1"/>
  <c r="C137" i="1"/>
  <c r="G136" i="1"/>
  <c r="F136" i="1"/>
  <c r="E136" i="1"/>
  <c r="D136" i="1"/>
  <c r="C136" i="1"/>
  <c r="G135" i="1"/>
  <c r="F135" i="1"/>
  <c r="E135" i="1"/>
  <c r="D135" i="1"/>
  <c r="C135" i="1"/>
  <c r="G134" i="1"/>
  <c r="F134" i="1"/>
  <c r="E134" i="1"/>
  <c r="D134" i="1"/>
  <c r="C134" i="1"/>
  <c r="G133" i="1"/>
  <c r="F133" i="1"/>
  <c r="E133" i="1"/>
  <c r="D133" i="1"/>
  <c r="C133" i="1"/>
  <c r="G132" i="1"/>
  <c r="F132" i="1"/>
  <c r="E132" i="1"/>
  <c r="D132" i="1"/>
  <c r="C132" i="1"/>
  <c r="G131" i="1"/>
  <c r="F131" i="1"/>
  <c r="E131" i="1"/>
  <c r="D131" i="1"/>
  <c r="C131" i="1"/>
  <c r="G130" i="1"/>
  <c r="F130" i="1"/>
  <c r="E130" i="1"/>
  <c r="D130" i="1"/>
  <c r="C130" i="1"/>
  <c r="G129" i="1"/>
  <c r="F129" i="1"/>
  <c r="E129" i="1"/>
  <c r="D129" i="1"/>
  <c r="C129" i="1"/>
  <c r="G128" i="1"/>
  <c r="F128" i="1"/>
  <c r="E128" i="1"/>
  <c r="D128" i="1"/>
  <c r="C128" i="1"/>
  <c r="G127" i="1"/>
  <c r="F127" i="1"/>
  <c r="E127" i="1"/>
  <c r="D127" i="1"/>
  <c r="C127" i="1"/>
  <c r="G126" i="1"/>
  <c r="F126" i="1"/>
  <c r="E126" i="1"/>
  <c r="D126" i="1"/>
  <c r="C126" i="1"/>
  <c r="G125" i="1"/>
  <c r="F125" i="1"/>
  <c r="E125" i="1"/>
  <c r="D125" i="1"/>
  <c r="C125" i="1"/>
  <c r="G124" i="1"/>
  <c r="F124" i="1"/>
  <c r="E124" i="1"/>
  <c r="D124" i="1"/>
  <c r="C124" i="1"/>
  <c r="G123" i="1"/>
  <c r="F123" i="1"/>
  <c r="E123" i="1"/>
  <c r="D123" i="1"/>
  <c r="C123" i="1"/>
  <c r="G122" i="1"/>
  <c r="F122" i="1"/>
  <c r="E122" i="1"/>
  <c r="D122" i="1"/>
  <c r="C122" i="1"/>
  <c r="G121" i="1"/>
  <c r="F121" i="1"/>
  <c r="E121" i="1"/>
  <c r="D121" i="1"/>
  <c r="C121" i="1"/>
  <c r="G120" i="1"/>
  <c r="F120" i="1"/>
  <c r="E120" i="1"/>
  <c r="D120" i="1"/>
  <c r="C120" i="1"/>
  <c r="G119" i="1"/>
  <c r="F119" i="1"/>
  <c r="E119" i="1"/>
  <c r="D119" i="1"/>
  <c r="C119" i="1"/>
  <c r="G118" i="1"/>
  <c r="F118" i="1"/>
  <c r="E118" i="1"/>
  <c r="D118" i="1"/>
  <c r="C118" i="1"/>
  <c r="G117" i="1"/>
  <c r="F117" i="1"/>
  <c r="E117" i="1"/>
  <c r="D117" i="1"/>
  <c r="C117" i="1"/>
  <c r="G116" i="1"/>
  <c r="F116" i="1"/>
  <c r="E116" i="1"/>
  <c r="D116" i="1"/>
  <c r="C116" i="1"/>
  <c r="G115" i="1"/>
  <c r="F115" i="1"/>
  <c r="E115" i="1"/>
  <c r="D115" i="1"/>
  <c r="C115" i="1"/>
  <c r="G114" i="1"/>
  <c r="F114" i="1"/>
  <c r="E114" i="1"/>
  <c r="D114" i="1"/>
  <c r="C114" i="1"/>
  <c r="G113" i="1"/>
  <c r="F113" i="1"/>
  <c r="E113" i="1"/>
  <c r="D113" i="1"/>
  <c r="C113" i="1"/>
  <c r="G112" i="1"/>
  <c r="F112" i="1"/>
  <c r="E112" i="1"/>
  <c r="D112" i="1"/>
  <c r="C112" i="1"/>
  <c r="G111" i="1"/>
  <c r="F111" i="1"/>
  <c r="E111" i="1"/>
  <c r="D111" i="1"/>
  <c r="C111" i="1"/>
  <c r="G110" i="1"/>
  <c r="F110" i="1"/>
  <c r="E110" i="1"/>
  <c r="D110" i="1"/>
  <c r="C110" i="1"/>
  <c r="G109" i="1"/>
  <c r="F109" i="1"/>
  <c r="E109" i="1"/>
  <c r="D109" i="1"/>
  <c r="C109" i="1"/>
  <c r="G108" i="1"/>
  <c r="F108" i="1"/>
  <c r="E108" i="1"/>
  <c r="D108" i="1"/>
  <c r="C108" i="1"/>
  <c r="G107" i="1"/>
  <c r="F107" i="1"/>
  <c r="E107" i="1"/>
  <c r="D107" i="1"/>
  <c r="C107" i="1"/>
  <c r="G106" i="1"/>
  <c r="F106" i="1"/>
  <c r="E106" i="1"/>
  <c r="D106" i="1"/>
  <c r="C106" i="1"/>
  <c r="G105" i="1"/>
  <c r="F105" i="1"/>
  <c r="E105" i="1"/>
  <c r="D105" i="1"/>
  <c r="C105" i="1"/>
  <c r="G104" i="1"/>
  <c r="F104" i="1"/>
  <c r="E104" i="1"/>
  <c r="D104" i="1"/>
  <c r="C104" i="1"/>
  <c r="G103" i="1"/>
  <c r="F103" i="1"/>
  <c r="E103" i="1"/>
  <c r="D103" i="1"/>
  <c r="C103" i="1"/>
  <c r="G102" i="1"/>
  <c r="F102" i="1"/>
  <c r="E102" i="1"/>
  <c r="D102" i="1"/>
  <c r="C102" i="1"/>
  <c r="G101" i="1"/>
  <c r="F101" i="1"/>
  <c r="E101" i="1"/>
  <c r="D101" i="1"/>
  <c r="C101" i="1"/>
  <c r="G100" i="1"/>
  <c r="F100" i="1"/>
  <c r="E100" i="1"/>
  <c r="D100" i="1"/>
  <c r="C100" i="1"/>
  <c r="G99" i="1"/>
  <c r="F99" i="1"/>
  <c r="E99" i="1"/>
  <c r="D99" i="1"/>
  <c r="C99" i="1"/>
  <c r="G98" i="1"/>
  <c r="F98" i="1"/>
  <c r="E98" i="1"/>
  <c r="D98" i="1"/>
  <c r="C98" i="1"/>
  <c r="G97" i="1"/>
  <c r="F97" i="1"/>
  <c r="E97" i="1"/>
  <c r="D97" i="1"/>
  <c r="C97" i="1"/>
  <c r="G96" i="1"/>
  <c r="F96" i="1"/>
  <c r="E96" i="1"/>
  <c r="D96" i="1"/>
  <c r="C96" i="1"/>
  <c r="G95" i="1"/>
  <c r="F95" i="1"/>
  <c r="E95" i="1"/>
  <c r="D95" i="1"/>
  <c r="C95" i="1"/>
  <c r="G94" i="1"/>
  <c r="F94" i="1"/>
  <c r="E94" i="1"/>
  <c r="D94" i="1"/>
  <c r="C94" i="1"/>
  <c r="G93" i="1"/>
  <c r="F93" i="1"/>
  <c r="E93" i="1"/>
  <c r="D93" i="1"/>
  <c r="C93" i="1"/>
  <c r="G92" i="1"/>
  <c r="F92" i="1"/>
  <c r="E92" i="1"/>
  <c r="D92" i="1"/>
  <c r="C92" i="1"/>
  <c r="G91" i="1"/>
  <c r="F91" i="1"/>
  <c r="E91" i="1"/>
  <c r="D91" i="1"/>
  <c r="C91" i="1"/>
  <c r="G90" i="1"/>
  <c r="F90" i="1"/>
  <c r="E90" i="1"/>
  <c r="D90" i="1"/>
  <c r="C90" i="1"/>
  <c r="G89" i="1"/>
  <c r="F89" i="1"/>
  <c r="E89" i="1"/>
  <c r="D89" i="1"/>
  <c r="C89" i="1"/>
  <c r="G88" i="1"/>
  <c r="F88" i="1"/>
  <c r="E88" i="1"/>
  <c r="D88" i="1"/>
  <c r="C88" i="1"/>
  <c r="G87" i="1"/>
  <c r="F87" i="1"/>
  <c r="E87" i="1"/>
  <c r="D87" i="1"/>
  <c r="C87" i="1"/>
  <c r="G86" i="1"/>
  <c r="F86" i="1"/>
  <c r="E86" i="1"/>
  <c r="D86" i="1"/>
  <c r="C86" i="1"/>
  <c r="G85" i="1"/>
  <c r="F85" i="1"/>
  <c r="E85" i="1"/>
  <c r="D85" i="1"/>
  <c r="C85" i="1"/>
  <c r="G84" i="1"/>
  <c r="F84" i="1"/>
  <c r="E84" i="1"/>
  <c r="D84" i="1"/>
  <c r="C84" i="1"/>
  <c r="G83" i="1"/>
  <c r="F83" i="1"/>
  <c r="E83" i="1"/>
  <c r="D83" i="1"/>
  <c r="C83" i="1"/>
  <c r="G82" i="1"/>
  <c r="F82" i="1"/>
  <c r="E82" i="1"/>
  <c r="D82" i="1"/>
  <c r="C82" i="1"/>
  <c r="G81" i="1"/>
  <c r="F81" i="1"/>
  <c r="E81" i="1"/>
  <c r="D81" i="1"/>
  <c r="C81" i="1"/>
  <c r="G80" i="1"/>
  <c r="F80" i="1"/>
  <c r="E80" i="1"/>
  <c r="D80" i="1"/>
  <c r="C80" i="1"/>
  <c r="G79" i="1"/>
  <c r="F79" i="1"/>
  <c r="E79" i="1"/>
  <c r="D79" i="1"/>
  <c r="C79" i="1"/>
  <c r="G78" i="1"/>
  <c r="F78" i="1"/>
  <c r="E78" i="1"/>
  <c r="D78" i="1"/>
  <c r="C78" i="1"/>
  <c r="G77" i="1"/>
  <c r="F77" i="1"/>
  <c r="E77" i="1"/>
  <c r="D77" i="1"/>
  <c r="C77" i="1"/>
  <c r="G76" i="1"/>
  <c r="F76" i="1"/>
  <c r="E76" i="1"/>
  <c r="D76" i="1"/>
  <c r="C76" i="1"/>
  <c r="G75" i="1"/>
  <c r="F75" i="1"/>
  <c r="E75" i="1"/>
  <c r="D75" i="1"/>
  <c r="C75" i="1"/>
  <c r="G74" i="1"/>
  <c r="F74" i="1"/>
  <c r="E74" i="1"/>
  <c r="D74" i="1"/>
  <c r="C74" i="1"/>
  <c r="G73" i="1"/>
  <c r="F73" i="1"/>
  <c r="E73" i="1"/>
  <c r="D73" i="1"/>
  <c r="C73" i="1"/>
  <c r="G72" i="1"/>
  <c r="F72" i="1"/>
  <c r="E72" i="1"/>
  <c r="D72" i="1"/>
  <c r="C72" i="1"/>
  <c r="G71" i="1"/>
  <c r="F71" i="1"/>
  <c r="E71" i="1"/>
  <c r="D71" i="1"/>
  <c r="C71" i="1"/>
  <c r="G70" i="1"/>
  <c r="F70" i="1"/>
  <c r="E70" i="1"/>
  <c r="D70" i="1"/>
  <c r="C70" i="1"/>
  <c r="G69" i="1"/>
  <c r="F69" i="1"/>
  <c r="E69" i="1"/>
  <c r="D69" i="1"/>
  <c r="C69" i="1"/>
  <c r="G68" i="1"/>
  <c r="F68" i="1"/>
  <c r="E68" i="1"/>
  <c r="D68" i="1"/>
  <c r="C68" i="1"/>
  <c r="G67" i="1"/>
  <c r="F67" i="1"/>
  <c r="E67" i="1"/>
  <c r="D67" i="1"/>
  <c r="C67" i="1"/>
  <c r="G66" i="1"/>
  <c r="F66" i="1"/>
  <c r="E66" i="1"/>
  <c r="D66" i="1"/>
  <c r="C66" i="1"/>
  <c r="G65" i="1"/>
  <c r="F65" i="1"/>
  <c r="E65" i="1"/>
  <c r="D65" i="1"/>
  <c r="C65" i="1"/>
  <c r="G64" i="1"/>
  <c r="F64" i="1"/>
  <c r="E64" i="1"/>
  <c r="D64" i="1"/>
  <c r="C64" i="1"/>
  <c r="G63" i="1"/>
  <c r="F63" i="1"/>
  <c r="E63" i="1"/>
  <c r="D63" i="1"/>
  <c r="C63" i="1"/>
  <c r="G62" i="1"/>
  <c r="F62" i="1"/>
  <c r="E62" i="1"/>
  <c r="D62" i="1"/>
  <c r="C62" i="1"/>
  <c r="G61" i="1"/>
  <c r="F61" i="1"/>
  <c r="E61" i="1"/>
  <c r="D61" i="1"/>
  <c r="C61" i="1"/>
  <c r="G60" i="1"/>
  <c r="F60" i="1"/>
  <c r="E60" i="1"/>
  <c r="D60" i="1"/>
  <c r="C60" i="1"/>
  <c r="G59" i="1"/>
  <c r="F59" i="1"/>
  <c r="E59" i="1"/>
  <c r="D59" i="1"/>
  <c r="C59" i="1"/>
  <c r="G58" i="1"/>
  <c r="F58" i="1"/>
  <c r="E58" i="1"/>
  <c r="D58" i="1"/>
  <c r="C58" i="1"/>
  <c r="G57" i="1"/>
  <c r="F57" i="1"/>
  <c r="E57" i="1"/>
  <c r="D57" i="1"/>
  <c r="C57" i="1"/>
  <c r="G56" i="1"/>
  <c r="F56" i="1"/>
  <c r="E56" i="1"/>
  <c r="D56" i="1"/>
  <c r="C56" i="1"/>
  <c r="G55" i="1"/>
  <c r="F55" i="1"/>
  <c r="E55" i="1"/>
  <c r="D55" i="1"/>
  <c r="C55" i="1"/>
  <c r="G54" i="1"/>
  <c r="F54" i="1"/>
  <c r="E54" i="1"/>
  <c r="D54" i="1"/>
  <c r="C54" i="1"/>
  <c r="G53" i="1"/>
  <c r="F53" i="1"/>
  <c r="E53" i="1"/>
  <c r="D53" i="1"/>
  <c r="C53" i="1"/>
  <c r="G52" i="1"/>
  <c r="F52" i="1"/>
  <c r="E52" i="1"/>
  <c r="D52" i="1"/>
  <c r="C52" i="1"/>
  <c r="G51" i="1"/>
  <c r="F51" i="1"/>
  <c r="E51" i="1"/>
  <c r="D51" i="1"/>
  <c r="C51" i="1"/>
  <c r="G50" i="1"/>
  <c r="F50" i="1"/>
  <c r="E50" i="1"/>
  <c r="D50" i="1"/>
  <c r="C50" i="1"/>
  <c r="G49" i="1"/>
  <c r="F49" i="1"/>
  <c r="E49" i="1"/>
  <c r="D49" i="1"/>
  <c r="C49" i="1"/>
  <c r="G48" i="1"/>
  <c r="F48" i="1"/>
  <c r="E48" i="1"/>
  <c r="D48" i="1"/>
  <c r="C48" i="1"/>
  <c r="G47" i="1"/>
  <c r="F47" i="1"/>
  <c r="E47" i="1"/>
  <c r="D47" i="1"/>
  <c r="C47" i="1"/>
  <c r="G46" i="1"/>
  <c r="F46" i="1"/>
  <c r="E46" i="1"/>
  <c r="D46" i="1"/>
  <c r="C46" i="1"/>
  <c r="G45" i="1"/>
  <c r="F45" i="1"/>
  <c r="E45" i="1"/>
  <c r="D45" i="1"/>
  <c r="C45" i="1"/>
  <c r="G44" i="1"/>
  <c r="F44" i="1"/>
  <c r="E44" i="1"/>
  <c r="D44" i="1"/>
  <c r="C44" i="1"/>
  <c r="G43" i="1"/>
  <c r="F43" i="1"/>
  <c r="E43" i="1"/>
  <c r="D43" i="1"/>
  <c r="C43" i="1"/>
  <c r="G42" i="1"/>
  <c r="F42" i="1"/>
  <c r="E42" i="1"/>
  <c r="D42" i="1"/>
  <c r="C42" i="1"/>
  <c r="G41" i="1"/>
  <c r="F41" i="1"/>
  <c r="E41" i="1"/>
  <c r="D41" i="1"/>
  <c r="C41" i="1"/>
  <c r="G40" i="1"/>
  <c r="F40" i="1"/>
  <c r="E40" i="1"/>
  <c r="D40" i="1"/>
  <c r="C40" i="1"/>
  <c r="G39" i="1"/>
  <c r="F39" i="1"/>
  <c r="E39" i="1"/>
  <c r="D39" i="1"/>
  <c r="C39" i="1"/>
  <c r="G38" i="1"/>
  <c r="F38" i="1"/>
  <c r="E38" i="1"/>
  <c r="D38" i="1"/>
  <c r="C38" i="1"/>
  <c r="G37" i="1"/>
  <c r="F37" i="1"/>
  <c r="E37" i="1"/>
  <c r="D37" i="1"/>
  <c r="C37" i="1"/>
  <c r="G36" i="1"/>
  <c r="F36" i="1"/>
  <c r="E36" i="1"/>
  <c r="D36" i="1"/>
  <c r="C36" i="1"/>
  <c r="G35" i="1"/>
  <c r="F35" i="1"/>
  <c r="E35" i="1"/>
  <c r="D35" i="1"/>
  <c r="C35" i="1"/>
  <c r="G34" i="1"/>
  <c r="F34" i="1"/>
  <c r="E34" i="1"/>
  <c r="D34" i="1"/>
  <c r="C34" i="1"/>
  <c r="G33" i="1"/>
  <c r="F33" i="1"/>
  <c r="E33" i="1"/>
  <c r="D33" i="1"/>
  <c r="C33" i="1"/>
  <c r="G32" i="1"/>
  <c r="F32" i="1"/>
  <c r="E32" i="1"/>
  <c r="D32" i="1"/>
  <c r="C32" i="1"/>
  <c r="G31" i="1"/>
  <c r="F31" i="1"/>
  <c r="E31" i="1"/>
  <c r="D31" i="1"/>
  <c r="C31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G27" i="1"/>
  <c r="F27" i="1"/>
  <c r="E27" i="1"/>
  <c r="D27" i="1"/>
  <c r="C27" i="1"/>
  <c r="G26" i="1"/>
  <c r="F26" i="1"/>
  <c r="E26" i="1"/>
  <c r="D26" i="1"/>
  <c r="C26" i="1"/>
  <c r="G25" i="1"/>
  <c r="F25" i="1"/>
  <c r="E25" i="1"/>
  <c r="D25" i="1"/>
  <c r="C25" i="1"/>
  <c r="G24" i="1"/>
  <c r="F24" i="1"/>
  <c r="E24" i="1"/>
  <c r="D24" i="1"/>
  <c r="C24" i="1"/>
  <c r="G23" i="1"/>
  <c r="F23" i="1"/>
  <c r="E23" i="1"/>
  <c r="D23" i="1"/>
  <c r="C23" i="1"/>
  <c r="G22" i="1"/>
  <c r="F22" i="1"/>
  <c r="E22" i="1"/>
  <c r="D22" i="1"/>
  <c r="C22" i="1"/>
  <c r="G21" i="1"/>
  <c r="F21" i="1"/>
  <c r="E21" i="1"/>
  <c r="D21" i="1"/>
  <c r="C21" i="1"/>
  <c r="G20" i="1"/>
  <c r="F20" i="1"/>
  <c r="E20" i="1"/>
  <c r="D20" i="1"/>
  <c r="C20" i="1"/>
  <c r="G19" i="1"/>
  <c r="F19" i="1"/>
  <c r="E19" i="1"/>
  <c r="D19" i="1"/>
  <c r="C19" i="1"/>
  <c r="G18" i="1"/>
  <c r="F18" i="1"/>
  <c r="E18" i="1"/>
  <c r="D18" i="1"/>
  <c r="C18" i="1"/>
  <c r="G17" i="1"/>
  <c r="F17" i="1"/>
  <c r="E17" i="1"/>
  <c r="D17" i="1"/>
  <c r="C17" i="1"/>
  <c r="G16" i="1"/>
  <c r="F16" i="1"/>
  <c r="E16" i="1"/>
  <c r="D16" i="1"/>
  <c r="C16" i="1"/>
  <c r="G15" i="1"/>
  <c r="F15" i="1"/>
  <c r="E15" i="1"/>
  <c r="D15" i="1"/>
  <c r="C15" i="1"/>
  <c r="G14" i="1"/>
  <c r="F14" i="1"/>
  <c r="E14" i="1"/>
  <c r="D14" i="1"/>
  <c r="C14" i="1"/>
  <c r="G13" i="1"/>
  <c r="F13" i="1"/>
  <c r="E13" i="1"/>
  <c r="D13" i="1"/>
  <c r="C13" i="1"/>
  <c r="G12" i="1"/>
  <c r="F12" i="1"/>
  <c r="E12" i="1"/>
  <c r="D12" i="1"/>
  <c r="C12" i="1"/>
  <c r="G11" i="1"/>
  <c r="F11" i="1"/>
  <c r="E11" i="1"/>
  <c r="D11" i="1"/>
  <c r="C11" i="1"/>
  <c r="A11" i="1"/>
  <c r="G10" i="1"/>
  <c r="F10" i="1"/>
  <c r="E10" i="1"/>
  <c r="D10" i="1"/>
  <c r="C10" i="1"/>
  <c r="A10" i="1"/>
  <c r="G9" i="1"/>
  <c r="F9" i="1"/>
  <c r="E9" i="1"/>
  <c r="D9" i="1"/>
  <c r="C9" i="1"/>
  <c r="A9" i="1"/>
  <c r="G8" i="1"/>
  <c r="F8" i="1"/>
  <c r="E8" i="1"/>
  <c r="D8" i="1"/>
  <c r="C8" i="1"/>
  <c r="A8" i="1"/>
  <c r="G7" i="1"/>
  <c r="F7" i="1"/>
  <c r="E7" i="1"/>
  <c r="D7" i="1"/>
  <c r="C7" i="1"/>
  <c r="A7" i="1"/>
  <c r="G6" i="1"/>
  <c r="F6" i="1"/>
  <c r="E6" i="1"/>
  <c r="D6" i="1"/>
  <c r="C6" i="1"/>
  <c r="A6" i="1"/>
  <c r="G5" i="1"/>
  <c r="F5" i="1"/>
  <c r="E5" i="1"/>
  <c r="D5" i="1"/>
  <c r="C5" i="1"/>
  <c r="A5" i="1"/>
  <c r="G4" i="1"/>
  <c r="F4" i="1"/>
  <c r="E4" i="1"/>
  <c r="D4" i="1"/>
  <c r="C4" i="1"/>
  <c r="A4" i="1"/>
</calcChain>
</file>

<file path=xl/sharedStrings.xml><?xml version="1.0" encoding="utf-8"?>
<sst xmlns="http://schemas.openxmlformats.org/spreadsheetml/2006/main" count="848" uniqueCount="93">
  <si>
    <t>id</t>
  </si>
  <si>
    <t>copy_id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</si>
  <si>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</si>
  <si>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</si>
  <si>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</si>
  <si>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</si>
  <si>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</si>
  <si>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t>award_show</t>
  </si>
  <si>
    <t>award_desc</t>
  </si>
  <si>
    <t>界面最多支持3个奖励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</si>
  <si>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</si>
  <si>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</si>
  <si>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</si>
  <si>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</si>
  <si>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t>string</t>
  </si>
  <si>
    <t>奖励1（按顺序填）</t>
  </si>
  <si>
    <t>奖励2（按顺序填）</t>
  </si>
  <si>
    <t>奖励3（按顺序填）</t>
  </si>
  <si>
    <r>
      <rPr>
        <sz val="11"/>
        <color indexed="8"/>
        <rFont val="宋体"/>
        <family val="3"/>
        <charset val="134"/>
      </rPr>
      <t>ID</t>
    </r>
  </si>
  <si>
    <t>副本ID</t>
  </si>
  <si>
    <t>奖励物品类型</t>
  </si>
  <si>
    <t>奖励物品参数</t>
  </si>
  <si>
    <t>奖励物品数量</t>
  </si>
  <si>
    <t>显示在主UI的奖励idx</t>
  </si>
  <si>
    <t>显示在主UI的</t>
  </si>
  <si>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family val="3"/>
        <charset val="134"/>
      </rPr>
      <t>ype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</si>
  <si>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aram1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</si>
  <si>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aram2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</si>
  <si>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aram3</t>
    </r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</si>
  <si>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um</t>
    </r>
  </si>
  <si>
    <t>104</t>
  </si>
  <si>
    <t>0</t>
  </si>
  <si>
    <t>108</t>
  </si>
  <si>
    <t>204</t>
  </si>
  <si>
    <t>208</t>
  </si>
  <si>
    <t>212</t>
  </si>
  <si>
    <t>3</t>
  </si>
  <si>
    <t>DATA_CopyExtraAwardDesc1</t>
  </si>
  <si>
    <t>305</t>
  </si>
  <si>
    <t>310</t>
  </si>
  <si>
    <t>315</t>
  </si>
  <si>
    <t>405</t>
  </si>
  <si>
    <t>410</t>
  </si>
  <si>
    <t>415</t>
  </si>
  <si>
    <t>420</t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</si>
  <si>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ame</t>
    </r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</si>
  <si>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eputation</t>
    </r>
  </si>
  <si>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family val="3"/>
        <charset val="134"/>
      </rPr>
      <t>oney</t>
    </r>
  </si>
  <si>
    <t>level</t>
  </si>
  <si>
    <t xml:space="preserve">阶段奖励 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</si>
  <si>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</si>
  <si>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统计：</t>
  </si>
  <si>
    <t>描述</t>
  </si>
  <si>
    <t>升级所需声望</t>
  </si>
  <si>
    <t>升级所需金币</t>
  </si>
  <si>
    <t>升级需求等级</t>
  </si>
  <si>
    <t>关卡数</t>
  </si>
  <si>
    <t>装备</t>
  </si>
  <si>
    <t>普抽</t>
  </si>
  <si>
    <t>高抽</t>
  </si>
  <si>
    <t>五星碎片</t>
  </si>
  <si>
    <t>四星碎片</t>
  </si>
  <si>
    <t>DATA_Role_Title1</t>
  </si>
  <si>
    <t>DATA_Role_Title2</t>
  </si>
  <si>
    <t>105</t>
  </si>
  <si>
    <t>DATA_Role_Title3</t>
  </si>
  <si>
    <t>106</t>
  </si>
  <si>
    <t>钻石</t>
  </si>
  <si>
    <t>DATA_Role_Title4</t>
  </si>
  <si>
    <t>107</t>
  </si>
  <si>
    <t>DATA_Role_Title5</t>
  </si>
  <si>
    <r>
      <rPr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08</t>
    </r>
  </si>
  <si>
    <t>抽卡</t>
  </si>
  <si>
    <t>DATA_Role_Title6</t>
  </si>
  <si>
    <t>202</t>
  </si>
  <si>
    <t>碎片</t>
  </si>
  <si>
    <t>DATA_Role_Title7</t>
  </si>
  <si>
    <t>DATA_Role_Title8</t>
  </si>
  <si>
    <t>206</t>
  </si>
  <si>
    <t>DATA_Role_Title9</t>
  </si>
  <si>
    <t>DATA_Role_Title10</t>
  </si>
  <si>
    <t>210</t>
  </si>
  <si>
    <t>DATA_Role_Title11</t>
  </si>
  <si>
    <t>303</t>
  </si>
  <si>
    <t>DATA_Role_Title12</t>
  </si>
  <si>
    <t>306</t>
  </si>
  <si>
    <t>碎片*50</t>
  </si>
  <si>
    <t>309</t>
  </si>
  <si>
    <t>312</t>
  </si>
  <si>
    <t>404</t>
  </si>
  <si>
    <t>408</t>
  </si>
  <si>
    <t>412</t>
  </si>
  <si>
    <t>416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</si>
</sst>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11"/>
      <color rgb="FF9C0006"/>
      <name val="Helvetica Neue"/>
      <family val="2"/>
      <scheme val="minor"/>
    </font>
    <font>
      <sz val="11"/>
      <color rgb="FF006100"/>
      <name val="Helvetica Neue"/>
      <family val="2"/>
      <scheme val="minor"/>
    </font>
    <font>
      <sz val="11"/>
      <color rgb="FF9C5700"/>
      <name val="Helvetica Neue"/>
      <family val="2"/>
      <scheme val="minor"/>
    </font>
    <font>
      <sz val="11"/>
      <color rgb="FF006100"/>
      <name val="Helvetica Neue"/>
      <family val="2"/>
      <scheme val="minor"/>
    </font>
    <font>
      <sz val="11"/>
      <color rgb="FF9C0006"/>
      <name val="Helvetica Neue"/>
      <family val="2"/>
      <scheme val="minor"/>
    </font>
    <font>
      <sz val="11"/>
      <color rgb="FF9C5700"/>
      <name val="Helvetica Neue"/>
      <family val="2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 applyNumberFormat="0" applyFill="0" applyBorder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</cellStyleXfs>
  <cellXfs count="45"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49" fontId="0" fillId="2" borderId="2" xfId="0" applyNumberFormat="1" applyFont="1" applyFill="1" applyBorder="1" applyAlignment="1"/>
    <xf numFmtId="0" fontId="0" fillId="2" borderId="2" xfId="0" applyFont="1" applyFill="1" applyBorder="1" applyAlignment="1"/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0" xfId="0" applyFont="1" applyAlignment="1">
      <alignment horizontal="right" vertical="center"/>
    </xf>
    <xf numFmtId="49" fontId="0" fillId="0" borderId="2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2" borderId="2" xfId="0" applyNumberFormat="1" applyFont="1" applyFill="1" applyBorder="1" applyAlignment="1"/>
    <xf numFmtId="0" fontId="2" fillId="3" borderId="0" xfId="1" applyAlignment="1">
      <alignment vertical="center"/>
    </xf>
    <xf numFmtId="0" fontId="3" fillId="4" borderId="0" xfId="2" applyAlignment="1">
      <alignment vertical="center"/>
    </xf>
    <xf numFmtId="0" fontId="4" fillId="5" borderId="0" xfId="3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Border="1" applyAlignment="1">
      <alignment vertical="center"/>
    </xf>
    <xf numFmtId="49" fontId="0" fillId="2" borderId="4" xfId="0" applyNumberFormat="1" applyFont="1" applyFill="1" applyBorder="1" applyAlignment="1">
      <alignment horizontal="left"/>
    </xf>
    <xf numFmtId="49" fontId="0" fillId="2" borderId="4" xfId="0" applyNumberFormat="1" applyFont="1" applyFill="1" applyBorder="1" applyAlignment="1"/>
    <xf numFmtId="0" fontId="2" fillId="3" borderId="4" xfId="1" applyNumberFormat="1" applyBorder="1" applyAlignment="1">
      <alignment horizontal="left"/>
    </xf>
    <xf numFmtId="49" fontId="2" fillId="3" borderId="4" xfId="1" applyNumberFormat="1" applyBorder="1" applyAlignment="1"/>
    <xf numFmtId="0" fontId="3" fillId="4" borderId="4" xfId="2" applyNumberFormat="1" applyBorder="1" applyAlignment="1">
      <alignment horizontal="left"/>
    </xf>
    <xf numFmtId="49" fontId="3" fillId="4" borderId="4" xfId="2" applyNumberFormat="1" applyBorder="1" applyAlignment="1"/>
    <xf numFmtId="49" fontId="4" fillId="5" borderId="4" xfId="3" applyNumberFormat="1" applyBorder="1" applyAlignment="1"/>
    <xf numFmtId="0" fontId="4" fillId="5" borderId="4" xfId="3" applyNumberFormat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2" fillId="3" borderId="0" xfId="1" applyNumberFormat="1" applyBorder="1" applyAlignment="1">
      <alignment vertical="center"/>
    </xf>
    <xf numFmtId="0" fontId="2" fillId="3" borderId="0" xfId="1" applyNumberFormat="1">
      <alignment vertical="center"/>
    </xf>
    <xf numFmtId="0" fontId="3" fillId="4" borderId="0" xfId="2" applyNumberFormat="1" applyBorder="1" applyAlignment="1">
      <alignment vertical="center"/>
    </xf>
    <xf numFmtId="0" fontId="3" fillId="4" borderId="0" xfId="2" applyNumberFormat="1" applyAlignment="1">
      <alignment vertical="center"/>
    </xf>
    <xf numFmtId="0" fontId="3" fillId="4" borderId="0" xfId="2" applyNumberFormat="1">
      <alignment vertical="center"/>
    </xf>
    <xf numFmtId="49" fontId="5" fillId="4" borderId="4" xfId="2" applyNumberFormat="1" applyFont="1" applyBorder="1" applyAlignment="1"/>
    <xf numFmtId="0" fontId="3" fillId="4" borderId="0" xfId="2">
      <alignment vertical="center"/>
    </xf>
    <xf numFmtId="0" fontId="2" fillId="3" borderId="0" xfId="1" applyNumberFormat="1" applyAlignment="1">
      <alignment vertical="center"/>
    </xf>
    <xf numFmtId="49" fontId="6" fillId="3" borderId="4" xfId="1" applyNumberFormat="1" applyFont="1" applyBorder="1" applyAlignment="1"/>
    <xf numFmtId="0" fontId="4" fillId="5" borderId="0" xfId="3" applyNumberFormat="1" applyBorder="1" applyAlignment="1">
      <alignment vertical="center"/>
    </xf>
    <xf numFmtId="0" fontId="4" fillId="5" borderId="0" xfId="3" applyNumberFormat="1" applyAlignment="1">
      <alignment vertical="center"/>
    </xf>
    <xf numFmtId="49" fontId="7" fillId="5" borderId="4" xfId="3" applyNumberFormat="1" applyFont="1" applyBorder="1" applyAlignment="1"/>
    <xf numFmtId="49" fontId="2" fillId="3" borderId="4" xfId="1" applyNumberFormat="1" applyFont="1" applyBorder="1" applyAlignment="1"/>
    <xf numFmtId="49" fontId="3" fillId="4" borderId="4" xfId="2" applyNumberFormat="1" applyFont="1" applyBorder="1" applyAlignment="1"/>
    <xf numFmtId="49" fontId="4" fillId="5" borderId="4" xfId="3" applyNumberFormat="1" applyFont="1" applyBorder="1" applyAlignment="1"/>
    <xf numFmtId="0" fontId="8" fillId="0" borderId="0" xfId="0" applyNumberFormat="1" applyFont="1" applyBorder="1" applyAlignment="1">
      <alignment vertical="center"/>
    </xf>
    <xf numFmtId="0" fontId="2" fillId="3" borderId="0" xfId="1">
      <alignment vertical="center"/>
    </xf>
    <xf numFmtId="0" fontId="4" fillId="5" borderId="0" xfId="3">
      <alignment vertical="center"/>
    </xf>
    <xf numFmtId="0" fontId="0" fillId="0" borderId="0" xfId="0">
      <alignment vertical="center"/>
    </xf>
    <xf numFmtId="0" fontId="0" fillId="0" borderId="0" xfId="0" applyNumberFormat="1" applyFont="1" applyAlignment="1">
      <alignment horizontal="center" vertical="center"/>
    </xf>
  </cellXfs>
  <cellStyles count="4">
    <cellStyle name="差" xfId="1" builtinId="27"/>
    <cellStyle name="常规" xfId="0" builtinId="0"/>
    <cellStyle name="好" xfId="2" builtinId="26"/>
    <cellStyle name="适中" xfId="3" builtinId="28"/>
  </cellStyles>
  <dxfs count="0"/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P360"/>
  <sheetViews>
    <sheetView showGridLines="0" tabSelected="1" zoomScale="80" zoomScaleNormal="80" workbookViewId="0">
      <pane xSplit="2" ySplit="3" topLeftCell="C310" activePane="bottomRight" state="frozenSplit"/>
      <selection pane="topRight"/>
      <selection pane="bottomLeft"/>
      <selection pane="bottomRight" activeCell="R343" sqref="R343"/>
    </sheetView>
  </sheetViews>
  <sheetFormatPr defaultColWidth="8.875" defaultRowHeight="13.5" customHeight="1"/>
  <cols>
    <col min="1" max="1" width="6.5" style="14" customWidth="1"/>
    <col min="2" max="2" width="10" style="9" customWidth="1"/>
    <col min="3" max="3" width="16.125" style="9" customWidth="1"/>
    <col min="4" max="4" width="13.625" style="9" customWidth="1"/>
    <col min="5" max="5" width="13.125" style="9" customWidth="1"/>
    <col min="6" max="6" width="12.625" style="9" customWidth="1"/>
    <col min="7" max="7" width="14.125" style="9" customWidth="1"/>
    <col min="8" max="8" width="23.625" style="9" customWidth="1"/>
    <col min="9" max="9" width="26.75" style="9" customWidth="1"/>
    <col min="10" max="10" width="7.625" style="15" customWidth="1"/>
    <col min="11" max="250" width="8.875" style="9" customWidth="1"/>
  </cols>
  <sheetData>
    <row r="1" spans="1:250" ht="15.95" customHeight="1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K1" s="9" t="s">
        <v>9</v>
      </c>
    </row>
    <row r="2" spans="1:250" ht="15.95" customHeight="1">
      <c r="A2" s="16" t="s">
        <v>10</v>
      </c>
      <c r="B2" s="17" t="s">
        <v>11</v>
      </c>
      <c r="C2" s="17" t="s">
        <v>12</v>
      </c>
      <c r="D2" s="17" t="s">
        <v>13</v>
      </c>
      <c r="E2" s="17" t="s">
        <v>13</v>
      </c>
      <c r="F2" s="17" t="s">
        <v>13</v>
      </c>
      <c r="G2" s="17" t="s">
        <v>13</v>
      </c>
      <c r="H2" s="17" t="s">
        <v>11</v>
      </c>
      <c r="I2" s="17" t="s">
        <v>14</v>
      </c>
      <c r="K2" s="44" t="s">
        <v>15</v>
      </c>
      <c r="L2" s="44"/>
      <c r="M2" s="44"/>
      <c r="N2" s="44"/>
      <c r="O2" s="44"/>
      <c r="P2" s="44" t="s">
        <v>16</v>
      </c>
      <c r="Q2" s="44"/>
      <c r="R2" s="44"/>
      <c r="S2" s="44"/>
      <c r="T2" s="44"/>
      <c r="U2" s="44" t="s">
        <v>17</v>
      </c>
      <c r="V2" s="44"/>
      <c r="W2" s="44"/>
      <c r="X2" s="44"/>
      <c r="Y2" s="44"/>
    </row>
    <row r="3" spans="1:250" ht="15.95" customHeight="1">
      <c r="A3" s="16" t="s">
        <v>18</v>
      </c>
      <c r="B3" s="17" t="s">
        <v>19</v>
      </c>
      <c r="C3" s="17" t="s">
        <v>20</v>
      </c>
      <c r="D3" s="17" t="s">
        <v>21</v>
      </c>
      <c r="E3" s="17" t="s">
        <v>21</v>
      </c>
      <c r="F3" s="17" t="s">
        <v>21</v>
      </c>
      <c r="G3" s="17" t="s">
        <v>22</v>
      </c>
      <c r="H3" s="17" t="s">
        <v>23</v>
      </c>
      <c r="I3" s="17" t="s">
        <v>24</v>
      </c>
      <c r="K3" s="9" t="s">
        <v>25</v>
      </c>
      <c r="L3" s="9" t="s">
        <v>26</v>
      </c>
      <c r="M3" s="9" t="s">
        <v>27</v>
      </c>
      <c r="N3" s="9" t="s">
        <v>28</v>
      </c>
      <c r="O3" s="9" t="s">
        <v>29</v>
      </c>
      <c r="P3" s="9" t="s">
        <v>25</v>
      </c>
      <c r="Q3" s="9" t="s">
        <v>26</v>
      </c>
      <c r="R3" s="9" t="s">
        <v>27</v>
      </c>
      <c r="S3" s="9" t="s">
        <v>28</v>
      </c>
      <c r="T3" s="9" t="s">
        <v>29</v>
      </c>
      <c r="U3" s="9" t="s">
        <v>25</v>
      </c>
      <c r="V3" s="9" t="s">
        <v>26</v>
      </c>
      <c r="W3" s="9" t="s">
        <v>27</v>
      </c>
      <c r="X3" s="9" t="s">
        <v>28</v>
      </c>
      <c r="Y3" s="9" t="s">
        <v>29</v>
      </c>
    </row>
    <row r="4" spans="1:250" s="11" customFormat="1" ht="15.95" customHeight="1">
      <c r="A4" s="18">
        <f t="shared" ref="A4:A11" si="0">ROW()-3</f>
        <v>1</v>
      </c>
      <c r="B4" s="19" t="s">
        <v>30</v>
      </c>
      <c r="C4" s="18" t="str">
        <f t="shared" ref="C4:C67" si="1">IF(AND(U4="",K4&lt;&gt;"",P4&lt;&gt;""),K4&amp;","&amp;P4,IF(AND(U4="",P4="",K4&lt;&gt;""),K4,IF(AND(U4="",P4="",K4=""),"",K4&amp;","&amp;P4&amp;","&amp;U4)))</f>
        <v>4,12</v>
      </c>
      <c r="D4" s="18" t="str">
        <f t="shared" ref="D4" si="2">IF(AND(V4="",L4&lt;&gt;"",Q4&lt;&gt;""),L4&amp;","&amp;Q4,IF(AND(V4="",Q4="",L4&lt;&gt;""),L4,IF(AND(V4="",Q4="",L4=""),"",L4&amp;","&amp;Q4&amp;","&amp;V4)))</f>
        <v>0,0</v>
      </c>
      <c r="E4" s="18" t="str">
        <f t="shared" ref="E4:E67" si="3">IF(AND(W4="",M4&lt;&gt;"",R4&lt;&gt;""),M4&amp;","&amp;R4,IF(AND(W4="",R4="",M4&lt;&gt;""),M4,IF(AND(W4="",R4="",M4=""),"",M4&amp;","&amp;R4&amp;","&amp;W4)))</f>
        <v>0,0</v>
      </c>
      <c r="F4" s="18" t="str">
        <f t="shared" ref="F4:F67" si="4">IF(AND(X4="",N4&lt;&gt;"",S4&lt;&gt;""),N4&amp;","&amp;S4,IF(AND(X4="",S4="",N4&lt;&gt;""),N4,IF(AND(X4="",S4="",N4=""),"",N4&amp;","&amp;S4&amp;","&amp;X4)))</f>
        <v>0,0</v>
      </c>
      <c r="G4" s="19" t="str">
        <f t="shared" ref="G4:G67" si="5">IF(AND(Y4="",O4&lt;&gt;"",T4&lt;&gt;""),O4&amp;","&amp;T4,IF(AND(Y4="",T4="",O4&lt;&gt;""),O4,IF(AND(Y4="",T4="",O4=""),"",O4&amp;","&amp;T4&amp;","&amp;Y4)))</f>
        <v>50,20</v>
      </c>
      <c r="H4" s="19" t="s">
        <v>31</v>
      </c>
      <c r="I4" s="19" t="s">
        <v>31</v>
      </c>
      <c r="J4" s="25"/>
      <c r="K4" s="26">
        <v>4</v>
      </c>
      <c r="L4" s="26">
        <v>0</v>
      </c>
      <c r="M4" s="26">
        <v>0</v>
      </c>
      <c r="N4" s="26">
        <v>0</v>
      </c>
      <c r="O4" s="26">
        <v>50</v>
      </c>
      <c r="P4" s="26">
        <v>12</v>
      </c>
      <c r="Q4" s="26">
        <v>0</v>
      </c>
      <c r="R4" s="26">
        <v>0</v>
      </c>
      <c r="S4" s="26">
        <v>0</v>
      </c>
      <c r="T4" s="26">
        <v>20</v>
      </c>
      <c r="U4" s="26"/>
      <c r="V4" s="26"/>
      <c r="W4" s="26"/>
      <c r="X4" s="26"/>
      <c r="Y4" s="26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2"/>
      <c r="DK4" s="32"/>
      <c r="DL4" s="32"/>
      <c r="DM4" s="32"/>
      <c r="DN4" s="32"/>
      <c r="DO4" s="32"/>
      <c r="DP4" s="32"/>
      <c r="DQ4" s="32"/>
      <c r="DR4" s="32"/>
      <c r="DS4" s="32"/>
      <c r="DT4" s="32"/>
      <c r="DU4" s="32"/>
      <c r="DV4" s="32"/>
      <c r="DW4" s="32"/>
      <c r="DX4" s="32"/>
      <c r="DY4" s="32"/>
      <c r="DZ4" s="32"/>
      <c r="EA4" s="32"/>
      <c r="EB4" s="32"/>
      <c r="EC4" s="32"/>
      <c r="ED4" s="32"/>
      <c r="EE4" s="32"/>
      <c r="EF4" s="32"/>
      <c r="EG4" s="32"/>
      <c r="EH4" s="32"/>
      <c r="EI4" s="32"/>
      <c r="EJ4" s="32"/>
      <c r="EK4" s="32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2"/>
      <c r="EW4" s="32"/>
      <c r="EX4" s="32"/>
      <c r="EY4" s="32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2"/>
      <c r="FK4" s="32"/>
      <c r="FL4" s="32"/>
      <c r="FM4" s="32"/>
      <c r="FN4" s="32"/>
      <c r="FO4" s="32"/>
      <c r="FP4" s="32"/>
      <c r="FQ4" s="32"/>
      <c r="FR4" s="32"/>
      <c r="FS4" s="32"/>
      <c r="FT4" s="32"/>
      <c r="FU4" s="32"/>
      <c r="FV4" s="32"/>
      <c r="FW4" s="32"/>
      <c r="FX4" s="32"/>
      <c r="FY4" s="32"/>
      <c r="FZ4" s="32"/>
      <c r="GA4" s="32"/>
      <c r="GB4" s="32"/>
      <c r="GC4" s="32"/>
      <c r="GD4" s="32"/>
      <c r="GE4" s="32"/>
      <c r="GF4" s="32"/>
      <c r="GG4" s="32"/>
      <c r="GH4" s="32"/>
      <c r="GI4" s="32"/>
      <c r="GJ4" s="32"/>
      <c r="GK4" s="32"/>
      <c r="GL4" s="32"/>
      <c r="GM4" s="32"/>
      <c r="GN4" s="32"/>
      <c r="GO4" s="32"/>
      <c r="GP4" s="32"/>
      <c r="GQ4" s="32"/>
      <c r="GR4" s="32"/>
      <c r="GS4" s="32"/>
      <c r="GT4" s="32"/>
      <c r="GU4" s="32"/>
      <c r="GV4" s="32"/>
      <c r="GW4" s="32"/>
      <c r="GX4" s="32"/>
      <c r="GY4" s="32"/>
      <c r="GZ4" s="32"/>
      <c r="HA4" s="32"/>
      <c r="HB4" s="32"/>
      <c r="HC4" s="32"/>
      <c r="HD4" s="32"/>
      <c r="HE4" s="32"/>
      <c r="HF4" s="32"/>
      <c r="HG4" s="32"/>
      <c r="HH4" s="32"/>
      <c r="HI4" s="32"/>
      <c r="HJ4" s="32"/>
      <c r="HK4" s="32"/>
      <c r="HL4" s="32"/>
      <c r="HM4" s="32"/>
      <c r="HN4" s="32"/>
      <c r="HO4" s="32"/>
      <c r="HP4" s="32"/>
      <c r="HQ4" s="32"/>
      <c r="HR4" s="32"/>
      <c r="HS4" s="32"/>
      <c r="HT4" s="32"/>
      <c r="HU4" s="32"/>
      <c r="HV4" s="32"/>
      <c r="HW4" s="32"/>
      <c r="HX4" s="32"/>
      <c r="HY4" s="32"/>
      <c r="HZ4" s="32"/>
      <c r="IA4" s="32"/>
      <c r="IB4" s="32"/>
      <c r="IC4" s="32"/>
      <c r="ID4" s="32"/>
      <c r="IE4" s="32"/>
      <c r="IF4" s="32"/>
      <c r="IG4" s="32"/>
      <c r="IH4" s="32"/>
      <c r="II4" s="32"/>
      <c r="IJ4" s="32"/>
      <c r="IK4" s="32"/>
      <c r="IL4" s="32"/>
      <c r="IM4" s="32"/>
      <c r="IN4" s="32"/>
      <c r="IO4" s="32"/>
      <c r="IP4" s="32"/>
    </row>
    <row r="5" spans="1:250" s="11" customFormat="1" ht="15.95" customHeight="1">
      <c r="A5" s="18">
        <f t="shared" si="0"/>
        <v>2</v>
      </c>
      <c r="B5" s="19" t="s">
        <v>32</v>
      </c>
      <c r="C5" s="18" t="str">
        <f t="shared" si="1"/>
        <v>4,12</v>
      </c>
      <c r="D5" s="18" t="str">
        <f t="shared" ref="D5:D67" si="6">IF(AND(V5="",L5&lt;&gt;"",Q5&lt;&gt;""),L5&amp;","&amp;Q5,IF(AND(V5="",Q5="",L5&lt;&gt;""),L5,IF(AND(V5="",Q5="",L5=""),"",L5&amp;","&amp;Q5&amp;","&amp;V5)))</f>
        <v>0,0</v>
      </c>
      <c r="E5" s="18" t="str">
        <f t="shared" si="3"/>
        <v>0,0</v>
      </c>
      <c r="F5" s="18" t="str">
        <f t="shared" si="4"/>
        <v>0,0</v>
      </c>
      <c r="G5" s="19" t="str">
        <f t="shared" si="5"/>
        <v>100,20</v>
      </c>
      <c r="H5" s="19" t="s">
        <v>31</v>
      </c>
      <c r="I5" s="19" t="s">
        <v>31</v>
      </c>
      <c r="J5" s="25"/>
      <c r="K5" s="26">
        <v>4</v>
      </c>
      <c r="L5" s="26">
        <v>0</v>
      </c>
      <c r="M5" s="26">
        <v>0</v>
      </c>
      <c r="N5" s="26">
        <v>0</v>
      </c>
      <c r="O5" s="26">
        <v>100</v>
      </c>
      <c r="P5" s="26">
        <v>12</v>
      </c>
      <c r="Q5" s="26">
        <v>0</v>
      </c>
      <c r="R5" s="26">
        <v>0</v>
      </c>
      <c r="S5" s="26">
        <v>0</v>
      </c>
      <c r="T5" s="26">
        <v>20</v>
      </c>
      <c r="U5" s="26"/>
      <c r="V5" s="26"/>
      <c r="W5" s="26"/>
      <c r="X5" s="26"/>
      <c r="Y5" s="26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  <c r="CF5" s="32"/>
      <c r="CG5" s="32"/>
      <c r="CH5" s="32"/>
      <c r="CI5" s="32"/>
      <c r="CJ5" s="32"/>
      <c r="CK5" s="32"/>
      <c r="CL5" s="32"/>
      <c r="CM5" s="32"/>
      <c r="CN5" s="32"/>
      <c r="CO5" s="32"/>
      <c r="CP5" s="32"/>
      <c r="CQ5" s="32"/>
      <c r="CR5" s="32"/>
      <c r="CS5" s="32"/>
      <c r="CT5" s="32"/>
      <c r="CU5" s="32"/>
      <c r="CV5" s="32"/>
      <c r="CW5" s="32"/>
      <c r="CX5" s="32"/>
      <c r="CY5" s="32"/>
      <c r="CZ5" s="32"/>
      <c r="DA5" s="32"/>
      <c r="DB5" s="32"/>
      <c r="DC5" s="32"/>
      <c r="DD5" s="32"/>
      <c r="DE5" s="32"/>
      <c r="DF5" s="32"/>
      <c r="DG5" s="32"/>
      <c r="DH5" s="32"/>
      <c r="DI5" s="32"/>
      <c r="DJ5" s="32"/>
      <c r="DK5" s="32"/>
      <c r="DL5" s="32"/>
      <c r="DM5" s="32"/>
      <c r="DN5" s="32"/>
      <c r="DO5" s="32"/>
      <c r="DP5" s="32"/>
      <c r="DQ5" s="32"/>
      <c r="DR5" s="32"/>
      <c r="DS5" s="32"/>
      <c r="DT5" s="32"/>
      <c r="DU5" s="32"/>
      <c r="DV5" s="32"/>
      <c r="DW5" s="32"/>
      <c r="DX5" s="32"/>
      <c r="DY5" s="32"/>
      <c r="DZ5" s="32"/>
      <c r="EA5" s="32"/>
      <c r="EB5" s="32"/>
      <c r="EC5" s="32"/>
      <c r="ED5" s="32"/>
      <c r="EE5" s="32"/>
      <c r="EF5" s="32"/>
      <c r="EG5" s="32"/>
      <c r="EH5" s="32"/>
      <c r="EI5" s="32"/>
      <c r="EJ5" s="32"/>
      <c r="EK5" s="32"/>
      <c r="EL5" s="32"/>
      <c r="EM5" s="32"/>
      <c r="EN5" s="32"/>
      <c r="EO5" s="32"/>
      <c r="EP5" s="32"/>
      <c r="EQ5" s="32"/>
      <c r="ER5" s="32"/>
      <c r="ES5" s="32"/>
      <c r="ET5" s="32"/>
      <c r="EU5" s="32"/>
      <c r="EV5" s="32"/>
      <c r="EW5" s="32"/>
      <c r="EX5" s="32"/>
      <c r="EY5" s="32"/>
      <c r="EZ5" s="32"/>
      <c r="FA5" s="32"/>
      <c r="FB5" s="32"/>
      <c r="FC5" s="32"/>
      <c r="FD5" s="32"/>
      <c r="FE5" s="32"/>
      <c r="FF5" s="32"/>
      <c r="FG5" s="32"/>
      <c r="FH5" s="32"/>
      <c r="FI5" s="32"/>
      <c r="FJ5" s="32"/>
      <c r="FK5" s="32"/>
      <c r="FL5" s="32"/>
      <c r="FM5" s="32"/>
      <c r="FN5" s="32"/>
      <c r="FO5" s="32"/>
      <c r="FP5" s="32"/>
      <c r="FQ5" s="32"/>
      <c r="FR5" s="32"/>
      <c r="FS5" s="32"/>
      <c r="FT5" s="32"/>
      <c r="FU5" s="32"/>
      <c r="FV5" s="32"/>
      <c r="FW5" s="32"/>
      <c r="FX5" s="32"/>
      <c r="FY5" s="32"/>
      <c r="FZ5" s="32"/>
      <c r="GA5" s="32"/>
      <c r="GB5" s="32"/>
      <c r="GC5" s="32"/>
      <c r="GD5" s="32"/>
      <c r="GE5" s="32"/>
      <c r="GF5" s="32"/>
      <c r="GG5" s="32"/>
      <c r="GH5" s="32"/>
      <c r="GI5" s="32"/>
      <c r="GJ5" s="32"/>
      <c r="GK5" s="32"/>
      <c r="GL5" s="32"/>
      <c r="GM5" s="32"/>
      <c r="GN5" s="32"/>
      <c r="GO5" s="32"/>
      <c r="GP5" s="32"/>
      <c r="GQ5" s="32"/>
      <c r="GR5" s="32"/>
      <c r="GS5" s="32"/>
      <c r="GT5" s="32"/>
      <c r="GU5" s="32"/>
      <c r="GV5" s="32"/>
      <c r="GW5" s="32"/>
      <c r="GX5" s="32"/>
      <c r="GY5" s="32"/>
      <c r="GZ5" s="32"/>
      <c r="HA5" s="32"/>
      <c r="HB5" s="32"/>
      <c r="HC5" s="32"/>
      <c r="HD5" s="32"/>
      <c r="HE5" s="32"/>
      <c r="HF5" s="32"/>
      <c r="HG5" s="32"/>
      <c r="HH5" s="32"/>
      <c r="HI5" s="32"/>
      <c r="HJ5" s="32"/>
      <c r="HK5" s="32"/>
      <c r="HL5" s="32"/>
      <c r="HM5" s="32"/>
      <c r="HN5" s="32"/>
      <c r="HO5" s="32"/>
      <c r="HP5" s="32"/>
      <c r="HQ5" s="32"/>
      <c r="HR5" s="32"/>
      <c r="HS5" s="32"/>
      <c r="HT5" s="32"/>
      <c r="HU5" s="32"/>
      <c r="HV5" s="32"/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  <c r="II5" s="32"/>
      <c r="IJ5" s="32"/>
      <c r="IK5" s="32"/>
      <c r="IL5" s="32"/>
      <c r="IM5" s="32"/>
      <c r="IN5" s="32"/>
      <c r="IO5" s="32"/>
      <c r="IP5" s="32"/>
    </row>
    <row r="6" spans="1:250" s="12" customFormat="1" ht="15.95" customHeight="1">
      <c r="A6" s="20">
        <f t="shared" si="0"/>
        <v>3</v>
      </c>
      <c r="B6" s="21" t="s">
        <v>33</v>
      </c>
      <c r="C6" s="20" t="str">
        <f t="shared" ref="C6:C8" si="7">IF(AND(U6="",K6&lt;&gt;"",P6&lt;&gt;""),K6&amp;","&amp;P6,IF(AND(U6="",P6="",K6&lt;&gt;""),K6,IF(AND(U6="",P6="",K6=""),"",K6&amp;","&amp;P6&amp;","&amp;U6)))</f>
        <v>4,7,7</v>
      </c>
      <c r="D6" s="20" t="str">
        <f t="shared" ref="D6:D8" si="8">IF(AND(V6="",L6&lt;&gt;"",Q6&lt;&gt;""),L6&amp;","&amp;Q6,IF(AND(V6="",Q6="",L6&lt;&gt;""),L6,IF(AND(V6="",Q6="",L6=""),"",L6&amp;","&amp;Q6&amp;","&amp;V6)))</f>
        <v>0,9,10</v>
      </c>
      <c r="E6" s="20" t="str">
        <f t="shared" ref="E6:E8" si="9">IF(AND(W6="",M6&lt;&gt;"",R6&lt;&gt;""),M6&amp;","&amp;R6,IF(AND(W6="",R6="",M6&lt;&gt;""),M6,IF(AND(W6="",R6="",M6=""),"",M6&amp;","&amp;R6&amp;","&amp;W6)))</f>
        <v>0,0,0</v>
      </c>
      <c r="F6" s="20" t="str">
        <f t="shared" ref="F6:F8" si="10">IF(AND(X6="",N6&lt;&gt;"",S6&lt;&gt;""),N6&amp;","&amp;S6,IF(AND(X6="",S6="",N6&lt;&gt;""),N6,IF(AND(X6="",S6="",N6=""),"",N6&amp;","&amp;S6&amp;","&amp;X6)))</f>
        <v>0,0,0</v>
      </c>
      <c r="G6" s="21" t="str">
        <f t="shared" ref="G6:G8" si="11">IF(AND(Y6="",O6&lt;&gt;"",T6&lt;&gt;""),O6&amp;","&amp;T6,IF(AND(Y6="",T6="",O6&lt;&gt;""),O6,IF(AND(Y6="",T6="",O6=""),"",O6&amp;","&amp;T6&amp;","&amp;Y6)))</f>
        <v>50,1,1</v>
      </c>
      <c r="H6" s="21" t="s">
        <v>31</v>
      </c>
      <c r="I6" s="21" t="s">
        <v>31</v>
      </c>
      <c r="J6" s="27"/>
      <c r="K6" s="28">
        <v>4</v>
      </c>
      <c r="L6" s="28">
        <v>0</v>
      </c>
      <c r="M6" s="28">
        <v>0</v>
      </c>
      <c r="N6" s="28">
        <v>0</v>
      </c>
      <c r="O6" s="28">
        <v>50</v>
      </c>
      <c r="P6" s="29">
        <v>7</v>
      </c>
      <c r="Q6" s="29">
        <v>9</v>
      </c>
      <c r="R6" s="29">
        <v>0</v>
      </c>
      <c r="S6" s="29">
        <v>0</v>
      </c>
      <c r="T6" s="29">
        <v>1</v>
      </c>
      <c r="U6" s="29">
        <v>7</v>
      </c>
      <c r="V6" s="29">
        <v>10</v>
      </c>
      <c r="W6" s="29">
        <v>0</v>
      </c>
      <c r="X6" s="29">
        <v>0</v>
      </c>
      <c r="Y6" s="29">
        <v>1</v>
      </c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</row>
    <row r="7" spans="1:250" s="12" customFormat="1" ht="15.75" customHeight="1">
      <c r="A7" s="20">
        <f t="shared" si="0"/>
        <v>4</v>
      </c>
      <c r="B7" s="21" t="s">
        <v>34</v>
      </c>
      <c r="C7" s="20" t="str">
        <f t="shared" si="7"/>
        <v>4,7,7</v>
      </c>
      <c r="D7" s="20" t="str">
        <f t="shared" si="8"/>
        <v>0,11,12</v>
      </c>
      <c r="E7" s="20" t="str">
        <f t="shared" si="9"/>
        <v>0,0,0</v>
      </c>
      <c r="F7" s="20" t="str">
        <f t="shared" si="10"/>
        <v>0,0,0</v>
      </c>
      <c r="G7" s="21" t="str">
        <f t="shared" si="11"/>
        <v>50,1,1</v>
      </c>
      <c r="H7" s="21" t="s">
        <v>31</v>
      </c>
      <c r="I7" s="21" t="s">
        <v>31</v>
      </c>
      <c r="J7" s="27"/>
      <c r="K7" s="28">
        <v>4</v>
      </c>
      <c r="L7" s="28">
        <v>0</v>
      </c>
      <c r="M7" s="28">
        <v>0</v>
      </c>
      <c r="N7" s="28">
        <v>0</v>
      </c>
      <c r="O7" s="28">
        <v>50</v>
      </c>
      <c r="P7" s="29">
        <v>7</v>
      </c>
      <c r="Q7" s="29">
        <v>11</v>
      </c>
      <c r="R7" s="29">
        <v>0</v>
      </c>
      <c r="S7" s="29">
        <v>0</v>
      </c>
      <c r="T7" s="29">
        <v>1</v>
      </c>
      <c r="U7" s="29">
        <v>7</v>
      </c>
      <c r="V7" s="29">
        <v>12</v>
      </c>
      <c r="W7" s="29">
        <v>0</v>
      </c>
      <c r="X7" s="29">
        <v>0</v>
      </c>
      <c r="Y7" s="29">
        <v>1</v>
      </c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</row>
    <row r="8" spans="1:250" s="12" customFormat="1" ht="15.95" customHeight="1">
      <c r="A8" s="20">
        <f t="shared" si="0"/>
        <v>5</v>
      </c>
      <c r="B8" s="21" t="s">
        <v>35</v>
      </c>
      <c r="C8" s="20" t="str">
        <f t="shared" si="7"/>
        <v>4,7,14</v>
      </c>
      <c r="D8" s="20" t="str">
        <f t="shared" si="8"/>
        <v>0,13,0</v>
      </c>
      <c r="E8" s="20" t="str">
        <f t="shared" si="9"/>
        <v>0,0,0</v>
      </c>
      <c r="F8" s="20" t="str">
        <f t="shared" si="10"/>
        <v>0,0,0</v>
      </c>
      <c r="G8" s="21" t="str">
        <f t="shared" si="11"/>
        <v>100,1,10</v>
      </c>
      <c r="H8" s="21" t="s">
        <v>36</v>
      </c>
      <c r="I8" s="30" t="s">
        <v>37</v>
      </c>
      <c r="J8" s="27"/>
      <c r="K8" s="29">
        <v>4</v>
      </c>
      <c r="L8" s="29">
        <v>0</v>
      </c>
      <c r="M8" s="29">
        <v>0</v>
      </c>
      <c r="N8" s="29">
        <v>0</v>
      </c>
      <c r="O8" s="29">
        <v>100</v>
      </c>
      <c r="P8" s="31">
        <v>7</v>
      </c>
      <c r="Q8" s="31">
        <v>13</v>
      </c>
      <c r="R8" s="31">
        <v>0</v>
      </c>
      <c r="S8" s="31">
        <v>0</v>
      </c>
      <c r="T8" s="31">
        <v>1</v>
      </c>
      <c r="U8" s="29">
        <v>14</v>
      </c>
      <c r="V8" s="29">
        <v>0</v>
      </c>
      <c r="W8" s="29">
        <v>0</v>
      </c>
      <c r="X8" s="29">
        <v>0</v>
      </c>
      <c r="Y8" s="29">
        <v>10</v>
      </c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</row>
    <row r="9" spans="1:250" s="12" customFormat="1" ht="15.95" customHeight="1">
      <c r="A9" s="20">
        <f t="shared" si="0"/>
        <v>6</v>
      </c>
      <c r="B9" s="21" t="s">
        <v>38</v>
      </c>
      <c r="C9" s="20" t="str">
        <f t="shared" si="1"/>
        <v>4,7,14</v>
      </c>
      <c r="D9" s="20" t="str">
        <f t="shared" si="6"/>
        <v>0,14,0</v>
      </c>
      <c r="E9" s="20" t="str">
        <f t="shared" si="3"/>
        <v>0,0,0</v>
      </c>
      <c r="F9" s="20" t="str">
        <f t="shared" si="4"/>
        <v>0,0,0</v>
      </c>
      <c r="G9" s="21" t="str">
        <f t="shared" si="5"/>
        <v>50,1,2</v>
      </c>
      <c r="H9" s="21" t="s">
        <v>31</v>
      </c>
      <c r="I9" s="21" t="s">
        <v>31</v>
      </c>
      <c r="J9" s="27"/>
      <c r="K9" s="29">
        <v>4</v>
      </c>
      <c r="L9" s="29">
        <v>0</v>
      </c>
      <c r="M9" s="29">
        <v>0</v>
      </c>
      <c r="N9" s="29">
        <v>0</v>
      </c>
      <c r="O9" s="29">
        <v>50</v>
      </c>
      <c r="P9" s="29">
        <v>7</v>
      </c>
      <c r="Q9" s="29">
        <v>14</v>
      </c>
      <c r="R9" s="29">
        <v>0</v>
      </c>
      <c r="S9" s="29">
        <v>0</v>
      </c>
      <c r="T9" s="29">
        <v>1</v>
      </c>
      <c r="U9" s="29">
        <v>14</v>
      </c>
      <c r="V9" s="29">
        <v>0</v>
      </c>
      <c r="W9" s="29">
        <v>0</v>
      </c>
      <c r="X9" s="29">
        <v>0</v>
      </c>
      <c r="Y9" s="29">
        <v>2</v>
      </c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</row>
    <row r="10" spans="1:250" s="12" customFormat="1" ht="15.95" customHeight="1">
      <c r="A10" s="20">
        <f t="shared" si="0"/>
        <v>7</v>
      </c>
      <c r="B10" s="21" t="s">
        <v>39</v>
      </c>
      <c r="C10" s="20" t="str">
        <f t="shared" si="1"/>
        <v>4,7,14</v>
      </c>
      <c r="D10" s="20" t="str">
        <f t="shared" si="6"/>
        <v>0,15,0</v>
      </c>
      <c r="E10" s="20" t="str">
        <f t="shared" si="3"/>
        <v>0,0,0</v>
      </c>
      <c r="F10" s="20" t="str">
        <f t="shared" si="4"/>
        <v>0,0,0</v>
      </c>
      <c r="G10" s="21" t="str">
        <f t="shared" si="5"/>
        <v>50,1,2</v>
      </c>
      <c r="H10" s="21" t="s">
        <v>31</v>
      </c>
      <c r="I10" s="21" t="s">
        <v>31</v>
      </c>
      <c r="J10" s="27"/>
      <c r="K10" s="29">
        <v>4</v>
      </c>
      <c r="L10" s="29">
        <v>0</v>
      </c>
      <c r="M10" s="29">
        <v>0</v>
      </c>
      <c r="N10" s="29">
        <v>0</v>
      </c>
      <c r="O10" s="29">
        <v>50</v>
      </c>
      <c r="P10" s="31">
        <v>7</v>
      </c>
      <c r="Q10" s="31">
        <v>15</v>
      </c>
      <c r="R10" s="31">
        <v>0</v>
      </c>
      <c r="S10" s="31">
        <v>0</v>
      </c>
      <c r="T10" s="31">
        <v>1</v>
      </c>
      <c r="U10" s="29">
        <v>14</v>
      </c>
      <c r="V10" s="29">
        <v>0</v>
      </c>
      <c r="W10" s="29">
        <v>0</v>
      </c>
      <c r="X10" s="29">
        <v>0</v>
      </c>
      <c r="Y10" s="29">
        <v>2</v>
      </c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</row>
    <row r="11" spans="1:250" s="12" customFormat="1" ht="15.95" customHeight="1">
      <c r="A11" s="20">
        <f t="shared" si="0"/>
        <v>8</v>
      </c>
      <c r="B11" s="21" t="s">
        <v>40</v>
      </c>
      <c r="C11" s="20" t="str">
        <f t="shared" si="1"/>
        <v>4,7,14</v>
      </c>
      <c r="D11" s="20" t="str">
        <f t="shared" si="6"/>
        <v>0,16,0</v>
      </c>
      <c r="E11" s="20" t="str">
        <f t="shared" si="3"/>
        <v>0,0,0</v>
      </c>
      <c r="F11" s="20" t="str">
        <f t="shared" si="4"/>
        <v>0,0,0</v>
      </c>
      <c r="G11" s="21" t="str">
        <f t="shared" si="5"/>
        <v>200,1,3</v>
      </c>
      <c r="H11" s="21" t="s">
        <v>31</v>
      </c>
      <c r="I11" s="30" t="s">
        <v>31</v>
      </c>
      <c r="J11" s="27"/>
      <c r="K11" s="29">
        <v>4</v>
      </c>
      <c r="L11" s="29">
        <v>0</v>
      </c>
      <c r="M11" s="29">
        <v>0</v>
      </c>
      <c r="N11" s="29">
        <v>0</v>
      </c>
      <c r="O11" s="29">
        <v>200</v>
      </c>
      <c r="P11" s="29">
        <v>7</v>
      </c>
      <c r="Q11" s="29">
        <v>16</v>
      </c>
      <c r="R11" s="29">
        <v>0</v>
      </c>
      <c r="S11" s="29">
        <v>0</v>
      </c>
      <c r="T11" s="29">
        <v>1</v>
      </c>
      <c r="U11" s="29">
        <v>14</v>
      </c>
      <c r="V11" s="29">
        <v>0</v>
      </c>
      <c r="W11" s="29">
        <v>0</v>
      </c>
      <c r="X11" s="29">
        <v>0</v>
      </c>
      <c r="Y11" s="29">
        <v>3</v>
      </c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</row>
    <row r="12" spans="1:250" s="11" customFormat="1" ht="15.95" customHeight="1">
      <c r="A12" s="18">
        <v>16</v>
      </c>
      <c r="B12" s="19" t="s">
        <v>41</v>
      </c>
      <c r="C12" s="18" t="str">
        <f t="shared" si="1"/>
        <v>4,7,14</v>
      </c>
      <c r="D12" s="18" t="str">
        <f t="shared" si="6"/>
        <v>0,17,0</v>
      </c>
      <c r="E12" s="18" t="str">
        <f t="shared" si="3"/>
        <v>0,0,0</v>
      </c>
      <c r="F12" s="18" t="str">
        <f t="shared" si="4"/>
        <v>0,0,0</v>
      </c>
      <c r="G12" s="19" t="str">
        <f t="shared" si="5"/>
        <v>100,1,1</v>
      </c>
      <c r="H12" s="19" t="s">
        <v>31</v>
      </c>
      <c r="I12" s="19" t="s">
        <v>31</v>
      </c>
      <c r="J12" s="25"/>
      <c r="K12" s="32">
        <v>4</v>
      </c>
      <c r="L12" s="32">
        <v>0</v>
      </c>
      <c r="M12" s="32">
        <v>0</v>
      </c>
      <c r="N12" s="32">
        <v>0</v>
      </c>
      <c r="O12" s="32">
        <v>100</v>
      </c>
      <c r="P12" s="32">
        <v>7</v>
      </c>
      <c r="Q12" s="32">
        <v>17</v>
      </c>
      <c r="R12" s="32">
        <v>0</v>
      </c>
      <c r="S12" s="32">
        <v>0</v>
      </c>
      <c r="T12" s="32">
        <v>1</v>
      </c>
      <c r="U12" s="32">
        <v>14</v>
      </c>
      <c r="V12" s="32">
        <v>0</v>
      </c>
      <c r="W12" s="32">
        <v>0</v>
      </c>
      <c r="X12" s="32">
        <v>0</v>
      </c>
      <c r="Y12" s="32">
        <v>1</v>
      </c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2"/>
      <c r="HC12" s="32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2"/>
      <c r="HO12" s="32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2"/>
      <c r="IA12" s="32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32"/>
      <c r="IN12" s="32"/>
      <c r="IO12" s="32"/>
      <c r="IP12" s="32"/>
    </row>
    <row r="13" spans="1:250" s="11" customFormat="1" ht="15.95" customHeight="1">
      <c r="A13" s="18">
        <v>17</v>
      </c>
      <c r="B13" s="19" t="s">
        <v>42</v>
      </c>
      <c r="C13" s="18" t="str">
        <f t="shared" si="1"/>
        <v>4,7,14</v>
      </c>
      <c r="D13" s="18" t="str">
        <f t="shared" si="6"/>
        <v>0,18,0</v>
      </c>
      <c r="E13" s="18" t="str">
        <f t="shared" si="3"/>
        <v>0,0,0</v>
      </c>
      <c r="F13" s="18" t="str">
        <f t="shared" si="4"/>
        <v>0,0,0</v>
      </c>
      <c r="G13" s="19" t="str">
        <f t="shared" si="5"/>
        <v>100,1,1</v>
      </c>
      <c r="H13" s="19" t="s">
        <v>31</v>
      </c>
      <c r="I13" s="19" t="s">
        <v>31</v>
      </c>
      <c r="J13" s="25"/>
      <c r="K13" s="32">
        <v>4</v>
      </c>
      <c r="L13" s="32">
        <v>0</v>
      </c>
      <c r="M13" s="32">
        <v>0</v>
      </c>
      <c r="N13" s="32">
        <v>0</v>
      </c>
      <c r="O13" s="32">
        <v>100</v>
      </c>
      <c r="P13" s="32">
        <v>7</v>
      </c>
      <c r="Q13" s="32">
        <v>18</v>
      </c>
      <c r="R13" s="32">
        <v>0</v>
      </c>
      <c r="S13" s="32">
        <v>0</v>
      </c>
      <c r="T13" s="32">
        <v>1</v>
      </c>
      <c r="U13" s="32">
        <v>14</v>
      </c>
      <c r="V13" s="32">
        <v>0</v>
      </c>
      <c r="W13" s="32">
        <v>0</v>
      </c>
      <c r="X13" s="32">
        <v>0</v>
      </c>
      <c r="Y13" s="32">
        <v>1</v>
      </c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</row>
    <row r="14" spans="1:250" s="11" customFormat="1" ht="15.95" customHeight="1">
      <c r="A14" s="18">
        <v>18</v>
      </c>
      <c r="B14" s="19" t="s">
        <v>43</v>
      </c>
      <c r="C14" s="18" t="str">
        <f t="shared" si="1"/>
        <v>4,7,14</v>
      </c>
      <c r="D14" s="18" t="str">
        <f t="shared" si="6"/>
        <v>0,19,0</v>
      </c>
      <c r="E14" s="18" t="str">
        <f t="shared" si="3"/>
        <v>0,0,0</v>
      </c>
      <c r="F14" s="18" t="str">
        <f t="shared" si="4"/>
        <v>0,0,0</v>
      </c>
      <c r="G14" s="19" t="str">
        <f t="shared" si="5"/>
        <v>100,1,1</v>
      </c>
      <c r="H14" s="19" t="s">
        <v>31</v>
      </c>
      <c r="I14" s="19" t="s">
        <v>31</v>
      </c>
      <c r="J14" s="25"/>
      <c r="K14" s="32">
        <v>4</v>
      </c>
      <c r="L14" s="32">
        <v>0</v>
      </c>
      <c r="M14" s="32">
        <v>0</v>
      </c>
      <c r="N14" s="32">
        <v>0</v>
      </c>
      <c r="O14" s="32">
        <v>100</v>
      </c>
      <c r="P14" s="32">
        <v>7</v>
      </c>
      <c r="Q14" s="32">
        <v>19</v>
      </c>
      <c r="R14" s="32">
        <v>0</v>
      </c>
      <c r="S14" s="32">
        <v>0</v>
      </c>
      <c r="T14" s="32">
        <v>1</v>
      </c>
      <c r="U14" s="32">
        <v>14</v>
      </c>
      <c r="V14" s="32">
        <v>0</v>
      </c>
      <c r="W14" s="32">
        <v>0</v>
      </c>
      <c r="X14" s="32">
        <v>0</v>
      </c>
      <c r="Y14" s="32">
        <v>1</v>
      </c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2"/>
      <c r="FG14" s="32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2"/>
      <c r="FS14" s="32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2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2"/>
      <c r="GQ14" s="32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2"/>
      <c r="HC14" s="32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2"/>
      <c r="HO14" s="32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2"/>
      <c r="IA14" s="32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32"/>
      <c r="IN14" s="32"/>
      <c r="IO14" s="32"/>
      <c r="IP14" s="32"/>
    </row>
    <row r="15" spans="1:250" s="11" customFormat="1" ht="15.95" customHeight="1">
      <c r="A15" s="18">
        <v>19</v>
      </c>
      <c r="B15" s="19" t="s">
        <v>44</v>
      </c>
      <c r="C15" s="18" t="str">
        <f t="shared" si="1"/>
        <v>4,7,14</v>
      </c>
      <c r="D15" s="18" t="str">
        <f t="shared" si="6"/>
        <v>0,20,0</v>
      </c>
      <c r="E15" s="18" t="str">
        <f t="shared" si="3"/>
        <v>0,0,0</v>
      </c>
      <c r="F15" s="18" t="str">
        <f t="shared" si="4"/>
        <v>0,0,0</v>
      </c>
      <c r="G15" s="19" t="str">
        <f t="shared" si="5"/>
        <v>200,1,3</v>
      </c>
      <c r="H15" s="19" t="s">
        <v>31</v>
      </c>
      <c r="I15" s="33" t="s">
        <v>31</v>
      </c>
      <c r="J15" s="25"/>
      <c r="K15" s="32">
        <v>4</v>
      </c>
      <c r="L15" s="32">
        <v>0</v>
      </c>
      <c r="M15" s="32">
        <v>0</v>
      </c>
      <c r="N15" s="32">
        <v>0</v>
      </c>
      <c r="O15" s="32">
        <v>200</v>
      </c>
      <c r="P15" s="32">
        <v>7</v>
      </c>
      <c r="Q15" s="32">
        <v>20</v>
      </c>
      <c r="R15" s="32">
        <v>0</v>
      </c>
      <c r="S15" s="32">
        <v>0</v>
      </c>
      <c r="T15" s="32">
        <v>1</v>
      </c>
      <c r="U15" s="32">
        <v>14</v>
      </c>
      <c r="V15" s="32">
        <v>0</v>
      </c>
      <c r="W15" s="32">
        <v>0</v>
      </c>
      <c r="X15" s="32">
        <v>0</v>
      </c>
      <c r="Y15" s="32">
        <v>3</v>
      </c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32"/>
      <c r="GU15" s="32"/>
      <c r="GV15" s="32"/>
      <c r="GW15" s="32"/>
      <c r="GX15" s="32"/>
      <c r="GY15" s="32"/>
      <c r="GZ15" s="32"/>
      <c r="HA15" s="32"/>
      <c r="HB15" s="32"/>
      <c r="HC15" s="32"/>
      <c r="HD15" s="32"/>
      <c r="HE15" s="32"/>
      <c r="HF15" s="32"/>
      <c r="HG15" s="32"/>
      <c r="HH15" s="32"/>
      <c r="HI15" s="32"/>
      <c r="HJ15" s="32"/>
      <c r="HK15" s="32"/>
      <c r="HL15" s="32"/>
      <c r="HM15" s="32"/>
      <c r="HN15" s="32"/>
      <c r="HO15" s="32"/>
      <c r="HP15" s="32"/>
      <c r="HQ15" s="32"/>
      <c r="HR15" s="32"/>
      <c r="HS15" s="32"/>
      <c r="HT15" s="32"/>
      <c r="HU15" s="32"/>
      <c r="HV15" s="32"/>
      <c r="HW15" s="32"/>
      <c r="HX15" s="32"/>
      <c r="HY15" s="32"/>
      <c r="HZ15" s="32"/>
      <c r="IA15" s="32"/>
      <c r="IB15" s="32"/>
      <c r="IC15" s="32"/>
      <c r="ID15" s="32"/>
      <c r="IE15" s="32"/>
      <c r="IF15" s="32"/>
      <c r="IG15" s="32"/>
      <c r="IH15" s="32"/>
      <c r="II15" s="32"/>
      <c r="IJ15" s="32"/>
      <c r="IK15" s="32"/>
      <c r="IL15" s="32"/>
      <c r="IM15" s="32"/>
      <c r="IN15" s="32"/>
      <c r="IO15" s="32"/>
      <c r="IP15" s="32"/>
    </row>
    <row r="16" spans="1:250" s="12" customFormat="1" ht="15.95" customHeight="1">
      <c r="A16" s="18">
        <v>20</v>
      </c>
      <c r="B16" s="21">
        <v>505</v>
      </c>
      <c r="C16" s="20" t="str">
        <f t="shared" si="1"/>
        <v>4,7,14</v>
      </c>
      <c r="D16" s="20" t="str">
        <f t="shared" si="6"/>
        <v>0,21,0</v>
      </c>
      <c r="E16" s="20" t="str">
        <f t="shared" si="3"/>
        <v>0,0,0</v>
      </c>
      <c r="F16" s="20" t="str">
        <f t="shared" si="4"/>
        <v>0,0,0</v>
      </c>
      <c r="G16" s="21" t="str">
        <f t="shared" si="5"/>
        <v>100,1,1</v>
      </c>
      <c r="H16" s="21" t="s">
        <v>31</v>
      </c>
      <c r="I16" s="21" t="s">
        <v>31</v>
      </c>
      <c r="J16" s="27"/>
      <c r="K16" s="28">
        <v>4</v>
      </c>
      <c r="L16" s="28">
        <v>0</v>
      </c>
      <c r="M16" s="28">
        <v>0</v>
      </c>
      <c r="N16" s="28">
        <v>0</v>
      </c>
      <c r="O16" s="28">
        <v>100</v>
      </c>
      <c r="P16" s="28">
        <v>7</v>
      </c>
      <c r="Q16" s="28">
        <v>21</v>
      </c>
      <c r="R16" s="28">
        <v>0</v>
      </c>
      <c r="S16" s="28">
        <v>0</v>
      </c>
      <c r="T16" s="28">
        <v>1</v>
      </c>
      <c r="U16" s="28">
        <v>14</v>
      </c>
      <c r="V16" s="28">
        <v>0</v>
      </c>
      <c r="W16" s="28">
        <v>0</v>
      </c>
      <c r="X16" s="28">
        <v>0</v>
      </c>
      <c r="Y16" s="28">
        <v>1</v>
      </c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</row>
    <row r="17" spans="1:250" s="12" customFormat="1" ht="13.5" customHeight="1">
      <c r="A17" s="18">
        <v>21</v>
      </c>
      <c r="B17" s="21">
        <v>510</v>
      </c>
      <c r="C17" s="20" t="str">
        <f t="shared" si="1"/>
        <v>4,7</v>
      </c>
      <c r="D17" s="20" t="str">
        <f t="shared" si="6"/>
        <v>0,22</v>
      </c>
      <c r="E17" s="20" t="str">
        <f t="shared" si="3"/>
        <v>0,0</v>
      </c>
      <c r="F17" s="20" t="str">
        <f t="shared" si="4"/>
        <v>0,0</v>
      </c>
      <c r="G17" s="21" t="str">
        <f t="shared" si="5"/>
        <v>100,1</v>
      </c>
      <c r="H17" s="21" t="s">
        <v>31</v>
      </c>
      <c r="I17" s="21" t="s">
        <v>31</v>
      </c>
      <c r="J17" s="27"/>
      <c r="K17" s="28">
        <v>4</v>
      </c>
      <c r="L17" s="28">
        <v>0</v>
      </c>
      <c r="M17" s="28">
        <v>0</v>
      </c>
      <c r="N17" s="28">
        <v>0</v>
      </c>
      <c r="O17" s="28">
        <v>100</v>
      </c>
      <c r="P17" s="28">
        <v>7</v>
      </c>
      <c r="Q17" s="28">
        <v>22</v>
      </c>
      <c r="R17" s="28">
        <v>0</v>
      </c>
      <c r="S17" s="28">
        <v>0</v>
      </c>
      <c r="T17" s="28">
        <v>1</v>
      </c>
      <c r="U17" s="28"/>
      <c r="V17" s="28"/>
      <c r="W17" s="28"/>
      <c r="X17" s="28"/>
      <c r="Y17" s="28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</row>
    <row r="18" spans="1:250" s="12" customFormat="1" ht="13.5" customHeight="1">
      <c r="A18" s="18">
        <v>22</v>
      </c>
      <c r="B18" s="21">
        <v>515</v>
      </c>
      <c r="C18" s="20" t="str">
        <f t="shared" si="1"/>
        <v>4,7,14</v>
      </c>
      <c r="D18" s="20" t="str">
        <f t="shared" si="6"/>
        <v>0,23,0</v>
      </c>
      <c r="E18" s="20" t="str">
        <f t="shared" si="3"/>
        <v>0,0,0</v>
      </c>
      <c r="F18" s="20" t="str">
        <f t="shared" si="4"/>
        <v>0,0,0</v>
      </c>
      <c r="G18" s="21" t="str">
        <f t="shared" si="5"/>
        <v>100,1,1</v>
      </c>
      <c r="H18" s="21" t="s">
        <v>31</v>
      </c>
      <c r="I18" s="21" t="s">
        <v>31</v>
      </c>
      <c r="J18" s="27"/>
      <c r="K18" s="28">
        <v>4</v>
      </c>
      <c r="L18" s="28">
        <v>0</v>
      </c>
      <c r="M18" s="28">
        <v>0</v>
      </c>
      <c r="N18" s="28">
        <v>0</v>
      </c>
      <c r="O18" s="28">
        <v>100</v>
      </c>
      <c r="P18" s="28">
        <v>7</v>
      </c>
      <c r="Q18" s="28">
        <v>23</v>
      </c>
      <c r="R18" s="28">
        <v>0</v>
      </c>
      <c r="S18" s="28">
        <v>0</v>
      </c>
      <c r="T18" s="28">
        <v>1</v>
      </c>
      <c r="U18" s="28">
        <v>14</v>
      </c>
      <c r="V18" s="28">
        <v>0</v>
      </c>
      <c r="W18" s="28">
        <v>0</v>
      </c>
      <c r="X18" s="28">
        <v>0</v>
      </c>
      <c r="Y18" s="28">
        <v>1</v>
      </c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</row>
    <row r="19" spans="1:250" s="12" customFormat="1" ht="13.5" customHeight="1">
      <c r="A19" s="18">
        <v>23</v>
      </c>
      <c r="B19" s="21">
        <v>520</v>
      </c>
      <c r="C19" s="20" t="str">
        <f t="shared" si="1"/>
        <v>4,7</v>
      </c>
      <c r="D19" s="20" t="str">
        <f t="shared" si="6"/>
        <v>0,24</v>
      </c>
      <c r="E19" s="20" t="str">
        <f t="shared" si="3"/>
        <v>0,0</v>
      </c>
      <c r="F19" s="20" t="str">
        <f t="shared" si="4"/>
        <v>0,0</v>
      </c>
      <c r="G19" s="21" t="str">
        <f t="shared" si="5"/>
        <v>100,1</v>
      </c>
      <c r="H19" s="21" t="s">
        <v>31</v>
      </c>
      <c r="I19" s="21" t="s">
        <v>31</v>
      </c>
      <c r="J19" s="27"/>
      <c r="K19" s="28">
        <v>4</v>
      </c>
      <c r="L19" s="28">
        <v>0</v>
      </c>
      <c r="M19" s="28">
        <v>0</v>
      </c>
      <c r="N19" s="28">
        <v>0</v>
      </c>
      <c r="O19" s="28">
        <v>100</v>
      </c>
      <c r="P19" s="28">
        <v>7</v>
      </c>
      <c r="Q19" s="28">
        <v>24</v>
      </c>
      <c r="R19" s="28">
        <v>0</v>
      </c>
      <c r="S19" s="28">
        <v>0</v>
      </c>
      <c r="T19" s="28">
        <v>1</v>
      </c>
      <c r="U19" s="28"/>
      <c r="V19" s="28"/>
      <c r="W19" s="28"/>
      <c r="X19" s="28"/>
      <c r="Y19" s="28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</row>
    <row r="20" spans="1:250" s="12" customFormat="1" ht="13.5" customHeight="1">
      <c r="A20" s="18">
        <v>24</v>
      </c>
      <c r="B20" s="21">
        <v>525</v>
      </c>
      <c r="C20" s="20" t="str">
        <f t="shared" si="1"/>
        <v>4,6,14</v>
      </c>
      <c r="D20" s="20" t="str">
        <f t="shared" si="6"/>
        <v>0,1,0</v>
      </c>
      <c r="E20" s="20" t="str">
        <f t="shared" si="3"/>
        <v>0,0,0</v>
      </c>
      <c r="F20" s="20" t="str">
        <f t="shared" si="4"/>
        <v>0,5,0</v>
      </c>
      <c r="G20" s="21" t="str">
        <f t="shared" si="5"/>
        <v>200,50,3</v>
      </c>
      <c r="H20" s="21" t="s">
        <v>31</v>
      </c>
      <c r="I20" s="30" t="s">
        <v>31</v>
      </c>
      <c r="J20" s="27"/>
      <c r="K20" s="28">
        <v>4</v>
      </c>
      <c r="L20" s="28">
        <v>0</v>
      </c>
      <c r="M20" s="28">
        <v>0</v>
      </c>
      <c r="N20" s="28">
        <v>0</v>
      </c>
      <c r="O20" s="28">
        <v>200</v>
      </c>
      <c r="P20" s="28">
        <v>6</v>
      </c>
      <c r="Q20" s="28">
        <v>1</v>
      </c>
      <c r="R20" s="28">
        <v>0</v>
      </c>
      <c r="S20" s="28">
        <v>5</v>
      </c>
      <c r="T20" s="28">
        <v>50</v>
      </c>
      <c r="U20" s="28">
        <v>14</v>
      </c>
      <c r="V20" s="28">
        <v>0</v>
      </c>
      <c r="W20" s="28">
        <v>0</v>
      </c>
      <c r="X20" s="28">
        <v>0</v>
      </c>
      <c r="Y20" s="28">
        <v>3</v>
      </c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</row>
    <row r="21" spans="1:250" s="13" customFormat="1" ht="13.5" customHeight="1">
      <c r="A21" s="18">
        <v>25</v>
      </c>
      <c r="B21" s="22">
        <v>605</v>
      </c>
      <c r="C21" s="23" t="str">
        <f t="shared" si="1"/>
        <v>4,7</v>
      </c>
      <c r="D21" s="23" t="str">
        <f t="shared" si="6"/>
        <v>0,25</v>
      </c>
      <c r="E21" s="23" t="str">
        <f t="shared" si="3"/>
        <v>0,0</v>
      </c>
      <c r="F21" s="23" t="str">
        <f t="shared" si="4"/>
        <v>0,0</v>
      </c>
      <c r="G21" s="22" t="str">
        <f t="shared" si="5"/>
        <v>100,1</v>
      </c>
      <c r="H21" s="22" t="s">
        <v>31</v>
      </c>
      <c r="I21" s="22" t="s">
        <v>31</v>
      </c>
      <c r="J21" s="34"/>
      <c r="K21" s="35">
        <v>4</v>
      </c>
      <c r="L21" s="35">
        <v>0</v>
      </c>
      <c r="M21" s="35">
        <v>0</v>
      </c>
      <c r="N21" s="35">
        <v>0</v>
      </c>
      <c r="O21" s="35">
        <v>100</v>
      </c>
      <c r="P21" s="35">
        <v>7</v>
      </c>
      <c r="Q21" s="35">
        <v>25</v>
      </c>
      <c r="R21" s="35">
        <v>0</v>
      </c>
      <c r="S21" s="35">
        <v>0</v>
      </c>
      <c r="T21" s="35">
        <v>1</v>
      </c>
      <c r="U21" s="35"/>
      <c r="V21" s="35"/>
      <c r="W21" s="35"/>
      <c r="X21" s="35"/>
      <c r="Y21" s="35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</row>
    <row r="22" spans="1:250" s="13" customFormat="1" ht="13.5" customHeight="1">
      <c r="A22" s="18">
        <v>26</v>
      </c>
      <c r="B22" s="22">
        <v>610</v>
      </c>
      <c r="C22" s="23" t="str">
        <f t="shared" si="1"/>
        <v>4,7,14</v>
      </c>
      <c r="D22" s="23" t="str">
        <f t="shared" si="6"/>
        <v>0,26,0</v>
      </c>
      <c r="E22" s="23" t="str">
        <f t="shared" si="3"/>
        <v>0,0,0</v>
      </c>
      <c r="F22" s="23" t="str">
        <f t="shared" si="4"/>
        <v>0,0,0</v>
      </c>
      <c r="G22" s="22" t="str">
        <f t="shared" si="5"/>
        <v>100,1,1</v>
      </c>
      <c r="H22" s="22" t="s">
        <v>31</v>
      </c>
      <c r="I22" s="22" t="s">
        <v>31</v>
      </c>
      <c r="J22" s="34"/>
      <c r="K22" s="35">
        <v>4</v>
      </c>
      <c r="L22" s="35">
        <v>0</v>
      </c>
      <c r="M22" s="35">
        <v>0</v>
      </c>
      <c r="N22" s="35">
        <v>0</v>
      </c>
      <c r="O22" s="35">
        <v>100</v>
      </c>
      <c r="P22" s="35">
        <v>7</v>
      </c>
      <c r="Q22" s="35">
        <v>26</v>
      </c>
      <c r="R22" s="35">
        <v>0</v>
      </c>
      <c r="S22" s="35">
        <v>0</v>
      </c>
      <c r="T22" s="35">
        <v>1</v>
      </c>
      <c r="U22" s="35">
        <v>14</v>
      </c>
      <c r="V22" s="35">
        <v>0</v>
      </c>
      <c r="W22" s="35">
        <v>0</v>
      </c>
      <c r="X22" s="35">
        <v>0</v>
      </c>
      <c r="Y22" s="35">
        <v>1</v>
      </c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</row>
    <row r="23" spans="1:250" s="13" customFormat="1" ht="13.5" customHeight="1">
      <c r="A23" s="18">
        <v>27</v>
      </c>
      <c r="B23" s="22">
        <v>615</v>
      </c>
      <c r="C23" s="23" t="str">
        <f t="shared" si="1"/>
        <v>4,7</v>
      </c>
      <c r="D23" s="23" t="str">
        <f t="shared" si="6"/>
        <v>0,27</v>
      </c>
      <c r="E23" s="23" t="str">
        <f t="shared" si="3"/>
        <v>0,0</v>
      </c>
      <c r="F23" s="23" t="str">
        <f t="shared" si="4"/>
        <v>0,0</v>
      </c>
      <c r="G23" s="22" t="str">
        <f t="shared" si="5"/>
        <v>100,1</v>
      </c>
      <c r="H23" s="22" t="s">
        <v>31</v>
      </c>
      <c r="I23" s="22" t="s">
        <v>31</v>
      </c>
      <c r="J23" s="34"/>
      <c r="K23" s="35">
        <v>4</v>
      </c>
      <c r="L23" s="35">
        <v>0</v>
      </c>
      <c r="M23" s="35">
        <v>0</v>
      </c>
      <c r="N23" s="35">
        <v>0</v>
      </c>
      <c r="O23" s="35">
        <v>100</v>
      </c>
      <c r="P23" s="35">
        <v>7</v>
      </c>
      <c r="Q23" s="35">
        <v>27</v>
      </c>
      <c r="R23" s="35">
        <v>0</v>
      </c>
      <c r="S23" s="35">
        <v>0</v>
      </c>
      <c r="T23" s="35">
        <v>1</v>
      </c>
      <c r="U23" s="35"/>
      <c r="V23" s="35"/>
      <c r="W23" s="35"/>
      <c r="X23" s="35"/>
      <c r="Y23" s="35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</row>
    <row r="24" spans="1:250" s="13" customFormat="1" ht="13.5" customHeight="1">
      <c r="A24" s="18">
        <v>28</v>
      </c>
      <c r="B24" s="22">
        <v>620</v>
      </c>
      <c r="C24" s="23" t="str">
        <f t="shared" si="1"/>
        <v>4,7,14</v>
      </c>
      <c r="D24" s="23" t="str">
        <f t="shared" si="6"/>
        <v>0,28,0</v>
      </c>
      <c r="E24" s="23" t="str">
        <f t="shared" si="3"/>
        <v>0,0,0</v>
      </c>
      <c r="F24" s="23" t="str">
        <f t="shared" si="4"/>
        <v>0,0,0</v>
      </c>
      <c r="G24" s="22" t="str">
        <f t="shared" si="5"/>
        <v>100,1,1</v>
      </c>
      <c r="H24" s="22" t="s">
        <v>31</v>
      </c>
      <c r="I24" s="22" t="s">
        <v>31</v>
      </c>
      <c r="J24" s="34"/>
      <c r="K24" s="35">
        <v>4</v>
      </c>
      <c r="L24" s="35">
        <v>0</v>
      </c>
      <c r="M24" s="35">
        <v>0</v>
      </c>
      <c r="N24" s="35">
        <v>0</v>
      </c>
      <c r="O24" s="35">
        <v>100</v>
      </c>
      <c r="P24" s="35">
        <v>7</v>
      </c>
      <c r="Q24" s="35">
        <v>28</v>
      </c>
      <c r="R24" s="35">
        <v>0</v>
      </c>
      <c r="S24" s="35">
        <v>0</v>
      </c>
      <c r="T24" s="35">
        <v>1</v>
      </c>
      <c r="U24" s="35">
        <v>14</v>
      </c>
      <c r="V24" s="35">
        <v>0</v>
      </c>
      <c r="W24" s="35">
        <v>0</v>
      </c>
      <c r="X24" s="35">
        <v>0</v>
      </c>
      <c r="Y24" s="35">
        <v>1</v>
      </c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</row>
    <row r="25" spans="1:250" s="13" customFormat="1" ht="13.5" customHeight="1">
      <c r="A25" s="18">
        <v>29</v>
      </c>
      <c r="B25" s="22">
        <v>625</v>
      </c>
      <c r="C25" s="23" t="str">
        <f t="shared" si="1"/>
        <v>4,7</v>
      </c>
      <c r="D25" s="23" t="str">
        <f t="shared" si="6"/>
        <v>0,25</v>
      </c>
      <c r="E25" s="23" t="str">
        <f t="shared" si="3"/>
        <v>0,0</v>
      </c>
      <c r="F25" s="23" t="str">
        <f t="shared" si="4"/>
        <v>0,0</v>
      </c>
      <c r="G25" s="22" t="str">
        <f t="shared" si="5"/>
        <v>100,1</v>
      </c>
      <c r="H25" s="22" t="s">
        <v>31</v>
      </c>
      <c r="I25" s="22" t="s">
        <v>31</v>
      </c>
      <c r="J25" s="34"/>
      <c r="K25" s="35">
        <v>4</v>
      </c>
      <c r="L25" s="35">
        <v>0</v>
      </c>
      <c r="M25" s="35">
        <v>0</v>
      </c>
      <c r="N25" s="35">
        <v>0</v>
      </c>
      <c r="O25" s="35">
        <v>100</v>
      </c>
      <c r="P25" s="35">
        <v>7</v>
      </c>
      <c r="Q25" s="35">
        <v>25</v>
      </c>
      <c r="R25" s="35">
        <v>0</v>
      </c>
      <c r="S25" s="35">
        <v>0</v>
      </c>
      <c r="T25" s="35">
        <v>1</v>
      </c>
      <c r="U25" s="35"/>
      <c r="V25" s="35"/>
      <c r="W25" s="35"/>
      <c r="X25" s="35"/>
      <c r="Y25" s="35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</row>
    <row r="26" spans="1:250" s="13" customFormat="1" ht="13.5" customHeight="1">
      <c r="A26" s="18">
        <v>30</v>
      </c>
      <c r="B26" s="22">
        <v>630</v>
      </c>
      <c r="C26" s="23" t="str">
        <f t="shared" si="1"/>
        <v>4,6,14</v>
      </c>
      <c r="D26" s="23" t="str">
        <f t="shared" si="6"/>
        <v>0,1,0</v>
      </c>
      <c r="E26" s="23" t="str">
        <f t="shared" si="3"/>
        <v>0,0,0</v>
      </c>
      <c r="F26" s="23" t="str">
        <f t="shared" si="4"/>
        <v>0,5,0</v>
      </c>
      <c r="G26" s="22" t="str">
        <f t="shared" si="5"/>
        <v>200,50,3</v>
      </c>
      <c r="H26" s="22" t="s">
        <v>31</v>
      </c>
      <c r="I26" s="36" t="s">
        <v>31</v>
      </c>
      <c r="J26" s="34"/>
      <c r="K26" s="35">
        <v>4</v>
      </c>
      <c r="L26" s="35">
        <v>0</v>
      </c>
      <c r="M26" s="35">
        <v>0</v>
      </c>
      <c r="N26" s="35">
        <v>0</v>
      </c>
      <c r="O26" s="35">
        <v>200</v>
      </c>
      <c r="P26" s="35">
        <v>6</v>
      </c>
      <c r="Q26" s="35">
        <v>1</v>
      </c>
      <c r="R26" s="35">
        <v>0</v>
      </c>
      <c r="S26" s="35">
        <v>5</v>
      </c>
      <c r="T26" s="35">
        <v>50</v>
      </c>
      <c r="U26" s="35">
        <v>14</v>
      </c>
      <c r="V26" s="35">
        <v>0</v>
      </c>
      <c r="W26" s="35">
        <v>0</v>
      </c>
      <c r="X26" s="35">
        <v>0</v>
      </c>
      <c r="Y26" s="35">
        <v>3</v>
      </c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</row>
    <row r="27" spans="1:250" s="11" customFormat="1" ht="13.5" customHeight="1">
      <c r="A27" s="18">
        <v>31</v>
      </c>
      <c r="B27" s="19">
        <v>705</v>
      </c>
      <c r="C27" s="18" t="str">
        <f t="shared" si="1"/>
        <v>4,7</v>
      </c>
      <c r="D27" s="18" t="str">
        <f t="shared" si="6"/>
        <v>0,29</v>
      </c>
      <c r="E27" s="18" t="str">
        <f t="shared" si="3"/>
        <v>0,0</v>
      </c>
      <c r="F27" s="18" t="str">
        <f t="shared" si="4"/>
        <v>0,0</v>
      </c>
      <c r="G27" s="19" t="str">
        <f t="shared" si="5"/>
        <v>100,1</v>
      </c>
      <c r="H27" s="19" t="s">
        <v>31</v>
      </c>
      <c r="I27" s="19" t="s">
        <v>31</v>
      </c>
      <c r="J27" s="25"/>
      <c r="K27" s="32">
        <v>4</v>
      </c>
      <c r="L27" s="32">
        <v>0</v>
      </c>
      <c r="M27" s="32">
        <v>0</v>
      </c>
      <c r="N27" s="32">
        <v>0</v>
      </c>
      <c r="O27" s="32">
        <v>100</v>
      </c>
      <c r="P27" s="32">
        <v>7</v>
      </c>
      <c r="Q27" s="32">
        <v>29</v>
      </c>
      <c r="R27" s="32">
        <v>0</v>
      </c>
      <c r="S27" s="32">
        <v>0</v>
      </c>
      <c r="T27" s="32">
        <v>1</v>
      </c>
      <c r="U27" s="32"/>
      <c r="V27" s="32"/>
      <c r="W27" s="32"/>
      <c r="X27" s="32"/>
      <c r="Y27" s="32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  <c r="CF27" s="32"/>
      <c r="CG27" s="32"/>
      <c r="CH27" s="32"/>
      <c r="CI27" s="32"/>
      <c r="CJ27" s="32"/>
      <c r="CK27" s="32"/>
      <c r="CL27" s="32"/>
      <c r="CM27" s="32"/>
      <c r="CN27" s="32"/>
      <c r="CO27" s="32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/>
      <c r="DF27" s="32"/>
      <c r="DG27" s="32"/>
      <c r="DH27" s="32"/>
      <c r="DI27" s="32"/>
      <c r="DJ27" s="32"/>
      <c r="DK27" s="32"/>
      <c r="DL27" s="32"/>
      <c r="DM27" s="32"/>
      <c r="DN27" s="32"/>
      <c r="DO27" s="32"/>
      <c r="DP27" s="32"/>
      <c r="DQ27" s="32"/>
      <c r="DR27" s="32"/>
      <c r="DS27" s="32"/>
      <c r="DT27" s="32"/>
      <c r="DU27" s="32"/>
      <c r="DV27" s="32"/>
      <c r="DW27" s="32"/>
      <c r="DX27" s="32"/>
      <c r="DY27" s="32"/>
      <c r="DZ27" s="32"/>
      <c r="EA27" s="32"/>
      <c r="EB27" s="32"/>
      <c r="EC27" s="32"/>
      <c r="ED27" s="32"/>
      <c r="EE27" s="32"/>
      <c r="EF27" s="32"/>
      <c r="EG27" s="32"/>
      <c r="EH27" s="32"/>
      <c r="EI27" s="32"/>
      <c r="EJ27" s="32"/>
      <c r="EK27" s="32"/>
      <c r="EL27" s="32"/>
      <c r="EM27" s="32"/>
      <c r="EN27" s="32"/>
      <c r="EO27" s="32"/>
      <c r="EP27" s="32"/>
      <c r="EQ27" s="32"/>
      <c r="ER27" s="32"/>
      <c r="ES27" s="32"/>
      <c r="ET27" s="32"/>
      <c r="EU27" s="32"/>
      <c r="EV27" s="32"/>
      <c r="EW27" s="32"/>
      <c r="EX27" s="32"/>
      <c r="EY27" s="32"/>
      <c r="EZ27" s="32"/>
      <c r="FA27" s="32"/>
      <c r="FB27" s="32"/>
      <c r="FC27" s="32"/>
      <c r="FD27" s="32"/>
      <c r="FE27" s="32"/>
      <c r="FF27" s="32"/>
      <c r="FG27" s="32"/>
      <c r="FH27" s="32"/>
      <c r="FI27" s="32"/>
      <c r="FJ27" s="32"/>
      <c r="FK27" s="32"/>
      <c r="FL27" s="32"/>
      <c r="FM27" s="32"/>
      <c r="FN27" s="32"/>
      <c r="FO27" s="32"/>
      <c r="FP27" s="32"/>
      <c r="FQ27" s="32"/>
      <c r="FR27" s="32"/>
      <c r="FS27" s="32"/>
      <c r="FT27" s="32"/>
      <c r="FU27" s="32"/>
      <c r="FV27" s="32"/>
      <c r="FW27" s="32"/>
      <c r="FX27" s="32"/>
      <c r="FY27" s="32"/>
      <c r="FZ27" s="32"/>
      <c r="GA27" s="32"/>
      <c r="GB27" s="32"/>
      <c r="GC27" s="32"/>
      <c r="GD27" s="32"/>
      <c r="GE27" s="32"/>
      <c r="GF27" s="32"/>
      <c r="GG27" s="32"/>
      <c r="GH27" s="32"/>
      <c r="GI27" s="32"/>
      <c r="GJ27" s="32"/>
      <c r="GK27" s="32"/>
      <c r="GL27" s="32"/>
      <c r="GM27" s="32"/>
      <c r="GN27" s="32"/>
      <c r="GO27" s="32"/>
      <c r="GP27" s="32"/>
      <c r="GQ27" s="32"/>
      <c r="GR27" s="32"/>
      <c r="GS27" s="32"/>
      <c r="GT27" s="32"/>
      <c r="GU27" s="32"/>
      <c r="GV27" s="32"/>
      <c r="GW27" s="32"/>
      <c r="GX27" s="32"/>
      <c r="GY27" s="32"/>
      <c r="GZ27" s="32"/>
      <c r="HA27" s="32"/>
      <c r="HB27" s="32"/>
      <c r="HC27" s="32"/>
      <c r="HD27" s="32"/>
      <c r="HE27" s="32"/>
      <c r="HF27" s="32"/>
      <c r="HG27" s="32"/>
      <c r="HH27" s="32"/>
      <c r="HI27" s="32"/>
      <c r="HJ27" s="32"/>
      <c r="HK27" s="32"/>
      <c r="HL27" s="32"/>
      <c r="HM27" s="32"/>
      <c r="HN27" s="32"/>
      <c r="HO27" s="32"/>
      <c r="HP27" s="32"/>
      <c r="HQ27" s="32"/>
      <c r="HR27" s="32"/>
      <c r="HS27" s="32"/>
      <c r="HT27" s="32"/>
      <c r="HU27" s="32"/>
      <c r="HV27" s="32"/>
      <c r="HW27" s="32"/>
      <c r="HX27" s="32"/>
      <c r="HY27" s="32"/>
      <c r="HZ27" s="32"/>
      <c r="IA27" s="32"/>
      <c r="IB27" s="32"/>
      <c r="IC27" s="32"/>
      <c r="ID27" s="32"/>
      <c r="IE27" s="32"/>
      <c r="IF27" s="32"/>
      <c r="IG27" s="32"/>
      <c r="IH27" s="32"/>
      <c r="II27" s="32"/>
      <c r="IJ27" s="32"/>
      <c r="IK27" s="32"/>
      <c r="IL27" s="32"/>
      <c r="IM27" s="32"/>
      <c r="IN27" s="32"/>
      <c r="IO27" s="32"/>
      <c r="IP27" s="32"/>
    </row>
    <row r="28" spans="1:250" s="11" customFormat="1" ht="13.5" customHeight="1">
      <c r="A28" s="18">
        <v>32</v>
      </c>
      <c r="B28" s="19">
        <v>710</v>
      </c>
      <c r="C28" s="18" t="str">
        <f t="shared" si="1"/>
        <v>4,7,14</v>
      </c>
      <c r="D28" s="18" t="str">
        <f t="shared" si="6"/>
        <v>0,30,0</v>
      </c>
      <c r="E28" s="18" t="str">
        <f t="shared" si="3"/>
        <v>0,0,0</v>
      </c>
      <c r="F28" s="18" t="str">
        <f t="shared" si="4"/>
        <v>0,0,0</v>
      </c>
      <c r="G28" s="19" t="str">
        <f t="shared" si="5"/>
        <v>100,1,1</v>
      </c>
      <c r="H28" s="19" t="s">
        <v>31</v>
      </c>
      <c r="I28" s="19" t="s">
        <v>31</v>
      </c>
      <c r="J28" s="25"/>
      <c r="K28" s="32">
        <v>4</v>
      </c>
      <c r="L28" s="32">
        <v>0</v>
      </c>
      <c r="M28" s="32">
        <v>0</v>
      </c>
      <c r="N28" s="32">
        <v>0</v>
      </c>
      <c r="O28" s="32">
        <v>100</v>
      </c>
      <c r="P28" s="32">
        <v>7</v>
      </c>
      <c r="Q28" s="32">
        <v>30</v>
      </c>
      <c r="R28" s="32">
        <v>0</v>
      </c>
      <c r="S28" s="32">
        <v>0</v>
      </c>
      <c r="T28" s="32">
        <v>1</v>
      </c>
      <c r="U28" s="32">
        <v>14</v>
      </c>
      <c r="V28" s="32">
        <v>0</v>
      </c>
      <c r="W28" s="32">
        <v>0</v>
      </c>
      <c r="X28" s="32">
        <v>0</v>
      </c>
      <c r="Y28" s="32">
        <v>1</v>
      </c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2"/>
      <c r="FG28" s="32"/>
      <c r="FH28" s="32"/>
      <c r="FI28" s="32"/>
      <c r="FJ28" s="32"/>
      <c r="FK28" s="32"/>
      <c r="FL28" s="32"/>
      <c r="FM28" s="32"/>
      <c r="FN28" s="32"/>
      <c r="FO28" s="32"/>
      <c r="FP28" s="32"/>
      <c r="FQ28" s="32"/>
      <c r="FR28" s="32"/>
      <c r="FS28" s="32"/>
      <c r="FT28" s="32"/>
      <c r="FU28" s="32"/>
      <c r="FV28" s="32"/>
      <c r="FW28" s="32"/>
      <c r="FX28" s="32"/>
      <c r="FY28" s="32"/>
      <c r="FZ28" s="32"/>
      <c r="GA28" s="32"/>
      <c r="GB28" s="32"/>
      <c r="GC28" s="32"/>
      <c r="GD28" s="32"/>
      <c r="GE28" s="32"/>
      <c r="GF28" s="32"/>
      <c r="GG28" s="32"/>
      <c r="GH28" s="32"/>
      <c r="GI28" s="32"/>
      <c r="GJ28" s="32"/>
      <c r="GK28" s="32"/>
      <c r="GL28" s="32"/>
      <c r="GM28" s="32"/>
      <c r="GN28" s="32"/>
      <c r="GO28" s="32"/>
      <c r="GP28" s="32"/>
      <c r="GQ28" s="32"/>
      <c r="GR28" s="32"/>
      <c r="GS28" s="32"/>
      <c r="GT28" s="32"/>
      <c r="GU28" s="32"/>
      <c r="GV28" s="32"/>
      <c r="GW28" s="32"/>
      <c r="GX28" s="32"/>
      <c r="GY28" s="32"/>
      <c r="GZ28" s="32"/>
      <c r="HA28" s="32"/>
      <c r="HB28" s="32"/>
      <c r="HC28" s="32"/>
      <c r="HD28" s="32"/>
      <c r="HE28" s="32"/>
      <c r="HF28" s="32"/>
      <c r="HG28" s="32"/>
      <c r="HH28" s="32"/>
      <c r="HI28" s="32"/>
      <c r="HJ28" s="32"/>
      <c r="HK28" s="32"/>
      <c r="HL28" s="32"/>
      <c r="HM28" s="32"/>
      <c r="HN28" s="32"/>
      <c r="HO28" s="32"/>
      <c r="HP28" s="32"/>
      <c r="HQ28" s="32"/>
      <c r="HR28" s="32"/>
      <c r="HS28" s="32"/>
      <c r="HT28" s="32"/>
      <c r="HU28" s="32"/>
      <c r="HV28" s="32"/>
      <c r="HW28" s="32"/>
      <c r="HX28" s="32"/>
      <c r="HY28" s="32"/>
      <c r="HZ28" s="32"/>
      <c r="IA28" s="32"/>
      <c r="IB28" s="32"/>
      <c r="IC28" s="32"/>
      <c r="ID28" s="32"/>
      <c r="IE28" s="32"/>
      <c r="IF28" s="32"/>
      <c r="IG28" s="32"/>
      <c r="IH28" s="32"/>
      <c r="II28" s="32"/>
      <c r="IJ28" s="32"/>
      <c r="IK28" s="32"/>
      <c r="IL28" s="32"/>
      <c r="IM28" s="32"/>
      <c r="IN28" s="32"/>
      <c r="IO28" s="32"/>
      <c r="IP28" s="32"/>
    </row>
    <row r="29" spans="1:250" s="11" customFormat="1" ht="13.5" customHeight="1">
      <c r="A29" s="18">
        <v>33</v>
      </c>
      <c r="B29" s="19">
        <v>715</v>
      </c>
      <c r="C29" s="18" t="str">
        <f t="shared" si="1"/>
        <v>4,7</v>
      </c>
      <c r="D29" s="18" t="str">
        <f t="shared" si="6"/>
        <v>0,31</v>
      </c>
      <c r="E29" s="18" t="str">
        <f t="shared" si="3"/>
        <v>0,0</v>
      </c>
      <c r="F29" s="18" t="str">
        <f t="shared" si="4"/>
        <v>0,0</v>
      </c>
      <c r="G29" s="19" t="str">
        <f t="shared" si="5"/>
        <v>100,1</v>
      </c>
      <c r="H29" s="19" t="s">
        <v>31</v>
      </c>
      <c r="I29" s="19" t="s">
        <v>31</v>
      </c>
      <c r="J29" s="25"/>
      <c r="K29" s="32">
        <v>4</v>
      </c>
      <c r="L29" s="32">
        <v>0</v>
      </c>
      <c r="M29" s="32">
        <v>0</v>
      </c>
      <c r="N29" s="32">
        <v>0</v>
      </c>
      <c r="O29" s="32">
        <v>100</v>
      </c>
      <c r="P29" s="32">
        <v>7</v>
      </c>
      <c r="Q29" s="32">
        <v>31</v>
      </c>
      <c r="R29" s="32">
        <v>0</v>
      </c>
      <c r="S29" s="32">
        <v>0</v>
      </c>
      <c r="T29" s="32">
        <v>1</v>
      </c>
      <c r="U29" s="32"/>
      <c r="V29" s="32"/>
      <c r="W29" s="32"/>
      <c r="X29" s="32"/>
      <c r="Y29" s="32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  <c r="CF29" s="32"/>
      <c r="CG29" s="32"/>
      <c r="CH29" s="32"/>
      <c r="CI29" s="32"/>
      <c r="CJ29" s="32"/>
      <c r="CK29" s="32"/>
      <c r="CL29" s="32"/>
      <c r="CM29" s="32"/>
      <c r="CN29" s="32"/>
      <c r="CO29" s="32"/>
      <c r="CP29" s="32"/>
      <c r="CQ29" s="32"/>
      <c r="CR29" s="32"/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/>
      <c r="DD29" s="32"/>
      <c r="DE29" s="32"/>
      <c r="DF29" s="32"/>
      <c r="DG29" s="32"/>
      <c r="DH29" s="32"/>
      <c r="DI29" s="32"/>
      <c r="DJ29" s="32"/>
      <c r="DK29" s="32"/>
      <c r="DL29" s="32"/>
      <c r="DM29" s="32"/>
      <c r="DN29" s="32"/>
      <c r="DO29" s="32"/>
      <c r="DP29" s="32"/>
      <c r="DQ29" s="32"/>
      <c r="DR29" s="32"/>
      <c r="DS29" s="32"/>
      <c r="DT29" s="32"/>
      <c r="DU29" s="32"/>
      <c r="DV29" s="32"/>
      <c r="DW29" s="32"/>
      <c r="DX29" s="32"/>
      <c r="DY29" s="32"/>
      <c r="DZ29" s="32"/>
      <c r="EA29" s="32"/>
      <c r="EB29" s="32"/>
      <c r="EC29" s="32"/>
      <c r="ED29" s="32"/>
      <c r="EE29" s="32"/>
      <c r="EF29" s="32"/>
      <c r="EG29" s="32"/>
      <c r="EH29" s="32"/>
      <c r="EI29" s="32"/>
      <c r="EJ29" s="32"/>
      <c r="EK29" s="32"/>
      <c r="EL29" s="32"/>
      <c r="EM29" s="32"/>
      <c r="EN29" s="32"/>
      <c r="EO29" s="32"/>
      <c r="EP29" s="32"/>
      <c r="EQ29" s="32"/>
      <c r="ER29" s="32"/>
      <c r="ES29" s="32"/>
      <c r="ET29" s="32"/>
      <c r="EU29" s="32"/>
      <c r="EV29" s="32"/>
      <c r="EW29" s="32"/>
      <c r="EX29" s="32"/>
      <c r="EY29" s="32"/>
      <c r="EZ29" s="32"/>
      <c r="FA29" s="32"/>
      <c r="FB29" s="32"/>
      <c r="FC29" s="32"/>
      <c r="FD29" s="32"/>
      <c r="FE29" s="32"/>
      <c r="FF29" s="32"/>
      <c r="FG29" s="32"/>
      <c r="FH29" s="32"/>
      <c r="FI29" s="32"/>
      <c r="FJ29" s="32"/>
      <c r="FK29" s="32"/>
      <c r="FL29" s="32"/>
      <c r="FM29" s="32"/>
      <c r="FN29" s="32"/>
      <c r="FO29" s="32"/>
      <c r="FP29" s="32"/>
      <c r="FQ29" s="32"/>
      <c r="FR29" s="32"/>
      <c r="FS29" s="32"/>
      <c r="FT29" s="32"/>
      <c r="FU29" s="32"/>
      <c r="FV29" s="32"/>
      <c r="FW29" s="32"/>
      <c r="FX29" s="32"/>
      <c r="FY29" s="32"/>
      <c r="FZ29" s="32"/>
      <c r="GA29" s="32"/>
      <c r="GB29" s="32"/>
      <c r="GC29" s="32"/>
      <c r="GD29" s="32"/>
      <c r="GE29" s="32"/>
      <c r="GF29" s="32"/>
      <c r="GG29" s="32"/>
      <c r="GH29" s="32"/>
      <c r="GI29" s="32"/>
      <c r="GJ29" s="32"/>
      <c r="GK29" s="32"/>
      <c r="GL29" s="32"/>
      <c r="GM29" s="32"/>
      <c r="GN29" s="32"/>
      <c r="GO29" s="32"/>
      <c r="GP29" s="32"/>
      <c r="GQ29" s="32"/>
      <c r="GR29" s="32"/>
      <c r="GS29" s="32"/>
      <c r="GT29" s="32"/>
      <c r="GU29" s="32"/>
      <c r="GV29" s="32"/>
      <c r="GW29" s="32"/>
      <c r="GX29" s="32"/>
      <c r="GY29" s="32"/>
      <c r="GZ29" s="32"/>
      <c r="HA29" s="32"/>
      <c r="HB29" s="32"/>
      <c r="HC29" s="32"/>
      <c r="HD29" s="32"/>
      <c r="HE29" s="32"/>
      <c r="HF29" s="32"/>
      <c r="HG29" s="32"/>
      <c r="HH29" s="32"/>
      <c r="HI29" s="32"/>
      <c r="HJ29" s="32"/>
      <c r="HK29" s="32"/>
      <c r="HL29" s="32"/>
      <c r="HM29" s="32"/>
      <c r="HN29" s="32"/>
      <c r="HO29" s="32"/>
      <c r="HP29" s="32"/>
      <c r="HQ29" s="32"/>
      <c r="HR29" s="32"/>
      <c r="HS29" s="32"/>
      <c r="HT29" s="32"/>
      <c r="HU29" s="32"/>
      <c r="HV29" s="32"/>
      <c r="HW29" s="32"/>
      <c r="HX29" s="32"/>
      <c r="HY29" s="32"/>
      <c r="HZ29" s="32"/>
      <c r="IA29" s="32"/>
      <c r="IB29" s="32"/>
      <c r="IC29" s="32"/>
      <c r="ID29" s="32"/>
      <c r="IE29" s="32"/>
      <c r="IF29" s="32"/>
      <c r="IG29" s="32"/>
      <c r="IH29" s="32"/>
      <c r="II29" s="32"/>
      <c r="IJ29" s="32"/>
      <c r="IK29" s="32"/>
      <c r="IL29" s="32"/>
      <c r="IM29" s="32"/>
      <c r="IN29" s="32"/>
      <c r="IO29" s="32"/>
      <c r="IP29" s="32"/>
    </row>
    <row r="30" spans="1:250" s="11" customFormat="1" ht="13.5" customHeight="1">
      <c r="A30" s="18">
        <v>34</v>
      </c>
      <c r="B30" s="19">
        <v>720</v>
      </c>
      <c r="C30" s="18" t="str">
        <f t="shared" si="1"/>
        <v>4,7,14</v>
      </c>
      <c r="D30" s="18" t="str">
        <f t="shared" si="6"/>
        <v>0,32,0</v>
      </c>
      <c r="E30" s="18" t="str">
        <f t="shared" si="3"/>
        <v>0,0,0</v>
      </c>
      <c r="F30" s="18" t="str">
        <f t="shared" si="4"/>
        <v>0,0,0</v>
      </c>
      <c r="G30" s="19" t="str">
        <f t="shared" si="5"/>
        <v>100,1,1</v>
      </c>
      <c r="H30" s="19" t="s">
        <v>31</v>
      </c>
      <c r="I30" s="19" t="s">
        <v>31</v>
      </c>
      <c r="J30" s="25"/>
      <c r="K30" s="32">
        <v>4</v>
      </c>
      <c r="L30" s="32">
        <v>0</v>
      </c>
      <c r="M30" s="32">
        <v>0</v>
      </c>
      <c r="N30" s="32">
        <v>0</v>
      </c>
      <c r="O30" s="32">
        <v>100</v>
      </c>
      <c r="P30" s="32">
        <v>7</v>
      </c>
      <c r="Q30" s="32">
        <v>32</v>
      </c>
      <c r="R30" s="32">
        <v>0</v>
      </c>
      <c r="S30" s="32">
        <v>0</v>
      </c>
      <c r="T30" s="32">
        <v>1</v>
      </c>
      <c r="U30" s="32">
        <v>14</v>
      </c>
      <c r="V30" s="32">
        <v>0</v>
      </c>
      <c r="W30" s="32">
        <v>0</v>
      </c>
      <c r="X30" s="32">
        <v>0</v>
      </c>
      <c r="Y30" s="32">
        <v>1</v>
      </c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  <c r="CF30" s="32"/>
      <c r="CG30" s="32"/>
      <c r="CH30" s="32"/>
      <c r="CI30" s="32"/>
      <c r="CJ30" s="32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32"/>
      <c r="DQ30" s="32"/>
      <c r="DR30" s="32"/>
      <c r="DS30" s="32"/>
      <c r="DT30" s="32"/>
      <c r="DU30" s="32"/>
      <c r="DV30" s="32"/>
      <c r="DW30" s="32"/>
      <c r="DX30" s="32"/>
      <c r="DY30" s="32"/>
      <c r="DZ30" s="32"/>
      <c r="EA30" s="32"/>
      <c r="EB30" s="32"/>
      <c r="EC30" s="32"/>
      <c r="ED30" s="32"/>
      <c r="EE30" s="32"/>
      <c r="EF30" s="32"/>
      <c r="EG30" s="32"/>
      <c r="EH30" s="32"/>
      <c r="EI30" s="32"/>
      <c r="EJ30" s="32"/>
      <c r="EK30" s="32"/>
      <c r="EL30" s="32"/>
      <c r="EM30" s="32"/>
      <c r="EN30" s="32"/>
      <c r="EO30" s="32"/>
      <c r="EP30" s="32"/>
      <c r="EQ30" s="32"/>
      <c r="ER30" s="32"/>
      <c r="ES30" s="32"/>
      <c r="ET30" s="32"/>
      <c r="EU30" s="32"/>
      <c r="EV30" s="32"/>
      <c r="EW30" s="32"/>
      <c r="EX30" s="32"/>
      <c r="EY30" s="32"/>
      <c r="EZ30" s="32"/>
      <c r="FA30" s="32"/>
      <c r="FB30" s="32"/>
      <c r="FC30" s="32"/>
      <c r="FD30" s="32"/>
      <c r="FE30" s="32"/>
      <c r="FF30" s="32"/>
      <c r="FG30" s="32"/>
      <c r="FH30" s="32"/>
      <c r="FI30" s="32"/>
      <c r="FJ30" s="32"/>
      <c r="FK30" s="32"/>
      <c r="FL30" s="32"/>
      <c r="FM30" s="32"/>
      <c r="FN30" s="32"/>
      <c r="FO30" s="32"/>
      <c r="FP30" s="32"/>
      <c r="FQ30" s="32"/>
      <c r="FR30" s="32"/>
      <c r="FS30" s="32"/>
      <c r="FT30" s="32"/>
      <c r="FU30" s="32"/>
      <c r="FV30" s="32"/>
      <c r="FW30" s="32"/>
      <c r="FX30" s="32"/>
      <c r="FY30" s="32"/>
      <c r="FZ30" s="32"/>
      <c r="GA30" s="32"/>
      <c r="GB30" s="32"/>
      <c r="GC30" s="32"/>
      <c r="GD30" s="32"/>
      <c r="GE30" s="32"/>
      <c r="GF30" s="32"/>
      <c r="GG30" s="32"/>
      <c r="GH30" s="32"/>
      <c r="GI30" s="32"/>
      <c r="GJ30" s="32"/>
      <c r="GK30" s="32"/>
      <c r="GL30" s="32"/>
      <c r="GM30" s="32"/>
      <c r="GN30" s="32"/>
      <c r="GO30" s="32"/>
      <c r="GP30" s="32"/>
      <c r="GQ30" s="32"/>
      <c r="GR30" s="32"/>
      <c r="GS30" s="32"/>
      <c r="GT30" s="32"/>
      <c r="GU30" s="32"/>
      <c r="GV30" s="32"/>
      <c r="GW30" s="32"/>
      <c r="GX30" s="32"/>
      <c r="GY30" s="32"/>
      <c r="GZ30" s="32"/>
      <c r="HA30" s="32"/>
      <c r="HB30" s="32"/>
      <c r="HC30" s="32"/>
      <c r="HD30" s="32"/>
      <c r="HE30" s="32"/>
      <c r="HF30" s="32"/>
      <c r="HG30" s="32"/>
      <c r="HH30" s="32"/>
      <c r="HI30" s="32"/>
      <c r="HJ30" s="32"/>
      <c r="HK30" s="32"/>
      <c r="HL30" s="32"/>
      <c r="HM30" s="32"/>
      <c r="HN30" s="32"/>
      <c r="HO30" s="32"/>
      <c r="HP30" s="32"/>
      <c r="HQ30" s="32"/>
      <c r="HR30" s="32"/>
      <c r="HS30" s="32"/>
      <c r="HT30" s="32"/>
      <c r="HU30" s="32"/>
      <c r="HV30" s="32"/>
      <c r="HW30" s="32"/>
      <c r="HX30" s="32"/>
      <c r="HY30" s="32"/>
      <c r="HZ30" s="32"/>
      <c r="IA30" s="32"/>
      <c r="IB30" s="32"/>
      <c r="IC30" s="32"/>
      <c r="ID30" s="32"/>
      <c r="IE30" s="32"/>
      <c r="IF30" s="32"/>
      <c r="IG30" s="32"/>
      <c r="IH30" s="32"/>
      <c r="II30" s="32"/>
      <c r="IJ30" s="32"/>
      <c r="IK30" s="32"/>
      <c r="IL30" s="32"/>
      <c r="IM30" s="32"/>
      <c r="IN30" s="32"/>
      <c r="IO30" s="32"/>
      <c r="IP30" s="32"/>
    </row>
    <row r="31" spans="1:250" s="11" customFormat="1" ht="13.5" customHeight="1">
      <c r="A31" s="18">
        <v>35</v>
      </c>
      <c r="B31" s="19">
        <v>725</v>
      </c>
      <c r="C31" s="18" t="str">
        <f t="shared" si="1"/>
        <v>4,7</v>
      </c>
      <c r="D31" s="18" t="str">
        <f t="shared" si="6"/>
        <v>0,29</v>
      </c>
      <c r="E31" s="18" t="str">
        <f t="shared" si="3"/>
        <v>0,0</v>
      </c>
      <c r="F31" s="18" t="str">
        <f t="shared" si="4"/>
        <v>0,0</v>
      </c>
      <c r="G31" s="19" t="str">
        <f t="shared" si="5"/>
        <v>100,1</v>
      </c>
      <c r="H31" s="19" t="s">
        <v>31</v>
      </c>
      <c r="I31" s="19" t="s">
        <v>31</v>
      </c>
      <c r="J31" s="25"/>
      <c r="K31" s="32">
        <v>4</v>
      </c>
      <c r="L31" s="32">
        <v>0</v>
      </c>
      <c r="M31" s="32">
        <v>0</v>
      </c>
      <c r="N31" s="32">
        <v>0</v>
      </c>
      <c r="O31" s="32">
        <v>100</v>
      </c>
      <c r="P31" s="32">
        <v>7</v>
      </c>
      <c r="Q31" s="32">
        <v>29</v>
      </c>
      <c r="R31" s="32">
        <v>0</v>
      </c>
      <c r="S31" s="32">
        <v>0</v>
      </c>
      <c r="T31" s="32">
        <v>1</v>
      </c>
      <c r="U31" s="32"/>
      <c r="V31" s="32"/>
      <c r="W31" s="32"/>
      <c r="X31" s="32"/>
      <c r="Y31" s="32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</row>
    <row r="32" spans="1:250" s="11" customFormat="1" ht="13.5" customHeight="1">
      <c r="A32" s="18">
        <v>36</v>
      </c>
      <c r="B32" s="19">
        <v>730</v>
      </c>
      <c r="C32" s="18" t="str">
        <f t="shared" si="1"/>
        <v>4,7</v>
      </c>
      <c r="D32" s="18" t="str">
        <f t="shared" si="6"/>
        <v>0,30</v>
      </c>
      <c r="E32" s="18" t="str">
        <f t="shared" si="3"/>
        <v>0,0</v>
      </c>
      <c r="F32" s="18" t="str">
        <f t="shared" si="4"/>
        <v>0,0</v>
      </c>
      <c r="G32" s="19" t="str">
        <f t="shared" si="5"/>
        <v>100,1</v>
      </c>
      <c r="H32" s="19" t="s">
        <v>31</v>
      </c>
      <c r="I32" s="19" t="s">
        <v>31</v>
      </c>
      <c r="J32" s="25"/>
      <c r="K32" s="32">
        <v>4</v>
      </c>
      <c r="L32" s="32">
        <v>0</v>
      </c>
      <c r="M32" s="32">
        <v>0</v>
      </c>
      <c r="N32" s="32">
        <v>0</v>
      </c>
      <c r="O32" s="32">
        <v>100</v>
      </c>
      <c r="P32" s="32">
        <v>7</v>
      </c>
      <c r="Q32" s="32">
        <v>30</v>
      </c>
      <c r="R32" s="32">
        <v>0</v>
      </c>
      <c r="S32" s="32">
        <v>0</v>
      </c>
      <c r="T32" s="32">
        <v>1</v>
      </c>
      <c r="U32" s="32"/>
      <c r="V32" s="32"/>
      <c r="W32" s="32"/>
      <c r="X32" s="32"/>
      <c r="Y32" s="32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  <c r="CF32" s="32"/>
      <c r="CG32" s="32"/>
      <c r="CH32" s="32"/>
      <c r="CI32" s="32"/>
      <c r="CJ32" s="32"/>
      <c r="CK32" s="32"/>
      <c r="CL32" s="32"/>
      <c r="CM32" s="32"/>
      <c r="CN32" s="32"/>
      <c r="CO32" s="32"/>
      <c r="CP32" s="32"/>
      <c r="CQ32" s="32"/>
      <c r="CR32" s="32"/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/>
      <c r="DD32" s="32"/>
      <c r="DE32" s="32"/>
      <c r="DF32" s="32"/>
      <c r="DG32" s="32"/>
      <c r="DH32" s="32"/>
      <c r="DI32" s="32"/>
      <c r="DJ32" s="32"/>
      <c r="DK32" s="32"/>
      <c r="DL32" s="32"/>
      <c r="DM32" s="32"/>
      <c r="DN32" s="32"/>
      <c r="DO32" s="32"/>
      <c r="DP32" s="32"/>
      <c r="DQ32" s="32"/>
      <c r="DR32" s="32"/>
      <c r="DS32" s="32"/>
      <c r="DT32" s="32"/>
      <c r="DU32" s="32"/>
      <c r="DV32" s="32"/>
      <c r="DW32" s="32"/>
      <c r="DX32" s="32"/>
      <c r="DY32" s="32"/>
      <c r="DZ32" s="32"/>
      <c r="EA32" s="32"/>
      <c r="EB32" s="32"/>
      <c r="EC32" s="32"/>
      <c r="ED32" s="32"/>
      <c r="EE32" s="32"/>
      <c r="EF32" s="32"/>
      <c r="EG32" s="32"/>
      <c r="EH32" s="32"/>
      <c r="EI32" s="32"/>
      <c r="EJ32" s="32"/>
      <c r="EK32" s="32"/>
      <c r="EL32" s="32"/>
      <c r="EM32" s="32"/>
      <c r="EN32" s="32"/>
      <c r="EO32" s="32"/>
      <c r="EP32" s="32"/>
      <c r="EQ32" s="32"/>
      <c r="ER32" s="32"/>
      <c r="ES32" s="32"/>
      <c r="ET32" s="32"/>
      <c r="EU32" s="32"/>
      <c r="EV32" s="32"/>
      <c r="EW32" s="32"/>
      <c r="EX32" s="32"/>
      <c r="EY32" s="32"/>
      <c r="EZ32" s="32"/>
      <c r="FA32" s="32"/>
      <c r="FB32" s="32"/>
      <c r="FC32" s="32"/>
      <c r="FD32" s="32"/>
      <c r="FE32" s="32"/>
      <c r="FF32" s="32"/>
      <c r="FG32" s="32"/>
      <c r="FH32" s="32"/>
      <c r="FI32" s="32"/>
      <c r="FJ32" s="32"/>
      <c r="FK32" s="32"/>
      <c r="FL32" s="32"/>
      <c r="FM32" s="32"/>
      <c r="FN32" s="32"/>
      <c r="FO32" s="32"/>
      <c r="FP32" s="32"/>
      <c r="FQ32" s="32"/>
      <c r="FR32" s="32"/>
      <c r="FS32" s="32"/>
      <c r="FT32" s="32"/>
      <c r="FU32" s="32"/>
      <c r="FV32" s="32"/>
      <c r="FW32" s="32"/>
      <c r="FX32" s="32"/>
      <c r="FY32" s="32"/>
      <c r="FZ32" s="32"/>
      <c r="GA32" s="32"/>
      <c r="GB32" s="32"/>
      <c r="GC32" s="32"/>
      <c r="GD32" s="32"/>
      <c r="GE32" s="32"/>
      <c r="GF32" s="32"/>
      <c r="GG32" s="32"/>
      <c r="GH32" s="32"/>
      <c r="GI32" s="32"/>
      <c r="GJ32" s="32"/>
      <c r="GK32" s="32"/>
      <c r="GL32" s="32"/>
      <c r="GM32" s="32"/>
      <c r="GN32" s="32"/>
      <c r="GO32" s="32"/>
      <c r="GP32" s="32"/>
      <c r="GQ32" s="32"/>
      <c r="GR32" s="32"/>
      <c r="GS32" s="32"/>
      <c r="GT32" s="32"/>
      <c r="GU32" s="32"/>
      <c r="GV32" s="32"/>
      <c r="GW32" s="32"/>
      <c r="GX32" s="32"/>
      <c r="GY32" s="32"/>
      <c r="GZ32" s="32"/>
      <c r="HA32" s="32"/>
      <c r="HB32" s="32"/>
      <c r="HC32" s="32"/>
      <c r="HD32" s="32"/>
      <c r="HE32" s="32"/>
      <c r="HF32" s="32"/>
      <c r="HG32" s="32"/>
      <c r="HH32" s="32"/>
      <c r="HI32" s="32"/>
      <c r="HJ32" s="32"/>
      <c r="HK32" s="32"/>
      <c r="HL32" s="32"/>
      <c r="HM32" s="32"/>
      <c r="HN32" s="32"/>
      <c r="HO32" s="32"/>
      <c r="HP32" s="32"/>
      <c r="HQ32" s="32"/>
      <c r="HR32" s="32"/>
      <c r="HS32" s="32"/>
      <c r="HT32" s="32"/>
      <c r="HU32" s="32"/>
      <c r="HV32" s="32"/>
      <c r="HW32" s="32"/>
      <c r="HX32" s="32"/>
      <c r="HY32" s="32"/>
      <c r="HZ32" s="32"/>
      <c r="IA32" s="32"/>
      <c r="IB32" s="32"/>
      <c r="IC32" s="32"/>
      <c r="ID32" s="32"/>
      <c r="IE32" s="32"/>
      <c r="IF32" s="32"/>
      <c r="IG32" s="32"/>
      <c r="IH32" s="32"/>
      <c r="II32" s="32"/>
      <c r="IJ32" s="32"/>
      <c r="IK32" s="32"/>
      <c r="IL32" s="32"/>
      <c r="IM32" s="32"/>
      <c r="IN32" s="32"/>
      <c r="IO32" s="32"/>
      <c r="IP32" s="32"/>
    </row>
    <row r="33" spans="1:250" s="11" customFormat="1" ht="13.5" customHeight="1">
      <c r="A33" s="18">
        <v>37</v>
      </c>
      <c r="B33" s="19">
        <v>735</v>
      </c>
      <c r="C33" s="18" t="str">
        <f t="shared" si="1"/>
        <v>4,6,14</v>
      </c>
      <c r="D33" s="18" t="str">
        <f t="shared" si="6"/>
        <v>0,1,0</v>
      </c>
      <c r="E33" s="18" t="str">
        <f t="shared" si="3"/>
        <v>0,0,0</v>
      </c>
      <c r="F33" s="18" t="str">
        <f t="shared" si="4"/>
        <v>0,5,0</v>
      </c>
      <c r="G33" s="19" t="str">
        <f t="shared" si="5"/>
        <v>200,50,3</v>
      </c>
      <c r="H33" s="19" t="s">
        <v>31</v>
      </c>
      <c r="I33" s="37" t="s">
        <v>31</v>
      </c>
      <c r="J33" s="25"/>
      <c r="K33" s="32">
        <v>4</v>
      </c>
      <c r="L33" s="32">
        <v>0</v>
      </c>
      <c r="M33" s="32">
        <v>0</v>
      </c>
      <c r="N33" s="32">
        <v>0</v>
      </c>
      <c r="O33" s="32">
        <v>200</v>
      </c>
      <c r="P33" s="32">
        <v>6</v>
      </c>
      <c r="Q33" s="32">
        <v>1</v>
      </c>
      <c r="R33" s="32">
        <v>0</v>
      </c>
      <c r="S33" s="32">
        <v>5</v>
      </c>
      <c r="T33" s="32">
        <v>50</v>
      </c>
      <c r="U33" s="32">
        <v>14</v>
      </c>
      <c r="V33" s="32">
        <v>0</v>
      </c>
      <c r="W33" s="32">
        <v>0</v>
      </c>
      <c r="X33" s="32">
        <v>0</v>
      </c>
      <c r="Y33" s="32">
        <v>3</v>
      </c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  <c r="CF33" s="32"/>
      <c r="CG33" s="32"/>
      <c r="CH33" s="32"/>
      <c r="CI33" s="32"/>
      <c r="CJ33" s="32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32"/>
      <c r="DQ33" s="32"/>
      <c r="DR33" s="32"/>
      <c r="DS33" s="32"/>
      <c r="DT33" s="32"/>
      <c r="DU33" s="32"/>
      <c r="DV33" s="32"/>
      <c r="DW33" s="32"/>
      <c r="DX33" s="32"/>
      <c r="DY33" s="32"/>
      <c r="DZ33" s="32"/>
      <c r="EA33" s="32"/>
      <c r="EB33" s="32"/>
      <c r="EC33" s="32"/>
      <c r="ED33" s="32"/>
      <c r="EE33" s="32"/>
      <c r="EF33" s="32"/>
      <c r="EG33" s="32"/>
      <c r="EH33" s="32"/>
      <c r="EI33" s="32"/>
      <c r="EJ33" s="32"/>
      <c r="EK33" s="32"/>
      <c r="EL33" s="32"/>
      <c r="EM33" s="32"/>
      <c r="EN33" s="32"/>
      <c r="EO33" s="32"/>
      <c r="EP33" s="32"/>
      <c r="EQ33" s="32"/>
      <c r="ER33" s="32"/>
      <c r="ES33" s="32"/>
      <c r="ET33" s="32"/>
      <c r="EU33" s="32"/>
      <c r="EV33" s="32"/>
      <c r="EW33" s="32"/>
      <c r="EX33" s="32"/>
      <c r="EY33" s="32"/>
      <c r="EZ33" s="32"/>
      <c r="FA33" s="32"/>
      <c r="FB33" s="32"/>
      <c r="FC33" s="32"/>
      <c r="FD33" s="32"/>
      <c r="FE33" s="32"/>
      <c r="FF33" s="32"/>
      <c r="FG33" s="32"/>
      <c r="FH33" s="32"/>
      <c r="FI33" s="32"/>
      <c r="FJ33" s="32"/>
      <c r="FK33" s="32"/>
      <c r="FL33" s="32"/>
      <c r="FM33" s="32"/>
      <c r="FN33" s="32"/>
      <c r="FO33" s="32"/>
      <c r="FP33" s="32"/>
      <c r="FQ33" s="32"/>
      <c r="FR33" s="32"/>
      <c r="FS33" s="32"/>
      <c r="FT33" s="32"/>
      <c r="FU33" s="32"/>
      <c r="FV33" s="32"/>
      <c r="FW33" s="32"/>
      <c r="FX33" s="32"/>
      <c r="FY33" s="32"/>
      <c r="FZ33" s="32"/>
      <c r="GA33" s="32"/>
      <c r="GB33" s="32"/>
      <c r="GC33" s="32"/>
      <c r="GD33" s="32"/>
      <c r="GE33" s="32"/>
      <c r="GF33" s="32"/>
      <c r="GG33" s="32"/>
      <c r="GH33" s="32"/>
      <c r="GI33" s="32"/>
      <c r="GJ33" s="32"/>
      <c r="GK33" s="32"/>
      <c r="GL33" s="32"/>
      <c r="GM33" s="32"/>
      <c r="GN33" s="32"/>
      <c r="GO33" s="32"/>
      <c r="GP33" s="32"/>
      <c r="GQ33" s="32"/>
      <c r="GR33" s="32"/>
      <c r="GS33" s="32"/>
      <c r="GT33" s="32"/>
      <c r="GU33" s="32"/>
      <c r="GV33" s="32"/>
      <c r="GW33" s="32"/>
      <c r="GX33" s="32"/>
      <c r="GY33" s="32"/>
      <c r="GZ33" s="32"/>
      <c r="HA33" s="32"/>
      <c r="HB33" s="32"/>
      <c r="HC33" s="32"/>
      <c r="HD33" s="32"/>
      <c r="HE33" s="32"/>
      <c r="HF33" s="32"/>
      <c r="HG33" s="32"/>
      <c r="HH33" s="32"/>
      <c r="HI33" s="32"/>
      <c r="HJ33" s="32"/>
      <c r="HK33" s="32"/>
      <c r="HL33" s="32"/>
      <c r="HM33" s="32"/>
      <c r="HN33" s="32"/>
      <c r="HO33" s="32"/>
      <c r="HP33" s="32"/>
      <c r="HQ33" s="32"/>
      <c r="HR33" s="32"/>
      <c r="HS33" s="32"/>
      <c r="HT33" s="32"/>
      <c r="HU33" s="32"/>
      <c r="HV33" s="32"/>
      <c r="HW33" s="32"/>
      <c r="HX33" s="32"/>
      <c r="HY33" s="32"/>
      <c r="HZ33" s="32"/>
      <c r="IA33" s="32"/>
      <c r="IB33" s="32"/>
      <c r="IC33" s="32"/>
      <c r="ID33" s="32"/>
      <c r="IE33" s="32"/>
      <c r="IF33" s="32"/>
      <c r="IG33" s="32"/>
      <c r="IH33" s="32"/>
      <c r="II33" s="32"/>
      <c r="IJ33" s="32"/>
      <c r="IK33" s="32"/>
      <c r="IL33" s="32"/>
      <c r="IM33" s="32"/>
      <c r="IN33" s="32"/>
      <c r="IO33" s="32"/>
      <c r="IP33" s="32"/>
    </row>
    <row r="34" spans="1:250" s="12" customFormat="1" ht="13.5" customHeight="1">
      <c r="A34" s="18">
        <v>38</v>
      </c>
      <c r="B34" s="21">
        <v>805</v>
      </c>
      <c r="C34" s="20" t="str">
        <f t="shared" si="1"/>
        <v>4,7</v>
      </c>
      <c r="D34" s="20" t="str">
        <f t="shared" si="6"/>
        <v>0,33</v>
      </c>
      <c r="E34" s="20" t="str">
        <f t="shared" si="3"/>
        <v>0,0</v>
      </c>
      <c r="F34" s="20" t="str">
        <f t="shared" si="4"/>
        <v>0,0</v>
      </c>
      <c r="G34" s="21" t="str">
        <f t="shared" si="5"/>
        <v>100,1</v>
      </c>
      <c r="H34" s="21" t="s">
        <v>31</v>
      </c>
      <c r="I34" s="21" t="s">
        <v>31</v>
      </c>
      <c r="J34" s="27"/>
      <c r="K34" s="28">
        <v>4</v>
      </c>
      <c r="L34" s="28">
        <v>0</v>
      </c>
      <c r="M34" s="28">
        <v>0</v>
      </c>
      <c r="N34" s="28">
        <v>0</v>
      </c>
      <c r="O34" s="28">
        <v>100</v>
      </c>
      <c r="P34" s="28">
        <v>7</v>
      </c>
      <c r="Q34" s="28">
        <v>33</v>
      </c>
      <c r="R34" s="28">
        <v>0</v>
      </c>
      <c r="S34" s="28">
        <v>0</v>
      </c>
      <c r="T34" s="28">
        <v>1</v>
      </c>
      <c r="U34" s="28"/>
      <c r="V34" s="28"/>
      <c r="W34" s="28"/>
      <c r="X34" s="28"/>
      <c r="Y34" s="28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</row>
    <row r="35" spans="1:250" s="12" customFormat="1" ht="13.5" customHeight="1">
      <c r="A35" s="18">
        <v>39</v>
      </c>
      <c r="B35" s="21">
        <v>810</v>
      </c>
      <c r="C35" s="20" t="str">
        <f t="shared" si="1"/>
        <v>4,7,14</v>
      </c>
      <c r="D35" s="20" t="str">
        <f t="shared" si="6"/>
        <v>0,34,0</v>
      </c>
      <c r="E35" s="20" t="str">
        <f t="shared" si="3"/>
        <v>0,0,0</v>
      </c>
      <c r="F35" s="20" t="str">
        <f t="shared" si="4"/>
        <v>0,0,0</v>
      </c>
      <c r="G35" s="21" t="str">
        <f t="shared" si="5"/>
        <v>100,1,1</v>
      </c>
      <c r="H35" s="21" t="s">
        <v>31</v>
      </c>
      <c r="I35" s="21" t="s">
        <v>31</v>
      </c>
      <c r="J35" s="27"/>
      <c r="K35" s="28">
        <v>4</v>
      </c>
      <c r="L35" s="28">
        <v>0</v>
      </c>
      <c r="M35" s="28">
        <v>0</v>
      </c>
      <c r="N35" s="28">
        <v>0</v>
      </c>
      <c r="O35" s="28">
        <v>100</v>
      </c>
      <c r="P35" s="28">
        <v>7</v>
      </c>
      <c r="Q35" s="28">
        <v>34</v>
      </c>
      <c r="R35" s="28">
        <v>0</v>
      </c>
      <c r="S35" s="28">
        <v>0</v>
      </c>
      <c r="T35" s="28">
        <v>1</v>
      </c>
      <c r="U35" s="28">
        <v>14</v>
      </c>
      <c r="V35" s="28">
        <v>0</v>
      </c>
      <c r="W35" s="28">
        <v>0</v>
      </c>
      <c r="X35" s="28">
        <v>0</v>
      </c>
      <c r="Y35" s="28">
        <v>1</v>
      </c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</row>
    <row r="36" spans="1:250" s="12" customFormat="1" ht="13.5" customHeight="1">
      <c r="A36" s="18">
        <v>40</v>
      </c>
      <c r="B36" s="21">
        <v>815</v>
      </c>
      <c r="C36" s="20" t="str">
        <f t="shared" si="1"/>
        <v>4,7</v>
      </c>
      <c r="D36" s="20" t="str">
        <f t="shared" si="6"/>
        <v>0,35</v>
      </c>
      <c r="E36" s="20" t="str">
        <f t="shared" si="3"/>
        <v>0,0</v>
      </c>
      <c r="F36" s="20" t="str">
        <f t="shared" si="4"/>
        <v>0,0</v>
      </c>
      <c r="G36" s="21" t="str">
        <f t="shared" si="5"/>
        <v>100,1</v>
      </c>
      <c r="H36" s="21" t="s">
        <v>31</v>
      </c>
      <c r="I36" s="21" t="s">
        <v>31</v>
      </c>
      <c r="J36" s="27"/>
      <c r="K36" s="28">
        <v>4</v>
      </c>
      <c r="L36" s="28">
        <v>0</v>
      </c>
      <c r="M36" s="28">
        <v>0</v>
      </c>
      <c r="N36" s="28">
        <v>0</v>
      </c>
      <c r="O36" s="28">
        <v>100</v>
      </c>
      <c r="P36" s="28">
        <v>7</v>
      </c>
      <c r="Q36" s="28">
        <v>35</v>
      </c>
      <c r="R36" s="28">
        <v>0</v>
      </c>
      <c r="S36" s="28">
        <v>0</v>
      </c>
      <c r="T36" s="28">
        <v>1</v>
      </c>
      <c r="U36" s="28"/>
      <c r="V36" s="28"/>
      <c r="W36" s="28"/>
      <c r="X36" s="28"/>
      <c r="Y36" s="28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</row>
    <row r="37" spans="1:250" s="12" customFormat="1" ht="13.5" customHeight="1">
      <c r="A37" s="18">
        <v>41</v>
      </c>
      <c r="B37" s="21">
        <v>820</v>
      </c>
      <c r="C37" s="20" t="str">
        <f t="shared" si="1"/>
        <v>4,7,14</v>
      </c>
      <c r="D37" s="20" t="str">
        <f t="shared" si="6"/>
        <v>0,36,0</v>
      </c>
      <c r="E37" s="20" t="str">
        <f t="shared" si="3"/>
        <v>0,0,0</v>
      </c>
      <c r="F37" s="20" t="str">
        <f t="shared" si="4"/>
        <v>0,0,0</v>
      </c>
      <c r="G37" s="21" t="str">
        <f t="shared" si="5"/>
        <v>100,1,1</v>
      </c>
      <c r="H37" s="21" t="s">
        <v>31</v>
      </c>
      <c r="I37" s="21" t="s">
        <v>31</v>
      </c>
      <c r="J37" s="27"/>
      <c r="K37" s="28">
        <v>4</v>
      </c>
      <c r="L37" s="28">
        <v>0</v>
      </c>
      <c r="M37" s="28">
        <v>0</v>
      </c>
      <c r="N37" s="28">
        <v>0</v>
      </c>
      <c r="O37" s="28">
        <v>100</v>
      </c>
      <c r="P37" s="28">
        <v>7</v>
      </c>
      <c r="Q37" s="28">
        <v>36</v>
      </c>
      <c r="R37" s="28">
        <v>0</v>
      </c>
      <c r="S37" s="28">
        <v>0</v>
      </c>
      <c r="T37" s="28">
        <v>1</v>
      </c>
      <c r="U37" s="28">
        <v>14</v>
      </c>
      <c r="V37" s="28">
        <v>0</v>
      </c>
      <c r="W37" s="28">
        <v>0</v>
      </c>
      <c r="X37" s="28">
        <v>0</v>
      </c>
      <c r="Y37" s="28">
        <v>1</v>
      </c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</row>
    <row r="38" spans="1:250" s="12" customFormat="1" ht="13.5" customHeight="1">
      <c r="A38" s="18">
        <v>42</v>
      </c>
      <c r="B38" s="21">
        <v>825</v>
      </c>
      <c r="C38" s="20" t="str">
        <f t="shared" si="1"/>
        <v>4,7</v>
      </c>
      <c r="D38" s="20" t="str">
        <f t="shared" si="6"/>
        <v>0,33</v>
      </c>
      <c r="E38" s="20" t="str">
        <f t="shared" si="3"/>
        <v>0,0</v>
      </c>
      <c r="F38" s="20" t="str">
        <f t="shared" si="4"/>
        <v>0,0</v>
      </c>
      <c r="G38" s="21" t="str">
        <f t="shared" si="5"/>
        <v>100,1</v>
      </c>
      <c r="H38" s="21" t="s">
        <v>31</v>
      </c>
      <c r="I38" s="21" t="s">
        <v>31</v>
      </c>
      <c r="J38" s="27"/>
      <c r="K38" s="28">
        <v>4</v>
      </c>
      <c r="L38" s="28">
        <v>0</v>
      </c>
      <c r="M38" s="28">
        <v>0</v>
      </c>
      <c r="N38" s="28">
        <v>0</v>
      </c>
      <c r="O38" s="28">
        <v>100</v>
      </c>
      <c r="P38" s="28">
        <v>7</v>
      </c>
      <c r="Q38" s="28">
        <v>33</v>
      </c>
      <c r="R38" s="28">
        <v>0</v>
      </c>
      <c r="S38" s="28">
        <v>0</v>
      </c>
      <c r="T38" s="28">
        <v>1</v>
      </c>
      <c r="U38" s="28"/>
      <c r="V38" s="28"/>
      <c r="W38" s="28"/>
      <c r="X38" s="28"/>
      <c r="Y38" s="28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</row>
    <row r="39" spans="1:250" s="12" customFormat="1" ht="13.5" customHeight="1">
      <c r="A39" s="18">
        <v>43</v>
      </c>
      <c r="B39" s="21">
        <v>830</v>
      </c>
      <c r="C39" s="20" t="str">
        <f t="shared" si="1"/>
        <v>4,7,14</v>
      </c>
      <c r="D39" s="20" t="str">
        <f t="shared" si="6"/>
        <v>0,34,0</v>
      </c>
      <c r="E39" s="20" t="str">
        <f t="shared" si="3"/>
        <v>0,0,0</v>
      </c>
      <c r="F39" s="20" t="str">
        <f t="shared" si="4"/>
        <v>0,0,0</v>
      </c>
      <c r="G39" s="21" t="str">
        <f t="shared" si="5"/>
        <v>100,1,1</v>
      </c>
      <c r="H39" s="21" t="s">
        <v>31</v>
      </c>
      <c r="I39" s="21" t="s">
        <v>31</v>
      </c>
      <c r="J39" s="27"/>
      <c r="K39" s="28">
        <v>4</v>
      </c>
      <c r="L39" s="28">
        <v>0</v>
      </c>
      <c r="M39" s="28">
        <v>0</v>
      </c>
      <c r="N39" s="28">
        <v>0</v>
      </c>
      <c r="O39" s="28">
        <v>100</v>
      </c>
      <c r="P39" s="28">
        <v>7</v>
      </c>
      <c r="Q39" s="28">
        <v>34</v>
      </c>
      <c r="R39" s="28">
        <v>0</v>
      </c>
      <c r="S39" s="28">
        <v>0</v>
      </c>
      <c r="T39" s="28">
        <v>1</v>
      </c>
      <c r="U39" s="28">
        <v>14</v>
      </c>
      <c r="V39" s="28">
        <v>0</v>
      </c>
      <c r="W39" s="28">
        <v>0</v>
      </c>
      <c r="X39" s="28">
        <v>0</v>
      </c>
      <c r="Y39" s="28">
        <v>1</v>
      </c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</row>
    <row r="40" spans="1:250" s="12" customFormat="1" ht="13.5" customHeight="1">
      <c r="A40" s="18">
        <v>44</v>
      </c>
      <c r="B40" s="21">
        <v>835</v>
      </c>
      <c r="C40" s="20" t="str">
        <f t="shared" si="1"/>
        <v>4,7</v>
      </c>
      <c r="D40" s="20" t="str">
        <f t="shared" si="6"/>
        <v>0,35</v>
      </c>
      <c r="E40" s="20" t="str">
        <f t="shared" si="3"/>
        <v>0,0</v>
      </c>
      <c r="F40" s="20" t="str">
        <f t="shared" si="4"/>
        <v>0,0</v>
      </c>
      <c r="G40" s="21" t="str">
        <f t="shared" si="5"/>
        <v>100,1</v>
      </c>
      <c r="H40" s="21" t="s">
        <v>31</v>
      </c>
      <c r="I40" s="21" t="s">
        <v>31</v>
      </c>
      <c r="J40" s="27"/>
      <c r="K40" s="28">
        <v>4</v>
      </c>
      <c r="L40" s="28">
        <v>0</v>
      </c>
      <c r="M40" s="28">
        <v>0</v>
      </c>
      <c r="N40" s="28">
        <v>0</v>
      </c>
      <c r="O40" s="28">
        <v>100</v>
      </c>
      <c r="P40" s="28">
        <v>7</v>
      </c>
      <c r="Q40" s="28">
        <v>35</v>
      </c>
      <c r="R40" s="28">
        <v>0</v>
      </c>
      <c r="S40" s="28">
        <v>0</v>
      </c>
      <c r="T40" s="28">
        <v>1</v>
      </c>
      <c r="U40" s="28"/>
      <c r="V40" s="28"/>
      <c r="W40" s="28"/>
      <c r="X40" s="28"/>
      <c r="Y40" s="28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</row>
    <row r="41" spans="1:250" s="12" customFormat="1" ht="13.5" customHeight="1">
      <c r="A41" s="18">
        <v>45</v>
      </c>
      <c r="B41" s="21">
        <v>840</v>
      </c>
      <c r="C41" s="20" t="str">
        <f t="shared" si="1"/>
        <v>4,6,14</v>
      </c>
      <c r="D41" s="20" t="str">
        <f t="shared" si="6"/>
        <v>0,1,0</v>
      </c>
      <c r="E41" s="20" t="str">
        <f t="shared" si="3"/>
        <v>0,0,0</v>
      </c>
      <c r="F41" s="20" t="str">
        <f t="shared" si="4"/>
        <v>0,5,0</v>
      </c>
      <c r="G41" s="21" t="str">
        <f t="shared" si="5"/>
        <v>200,50,3</v>
      </c>
      <c r="H41" s="21" t="s">
        <v>31</v>
      </c>
      <c r="I41" s="38" t="s">
        <v>31</v>
      </c>
      <c r="J41" s="27"/>
      <c r="K41" s="28">
        <v>4</v>
      </c>
      <c r="L41" s="28">
        <v>0</v>
      </c>
      <c r="M41" s="28">
        <v>0</v>
      </c>
      <c r="N41" s="28">
        <v>0</v>
      </c>
      <c r="O41" s="28">
        <v>200</v>
      </c>
      <c r="P41" s="28">
        <v>6</v>
      </c>
      <c r="Q41" s="28">
        <v>1</v>
      </c>
      <c r="R41" s="28">
        <v>0</v>
      </c>
      <c r="S41" s="28">
        <v>5</v>
      </c>
      <c r="T41" s="28">
        <v>50</v>
      </c>
      <c r="U41" s="28">
        <v>14</v>
      </c>
      <c r="V41" s="28">
        <v>0</v>
      </c>
      <c r="W41" s="28">
        <v>0</v>
      </c>
      <c r="X41" s="28">
        <v>0</v>
      </c>
      <c r="Y41" s="28">
        <v>3</v>
      </c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</row>
    <row r="42" spans="1:250" s="13" customFormat="1" ht="13.5" customHeight="1">
      <c r="A42" s="18">
        <v>46</v>
      </c>
      <c r="B42" s="22">
        <v>905</v>
      </c>
      <c r="C42" s="23" t="str">
        <f t="shared" si="1"/>
        <v>4,7</v>
      </c>
      <c r="D42" s="23" t="str">
        <f t="shared" si="6"/>
        <v>0,37</v>
      </c>
      <c r="E42" s="23" t="str">
        <f t="shared" si="3"/>
        <v>0,0</v>
      </c>
      <c r="F42" s="23" t="str">
        <f t="shared" si="4"/>
        <v>0,0</v>
      </c>
      <c r="G42" s="22" t="str">
        <f t="shared" si="5"/>
        <v>100,1</v>
      </c>
      <c r="H42" s="22" t="s">
        <v>31</v>
      </c>
      <c r="I42" s="22" t="s">
        <v>31</v>
      </c>
      <c r="J42" s="34"/>
      <c r="K42" s="35">
        <v>4</v>
      </c>
      <c r="L42" s="35">
        <v>0</v>
      </c>
      <c r="M42" s="35">
        <v>0</v>
      </c>
      <c r="N42" s="35">
        <v>0</v>
      </c>
      <c r="O42" s="35">
        <v>100</v>
      </c>
      <c r="P42" s="35">
        <v>7</v>
      </c>
      <c r="Q42" s="35">
        <v>37</v>
      </c>
      <c r="R42" s="35">
        <v>0</v>
      </c>
      <c r="S42" s="35">
        <v>0</v>
      </c>
      <c r="T42" s="35">
        <v>1</v>
      </c>
      <c r="U42" s="35"/>
      <c r="V42" s="35"/>
      <c r="W42" s="35"/>
      <c r="X42" s="35"/>
      <c r="Y42" s="35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  <c r="IO42" s="35"/>
      <c r="IP42" s="35"/>
    </row>
    <row r="43" spans="1:250" s="13" customFormat="1" ht="13.5" customHeight="1">
      <c r="A43" s="18">
        <v>47</v>
      </c>
      <c r="B43" s="22">
        <v>910</v>
      </c>
      <c r="C43" s="23" t="str">
        <f t="shared" si="1"/>
        <v>4,7,14</v>
      </c>
      <c r="D43" s="23" t="str">
        <f t="shared" si="6"/>
        <v>0,38,0</v>
      </c>
      <c r="E43" s="23" t="str">
        <f t="shared" si="3"/>
        <v>0,0,0</v>
      </c>
      <c r="F43" s="23" t="str">
        <f t="shared" si="4"/>
        <v>0,0,0</v>
      </c>
      <c r="G43" s="22" t="str">
        <f t="shared" si="5"/>
        <v>100,1,1</v>
      </c>
      <c r="H43" s="22" t="s">
        <v>31</v>
      </c>
      <c r="I43" s="22" t="s">
        <v>31</v>
      </c>
      <c r="J43" s="34"/>
      <c r="K43" s="35">
        <v>4</v>
      </c>
      <c r="L43" s="35">
        <v>0</v>
      </c>
      <c r="M43" s="35">
        <v>0</v>
      </c>
      <c r="N43" s="35">
        <v>0</v>
      </c>
      <c r="O43" s="35">
        <v>100</v>
      </c>
      <c r="P43" s="35">
        <v>7</v>
      </c>
      <c r="Q43" s="35">
        <v>38</v>
      </c>
      <c r="R43" s="35">
        <v>0</v>
      </c>
      <c r="S43" s="35">
        <v>0</v>
      </c>
      <c r="T43" s="35">
        <v>1</v>
      </c>
      <c r="U43" s="35">
        <v>14</v>
      </c>
      <c r="V43" s="35">
        <v>0</v>
      </c>
      <c r="W43" s="35">
        <v>0</v>
      </c>
      <c r="X43" s="35">
        <v>0</v>
      </c>
      <c r="Y43" s="35">
        <v>1</v>
      </c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  <c r="IO43" s="35"/>
      <c r="IP43" s="35"/>
    </row>
    <row r="44" spans="1:250" s="13" customFormat="1" ht="13.5" customHeight="1">
      <c r="A44" s="18">
        <v>48</v>
      </c>
      <c r="B44" s="22">
        <v>915</v>
      </c>
      <c r="C44" s="23" t="str">
        <f t="shared" si="1"/>
        <v>4,7</v>
      </c>
      <c r="D44" s="23" t="str">
        <f t="shared" si="6"/>
        <v>0,39</v>
      </c>
      <c r="E44" s="23" t="str">
        <f t="shared" si="3"/>
        <v>0,0</v>
      </c>
      <c r="F44" s="23" t="str">
        <f t="shared" si="4"/>
        <v>0,0</v>
      </c>
      <c r="G44" s="22" t="str">
        <f t="shared" si="5"/>
        <v>100,1</v>
      </c>
      <c r="H44" s="22" t="s">
        <v>31</v>
      </c>
      <c r="I44" s="22" t="s">
        <v>31</v>
      </c>
      <c r="J44" s="34"/>
      <c r="K44" s="35">
        <v>4</v>
      </c>
      <c r="L44" s="35">
        <v>0</v>
      </c>
      <c r="M44" s="35">
        <v>0</v>
      </c>
      <c r="N44" s="35">
        <v>0</v>
      </c>
      <c r="O44" s="35">
        <v>100</v>
      </c>
      <c r="P44" s="35">
        <v>7</v>
      </c>
      <c r="Q44" s="35">
        <v>39</v>
      </c>
      <c r="R44" s="35">
        <v>0</v>
      </c>
      <c r="S44" s="35">
        <v>0</v>
      </c>
      <c r="T44" s="35">
        <v>1</v>
      </c>
      <c r="U44" s="35"/>
      <c r="V44" s="35"/>
      <c r="W44" s="35"/>
      <c r="X44" s="35"/>
      <c r="Y44" s="35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  <c r="IO44" s="35"/>
      <c r="IP44" s="35"/>
    </row>
    <row r="45" spans="1:250" s="13" customFormat="1" ht="13.5" customHeight="1">
      <c r="A45" s="18">
        <v>49</v>
      </c>
      <c r="B45" s="22">
        <v>920</v>
      </c>
      <c r="C45" s="23" t="str">
        <f t="shared" si="1"/>
        <v>4,7,14</v>
      </c>
      <c r="D45" s="23" t="str">
        <f t="shared" si="6"/>
        <v>0,40,0</v>
      </c>
      <c r="E45" s="23" t="str">
        <f t="shared" si="3"/>
        <v>0,0,0</v>
      </c>
      <c r="F45" s="23" t="str">
        <f t="shared" si="4"/>
        <v>0,0,0</v>
      </c>
      <c r="G45" s="22" t="str">
        <f t="shared" si="5"/>
        <v>100,1,1</v>
      </c>
      <c r="H45" s="22" t="s">
        <v>31</v>
      </c>
      <c r="I45" s="22" t="s">
        <v>31</v>
      </c>
      <c r="J45" s="34"/>
      <c r="K45" s="35">
        <v>4</v>
      </c>
      <c r="L45" s="35">
        <v>0</v>
      </c>
      <c r="M45" s="35">
        <v>0</v>
      </c>
      <c r="N45" s="35">
        <v>0</v>
      </c>
      <c r="O45" s="35">
        <v>100</v>
      </c>
      <c r="P45" s="35">
        <v>7</v>
      </c>
      <c r="Q45" s="35">
        <v>40</v>
      </c>
      <c r="R45" s="35">
        <v>0</v>
      </c>
      <c r="S45" s="35">
        <v>0</v>
      </c>
      <c r="T45" s="35">
        <v>1</v>
      </c>
      <c r="U45" s="35">
        <v>14</v>
      </c>
      <c r="V45" s="35">
        <v>0</v>
      </c>
      <c r="W45" s="35">
        <v>0</v>
      </c>
      <c r="X45" s="35">
        <v>0</v>
      </c>
      <c r="Y45" s="35">
        <v>1</v>
      </c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/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  <c r="IO45" s="35"/>
      <c r="IP45" s="35"/>
    </row>
    <row r="46" spans="1:250" s="13" customFormat="1" ht="13.5" customHeight="1">
      <c r="A46" s="18">
        <v>50</v>
      </c>
      <c r="B46" s="22">
        <v>925</v>
      </c>
      <c r="C46" s="23" t="str">
        <f t="shared" si="1"/>
        <v>4,7</v>
      </c>
      <c r="D46" s="23" t="str">
        <f t="shared" si="6"/>
        <v>0,37</v>
      </c>
      <c r="E46" s="23" t="str">
        <f t="shared" si="3"/>
        <v>0,0</v>
      </c>
      <c r="F46" s="23" t="str">
        <f t="shared" si="4"/>
        <v>0,0</v>
      </c>
      <c r="G46" s="22" t="str">
        <f t="shared" si="5"/>
        <v>100,1</v>
      </c>
      <c r="H46" s="22" t="s">
        <v>31</v>
      </c>
      <c r="I46" s="22" t="s">
        <v>31</v>
      </c>
      <c r="J46" s="34"/>
      <c r="K46" s="35">
        <v>4</v>
      </c>
      <c r="L46" s="35">
        <v>0</v>
      </c>
      <c r="M46" s="35">
        <v>0</v>
      </c>
      <c r="N46" s="35">
        <v>0</v>
      </c>
      <c r="O46" s="35">
        <v>100</v>
      </c>
      <c r="P46" s="35">
        <v>7</v>
      </c>
      <c r="Q46" s="35">
        <v>37</v>
      </c>
      <c r="R46" s="35">
        <v>0</v>
      </c>
      <c r="S46" s="35">
        <v>0</v>
      </c>
      <c r="T46" s="35">
        <v>1</v>
      </c>
      <c r="U46" s="35"/>
      <c r="V46" s="35"/>
      <c r="W46" s="35"/>
      <c r="X46" s="35"/>
      <c r="Y46" s="35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/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  <c r="IO46" s="35"/>
      <c r="IP46" s="35"/>
    </row>
    <row r="47" spans="1:250" s="13" customFormat="1" ht="13.5" customHeight="1">
      <c r="A47" s="18">
        <v>51</v>
      </c>
      <c r="B47" s="22">
        <v>930</v>
      </c>
      <c r="C47" s="23" t="str">
        <f t="shared" si="1"/>
        <v>4,7,14</v>
      </c>
      <c r="D47" s="23" t="str">
        <f t="shared" si="6"/>
        <v>0,38,0</v>
      </c>
      <c r="E47" s="23" t="str">
        <f t="shared" si="3"/>
        <v>0,0,0</v>
      </c>
      <c r="F47" s="23" t="str">
        <f t="shared" si="4"/>
        <v>0,0,0</v>
      </c>
      <c r="G47" s="22" t="str">
        <f t="shared" si="5"/>
        <v>100,1,1</v>
      </c>
      <c r="H47" s="22" t="s">
        <v>31</v>
      </c>
      <c r="I47" s="22" t="s">
        <v>31</v>
      </c>
      <c r="J47" s="34"/>
      <c r="K47" s="35">
        <v>4</v>
      </c>
      <c r="L47" s="35">
        <v>0</v>
      </c>
      <c r="M47" s="35">
        <v>0</v>
      </c>
      <c r="N47" s="35">
        <v>0</v>
      </c>
      <c r="O47" s="35">
        <v>100</v>
      </c>
      <c r="P47" s="35">
        <v>7</v>
      </c>
      <c r="Q47" s="35">
        <v>38</v>
      </c>
      <c r="R47" s="35">
        <v>0</v>
      </c>
      <c r="S47" s="35">
        <v>0</v>
      </c>
      <c r="T47" s="35">
        <v>1</v>
      </c>
      <c r="U47" s="35">
        <v>14</v>
      </c>
      <c r="V47" s="35">
        <v>0</v>
      </c>
      <c r="W47" s="35">
        <v>0</v>
      </c>
      <c r="X47" s="35">
        <v>0</v>
      </c>
      <c r="Y47" s="35">
        <v>1</v>
      </c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/>
      <c r="IO47" s="35"/>
      <c r="IP47" s="35"/>
    </row>
    <row r="48" spans="1:250" s="13" customFormat="1" ht="13.5" customHeight="1">
      <c r="A48" s="18">
        <v>52</v>
      </c>
      <c r="B48" s="22">
        <v>935</v>
      </c>
      <c r="C48" s="23" t="str">
        <f t="shared" si="1"/>
        <v>4,7</v>
      </c>
      <c r="D48" s="23" t="str">
        <f t="shared" si="6"/>
        <v>0,39</v>
      </c>
      <c r="E48" s="23" t="str">
        <f t="shared" si="3"/>
        <v>0,0</v>
      </c>
      <c r="F48" s="23" t="str">
        <f t="shared" si="4"/>
        <v>0,0</v>
      </c>
      <c r="G48" s="22" t="str">
        <f t="shared" si="5"/>
        <v>100,1</v>
      </c>
      <c r="H48" s="22" t="s">
        <v>31</v>
      </c>
      <c r="I48" s="22" t="s">
        <v>31</v>
      </c>
      <c r="J48" s="34"/>
      <c r="K48" s="35">
        <v>4</v>
      </c>
      <c r="L48" s="35">
        <v>0</v>
      </c>
      <c r="M48" s="35">
        <v>0</v>
      </c>
      <c r="N48" s="35">
        <v>0</v>
      </c>
      <c r="O48" s="35">
        <v>100</v>
      </c>
      <c r="P48" s="35">
        <v>7</v>
      </c>
      <c r="Q48" s="35">
        <v>39</v>
      </c>
      <c r="R48" s="35">
        <v>0</v>
      </c>
      <c r="S48" s="35">
        <v>0</v>
      </c>
      <c r="T48" s="35">
        <v>1</v>
      </c>
      <c r="U48" s="35"/>
      <c r="V48" s="35"/>
      <c r="W48" s="35"/>
      <c r="X48" s="35"/>
      <c r="Y48" s="35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  <c r="IO48" s="35"/>
      <c r="IP48" s="35"/>
    </row>
    <row r="49" spans="1:250" s="13" customFormat="1" ht="13.5" customHeight="1">
      <c r="A49" s="18">
        <v>53</v>
      </c>
      <c r="B49" s="22">
        <v>940</v>
      </c>
      <c r="C49" s="23" t="str">
        <f t="shared" si="1"/>
        <v>4,7</v>
      </c>
      <c r="D49" s="23" t="str">
        <f t="shared" si="6"/>
        <v>0,40</v>
      </c>
      <c r="E49" s="23" t="str">
        <f t="shared" si="3"/>
        <v>0,0</v>
      </c>
      <c r="F49" s="23" t="str">
        <f t="shared" si="4"/>
        <v>0,0</v>
      </c>
      <c r="G49" s="22" t="str">
        <f t="shared" si="5"/>
        <v>100,1</v>
      </c>
      <c r="H49" s="22" t="s">
        <v>31</v>
      </c>
      <c r="I49" s="22" t="s">
        <v>31</v>
      </c>
      <c r="J49" s="34"/>
      <c r="K49" s="35">
        <v>4</v>
      </c>
      <c r="L49" s="35">
        <v>0</v>
      </c>
      <c r="M49" s="35">
        <v>0</v>
      </c>
      <c r="N49" s="35">
        <v>0</v>
      </c>
      <c r="O49" s="35">
        <v>100</v>
      </c>
      <c r="P49" s="35">
        <v>7</v>
      </c>
      <c r="Q49" s="35">
        <v>40</v>
      </c>
      <c r="R49" s="35">
        <v>0</v>
      </c>
      <c r="S49" s="35">
        <v>0</v>
      </c>
      <c r="T49" s="35">
        <v>1</v>
      </c>
      <c r="U49" s="35"/>
      <c r="V49" s="35"/>
      <c r="W49" s="35"/>
      <c r="X49" s="35"/>
      <c r="Y49" s="35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/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/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/>
      <c r="HV49" s="35"/>
      <c r="HW49" s="35"/>
      <c r="HX49" s="35"/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  <c r="IO49" s="35"/>
      <c r="IP49" s="35"/>
    </row>
    <row r="50" spans="1:250" s="13" customFormat="1" ht="13.5" customHeight="1">
      <c r="A50" s="18">
        <v>54</v>
      </c>
      <c r="B50" s="22">
        <v>945</v>
      </c>
      <c r="C50" s="23" t="str">
        <f t="shared" si="1"/>
        <v>4,6,14</v>
      </c>
      <c r="D50" s="23" t="str">
        <f t="shared" si="6"/>
        <v>0,1,0</v>
      </c>
      <c r="E50" s="23" t="str">
        <f t="shared" si="3"/>
        <v>0,0,0</v>
      </c>
      <c r="F50" s="23" t="str">
        <f t="shared" si="4"/>
        <v>0,5,0</v>
      </c>
      <c r="G50" s="22" t="str">
        <f t="shared" si="5"/>
        <v>200,50,3</v>
      </c>
      <c r="H50" s="22" t="s">
        <v>31</v>
      </c>
      <c r="I50" s="39" t="s">
        <v>31</v>
      </c>
      <c r="J50" s="34"/>
      <c r="K50" s="35">
        <v>4</v>
      </c>
      <c r="L50" s="35">
        <v>0</v>
      </c>
      <c r="M50" s="35">
        <v>0</v>
      </c>
      <c r="N50" s="35">
        <v>0</v>
      </c>
      <c r="O50" s="35">
        <v>200</v>
      </c>
      <c r="P50" s="35">
        <v>6</v>
      </c>
      <c r="Q50" s="35">
        <v>1</v>
      </c>
      <c r="R50" s="35">
        <v>0</v>
      </c>
      <c r="S50" s="35">
        <v>5</v>
      </c>
      <c r="T50" s="35">
        <v>50</v>
      </c>
      <c r="U50" s="35">
        <v>14</v>
      </c>
      <c r="V50" s="35">
        <v>0</v>
      </c>
      <c r="W50" s="35">
        <v>0</v>
      </c>
      <c r="X50" s="35">
        <v>0</v>
      </c>
      <c r="Y50" s="35">
        <v>3</v>
      </c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  <c r="IO50" s="35"/>
      <c r="IP50" s="35"/>
    </row>
    <row r="51" spans="1:250" s="11" customFormat="1" ht="13.5" customHeight="1">
      <c r="A51" s="18">
        <v>55</v>
      </c>
      <c r="B51" s="19">
        <v>1005</v>
      </c>
      <c r="C51" s="18" t="str">
        <f t="shared" si="1"/>
        <v>4,7</v>
      </c>
      <c r="D51" s="18" t="str">
        <f t="shared" si="6"/>
        <v>0,41</v>
      </c>
      <c r="E51" s="18" t="str">
        <f t="shared" si="3"/>
        <v>0,0</v>
      </c>
      <c r="F51" s="18" t="str">
        <f t="shared" si="4"/>
        <v>0,0</v>
      </c>
      <c r="G51" s="19" t="str">
        <f t="shared" si="5"/>
        <v>100,1</v>
      </c>
      <c r="H51" s="19" t="s">
        <v>31</v>
      </c>
      <c r="I51" s="19" t="s">
        <v>31</v>
      </c>
      <c r="J51" s="25"/>
      <c r="K51" s="32">
        <v>4</v>
      </c>
      <c r="L51" s="32">
        <v>0</v>
      </c>
      <c r="M51" s="32">
        <v>0</v>
      </c>
      <c r="N51" s="32">
        <v>0</v>
      </c>
      <c r="O51" s="32">
        <v>100</v>
      </c>
      <c r="P51" s="32">
        <v>7</v>
      </c>
      <c r="Q51" s="32">
        <v>41</v>
      </c>
      <c r="R51" s="32">
        <v>0</v>
      </c>
      <c r="S51" s="32">
        <v>0</v>
      </c>
      <c r="T51" s="32">
        <v>1</v>
      </c>
      <c r="U51" s="32"/>
      <c r="V51" s="32"/>
      <c r="W51" s="32"/>
      <c r="X51" s="32"/>
      <c r="Y51" s="32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  <c r="CW51" s="32"/>
      <c r="CX51" s="32"/>
      <c r="CY51" s="32"/>
      <c r="CZ51" s="32"/>
      <c r="DA51" s="32"/>
      <c r="DB51" s="32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32"/>
      <c r="DN51" s="32"/>
      <c r="DO51" s="32"/>
      <c r="DP51" s="32"/>
      <c r="DQ51" s="32"/>
      <c r="DR51" s="32"/>
      <c r="DS51" s="32"/>
      <c r="DT51" s="32"/>
      <c r="DU51" s="32"/>
      <c r="DV51" s="32"/>
      <c r="DW51" s="32"/>
      <c r="DX51" s="32"/>
      <c r="DY51" s="32"/>
      <c r="DZ51" s="32"/>
      <c r="EA51" s="32"/>
      <c r="EB51" s="32"/>
      <c r="EC51" s="32"/>
      <c r="ED51" s="32"/>
      <c r="EE51" s="32"/>
      <c r="EF51" s="32"/>
      <c r="EG51" s="32"/>
      <c r="EH51" s="32"/>
      <c r="EI51" s="32"/>
      <c r="EJ51" s="32"/>
      <c r="EK51" s="32"/>
      <c r="EL51" s="32"/>
      <c r="EM51" s="32"/>
      <c r="EN51" s="32"/>
      <c r="EO51" s="32"/>
      <c r="EP51" s="32"/>
      <c r="EQ51" s="32"/>
      <c r="ER51" s="32"/>
      <c r="ES51" s="32"/>
      <c r="ET51" s="32"/>
      <c r="EU51" s="32"/>
      <c r="EV51" s="32"/>
      <c r="EW51" s="32"/>
      <c r="EX51" s="32"/>
      <c r="EY51" s="32"/>
      <c r="EZ51" s="32"/>
      <c r="FA51" s="32"/>
      <c r="FB51" s="32"/>
      <c r="FC51" s="32"/>
      <c r="FD51" s="32"/>
      <c r="FE51" s="32"/>
      <c r="FF51" s="32"/>
      <c r="FG51" s="32"/>
      <c r="FH51" s="32"/>
      <c r="FI51" s="32"/>
      <c r="FJ51" s="32"/>
      <c r="FK51" s="32"/>
      <c r="FL51" s="32"/>
      <c r="FM51" s="32"/>
      <c r="FN51" s="32"/>
      <c r="FO51" s="32"/>
      <c r="FP51" s="32"/>
      <c r="FQ51" s="32"/>
      <c r="FR51" s="32"/>
      <c r="FS51" s="32"/>
      <c r="FT51" s="32"/>
      <c r="FU51" s="32"/>
      <c r="FV51" s="32"/>
      <c r="FW51" s="32"/>
      <c r="FX51" s="32"/>
      <c r="FY51" s="32"/>
      <c r="FZ51" s="32"/>
      <c r="GA51" s="32"/>
      <c r="GB51" s="32"/>
      <c r="GC51" s="32"/>
      <c r="GD51" s="32"/>
      <c r="GE51" s="32"/>
      <c r="GF51" s="32"/>
      <c r="GG51" s="32"/>
      <c r="GH51" s="32"/>
      <c r="GI51" s="32"/>
      <c r="GJ51" s="32"/>
      <c r="GK51" s="32"/>
      <c r="GL51" s="32"/>
      <c r="GM51" s="32"/>
      <c r="GN51" s="32"/>
      <c r="GO51" s="32"/>
      <c r="GP51" s="32"/>
      <c r="GQ51" s="32"/>
      <c r="GR51" s="32"/>
      <c r="GS51" s="32"/>
      <c r="GT51" s="32"/>
      <c r="GU51" s="32"/>
      <c r="GV51" s="32"/>
      <c r="GW51" s="32"/>
      <c r="GX51" s="32"/>
      <c r="GY51" s="32"/>
      <c r="GZ51" s="32"/>
      <c r="HA51" s="32"/>
      <c r="HB51" s="32"/>
      <c r="HC51" s="32"/>
      <c r="HD51" s="32"/>
      <c r="HE51" s="32"/>
      <c r="HF51" s="32"/>
      <c r="HG51" s="32"/>
      <c r="HH51" s="32"/>
      <c r="HI51" s="32"/>
      <c r="HJ51" s="32"/>
      <c r="HK51" s="32"/>
      <c r="HL51" s="32"/>
      <c r="HM51" s="32"/>
      <c r="HN51" s="32"/>
      <c r="HO51" s="32"/>
      <c r="HP51" s="32"/>
      <c r="HQ51" s="32"/>
      <c r="HR51" s="32"/>
      <c r="HS51" s="32"/>
      <c r="HT51" s="32"/>
      <c r="HU51" s="32"/>
      <c r="HV51" s="32"/>
      <c r="HW51" s="32"/>
      <c r="HX51" s="32"/>
      <c r="HY51" s="32"/>
      <c r="HZ51" s="32"/>
      <c r="IA51" s="32"/>
      <c r="IB51" s="32"/>
      <c r="IC51" s="32"/>
      <c r="ID51" s="32"/>
      <c r="IE51" s="32"/>
      <c r="IF51" s="32"/>
      <c r="IG51" s="32"/>
      <c r="IH51" s="32"/>
      <c r="II51" s="32"/>
      <c r="IJ51" s="32"/>
      <c r="IK51" s="32"/>
      <c r="IL51" s="32"/>
      <c r="IM51" s="32"/>
      <c r="IN51" s="32"/>
      <c r="IO51" s="32"/>
      <c r="IP51" s="32"/>
    </row>
    <row r="52" spans="1:250" s="11" customFormat="1" ht="13.5" customHeight="1">
      <c r="A52" s="18">
        <v>56</v>
      </c>
      <c r="B52" s="19">
        <v>1010</v>
      </c>
      <c r="C52" s="18" t="str">
        <f t="shared" si="1"/>
        <v>4,7,14</v>
      </c>
      <c r="D52" s="18" t="str">
        <f t="shared" si="6"/>
        <v>0,42,0</v>
      </c>
      <c r="E52" s="18" t="str">
        <f t="shared" si="3"/>
        <v>0,0,0</v>
      </c>
      <c r="F52" s="18" t="str">
        <f t="shared" si="4"/>
        <v>0,0,0</v>
      </c>
      <c r="G52" s="19" t="str">
        <f t="shared" si="5"/>
        <v>100,1,1</v>
      </c>
      <c r="H52" s="19" t="s">
        <v>31</v>
      </c>
      <c r="I52" s="19" t="s">
        <v>31</v>
      </c>
      <c r="J52" s="25"/>
      <c r="K52" s="32">
        <v>4</v>
      </c>
      <c r="L52" s="32">
        <v>0</v>
      </c>
      <c r="M52" s="32">
        <v>0</v>
      </c>
      <c r="N52" s="32">
        <v>0</v>
      </c>
      <c r="O52" s="32">
        <v>100</v>
      </c>
      <c r="P52" s="32">
        <v>7</v>
      </c>
      <c r="Q52" s="32">
        <v>42</v>
      </c>
      <c r="R52" s="32">
        <v>0</v>
      </c>
      <c r="S52" s="32">
        <v>0</v>
      </c>
      <c r="T52" s="32">
        <v>1</v>
      </c>
      <c r="U52" s="32">
        <v>14</v>
      </c>
      <c r="V52" s="32">
        <v>0</v>
      </c>
      <c r="W52" s="32">
        <v>0</v>
      </c>
      <c r="X52" s="32">
        <v>0</v>
      </c>
      <c r="Y52" s="32">
        <v>1</v>
      </c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  <c r="GK52" s="32"/>
      <c r="GL52" s="32"/>
      <c r="GM52" s="32"/>
      <c r="GN52" s="32"/>
      <c r="GO52" s="32"/>
      <c r="GP52" s="32"/>
      <c r="GQ52" s="32"/>
      <c r="GR52" s="32"/>
      <c r="GS52" s="32"/>
      <c r="GT52" s="32"/>
      <c r="GU52" s="32"/>
      <c r="GV52" s="32"/>
      <c r="GW52" s="32"/>
      <c r="GX52" s="32"/>
      <c r="GY52" s="32"/>
      <c r="GZ52" s="32"/>
      <c r="HA52" s="32"/>
      <c r="HB52" s="32"/>
      <c r="HC52" s="32"/>
      <c r="HD52" s="32"/>
      <c r="HE52" s="32"/>
      <c r="HF52" s="32"/>
      <c r="HG52" s="32"/>
      <c r="HH52" s="32"/>
      <c r="HI52" s="32"/>
      <c r="HJ52" s="32"/>
      <c r="HK52" s="32"/>
      <c r="HL52" s="32"/>
      <c r="HM52" s="32"/>
      <c r="HN52" s="32"/>
      <c r="HO52" s="32"/>
      <c r="HP52" s="32"/>
      <c r="HQ52" s="32"/>
      <c r="HR52" s="32"/>
      <c r="HS52" s="32"/>
      <c r="HT52" s="32"/>
      <c r="HU52" s="32"/>
      <c r="HV52" s="32"/>
      <c r="HW52" s="32"/>
      <c r="HX52" s="32"/>
      <c r="HY52" s="32"/>
      <c r="HZ52" s="32"/>
      <c r="IA52" s="32"/>
      <c r="IB52" s="32"/>
      <c r="IC52" s="32"/>
      <c r="ID52" s="32"/>
      <c r="IE52" s="32"/>
      <c r="IF52" s="32"/>
      <c r="IG52" s="32"/>
      <c r="IH52" s="32"/>
      <c r="II52" s="32"/>
      <c r="IJ52" s="32"/>
      <c r="IK52" s="32"/>
      <c r="IL52" s="32"/>
      <c r="IM52" s="32"/>
      <c r="IN52" s="32"/>
      <c r="IO52" s="32"/>
      <c r="IP52" s="32"/>
    </row>
    <row r="53" spans="1:250" s="11" customFormat="1" ht="13.5" customHeight="1">
      <c r="A53" s="18">
        <v>57</v>
      </c>
      <c r="B53" s="19">
        <v>1015</v>
      </c>
      <c r="C53" s="18" t="str">
        <f t="shared" si="1"/>
        <v>4,7</v>
      </c>
      <c r="D53" s="18" t="str">
        <f t="shared" si="6"/>
        <v>0,43</v>
      </c>
      <c r="E53" s="18" t="str">
        <f t="shared" si="3"/>
        <v>0,0</v>
      </c>
      <c r="F53" s="18" t="str">
        <f t="shared" si="4"/>
        <v>0,0</v>
      </c>
      <c r="G53" s="19" t="str">
        <f t="shared" si="5"/>
        <v>100,1</v>
      </c>
      <c r="H53" s="19" t="s">
        <v>31</v>
      </c>
      <c r="I53" s="19" t="s">
        <v>31</v>
      </c>
      <c r="J53" s="25"/>
      <c r="K53" s="32">
        <v>4</v>
      </c>
      <c r="L53" s="32">
        <v>0</v>
      </c>
      <c r="M53" s="32">
        <v>0</v>
      </c>
      <c r="N53" s="32">
        <v>0</v>
      </c>
      <c r="O53" s="32">
        <v>100</v>
      </c>
      <c r="P53" s="32">
        <v>7</v>
      </c>
      <c r="Q53" s="32">
        <v>43</v>
      </c>
      <c r="R53" s="32">
        <v>0</v>
      </c>
      <c r="S53" s="32">
        <v>0</v>
      </c>
      <c r="T53" s="32">
        <v>1</v>
      </c>
      <c r="U53" s="32"/>
      <c r="V53" s="32"/>
      <c r="W53" s="32"/>
      <c r="X53" s="32"/>
      <c r="Y53" s="32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32"/>
      <c r="DN53" s="32"/>
      <c r="DO53" s="32"/>
      <c r="DP53" s="32"/>
      <c r="DQ53" s="32"/>
      <c r="DR53" s="32"/>
      <c r="DS53" s="32"/>
      <c r="DT53" s="32"/>
      <c r="DU53" s="32"/>
      <c r="DV53" s="32"/>
      <c r="DW53" s="32"/>
      <c r="DX53" s="32"/>
      <c r="DY53" s="32"/>
      <c r="DZ53" s="32"/>
      <c r="EA53" s="32"/>
      <c r="EB53" s="32"/>
      <c r="EC53" s="32"/>
      <c r="ED53" s="32"/>
      <c r="EE53" s="32"/>
      <c r="EF53" s="32"/>
      <c r="EG53" s="32"/>
      <c r="EH53" s="32"/>
      <c r="EI53" s="32"/>
      <c r="EJ53" s="32"/>
      <c r="EK53" s="32"/>
      <c r="EL53" s="32"/>
      <c r="EM53" s="32"/>
      <c r="EN53" s="32"/>
      <c r="EO53" s="32"/>
      <c r="EP53" s="32"/>
      <c r="EQ53" s="32"/>
      <c r="ER53" s="32"/>
      <c r="ES53" s="32"/>
      <c r="ET53" s="32"/>
      <c r="EU53" s="32"/>
      <c r="EV53" s="32"/>
      <c r="EW53" s="32"/>
      <c r="EX53" s="32"/>
      <c r="EY53" s="32"/>
      <c r="EZ53" s="32"/>
      <c r="FA53" s="32"/>
      <c r="FB53" s="32"/>
      <c r="FC53" s="32"/>
      <c r="FD53" s="32"/>
      <c r="FE53" s="32"/>
      <c r="FF53" s="32"/>
      <c r="FG53" s="32"/>
      <c r="FH53" s="32"/>
      <c r="FI53" s="32"/>
      <c r="FJ53" s="32"/>
      <c r="FK53" s="32"/>
      <c r="FL53" s="32"/>
      <c r="FM53" s="32"/>
      <c r="FN53" s="32"/>
      <c r="FO53" s="32"/>
      <c r="FP53" s="32"/>
      <c r="FQ53" s="32"/>
      <c r="FR53" s="32"/>
      <c r="FS53" s="32"/>
      <c r="FT53" s="32"/>
      <c r="FU53" s="32"/>
      <c r="FV53" s="32"/>
      <c r="FW53" s="32"/>
      <c r="FX53" s="32"/>
      <c r="FY53" s="32"/>
      <c r="FZ53" s="32"/>
      <c r="GA53" s="32"/>
      <c r="GB53" s="32"/>
      <c r="GC53" s="32"/>
      <c r="GD53" s="32"/>
      <c r="GE53" s="32"/>
      <c r="GF53" s="32"/>
      <c r="GG53" s="32"/>
      <c r="GH53" s="32"/>
      <c r="GI53" s="32"/>
      <c r="GJ53" s="32"/>
      <c r="GK53" s="32"/>
      <c r="GL53" s="32"/>
      <c r="GM53" s="32"/>
      <c r="GN53" s="32"/>
      <c r="GO53" s="32"/>
      <c r="GP53" s="32"/>
      <c r="GQ53" s="32"/>
      <c r="GR53" s="32"/>
      <c r="GS53" s="32"/>
      <c r="GT53" s="32"/>
      <c r="GU53" s="32"/>
      <c r="GV53" s="32"/>
      <c r="GW53" s="32"/>
      <c r="GX53" s="32"/>
      <c r="GY53" s="32"/>
      <c r="GZ53" s="32"/>
      <c r="HA53" s="32"/>
      <c r="HB53" s="32"/>
      <c r="HC53" s="32"/>
      <c r="HD53" s="32"/>
      <c r="HE53" s="32"/>
      <c r="HF53" s="32"/>
      <c r="HG53" s="32"/>
      <c r="HH53" s="32"/>
      <c r="HI53" s="32"/>
      <c r="HJ53" s="32"/>
      <c r="HK53" s="32"/>
      <c r="HL53" s="32"/>
      <c r="HM53" s="32"/>
      <c r="HN53" s="32"/>
      <c r="HO53" s="32"/>
      <c r="HP53" s="32"/>
      <c r="HQ53" s="32"/>
      <c r="HR53" s="32"/>
      <c r="HS53" s="32"/>
      <c r="HT53" s="32"/>
      <c r="HU53" s="32"/>
      <c r="HV53" s="32"/>
      <c r="HW53" s="32"/>
      <c r="HX53" s="32"/>
      <c r="HY53" s="32"/>
      <c r="HZ53" s="32"/>
      <c r="IA53" s="32"/>
      <c r="IB53" s="32"/>
      <c r="IC53" s="32"/>
      <c r="ID53" s="32"/>
      <c r="IE53" s="32"/>
      <c r="IF53" s="32"/>
      <c r="IG53" s="32"/>
      <c r="IH53" s="32"/>
      <c r="II53" s="32"/>
      <c r="IJ53" s="32"/>
      <c r="IK53" s="32"/>
      <c r="IL53" s="32"/>
      <c r="IM53" s="32"/>
      <c r="IN53" s="32"/>
      <c r="IO53" s="32"/>
      <c r="IP53" s="32"/>
    </row>
    <row r="54" spans="1:250" s="11" customFormat="1" ht="13.5" customHeight="1">
      <c r="A54" s="18">
        <v>58</v>
      </c>
      <c r="B54" s="19">
        <v>1020</v>
      </c>
      <c r="C54" s="18" t="str">
        <f t="shared" si="1"/>
        <v>4,7,14</v>
      </c>
      <c r="D54" s="18" t="str">
        <f t="shared" si="6"/>
        <v>0,44,0</v>
      </c>
      <c r="E54" s="18" t="str">
        <f t="shared" si="3"/>
        <v>0,0,0</v>
      </c>
      <c r="F54" s="18" t="str">
        <f t="shared" si="4"/>
        <v>0,0,0</v>
      </c>
      <c r="G54" s="19" t="str">
        <f t="shared" si="5"/>
        <v>100,1,1</v>
      </c>
      <c r="H54" s="19" t="s">
        <v>31</v>
      </c>
      <c r="I54" s="19" t="s">
        <v>31</v>
      </c>
      <c r="J54" s="25"/>
      <c r="K54" s="32">
        <v>4</v>
      </c>
      <c r="L54" s="32">
        <v>0</v>
      </c>
      <c r="M54" s="32">
        <v>0</v>
      </c>
      <c r="N54" s="32">
        <v>0</v>
      </c>
      <c r="O54" s="32">
        <v>100</v>
      </c>
      <c r="P54" s="32">
        <v>7</v>
      </c>
      <c r="Q54" s="32">
        <v>44</v>
      </c>
      <c r="R54" s="32">
        <v>0</v>
      </c>
      <c r="S54" s="32">
        <v>0</v>
      </c>
      <c r="T54" s="32">
        <v>1</v>
      </c>
      <c r="U54" s="32">
        <v>14</v>
      </c>
      <c r="V54" s="32">
        <v>0</v>
      </c>
      <c r="W54" s="32">
        <v>0</v>
      </c>
      <c r="X54" s="32">
        <v>0</v>
      </c>
      <c r="Y54" s="32">
        <v>1</v>
      </c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2"/>
      <c r="CX54" s="32"/>
      <c r="CY54" s="32"/>
      <c r="CZ54" s="32"/>
      <c r="DA54" s="32"/>
      <c r="DB54" s="32"/>
      <c r="DC54" s="32"/>
      <c r="DD54" s="32"/>
      <c r="DE54" s="32"/>
      <c r="DF54" s="32"/>
      <c r="DG54" s="32"/>
      <c r="DH54" s="32"/>
      <c r="DI54" s="32"/>
      <c r="DJ54" s="32"/>
      <c r="DK54" s="32"/>
      <c r="DL54" s="32"/>
      <c r="DM54" s="32"/>
      <c r="DN54" s="32"/>
      <c r="DO54" s="32"/>
      <c r="DP54" s="32"/>
      <c r="DQ54" s="32"/>
      <c r="DR54" s="32"/>
      <c r="DS54" s="32"/>
      <c r="DT54" s="32"/>
      <c r="DU54" s="32"/>
      <c r="DV54" s="32"/>
      <c r="DW54" s="32"/>
      <c r="DX54" s="32"/>
      <c r="DY54" s="32"/>
      <c r="DZ54" s="32"/>
      <c r="EA54" s="32"/>
      <c r="EB54" s="32"/>
      <c r="EC54" s="32"/>
      <c r="ED54" s="32"/>
      <c r="EE54" s="32"/>
      <c r="EF54" s="32"/>
      <c r="EG54" s="32"/>
      <c r="EH54" s="32"/>
      <c r="EI54" s="32"/>
      <c r="EJ54" s="32"/>
      <c r="EK54" s="32"/>
      <c r="EL54" s="32"/>
      <c r="EM54" s="32"/>
      <c r="EN54" s="32"/>
      <c r="EO54" s="32"/>
      <c r="EP54" s="32"/>
      <c r="EQ54" s="32"/>
      <c r="ER54" s="32"/>
      <c r="ES54" s="32"/>
      <c r="ET54" s="32"/>
      <c r="EU54" s="32"/>
      <c r="EV54" s="32"/>
      <c r="EW54" s="32"/>
      <c r="EX54" s="32"/>
      <c r="EY54" s="32"/>
      <c r="EZ54" s="32"/>
      <c r="FA54" s="32"/>
      <c r="FB54" s="32"/>
      <c r="FC54" s="32"/>
      <c r="FD54" s="32"/>
      <c r="FE54" s="32"/>
      <c r="FF54" s="32"/>
      <c r="FG54" s="32"/>
      <c r="FH54" s="32"/>
      <c r="FI54" s="32"/>
      <c r="FJ54" s="32"/>
      <c r="FK54" s="32"/>
      <c r="FL54" s="32"/>
      <c r="FM54" s="32"/>
      <c r="FN54" s="32"/>
      <c r="FO54" s="32"/>
      <c r="FP54" s="32"/>
      <c r="FQ54" s="32"/>
      <c r="FR54" s="32"/>
      <c r="FS54" s="32"/>
      <c r="FT54" s="32"/>
      <c r="FU54" s="32"/>
      <c r="FV54" s="32"/>
      <c r="FW54" s="32"/>
      <c r="FX54" s="32"/>
      <c r="FY54" s="32"/>
      <c r="FZ54" s="32"/>
      <c r="GA54" s="32"/>
      <c r="GB54" s="32"/>
      <c r="GC54" s="32"/>
      <c r="GD54" s="32"/>
      <c r="GE54" s="32"/>
      <c r="GF54" s="32"/>
      <c r="GG54" s="32"/>
      <c r="GH54" s="32"/>
      <c r="GI54" s="32"/>
      <c r="GJ54" s="32"/>
      <c r="GK54" s="32"/>
      <c r="GL54" s="32"/>
      <c r="GM54" s="32"/>
      <c r="GN54" s="32"/>
      <c r="GO54" s="32"/>
      <c r="GP54" s="32"/>
      <c r="GQ54" s="32"/>
      <c r="GR54" s="32"/>
      <c r="GS54" s="32"/>
      <c r="GT54" s="32"/>
      <c r="GU54" s="32"/>
      <c r="GV54" s="32"/>
      <c r="GW54" s="32"/>
      <c r="GX54" s="32"/>
      <c r="GY54" s="32"/>
      <c r="GZ54" s="32"/>
      <c r="HA54" s="32"/>
      <c r="HB54" s="32"/>
      <c r="HC54" s="32"/>
      <c r="HD54" s="32"/>
      <c r="HE54" s="32"/>
      <c r="HF54" s="32"/>
      <c r="HG54" s="32"/>
      <c r="HH54" s="32"/>
      <c r="HI54" s="32"/>
      <c r="HJ54" s="32"/>
      <c r="HK54" s="32"/>
      <c r="HL54" s="32"/>
      <c r="HM54" s="32"/>
      <c r="HN54" s="32"/>
      <c r="HO54" s="32"/>
      <c r="HP54" s="32"/>
      <c r="HQ54" s="32"/>
      <c r="HR54" s="32"/>
      <c r="HS54" s="32"/>
      <c r="HT54" s="32"/>
      <c r="HU54" s="32"/>
      <c r="HV54" s="32"/>
      <c r="HW54" s="32"/>
      <c r="HX54" s="32"/>
      <c r="HY54" s="32"/>
      <c r="HZ54" s="32"/>
      <c r="IA54" s="32"/>
      <c r="IB54" s="32"/>
      <c r="IC54" s="32"/>
      <c r="ID54" s="32"/>
      <c r="IE54" s="32"/>
      <c r="IF54" s="32"/>
      <c r="IG54" s="32"/>
      <c r="IH54" s="32"/>
      <c r="II54" s="32"/>
      <c r="IJ54" s="32"/>
      <c r="IK54" s="32"/>
      <c r="IL54" s="32"/>
      <c r="IM54" s="32"/>
      <c r="IN54" s="32"/>
      <c r="IO54" s="32"/>
      <c r="IP54" s="32"/>
    </row>
    <row r="55" spans="1:250" s="11" customFormat="1" ht="13.5" customHeight="1">
      <c r="A55" s="18">
        <v>59</v>
      </c>
      <c r="B55" s="19">
        <v>1025</v>
      </c>
      <c r="C55" s="18" t="str">
        <f t="shared" si="1"/>
        <v>4,7</v>
      </c>
      <c r="D55" s="18" t="str">
        <f t="shared" si="6"/>
        <v>0,41</v>
      </c>
      <c r="E55" s="18" t="str">
        <f t="shared" si="3"/>
        <v>0,0</v>
      </c>
      <c r="F55" s="18" t="str">
        <f t="shared" si="4"/>
        <v>0,0</v>
      </c>
      <c r="G55" s="19" t="str">
        <f t="shared" si="5"/>
        <v>100,1</v>
      </c>
      <c r="H55" s="19" t="s">
        <v>31</v>
      </c>
      <c r="I55" s="19" t="s">
        <v>31</v>
      </c>
      <c r="J55" s="25"/>
      <c r="K55" s="32">
        <v>4</v>
      </c>
      <c r="L55" s="32">
        <v>0</v>
      </c>
      <c r="M55" s="32">
        <v>0</v>
      </c>
      <c r="N55" s="32">
        <v>0</v>
      </c>
      <c r="O55" s="32">
        <v>100</v>
      </c>
      <c r="P55" s="32">
        <v>7</v>
      </c>
      <c r="Q55" s="32">
        <v>41</v>
      </c>
      <c r="R55" s="32">
        <v>0</v>
      </c>
      <c r="S55" s="32">
        <v>0</v>
      </c>
      <c r="T55" s="32">
        <v>1</v>
      </c>
      <c r="U55" s="32"/>
      <c r="V55" s="32"/>
      <c r="W55" s="32"/>
      <c r="X55" s="32"/>
      <c r="Y55" s="32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  <c r="CW55" s="32"/>
      <c r="CX55" s="32"/>
      <c r="CY55" s="32"/>
      <c r="CZ55" s="32"/>
      <c r="DA55" s="32"/>
      <c r="DB55" s="32"/>
      <c r="DC55" s="32"/>
      <c r="DD55" s="32"/>
      <c r="DE55" s="32"/>
      <c r="DF55" s="32"/>
      <c r="DG55" s="32"/>
      <c r="DH55" s="32"/>
      <c r="DI55" s="32"/>
      <c r="DJ55" s="32"/>
      <c r="DK55" s="32"/>
      <c r="DL55" s="32"/>
      <c r="DM55" s="32"/>
      <c r="DN55" s="32"/>
      <c r="DO55" s="32"/>
      <c r="DP55" s="32"/>
      <c r="DQ55" s="32"/>
      <c r="DR55" s="32"/>
      <c r="DS55" s="32"/>
      <c r="DT55" s="32"/>
      <c r="DU55" s="32"/>
      <c r="DV55" s="32"/>
      <c r="DW55" s="32"/>
      <c r="DX55" s="32"/>
      <c r="DY55" s="32"/>
      <c r="DZ55" s="32"/>
      <c r="EA55" s="32"/>
      <c r="EB55" s="32"/>
      <c r="EC55" s="32"/>
      <c r="ED55" s="32"/>
      <c r="EE55" s="32"/>
      <c r="EF55" s="32"/>
      <c r="EG55" s="32"/>
      <c r="EH55" s="32"/>
      <c r="EI55" s="32"/>
      <c r="EJ55" s="32"/>
      <c r="EK55" s="32"/>
      <c r="EL55" s="32"/>
      <c r="EM55" s="32"/>
      <c r="EN55" s="32"/>
      <c r="EO55" s="32"/>
      <c r="EP55" s="32"/>
      <c r="EQ55" s="32"/>
      <c r="ER55" s="32"/>
      <c r="ES55" s="32"/>
      <c r="ET55" s="32"/>
      <c r="EU55" s="32"/>
      <c r="EV55" s="32"/>
      <c r="EW55" s="32"/>
      <c r="EX55" s="32"/>
      <c r="EY55" s="32"/>
      <c r="EZ55" s="32"/>
      <c r="FA55" s="32"/>
      <c r="FB55" s="32"/>
      <c r="FC55" s="32"/>
      <c r="FD55" s="32"/>
      <c r="FE55" s="32"/>
      <c r="FF55" s="32"/>
      <c r="FG55" s="32"/>
      <c r="FH55" s="32"/>
      <c r="FI55" s="32"/>
      <c r="FJ55" s="32"/>
      <c r="FK55" s="32"/>
      <c r="FL55" s="32"/>
      <c r="FM55" s="32"/>
      <c r="FN55" s="32"/>
      <c r="FO55" s="32"/>
      <c r="FP55" s="32"/>
      <c r="FQ55" s="32"/>
      <c r="FR55" s="32"/>
      <c r="FS55" s="32"/>
      <c r="FT55" s="32"/>
      <c r="FU55" s="32"/>
      <c r="FV55" s="32"/>
      <c r="FW55" s="32"/>
      <c r="FX55" s="32"/>
      <c r="FY55" s="32"/>
      <c r="FZ55" s="32"/>
      <c r="GA55" s="32"/>
      <c r="GB55" s="32"/>
      <c r="GC55" s="32"/>
      <c r="GD55" s="32"/>
      <c r="GE55" s="32"/>
      <c r="GF55" s="32"/>
      <c r="GG55" s="32"/>
      <c r="GH55" s="32"/>
      <c r="GI55" s="32"/>
      <c r="GJ55" s="32"/>
      <c r="GK55" s="32"/>
      <c r="GL55" s="32"/>
      <c r="GM55" s="32"/>
      <c r="GN55" s="32"/>
      <c r="GO55" s="32"/>
      <c r="GP55" s="32"/>
      <c r="GQ55" s="32"/>
      <c r="GR55" s="32"/>
      <c r="GS55" s="32"/>
      <c r="GT55" s="32"/>
      <c r="GU55" s="32"/>
      <c r="GV55" s="32"/>
      <c r="GW55" s="32"/>
      <c r="GX55" s="32"/>
      <c r="GY55" s="32"/>
      <c r="GZ55" s="32"/>
      <c r="HA55" s="32"/>
      <c r="HB55" s="32"/>
      <c r="HC55" s="32"/>
      <c r="HD55" s="32"/>
      <c r="HE55" s="32"/>
      <c r="HF55" s="32"/>
      <c r="HG55" s="32"/>
      <c r="HH55" s="32"/>
      <c r="HI55" s="32"/>
      <c r="HJ55" s="32"/>
      <c r="HK55" s="32"/>
      <c r="HL55" s="32"/>
      <c r="HM55" s="32"/>
      <c r="HN55" s="32"/>
      <c r="HO55" s="32"/>
      <c r="HP55" s="32"/>
      <c r="HQ55" s="32"/>
      <c r="HR55" s="32"/>
      <c r="HS55" s="32"/>
      <c r="HT55" s="32"/>
      <c r="HU55" s="32"/>
      <c r="HV55" s="32"/>
      <c r="HW55" s="32"/>
      <c r="HX55" s="32"/>
      <c r="HY55" s="32"/>
      <c r="HZ55" s="32"/>
      <c r="IA55" s="32"/>
      <c r="IB55" s="32"/>
      <c r="IC55" s="32"/>
      <c r="ID55" s="32"/>
      <c r="IE55" s="32"/>
      <c r="IF55" s="32"/>
      <c r="IG55" s="32"/>
      <c r="IH55" s="32"/>
      <c r="II55" s="32"/>
      <c r="IJ55" s="32"/>
      <c r="IK55" s="32"/>
      <c r="IL55" s="32"/>
      <c r="IM55" s="32"/>
      <c r="IN55" s="32"/>
      <c r="IO55" s="32"/>
      <c r="IP55" s="32"/>
    </row>
    <row r="56" spans="1:250" s="11" customFormat="1" ht="13.5" customHeight="1">
      <c r="A56" s="18">
        <v>60</v>
      </c>
      <c r="B56" s="19">
        <v>1030</v>
      </c>
      <c r="C56" s="18" t="str">
        <f t="shared" si="1"/>
        <v>4,7,14</v>
      </c>
      <c r="D56" s="18" t="str">
        <f t="shared" si="6"/>
        <v>0,42,0</v>
      </c>
      <c r="E56" s="18" t="str">
        <f t="shared" si="3"/>
        <v>0,0,0</v>
      </c>
      <c r="F56" s="18" t="str">
        <f t="shared" si="4"/>
        <v>0,0,0</v>
      </c>
      <c r="G56" s="19" t="str">
        <f t="shared" si="5"/>
        <v>100,1,1</v>
      </c>
      <c r="H56" s="19" t="s">
        <v>31</v>
      </c>
      <c r="I56" s="19" t="s">
        <v>31</v>
      </c>
      <c r="J56" s="25"/>
      <c r="K56" s="32">
        <v>4</v>
      </c>
      <c r="L56" s="32">
        <v>0</v>
      </c>
      <c r="M56" s="32">
        <v>0</v>
      </c>
      <c r="N56" s="32">
        <v>0</v>
      </c>
      <c r="O56" s="32">
        <v>100</v>
      </c>
      <c r="P56" s="32">
        <v>7</v>
      </c>
      <c r="Q56" s="32">
        <v>42</v>
      </c>
      <c r="R56" s="32">
        <v>0</v>
      </c>
      <c r="S56" s="32">
        <v>0</v>
      </c>
      <c r="T56" s="32">
        <v>1</v>
      </c>
      <c r="U56" s="32">
        <v>14</v>
      </c>
      <c r="V56" s="32">
        <v>0</v>
      </c>
      <c r="W56" s="32">
        <v>0</v>
      </c>
      <c r="X56" s="32">
        <v>0</v>
      </c>
      <c r="Y56" s="32">
        <v>1</v>
      </c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2"/>
      <c r="CX56" s="32"/>
      <c r="CY56" s="32"/>
      <c r="CZ56" s="32"/>
      <c r="DA56" s="32"/>
      <c r="DB56" s="32"/>
      <c r="DC56" s="32"/>
      <c r="DD56" s="32"/>
      <c r="DE56" s="32"/>
      <c r="DF56" s="32"/>
      <c r="DG56" s="32"/>
      <c r="DH56" s="32"/>
      <c r="DI56" s="32"/>
      <c r="DJ56" s="32"/>
      <c r="DK56" s="32"/>
      <c r="DL56" s="32"/>
      <c r="DM56" s="32"/>
      <c r="DN56" s="32"/>
      <c r="DO56" s="32"/>
      <c r="DP56" s="32"/>
      <c r="DQ56" s="32"/>
      <c r="DR56" s="32"/>
      <c r="DS56" s="32"/>
      <c r="DT56" s="32"/>
      <c r="DU56" s="32"/>
      <c r="DV56" s="32"/>
      <c r="DW56" s="32"/>
      <c r="DX56" s="32"/>
      <c r="DY56" s="32"/>
      <c r="DZ56" s="32"/>
      <c r="EA56" s="32"/>
      <c r="EB56" s="32"/>
      <c r="EC56" s="32"/>
      <c r="ED56" s="32"/>
      <c r="EE56" s="32"/>
      <c r="EF56" s="32"/>
      <c r="EG56" s="32"/>
      <c r="EH56" s="32"/>
      <c r="EI56" s="32"/>
      <c r="EJ56" s="32"/>
      <c r="EK56" s="32"/>
      <c r="EL56" s="32"/>
      <c r="EM56" s="32"/>
      <c r="EN56" s="32"/>
      <c r="EO56" s="32"/>
      <c r="EP56" s="32"/>
      <c r="EQ56" s="32"/>
      <c r="ER56" s="32"/>
      <c r="ES56" s="32"/>
      <c r="ET56" s="32"/>
      <c r="EU56" s="32"/>
      <c r="EV56" s="32"/>
      <c r="EW56" s="32"/>
      <c r="EX56" s="32"/>
      <c r="EY56" s="32"/>
      <c r="EZ56" s="32"/>
      <c r="FA56" s="32"/>
      <c r="FB56" s="32"/>
      <c r="FC56" s="32"/>
      <c r="FD56" s="32"/>
      <c r="FE56" s="32"/>
      <c r="FF56" s="32"/>
      <c r="FG56" s="32"/>
      <c r="FH56" s="32"/>
      <c r="FI56" s="32"/>
      <c r="FJ56" s="32"/>
      <c r="FK56" s="32"/>
      <c r="FL56" s="32"/>
      <c r="FM56" s="32"/>
      <c r="FN56" s="32"/>
      <c r="FO56" s="32"/>
      <c r="FP56" s="32"/>
      <c r="FQ56" s="32"/>
      <c r="FR56" s="32"/>
      <c r="FS56" s="32"/>
      <c r="FT56" s="32"/>
      <c r="FU56" s="32"/>
      <c r="FV56" s="32"/>
      <c r="FW56" s="32"/>
      <c r="FX56" s="32"/>
      <c r="FY56" s="32"/>
      <c r="FZ56" s="32"/>
      <c r="GA56" s="32"/>
      <c r="GB56" s="32"/>
      <c r="GC56" s="32"/>
      <c r="GD56" s="32"/>
      <c r="GE56" s="32"/>
      <c r="GF56" s="32"/>
      <c r="GG56" s="32"/>
      <c r="GH56" s="32"/>
      <c r="GI56" s="32"/>
      <c r="GJ56" s="32"/>
      <c r="GK56" s="32"/>
      <c r="GL56" s="32"/>
      <c r="GM56" s="32"/>
      <c r="GN56" s="32"/>
      <c r="GO56" s="32"/>
      <c r="GP56" s="32"/>
      <c r="GQ56" s="32"/>
      <c r="GR56" s="32"/>
      <c r="GS56" s="32"/>
      <c r="GT56" s="32"/>
      <c r="GU56" s="32"/>
      <c r="GV56" s="32"/>
      <c r="GW56" s="32"/>
      <c r="GX56" s="32"/>
      <c r="GY56" s="32"/>
      <c r="GZ56" s="32"/>
      <c r="HA56" s="32"/>
      <c r="HB56" s="32"/>
      <c r="HC56" s="32"/>
      <c r="HD56" s="32"/>
      <c r="HE56" s="32"/>
      <c r="HF56" s="32"/>
      <c r="HG56" s="32"/>
      <c r="HH56" s="32"/>
      <c r="HI56" s="32"/>
      <c r="HJ56" s="32"/>
      <c r="HK56" s="32"/>
      <c r="HL56" s="32"/>
      <c r="HM56" s="32"/>
      <c r="HN56" s="32"/>
      <c r="HO56" s="32"/>
      <c r="HP56" s="32"/>
      <c r="HQ56" s="32"/>
      <c r="HR56" s="32"/>
      <c r="HS56" s="32"/>
      <c r="HT56" s="32"/>
      <c r="HU56" s="32"/>
      <c r="HV56" s="32"/>
      <c r="HW56" s="32"/>
      <c r="HX56" s="32"/>
      <c r="HY56" s="32"/>
      <c r="HZ56" s="32"/>
      <c r="IA56" s="32"/>
      <c r="IB56" s="32"/>
      <c r="IC56" s="32"/>
      <c r="ID56" s="32"/>
      <c r="IE56" s="32"/>
      <c r="IF56" s="32"/>
      <c r="IG56" s="32"/>
      <c r="IH56" s="32"/>
      <c r="II56" s="32"/>
      <c r="IJ56" s="32"/>
      <c r="IK56" s="32"/>
      <c r="IL56" s="32"/>
      <c r="IM56" s="32"/>
      <c r="IN56" s="32"/>
      <c r="IO56" s="32"/>
      <c r="IP56" s="32"/>
    </row>
    <row r="57" spans="1:250" s="11" customFormat="1" ht="13.5" customHeight="1">
      <c r="A57" s="18">
        <v>61</v>
      </c>
      <c r="B57" s="19">
        <v>1035</v>
      </c>
      <c r="C57" s="18" t="str">
        <f t="shared" si="1"/>
        <v>4,7</v>
      </c>
      <c r="D57" s="18" t="str">
        <f t="shared" si="6"/>
        <v>0,43</v>
      </c>
      <c r="E57" s="18" t="str">
        <f t="shared" si="3"/>
        <v>0,0</v>
      </c>
      <c r="F57" s="18" t="str">
        <f t="shared" si="4"/>
        <v>0,0</v>
      </c>
      <c r="G57" s="19" t="str">
        <f t="shared" si="5"/>
        <v>100,1</v>
      </c>
      <c r="H57" s="19" t="s">
        <v>31</v>
      </c>
      <c r="I57" s="19" t="s">
        <v>31</v>
      </c>
      <c r="J57" s="25"/>
      <c r="K57" s="32">
        <v>4</v>
      </c>
      <c r="L57" s="32">
        <v>0</v>
      </c>
      <c r="M57" s="32">
        <v>0</v>
      </c>
      <c r="N57" s="32">
        <v>0</v>
      </c>
      <c r="O57" s="32">
        <v>100</v>
      </c>
      <c r="P57" s="32">
        <v>7</v>
      </c>
      <c r="Q57" s="32">
        <v>43</v>
      </c>
      <c r="R57" s="32">
        <v>0</v>
      </c>
      <c r="S57" s="32">
        <v>0</v>
      </c>
      <c r="T57" s="32">
        <v>1</v>
      </c>
      <c r="U57" s="32"/>
      <c r="V57" s="32"/>
      <c r="W57" s="32"/>
      <c r="X57" s="32"/>
      <c r="Y57" s="32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CU57" s="32"/>
      <c r="CV57" s="32"/>
      <c r="CW57" s="32"/>
      <c r="CX57" s="32"/>
      <c r="CY57" s="32"/>
      <c r="CZ57" s="32"/>
      <c r="DA57" s="32"/>
      <c r="DB57" s="32"/>
      <c r="DC57" s="32"/>
      <c r="DD57" s="32"/>
      <c r="DE57" s="32"/>
      <c r="DF57" s="32"/>
      <c r="DG57" s="32"/>
      <c r="DH57" s="32"/>
      <c r="DI57" s="32"/>
      <c r="DJ57" s="32"/>
      <c r="DK57" s="32"/>
      <c r="DL57" s="32"/>
      <c r="DM57" s="32"/>
      <c r="DN57" s="32"/>
      <c r="DO57" s="32"/>
      <c r="DP57" s="32"/>
      <c r="DQ57" s="32"/>
      <c r="DR57" s="32"/>
      <c r="DS57" s="32"/>
      <c r="DT57" s="32"/>
      <c r="DU57" s="32"/>
      <c r="DV57" s="32"/>
      <c r="DW57" s="32"/>
      <c r="DX57" s="32"/>
      <c r="DY57" s="32"/>
      <c r="DZ57" s="32"/>
      <c r="EA57" s="32"/>
      <c r="EB57" s="32"/>
      <c r="EC57" s="32"/>
      <c r="ED57" s="32"/>
      <c r="EE57" s="32"/>
      <c r="EF57" s="32"/>
      <c r="EG57" s="32"/>
      <c r="EH57" s="32"/>
      <c r="EI57" s="32"/>
      <c r="EJ57" s="32"/>
      <c r="EK57" s="32"/>
      <c r="EL57" s="32"/>
      <c r="EM57" s="32"/>
      <c r="EN57" s="32"/>
      <c r="EO57" s="32"/>
      <c r="EP57" s="32"/>
      <c r="EQ57" s="32"/>
      <c r="ER57" s="32"/>
      <c r="ES57" s="32"/>
      <c r="ET57" s="32"/>
      <c r="EU57" s="32"/>
      <c r="EV57" s="32"/>
      <c r="EW57" s="32"/>
      <c r="EX57" s="32"/>
      <c r="EY57" s="32"/>
      <c r="EZ57" s="32"/>
      <c r="FA57" s="32"/>
      <c r="FB57" s="32"/>
      <c r="FC57" s="32"/>
      <c r="FD57" s="32"/>
      <c r="FE57" s="32"/>
      <c r="FF57" s="32"/>
      <c r="FG57" s="32"/>
      <c r="FH57" s="32"/>
      <c r="FI57" s="32"/>
      <c r="FJ57" s="32"/>
      <c r="FK57" s="32"/>
      <c r="FL57" s="32"/>
      <c r="FM57" s="32"/>
      <c r="FN57" s="32"/>
      <c r="FO57" s="32"/>
      <c r="FP57" s="32"/>
      <c r="FQ57" s="32"/>
      <c r="FR57" s="32"/>
      <c r="FS57" s="32"/>
      <c r="FT57" s="32"/>
      <c r="FU57" s="32"/>
      <c r="FV57" s="32"/>
      <c r="FW57" s="32"/>
      <c r="FX57" s="32"/>
      <c r="FY57" s="32"/>
      <c r="FZ57" s="32"/>
      <c r="GA57" s="32"/>
      <c r="GB57" s="32"/>
      <c r="GC57" s="32"/>
      <c r="GD57" s="32"/>
      <c r="GE57" s="32"/>
      <c r="GF57" s="32"/>
      <c r="GG57" s="32"/>
      <c r="GH57" s="32"/>
      <c r="GI57" s="32"/>
      <c r="GJ57" s="32"/>
      <c r="GK57" s="32"/>
      <c r="GL57" s="32"/>
      <c r="GM57" s="32"/>
      <c r="GN57" s="32"/>
      <c r="GO57" s="32"/>
      <c r="GP57" s="32"/>
      <c r="GQ57" s="32"/>
      <c r="GR57" s="32"/>
      <c r="GS57" s="32"/>
      <c r="GT57" s="32"/>
      <c r="GU57" s="32"/>
      <c r="GV57" s="32"/>
      <c r="GW57" s="32"/>
      <c r="GX57" s="32"/>
      <c r="GY57" s="32"/>
      <c r="GZ57" s="32"/>
      <c r="HA57" s="32"/>
      <c r="HB57" s="32"/>
      <c r="HC57" s="32"/>
      <c r="HD57" s="32"/>
      <c r="HE57" s="32"/>
      <c r="HF57" s="32"/>
      <c r="HG57" s="32"/>
      <c r="HH57" s="32"/>
      <c r="HI57" s="32"/>
      <c r="HJ57" s="32"/>
      <c r="HK57" s="32"/>
      <c r="HL57" s="32"/>
      <c r="HM57" s="32"/>
      <c r="HN57" s="32"/>
      <c r="HO57" s="32"/>
      <c r="HP57" s="32"/>
      <c r="HQ57" s="32"/>
      <c r="HR57" s="32"/>
      <c r="HS57" s="32"/>
      <c r="HT57" s="32"/>
      <c r="HU57" s="32"/>
      <c r="HV57" s="32"/>
      <c r="HW57" s="32"/>
      <c r="HX57" s="32"/>
      <c r="HY57" s="32"/>
      <c r="HZ57" s="32"/>
      <c r="IA57" s="32"/>
      <c r="IB57" s="32"/>
      <c r="IC57" s="32"/>
      <c r="ID57" s="32"/>
      <c r="IE57" s="32"/>
      <c r="IF57" s="32"/>
      <c r="IG57" s="32"/>
      <c r="IH57" s="32"/>
      <c r="II57" s="32"/>
      <c r="IJ57" s="32"/>
      <c r="IK57" s="32"/>
      <c r="IL57" s="32"/>
      <c r="IM57" s="32"/>
      <c r="IN57" s="32"/>
      <c r="IO57" s="32"/>
      <c r="IP57" s="32"/>
    </row>
    <row r="58" spans="1:250" s="11" customFormat="1" ht="13.5" customHeight="1">
      <c r="A58" s="18">
        <v>62</v>
      </c>
      <c r="B58" s="19">
        <v>1040</v>
      </c>
      <c r="C58" s="18" t="str">
        <f t="shared" si="1"/>
        <v>4,7,14</v>
      </c>
      <c r="D58" s="18" t="str">
        <f t="shared" si="6"/>
        <v>0,44,0</v>
      </c>
      <c r="E58" s="18" t="str">
        <f t="shared" si="3"/>
        <v>0,0,0</v>
      </c>
      <c r="F58" s="18" t="str">
        <f t="shared" si="4"/>
        <v>0,0,0</v>
      </c>
      <c r="G58" s="19" t="str">
        <f t="shared" si="5"/>
        <v>100,1,1</v>
      </c>
      <c r="H58" s="19" t="s">
        <v>31</v>
      </c>
      <c r="I58" s="19" t="s">
        <v>31</v>
      </c>
      <c r="J58" s="25"/>
      <c r="K58" s="32">
        <v>4</v>
      </c>
      <c r="L58" s="32">
        <v>0</v>
      </c>
      <c r="M58" s="32">
        <v>0</v>
      </c>
      <c r="N58" s="32">
        <v>0</v>
      </c>
      <c r="O58" s="32">
        <v>100</v>
      </c>
      <c r="P58" s="32">
        <v>7</v>
      </c>
      <c r="Q58" s="32">
        <v>44</v>
      </c>
      <c r="R58" s="32">
        <v>0</v>
      </c>
      <c r="S58" s="32">
        <v>0</v>
      </c>
      <c r="T58" s="32">
        <v>1</v>
      </c>
      <c r="U58" s="32">
        <v>14</v>
      </c>
      <c r="V58" s="32">
        <v>0</v>
      </c>
      <c r="W58" s="32">
        <v>0</v>
      </c>
      <c r="X58" s="32">
        <v>0</v>
      </c>
      <c r="Y58" s="32">
        <v>1</v>
      </c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CU58" s="32"/>
      <c r="CV58" s="32"/>
      <c r="CW58" s="32"/>
      <c r="CX58" s="32"/>
      <c r="CY58" s="32"/>
      <c r="CZ58" s="32"/>
      <c r="DA58" s="32"/>
      <c r="DB58" s="32"/>
      <c r="DC58" s="32"/>
      <c r="DD58" s="32"/>
      <c r="DE58" s="32"/>
      <c r="DF58" s="32"/>
      <c r="DG58" s="32"/>
      <c r="DH58" s="32"/>
      <c r="DI58" s="32"/>
      <c r="DJ58" s="32"/>
      <c r="DK58" s="32"/>
      <c r="DL58" s="32"/>
      <c r="DM58" s="32"/>
      <c r="DN58" s="32"/>
      <c r="DO58" s="32"/>
      <c r="DP58" s="32"/>
      <c r="DQ58" s="32"/>
      <c r="DR58" s="32"/>
      <c r="DS58" s="32"/>
      <c r="DT58" s="32"/>
      <c r="DU58" s="32"/>
      <c r="DV58" s="32"/>
      <c r="DW58" s="32"/>
      <c r="DX58" s="32"/>
      <c r="DY58" s="32"/>
      <c r="DZ58" s="32"/>
      <c r="EA58" s="32"/>
      <c r="EB58" s="32"/>
      <c r="EC58" s="32"/>
      <c r="ED58" s="32"/>
      <c r="EE58" s="32"/>
      <c r="EF58" s="32"/>
      <c r="EG58" s="32"/>
      <c r="EH58" s="32"/>
      <c r="EI58" s="32"/>
      <c r="EJ58" s="32"/>
      <c r="EK58" s="32"/>
      <c r="EL58" s="32"/>
      <c r="EM58" s="32"/>
      <c r="EN58" s="32"/>
      <c r="EO58" s="32"/>
      <c r="EP58" s="32"/>
      <c r="EQ58" s="32"/>
      <c r="ER58" s="32"/>
      <c r="ES58" s="32"/>
      <c r="ET58" s="32"/>
      <c r="EU58" s="32"/>
      <c r="EV58" s="32"/>
      <c r="EW58" s="32"/>
      <c r="EX58" s="32"/>
      <c r="EY58" s="32"/>
      <c r="EZ58" s="32"/>
      <c r="FA58" s="32"/>
      <c r="FB58" s="32"/>
      <c r="FC58" s="32"/>
      <c r="FD58" s="32"/>
      <c r="FE58" s="32"/>
      <c r="FF58" s="32"/>
      <c r="FG58" s="32"/>
      <c r="FH58" s="32"/>
      <c r="FI58" s="32"/>
      <c r="FJ58" s="32"/>
      <c r="FK58" s="32"/>
      <c r="FL58" s="32"/>
      <c r="FM58" s="32"/>
      <c r="FN58" s="32"/>
      <c r="FO58" s="32"/>
      <c r="FP58" s="32"/>
      <c r="FQ58" s="32"/>
      <c r="FR58" s="32"/>
      <c r="FS58" s="32"/>
      <c r="FT58" s="32"/>
      <c r="FU58" s="32"/>
      <c r="FV58" s="32"/>
      <c r="FW58" s="32"/>
      <c r="FX58" s="32"/>
      <c r="FY58" s="32"/>
      <c r="FZ58" s="32"/>
      <c r="GA58" s="32"/>
      <c r="GB58" s="32"/>
      <c r="GC58" s="32"/>
      <c r="GD58" s="32"/>
      <c r="GE58" s="32"/>
      <c r="GF58" s="32"/>
      <c r="GG58" s="32"/>
      <c r="GH58" s="32"/>
      <c r="GI58" s="32"/>
      <c r="GJ58" s="32"/>
      <c r="GK58" s="32"/>
      <c r="GL58" s="32"/>
      <c r="GM58" s="32"/>
      <c r="GN58" s="32"/>
      <c r="GO58" s="32"/>
      <c r="GP58" s="32"/>
      <c r="GQ58" s="32"/>
      <c r="GR58" s="32"/>
      <c r="GS58" s="32"/>
      <c r="GT58" s="32"/>
      <c r="GU58" s="32"/>
      <c r="GV58" s="32"/>
      <c r="GW58" s="32"/>
      <c r="GX58" s="32"/>
      <c r="GY58" s="32"/>
      <c r="GZ58" s="32"/>
      <c r="HA58" s="32"/>
      <c r="HB58" s="32"/>
      <c r="HC58" s="32"/>
      <c r="HD58" s="32"/>
      <c r="HE58" s="32"/>
      <c r="HF58" s="32"/>
      <c r="HG58" s="32"/>
      <c r="HH58" s="32"/>
      <c r="HI58" s="32"/>
      <c r="HJ58" s="32"/>
      <c r="HK58" s="32"/>
      <c r="HL58" s="32"/>
      <c r="HM58" s="32"/>
      <c r="HN58" s="32"/>
      <c r="HO58" s="32"/>
      <c r="HP58" s="32"/>
      <c r="HQ58" s="32"/>
      <c r="HR58" s="32"/>
      <c r="HS58" s="32"/>
      <c r="HT58" s="32"/>
      <c r="HU58" s="32"/>
      <c r="HV58" s="32"/>
      <c r="HW58" s="32"/>
      <c r="HX58" s="32"/>
      <c r="HY58" s="32"/>
      <c r="HZ58" s="32"/>
      <c r="IA58" s="32"/>
      <c r="IB58" s="32"/>
      <c r="IC58" s="32"/>
      <c r="ID58" s="32"/>
      <c r="IE58" s="32"/>
      <c r="IF58" s="32"/>
      <c r="IG58" s="32"/>
      <c r="IH58" s="32"/>
      <c r="II58" s="32"/>
      <c r="IJ58" s="32"/>
      <c r="IK58" s="32"/>
      <c r="IL58" s="32"/>
      <c r="IM58" s="32"/>
      <c r="IN58" s="32"/>
      <c r="IO58" s="32"/>
      <c r="IP58" s="32"/>
    </row>
    <row r="59" spans="1:250" s="11" customFormat="1" ht="13.5" customHeight="1">
      <c r="A59" s="18">
        <v>63</v>
      </c>
      <c r="B59" s="19">
        <v>1045</v>
      </c>
      <c r="C59" s="18" t="str">
        <f t="shared" si="1"/>
        <v>4,7</v>
      </c>
      <c r="D59" s="18" t="str">
        <f t="shared" si="6"/>
        <v>0,41</v>
      </c>
      <c r="E59" s="18" t="str">
        <f t="shared" si="3"/>
        <v>0,0</v>
      </c>
      <c r="F59" s="18" t="str">
        <f t="shared" si="4"/>
        <v>0,0</v>
      </c>
      <c r="G59" s="19" t="str">
        <f t="shared" si="5"/>
        <v>100,1</v>
      </c>
      <c r="H59" s="19" t="s">
        <v>31</v>
      </c>
      <c r="I59" s="19" t="s">
        <v>31</v>
      </c>
      <c r="J59" s="25"/>
      <c r="K59" s="32">
        <v>4</v>
      </c>
      <c r="L59" s="32">
        <v>0</v>
      </c>
      <c r="M59" s="32">
        <v>0</v>
      </c>
      <c r="N59" s="32">
        <v>0</v>
      </c>
      <c r="O59" s="32">
        <v>100</v>
      </c>
      <c r="P59" s="32">
        <v>7</v>
      </c>
      <c r="Q59" s="32">
        <v>41</v>
      </c>
      <c r="R59" s="32">
        <v>0</v>
      </c>
      <c r="S59" s="32">
        <v>0</v>
      </c>
      <c r="T59" s="32">
        <v>1</v>
      </c>
      <c r="U59" s="32"/>
      <c r="V59" s="32"/>
      <c r="W59" s="32"/>
      <c r="X59" s="32"/>
      <c r="Y59" s="32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  <c r="DK59" s="32"/>
      <c r="DL59" s="32"/>
      <c r="DM59" s="32"/>
      <c r="DN59" s="32"/>
      <c r="DO59" s="32"/>
      <c r="DP59" s="32"/>
      <c r="DQ59" s="32"/>
      <c r="DR59" s="32"/>
      <c r="DS59" s="32"/>
      <c r="DT59" s="32"/>
      <c r="DU59" s="32"/>
      <c r="DV59" s="32"/>
      <c r="DW59" s="32"/>
      <c r="DX59" s="32"/>
      <c r="DY59" s="32"/>
      <c r="DZ59" s="32"/>
      <c r="EA59" s="32"/>
      <c r="EB59" s="32"/>
      <c r="EC59" s="32"/>
      <c r="ED59" s="32"/>
      <c r="EE59" s="32"/>
      <c r="EF59" s="32"/>
      <c r="EG59" s="32"/>
      <c r="EH59" s="32"/>
      <c r="EI59" s="32"/>
      <c r="EJ59" s="32"/>
      <c r="EK59" s="32"/>
      <c r="EL59" s="32"/>
      <c r="EM59" s="32"/>
      <c r="EN59" s="32"/>
      <c r="EO59" s="32"/>
      <c r="EP59" s="32"/>
      <c r="EQ59" s="32"/>
      <c r="ER59" s="32"/>
      <c r="ES59" s="32"/>
      <c r="ET59" s="32"/>
      <c r="EU59" s="32"/>
      <c r="EV59" s="32"/>
      <c r="EW59" s="32"/>
      <c r="EX59" s="32"/>
      <c r="EY59" s="32"/>
      <c r="EZ59" s="32"/>
      <c r="FA59" s="32"/>
      <c r="FB59" s="32"/>
      <c r="FC59" s="32"/>
      <c r="FD59" s="32"/>
      <c r="FE59" s="32"/>
      <c r="FF59" s="32"/>
      <c r="FG59" s="32"/>
      <c r="FH59" s="32"/>
      <c r="FI59" s="32"/>
      <c r="FJ59" s="32"/>
      <c r="FK59" s="32"/>
      <c r="FL59" s="32"/>
      <c r="FM59" s="32"/>
      <c r="FN59" s="32"/>
      <c r="FO59" s="32"/>
      <c r="FP59" s="32"/>
      <c r="FQ59" s="32"/>
      <c r="FR59" s="32"/>
      <c r="FS59" s="32"/>
      <c r="FT59" s="32"/>
      <c r="FU59" s="32"/>
      <c r="FV59" s="32"/>
      <c r="FW59" s="32"/>
      <c r="FX59" s="32"/>
      <c r="FY59" s="32"/>
      <c r="FZ59" s="32"/>
      <c r="GA59" s="32"/>
      <c r="GB59" s="32"/>
      <c r="GC59" s="32"/>
      <c r="GD59" s="32"/>
      <c r="GE59" s="32"/>
      <c r="GF59" s="32"/>
      <c r="GG59" s="32"/>
      <c r="GH59" s="32"/>
      <c r="GI59" s="32"/>
      <c r="GJ59" s="32"/>
      <c r="GK59" s="32"/>
      <c r="GL59" s="32"/>
      <c r="GM59" s="32"/>
      <c r="GN59" s="32"/>
      <c r="GO59" s="32"/>
      <c r="GP59" s="32"/>
      <c r="GQ59" s="32"/>
      <c r="GR59" s="32"/>
      <c r="GS59" s="32"/>
      <c r="GT59" s="32"/>
      <c r="GU59" s="32"/>
      <c r="GV59" s="32"/>
      <c r="GW59" s="32"/>
      <c r="GX59" s="32"/>
      <c r="GY59" s="32"/>
      <c r="GZ59" s="32"/>
      <c r="HA59" s="32"/>
      <c r="HB59" s="32"/>
      <c r="HC59" s="32"/>
      <c r="HD59" s="32"/>
      <c r="HE59" s="32"/>
      <c r="HF59" s="32"/>
      <c r="HG59" s="32"/>
      <c r="HH59" s="32"/>
      <c r="HI59" s="32"/>
      <c r="HJ59" s="32"/>
      <c r="HK59" s="32"/>
      <c r="HL59" s="32"/>
      <c r="HM59" s="32"/>
      <c r="HN59" s="32"/>
      <c r="HO59" s="32"/>
      <c r="HP59" s="32"/>
      <c r="HQ59" s="32"/>
      <c r="HR59" s="32"/>
      <c r="HS59" s="32"/>
      <c r="HT59" s="32"/>
      <c r="HU59" s="32"/>
      <c r="HV59" s="32"/>
      <c r="HW59" s="32"/>
      <c r="HX59" s="32"/>
      <c r="HY59" s="32"/>
      <c r="HZ59" s="32"/>
      <c r="IA59" s="32"/>
      <c r="IB59" s="32"/>
      <c r="IC59" s="32"/>
      <c r="ID59" s="32"/>
      <c r="IE59" s="32"/>
      <c r="IF59" s="32"/>
      <c r="IG59" s="32"/>
      <c r="IH59" s="32"/>
      <c r="II59" s="32"/>
      <c r="IJ59" s="32"/>
      <c r="IK59" s="32"/>
      <c r="IL59" s="32"/>
      <c r="IM59" s="32"/>
      <c r="IN59" s="32"/>
      <c r="IO59" s="32"/>
      <c r="IP59" s="32"/>
    </row>
    <row r="60" spans="1:250" s="11" customFormat="1" ht="13.5" customHeight="1">
      <c r="A60" s="18">
        <v>64</v>
      </c>
      <c r="B60" s="19">
        <v>1050</v>
      </c>
      <c r="C60" s="18" t="str">
        <f t="shared" si="1"/>
        <v>4,6,14</v>
      </c>
      <c r="D60" s="18" t="str">
        <f t="shared" si="6"/>
        <v>0,1,0</v>
      </c>
      <c r="E60" s="18" t="str">
        <f t="shared" si="3"/>
        <v>0,0,0</v>
      </c>
      <c r="F60" s="18" t="str">
        <f t="shared" si="4"/>
        <v>0,5,0</v>
      </c>
      <c r="G60" s="19" t="str">
        <f t="shared" si="5"/>
        <v>200,50,3</v>
      </c>
      <c r="H60" s="19" t="s">
        <v>31</v>
      </c>
      <c r="I60" s="37" t="s">
        <v>31</v>
      </c>
      <c r="J60" s="25"/>
      <c r="K60" s="32">
        <v>4</v>
      </c>
      <c r="L60" s="32">
        <v>0</v>
      </c>
      <c r="M60" s="32">
        <v>0</v>
      </c>
      <c r="N60" s="32">
        <v>0</v>
      </c>
      <c r="O60" s="32">
        <v>200</v>
      </c>
      <c r="P60" s="32">
        <v>6</v>
      </c>
      <c r="Q60" s="32">
        <v>1</v>
      </c>
      <c r="R60" s="32">
        <v>0</v>
      </c>
      <c r="S60" s="32">
        <v>5</v>
      </c>
      <c r="T60" s="32">
        <v>50</v>
      </c>
      <c r="U60" s="32">
        <v>14</v>
      </c>
      <c r="V60" s="32">
        <v>0</v>
      </c>
      <c r="W60" s="32">
        <v>0</v>
      </c>
      <c r="X60" s="32">
        <v>0</v>
      </c>
      <c r="Y60" s="32">
        <v>3</v>
      </c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  <c r="DK60" s="32"/>
      <c r="DL60" s="32"/>
      <c r="DM60" s="32"/>
      <c r="DN60" s="32"/>
      <c r="DO60" s="32"/>
      <c r="DP60" s="32"/>
      <c r="DQ60" s="32"/>
      <c r="DR60" s="32"/>
      <c r="DS60" s="32"/>
      <c r="DT60" s="32"/>
      <c r="DU60" s="32"/>
      <c r="DV60" s="32"/>
      <c r="DW60" s="32"/>
      <c r="DX60" s="32"/>
      <c r="DY60" s="32"/>
      <c r="DZ60" s="32"/>
      <c r="EA60" s="32"/>
      <c r="EB60" s="32"/>
      <c r="EC60" s="32"/>
      <c r="ED60" s="32"/>
      <c r="EE60" s="32"/>
      <c r="EF60" s="32"/>
      <c r="EG60" s="32"/>
      <c r="EH60" s="32"/>
      <c r="EI60" s="32"/>
      <c r="EJ60" s="32"/>
      <c r="EK60" s="32"/>
      <c r="EL60" s="32"/>
      <c r="EM60" s="32"/>
      <c r="EN60" s="32"/>
      <c r="EO60" s="32"/>
      <c r="EP60" s="32"/>
      <c r="EQ60" s="32"/>
      <c r="ER60" s="32"/>
      <c r="ES60" s="32"/>
      <c r="ET60" s="32"/>
      <c r="EU60" s="32"/>
      <c r="EV60" s="32"/>
      <c r="EW60" s="32"/>
      <c r="EX60" s="32"/>
      <c r="EY60" s="32"/>
      <c r="EZ60" s="32"/>
      <c r="FA60" s="32"/>
      <c r="FB60" s="32"/>
      <c r="FC60" s="32"/>
      <c r="FD60" s="32"/>
      <c r="FE60" s="32"/>
      <c r="FF60" s="32"/>
      <c r="FG60" s="32"/>
      <c r="FH60" s="32"/>
      <c r="FI60" s="32"/>
      <c r="FJ60" s="32"/>
      <c r="FK60" s="32"/>
      <c r="FL60" s="32"/>
      <c r="FM60" s="32"/>
      <c r="FN60" s="32"/>
      <c r="FO60" s="32"/>
      <c r="FP60" s="32"/>
      <c r="FQ60" s="32"/>
      <c r="FR60" s="32"/>
      <c r="FS60" s="32"/>
      <c r="FT60" s="32"/>
      <c r="FU60" s="32"/>
      <c r="FV60" s="32"/>
      <c r="FW60" s="32"/>
      <c r="FX60" s="32"/>
      <c r="FY60" s="32"/>
      <c r="FZ60" s="32"/>
      <c r="GA60" s="32"/>
      <c r="GB60" s="32"/>
      <c r="GC60" s="32"/>
      <c r="GD60" s="32"/>
      <c r="GE60" s="32"/>
      <c r="GF60" s="32"/>
      <c r="GG60" s="32"/>
      <c r="GH60" s="32"/>
      <c r="GI60" s="32"/>
      <c r="GJ60" s="32"/>
      <c r="GK60" s="32"/>
      <c r="GL60" s="32"/>
      <c r="GM60" s="32"/>
      <c r="GN60" s="32"/>
      <c r="GO60" s="32"/>
      <c r="GP60" s="32"/>
      <c r="GQ60" s="32"/>
      <c r="GR60" s="32"/>
      <c r="GS60" s="32"/>
      <c r="GT60" s="32"/>
      <c r="GU60" s="32"/>
      <c r="GV60" s="32"/>
      <c r="GW60" s="32"/>
      <c r="GX60" s="32"/>
      <c r="GY60" s="32"/>
      <c r="GZ60" s="32"/>
      <c r="HA60" s="32"/>
      <c r="HB60" s="32"/>
      <c r="HC60" s="32"/>
      <c r="HD60" s="32"/>
      <c r="HE60" s="32"/>
      <c r="HF60" s="32"/>
      <c r="HG60" s="32"/>
      <c r="HH60" s="32"/>
      <c r="HI60" s="32"/>
      <c r="HJ60" s="32"/>
      <c r="HK60" s="32"/>
      <c r="HL60" s="32"/>
      <c r="HM60" s="32"/>
      <c r="HN60" s="32"/>
      <c r="HO60" s="32"/>
      <c r="HP60" s="32"/>
      <c r="HQ60" s="32"/>
      <c r="HR60" s="32"/>
      <c r="HS60" s="32"/>
      <c r="HT60" s="32"/>
      <c r="HU60" s="32"/>
      <c r="HV60" s="32"/>
      <c r="HW60" s="32"/>
      <c r="HX60" s="32"/>
      <c r="HY60" s="32"/>
      <c r="HZ60" s="32"/>
      <c r="IA60" s="32"/>
      <c r="IB60" s="32"/>
      <c r="IC60" s="32"/>
      <c r="ID60" s="32"/>
      <c r="IE60" s="32"/>
      <c r="IF60" s="32"/>
      <c r="IG60" s="32"/>
      <c r="IH60" s="32"/>
      <c r="II60" s="32"/>
      <c r="IJ60" s="32"/>
      <c r="IK60" s="32"/>
      <c r="IL60" s="32"/>
      <c r="IM60" s="32"/>
      <c r="IN60" s="32"/>
      <c r="IO60" s="32"/>
      <c r="IP60" s="32"/>
    </row>
    <row r="61" spans="1:250" ht="13.5" customHeight="1">
      <c r="A61" s="18">
        <v>65</v>
      </c>
      <c r="B61" s="17">
        <v>10105</v>
      </c>
      <c r="C61" s="24" t="str">
        <f t="shared" si="1"/>
        <v>4,7</v>
      </c>
      <c r="D61" s="24" t="str">
        <f t="shared" si="6"/>
        <v>0,45</v>
      </c>
      <c r="E61" s="24" t="str">
        <f t="shared" si="3"/>
        <v>0,0</v>
      </c>
      <c r="F61" s="24" t="str">
        <f t="shared" si="4"/>
        <v>0,0</v>
      </c>
      <c r="G61" s="17" t="str">
        <f t="shared" si="5"/>
        <v>100,1</v>
      </c>
      <c r="H61" s="17" t="s">
        <v>31</v>
      </c>
      <c r="I61" s="17" t="s">
        <v>31</v>
      </c>
      <c r="J61" s="40"/>
      <c r="K61" s="9">
        <v>4</v>
      </c>
      <c r="L61" s="9">
        <v>0</v>
      </c>
      <c r="M61" s="9">
        <v>0</v>
      </c>
      <c r="N61" s="9">
        <v>0</v>
      </c>
      <c r="O61" s="9">
        <v>100</v>
      </c>
      <c r="P61" s="9">
        <v>7</v>
      </c>
      <c r="Q61" s="9">
        <v>45</v>
      </c>
      <c r="R61" s="9">
        <v>0</v>
      </c>
      <c r="S61" s="9">
        <v>0</v>
      </c>
      <c r="T61" s="9">
        <v>1</v>
      </c>
      <c r="Z61" s="43"/>
      <c r="AA61" s="43"/>
      <c r="AB61" s="43"/>
      <c r="AC61" s="43"/>
      <c r="AD61" s="43"/>
      <c r="AE61" s="43"/>
      <c r="AF61" s="43"/>
      <c r="AG61" s="43"/>
      <c r="AH61" s="43"/>
      <c r="AI61" s="43"/>
    </row>
    <row r="62" spans="1:250" ht="13.5" customHeight="1">
      <c r="A62" s="18">
        <v>66</v>
      </c>
      <c r="B62" s="17">
        <v>10110</v>
      </c>
      <c r="C62" s="24" t="str">
        <f t="shared" si="1"/>
        <v>4,7,14</v>
      </c>
      <c r="D62" s="24" t="str">
        <f t="shared" si="6"/>
        <v>0,46,0</v>
      </c>
      <c r="E62" s="24" t="str">
        <f t="shared" si="3"/>
        <v>0,0,0</v>
      </c>
      <c r="F62" s="24" t="str">
        <f t="shared" si="4"/>
        <v>0,0,0</v>
      </c>
      <c r="G62" s="17" t="str">
        <f t="shared" si="5"/>
        <v>100,1,2</v>
      </c>
      <c r="H62" s="17" t="s">
        <v>31</v>
      </c>
      <c r="I62" s="17" t="s">
        <v>31</v>
      </c>
      <c r="K62" s="9">
        <v>4</v>
      </c>
      <c r="L62" s="9">
        <v>0</v>
      </c>
      <c r="M62" s="9">
        <v>0</v>
      </c>
      <c r="N62" s="9">
        <v>0</v>
      </c>
      <c r="O62" s="9">
        <v>100</v>
      </c>
      <c r="P62" s="9">
        <v>7</v>
      </c>
      <c r="Q62" s="9">
        <v>46</v>
      </c>
      <c r="R62" s="9">
        <v>0</v>
      </c>
      <c r="S62" s="9">
        <v>0</v>
      </c>
      <c r="T62" s="9">
        <v>1</v>
      </c>
      <c r="U62" s="9">
        <v>14</v>
      </c>
      <c r="V62" s="9">
        <v>0</v>
      </c>
      <c r="W62" s="9">
        <v>0</v>
      </c>
      <c r="X62" s="9">
        <v>0</v>
      </c>
      <c r="Y62" s="9">
        <v>2</v>
      </c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  <row r="63" spans="1:250" ht="13.5" customHeight="1">
      <c r="A63" s="18">
        <v>67</v>
      </c>
      <c r="B63" s="17">
        <v>10115</v>
      </c>
      <c r="C63" s="24" t="str">
        <f t="shared" si="1"/>
        <v>4,7</v>
      </c>
      <c r="D63" s="24" t="str">
        <f t="shared" si="6"/>
        <v>0,47</v>
      </c>
      <c r="E63" s="24" t="str">
        <f t="shared" si="3"/>
        <v>0,0</v>
      </c>
      <c r="F63" s="24" t="str">
        <f t="shared" si="4"/>
        <v>0,0</v>
      </c>
      <c r="G63" s="17" t="str">
        <f t="shared" si="5"/>
        <v>100,1</v>
      </c>
      <c r="H63" s="17" t="s">
        <v>31</v>
      </c>
      <c r="I63" s="17" t="s">
        <v>31</v>
      </c>
      <c r="K63" s="9">
        <v>4</v>
      </c>
      <c r="L63" s="9">
        <v>0</v>
      </c>
      <c r="M63" s="9">
        <v>0</v>
      </c>
      <c r="N63" s="9">
        <v>0</v>
      </c>
      <c r="O63" s="9">
        <v>100</v>
      </c>
      <c r="P63" s="9">
        <v>7</v>
      </c>
      <c r="Q63" s="9">
        <v>47</v>
      </c>
      <c r="R63" s="9">
        <v>0</v>
      </c>
      <c r="S63" s="9">
        <v>0</v>
      </c>
      <c r="T63" s="9">
        <v>1</v>
      </c>
      <c r="Z63" s="43"/>
      <c r="AA63" s="43"/>
      <c r="AB63" s="43"/>
      <c r="AC63" s="43"/>
      <c r="AD63" s="43"/>
      <c r="AE63" s="43"/>
      <c r="AF63" s="43"/>
      <c r="AG63" s="43"/>
      <c r="AH63" s="43"/>
      <c r="AI63" s="43"/>
    </row>
    <row r="64" spans="1:250" ht="13.5" customHeight="1">
      <c r="A64" s="18">
        <v>68</v>
      </c>
      <c r="B64" s="17">
        <v>10120</v>
      </c>
      <c r="C64" s="24" t="str">
        <f t="shared" si="1"/>
        <v>4,7,14</v>
      </c>
      <c r="D64" s="24" t="str">
        <f t="shared" si="6"/>
        <v>0,48,0</v>
      </c>
      <c r="E64" s="24" t="str">
        <f t="shared" si="3"/>
        <v>0,0,0</v>
      </c>
      <c r="F64" s="24" t="str">
        <f t="shared" si="4"/>
        <v>0,0,0</v>
      </c>
      <c r="G64" s="17" t="str">
        <f t="shared" si="5"/>
        <v>100,1,2</v>
      </c>
      <c r="H64" s="17" t="s">
        <v>31</v>
      </c>
      <c r="I64" s="17" t="s">
        <v>31</v>
      </c>
      <c r="K64" s="9">
        <v>4</v>
      </c>
      <c r="L64" s="9">
        <v>0</v>
      </c>
      <c r="M64" s="9">
        <v>0</v>
      </c>
      <c r="N64" s="9">
        <v>0</v>
      </c>
      <c r="O64" s="9">
        <v>100</v>
      </c>
      <c r="P64" s="9">
        <v>7</v>
      </c>
      <c r="Q64" s="9">
        <v>48</v>
      </c>
      <c r="R64" s="9">
        <v>0</v>
      </c>
      <c r="S64" s="9">
        <v>0</v>
      </c>
      <c r="T64" s="9">
        <v>1</v>
      </c>
      <c r="U64" s="9">
        <v>14</v>
      </c>
      <c r="V64" s="9">
        <v>0</v>
      </c>
      <c r="W64" s="9">
        <v>0</v>
      </c>
      <c r="X64" s="9">
        <v>0</v>
      </c>
      <c r="Y64" s="9">
        <v>2</v>
      </c>
      <c r="Z64" s="43"/>
      <c r="AA64" s="43"/>
      <c r="AB64" s="43"/>
      <c r="AC64" s="43"/>
      <c r="AD64" s="43"/>
      <c r="AE64" s="43"/>
      <c r="AF64" s="43"/>
      <c r="AG64" s="43"/>
      <c r="AH64" s="43"/>
      <c r="AI64" s="43"/>
    </row>
    <row r="65" spans="1:35" ht="13.5" customHeight="1">
      <c r="A65" s="18">
        <v>69</v>
      </c>
      <c r="B65" s="17">
        <v>10125</v>
      </c>
      <c r="C65" s="24" t="str">
        <f t="shared" si="1"/>
        <v>4,7</v>
      </c>
      <c r="D65" s="24" t="str">
        <f t="shared" si="6"/>
        <v>0,45</v>
      </c>
      <c r="E65" s="24" t="str">
        <f t="shared" si="3"/>
        <v>0,0</v>
      </c>
      <c r="F65" s="24" t="str">
        <f t="shared" si="4"/>
        <v>0,0</v>
      </c>
      <c r="G65" s="17" t="str">
        <f t="shared" si="5"/>
        <v>100,1</v>
      </c>
      <c r="H65" s="17" t="s">
        <v>31</v>
      </c>
      <c r="I65" s="17" t="s">
        <v>31</v>
      </c>
      <c r="K65" s="9">
        <v>4</v>
      </c>
      <c r="L65" s="9">
        <v>0</v>
      </c>
      <c r="M65" s="9">
        <v>0</v>
      </c>
      <c r="N65" s="9">
        <v>0</v>
      </c>
      <c r="O65" s="9">
        <v>100</v>
      </c>
      <c r="P65" s="9">
        <v>7</v>
      </c>
      <c r="Q65" s="9">
        <v>45</v>
      </c>
      <c r="R65" s="9">
        <v>0</v>
      </c>
      <c r="S65" s="9">
        <v>0</v>
      </c>
      <c r="T65" s="9">
        <v>1</v>
      </c>
      <c r="Z65" s="43"/>
      <c r="AA65" s="43"/>
      <c r="AB65" s="43"/>
      <c r="AC65" s="43"/>
      <c r="AD65" s="43"/>
      <c r="AE65" s="43"/>
      <c r="AF65" s="43"/>
      <c r="AG65" s="43"/>
      <c r="AH65" s="43"/>
      <c r="AI65" s="43"/>
    </row>
    <row r="66" spans="1:35" ht="13.5" customHeight="1">
      <c r="A66" s="18">
        <v>70</v>
      </c>
      <c r="B66" s="17">
        <v>10130</v>
      </c>
      <c r="C66" s="24" t="str">
        <f t="shared" si="1"/>
        <v>4,7,14</v>
      </c>
      <c r="D66" s="24" t="str">
        <f t="shared" si="6"/>
        <v>0,46,0</v>
      </c>
      <c r="E66" s="24" t="str">
        <f t="shared" si="3"/>
        <v>0,0,0</v>
      </c>
      <c r="F66" s="24" t="str">
        <f t="shared" si="4"/>
        <v>0,0,0</v>
      </c>
      <c r="G66" s="17" t="str">
        <f t="shared" si="5"/>
        <v>100,1,2</v>
      </c>
      <c r="H66" s="17" t="s">
        <v>31</v>
      </c>
      <c r="I66" s="17" t="s">
        <v>31</v>
      </c>
      <c r="K66" s="9">
        <v>4</v>
      </c>
      <c r="L66" s="9">
        <v>0</v>
      </c>
      <c r="M66" s="9">
        <v>0</v>
      </c>
      <c r="N66" s="9">
        <v>0</v>
      </c>
      <c r="O66" s="9">
        <v>100</v>
      </c>
      <c r="P66" s="9">
        <v>7</v>
      </c>
      <c r="Q66" s="9">
        <v>46</v>
      </c>
      <c r="R66" s="9">
        <v>0</v>
      </c>
      <c r="S66" s="9">
        <v>0</v>
      </c>
      <c r="T66" s="9">
        <v>1</v>
      </c>
      <c r="U66" s="9">
        <v>14</v>
      </c>
      <c r="V66" s="9">
        <v>0</v>
      </c>
      <c r="W66" s="9">
        <v>0</v>
      </c>
      <c r="X66" s="9">
        <v>0</v>
      </c>
      <c r="Y66" s="9">
        <v>2</v>
      </c>
      <c r="Z66" s="43"/>
      <c r="AA66" s="43"/>
      <c r="AB66" s="43"/>
      <c r="AC66" s="43"/>
      <c r="AD66" s="43"/>
      <c r="AE66" s="43"/>
      <c r="AF66" s="43"/>
      <c r="AG66" s="43"/>
      <c r="AH66" s="43"/>
      <c r="AI66" s="43"/>
    </row>
    <row r="67" spans="1:35" ht="13.5" customHeight="1">
      <c r="A67" s="18">
        <v>71</v>
      </c>
      <c r="B67" s="17">
        <v>10135</v>
      </c>
      <c r="C67" s="24" t="str">
        <f t="shared" si="1"/>
        <v>4,7</v>
      </c>
      <c r="D67" s="24" t="str">
        <f t="shared" si="6"/>
        <v>0,47</v>
      </c>
      <c r="E67" s="24" t="str">
        <f t="shared" si="3"/>
        <v>0,0</v>
      </c>
      <c r="F67" s="24" t="str">
        <f t="shared" si="4"/>
        <v>0,0</v>
      </c>
      <c r="G67" s="17" t="str">
        <f t="shared" si="5"/>
        <v>100,1</v>
      </c>
      <c r="H67" s="17" t="s">
        <v>31</v>
      </c>
      <c r="I67" s="17" t="s">
        <v>31</v>
      </c>
      <c r="K67" s="9">
        <v>4</v>
      </c>
      <c r="L67" s="9">
        <v>0</v>
      </c>
      <c r="M67" s="9">
        <v>0</v>
      </c>
      <c r="N67" s="9">
        <v>0</v>
      </c>
      <c r="O67" s="9">
        <v>100</v>
      </c>
      <c r="P67" s="9">
        <v>7</v>
      </c>
      <c r="Q67" s="9">
        <v>47</v>
      </c>
      <c r="R67" s="9">
        <v>0</v>
      </c>
      <c r="S67" s="9">
        <v>0</v>
      </c>
      <c r="T67" s="9">
        <v>1</v>
      </c>
      <c r="Z67" s="43"/>
      <c r="AA67" s="43"/>
      <c r="AB67" s="43"/>
      <c r="AC67" s="43"/>
      <c r="AD67" s="43"/>
      <c r="AE67" s="43"/>
      <c r="AF67" s="43"/>
      <c r="AG67" s="43"/>
      <c r="AH67" s="43"/>
      <c r="AI67" s="43"/>
    </row>
    <row r="68" spans="1:35" ht="13.5" customHeight="1">
      <c r="A68" s="18">
        <v>72</v>
      </c>
      <c r="B68" s="17">
        <v>10140</v>
      </c>
      <c r="C68" s="24" t="str">
        <f t="shared" ref="C68:C131" si="12">IF(AND(U68="",K68&lt;&gt;"",P68&lt;&gt;""),K68&amp;","&amp;P68,IF(AND(U68="",P68="",K68&lt;&gt;""),K68,IF(AND(U68="",P68="",K68=""),"",K68&amp;","&amp;P68&amp;","&amp;U68)))</f>
        <v>4,7,14</v>
      </c>
      <c r="D68" s="24" t="str">
        <f t="shared" ref="D68:D131" si="13">IF(AND(V68="",L68&lt;&gt;"",Q68&lt;&gt;""),L68&amp;","&amp;Q68,IF(AND(V68="",Q68="",L68&lt;&gt;""),L68,IF(AND(V68="",Q68="",L68=""),"",L68&amp;","&amp;Q68&amp;","&amp;V68)))</f>
        <v>0,48,0</v>
      </c>
      <c r="E68" s="24" t="str">
        <f t="shared" ref="E68:E131" si="14">IF(AND(W68="",M68&lt;&gt;"",R68&lt;&gt;""),M68&amp;","&amp;R68,IF(AND(W68="",R68="",M68&lt;&gt;""),M68,IF(AND(W68="",R68="",M68=""),"",M68&amp;","&amp;R68&amp;","&amp;W68)))</f>
        <v>0,0,0</v>
      </c>
      <c r="F68" s="24" t="str">
        <f t="shared" ref="F68:F131" si="15">IF(AND(X68="",N68&lt;&gt;"",S68&lt;&gt;""),N68&amp;","&amp;S68,IF(AND(X68="",S68="",N68&lt;&gt;""),N68,IF(AND(X68="",S68="",N68=""),"",N68&amp;","&amp;S68&amp;","&amp;X68)))</f>
        <v>0,0,0</v>
      </c>
      <c r="G68" s="17" t="str">
        <f t="shared" ref="G68:G131" si="16">IF(AND(Y68="",O68&lt;&gt;"",T68&lt;&gt;""),O68&amp;","&amp;T68,IF(AND(Y68="",T68="",O68&lt;&gt;""),O68,IF(AND(Y68="",T68="",O68=""),"",O68&amp;","&amp;T68&amp;","&amp;Y68)))</f>
        <v>100,1,2</v>
      </c>
      <c r="H68" s="17" t="s">
        <v>31</v>
      </c>
      <c r="I68" s="17" t="s">
        <v>31</v>
      </c>
      <c r="K68" s="9">
        <v>4</v>
      </c>
      <c r="L68" s="9">
        <v>0</v>
      </c>
      <c r="M68" s="9">
        <v>0</v>
      </c>
      <c r="N68" s="9">
        <v>0</v>
      </c>
      <c r="O68" s="9">
        <v>100</v>
      </c>
      <c r="P68" s="9">
        <v>7</v>
      </c>
      <c r="Q68" s="9">
        <v>48</v>
      </c>
      <c r="R68" s="9">
        <v>0</v>
      </c>
      <c r="S68" s="9">
        <v>0</v>
      </c>
      <c r="T68" s="9">
        <v>1</v>
      </c>
      <c r="U68" s="9">
        <v>14</v>
      </c>
      <c r="V68" s="9">
        <v>0</v>
      </c>
      <c r="W68" s="9">
        <v>0</v>
      </c>
      <c r="X68" s="9">
        <v>0</v>
      </c>
      <c r="Y68" s="9">
        <v>2</v>
      </c>
      <c r="Z68" s="43"/>
      <c r="AA68" s="43"/>
      <c r="AB68" s="43"/>
      <c r="AC68" s="43"/>
      <c r="AD68" s="43"/>
      <c r="AE68" s="43"/>
      <c r="AF68" s="43"/>
      <c r="AG68" s="43"/>
      <c r="AH68" s="43"/>
      <c r="AI68" s="43"/>
    </row>
    <row r="69" spans="1:35" ht="13.5" customHeight="1">
      <c r="A69" s="18">
        <v>73</v>
      </c>
      <c r="B69" s="17">
        <v>10145</v>
      </c>
      <c r="C69" s="24" t="str">
        <f t="shared" si="12"/>
        <v>4,7</v>
      </c>
      <c r="D69" s="24" t="str">
        <f t="shared" si="13"/>
        <v>0,45</v>
      </c>
      <c r="E69" s="24" t="str">
        <f t="shared" si="14"/>
        <v>0,0</v>
      </c>
      <c r="F69" s="24" t="str">
        <f t="shared" si="15"/>
        <v>0,0</v>
      </c>
      <c r="G69" s="17" t="str">
        <f t="shared" si="16"/>
        <v>100,1</v>
      </c>
      <c r="H69" s="17" t="s">
        <v>31</v>
      </c>
      <c r="I69" s="17" t="s">
        <v>31</v>
      </c>
      <c r="K69" s="9">
        <v>4</v>
      </c>
      <c r="L69" s="9">
        <v>0</v>
      </c>
      <c r="M69" s="9">
        <v>0</v>
      </c>
      <c r="N69" s="9">
        <v>0</v>
      </c>
      <c r="O69" s="9">
        <v>100</v>
      </c>
      <c r="P69" s="9">
        <v>7</v>
      </c>
      <c r="Q69" s="9">
        <v>45</v>
      </c>
      <c r="R69" s="9">
        <v>0</v>
      </c>
      <c r="S69" s="9">
        <v>0</v>
      </c>
      <c r="T69" s="9">
        <v>1</v>
      </c>
      <c r="Z69" s="43"/>
      <c r="AA69" s="43"/>
      <c r="AB69" s="43"/>
      <c r="AC69" s="43"/>
      <c r="AD69" s="43"/>
      <c r="AE69" s="43"/>
      <c r="AF69" s="43"/>
      <c r="AG69" s="43"/>
      <c r="AH69" s="43"/>
      <c r="AI69" s="43"/>
    </row>
    <row r="70" spans="1:35" ht="13.5" customHeight="1">
      <c r="A70" s="18">
        <v>74</v>
      </c>
      <c r="B70" s="17">
        <v>10150</v>
      </c>
      <c r="C70" s="24" t="str">
        <f t="shared" si="12"/>
        <v>4,6,14</v>
      </c>
      <c r="D70" s="24" t="str">
        <f t="shared" si="13"/>
        <v>0,1,0</v>
      </c>
      <c r="E70" s="24" t="str">
        <f t="shared" si="14"/>
        <v>0,0,0</v>
      </c>
      <c r="F70" s="24" t="str">
        <f t="shared" si="15"/>
        <v>0,5,0</v>
      </c>
      <c r="G70" s="17" t="str">
        <f t="shared" si="16"/>
        <v>200,50,2</v>
      </c>
      <c r="H70" s="17" t="s">
        <v>31</v>
      </c>
      <c r="I70" s="17" t="s">
        <v>31</v>
      </c>
      <c r="K70" s="9">
        <v>4</v>
      </c>
      <c r="L70" s="9">
        <v>0</v>
      </c>
      <c r="M70" s="9">
        <v>0</v>
      </c>
      <c r="N70" s="9">
        <v>0</v>
      </c>
      <c r="O70" s="9">
        <v>200</v>
      </c>
      <c r="P70" s="9">
        <v>6</v>
      </c>
      <c r="Q70" s="9">
        <v>1</v>
      </c>
      <c r="R70" s="9">
        <v>0</v>
      </c>
      <c r="S70" s="9">
        <v>5</v>
      </c>
      <c r="T70" s="9">
        <v>50</v>
      </c>
      <c r="U70" s="9">
        <v>14</v>
      </c>
      <c r="V70" s="9">
        <v>0</v>
      </c>
      <c r="W70" s="9">
        <v>0</v>
      </c>
      <c r="X70" s="9">
        <v>0</v>
      </c>
      <c r="Y70" s="9">
        <v>2</v>
      </c>
      <c r="Z70" s="43"/>
      <c r="AA70" s="43"/>
      <c r="AB70" s="43"/>
      <c r="AC70" s="43"/>
      <c r="AD70" s="43"/>
      <c r="AE70" s="43"/>
      <c r="AF70" s="43"/>
      <c r="AG70" s="43"/>
      <c r="AH70" s="43"/>
      <c r="AI70" s="43"/>
    </row>
    <row r="71" spans="1:35" ht="13.5" customHeight="1">
      <c r="A71" s="18">
        <v>75</v>
      </c>
      <c r="B71" s="17">
        <v>10205</v>
      </c>
      <c r="C71" s="24" t="str">
        <f t="shared" si="12"/>
        <v>4,7</v>
      </c>
      <c r="D71" s="24" t="str">
        <f t="shared" si="13"/>
        <v>0,46</v>
      </c>
      <c r="E71" s="24" t="str">
        <f t="shared" si="14"/>
        <v>0,0</v>
      </c>
      <c r="F71" s="24" t="str">
        <f t="shared" si="15"/>
        <v>0,0</v>
      </c>
      <c r="G71" s="17" t="str">
        <f t="shared" si="16"/>
        <v>100,1</v>
      </c>
      <c r="H71" s="17" t="s">
        <v>31</v>
      </c>
      <c r="I71" s="17" t="s">
        <v>31</v>
      </c>
      <c r="K71" s="9">
        <v>4</v>
      </c>
      <c r="L71" s="9">
        <v>0</v>
      </c>
      <c r="M71" s="9">
        <v>0</v>
      </c>
      <c r="N71" s="9">
        <v>0</v>
      </c>
      <c r="O71" s="9">
        <v>100</v>
      </c>
      <c r="P71" s="9">
        <v>7</v>
      </c>
      <c r="Q71" s="9">
        <v>46</v>
      </c>
      <c r="R71" s="9">
        <v>0</v>
      </c>
      <c r="S71" s="9">
        <v>0</v>
      </c>
      <c r="T71" s="9">
        <v>1</v>
      </c>
      <c r="Z71" s="43"/>
      <c r="AA71" s="43"/>
      <c r="AB71" s="43"/>
      <c r="AC71" s="43"/>
      <c r="AD71" s="43"/>
      <c r="AE71" s="43"/>
      <c r="AF71" s="43"/>
      <c r="AG71" s="43"/>
      <c r="AH71" s="43"/>
      <c r="AI71" s="43"/>
    </row>
    <row r="72" spans="1:35" ht="13.5" customHeight="1">
      <c r="A72" s="18">
        <v>76</v>
      </c>
      <c r="B72" s="17">
        <v>10210</v>
      </c>
      <c r="C72" s="24" t="str">
        <f t="shared" si="12"/>
        <v>4,7,14</v>
      </c>
      <c r="D72" s="24" t="str">
        <f t="shared" si="13"/>
        <v>0,47,0</v>
      </c>
      <c r="E72" s="24" t="str">
        <f t="shared" si="14"/>
        <v>0,0,0</v>
      </c>
      <c r="F72" s="24" t="str">
        <f t="shared" si="15"/>
        <v>0,0,0</v>
      </c>
      <c r="G72" s="17" t="str">
        <f t="shared" si="16"/>
        <v>100,1,2</v>
      </c>
      <c r="H72" s="17" t="s">
        <v>31</v>
      </c>
      <c r="I72" s="17" t="s">
        <v>31</v>
      </c>
      <c r="K72" s="9">
        <v>4</v>
      </c>
      <c r="L72" s="9">
        <v>0</v>
      </c>
      <c r="M72" s="9">
        <v>0</v>
      </c>
      <c r="N72" s="9">
        <v>0</v>
      </c>
      <c r="O72" s="9">
        <v>100</v>
      </c>
      <c r="P72" s="9">
        <v>7</v>
      </c>
      <c r="Q72" s="9">
        <v>47</v>
      </c>
      <c r="R72" s="9">
        <v>0</v>
      </c>
      <c r="S72" s="9">
        <v>0</v>
      </c>
      <c r="T72" s="9">
        <v>1</v>
      </c>
      <c r="U72" s="9">
        <v>14</v>
      </c>
      <c r="V72" s="9">
        <v>0</v>
      </c>
      <c r="W72" s="9">
        <v>0</v>
      </c>
      <c r="X72" s="9">
        <v>0</v>
      </c>
      <c r="Y72" s="9">
        <v>2</v>
      </c>
      <c r="Z72" s="43"/>
      <c r="AA72" s="43"/>
      <c r="AB72" s="43"/>
      <c r="AC72" s="43"/>
      <c r="AD72" s="43"/>
      <c r="AE72" s="43"/>
      <c r="AF72" s="43"/>
      <c r="AG72" s="43"/>
      <c r="AH72" s="43"/>
      <c r="AI72" s="43"/>
    </row>
    <row r="73" spans="1:35" ht="13.5" customHeight="1">
      <c r="A73" s="18">
        <v>77</v>
      </c>
      <c r="B73" s="17">
        <v>10215</v>
      </c>
      <c r="C73" s="24" t="str">
        <f t="shared" si="12"/>
        <v>4,7</v>
      </c>
      <c r="D73" s="24" t="str">
        <f t="shared" si="13"/>
        <v>0,48</v>
      </c>
      <c r="E73" s="24" t="str">
        <f t="shared" si="14"/>
        <v>0,0</v>
      </c>
      <c r="F73" s="24" t="str">
        <f t="shared" si="15"/>
        <v>0,0</v>
      </c>
      <c r="G73" s="17" t="str">
        <f t="shared" si="16"/>
        <v>100,1</v>
      </c>
      <c r="H73" s="17" t="s">
        <v>31</v>
      </c>
      <c r="I73" s="17" t="s">
        <v>31</v>
      </c>
      <c r="K73" s="9">
        <v>4</v>
      </c>
      <c r="L73" s="9">
        <v>0</v>
      </c>
      <c r="M73" s="9">
        <v>0</v>
      </c>
      <c r="N73" s="9">
        <v>0</v>
      </c>
      <c r="O73" s="9">
        <v>100</v>
      </c>
      <c r="P73" s="9">
        <v>7</v>
      </c>
      <c r="Q73" s="9">
        <v>48</v>
      </c>
      <c r="R73" s="9">
        <v>0</v>
      </c>
      <c r="S73" s="9">
        <v>0</v>
      </c>
      <c r="T73" s="9">
        <v>1</v>
      </c>
      <c r="Z73" s="43"/>
      <c r="AA73" s="43"/>
      <c r="AB73" s="43"/>
      <c r="AC73" s="43"/>
      <c r="AD73" s="43"/>
      <c r="AE73" s="43"/>
      <c r="AF73" s="43"/>
      <c r="AG73" s="43"/>
      <c r="AH73" s="43"/>
      <c r="AI73" s="43"/>
    </row>
    <row r="74" spans="1:35" ht="13.5" customHeight="1">
      <c r="A74" s="18">
        <v>78</v>
      </c>
      <c r="B74" s="17">
        <v>10220</v>
      </c>
      <c r="C74" s="24" t="str">
        <f t="shared" si="12"/>
        <v>4,7,14</v>
      </c>
      <c r="D74" s="24" t="str">
        <f t="shared" si="13"/>
        <v>0,45,0</v>
      </c>
      <c r="E74" s="24" t="str">
        <f t="shared" si="14"/>
        <v>0,0,0</v>
      </c>
      <c r="F74" s="24" t="str">
        <f t="shared" si="15"/>
        <v>0,0,0</v>
      </c>
      <c r="G74" s="17" t="str">
        <f t="shared" si="16"/>
        <v>100,1,2</v>
      </c>
      <c r="H74" s="17" t="s">
        <v>31</v>
      </c>
      <c r="I74" s="17" t="s">
        <v>31</v>
      </c>
      <c r="K74" s="9">
        <v>4</v>
      </c>
      <c r="L74" s="9">
        <v>0</v>
      </c>
      <c r="M74" s="9">
        <v>0</v>
      </c>
      <c r="N74" s="9">
        <v>0</v>
      </c>
      <c r="O74" s="9">
        <v>100</v>
      </c>
      <c r="P74" s="9">
        <v>7</v>
      </c>
      <c r="Q74" s="9">
        <v>45</v>
      </c>
      <c r="R74" s="9">
        <v>0</v>
      </c>
      <c r="S74" s="9">
        <v>0</v>
      </c>
      <c r="T74" s="9">
        <v>1</v>
      </c>
      <c r="U74" s="9">
        <v>14</v>
      </c>
      <c r="V74" s="9">
        <v>0</v>
      </c>
      <c r="W74" s="9">
        <v>0</v>
      </c>
      <c r="X74" s="9">
        <v>0</v>
      </c>
      <c r="Y74" s="9">
        <v>2</v>
      </c>
      <c r="Z74" s="43"/>
      <c r="AA74" s="43"/>
      <c r="AB74" s="43"/>
      <c r="AC74" s="43"/>
      <c r="AD74" s="43"/>
      <c r="AE74" s="43"/>
      <c r="AF74" s="43"/>
      <c r="AG74" s="43"/>
      <c r="AH74" s="43"/>
      <c r="AI74" s="43"/>
    </row>
    <row r="75" spans="1:35" ht="13.5" customHeight="1">
      <c r="A75" s="18">
        <v>79</v>
      </c>
      <c r="B75" s="17">
        <v>10225</v>
      </c>
      <c r="C75" s="24" t="str">
        <f t="shared" si="12"/>
        <v>4,7</v>
      </c>
      <c r="D75" s="24" t="str">
        <f t="shared" si="13"/>
        <v>0,46</v>
      </c>
      <c r="E75" s="24" t="str">
        <f t="shared" si="14"/>
        <v>0,0</v>
      </c>
      <c r="F75" s="24" t="str">
        <f t="shared" si="15"/>
        <v>0,0</v>
      </c>
      <c r="G75" s="17" t="str">
        <f t="shared" si="16"/>
        <v>100,1</v>
      </c>
      <c r="H75" s="17" t="s">
        <v>31</v>
      </c>
      <c r="I75" s="17" t="s">
        <v>31</v>
      </c>
      <c r="K75" s="9">
        <v>4</v>
      </c>
      <c r="L75" s="9">
        <v>0</v>
      </c>
      <c r="M75" s="9">
        <v>0</v>
      </c>
      <c r="N75" s="9">
        <v>0</v>
      </c>
      <c r="O75" s="9">
        <v>100</v>
      </c>
      <c r="P75" s="9">
        <v>7</v>
      </c>
      <c r="Q75" s="9">
        <v>46</v>
      </c>
      <c r="R75" s="9">
        <v>0</v>
      </c>
      <c r="S75" s="9">
        <v>0</v>
      </c>
      <c r="T75" s="9">
        <v>1</v>
      </c>
      <c r="Z75" s="43"/>
      <c r="AA75" s="43"/>
      <c r="AB75" s="43"/>
      <c r="AC75" s="43"/>
      <c r="AD75" s="43"/>
      <c r="AE75" s="43"/>
      <c r="AF75" s="43"/>
      <c r="AG75" s="43"/>
      <c r="AH75" s="43"/>
      <c r="AI75" s="43"/>
    </row>
    <row r="76" spans="1:35" ht="13.5" customHeight="1">
      <c r="A76" s="18">
        <v>80</v>
      </c>
      <c r="B76" s="17">
        <v>10230</v>
      </c>
      <c r="C76" s="24" t="str">
        <f t="shared" si="12"/>
        <v>4,7,14</v>
      </c>
      <c r="D76" s="24" t="str">
        <f t="shared" si="13"/>
        <v>0,47,0</v>
      </c>
      <c r="E76" s="24" t="str">
        <f t="shared" si="14"/>
        <v>0,0,0</v>
      </c>
      <c r="F76" s="24" t="str">
        <f t="shared" si="15"/>
        <v>0,0,0</v>
      </c>
      <c r="G76" s="17" t="str">
        <f t="shared" si="16"/>
        <v>100,1,2</v>
      </c>
      <c r="H76" s="17" t="s">
        <v>31</v>
      </c>
      <c r="I76" s="17" t="s">
        <v>31</v>
      </c>
      <c r="K76" s="9">
        <v>4</v>
      </c>
      <c r="L76" s="9">
        <v>0</v>
      </c>
      <c r="M76" s="9">
        <v>0</v>
      </c>
      <c r="N76" s="9">
        <v>0</v>
      </c>
      <c r="O76" s="9">
        <v>100</v>
      </c>
      <c r="P76" s="9">
        <v>7</v>
      </c>
      <c r="Q76" s="9">
        <v>47</v>
      </c>
      <c r="R76" s="9">
        <v>0</v>
      </c>
      <c r="S76" s="9">
        <v>0</v>
      </c>
      <c r="T76" s="9">
        <v>1</v>
      </c>
      <c r="U76" s="9">
        <v>14</v>
      </c>
      <c r="V76" s="9">
        <v>0</v>
      </c>
      <c r="W76" s="9">
        <v>0</v>
      </c>
      <c r="X76" s="9">
        <v>0</v>
      </c>
      <c r="Y76" s="9">
        <v>2</v>
      </c>
      <c r="Z76" s="43"/>
      <c r="AA76" s="43"/>
      <c r="AB76" s="43"/>
      <c r="AC76" s="43"/>
      <c r="AD76" s="43"/>
      <c r="AE76" s="43"/>
      <c r="AF76" s="43"/>
      <c r="AG76" s="43"/>
      <c r="AH76" s="43"/>
      <c r="AI76" s="43"/>
    </row>
    <row r="77" spans="1:35" ht="13.5" customHeight="1">
      <c r="A77" s="18">
        <v>81</v>
      </c>
      <c r="B77" s="17">
        <v>10235</v>
      </c>
      <c r="C77" s="24" t="str">
        <f t="shared" si="12"/>
        <v>4,7</v>
      </c>
      <c r="D77" s="24" t="str">
        <f t="shared" si="13"/>
        <v>0,48</v>
      </c>
      <c r="E77" s="24" t="str">
        <f t="shared" si="14"/>
        <v>0,0</v>
      </c>
      <c r="F77" s="24" t="str">
        <f t="shared" si="15"/>
        <v>0,0</v>
      </c>
      <c r="G77" s="17" t="str">
        <f t="shared" si="16"/>
        <v>100,1</v>
      </c>
      <c r="H77" s="17" t="s">
        <v>31</v>
      </c>
      <c r="I77" s="17" t="s">
        <v>31</v>
      </c>
      <c r="K77" s="9">
        <v>4</v>
      </c>
      <c r="L77" s="9">
        <v>0</v>
      </c>
      <c r="M77" s="9">
        <v>0</v>
      </c>
      <c r="N77" s="9">
        <v>0</v>
      </c>
      <c r="O77" s="9">
        <v>100</v>
      </c>
      <c r="P77" s="9">
        <v>7</v>
      </c>
      <c r="Q77" s="9">
        <v>48</v>
      </c>
      <c r="R77" s="9">
        <v>0</v>
      </c>
      <c r="S77" s="9">
        <v>0</v>
      </c>
      <c r="T77" s="9">
        <v>1</v>
      </c>
      <c r="Z77" s="43"/>
      <c r="AA77" s="43"/>
      <c r="AB77" s="43"/>
      <c r="AC77" s="43"/>
      <c r="AD77" s="43"/>
      <c r="AE77" s="43"/>
      <c r="AF77" s="43"/>
      <c r="AG77" s="43"/>
      <c r="AH77" s="43"/>
      <c r="AI77" s="43"/>
    </row>
    <row r="78" spans="1:35" ht="13.5" customHeight="1">
      <c r="A78" s="18">
        <v>82</v>
      </c>
      <c r="B78" s="17">
        <v>10240</v>
      </c>
      <c r="C78" s="24" t="str">
        <f t="shared" si="12"/>
        <v>4,7,14</v>
      </c>
      <c r="D78" s="24" t="str">
        <f t="shared" si="13"/>
        <v>0,45,0</v>
      </c>
      <c r="E78" s="24" t="str">
        <f t="shared" si="14"/>
        <v>0,0,0</v>
      </c>
      <c r="F78" s="24" t="str">
        <f t="shared" si="15"/>
        <v>0,0,0</v>
      </c>
      <c r="G78" s="17" t="str">
        <f t="shared" si="16"/>
        <v>100,1,2</v>
      </c>
      <c r="H78" s="17" t="s">
        <v>31</v>
      </c>
      <c r="I78" s="17" t="s">
        <v>31</v>
      </c>
      <c r="K78" s="9">
        <v>4</v>
      </c>
      <c r="L78" s="9">
        <v>0</v>
      </c>
      <c r="M78" s="9">
        <v>0</v>
      </c>
      <c r="N78" s="9">
        <v>0</v>
      </c>
      <c r="O78" s="9">
        <v>100</v>
      </c>
      <c r="P78" s="9">
        <v>7</v>
      </c>
      <c r="Q78" s="9">
        <v>45</v>
      </c>
      <c r="R78" s="9">
        <v>0</v>
      </c>
      <c r="S78" s="9">
        <v>0</v>
      </c>
      <c r="T78" s="9">
        <v>1</v>
      </c>
      <c r="U78" s="9">
        <v>14</v>
      </c>
      <c r="V78" s="9">
        <v>0</v>
      </c>
      <c r="W78" s="9">
        <v>0</v>
      </c>
      <c r="X78" s="9">
        <v>0</v>
      </c>
      <c r="Y78" s="9">
        <v>2</v>
      </c>
      <c r="Z78" s="43"/>
      <c r="AA78" s="43"/>
      <c r="AB78" s="43"/>
      <c r="AC78" s="43"/>
      <c r="AD78" s="43"/>
      <c r="AE78" s="43"/>
      <c r="AF78" s="43"/>
      <c r="AG78" s="43"/>
      <c r="AH78" s="43"/>
      <c r="AI78" s="43"/>
    </row>
    <row r="79" spans="1:35" ht="13.5" customHeight="1">
      <c r="A79" s="18">
        <v>83</v>
      </c>
      <c r="B79" s="17">
        <v>10245</v>
      </c>
      <c r="C79" s="24" t="str">
        <f t="shared" si="12"/>
        <v>4,7</v>
      </c>
      <c r="D79" s="24" t="str">
        <f t="shared" si="13"/>
        <v>0,46</v>
      </c>
      <c r="E79" s="24" t="str">
        <f t="shared" si="14"/>
        <v>0,0</v>
      </c>
      <c r="F79" s="24" t="str">
        <f t="shared" si="15"/>
        <v>0,0</v>
      </c>
      <c r="G79" s="17" t="str">
        <f t="shared" si="16"/>
        <v>100,1</v>
      </c>
      <c r="H79" s="17" t="s">
        <v>31</v>
      </c>
      <c r="I79" s="17" t="s">
        <v>31</v>
      </c>
      <c r="K79" s="9">
        <v>4</v>
      </c>
      <c r="L79" s="9">
        <v>0</v>
      </c>
      <c r="M79" s="9">
        <v>0</v>
      </c>
      <c r="N79" s="9">
        <v>0</v>
      </c>
      <c r="O79" s="9">
        <v>100</v>
      </c>
      <c r="P79" s="9">
        <v>7</v>
      </c>
      <c r="Q79" s="9">
        <v>46</v>
      </c>
      <c r="R79" s="9">
        <v>0</v>
      </c>
      <c r="S79" s="9">
        <v>0</v>
      </c>
      <c r="T79" s="9">
        <v>1</v>
      </c>
      <c r="Z79" s="43"/>
      <c r="AA79" s="43"/>
      <c r="AB79" s="43"/>
      <c r="AC79" s="43"/>
      <c r="AD79" s="43"/>
      <c r="AE79" s="43"/>
      <c r="AF79" s="43"/>
      <c r="AG79" s="43"/>
      <c r="AH79" s="43"/>
      <c r="AI79" s="43"/>
    </row>
    <row r="80" spans="1:35" ht="13.5" customHeight="1">
      <c r="A80" s="18">
        <v>84</v>
      </c>
      <c r="B80" s="17">
        <v>10250</v>
      </c>
      <c r="C80" s="24" t="str">
        <f t="shared" si="12"/>
        <v>4,6,14</v>
      </c>
      <c r="D80" s="24" t="str">
        <f t="shared" si="13"/>
        <v>0,1,0</v>
      </c>
      <c r="E80" s="24" t="str">
        <f t="shared" si="14"/>
        <v>0,0,0</v>
      </c>
      <c r="F80" s="24" t="str">
        <f t="shared" si="15"/>
        <v>0,5,0</v>
      </c>
      <c r="G80" s="17" t="str">
        <f t="shared" si="16"/>
        <v>200,50,2</v>
      </c>
      <c r="H80" s="17" t="s">
        <v>31</v>
      </c>
      <c r="I80" s="17" t="s">
        <v>31</v>
      </c>
      <c r="K80" s="9">
        <v>4</v>
      </c>
      <c r="L80" s="9">
        <v>0</v>
      </c>
      <c r="M80" s="9">
        <v>0</v>
      </c>
      <c r="N80" s="9">
        <v>0</v>
      </c>
      <c r="O80" s="9">
        <v>200</v>
      </c>
      <c r="P80" s="9">
        <v>6</v>
      </c>
      <c r="Q80" s="9">
        <v>1</v>
      </c>
      <c r="R80" s="9">
        <v>0</v>
      </c>
      <c r="S80" s="9">
        <v>5</v>
      </c>
      <c r="T80" s="9">
        <v>50</v>
      </c>
      <c r="U80" s="9">
        <v>14</v>
      </c>
      <c r="V80" s="9">
        <v>0</v>
      </c>
      <c r="W80" s="9">
        <v>0</v>
      </c>
      <c r="X80" s="9">
        <v>0</v>
      </c>
      <c r="Y80" s="9">
        <v>2</v>
      </c>
      <c r="Z80" s="43"/>
      <c r="AA80" s="43"/>
      <c r="AB80" s="43"/>
      <c r="AC80" s="43"/>
      <c r="AD80" s="43"/>
      <c r="AE80" s="43"/>
      <c r="AF80" s="43"/>
      <c r="AG80" s="43"/>
      <c r="AH80" s="43"/>
      <c r="AI80" s="43"/>
    </row>
    <row r="81" spans="1:35" ht="13.5" customHeight="1">
      <c r="A81" s="18">
        <v>85</v>
      </c>
      <c r="B81" s="17">
        <v>10305</v>
      </c>
      <c r="C81" s="24" t="str">
        <f t="shared" si="12"/>
        <v>4,7</v>
      </c>
      <c r="D81" s="24" t="str">
        <f t="shared" si="13"/>
        <v>0,47</v>
      </c>
      <c r="E81" s="24" t="str">
        <f t="shared" si="14"/>
        <v>0,0</v>
      </c>
      <c r="F81" s="24" t="str">
        <f t="shared" si="15"/>
        <v>0,0</v>
      </c>
      <c r="G81" s="17" t="str">
        <f t="shared" si="16"/>
        <v>100,1</v>
      </c>
      <c r="H81" s="17" t="s">
        <v>31</v>
      </c>
      <c r="I81" s="17" t="s">
        <v>31</v>
      </c>
      <c r="K81" s="9">
        <v>4</v>
      </c>
      <c r="L81" s="9">
        <v>0</v>
      </c>
      <c r="M81" s="9">
        <v>0</v>
      </c>
      <c r="N81" s="9">
        <v>0</v>
      </c>
      <c r="O81" s="9">
        <v>100</v>
      </c>
      <c r="P81" s="9">
        <v>7</v>
      </c>
      <c r="Q81" s="9">
        <v>47</v>
      </c>
      <c r="R81" s="9">
        <v>0</v>
      </c>
      <c r="S81" s="9">
        <v>0</v>
      </c>
      <c r="T81" s="9">
        <v>1</v>
      </c>
      <c r="Z81" s="43"/>
      <c r="AA81" s="43"/>
      <c r="AB81" s="43"/>
      <c r="AC81" s="43"/>
      <c r="AD81" s="43"/>
      <c r="AE81" s="43"/>
      <c r="AF81" s="43"/>
      <c r="AG81" s="43"/>
      <c r="AH81" s="43"/>
      <c r="AI81" s="43"/>
    </row>
    <row r="82" spans="1:35" ht="13.5" customHeight="1">
      <c r="A82" s="18">
        <v>86</v>
      </c>
      <c r="B82" s="17">
        <v>10310</v>
      </c>
      <c r="C82" s="24" t="str">
        <f t="shared" si="12"/>
        <v>4,7,14</v>
      </c>
      <c r="D82" s="24" t="str">
        <f t="shared" si="13"/>
        <v>0,48,0</v>
      </c>
      <c r="E82" s="24" t="str">
        <f t="shared" si="14"/>
        <v>0,0,0</v>
      </c>
      <c r="F82" s="24" t="str">
        <f t="shared" si="15"/>
        <v>0,0,0</v>
      </c>
      <c r="G82" s="17" t="str">
        <f t="shared" si="16"/>
        <v>100,1,2</v>
      </c>
      <c r="H82" s="17" t="s">
        <v>31</v>
      </c>
      <c r="I82" s="17" t="s">
        <v>31</v>
      </c>
      <c r="K82" s="9">
        <v>4</v>
      </c>
      <c r="L82" s="9">
        <v>0</v>
      </c>
      <c r="M82" s="9">
        <v>0</v>
      </c>
      <c r="N82" s="9">
        <v>0</v>
      </c>
      <c r="O82" s="9">
        <v>100</v>
      </c>
      <c r="P82" s="9">
        <v>7</v>
      </c>
      <c r="Q82" s="9">
        <v>48</v>
      </c>
      <c r="R82" s="9">
        <v>0</v>
      </c>
      <c r="S82" s="9">
        <v>0</v>
      </c>
      <c r="T82" s="9">
        <v>1</v>
      </c>
      <c r="U82" s="9">
        <v>14</v>
      </c>
      <c r="V82" s="9">
        <v>0</v>
      </c>
      <c r="W82" s="9">
        <v>0</v>
      </c>
      <c r="X82" s="9">
        <v>0</v>
      </c>
      <c r="Y82" s="9">
        <v>2</v>
      </c>
      <c r="Z82" s="43"/>
      <c r="AA82" s="43"/>
      <c r="AB82" s="43"/>
      <c r="AC82" s="43"/>
      <c r="AD82" s="43"/>
      <c r="AE82" s="43"/>
      <c r="AF82" s="43"/>
      <c r="AG82" s="43"/>
      <c r="AH82" s="43"/>
      <c r="AI82" s="43"/>
    </row>
    <row r="83" spans="1:35" ht="13.5" customHeight="1">
      <c r="A83" s="18">
        <v>87</v>
      </c>
      <c r="B83" s="17">
        <v>10315</v>
      </c>
      <c r="C83" s="24" t="str">
        <f t="shared" si="12"/>
        <v>4,7</v>
      </c>
      <c r="D83" s="24" t="str">
        <f t="shared" si="13"/>
        <v>0,45</v>
      </c>
      <c r="E83" s="24" t="str">
        <f t="shared" si="14"/>
        <v>0,0</v>
      </c>
      <c r="F83" s="24" t="str">
        <f t="shared" si="15"/>
        <v>0,0</v>
      </c>
      <c r="G83" s="17" t="str">
        <f t="shared" si="16"/>
        <v>100,1</v>
      </c>
      <c r="H83" s="17" t="s">
        <v>31</v>
      </c>
      <c r="I83" s="17" t="s">
        <v>31</v>
      </c>
      <c r="K83" s="9">
        <v>4</v>
      </c>
      <c r="L83" s="9">
        <v>0</v>
      </c>
      <c r="M83" s="9">
        <v>0</v>
      </c>
      <c r="N83" s="9">
        <v>0</v>
      </c>
      <c r="O83" s="9">
        <v>100</v>
      </c>
      <c r="P83" s="9">
        <v>7</v>
      </c>
      <c r="Q83" s="9">
        <v>45</v>
      </c>
      <c r="R83" s="9">
        <v>0</v>
      </c>
      <c r="S83" s="9">
        <v>0</v>
      </c>
      <c r="T83" s="9">
        <v>1</v>
      </c>
      <c r="Z83" s="43"/>
      <c r="AA83" s="43"/>
      <c r="AB83" s="43"/>
      <c r="AC83" s="43"/>
      <c r="AD83" s="43"/>
      <c r="AE83" s="43"/>
      <c r="AF83" s="43"/>
      <c r="AG83" s="43"/>
      <c r="AH83" s="43"/>
      <c r="AI83" s="43"/>
    </row>
    <row r="84" spans="1:35" ht="13.5" customHeight="1">
      <c r="A84" s="18">
        <v>88</v>
      </c>
      <c r="B84" s="17">
        <v>10320</v>
      </c>
      <c r="C84" s="24" t="str">
        <f t="shared" si="12"/>
        <v>4,7,14</v>
      </c>
      <c r="D84" s="24" t="str">
        <f t="shared" si="13"/>
        <v>0,46,0</v>
      </c>
      <c r="E84" s="24" t="str">
        <f t="shared" si="14"/>
        <v>0,0,0</v>
      </c>
      <c r="F84" s="24" t="str">
        <f t="shared" si="15"/>
        <v>0,0,0</v>
      </c>
      <c r="G84" s="17" t="str">
        <f t="shared" si="16"/>
        <v>100,1,2</v>
      </c>
      <c r="H84" s="17" t="s">
        <v>31</v>
      </c>
      <c r="I84" s="17" t="s">
        <v>31</v>
      </c>
      <c r="K84" s="9">
        <v>4</v>
      </c>
      <c r="L84" s="9">
        <v>0</v>
      </c>
      <c r="M84" s="9">
        <v>0</v>
      </c>
      <c r="N84" s="9">
        <v>0</v>
      </c>
      <c r="O84" s="9">
        <v>100</v>
      </c>
      <c r="P84" s="9">
        <v>7</v>
      </c>
      <c r="Q84" s="9">
        <v>46</v>
      </c>
      <c r="R84" s="9">
        <v>0</v>
      </c>
      <c r="S84" s="9">
        <v>0</v>
      </c>
      <c r="T84" s="9">
        <v>1</v>
      </c>
      <c r="U84" s="9">
        <v>14</v>
      </c>
      <c r="V84" s="9">
        <v>0</v>
      </c>
      <c r="W84" s="9">
        <v>0</v>
      </c>
      <c r="X84" s="9">
        <v>0</v>
      </c>
      <c r="Y84" s="9">
        <v>2</v>
      </c>
      <c r="Z84" s="43"/>
      <c r="AA84" s="43"/>
      <c r="AB84" s="43"/>
      <c r="AC84" s="43"/>
      <c r="AD84" s="43"/>
      <c r="AE84" s="43"/>
      <c r="AF84" s="43"/>
      <c r="AG84" s="43"/>
      <c r="AH84" s="43"/>
      <c r="AI84" s="43"/>
    </row>
    <row r="85" spans="1:35" ht="13.5" customHeight="1">
      <c r="A85" s="18">
        <v>89</v>
      </c>
      <c r="B85" s="17">
        <v>10325</v>
      </c>
      <c r="C85" s="24" t="str">
        <f t="shared" si="12"/>
        <v>4,7</v>
      </c>
      <c r="D85" s="24" t="str">
        <f t="shared" si="13"/>
        <v>0,47</v>
      </c>
      <c r="E85" s="24" t="str">
        <f t="shared" si="14"/>
        <v>0,0</v>
      </c>
      <c r="F85" s="24" t="str">
        <f t="shared" si="15"/>
        <v>0,0</v>
      </c>
      <c r="G85" s="17" t="str">
        <f t="shared" si="16"/>
        <v>100,1</v>
      </c>
      <c r="H85" s="17" t="s">
        <v>31</v>
      </c>
      <c r="I85" s="17" t="s">
        <v>31</v>
      </c>
      <c r="K85" s="9">
        <v>4</v>
      </c>
      <c r="L85" s="9">
        <v>0</v>
      </c>
      <c r="M85" s="9">
        <v>0</v>
      </c>
      <c r="N85" s="9">
        <v>0</v>
      </c>
      <c r="O85" s="9">
        <v>100</v>
      </c>
      <c r="P85" s="9">
        <v>7</v>
      </c>
      <c r="Q85" s="9">
        <v>47</v>
      </c>
      <c r="R85" s="9">
        <v>0</v>
      </c>
      <c r="S85" s="9">
        <v>0</v>
      </c>
      <c r="T85" s="9">
        <v>1</v>
      </c>
      <c r="Z85" s="43"/>
      <c r="AA85" s="43"/>
      <c r="AB85" s="43"/>
      <c r="AC85" s="43"/>
      <c r="AD85" s="43"/>
      <c r="AE85" s="43"/>
      <c r="AF85" s="43"/>
      <c r="AG85" s="43"/>
      <c r="AH85" s="43"/>
      <c r="AI85" s="43"/>
    </row>
    <row r="86" spans="1:35" ht="13.5" customHeight="1">
      <c r="A86" s="18">
        <v>90</v>
      </c>
      <c r="B86" s="17">
        <v>10330</v>
      </c>
      <c r="C86" s="24" t="str">
        <f t="shared" si="12"/>
        <v>4,7,14</v>
      </c>
      <c r="D86" s="24" t="str">
        <f t="shared" si="13"/>
        <v>0,48,0</v>
      </c>
      <c r="E86" s="24" t="str">
        <f t="shared" si="14"/>
        <v>0,0,0</v>
      </c>
      <c r="F86" s="24" t="str">
        <f t="shared" si="15"/>
        <v>0,0,0</v>
      </c>
      <c r="G86" s="17" t="str">
        <f t="shared" si="16"/>
        <v>100,1,2</v>
      </c>
      <c r="H86" s="17" t="s">
        <v>31</v>
      </c>
      <c r="I86" s="17" t="s">
        <v>31</v>
      </c>
      <c r="K86" s="9">
        <v>4</v>
      </c>
      <c r="L86" s="9">
        <v>0</v>
      </c>
      <c r="M86" s="9">
        <v>0</v>
      </c>
      <c r="N86" s="9">
        <v>0</v>
      </c>
      <c r="O86" s="9">
        <v>100</v>
      </c>
      <c r="P86" s="9">
        <v>7</v>
      </c>
      <c r="Q86" s="9">
        <v>48</v>
      </c>
      <c r="R86" s="9">
        <v>0</v>
      </c>
      <c r="S86" s="9">
        <v>0</v>
      </c>
      <c r="T86" s="9">
        <v>1</v>
      </c>
      <c r="U86" s="9">
        <v>14</v>
      </c>
      <c r="V86" s="9">
        <v>0</v>
      </c>
      <c r="W86" s="9">
        <v>0</v>
      </c>
      <c r="X86" s="9">
        <v>0</v>
      </c>
      <c r="Y86" s="9">
        <v>2</v>
      </c>
      <c r="Z86" s="43"/>
      <c r="AA86" s="43"/>
      <c r="AB86" s="43"/>
      <c r="AC86" s="43"/>
      <c r="AD86" s="43"/>
      <c r="AE86" s="43"/>
      <c r="AF86" s="43"/>
      <c r="AG86" s="43"/>
      <c r="AH86" s="43"/>
      <c r="AI86" s="43"/>
    </row>
    <row r="87" spans="1:35" ht="13.5" customHeight="1">
      <c r="A87" s="18">
        <v>91</v>
      </c>
      <c r="B87" s="17">
        <v>10335</v>
      </c>
      <c r="C87" s="24" t="str">
        <f t="shared" si="12"/>
        <v>4,7</v>
      </c>
      <c r="D87" s="24" t="str">
        <f t="shared" si="13"/>
        <v>0,45</v>
      </c>
      <c r="E87" s="24" t="str">
        <f t="shared" si="14"/>
        <v>0,0</v>
      </c>
      <c r="F87" s="24" t="str">
        <f t="shared" si="15"/>
        <v>0,0</v>
      </c>
      <c r="G87" s="17" t="str">
        <f t="shared" si="16"/>
        <v>100,1</v>
      </c>
      <c r="H87" s="17" t="s">
        <v>31</v>
      </c>
      <c r="I87" s="17" t="s">
        <v>31</v>
      </c>
      <c r="K87" s="9">
        <v>4</v>
      </c>
      <c r="L87" s="9">
        <v>0</v>
      </c>
      <c r="M87" s="9">
        <v>0</v>
      </c>
      <c r="N87" s="9">
        <v>0</v>
      </c>
      <c r="O87" s="9">
        <v>100</v>
      </c>
      <c r="P87" s="9">
        <v>7</v>
      </c>
      <c r="Q87" s="9">
        <v>45</v>
      </c>
      <c r="R87" s="9">
        <v>0</v>
      </c>
      <c r="S87" s="9">
        <v>0</v>
      </c>
      <c r="T87" s="9">
        <v>1</v>
      </c>
      <c r="Z87" s="43"/>
      <c r="AA87" s="43"/>
      <c r="AB87" s="43"/>
      <c r="AC87" s="43"/>
      <c r="AD87" s="43"/>
      <c r="AE87" s="43"/>
      <c r="AF87" s="43"/>
      <c r="AG87" s="43"/>
      <c r="AH87" s="43"/>
      <c r="AI87" s="43"/>
    </row>
    <row r="88" spans="1:35" ht="13.5" customHeight="1">
      <c r="A88" s="18">
        <v>92</v>
      </c>
      <c r="B88" s="17">
        <v>10340</v>
      </c>
      <c r="C88" s="24" t="str">
        <f t="shared" si="12"/>
        <v>4,7,14</v>
      </c>
      <c r="D88" s="24" t="str">
        <f t="shared" si="13"/>
        <v>0,46,0</v>
      </c>
      <c r="E88" s="24" t="str">
        <f t="shared" si="14"/>
        <v>0,0,0</v>
      </c>
      <c r="F88" s="24" t="str">
        <f t="shared" si="15"/>
        <v>0,0,0</v>
      </c>
      <c r="G88" s="17" t="str">
        <f t="shared" si="16"/>
        <v>100,1,2</v>
      </c>
      <c r="H88" s="17" t="s">
        <v>31</v>
      </c>
      <c r="I88" s="17" t="s">
        <v>31</v>
      </c>
      <c r="K88" s="9">
        <v>4</v>
      </c>
      <c r="L88" s="9">
        <v>0</v>
      </c>
      <c r="M88" s="9">
        <v>0</v>
      </c>
      <c r="N88" s="9">
        <v>0</v>
      </c>
      <c r="O88" s="9">
        <v>100</v>
      </c>
      <c r="P88" s="9">
        <v>7</v>
      </c>
      <c r="Q88" s="9">
        <v>46</v>
      </c>
      <c r="R88" s="9">
        <v>0</v>
      </c>
      <c r="S88" s="9">
        <v>0</v>
      </c>
      <c r="T88" s="9">
        <v>1</v>
      </c>
      <c r="U88" s="9">
        <v>14</v>
      </c>
      <c r="V88" s="9">
        <v>0</v>
      </c>
      <c r="W88" s="9">
        <v>0</v>
      </c>
      <c r="X88" s="9">
        <v>0</v>
      </c>
      <c r="Y88" s="9">
        <v>2</v>
      </c>
      <c r="Z88" s="43"/>
      <c r="AA88" s="43"/>
      <c r="AB88" s="43"/>
      <c r="AC88" s="43"/>
      <c r="AD88" s="43"/>
      <c r="AE88" s="43"/>
      <c r="AF88" s="43"/>
      <c r="AG88" s="43"/>
      <c r="AH88" s="43"/>
      <c r="AI88" s="43"/>
    </row>
    <row r="89" spans="1:35" ht="13.5" customHeight="1">
      <c r="A89" s="18">
        <v>93</v>
      </c>
      <c r="B89" s="17">
        <v>10345</v>
      </c>
      <c r="C89" s="24" t="str">
        <f t="shared" si="12"/>
        <v>4,7</v>
      </c>
      <c r="D89" s="24" t="str">
        <f t="shared" si="13"/>
        <v>0,47</v>
      </c>
      <c r="E89" s="24" t="str">
        <f t="shared" si="14"/>
        <v>0,0</v>
      </c>
      <c r="F89" s="24" t="str">
        <f t="shared" si="15"/>
        <v>0,0</v>
      </c>
      <c r="G89" s="17" t="str">
        <f t="shared" si="16"/>
        <v>100,1</v>
      </c>
      <c r="H89" s="17" t="s">
        <v>31</v>
      </c>
      <c r="I89" s="17" t="s">
        <v>31</v>
      </c>
      <c r="K89" s="9">
        <v>4</v>
      </c>
      <c r="L89" s="9">
        <v>0</v>
      </c>
      <c r="M89" s="9">
        <v>0</v>
      </c>
      <c r="N89" s="9">
        <v>0</v>
      </c>
      <c r="O89" s="9">
        <v>100</v>
      </c>
      <c r="P89" s="9">
        <v>7</v>
      </c>
      <c r="Q89" s="9">
        <v>47</v>
      </c>
      <c r="R89" s="9">
        <v>0</v>
      </c>
      <c r="S89" s="9">
        <v>0</v>
      </c>
      <c r="T89" s="9">
        <v>1</v>
      </c>
      <c r="Z89" s="43"/>
      <c r="AA89" s="43"/>
      <c r="AB89" s="43"/>
      <c r="AC89" s="43"/>
      <c r="AD89" s="43"/>
      <c r="AE89" s="43"/>
      <c r="AF89" s="43"/>
      <c r="AG89" s="43"/>
      <c r="AH89" s="43"/>
      <c r="AI89" s="43"/>
    </row>
    <row r="90" spans="1:35" ht="13.5" customHeight="1">
      <c r="A90" s="18">
        <v>94</v>
      </c>
      <c r="B90" s="17">
        <v>10350</v>
      </c>
      <c r="C90" s="24" t="str">
        <f t="shared" si="12"/>
        <v>4,6,14</v>
      </c>
      <c r="D90" s="24" t="str">
        <f t="shared" si="13"/>
        <v>0,1,0</v>
      </c>
      <c r="E90" s="24" t="str">
        <f t="shared" si="14"/>
        <v>0,0,0</v>
      </c>
      <c r="F90" s="24" t="str">
        <f t="shared" si="15"/>
        <v>0,5,0</v>
      </c>
      <c r="G90" s="17" t="str">
        <f t="shared" si="16"/>
        <v>200,50,2</v>
      </c>
      <c r="H90" s="17" t="s">
        <v>31</v>
      </c>
      <c r="I90" s="17" t="s">
        <v>31</v>
      </c>
      <c r="K90" s="9">
        <v>4</v>
      </c>
      <c r="L90" s="9">
        <v>0</v>
      </c>
      <c r="M90" s="9">
        <v>0</v>
      </c>
      <c r="N90" s="9">
        <v>0</v>
      </c>
      <c r="O90" s="9">
        <v>200</v>
      </c>
      <c r="P90" s="9">
        <v>6</v>
      </c>
      <c r="Q90" s="9">
        <v>1</v>
      </c>
      <c r="R90" s="9">
        <v>0</v>
      </c>
      <c r="S90" s="9">
        <v>5</v>
      </c>
      <c r="T90" s="9">
        <v>50</v>
      </c>
      <c r="U90" s="9">
        <v>14</v>
      </c>
      <c r="V90" s="9">
        <v>0</v>
      </c>
      <c r="W90" s="9">
        <v>0</v>
      </c>
      <c r="X90" s="9">
        <v>0</v>
      </c>
      <c r="Y90" s="9">
        <v>2</v>
      </c>
      <c r="Z90" s="43"/>
      <c r="AA90" s="43"/>
      <c r="AB90" s="43"/>
      <c r="AC90" s="43"/>
      <c r="AD90" s="43"/>
      <c r="AE90" s="43"/>
      <c r="AF90" s="43"/>
      <c r="AG90" s="43"/>
      <c r="AH90" s="43"/>
      <c r="AI90" s="43"/>
    </row>
    <row r="91" spans="1:35" ht="13.5" customHeight="1">
      <c r="A91" s="18">
        <v>95</v>
      </c>
      <c r="B91" s="17">
        <v>10405</v>
      </c>
      <c r="C91" s="24" t="str">
        <f t="shared" si="12"/>
        <v>4,7</v>
      </c>
      <c r="D91" s="24" t="str">
        <f t="shared" si="13"/>
        <v>0,48</v>
      </c>
      <c r="E91" s="24" t="str">
        <f t="shared" si="14"/>
        <v>0,0</v>
      </c>
      <c r="F91" s="24" t="str">
        <f t="shared" si="15"/>
        <v>0,0</v>
      </c>
      <c r="G91" s="17" t="str">
        <f t="shared" si="16"/>
        <v>100,1</v>
      </c>
      <c r="H91" s="17" t="s">
        <v>31</v>
      </c>
      <c r="I91" s="17" t="s">
        <v>31</v>
      </c>
      <c r="J91" s="40"/>
      <c r="K91" s="9">
        <v>4</v>
      </c>
      <c r="L91" s="9">
        <v>0</v>
      </c>
      <c r="M91" s="9">
        <v>0</v>
      </c>
      <c r="N91" s="9">
        <v>0</v>
      </c>
      <c r="O91" s="9">
        <v>100</v>
      </c>
      <c r="P91" s="9">
        <v>7</v>
      </c>
      <c r="Q91" s="9">
        <v>48</v>
      </c>
      <c r="R91" s="9">
        <v>0</v>
      </c>
      <c r="S91" s="9">
        <v>0</v>
      </c>
      <c r="T91" s="9">
        <v>1</v>
      </c>
      <c r="Z91" s="43"/>
      <c r="AA91" s="43"/>
      <c r="AB91" s="43"/>
      <c r="AC91" s="43"/>
      <c r="AD91" s="43"/>
      <c r="AE91" s="43"/>
      <c r="AF91" s="43"/>
      <c r="AG91" s="43"/>
      <c r="AH91" s="43"/>
      <c r="AI91" s="43"/>
    </row>
    <row r="92" spans="1:35" ht="13.5" customHeight="1">
      <c r="A92" s="18">
        <v>96</v>
      </c>
      <c r="B92" s="17">
        <v>10410</v>
      </c>
      <c r="C92" s="24" t="str">
        <f t="shared" si="12"/>
        <v>4,7,14</v>
      </c>
      <c r="D92" s="24" t="str">
        <f t="shared" si="13"/>
        <v>0,45,0</v>
      </c>
      <c r="E92" s="24" t="str">
        <f t="shared" si="14"/>
        <v>0,0,0</v>
      </c>
      <c r="F92" s="24" t="str">
        <f t="shared" si="15"/>
        <v>0,0,0</v>
      </c>
      <c r="G92" s="17" t="str">
        <f t="shared" si="16"/>
        <v>100,1,2</v>
      </c>
      <c r="H92" s="17" t="s">
        <v>31</v>
      </c>
      <c r="I92" s="17" t="s">
        <v>31</v>
      </c>
      <c r="K92" s="9">
        <v>4</v>
      </c>
      <c r="L92" s="9">
        <v>0</v>
      </c>
      <c r="M92" s="9">
        <v>0</v>
      </c>
      <c r="N92" s="9">
        <v>0</v>
      </c>
      <c r="O92" s="9">
        <v>100</v>
      </c>
      <c r="P92" s="9">
        <v>7</v>
      </c>
      <c r="Q92" s="9">
        <v>45</v>
      </c>
      <c r="R92" s="9">
        <v>0</v>
      </c>
      <c r="S92" s="9">
        <v>0</v>
      </c>
      <c r="T92" s="9">
        <v>1</v>
      </c>
      <c r="U92" s="9">
        <v>14</v>
      </c>
      <c r="V92" s="9">
        <v>0</v>
      </c>
      <c r="W92" s="9">
        <v>0</v>
      </c>
      <c r="X92" s="9">
        <v>0</v>
      </c>
      <c r="Y92" s="9">
        <v>2</v>
      </c>
      <c r="Z92" s="43"/>
      <c r="AA92" s="43"/>
      <c r="AB92" s="43"/>
      <c r="AC92" s="43"/>
      <c r="AD92" s="43"/>
      <c r="AE92" s="43"/>
      <c r="AF92" s="43"/>
      <c r="AG92" s="43"/>
      <c r="AH92" s="43"/>
      <c r="AI92" s="43"/>
    </row>
    <row r="93" spans="1:35" ht="13.5" customHeight="1">
      <c r="A93" s="18">
        <v>97</v>
      </c>
      <c r="B93" s="17">
        <v>10415</v>
      </c>
      <c r="C93" s="24" t="str">
        <f t="shared" si="12"/>
        <v>4,7</v>
      </c>
      <c r="D93" s="24" t="str">
        <f t="shared" si="13"/>
        <v>0,46</v>
      </c>
      <c r="E93" s="24" t="str">
        <f t="shared" si="14"/>
        <v>0,0</v>
      </c>
      <c r="F93" s="24" t="str">
        <f t="shared" si="15"/>
        <v>0,0</v>
      </c>
      <c r="G93" s="17" t="str">
        <f t="shared" si="16"/>
        <v>100,1</v>
      </c>
      <c r="H93" s="17" t="s">
        <v>31</v>
      </c>
      <c r="I93" s="17" t="s">
        <v>31</v>
      </c>
      <c r="K93" s="9">
        <v>4</v>
      </c>
      <c r="L93" s="9">
        <v>0</v>
      </c>
      <c r="M93" s="9">
        <v>0</v>
      </c>
      <c r="N93" s="9">
        <v>0</v>
      </c>
      <c r="O93" s="9">
        <v>100</v>
      </c>
      <c r="P93" s="9">
        <v>7</v>
      </c>
      <c r="Q93" s="9">
        <v>46</v>
      </c>
      <c r="R93" s="9">
        <v>0</v>
      </c>
      <c r="S93" s="9">
        <v>0</v>
      </c>
      <c r="T93" s="9">
        <v>1</v>
      </c>
      <c r="Z93" s="43"/>
      <c r="AA93" s="43"/>
      <c r="AB93" s="43"/>
      <c r="AC93" s="43"/>
      <c r="AD93" s="43"/>
      <c r="AE93" s="43"/>
      <c r="AF93" s="43"/>
      <c r="AG93" s="43"/>
      <c r="AH93" s="43"/>
      <c r="AI93" s="43"/>
    </row>
    <row r="94" spans="1:35" ht="13.5" customHeight="1">
      <c r="A94" s="18">
        <v>98</v>
      </c>
      <c r="B94" s="17">
        <v>10420</v>
      </c>
      <c r="C94" s="24" t="str">
        <f t="shared" si="12"/>
        <v>4,7,14</v>
      </c>
      <c r="D94" s="24" t="str">
        <f t="shared" si="13"/>
        <v>0,47,0</v>
      </c>
      <c r="E94" s="24" t="str">
        <f t="shared" si="14"/>
        <v>0,0,0</v>
      </c>
      <c r="F94" s="24" t="str">
        <f t="shared" si="15"/>
        <v>0,0,0</v>
      </c>
      <c r="G94" s="17" t="str">
        <f t="shared" si="16"/>
        <v>100,1,2</v>
      </c>
      <c r="H94" s="17" t="s">
        <v>31</v>
      </c>
      <c r="I94" s="17" t="s">
        <v>31</v>
      </c>
      <c r="K94" s="9">
        <v>4</v>
      </c>
      <c r="L94" s="9">
        <v>0</v>
      </c>
      <c r="M94" s="9">
        <v>0</v>
      </c>
      <c r="N94" s="9">
        <v>0</v>
      </c>
      <c r="O94" s="9">
        <v>100</v>
      </c>
      <c r="P94" s="9">
        <v>7</v>
      </c>
      <c r="Q94" s="9">
        <v>47</v>
      </c>
      <c r="R94" s="9">
        <v>0</v>
      </c>
      <c r="S94" s="9">
        <v>0</v>
      </c>
      <c r="T94" s="9">
        <v>1</v>
      </c>
      <c r="U94" s="9">
        <v>14</v>
      </c>
      <c r="V94" s="9">
        <v>0</v>
      </c>
      <c r="W94" s="9">
        <v>0</v>
      </c>
      <c r="X94" s="9">
        <v>0</v>
      </c>
      <c r="Y94" s="9">
        <v>2</v>
      </c>
      <c r="Z94" s="43"/>
      <c r="AA94" s="43"/>
      <c r="AB94" s="43"/>
      <c r="AC94" s="43"/>
      <c r="AD94" s="43"/>
      <c r="AE94" s="43"/>
      <c r="AF94" s="43"/>
      <c r="AG94" s="43"/>
      <c r="AH94" s="43"/>
      <c r="AI94" s="43"/>
    </row>
    <row r="95" spans="1:35" ht="13.5" customHeight="1">
      <c r="A95" s="18">
        <v>99</v>
      </c>
      <c r="B95" s="17">
        <v>10425</v>
      </c>
      <c r="C95" s="24" t="str">
        <f t="shared" si="12"/>
        <v>4,7</v>
      </c>
      <c r="D95" s="24" t="str">
        <f t="shared" si="13"/>
        <v>0,48</v>
      </c>
      <c r="E95" s="24" t="str">
        <f t="shared" si="14"/>
        <v>0,0</v>
      </c>
      <c r="F95" s="24" t="str">
        <f t="shared" si="15"/>
        <v>0,0</v>
      </c>
      <c r="G95" s="17" t="str">
        <f t="shared" si="16"/>
        <v>100,1</v>
      </c>
      <c r="H95" s="17" t="s">
        <v>31</v>
      </c>
      <c r="I95" s="17" t="s">
        <v>31</v>
      </c>
      <c r="K95" s="9">
        <v>4</v>
      </c>
      <c r="L95" s="9">
        <v>0</v>
      </c>
      <c r="M95" s="9">
        <v>0</v>
      </c>
      <c r="N95" s="9">
        <v>0</v>
      </c>
      <c r="O95" s="9">
        <v>100</v>
      </c>
      <c r="P95" s="9">
        <v>7</v>
      </c>
      <c r="Q95" s="9">
        <v>48</v>
      </c>
      <c r="R95" s="9">
        <v>0</v>
      </c>
      <c r="S95" s="9">
        <v>0</v>
      </c>
      <c r="T95" s="9">
        <v>1</v>
      </c>
      <c r="Z95" s="43"/>
      <c r="AA95" s="43"/>
      <c r="AB95" s="43"/>
      <c r="AC95" s="43"/>
      <c r="AD95" s="43"/>
      <c r="AE95" s="43"/>
      <c r="AF95" s="43"/>
      <c r="AG95" s="43"/>
      <c r="AH95" s="43"/>
      <c r="AI95" s="43"/>
    </row>
    <row r="96" spans="1:35" ht="13.5" customHeight="1">
      <c r="A96" s="18">
        <v>100</v>
      </c>
      <c r="B96" s="17">
        <v>10430</v>
      </c>
      <c r="C96" s="24" t="str">
        <f t="shared" si="12"/>
        <v>4,7,14</v>
      </c>
      <c r="D96" s="24" t="str">
        <f t="shared" si="13"/>
        <v>0,45,0</v>
      </c>
      <c r="E96" s="24" t="str">
        <f t="shared" si="14"/>
        <v>0,0,0</v>
      </c>
      <c r="F96" s="24" t="str">
        <f t="shared" si="15"/>
        <v>0,0,0</v>
      </c>
      <c r="G96" s="17" t="str">
        <f t="shared" si="16"/>
        <v>100,1,2</v>
      </c>
      <c r="H96" s="17" t="s">
        <v>31</v>
      </c>
      <c r="I96" s="17" t="s">
        <v>31</v>
      </c>
      <c r="K96" s="9">
        <v>4</v>
      </c>
      <c r="L96" s="9">
        <v>0</v>
      </c>
      <c r="M96" s="9">
        <v>0</v>
      </c>
      <c r="N96" s="9">
        <v>0</v>
      </c>
      <c r="O96" s="9">
        <v>100</v>
      </c>
      <c r="P96" s="9">
        <v>7</v>
      </c>
      <c r="Q96" s="9">
        <v>45</v>
      </c>
      <c r="R96" s="9">
        <v>0</v>
      </c>
      <c r="S96" s="9">
        <v>0</v>
      </c>
      <c r="T96" s="9">
        <v>1</v>
      </c>
      <c r="U96" s="9">
        <v>14</v>
      </c>
      <c r="V96" s="9">
        <v>0</v>
      </c>
      <c r="W96" s="9">
        <v>0</v>
      </c>
      <c r="X96" s="9">
        <v>0</v>
      </c>
      <c r="Y96" s="9">
        <v>2</v>
      </c>
      <c r="Z96" s="43"/>
      <c r="AA96" s="43"/>
      <c r="AB96" s="43"/>
      <c r="AC96" s="43"/>
      <c r="AD96" s="43"/>
      <c r="AE96" s="43"/>
      <c r="AF96" s="43"/>
      <c r="AG96" s="43"/>
      <c r="AH96" s="43"/>
      <c r="AI96" s="43"/>
    </row>
    <row r="97" spans="1:35" ht="13.5" customHeight="1">
      <c r="A97" s="18">
        <v>101</v>
      </c>
      <c r="B97" s="17">
        <v>10435</v>
      </c>
      <c r="C97" s="24" t="str">
        <f t="shared" si="12"/>
        <v>4,7</v>
      </c>
      <c r="D97" s="24" t="str">
        <f t="shared" si="13"/>
        <v>0,46</v>
      </c>
      <c r="E97" s="24" t="str">
        <f t="shared" si="14"/>
        <v>0,0</v>
      </c>
      <c r="F97" s="24" t="str">
        <f t="shared" si="15"/>
        <v>0,0</v>
      </c>
      <c r="G97" s="17" t="str">
        <f t="shared" si="16"/>
        <v>100,1</v>
      </c>
      <c r="H97" s="17" t="s">
        <v>31</v>
      </c>
      <c r="I97" s="17" t="s">
        <v>31</v>
      </c>
      <c r="K97" s="9">
        <v>4</v>
      </c>
      <c r="L97" s="9">
        <v>0</v>
      </c>
      <c r="M97" s="9">
        <v>0</v>
      </c>
      <c r="N97" s="9">
        <v>0</v>
      </c>
      <c r="O97" s="9">
        <v>100</v>
      </c>
      <c r="P97" s="9">
        <v>7</v>
      </c>
      <c r="Q97" s="9">
        <v>46</v>
      </c>
      <c r="R97" s="9">
        <v>0</v>
      </c>
      <c r="S97" s="9">
        <v>0</v>
      </c>
      <c r="T97" s="9">
        <v>1</v>
      </c>
      <c r="Z97" s="43"/>
      <c r="AA97" s="43"/>
      <c r="AB97" s="43"/>
      <c r="AC97" s="43"/>
      <c r="AD97" s="43"/>
      <c r="AE97" s="43"/>
      <c r="AF97" s="43"/>
      <c r="AG97" s="43"/>
      <c r="AH97" s="43"/>
      <c r="AI97" s="43"/>
    </row>
    <row r="98" spans="1:35" ht="13.5" customHeight="1">
      <c r="A98" s="18">
        <v>102</v>
      </c>
      <c r="B98" s="17">
        <v>10440</v>
      </c>
      <c r="C98" s="24" t="str">
        <f t="shared" si="12"/>
        <v>4,7,14</v>
      </c>
      <c r="D98" s="24" t="str">
        <f t="shared" si="13"/>
        <v>0,47,0</v>
      </c>
      <c r="E98" s="24" t="str">
        <f t="shared" si="14"/>
        <v>0,0,0</v>
      </c>
      <c r="F98" s="24" t="str">
        <f t="shared" si="15"/>
        <v>0,0,0</v>
      </c>
      <c r="G98" s="17" t="str">
        <f t="shared" si="16"/>
        <v>100,1,2</v>
      </c>
      <c r="H98" s="17" t="s">
        <v>31</v>
      </c>
      <c r="I98" s="17" t="s">
        <v>31</v>
      </c>
      <c r="K98" s="9">
        <v>4</v>
      </c>
      <c r="L98" s="9">
        <v>0</v>
      </c>
      <c r="M98" s="9">
        <v>0</v>
      </c>
      <c r="N98" s="9">
        <v>0</v>
      </c>
      <c r="O98" s="9">
        <v>100</v>
      </c>
      <c r="P98" s="9">
        <v>7</v>
      </c>
      <c r="Q98" s="9">
        <v>47</v>
      </c>
      <c r="R98" s="9">
        <v>0</v>
      </c>
      <c r="S98" s="9">
        <v>0</v>
      </c>
      <c r="T98" s="9">
        <v>1</v>
      </c>
      <c r="U98" s="9">
        <v>14</v>
      </c>
      <c r="V98" s="9">
        <v>0</v>
      </c>
      <c r="W98" s="9">
        <v>0</v>
      </c>
      <c r="X98" s="9">
        <v>0</v>
      </c>
      <c r="Y98" s="9">
        <v>2</v>
      </c>
      <c r="Z98" s="43"/>
      <c r="AA98" s="43"/>
      <c r="AB98" s="43"/>
      <c r="AC98" s="43"/>
      <c r="AD98" s="43"/>
      <c r="AE98" s="43"/>
      <c r="AF98" s="43"/>
      <c r="AG98" s="43"/>
      <c r="AH98" s="43"/>
      <c r="AI98" s="43"/>
    </row>
    <row r="99" spans="1:35" ht="13.5" customHeight="1">
      <c r="A99" s="18">
        <v>103</v>
      </c>
      <c r="B99" s="17">
        <v>10445</v>
      </c>
      <c r="C99" s="24" t="str">
        <f t="shared" si="12"/>
        <v>4,7</v>
      </c>
      <c r="D99" s="24" t="str">
        <f t="shared" si="13"/>
        <v>0,48</v>
      </c>
      <c r="E99" s="24" t="str">
        <f t="shared" si="14"/>
        <v>0,0</v>
      </c>
      <c r="F99" s="24" t="str">
        <f t="shared" si="15"/>
        <v>0,0</v>
      </c>
      <c r="G99" s="17" t="str">
        <f t="shared" si="16"/>
        <v>100,1</v>
      </c>
      <c r="H99" s="17" t="s">
        <v>31</v>
      </c>
      <c r="I99" s="17" t="s">
        <v>31</v>
      </c>
      <c r="K99" s="9">
        <v>4</v>
      </c>
      <c r="L99" s="9">
        <v>0</v>
      </c>
      <c r="M99" s="9">
        <v>0</v>
      </c>
      <c r="N99" s="9">
        <v>0</v>
      </c>
      <c r="O99" s="9">
        <v>100</v>
      </c>
      <c r="P99" s="9">
        <v>7</v>
      </c>
      <c r="Q99" s="9">
        <v>48</v>
      </c>
      <c r="R99" s="9">
        <v>0</v>
      </c>
      <c r="S99" s="9">
        <v>0</v>
      </c>
      <c r="T99" s="9">
        <v>1</v>
      </c>
      <c r="Z99" s="43"/>
      <c r="AA99" s="43"/>
      <c r="AB99" s="43"/>
      <c r="AC99" s="43"/>
      <c r="AD99" s="43"/>
      <c r="AE99" s="43"/>
      <c r="AF99" s="43"/>
      <c r="AG99" s="43"/>
      <c r="AH99" s="43"/>
      <c r="AI99" s="43"/>
    </row>
    <row r="100" spans="1:35" ht="13.5" customHeight="1">
      <c r="A100" s="18">
        <v>104</v>
      </c>
      <c r="B100" s="17">
        <v>10450</v>
      </c>
      <c r="C100" s="24" t="str">
        <f t="shared" si="12"/>
        <v>4,6,14</v>
      </c>
      <c r="D100" s="24" t="str">
        <f t="shared" si="13"/>
        <v>0,1,0</v>
      </c>
      <c r="E100" s="24" t="str">
        <f t="shared" si="14"/>
        <v>0,0,0</v>
      </c>
      <c r="F100" s="24" t="str">
        <f t="shared" si="15"/>
        <v>0,5,0</v>
      </c>
      <c r="G100" s="17" t="str">
        <f t="shared" si="16"/>
        <v>200,50,2</v>
      </c>
      <c r="H100" s="17" t="s">
        <v>31</v>
      </c>
      <c r="I100" s="17" t="s">
        <v>31</v>
      </c>
      <c r="K100" s="9">
        <v>4</v>
      </c>
      <c r="L100" s="9">
        <v>0</v>
      </c>
      <c r="M100" s="9">
        <v>0</v>
      </c>
      <c r="N100" s="9">
        <v>0</v>
      </c>
      <c r="O100" s="9">
        <v>200</v>
      </c>
      <c r="P100" s="9">
        <v>6</v>
      </c>
      <c r="Q100" s="9">
        <v>1</v>
      </c>
      <c r="R100" s="9">
        <v>0</v>
      </c>
      <c r="S100" s="9">
        <v>5</v>
      </c>
      <c r="T100" s="9">
        <v>50</v>
      </c>
      <c r="U100" s="9">
        <v>14</v>
      </c>
      <c r="V100" s="9">
        <v>0</v>
      </c>
      <c r="W100" s="9">
        <v>0</v>
      </c>
      <c r="X100" s="9">
        <v>0</v>
      </c>
      <c r="Y100" s="9">
        <v>2</v>
      </c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</row>
    <row r="101" spans="1:35" ht="13.5" customHeight="1">
      <c r="A101" s="18">
        <v>105</v>
      </c>
      <c r="B101" s="17">
        <v>10505</v>
      </c>
      <c r="C101" s="24" t="str">
        <f t="shared" si="12"/>
        <v>4,7</v>
      </c>
      <c r="D101" s="24" t="str">
        <f t="shared" si="13"/>
        <v>0,45</v>
      </c>
      <c r="E101" s="24" t="str">
        <f t="shared" si="14"/>
        <v>0,0</v>
      </c>
      <c r="F101" s="24" t="str">
        <f t="shared" si="15"/>
        <v>0,0</v>
      </c>
      <c r="G101" s="17" t="str">
        <f t="shared" si="16"/>
        <v>100,1</v>
      </c>
      <c r="H101" s="17" t="s">
        <v>31</v>
      </c>
      <c r="I101" s="17" t="s">
        <v>31</v>
      </c>
      <c r="J101" s="40"/>
      <c r="K101" s="9">
        <v>4</v>
      </c>
      <c r="L101" s="9">
        <v>0</v>
      </c>
      <c r="M101" s="9">
        <v>0</v>
      </c>
      <c r="N101" s="9">
        <v>0</v>
      </c>
      <c r="O101" s="9">
        <v>100</v>
      </c>
      <c r="P101" s="9">
        <v>7</v>
      </c>
      <c r="Q101" s="9">
        <v>45</v>
      </c>
      <c r="R101" s="9">
        <v>0</v>
      </c>
      <c r="S101" s="9">
        <v>0</v>
      </c>
      <c r="T101" s="9">
        <v>1</v>
      </c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</row>
    <row r="102" spans="1:35" ht="13.5" customHeight="1">
      <c r="A102" s="18">
        <v>106</v>
      </c>
      <c r="B102" s="17">
        <v>10510</v>
      </c>
      <c r="C102" s="24" t="str">
        <f t="shared" si="12"/>
        <v>4,7,14</v>
      </c>
      <c r="D102" s="24" t="str">
        <f t="shared" si="13"/>
        <v>0,46,0</v>
      </c>
      <c r="E102" s="24" t="str">
        <f t="shared" si="14"/>
        <v>0,0,0</v>
      </c>
      <c r="F102" s="24" t="str">
        <f t="shared" si="15"/>
        <v>0,0,0</v>
      </c>
      <c r="G102" s="17" t="str">
        <f t="shared" si="16"/>
        <v>100,1,2</v>
      </c>
      <c r="H102" s="17" t="s">
        <v>31</v>
      </c>
      <c r="I102" s="17" t="s">
        <v>31</v>
      </c>
      <c r="K102" s="9">
        <v>4</v>
      </c>
      <c r="L102" s="9">
        <v>0</v>
      </c>
      <c r="M102" s="9">
        <v>0</v>
      </c>
      <c r="N102" s="9">
        <v>0</v>
      </c>
      <c r="O102" s="9">
        <v>100</v>
      </c>
      <c r="P102" s="9">
        <v>7</v>
      </c>
      <c r="Q102" s="9">
        <v>46</v>
      </c>
      <c r="R102" s="9">
        <v>0</v>
      </c>
      <c r="S102" s="9">
        <v>0</v>
      </c>
      <c r="T102" s="9">
        <v>1</v>
      </c>
      <c r="U102" s="9">
        <v>14</v>
      </c>
      <c r="V102" s="9">
        <v>0</v>
      </c>
      <c r="W102" s="9">
        <v>0</v>
      </c>
      <c r="X102" s="9">
        <v>0</v>
      </c>
      <c r="Y102" s="9">
        <v>2</v>
      </c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</row>
    <row r="103" spans="1:35" ht="13.5" customHeight="1">
      <c r="A103" s="18">
        <v>107</v>
      </c>
      <c r="B103" s="17">
        <v>10515</v>
      </c>
      <c r="C103" s="24" t="str">
        <f t="shared" si="12"/>
        <v>4,7</v>
      </c>
      <c r="D103" s="24" t="str">
        <f t="shared" si="13"/>
        <v>0,47</v>
      </c>
      <c r="E103" s="24" t="str">
        <f t="shared" si="14"/>
        <v>0,0</v>
      </c>
      <c r="F103" s="24" t="str">
        <f t="shared" si="15"/>
        <v>0,0</v>
      </c>
      <c r="G103" s="17" t="str">
        <f t="shared" si="16"/>
        <v>100,1</v>
      </c>
      <c r="H103" s="17" t="s">
        <v>31</v>
      </c>
      <c r="I103" s="17" t="s">
        <v>31</v>
      </c>
      <c r="K103" s="9">
        <v>4</v>
      </c>
      <c r="L103" s="9">
        <v>0</v>
      </c>
      <c r="M103" s="9">
        <v>0</v>
      </c>
      <c r="N103" s="9">
        <v>0</v>
      </c>
      <c r="O103" s="9">
        <v>100</v>
      </c>
      <c r="P103" s="9">
        <v>7</v>
      </c>
      <c r="Q103" s="9">
        <v>47</v>
      </c>
      <c r="R103" s="9">
        <v>0</v>
      </c>
      <c r="S103" s="9">
        <v>0</v>
      </c>
      <c r="T103" s="9">
        <v>1</v>
      </c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</row>
    <row r="104" spans="1:35" ht="13.5" customHeight="1">
      <c r="A104" s="18">
        <v>108</v>
      </c>
      <c r="B104" s="17">
        <v>10520</v>
      </c>
      <c r="C104" s="24" t="str">
        <f t="shared" si="12"/>
        <v>4,7,14</v>
      </c>
      <c r="D104" s="24" t="str">
        <f t="shared" si="13"/>
        <v>0,48,0</v>
      </c>
      <c r="E104" s="24" t="str">
        <f t="shared" si="14"/>
        <v>0,0,0</v>
      </c>
      <c r="F104" s="24" t="str">
        <f t="shared" si="15"/>
        <v>0,0,0</v>
      </c>
      <c r="G104" s="17" t="str">
        <f t="shared" si="16"/>
        <v>100,1,2</v>
      </c>
      <c r="H104" s="17" t="s">
        <v>31</v>
      </c>
      <c r="I104" s="17" t="s">
        <v>31</v>
      </c>
      <c r="K104" s="9">
        <v>4</v>
      </c>
      <c r="L104" s="9">
        <v>0</v>
      </c>
      <c r="M104" s="9">
        <v>0</v>
      </c>
      <c r="N104" s="9">
        <v>0</v>
      </c>
      <c r="O104" s="9">
        <v>100</v>
      </c>
      <c r="P104" s="9">
        <v>7</v>
      </c>
      <c r="Q104" s="9">
        <v>48</v>
      </c>
      <c r="R104" s="9">
        <v>0</v>
      </c>
      <c r="S104" s="9">
        <v>0</v>
      </c>
      <c r="T104" s="9">
        <v>1</v>
      </c>
      <c r="U104" s="9">
        <v>14</v>
      </c>
      <c r="V104" s="9">
        <v>0</v>
      </c>
      <c r="W104" s="9">
        <v>0</v>
      </c>
      <c r="X104" s="9">
        <v>0</v>
      </c>
      <c r="Y104" s="9">
        <v>2</v>
      </c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</row>
    <row r="105" spans="1:35" ht="13.5" customHeight="1">
      <c r="A105" s="18">
        <v>109</v>
      </c>
      <c r="B105" s="17">
        <v>10525</v>
      </c>
      <c r="C105" s="24" t="str">
        <f t="shared" si="12"/>
        <v>4,7</v>
      </c>
      <c r="D105" s="24" t="str">
        <f t="shared" si="13"/>
        <v>0,45</v>
      </c>
      <c r="E105" s="24" t="str">
        <f t="shared" si="14"/>
        <v>0,0</v>
      </c>
      <c r="F105" s="24" t="str">
        <f t="shared" si="15"/>
        <v>0,0</v>
      </c>
      <c r="G105" s="17" t="str">
        <f t="shared" si="16"/>
        <v>100,1</v>
      </c>
      <c r="H105" s="17" t="s">
        <v>31</v>
      </c>
      <c r="I105" s="17" t="s">
        <v>31</v>
      </c>
      <c r="K105" s="9">
        <v>4</v>
      </c>
      <c r="L105" s="9">
        <v>0</v>
      </c>
      <c r="M105" s="9">
        <v>0</v>
      </c>
      <c r="N105" s="9">
        <v>0</v>
      </c>
      <c r="O105" s="9">
        <v>100</v>
      </c>
      <c r="P105" s="9">
        <v>7</v>
      </c>
      <c r="Q105" s="9">
        <v>45</v>
      </c>
      <c r="R105" s="9">
        <v>0</v>
      </c>
      <c r="S105" s="9">
        <v>0</v>
      </c>
      <c r="T105" s="9">
        <v>1</v>
      </c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</row>
    <row r="106" spans="1:35" ht="13.5" customHeight="1">
      <c r="A106" s="18">
        <v>110</v>
      </c>
      <c r="B106" s="17">
        <v>10530</v>
      </c>
      <c r="C106" s="24" t="str">
        <f t="shared" si="12"/>
        <v>4,7,14</v>
      </c>
      <c r="D106" s="24" t="str">
        <f t="shared" si="13"/>
        <v>0,46,0</v>
      </c>
      <c r="E106" s="24" t="str">
        <f t="shared" si="14"/>
        <v>0,0,0</v>
      </c>
      <c r="F106" s="24" t="str">
        <f t="shared" si="15"/>
        <v>0,0,0</v>
      </c>
      <c r="G106" s="17" t="str">
        <f t="shared" si="16"/>
        <v>100,1,2</v>
      </c>
      <c r="H106" s="17" t="s">
        <v>31</v>
      </c>
      <c r="I106" s="17" t="s">
        <v>31</v>
      </c>
      <c r="K106" s="9">
        <v>4</v>
      </c>
      <c r="L106" s="9">
        <v>0</v>
      </c>
      <c r="M106" s="9">
        <v>0</v>
      </c>
      <c r="N106" s="9">
        <v>0</v>
      </c>
      <c r="O106" s="9">
        <v>100</v>
      </c>
      <c r="P106" s="9">
        <v>7</v>
      </c>
      <c r="Q106" s="9">
        <v>46</v>
      </c>
      <c r="R106" s="9">
        <v>0</v>
      </c>
      <c r="S106" s="9">
        <v>0</v>
      </c>
      <c r="T106" s="9">
        <v>1</v>
      </c>
      <c r="U106" s="9">
        <v>14</v>
      </c>
      <c r="V106" s="9">
        <v>0</v>
      </c>
      <c r="W106" s="9">
        <v>0</v>
      </c>
      <c r="X106" s="9">
        <v>0</v>
      </c>
      <c r="Y106" s="9">
        <v>2</v>
      </c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</row>
    <row r="107" spans="1:35" ht="13.5" customHeight="1">
      <c r="A107" s="18">
        <v>111</v>
      </c>
      <c r="B107" s="17">
        <v>10535</v>
      </c>
      <c r="C107" s="24" t="str">
        <f t="shared" si="12"/>
        <v>4,7</v>
      </c>
      <c r="D107" s="24" t="str">
        <f t="shared" si="13"/>
        <v>0,47</v>
      </c>
      <c r="E107" s="24" t="str">
        <f t="shared" si="14"/>
        <v>0,0</v>
      </c>
      <c r="F107" s="24" t="str">
        <f t="shared" si="15"/>
        <v>0,0</v>
      </c>
      <c r="G107" s="17" t="str">
        <f t="shared" si="16"/>
        <v>100,1</v>
      </c>
      <c r="H107" s="17" t="s">
        <v>31</v>
      </c>
      <c r="I107" s="17" t="s">
        <v>31</v>
      </c>
      <c r="K107" s="9">
        <v>4</v>
      </c>
      <c r="L107" s="9">
        <v>0</v>
      </c>
      <c r="M107" s="9">
        <v>0</v>
      </c>
      <c r="N107" s="9">
        <v>0</v>
      </c>
      <c r="O107" s="9">
        <v>100</v>
      </c>
      <c r="P107" s="9">
        <v>7</v>
      </c>
      <c r="Q107" s="9">
        <v>47</v>
      </c>
      <c r="R107" s="9">
        <v>0</v>
      </c>
      <c r="S107" s="9">
        <v>0</v>
      </c>
      <c r="T107" s="9">
        <v>1</v>
      </c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</row>
    <row r="108" spans="1:35" ht="13.5" customHeight="1">
      <c r="A108" s="18">
        <v>112</v>
      </c>
      <c r="B108" s="17">
        <v>10540</v>
      </c>
      <c r="C108" s="24" t="str">
        <f t="shared" si="12"/>
        <v>4,7,14</v>
      </c>
      <c r="D108" s="24" t="str">
        <f t="shared" si="13"/>
        <v>0,48,0</v>
      </c>
      <c r="E108" s="24" t="str">
        <f t="shared" si="14"/>
        <v>0,0,0</v>
      </c>
      <c r="F108" s="24" t="str">
        <f t="shared" si="15"/>
        <v>0,0,0</v>
      </c>
      <c r="G108" s="17" t="str">
        <f t="shared" si="16"/>
        <v>100,1,2</v>
      </c>
      <c r="H108" s="17" t="s">
        <v>31</v>
      </c>
      <c r="I108" s="17" t="s">
        <v>31</v>
      </c>
      <c r="K108" s="9">
        <v>4</v>
      </c>
      <c r="L108" s="9">
        <v>0</v>
      </c>
      <c r="M108" s="9">
        <v>0</v>
      </c>
      <c r="N108" s="9">
        <v>0</v>
      </c>
      <c r="O108" s="9">
        <v>100</v>
      </c>
      <c r="P108" s="9">
        <v>7</v>
      </c>
      <c r="Q108" s="9">
        <v>48</v>
      </c>
      <c r="R108" s="9">
        <v>0</v>
      </c>
      <c r="S108" s="9">
        <v>0</v>
      </c>
      <c r="T108" s="9">
        <v>1</v>
      </c>
      <c r="U108" s="9">
        <v>14</v>
      </c>
      <c r="V108" s="9">
        <v>0</v>
      </c>
      <c r="W108" s="9">
        <v>0</v>
      </c>
      <c r="X108" s="9">
        <v>0</v>
      </c>
      <c r="Y108" s="9">
        <v>2</v>
      </c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</row>
    <row r="109" spans="1:35" ht="13.5" customHeight="1">
      <c r="A109" s="18">
        <v>113</v>
      </c>
      <c r="B109" s="17">
        <v>10545</v>
      </c>
      <c r="C109" s="24" t="str">
        <f t="shared" si="12"/>
        <v>4,7</v>
      </c>
      <c r="D109" s="24" t="str">
        <f t="shared" si="13"/>
        <v>0,45</v>
      </c>
      <c r="E109" s="24" t="str">
        <f t="shared" si="14"/>
        <v>0,0</v>
      </c>
      <c r="F109" s="24" t="str">
        <f t="shared" si="15"/>
        <v>0,0</v>
      </c>
      <c r="G109" s="17" t="str">
        <f t="shared" si="16"/>
        <v>100,1</v>
      </c>
      <c r="H109" s="17" t="s">
        <v>31</v>
      </c>
      <c r="I109" s="17" t="s">
        <v>31</v>
      </c>
      <c r="K109" s="9">
        <v>4</v>
      </c>
      <c r="L109" s="9">
        <v>0</v>
      </c>
      <c r="M109" s="9">
        <v>0</v>
      </c>
      <c r="N109" s="9">
        <v>0</v>
      </c>
      <c r="O109" s="9">
        <v>100</v>
      </c>
      <c r="P109" s="9">
        <v>7</v>
      </c>
      <c r="Q109" s="9">
        <v>45</v>
      </c>
      <c r="R109" s="9">
        <v>0</v>
      </c>
      <c r="S109" s="9">
        <v>0</v>
      </c>
      <c r="T109" s="9">
        <v>1</v>
      </c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</row>
    <row r="110" spans="1:35" ht="13.5" customHeight="1">
      <c r="A110" s="18">
        <v>114</v>
      </c>
      <c r="B110" s="17">
        <v>10550</v>
      </c>
      <c r="C110" s="24" t="str">
        <f t="shared" si="12"/>
        <v>4,6,14</v>
      </c>
      <c r="D110" s="24" t="str">
        <f t="shared" si="13"/>
        <v>0,1,0</v>
      </c>
      <c r="E110" s="24" t="str">
        <f t="shared" si="14"/>
        <v>0,0,0</v>
      </c>
      <c r="F110" s="24" t="str">
        <f t="shared" si="15"/>
        <v>0,5,0</v>
      </c>
      <c r="G110" s="17" t="str">
        <f t="shared" si="16"/>
        <v>200,50,2</v>
      </c>
      <c r="H110" s="17" t="s">
        <v>31</v>
      </c>
      <c r="I110" s="17" t="s">
        <v>31</v>
      </c>
      <c r="K110" s="9">
        <v>4</v>
      </c>
      <c r="L110" s="9">
        <v>0</v>
      </c>
      <c r="M110" s="9">
        <v>0</v>
      </c>
      <c r="N110" s="9">
        <v>0</v>
      </c>
      <c r="O110" s="9">
        <v>200</v>
      </c>
      <c r="P110" s="9">
        <v>6</v>
      </c>
      <c r="Q110" s="9">
        <v>1</v>
      </c>
      <c r="R110" s="9">
        <v>0</v>
      </c>
      <c r="S110" s="9">
        <v>5</v>
      </c>
      <c r="T110" s="9">
        <v>50</v>
      </c>
      <c r="U110" s="9">
        <v>14</v>
      </c>
      <c r="V110" s="9">
        <v>0</v>
      </c>
      <c r="W110" s="9">
        <v>0</v>
      </c>
      <c r="X110" s="9">
        <v>0</v>
      </c>
      <c r="Y110" s="9">
        <v>2</v>
      </c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</row>
    <row r="111" spans="1:35" ht="13.5" customHeight="1">
      <c r="A111" s="18">
        <v>115</v>
      </c>
      <c r="B111" s="17">
        <v>10605</v>
      </c>
      <c r="C111" s="24" t="str">
        <f t="shared" si="12"/>
        <v>4,7</v>
      </c>
      <c r="D111" s="24" t="str">
        <f t="shared" si="13"/>
        <v>0,49</v>
      </c>
      <c r="E111" s="24" t="str">
        <f t="shared" si="14"/>
        <v>0,0</v>
      </c>
      <c r="F111" s="24" t="str">
        <f t="shared" si="15"/>
        <v>0,0</v>
      </c>
      <c r="G111" s="17" t="str">
        <f t="shared" si="16"/>
        <v>100,1</v>
      </c>
      <c r="H111" s="17" t="s">
        <v>31</v>
      </c>
      <c r="I111" s="17" t="s">
        <v>31</v>
      </c>
      <c r="J111" s="40"/>
      <c r="K111" s="9">
        <v>4</v>
      </c>
      <c r="L111" s="9">
        <v>0</v>
      </c>
      <c r="M111" s="9">
        <v>0</v>
      </c>
      <c r="N111" s="9">
        <v>0</v>
      </c>
      <c r="O111" s="9">
        <v>100</v>
      </c>
      <c r="P111" s="9">
        <v>7</v>
      </c>
      <c r="Q111" s="9">
        <v>49</v>
      </c>
      <c r="R111" s="9">
        <v>0</v>
      </c>
      <c r="S111" s="9">
        <v>0</v>
      </c>
      <c r="T111" s="9">
        <v>1</v>
      </c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</row>
    <row r="112" spans="1:35" ht="13.5" customHeight="1">
      <c r="A112" s="18">
        <v>116</v>
      </c>
      <c r="B112" s="17">
        <v>10610</v>
      </c>
      <c r="C112" s="24" t="str">
        <f t="shared" si="12"/>
        <v>4,7,14</v>
      </c>
      <c r="D112" s="24" t="str">
        <f t="shared" si="13"/>
        <v>0,50,0</v>
      </c>
      <c r="E112" s="24" t="str">
        <f t="shared" si="14"/>
        <v>0,0,0</v>
      </c>
      <c r="F112" s="24" t="str">
        <f t="shared" si="15"/>
        <v>0,0,0</v>
      </c>
      <c r="G112" s="17" t="str">
        <f t="shared" si="16"/>
        <v>100,1,2</v>
      </c>
      <c r="H112" s="17" t="s">
        <v>31</v>
      </c>
      <c r="I112" s="17" t="s">
        <v>31</v>
      </c>
      <c r="K112" s="9">
        <v>4</v>
      </c>
      <c r="L112" s="9">
        <v>0</v>
      </c>
      <c r="M112" s="9">
        <v>0</v>
      </c>
      <c r="N112" s="9">
        <v>0</v>
      </c>
      <c r="O112" s="9">
        <v>100</v>
      </c>
      <c r="P112" s="9">
        <v>7</v>
      </c>
      <c r="Q112" s="9">
        <v>50</v>
      </c>
      <c r="R112" s="9">
        <v>0</v>
      </c>
      <c r="S112" s="9">
        <v>0</v>
      </c>
      <c r="T112" s="9">
        <v>1</v>
      </c>
      <c r="U112" s="9">
        <v>14</v>
      </c>
      <c r="V112" s="9">
        <v>0</v>
      </c>
      <c r="W112" s="9">
        <v>0</v>
      </c>
      <c r="X112" s="9">
        <v>0</v>
      </c>
      <c r="Y112" s="9">
        <v>2</v>
      </c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</row>
    <row r="113" spans="1:35" ht="13.5" customHeight="1">
      <c r="A113" s="18">
        <v>117</v>
      </c>
      <c r="B113" s="17">
        <v>10615</v>
      </c>
      <c r="C113" s="24" t="str">
        <f t="shared" si="12"/>
        <v>4,7</v>
      </c>
      <c r="D113" s="24" t="str">
        <f t="shared" si="13"/>
        <v>0,51</v>
      </c>
      <c r="E113" s="24" t="str">
        <f t="shared" si="14"/>
        <v>0,0</v>
      </c>
      <c r="F113" s="24" t="str">
        <f t="shared" si="15"/>
        <v>0,0</v>
      </c>
      <c r="G113" s="17" t="str">
        <f t="shared" si="16"/>
        <v>100,1</v>
      </c>
      <c r="H113" s="17" t="s">
        <v>31</v>
      </c>
      <c r="I113" s="17" t="s">
        <v>31</v>
      </c>
      <c r="K113" s="9">
        <v>4</v>
      </c>
      <c r="L113" s="9">
        <v>0</v>
      </c>
      <c r="M113" s="9">
        <v>0</v>
      </c>
      <c r="N113" s="9">
        <v>0</v>
      </c>
      <c r="O113" s="9">
        <v>100</v>
      </c>
      <c r="P113" s="9">
        <v>7</v>
      </c>
      <c r="Q113" s="9">
        <v>51</v>
      </c>
      <c r="R113" s="9">
        <v>0</v>
      </c>
      <c r="S113" s="9">
        <v>0</v>
      </c>
      <c r="T113" s="9">
        <v>1</v>
      </c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</row>
    <row r="114" spans="1:35" ht="13.5" customHeight="1">
      <c r="A114" s="18">
        <v>118</v>
      </c>
      <c r="B114" s="17">
        <v>10620</v>
      </c>
      <c r="C114" s="24" t="str">
        <f t="shared" si="12"/>
        <v>4,7,14</v>
      </c>
      <c r="D114" s="24" t="str">
        <f t="shared" si="13"/>
        <v>0,52,0</v>
      </c>
      <c r="E114" s="24" t="str">
        <f t="shared" si="14"/>
        <v>0,0,0</v>
      </c>
      <c r="F114" s="24" t="str">
        <f t="shared" si="15"/>
        <v>0,0,0</v>
      </c>
      <c r="G114" s="17" t="str">
        <f t="shared" si="16"/>
        <v>100,1,2</v>
      </c>
      <c r="H114" s="17" t="s">
        <v>31</v>
      </c>
      <c r="I114" s="17" t="s">
        <v>31</v>
      </c>
      <c r="K114" s="9">
        <v>4</v>
      </c>
      <c r="L114" s="9">
        <v>0</v>
      </c>
      <c r="M114" s="9">
        <v>0</v>
      </c>
      <c r="N114" s="9">
        <v>0</v>
      </c>
      <c r="O114" s="9">
        <v>100</v>
      </c>
      <c r="P114" s="9">
        <v>7</v>
      </c>
      <c r="Q114" s="9">
        <v>52</v>
      </c>
      <c r="R114" s="9">
        <v>0</v>
      </c>
      <c r="S114" s="9">
        <v>0</v>
      </c>
      <c r="T114" s="9">
        <v>1</v>
      </c>
      <c r="U114" s="9">
        <v>14</v>
      </c>
      <c r="V114" s="9">
        <v>0</v>
      </c>
      <c r="W114" s="9">
        <v>0</v>
      </c>
      <c r="X114" s="9">
        <v>0</v>
      </c>
      <c r="Y114" s="9">
        <v>2</v>
      </c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</row>
    <row r="115" spans="1:35" ht="13.5" customHeight="1">
      <c r="A115" s="18">
        <v>119</v>
      </c>
      <c r="B115" s="17">
        <v>10625</v>
      </c>
      <c r="C115" s="24" t="str">
        <f t="shared" si="12"/>
        <v>4,7</v>
      </c>
      <c r="D115" s="24" t="str">
        <f t="shared" si="13"/>
        <v>0,49</v>
      </c>
      <c r="E115" s="24" t="str">
        <f t="shared" si="14"/>
        <v>0,0</v>
      </c>
      <c r="F115" s="24" t="str">
        <f t="shared" si="15"/>
        <v>0,0</v>
      </c>
      <c r="G115" s="17" t="str">
        <f t="shared" si="16"/>
        <v>100,1</v>
      </c>
      <c r="H115" s="17" t="s">
        <v>31</v>
      </c>
      <c r="I115" s="17" t="s">
        <v>31</v>
      </c>
      <c r="K115" s="9">
        <v>4</v>
      </c>
      <c r="L115" s="9">
        <v>0</v>
      </c>
      <c r="M115" s="9">
        <v>0</v>
      </c>
      <c r="N115" s="9">
        <v>0</v>
      </c>
      <c r="O115" s="9">
        <v>100</v>
      </c>
      <c r="P115" s="9">
        <v>7</v>
      </c>
      <c r="Q115" s="9">
        <v>49</v>
      </c>
      <c r="R115" s="9">
        <v>0</v>
      </c>
      <c r="S115" s="9">
        <v>0</v>
      </c>
      <c r="T115" s="9">
        <v>1</v>
      </c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</row>
    <row r="116" spans="1:35" ht="13.5" customHeight="1">
      <c r="A116" s="18">
        <v>120</v>
      </c>
      <c r="B116" s="17">
        <v>10630</v>
      </c>
      <c r="C116" s="24" t="str">
        <f t="shared" si="12"/>
        <v>4,7,14</v>
      </c>
      <c r="D116" s="24" t="str">
        <f t="shared" si="13"/>
        <v>0,50,0</v>
      </c>
      <c r="E116" s="24" t="str">
        <f t="shared" si="14"/>
        <v>0,0,0</v>
      </c>
      <c r="F116" s="24" t="str">
        <f t="shared" si="15"/>
        <v>0,0,0</v>
      </c>
      <c r="G116" s="17" t="str">
        <f t="shared" si="16"/>
        <v>100,1,2</v>
      </c>
      <c r="H116" s="17" t="s">
        <v>31</v>
      </c>
      <c r="I116" s="17" t="s">
        <v>31</v>
      </c>
      <c r="K116" s="9">
        <v>4</v>
      </c>
      <c r="L116" s="9">
        <v>0</v>
      </c>
      <c r="M116" s="9">
        <v>0</v>
      </c>
      <c r="N116" s="9">
        <v>0</v>
      </c>
      <c r="O116" s="9">
        <v>100</v>
      </c>
      <c r="P116" s="9">
        <v>7</v>
      </c>
      <c r="Q116" s="9">
        <v>50</v>
      </c>
      <c r="R116" s="9">
        <v>0</v>
      </c>
      <c r="S116" s="9">
        <v>0</v>
      </c>
      <c r="T116" s="9">
        <v>1</v>
      </c>
      <c r="U116" s="9">
        <v>14</v>
      </c>
      <c r="V116" s="9">
        <v>0</v>
      </c>
      <c r="W116" s="9">
        <v>0</v>
      </c>
      <c r="X116" s="9">
        <v>0</v>
      </c>
      <c r="Y116" s="9">
        <v>2</v>
      </c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</row>
    <row r="117" spans="1:35" ht="13.5" customHeight="1">
      <c r="A117" s="18">
        <v>121</v>
      </c>
      <c r="B117" s="17">
        <v>10635</v>
      </c>
      <c r="C117" s="24" t="str">
        <f t="shared" si="12"/>
        <v>4,7</v>
      </c>
      <c r="D117" s="24" t="str">
        <f t="shared" si="13"/>
        <v>0,51</v>
      </c>
      <c r="E117" s="24" t="str">
        <f t="shared" si="14"/>
        <v>0,0</v>
      </c>
      <c r="F117" s="24" t="str">
        <f t="shared" si="15"/>
        <v>0,0</v>
      </c>
      <c r="G117" s="17" t="str">
        <f t="shared" si="16"/>
        <v>100,1</v>
      </c>
      <c r="H117" s="17" t="s">
        <v>31</v>
      </c>
      <c r="I117" s="17" t="s">
        <v>31</v>
      </c>
      <c r="K117" s="9">
        <v>4</v>
      </c>
      <c r="L117" s="9">
        <v>0</v>
      </c>
      <c r="M117" s="9">
        <v>0</v>
      </c>
      <c r="N117" s="9">
        <v>0</v>
      </c>
      <c r="O117" s="9">
        <v>100</v>
      </c>
      <c r="P117" s="9">
        <v>7</v>
      </c>
      <c r="Q117" s="9">
        <v>51</v>
      </c>
      <c r="R117" s="9">
        <v>0</v>
      </c>
      <c r="S117" s="9">
        <v>0</v>
      </c>
      <c r="T117" s="9">
        <v>1</v>
      </c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</row>
    <row r="118" spans="1:35" ht="13.5" customHeight="1">
      <c r="A118" s="18">
        <v>122</v>
      </c>
      <c r="B118" s="17">
        <v>10640</v>
      </c>
      <c r="C118" s="24" t="str">
        <f t="shared" si="12"/>
        <v>4,7,14</v>
      </c>
      <c r="D118" s="24" t="str">
        <f t="shared" si="13"/>
        <v>0,52,0</v>
      </c>
      <c r="E118" s="24" t="str">
        <f t="shared" si="14"/>
        <v>0,0,0</v>
      </c>
      <c r="F118" s="24" t="str">
        <f t="shared" si="15"/>
        <v>0,0,0</v>
      </c>
      <c r="G118" s="17" t="str">
        <f t="shared" si="16"/>
        <v>100,1,2</v>
      </c>
      <c r="H118" s="17" t="s">
        <v>31</v>
      </c>
      <c r="I118" s="17" t="s">
        <v>31</v>
      </c>
      <c r="K118" s="9">
        <v>4</v>
      </c>
      <c r="L118" s="9">
        <v>0</v>
      </c>
      <c r="M118" s="9">
        <v>0</v>
      </c>
      <c r="N118" s="9">
        <v>0</v>
      </c>
      <c r="O118" s="9">
        <v>100</v>
      </c>
      <c r="P118" s="9">
        <v>7</v>
      </c>
      <c r="Q118" s="9">
        <v>52</v>
      </c>
      <c r="R118" s="9">
        <v>0</v>
      </c>
      <c r="S118" s="9">
        <v>0</v>
      </c>
      <c r="T118" s="9">
        <v>1</v>
      </c>
      <c r="U118" s="9">
        <v>14</v>
      </c>
      <c r="V118" s="9">
        <v>0</v>
      </c>
      <c r="W118" s="9">
        <v>0</v>
      </c>
      <c r="X118" s="9">
        <v>0</v>
      </c>
      <c r="Y118" s="9">
        <v>2</v>
      </c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</row>
    <row r="119" spans="1:35" ht="13.5" customHeight="1">
      <c r="A119" s="18">
        <v>123</v>
      </c>
      <c r="B119" s="17">
        <v>10645</v>
      </c>
      <c r="C119" s="24" t="str">
        <f t="shared" si="12"/>
        <v>4,7</v>
      </c>
      <c r="D119" s="24" t="str">
        <f t="shared" si="13"/>
        <v>0,49</v>
      </c>
      <c r="E119" s="24" t="str">
        <f t="shared" si="14"/>
        <v>0,0</v>
      </c>
      <c r="F119" s="24" t="str">
        <f t="shared" si="15"/>
        <v>0,0</v>
      </c>
      <c r="G119" s="17" t="str">
        <f t="shared" si="16"/>
        <v>100,1</v>
      </c>
      <c r="H119" s="17" t="s">
        <v>31</v>
      </c>
      <c r="I119" s="17" t="s">
        <v>31</v>
      </c>
      <c r="K119" s="9">
        <v>4</v>
      </c>
      <c r="L119" s="9">
        <v>0</v>
      </c>
      <c r="M119" s="9">
        <v>0</v>
      </c>
      <c r="N119" s="9">
        <v>0</v>
      </c>
      <c r="O119" s="9">
        <v>100</v>
      </c>
      <c r="P119" s="9">
        <v>7</v>
      </c>
      <c r="Q119" s="9">
        <v>49</v>
      </c>
      <c r="R119" s="9">
        <v>0</v>
      </c>
      <c r="S119" s="9">
        <v>0</v>
      </c>
      <c r="T119" s="9">
        <v>1</v>
      </c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</row>
    <row r="120" spans="1:35" ht="13.5" customHeight="1">
      <c r="A120" s="18">
        <v>124</v>
      </c>
      <c r="B120" s="17">
        <v>10650</v>
      </c>
      <c r="C120" s="24" t="str">
        <f t="shared" si="12"/>
        <v>4,6,14</v>
      </c>
      <c r="D120" s="24" t="str">
        <f t="shared" si="13"/>
        <v>0,1,0</v>
      </c>
      <c r="E120" s="24" t="str">
        <f t="shared" si="14"/>
        <v>0,0,0</v>
      </c>
      <c r="F120" s="24" t="str">
        <f t="shared" si="15"/>
        <v>0,5,0</v>
      </c>
      <c r="G120" s="17" t="str">
        <f t="shared" si="16"/>
        <v>200,50,2</v>
      </c>
      <c r="H120" s="17" t="s">
        <v>31</v>
      </c>
      <c r="I120" s="17" t="s">
        <v>31</v>
      </c>
      <c r="K120" s="9">
        <v>4</v>
      </c>
      <c r="L120" s="9">
        <v>0</v>
      </c>
      <c r="M120" s="9">
        <v>0</v>
      </c>
      <c r="N120" s="9">
        <v>0</v>
      </c>
      <c r="O120" s="9">
        <v>200</v>
      </c>
      <c r="P120" s="9">
        <v>6</v>
      </c>
      <c r="Q120" s="9">
        <v>1</v>
      </c>
      <c r="R120" s="9">
        <v>0</v>
      </c>
      <c r="S120" s="9">
        <v>5</v>
      </c>
      <c r="T120" s="9">
        <v>50</v>
      </c>
      <c r="U120" s="9">
        <v>14</v>
      </c>
      <c r="V120" s="9">
        <v>0</v>
      </c>
      <c r="W120" s="9">
        <v>0</v>
      </c>
      <c r="X120" s="9">
        <v>0</v>
      </c>
      <c r="Y120" s="9">
        <v>2</v>
      </c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</row>
    <row r="121" spans="1:35" ht="13.5" customHeight="1">
      <c r="A121" s="18">
        <v>125</v>
      </c>
      <c r="B121" s="17">
        <v>10705</v>
      </c>
      <c r="C121" s="24" t="str">
        <f t="shared" si="12"/>
        <v>4,7</v>
      </c>
      <c r="D121" s="24" t="str">
        <f t="shared" si="13"/>
        <v>0,50</v>
      </c>
      <c r="E121" s="24" t="str">
        <f t="shared" si="14"/>
        <v>0,0</v>
      </c>
      <c r="F121" s="24" t="str">
        <f t="shared" si="15"/>
        <v>0,0</v>
      </c>
      <c r="G121" s="17" t="str">
        <f t="shared" si="16"/>
        <v>100,1</v>
      </c>
      <c r="H121" s="17" t="s">
        <v>31</v>
      </c>
      <c r="I121" s="17" t="s">
        <v>31</v>
      </c>
      <c r="K121" s="9">
        <v>4</v>
      </c>
      <c r="L121" s="9">
        <v>0</v>
      </c>
      <c r="M121" s="9">
        <v>0</v>
      </c>
      <c r="N121" s="9">
        <v>0</v>
      </c>
      <c r="O121" s="9">
        <v>100</v>
      </c>
      <c r="P121" s="9">
        <v>7</v>
      </c>
      <c r="Q121" s="9">
        <v>50</v>
      </c>
      <c r="R121" s="9">
        <v>0</v>
      </c>
      <c r="S121" s="9">
        <v>0</v>
      </c>
      <c r="T121" s="9">
        <v>1</v>
      </c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</row>
    <row r="122" spans="1:35" ht="13.5" customHeight="1">
      <c r="A122" s="18">
        <v>126</v>
      </c>
      <c r="B122" s="17">
        <v>10710</v>
      </c>
      <c r="C122" s="24" t="str">
        <f t="shared" si="12"/>
        <v>4,7,14</v>
      </c>
      <c r="D122" s="24" t="str">
        <f t="shared" si="13"/>
        <v>0,51,0</v>
      </c>
      <c r="E122" s="24" t="str">
        <f t="shared" si="14"/>
        <v>0,0,0</v>
      </c>
      <c r="F122" s="24" t="str">
        <f t="shared" si="15"/>
        <v>0,0,0</v>
      </c>
      <c r="G122" s="17" t="str">
        <f t="shared" si="16"/>
        <v>100,1,2</v>
      </c>
      <c r="H122" s="17" t="s">
        <v>31</v>
      </c>
      <c r="I122" s="17" t="s">
        <v>31</v>
      </c>
      <c r="K122" s="9">
        <v>4</v>
      </c>
      <c r="L122" s="9">
        <v>0</v>
      </c>
      <c r="M122" s="9">
        <v>0</v>
      </c>
      <c r="N122" s="9">
        <v>0</v>
      </c>
      <c r="O122" s="9">
        <v>100</v>
      </c>
      <c r="P122" s="9">
        <v>7</v>
      </c>
      <c r="Q122" s="9">
        <v>51</v>
      </c>
      <c r="R122" s="9">
        <v>0</v>
      </c>
      <c r="S122" s="9">
        <v>0</v>
      </c>
      <c r="T122" s="9">
        <v>1</v>
      </c>
      <c r="U122" s="9">
        <v>14</v>
      </c>
      <c r="V122" s="9">
        <v>0</v>
      </c>
      <c r="W122" s="9">
        <v>0</v>
      </c>
      <c r="X122" s="9">
        <v>0</v>
      </c>
      <c r="Y122" s="9">
        <v>2</v>
      </c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</row>
    <row r="123" spans="1:35" ht="13.5" customHeight="1">
      <c r="A123" s="18">
        <v>127</v>
      </c>
      <c r="B123" s="17">
        <v>10715</v>
      </c>
      <c r="C123" s="24" t="str">
        <f t="shared" si="12"/>
        <v>4,7</v>
      </c>
      <c r="D123" s="24" t="str">
        <f t="shared" si="13"/>
        <v>0,52</v>
      </c>
      <c r="E123" s="24" t="str">
        <f t="shared" si="14"/>
        <v>0,0</v>
      </c>
      <c r="F123" s="24" t="str">
        <f t="shared" si="15"/>
        <v>0,0</v>
      </c>
      <c r="G123" s="17" t="str">
        <f t="shared" si="16"/>
        <v>100,1</v>
      </c>
      <c r="H123" s="17" t="s">
        <v>31</v>
      </c>
      <c r="I123" s="17" t="s">
        <v>31</v>
      </c>
      <c r="K123" s="9">
        <v>4</v>
      </c>
      <c r="L123" s="9">
        <v>0</v>
      </c>
      <c r="M123" s="9">
        <v>0</v>
      </c>
      <c r="N123" s="9">
        <v>0</v>
      </c>
      <c r="O123" s="9">
        <v>100</v>
      </c>
      <c r="P123" s="9">
        <v>7</v>
      </c>
      <c r="Q123" s="9">
        <v>52</v>
      </c>
      <c r="R123" s="9">
        <v>0</v>
      </c>
      <c r="S123" s="9">
        <v>0</v>
      </c>
      <c r="T123" s="9">
        <v>1</v>
      </c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</row>
    <row r="124" spans="1:35" ht="13.5" customHeight="1">
      <c r="A124" s="18">
        <v>128</v>
      </c>
      <c r="B124" s="17">
        <v>10720</v>
      </c>
      <c r="C124" s="24" t="str">
        <f t="shared" si="12"/>
        <v>4,7,14</v>
      </c>
      <c r="D124" s="24" t="str">
        <f t="shared" si="13"/>
        <v>0,49,0</v>
      </c>
      <c r="E124" s="24" t="str">
        <f t="shared" si="14"/>
        <v>0,0,0</v>
      </c>
      <c r="F124" s="24" t="str">
        <f t="shared" si="15"/>
        <v>0,0,0</v>
      </c>
      <c r="G124" s="17" t="str">
        <f t="shared" si="16"/>
        <v>100,1,2</v>
      </c>
      <c r="H124" s="17" t="s">
        <v>31</v>
      </c>
      <c r="I124" s="17" t="s">
        <v>31</v>
      </c>
      <c r="K124" s="9">
        <v>4</v>
      </c>
      <c r="L124" s="9">
        <v>0</v>
      </c>
      <c r="M124" s="9">
        <v>0</v>
      </c>
      <c r="N124" s="9">
        <v>0</v>
      </c>
      <c r="O124" s="9">
        <v>100</v>
      </c>
      <c r="P124" s="9">
        <v>7</v>
      </c>
      <c r="Q124" s="9">
        <v>49</v>
      </c>
      <c r="R124" s="9">
        <v>0</v>
      </c>
      <c r="S124" s="9">
        <v>0</v>
      </c>
      <c r="T124" s="9">
        <v>1</v>
      </c>
      <c r="U124" s="9">
        <v>14</v>
      </c>
      <c r="V124" s="9">
        <v>0</v>
      </c>
      <c r="W124" s="9">
        <v>0</v>
      </c>
      <c r="X124" s="9">
        <v>0</v>
      </c>
      <c r="Y124" s="9">
        <v>2</v>
      </c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</row>
    <row r="125" spans="1:35" ht="13.5" customHeight="1">
      <c r="A125" s="18">
        <v>129</v>
      </c>
      <c r="B125" s="17">
        <v>10725</v>
      </c>
      <c r="C125" s="24" t="str">
        <f t="shared" si="12"/>
        <v>4,7</v>
      </c>
      <c r="D125" s="24" t="str">
        <f t="shared" si="13"/>
        <v>0,50</v>
      </c>
      <c r="E125" s="24" t="str">
        <f t="shared" si="14"/>
        <v>0,0</v>
      </c>
      <c r="F125" s="24" t="str">
        <f t="shared" si="15"/>
        <v>0,0</v>
      </c>
      <c r="G125" s="17" t="str">
        <f t="shared" si="16"/>
        <v>100,1</v>
      </c>
      <c r="H125" s="17" t="s">
        <v>31</v>
      </c>
      <c r="I125" s="17" t="s">
        <v>31</v>
      </c>
      <c r="K125" s="9">
        <v>4</v>
      </c>
      <c r="L125" s="9">
        <v>0</v>
      </c>
      <c r="M125" s="9">
        <v>0</v>
      </c>
      <c r="N125" s="9">
        <v>0</v>
      </c>
      <c r="O125" s="9">
        <v>100</v>
      </c>
      <c r="P125" s="9">
        <v>7</v>
      </c>
      <c r="Q125" s="9">
        <v>50</v>
      </c>
      <c r="R125" s="9">
        <v>0</v>
      </c>
      <c r="S125" s="9">
        <v>0</v>
      </c>
      <c r="T125" s="9">
        <v>1</v>
      </c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</row>
    <row r="126" spans="1:35" ht="13.5" customHeight="1">
      <c r="A126" s="18">
        <v>130</v>
      </c>
      <c r="B126" s="17">
        <v>10730</v>
      </c>
      <c r="C126" s="24" t="str">
        <f t="shared" si="12"/>
        <v>4,7,14</v>
      </c>
      <c r="D126" s="24" t="str">
        <f t="shared" si="13"/>
        <v>0,51,0</v>
      </c>
      <c r="E126" s="24" t="str">
        <f t="shared" si="14"/>
        <v>0,0,0</v>
      </c>
      <c r="F126" s="24" t="str">
        <f t="shared" si="15"/>
        <v>0,0,0</v>
      </c>
      <c r="G126" s="17" t="str">
        <f t="shared" si="16"/>
        <v>100,1,2</v>
      </c>
      <c r="H126" s="17" t="s">
        <v>31</v>
      </c>
      <c r="I126" s="17" t="s">
        <v>31</v>
      </c>
      <c r="K126" s="9">
        <v>4</v>
      </c>
      <c r="L126" s="9">
        <v>0</v>
      </c>
      <c r="M126" s="9">
        <v>0</v>
      </c>
      <c r="N126" s="9">
        <v>0</v>
      </c>
      <c r="O126" s="9">
        <v>100</v>
      </c>
      <c r="P126" s="9">
        <v>7</v>
      </c>
      <c r="Q126" s="9">
        <v>51</v>
      </c>
      <c r="R126" s="9">
        <v>0</v>
      </c>
      <c r="S126" s="9">
        <v>0</v>
      </c>
      <c r="T126" s="9">
        <v>1</v>
      </c>
      <c r="U126" s="9">
        <v>14</v>
      </c>
      <c r="V126" s="9">
        <v>0</v>
      </c>
      <c r="W126" s="9">
        <v>0</v>
      </c>
      <c r="X126" s="9">
        <v>0</v>
      </c>
      <c r="Y126" s="9">
        <v>2</v>
      </c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</row>
    <row r="127" spans="1:35" ht="13.5" customHeight="1">
      <c r="A127" s="18">
        <v>131</v>
      </c>
      <c r="B127" s="17">
        <v>10735</v>
      </c>
      <c r="C127" s="24" t="str">
        <f t="shared" si="12"/>
        <v>4,7</v>
      </c>
      <c r="D127" s="24" t="str">
        <f t="shared" si="13"/>
        <v>0,52</v>
      </c>
      <c r="E127" s="24" t="str">
        <f t="shared" si="14"/>
        <v>0,0</v>
      </c>
      <c r="F127" s="24" t="str">
        <f t="shared" si="15"/>
        <v>0,0</v>
      </c>
      <c r="G127" s="17" t="str">
        <f t="shared" si="16"/>
        <v>100,1</v>
      </c>
      <c r="H127" s="17" t="s">
        <v>31</v>
      </c>
      <c r="I127" s="17" t="s">
        <v>31</v>
      </c>
      <c r="K127" s="9">
        <v>4</v>
      </c>
      <c r="L127" s="9">
        <v>0</v>
      </c>
      <c r="M127" s="9">
        <v>0</v>
      </c>
      <c r="N127" s="9">
        <v>0</v>
      </c>
      <c r="O127" s="9">
        <v>100</v>
      </c>
      <c r="P127" s="9">
        <v>7</v>
      </c>
      <c r="Q127" s="9">
        <v>52</v>
      </c>
      <c r="R127" s="9">
        <v>0</v>
      </c>
      <c r="S127" s="9">
        <v>0</v>
      </c>
      <c r="T127" s="9">
        <v>1</v>
      </c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</row>
    <row r="128" spans="1:35" ht="13.5" customHeight="1">
      <c r="A128" s="18">
        <v>132</v>
      </c>
      <c r="B128" s="17">
        <v>10740</v>
      </c>
      <c r="C128" s="24" t="str">
        <f t="shared" si="12"/>
        <v>4,7,14</v>
      </c>
      <c r="D128" s="24" t="str">
        <f t="shared" si="13"/>
        <v>0,49,0</v>
      </c>
      <c r="E128" s="24" t="str">
        <f t="shared" si="14"/>
        <v>0,0,0</v>
      </c>
      <c r="F128" s="24" t="str">
        <f t="shared" si="15"/>
        <v>0,0,0</v>
      </c>
      <c r="G128" s="17" t="str">
        <f t="shared" si="16"/>
        <v>100,1,2</v>
      </c>
      <c r="H128" s="17" t="s">
        <v>31</v>
      </c>
      <c r="I128" s="17" t="s">
        <v>31</v>
      </c>
      <c r="K128" s="9">
        <v>4</v>
      </c>
      <c r="L128" s="9">
        <v>0</v>
      </c>
      <c r="M128" s="9">
        <v>0</v>
      </c>
      <c r="N128" s="9">
        <v>0</v>
      </c>
      <c r="O128" s="9">
        <v>100</v>
      </c>
      <c r="P128" s="9">
        <v>7</v>
      </c>
      <c r="Q128" s="9">
        <v>49</v>
      </c>
      <c r="R128" s="9">
        <v>0</v>
      </c>
      <c r="S128" s="9">
        <v>0</v>
      </c>
      <c r="T128" s="9">
        <v>1</v>
      </c>
      <c r="U128" s="9">
        <v>14</v>
      </c>
      <c r="V128" s="9">
        <v>0</v>
      </c>
      <c r="W128" s="9">
        <v>0</v>
      </c>
      <c r="X128" s="9">
        <v>0</v>
      </c>
      <c r="Y128" s="9">
        <v>2</v>
      </c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</row>
    <row r="129" spans="1:35" ht="13.5" customHeight="1">
      <c r="A129" s="18">
        <v>133</v>
      </c>
      <c r="B129" s="17">
        <v>10745</v>
      </c>
      <c r="C129" s="24" t="str">
        <f t="shared" si="12"/>
        <v>4,7</v>
      </c>
      <c r="D129" s="24" t="str">
        <f t="shared" si="13"/>
        <v>0,50</v>
      </c>
      <c r="E129" s="24" t="str">
        <f t="shared" si="14"/>
        <v>0,0</v>
      </c>
      <c r="F129" s="24" t="str">
        <f t="shared" si="15"/>
        <v>0,0</v>
      </c>
      <c r="G129" s="17" t="str">
        <f t="shared" si="16"/>
        <v>100,1</v>
      </c>
      <c r="H129" s="17" t="s">
        <v>31</v>
      </c>
      <c r="I129" s="17" t="s">
        <v>31</v>
      </c>
      <c r="K129" s="9">
        <v>4</v>
      </c>
      <c r="L129" s="9">
        <v>0</v>
      </c>
      <c r="M129" s="9">
        <v>0</v>
      </c>
      <c r="N129" s="9">
        <v>0</v>
      </c>
      <c r="O129" s="9">
        <v>100</v>
      </c>
      <c r="P129" s="9">
        <v>7</v>
      </c>
      <c r="Q129" s="9">
        <v>50</v>
      </c>
      <c r="R129" s="9">
        <v>0</v>
      </c>
      <c r="S129" s="9">
        <v>0</v>
      </c>
      <c r="T129" s="9">
        <v>1</v>
      </c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</row>
    <row r="130" spans="1:35" ht="13.5" customHeight="1">
      <c r="A130" s="18">
        <v>134</v>
      </c>
      <c r="B130" s="17">
        <v>10750</v>
      </c>
      <c r="C130" s="24" t="str">
        <f t="shared" si="12"/>
        <v>4,6,14</v>
      </c>
      <c r="D130" s="24" t="str">
        <f t="shared" si="13"/>
        <v>0,1,0</v>
      </c>
      <c r="E130" s="24" t="str">
        <f t="shared" si="14"/>
        <v>0,0,0</v>
      </c>
      <c r="F130" s="24" t="str">
        <f t="shared" si="15"/>
        <v>0,5,0</v>
      </c>
      <c r="G130" s="17" t="str">
        <f t="shared" si="16"/>
        <v>200,50,2</v>
      </c>
      <c r="H130" s="17" t="s">
        <v>31</v>
      </c>
      <c r="I130" s="17" t="s">
        <v>31</v>
      </c>
      <c r="K130" s="9">
        <v>4</v>
      </c>
      <c r="L130" s="9">
        <v>0</v>
      </c>
      <c r="M130" s="9">
        <v>0</v>
      </c>
      <c r="N130" s="9">
        <v>0</v>
      </c>
      <c r="O130" s="9">
        <v>200</v>
      </c>
      <c r="P130" s="9">
        <v>6</v>
      </c>
      <c r="Q130" s="9">
        <v>1</v>
      </c>
      <c r="R130" s="9">
        <v>0</v>
      </c>
      <c r="S130" s="9">
        <v>5</v>
      </c>
      <c r="T130" s="9">
        <v>50</v>
      </c>
      <c r="U130" s="9">
        <v>14</v>
      </c>
      <c r="V130" s="9">
        <v>0</v>
      </c>
      <c r="W130" s="9">
        <v>0</v>
      </c>
      <c r="X130" s="9">
        <v>0</v>
      </c>
      <c r="Y130" s="9">
        <v>2</v>
      </c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</row>
    <row r="131" spans="1:35" ht="13.5" customHeight="1">
      <c r="A131" s="18">
        <v>135</v>
      </c>
      <c r="B131" s="17">
        <v>10805</v>
      </c>
      <c r="C131" s="24" t="str">
        <f t="shared" si="12"/>
        <v>4,7</v>
      </c>
      <c r="D131" s="24" t="str">
        <f t="shared" si="13"/>
        <v>0,51</v>
      </c>
      <c r="E131" s="24" t="str">
        <f t="shared" si="14"/>
        <v>0,0</v>
      </c>
      <c r="F131" s="24" t="str">
        <f t="shared" si="15"/>
        <v>0,0</v>
      </c>
      <c r="G131" s="17" t="str">
        <f t="shared" si="16"/>
        <v>100,1</v>
      </c>
      <c r="H131" s="17" t="s">
        <v>31</v>
      </c>
      <c r="I131" s="17" t="s">
        <v>31</v>
      </c>
      <c r="K131" s="9">
        <v>4</v>
      </c>
      <c r="L131" s="9">
        <v>0</v>
      </c>
      <c r="M131" s="9">
        <v>0</v>
      </c>
      <c r="N131" s="9">
        <v>0</v>
      </c>
      <c r="O131" s="9">
        <v>100</v>
      </c>
      <c r="P131" s="9">
        <v>7</v>
      </c>
      <c r="Q131" s="9">
        <v>51</v>
      </c>
      <c r="R131" s="9">
        <v>0</v>
      </c>
      <c r="S131" s="9">
        <v>0</v>
      </c>
      <c r="T131" s="9">
        <v>1</v>
      </c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</row>
    <row r="132" spans="1:35" ht="13.5" customHeight="1">
      <c r="A132" s="18">
        <v>136</v>
      </c>
      <c r="B132" s="17">
        <v>10810</v>
      </c>
      <c r="C132" s="24" t="str">
        <f t="shared" ref="C132:C195" si="17">IF(AND(U132="",K132&lt;&gt;"",P132&lt;&gt;""),K132&amp;","&amp;P132,IF(AND(U132="",P132="",K132&lt;&gt;""),K132,IF(AND(U132="",P132="",K132=""),"",K132&amp;","&amp;P132&amp;","&amp;U132)))</f>
        <v>4,7,14</v>
      </c>
      <c r="D132" s="24" t="str">
        <f t="shared" ref="D132:D195" si="18">IF(AND(V132="",L132&lt;&gt;"",Q132&lt;&gt;""),L132&amp;","&amp;Q132,IF(AND(V132="",Q132="",L132&lt;&gt;""),L132,IF(AND(V132="",Q132="",L132=""),"",L132&amp;","&amp;Q132&amp;","&amp;V132)))</f>
        <v>0,52,0</v>
      </c>
      <c r="E132" s="24" t="str">
        <f t="shared" ref="E132:E195" si="19">IF(AND(W132="",M132&lt;&gt;"",R132&lt;&gt;""),M132&amp;","&amp;R132,IF(AND(W132="",R132="",M132&lt;&gt;""),M132,IF(AND(W132="",R132="",M132=""),"",M132&amp;","&amp;R132&amp;","&amp;W132)))</f>
        <v>0,0,0</v>
      </c>
      <c r="F132" s="24" t="str">
        <f t="shared" ref="F132:F195" si="20">IF(AND(X132="",N132&lt;&gt;"",S132&lt;&gt;""),N132&amp;","&amp;S132,IF(AND(X132="",S132="",N132&lt;&gt;""),N132,IF(AND(X132="",S132="",N132=""),"",N132&amp;","&amp;S132&amp;","&amp;X132)))</f>
        <v>0,0,0</v>
      </c>
      <c r="G132" s="17" t="str">
        <f t="shared" ref="G132:G195" si="21">IF(AND(Y132="",O132&lt;&gt;"",T132&lt;&gt;""),O132&amp;","&amp;T132,IF(AND(Y132="",T132="",O132&lt;&gt;""),O132,IF(AND(Y132="",T132="",O132=""),"",O132&amp;","&amp;T132&amp;","&amp;Y132)))</f>
        <v>100,1,2</v>
      </c>
      <c r="H132" s="17" t="s">
        <v>31</v>
      </c>
      <c r="I132" s="17" t="s">
        <v>31</v>
      </c>
      <c r="K132" s="9">
        <v>4</v>
      </c>
      <c r="L132" s="9">
        <v>0</v>
      </c>
      <c r="M132" s="9">
        <v>0</v>
      </c>
      <c r="N132" s="9">
        <v>0</v>
      </c>
      <c r="O132" s="9">
        <v>100</v>
      </c>
      <c r="P132" s="9">
        <v>7</v>
      </c>
      <c r="Q132" s="9">
        <v>52</v>
      </c>
      <c r="R132" s="9">
        <v>0</v>
      </c>
      <c r="S132" s="9">
        <v>0</v>
      </c>
      <c r="T132" s="9">
        <v>1</v>
      </c>
      <c r="U132" s="9">
        <v>14</v>
      </c>
      <c r="V132" s="9">
        <v>0</v>
      </c>
      <c r="W132" s="9">
        <v>0</v>
      </c>
      <c r="X132" s="9">
        <v>0</v>
      </c>
      <c r="Y132" s="9">
        <v>2</v>
      </c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</row>
    <row r="133" spans="1:35" ht="13.5" customHeight="1">
      <c r="A133" s="18">
        <v>137</v>
      </c>
      <c r="B133" s="17">
        <v>10815</v>
      </c>
      <c r="C133" s="24" t="str">
        <f t="shared" si="17"/>
        <v>4,7</v>
      </c>
      <c r="D133" s="24" t="str">
        <f t="shared" si="18"/>
        <v>0,49</v>
      </c>
      <c r="E133" s="24" t="str">
        <f t="shared" si="19"/>
        <v>0,0</v>
      </c>
      <c r="F133" s="24" t="str">
        <f t="shared" si="20"/>
        <v>0,0</v>
      </c>
      <c r="G133" s="17" t="str">
        <f t="shared" si="21"/>
        <v>100,1</v>
      </c>
      <c r="H133" s="17" t="s">
        <v>31</v>
      </c>
      <c r="I133" s="17" t="s">
        <v>31</v>
      </c>
      <c r="K133" s="9">
        <v>4</v>
      </c>
      <c r="L133" s="9">
        <v>0</v>
      </c>
      <c r="M133" s="9">
        <v>0</v>
      </c>
      <c r="N133" s="9">
        <v>0</v>
      </c>
      <c r="O133" s="9">
        <v>100</v>
      </c>
      <c r="P133" s="9">
        <v>7</v>
      </c>
      <c r="Q133" s="9">
        <v>49</v>
      </c>
      <c r="R133" s="9">
        <v>0</v>
      </c>
      <c r="S133" s="9">
        <v>0</v>
      </c>
      <c r="T133" s="9">
        <v>1</v>
      </c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</row>
    <row r="134" spans="1:35" ht="13.5" customHeight="1">
      <c r="A134" s="18">
        <v>138</v>
      </c>
      <c r="B134" s="17">
        <v>10820</v>
      </c>
      <c r="C134" s="24" t="str">
        <f t="shared" si="17"/>
        <v>4,7,14</v>
      </c>
      <c r="D134" s="24" t="str">
        <f t="shared" si="18"/>
        <v>0,50,0</v>
      </c>
      <c r="E134" s="24" t="str">
        <f t="shared" si="19"/>
        <v>0,0,0</v>
      </c>
      <c r="F134" s="24" t="str">
        <f t="shared" si="20"/>
        <v>0,0,0</v>
      </c>
      <c r="G134" s="17" t="str">
        <f t="shared" si="21"/>
        <v>100,1,2</v>
      </c>
      <c r="H134" s="17" t="s">
        <v>31</v>
      </c>
      <c r="I134" s="17" t="s">
        <v>31</v>
      </c>
      <c r="K134" s="9">
        <v>4</v>
      </c>
      <c r="L134" s="9">
        <v>0</v>
      </c>
      <c r="M134" s="9">
        <v>0</v>
      </c>
      <c r="N134" s="9">
        <v>0</v>
      </c>
      <c r="O134" s="9">
        <v>100</v>
      </c>
      <c r="P134" s="9">
        <v>7</v>
      </c>
      <c r="Q134" s="9">
        <v>50</v>
      </c>
      <c r="R134" s="9">
        <v>0</v>
      </c>
      <c r="S134" s="9">
        <v>0</v>
      </c>
      <c r="T134" s="9">
        <v>1</v>
      </c>
      <c r="U134" s="9">
        <v>14</v>
      </c>
      <c r="V134" s="9">
        <v>0</v>
      </c>
      <c r="W134" s="9">
        <v>0</v>
      </c>
      <c r="X134" s="9">
        <v>0</v>
      </c>
      <c r="Y134" s="9">
        <v>2</v>
      </c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</row>
    <row r="135" spans="1:35" ht="13.5" customHeight="1">
      <c r="A135" s="18">
        <v>139</v>
      </c>
      <c r="B135" s="17">
        <v>10825</v>
      </c>
      <c r="C135" s="24" t="str">
        <f t="shared" si="17"/>
        <v>4,7</v>
      </c>
      <c r="D135" s="24" t="str">
        <f t="shared" si="18"/>
        <v>0,51</v>
      </c>
      <c r="E135" s="24" t="str">
        <f t="shared" si="19"/>
        <v>0,0</v>
      </c>
      <c r="F135" s="24" t="str">
        <f t="shared" si="20"/>
        <v>0,0</v>
      </c>
      <c r="G135" s="17" t="str">
        <f t="shared" si="21"/>
        <v>100,1</v>
      </c>
      <c r="H135" s="17" t="s">
        <v>31</v>
      </c>
      <c r="I135" s="17" t="s">
        <v>31</v>
      </c>
      <c r="K135" s="9">
        <v>4</v>
      </c>
      <c r="L135" s="9">
        <v>0</v>
      </c>
      <c r="M135" s="9">
        <v>0</v>
      </c>
      <c r="N135" s="9">
        <v>0</v>
      </c>
      <c r="O135" s="9">
        <v>100</v>
      </c>
      <c r="P135" s="9">
        <v>7</v>
      </c>
      <c r="Q135" s="9">
        <v>51</v>
      </c>
      <c r="R135" s="9">
        <v>0</v>
      </c>
      <c r="S135" s="9">
        <v>0</v>
      </c>
      <c r="T135" s="9">
        <v>1</v>
      </c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</row>
    <row r="136" spans="1:35" ht="13.5" customHeight="1">
      <c r="A136" s="18">
        <v>140</v>
      </c>
      <c r="B136" s="17">
        <v>10830</v>
      </c>
      <c r="C136" s="24" t="str">
        <f t="shared" si="17"/>
        <v>4,7,14</v>
      </c>
      <c r="D136" s="24" t="str">
        <f t="shared" si="18"/>
        <v>0,52,0</v>
      </c>
      <c r="E136" s="24" t="str">
        <f t="shared" si="19"/>
        <v>0,0,0</v>
      </c>
      <c r="F136" s="24" t="str">
        <f t="shared" si="20"/>
        <v>0,0,0</v>
      </c>
      <c r="G136" s="17" t="str">
        <f t="shared" si="21"/>
        <v>100,1,2</v>
      </c>
      <c r="H136" s="17" t="s">
        <v>31</v>
      </c>
      <c r="I136" s="17" t="s">
        <v>31</v>
      </c>
      <c r="K136" s="9">
        <v>4</v>
      </c>
      <c r="L136" s="9">
        <v>0</v>
      </c>
      <c r="M136" s="9">
        <v>0</v>
      </c>
      <c r="N136" s="9">
        <v>0</v>
      </c>
      <c r="O136" s="9">
        <v>100</v>
      </c>
      <c r="P136" s="9">
        <v>7</v>
      </c>
      <c r="Q136" s="9">
        <v>52</v>
      </c>
      <c r="R136" s="9">
        <v>0</v>
      </c>
      <c r="S136" s="9">
        <v>0</v>
      </c>
      <c r="T136" s="9">
        <v>1</v>
      </c>
      <c r="U136" s="9">
        <v>14</v>
      </c>
      <c r="V136" s="9">
        <v>0</v>
      </c>
      <c r="W136" s="9">
        <v>0</v>
      </c>
      <c r="X136" s="9">
        <v>0</v>
      </c>
      <c r="Y136" s="9">
        <v>2</v>
      </c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</row>
    <row r="137" spans="1:35" ht="13.5" customHeight="1">
      <c r="A137" s="18">
        <v>141</v>
      </c>
      <c r="B137" s="17">
        <v>10835</v>
      </c>
      <c r="C137" s="24" t="str">
        <f t="shared" si="17"/>
        <v>4,7</v>
      </c>
      <c r="D137" s="24" t="str">
        <f t="shared" si="18"/>
        <v>0,49</v>
      </c>
      <c r="E137" s="24" t="str">
        <f t="shared" si="19"/>
        <v>0,0</v>
      </c>
      <c r="F137" s="24" t="str">
        <f t="shared" si="20"/>
        <v>0,0</v>
      </c>
      <c r="G137" s="17" t="str">
        <f t="shared" si="21"/>
        <v>100,1</v>
      </c>
      <c r="H137" s="17" t="s">
        <v>31</v>
      </c>
      <c r="I137" s="17" t="s">
        <v>31</v>
      </c>
      <c r="K137" s="9">
        <v>4</v>
      </c>
      <c r="L137" s="9">
        <v>0</v>
      </c>
      <c r="M137" s="9">
        <v>0</v>
      </c>
      <c r="N137" s="9">
        <v>0</v>
      </c>
      <c r="O137" s="9">
        <v>100</v>
      </c>
      <c r="P137" s="9">
        <v>7</v>
      </c>
      <c r="Q137" s="9">
        <v>49</v>
      </c>
      <c r="R137" s="9">
        <v>0</v>
      </c>
      <c r="S137" s="9">
        <v>0</v>
      </c>
      <c r="T137" s="9">
        <v>1</v>
      </c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</row>
    <row r="138" spans="1:35" ht="13.5" customHeight="1">
      <c r="A138" s="18">
        <v>142</v>
      </c>
      <c r="B138" s="17">
        <v>10840</v>
      </c>
      <c r="C138" s="24" t="str">
        <f t="shared" si="17"/>
        <v>4,7,14</v>
      </c>
      <c r="D138" s="24" t="str">
        <f t="shared" si="18"/>
        <v>0,50,0</v>
      </c>
      <c r="E138" s="24" t="str">
        <f t="shared" si="19"/>
        <v>0,0,0</v>
      </c>
      <c r="F138" s="24" t="str">
        <f t="shared" si="20"/>
        <v>0,0,0</v>
      </c>
      <c r="G138" s="17" t="str">
        <f t="shared" si="21"/>
        <v>100,1,2</v>
      </c>
      <c r="H138" s="17" t="s">
        <v>31</v>
      </c>
      <c r="I138" s="17" t="s">
        <v>31</v>
      </c>
      <c r="K138" s="9">
        <v>4</v>
      </c>
      <c r="L138" s="9">
        <v>0</v>
      </c>
      <c r="M138" s="9">
        <v>0</v>
      </c>
      <c r="N138" s="9">
        <v>0</v>
      </c>
      <c r="O138" s="9">
        <v>100</v>
      </c>
      <c r="P138" s="9">
        <v>7</v>
      </c>
      <c r="Q138" s="9">
        <v>50</v>
      </c>
      <c r="R138" s="9">
        <v>0</v>
      </c>
      <c r="S138" s="9">
        <v>0</v>
      </c>
      <c r="T138" s="9">
        <v>1</v>
      </c>
      <c r="U138" s="9">
        <v>14</v>
      </c>
      <c r="V138" s="9">
        <v>0</v>
      </c>
      <c r="W138" s="9">
        <v>0</v>
      </c>
      <c r="X138" s="9">
        <v>0</v>
      </c>
      <c r="Y138" s="9">
        <v>2</v>
      </c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</row>
    <row r="139" spans="1:35" ht="13.5" customHeight="1">
      <c r="A139" s="18">
        <v>143</v>
      </c>
      <c r="B139" s="17">
        <v>10845</v>
      </c>
      <c r="C139" s="24" t="str">
        <f t="shared" si="17"/>
        <v>4,7</v>
      </c>
      <c r="D139" s="24" t="str">
        <f t="shared" si="18"/>
        <v>0,51</v>
      </c>
      <c r="E139" s="24" t="str">
        <f t="shared" si="19"/>
        <v>0,0</v>
      </c>
      <c r="F139" s="24" t="str">
        <f t="shared" si="20"/>
        <v>0,0</v>
      </c>
      <c r="G139" s="17" t="str">
        <f t="shared" si="21"/>
        <v>100,1</v>
      </c>
      <c r="H139" s="17" t="s">
        <v>31</v>
      </c>
      <c r="I139" s="17" t="s">
        <v>31</v>
      </c>
      <c r="K139" s="9">
        <v>4</v>
      </c>
      <c r="L139" s="9">
        <v>0</v>
      </c>
      <c r="M139" s="9">
        <v>0</v>
      </c>
      <c r="N139" s="9">
        <v>0</v>
      </c>
      <c r="O139" s="9">
        <v>100</v>
      </c>
      <c r="P139" s="9">
        <v>7</v>
      </c>
      <c r="Q139" s="9">
        <v>51</v>
      </c>
      <c r="R139" s="9">
        <v>0</v>
      </c>
      <c r="S139" s="9">
        <v>0</v>
      </c>
      <c r="T139" s="9">
        <v>1</v>
      </c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</row>
    <row r="140" spans="1:35" ht="13.5" customHeight="1">
      <c r="A140" s="18">
        <v>144</v>
      </c>
      <c r="B140" s="17">
        <v>10850</v>
      </c>
      <c r="C140" s="24" t="str">
        <f t="shared" si="17"/>
        <v>4,6,14</v>
      </c>
      <c r="D140" s="24" t="str">
        <f t="shared" si="18"/>
        <v>0,1,0</v>
      </c>
      <c r="E140" s="24" t="str">
        <f t="shared" si="19"/>
        <v>0,0,0</v>
      </c>
      <c r="F140" s="24" t="str">
        <f t="shared" si="20"/>
        <v>0,5,0</v>
      </c>
      <c r="G140" s="17" t="str">
        <f t="shared" si="21"/>
        <v>200,50,2</v>
      </c>
      <c r="H140" s="17" t="s">
        <v>31</v>
      </c>
      <c r="I140" s="17" t="s">
        <v>31</v>
      </c>
      <c r="K140" s="9">
        <v>4</v>
      </c>
      <c r="L140" s="9">
        <v>0</v>
      </c>
      <c r="M140" s="9">
        <v>0</v>
      </c>
      <c r="N140" s="9">
        <v>0</v>
      </c>
      <c r="O140" s="9">
        <v>200</v>
      </c>
      <c r="P140" s="9">
        <v>6</v>
      </c>
      <c r="Q140" s="9">
        <v>1</v>
      </c>
      <c r="R140" s="9">
        <v>0</v>
      </c>
      <c r="S140" s="9">
        <v>5</v>
      </c>
      <c r="T140" s="9">
        <v>50</v>
      </c>
      <c r="U140" s="9">
        <v>14</v>
      </c>
      <c r="V140" s="9">
        <v>0</v>
      </c>
      <c r="W140" s="9">
        <v>0</v>
      </c>
      <c r="X140" s="9">
        <v>0</v>
      </c>
      <c r="Y140" s="9">
        <v>2</v>
      </c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</row>
    <row r="141" spans="1:35" ht="13.5" customHeight="1">
      <c r="A141" s="18">
        <v>145</v>
      </c>
      <c r="B141" s="17">
        <v>10905</v>
      </c>
      <c r="C141" s="24" t="str">
        <f t="shared" si="17"/>
        <v>4,7</v>
      </c>
      <c r="D141" s="24" t="str">
        <f t="shared" si="18"/>
        <v>0,52</v>
      </c>
      <c r="E141" s="24" t="str">
        <f t="shared" si="19"/>
        <v>0,0</v>
      </c>
      <c r="F141" s="24" t="str">
        <f t="shared" si="20"/>
        <v>0,0</v>
      </c>
      <c r="G141" s="17" t="str">
        <f t="shared" si="21"/>
        <v>100,1</v>
      </c>
      <c r="H141" s="17" t="s">
        <v>31</v>
      </c>
      <c r="I141" s="17" t="s">
        <v>31</v>
      </c>
      <c r="J141" s="40"/>
      <c r="K141" s="9">
        <v>4</v>
      </c>
      <c r="L141" s="9">
        <v>0</v>
      </c>
      <c r="M141" s="9">
        <v>0</v>
      </c>
      <c r="N141" s="9">
        <v>0</v>
      </c>
      <c r="O141" s="9">
        <v>100</v>
      </c>
      <c r="P141" s="9">
        <v>7</v>
      </c>
      <c r="Q141" s="9">
        <v>52</v>
      </c>
      <c r="R141" s="9">
        <v>0</v>
      </c>
      <c r="S141" s="9">
        <v>0</v>
      </c>
      <c r="T141" s="9">
        <v>1</v>
      </c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</row>
    <row r="142" spans="1:35" ht="13.5" customHeight="1">
      <c r="A142" s="18">
        <v>146</v>
      </c>
      <c r="B142" s="17">
        <v>10910</v>
      </c>
      <c r="C142" s="24" t="str">
        <f t="shared" si="17"/>
        <v>4,7,14</v>
      </c>
      <c r="D142" s="24" t="str">
        <f t="shared" si="18"/>
        <v>0,49,0</v>
      </c>
      <c r="E142" s="24" t="str">
        <f t="shared" si="19"/>
        <v>0,0,0</v>
      </c>
      <c r="F142" s="24" t="str">
        <f t="shared" si="20"/>
        <v>0,0,0</v>
      </c>
      <c r="G142" s="17" t="str">
        <f t="shared" si="21"/>
        <v>100,1,2</v>
      </c>
      <c r="H142" s="17" t="s">
        <v>31</v>
      </c>
      <c r="I142" s="17" t="s">
        <v>31</v>
      </c>
      <c r="K142" s="9">
        <v>4</v>
      </c>
      <c r="L142" s="9">
        <v>0</v>
      </c>
      <c r="M142" s="9">
        <v>0</v>
      </c>
      <c r="N142" s="9">
        <v>0</v>
      </c>
      <c r="O142" s="9">
        <v>100</v>
      </c>
      <c r="P142" s="9">
        <v>7</v>
      </c>
      <c r="Q142" s="9">
        <v>49</v>
      </c>
      <c r="R142" s="9">
        <v>0</v>
      </c>
      <c r="S142" s="9">
        <v>0</v>
      </c>
      <c r="T142" s="9">
        <v>1</v>
      </c>
      <c r="U142" s="9">
        <v>14</v>
      </c>
      <c r="V142" s="9">
        <v>0</v>
      </c>
      <c r="W142" s="9">
        <v>0</v>
      </c>
      <c r="X142" s="9">
        <v>0</v>
      </c>
      <c r="Y142" s="9">
        <v>2</v>
      </c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</row>
    <row r="143" spans="1:35" ht="13.5" customHeight="1">
      <c r="A143" s="18">
        <v>147</v>
      </c>
      <c r="B143" s="17">
        <v>10915</v>
      </c>
      <c r="C143" s="24" t="str">
        <f t="shared" si="17"/>
        <v>4,7</v>
      </c>
      <c r="D143" s="24" t="str">
        <f t="shared" si="18"/>
        <v>0,50</v>
      </c>
      <c r="E143" s="24" t="str">
        <f t="shared" si="19"/>
        <v>0,0</v>
      </c>
      <c r="F143" s="24" t="str">
        <f t="shared" si="20"/>
        <v>0,0</v>
      </c>
      <c r="G143" s="17" t="str">
        <f t="shared" si="21"/>
        <v>100,1</v>
      </c>
      <c r="H143" s="17" t="s">
        <v>31</v>
      </c>
      <c r="I143" s="17" t="s">
        <v>31</v>
      </c>
      <c r="K143" s="9">
        <v>4</v>
      </c>
      <c r="L143" s="9">
        <v>0</v>
      </c>
      <c r="M143" s="9">
        <v>0</v>
      </c>
      <c r="N143" s="9">
        <v>0</v>
      </c>
      <c r="O143" s="9">
        <v>100</v>
      </c>
      <c r="P143" s="9">
        <v>7</v>
      </c>
      <c r="Q143" s="9">
        <v>50</v>
      </c>
      <c r="R143" s="9">
        <v>0</v>
      </c>
      <c r="S143" s="9">
        <v>0</v>
      </c>
      <c r="T143" s="9">
        <v>1</v>
      </c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</row>
    <row r="144" spans="1:35" ht="13.5" customHeight="1">
      <c r="A144" s="18">
        <v>148</v>
      </c>
      <c r="B144" s="17">
        <v>10920</v>
      </c>
      <c r="C144" s="24" t="str">
        <f t="shared" si="17"/>
        <v>4,7,14</v>
      </c>
      <c r="D144" s="24" t="str">
        <f t="shared" si="18"/>
        <v>0,51,0</v>
      </c>
      <c r="E144" s="24" t="str">
        <f t="shared" si="19"/>
        <v>0,0,0</v>
      </c>
      <c r="F144" s="24" t="str">
        <f t="shared" si="20"/>
        <v>0,0,0</v>
      </c>
      <c r="G144" s="17" t="str">
        <f t="shared" si="21"/>
        <v>100,1,2</v>
      </c>
      <c r="H144" s="17" t="s">
        <v>31</v>
      </c>
      <c r="I144" s="17" t="s">
        <v>31</v>
      </c>
      <c r="K144" s="9">
        <v>4</v>
      </c>
      <c r="L144" s="9">
        <v>0</v>
      </c>
      <c r="M144" s="9">
        <v>0</v>
      </c>
      <c r="N144" s="9">
        <v>0</v>
      </c>
      <c r="O144" s="9">
        <v>100</v>
      </c>
      <c r="P144" s="9">
        <v>7</v>
      </c>
      <c r="Q144" s="9">
        <v>51</v>
      </c>
      <c r="R144" s="9">
        <v>0</v>
      </c>
      <c r="S144" s="9">
        <v>0</v>
      </c>
      <c r="T144" s="9">
        <v>1</v>
      </c>
      <c r="U144" s="9">
        <v>14</v>
      </c>
      <c r="V144" s="9">
        <v>0</v>
      </c>
      <c r="W144" s="9">
        <v>0</v>
      </c>
      <c r="X144" s="9">
        <v>0</v>
      </c>
      <c r="Y144" s="9">
        <v>2</v>
      </c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</row>
    <row r="145" spans="1:35" ht="13.5" customHeight="1">
      <c r="A145" s="18">
        <v>149</v>
      </c>
      <c r="B145" s="17">
        <v>10925</v>
      </c>
      <c r="C145" s="24" t="str">
        <f t="shared" si="17"/>
        <v>4,7</v>
      </c>
      <c r="D145" s="24" t="str">
        <f t="shared" si="18"/>
        <v>0,52</v>
      </c>
      <c r="E145" s="24" t="str">
        <f t="shared" si="19"/>
        <v>0,0</v>
      </c>
      <c r="F145" s="24" t="str">
        <f t="shared" si="20"/>
        <v>0,0</v>
      </c>
      <c r="G145" s="17" t="str">
        <f t="shared" si="21"/>
        <v>100,1</v>
      </c>
      <c r="H145" s="17" t="s">
        <v>31</v>
      </c>
      <c r="I145" s="17" t="s">
        <v>31</v>
      </c>
      <c r="K145" s="9">
        <v>4</v>
      </c>
      <c r="L145" s="9">
        <v>0</v>
      </c>
      <c r="M145" s="9">
        <v>0</v>
      </c>
      <c r="N145" s="9">
        <v>0</v>
      </c>
      <c r="O145" s="9">
        <v>100</v>
      </c>
      <c r="P145" s="9">
        <v>7</v>
      </c>
      <c r="Q145" s="9">
        <v>52</v>
      </c>
      <c r="R145" s="9">
        <v>0</v>
      </c>
      <c r="S145" s="9">
        <v>0</v>
      </c>
      <c r="T145" s="9">
        <v>1</v>
      </c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</row>
    <row r="146" spans="1:35" ht="13.5" customHeight="1">
      <c r="A146" s="18">
        <v>150</v>
      </c>
      <c r="B146" s="17">
        <v>10930</v>
      </c>
      <c r="C146" s="24" t="str">
        <f t="shared" si="17"/>
        <v>4,7,14</v>
      </c>
      <c r="D146" s="24" t="str">
        <f t="shared" si="18"/>
        <v>0,49,0</v>
      </c>
      <c r="E146" s="24" t="str">
        <f t="shared" si="19"/>
        <v>0,0,0</v>
      </c>
      <c r="F146" s="24" t="str">
        <f t="shared" si="20"/>
        <v>0,0,0</v>
      </c>
      <c r="G146" s="17" t="str">
        <f t="shared" si="21"/>
        <v>100,1,2</v>
      </c>
      <c r="H146" s="17" t="s">
        <v>31</v>
      </c>
      <c r="I146" s="17" t="s">
        <v>31</v>
      </c>
      <c r="K146" s="9">
        <v>4</v>
      </c>
      <c r="L146" s="9">
        <v>0</v>
      </c>
      <c r="M146" s="9">
        <v>0</v>
      </c>
      <c r="N146" s="9">
        <v>0</v>
      </c>
      <c r="O146" s="9">
        <v>100</v>
      </c>
      <c r="P146" s="9">
        <v>7</v>
      </c>
      <c r="Q146" s="9">
        <v>49</v>
      </c>
      <c r="R146" s="9">
        <v>0</v>
      </c>
      <c r="S146" s="9">
        <v>0</v>
      </c>
      <c r="T146" s="9">
        <v>1</v>
      </c>
      <c r="U146" s="9">
        <v>14</v>
      </c>
      <c r="V146" s="9">
        <v>0</v>
      </c>
      <c r="W146" s="9">
        <v>0</v>
      </c>
      <c r="X146" s="9">
        <v>0</v>
      </c>
      <c r="Y146" s="9">
        <v>2</v>
      </c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</row>
    <row r="147" spans="1:35" ht="13.5" customHeight="1">
      <c r="A147" s="18">
        <v>151</v>
      </c>
      <c r="B147" s="17">
        <v>10935</v>
      </c>
      <c r="C147" s="24" t="str">
        <f t="shared" si="17"/>
        <v>4,7</v>
      </c>
      <c r="D147" s="24" t="str">
        <f t="shared" si="18"/>
        <v>0,50</v>
      </c>
      <c r="E147" s="24" t="str">
        <f t="shared" si="19"/>
        <v>0,0</v>
      </c>
      <c r="F147" s="24" t="str">
        <f t="shared" si="20"/>
        <v>0,0</v>
      </c>
      <c r="G147" s="17" t="str">
        <f t="shared" si="21"/>
        <v>100,1</v>
      </c>
      <c r="H147" s="17" t="s">
        <v>31</v>
      </c>
      <c r="I147" s="17" t="s">
        <v>31</v>
      </c>
      <c r="K147" s="9">
        <v>4</v>
      </c>
      <c r="L147" s="9">
        <v>0</v>
      </c>
      <c r="M147" s="9">
        <v>0</v>
      </c>
      <c r="N147" s="9">
        <v>0</v>
      </c>
      <c r="O147" s="9">
        <v>100</v>
      </c>
      <c r="P147" s="9">
        <v>7</v>
      </c>
      <c r="Q147" s="9">
        <v>50</v>
      </c>
      <c r="R147" s="9">
        <v>0</v>
      </c>
      <c r="S147" s="9">
        <v>0</v>
      </c>
      <c r="T147" s="9">
        <v>1</v>
      </c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</row>
    <row r="148" spans="1:35" ht="13.5" customHeight="1">
      <c r="A148" s="18">
        <v>152</v>
      </c>
      <c r="B148" s="17">
        <v>10940</v>
      </c>
      <c r="C148" s="24" t="str">
        <f t="shared" si="17"/>
        <v>4,7,14</v>
      </c>
      <c r="D148" s="24" t="str">
        <f t="shared" si="18"/>
        <v>0,51,0</v>
      </c>
      <c r="E148" s="24" t="str">
        <f t="shared" si="19"/>
        <v>0,0,0</v>
      </c>
      <c r="F148" s="24" t="str">
        <f t="shared" si="20"/>
        <v>0,0,0</v>
      </c>
      <c r="G148" s="17" t="str">
        <f t="shared" si="21"/>
        <v>100,1,2</v>
      </c>
      <c r="H148" s="17" t="s">
        <v>31</v>
      </c>
      <c r="I148" s="17" t="s">
        <v>31</v>
      </c>
      <c r="K148" s="9">
        <v>4</v>
      </c>
      <c r="L148" s="9">
        <v>0</v>
      </c>
      <c r="M148" s="9">
        <v>0</v>
      </c>
      <c r="N148" s="9">
        <v>0</v>
      </c>
      <c r="O148" s="9">
        <v>100</v>
      </c>
      <c r="P148" s="9">
        <v>7</v>
      </c>
      <c r="Q148" s="9">
        <v>51</v>
      </c>
      <c r="R148" s="9">
        <v>0</v>
      </c>
      <c r="S148" s="9">
        <v>0</v>
      </c>
      <c r="T148" s="9">
        <v>1</v>
      </c>
      <c r="U148" s="9">
        <v>14</v>
      </c>
      <c r="V148" s="9">
        <v>0</v>
      </c>
      <c r="W148" s="9">
        <v>0</v>
      </c>
      <c r="X148" s="9">
        <v>0</v>
      </c>
      <c r="Y148" s="9">
        <v>2</v>
      </c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</row>
    <row r="149" spans="1:35" ht="13.5" customHeight="1">
      <c r="A149" s="18">
        <v>153</v>
      </c>
      <c r="B149" s="17">
        <v>10945</v>
      </c>
      <c r="C149" s="24" t="str">
        <f t="shared" si="17"/>
        <v>4,7</v>
      </c>
      <c r="D149" s="24" t="str">
        <f t="shared" si="18"/>
        <v>0,52</v>
      </c>
      <c r="E149" s="24" t="str">
        <f t="shared" si="19"/>
        <v>0,0</v>
      </c>
      <c r="F149" s="24" t="str">
        <f t="shared" si="20"/>
        <v>0,0</v>
      </c>
      <c r="G149" s="17" t="str">
        <f t="shared" si="21"/>
        <v>100,1</v>
      </c>
      <c r="H149" s="17" t="s">
        <v>31</v>
      </c>
      <c r="I149" s="17" t="s">
        <v>31</v>
      </c>
      <c r="K149" s="9">
        <v>4</v>
      </c>
      <c r="L149" s="9">
        <v>0</v>
      </c>
      <c r="M149" s="9">
        <v>0</v>
      </c>
      <c r="N149" s="9">
        <v>0</v>
      </c>
      <c r="O149" s="9">
        <v>100</v>
      </c>
      <c r="P149" s="9">
        <v>7</v>
      </c>
      <c r="Q149" s="9">
        <v>52</v>
      </c>
      <c r="R149" s="9">
        <v>0</v>
      </c>
      <c r="S149" s="9">
        <v>0</v>
      </c>
      <c r="T149" s="9">
        <v>1</v>
      </c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</row>
    <row r="150" spans="1:35" ht="13.5" customHeight="1">
      <c r="A150" s="18">
        <v>154</v>
      </c>
      <c r="B150" s="17">
        <v>10950</v>
      </c>
      <c r="C150" s="24" t="str">
        <f t="shared" si="17"/>
        <v>4,6,14</v>
      </c>
      <c r="D150" s="24" t="str">
        <f t="shared" si="18"/>
        <v>0,1,0</v>
      </c>
      <c r="E150" s="24" t="str">
        <f t="shared" si="19"/>
        <v>0,0,0</v>
      </c>
      <c r="F150" s="24" t="str">
        <f t="shared" si="20"/>
        <v>0,5,0</v>
      </c>
      <c r="G150" s="17" t="str">
        <f t="shared" si="21"/>
        <v>200,50,2</v>
      </c>
      <c r="H150" s="17" t="s">
        <v>31</v>
      </c>
      <c r="I150" s="17" t="s">
        <v>31</v>
      </c>
      <c r="K150" s="9">
        <v>4</v>
      </c>
      <c r="L150" s="9">
        <v>0</v>
      </c>
      <c r="M150" s="9">
        <v>0</v>
      </c>
      <c r="N150" s="9">
        <v>0</v>
      </c>
      <c r="O150" s="9">
        <v>200</v>
      </c>
      <c r="P150" s="9">
        <v>6</v>
      </c>
      <c r="Q150" s="9">
        <v>1</v>
      </c>
      <c r="R150" s="9">
        <v>0</v>
      </c>
      <c r="S150" s="9">
        <v>5</v>
      </c>
      <c r="T150" s="9">
        <v>50</v>
      </c>
      <c r="U150" s="9">
        <v>14</v>
      </c>
      <c r="V150" s="9">
        <v>0</v>
      </c>
      <c r="W150" s="9">
        <v>0</v>
      </c>
      <c r="X150" s="9">
        <v>0</v>
      </c>
      <c r="Y150" s="9">
        <v>2</v>
      </c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</row>
    <row r="151" spans="1:35" ht="13.5" customHeight="1">
      <c r="A151" s="18">
        <v>155</v>
      </c>
      <c r="B151" s="17">
        <v>11005</v>
      </c>
      <c r="C151" s="24" t="str">
        <f t="shared" si="17"/>
        <v>4,7</v>
      </c>
      <c r="D151" s="24" t="str">
        <f t="shared" si="18"/>
        <v>0,49</v>
      </c>
      <c r="E151" s="24" t="str">
        <f t="shared" si="19"/>
        <v>0,0</v>
      </c>
      <c r="F151" s="24" t="str">
        <f t="shared" si="20"/>
        <v>0,0</v>
      </c>
      <c r="G151" s="17" t="str">
        <f t="shared" si="21"/>
        <v>100,1</v>
      </c>
      <c r="H151" s="17" t="s">
        <v>31</v>
      </c>
      <c r="I151" s="17" t="s">
        <v>31</v>
      </c>
      <c r="K151" s="9">
        <v>4</v>
      </c>
      <c r="L151" s="9">
        <v>0</v>
      </c>
      <c r="M151" s="9">
        <v>0</v>
      </c>
      <c r="N151" s="9">
        <v>0</v>
      </c>
      <c r="O151" s="9">
        <v>100</v>
      </c>
      <c r="P151" s="9">
        <v>7</v>
      </c>
      <c r="Q151" s="9">
        <v>49</v>
      </c>
      <c r="R151" s="9">
        <v>0</v>
      </c>
      <c r="S151" s="9">
        <v>0</v>
      </c>
      <c r="T151" s="9">
        <v>1</v>
      </c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</row>
    <row r="152" spans="1:35" ht="13.5" customHeight="1">
      <c r="A152" s="18">
        <v>156</v>
      </c>
      <c r="B152" s="17">
        <v>11010</v>
      </c>
      <c r="C152" s="24" t="str">
        <f t="shared" si="17"/>
        <v>4,7,14</v>
      </c>
      <c r="D152" s="24" t="str">
        <f t="shared" si="18"/>
        <v>0,50,0</v>
      </c>
      <c r="E152" s="24" t="str">
        <f t="shared" si="19"/>
        <v>0,0,0</v>
      </c>
      <c r="F152" s="24" t="str">
        <f t="shared" si="20"/>
        <v>0,0,0</v>
      </c>
      <c r="G152" s="17" t="str">
        <f t="shared" si="21"/>
        <v>100,1,2</v>
      </c>
      <c r="H152" s="17" t="s">
        <v>31</v>
      </c>
      <c r="I152" s="17" t="s">
        <v>31</v>
      </c>
      <c r="K152" s="9">
        <v>4</v>
      </c>
      <c r="L152" s="9">
        <v>0</v>
      </c>
      <c r="M152" s="9">
        <v>0</v>
      </c>
      <c r="N152" s="9">
        <v>0</v>
      </c>
      <c r="O152" s="9">
        <v>100</v>
      </c>
      <c r="P152" s="9">
        <v>7</v>
      </c>
      <c r="Q152" s="9">
        <v>50</v>
      </c>
      <c r="R152" s="9">
        <v>0</v>
      </c>
      <c r="S152" s="9">
        <v>0</v>
      </c>
      <c r="T152" s="9">
        <v>1</v>
      </c>
      <c r="U152" s="9">
        <v>14</v>
      </c>
      <c r="V152" s="9">
        <v>0</v>
      </c>
      <c r="W152" s="9">
        <v>0</v>
      </c>
      <c r="X152" s="9">
        <v>0</v>
      </c>
      <c r="Y152" s="9">
        <v>2</v>
      </c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</row>
    <row r="153" spans="1:35" ht="13.5" customHeight="1">
      <c r="A153" s="18">
        <v>157</v>
      </c>
      <c r="B153" s="17">
        <v>11015</v>
      </c>
      <c r="C153" s="24" t="str">
        <f t="shared" si="17"/>
        <v>4,7</v>
      </c>
      <c r="D153" s="24" t="str">
        <f t="shared" si="18"/>
        <v>0,51</v>
      </c>
      <c r="E153" s="24" t="str">
        <f t="shared" si="19"/>
        <v>0,0</v>
      </c>
      <c r="F153" s="24" t="str">
        <f t="shared" si="20"/>
        <v>0,0</v>
      </c>
      <c r="G153" s="17" t="str">
        <f t="shared" si="21"/>
        <v>100,1</v>
      </c>
      <c r="H153" s="17" t="s">
        <v>31</v>
      </c>
      <c r="I153" s="17" t="s">
        <v>31</v>
      </c>
      <c r="K153" s="9">
        <v>4</v>
      </c>
      <c r="L153" s="9">
        <v>0</v>
      </c>
      <c r="M153" s="9">
        <v>0</v>
      </c>
      <c r="N153" s="9">
        <v>0</v>
      </c>
      <c r="O153" s="9">
        <v>100</v>
      </c>
      <c r="P153" s="9">
        <v>7</v>
      </c>
      <c r="Q153" s="9">
        <v>51</v>
      </c>
      <c r="R153" s="9">
        <v>0</v>
      </c>
      <c r="S153" s="9">
        <v>0</v>
      </c>
      <c r="T153" s="9">
        <v>1</v>
      </c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</row>
    <row r="154" spans="1:35" ht="13.5" customHeight="1">
      <c r="A154" s="18">
        <v>158</v>
      </c>
      <c r="B154" s="17">
        <v>11020</v>
      </c>
      <c r="C154" s="24" t="str">
        <f t="shared" si="17"/>
        <v>4,7,14</v>
      </c>
      <c r="D154" s="24" t="str">
        <f t="shared" si="18"/>
        <v>0,52,0</v>
      </c>
      <c r="E154" s="24" t="str">
        <f t="shared" si="19"/>
        <v>0,0,0</v>
      </c>
      <c r="F154" s="24" t="str">
        <f t="shared" si="20"/>
        <v>0,0,0</v>
      </c>
      <c r="G154" s="17" t="str">
        <f t="shared" si="21"/>
        <v>100,1,2</v>
      </c>
      <c r="H154" s="17" t="s">
        <v>31</v>
      </c>
      <c r="I154" s="17" t="s">
        <v>31</v>
      </c>
      <c r="K154" s="9">
        <v>4</v>
      </c>
      <c r="L154" s="9">
        <v>0</v>
      </c>
      <c r="M154" s="9">
        <v>0</v>
      </c>
      <c r="N154" s="9">
        <v>0</v>
      </c>
      <c r="O154" s="9">
        <v>100</v>
      </c>
      <c r="P154" s="9">
        <v>7</v>
      </c>
      <c r="Q154" s="9">
        <v>52</v>
      </c>
      <c r="R154" s="9">
        <v>0</v>
      </c>
      <c r="S154" s="9">
        <v>0</v>
      </c>
      <c r="T154" s="9">
        <v>1</v>
      </c>
      <c r="U154" s="9">
        <v>14</v>
      </c>
      <c r="V154" s="9">
        <v>0</v>
      </c>
      <c r="W154" s="9">
        <v>0</v>
      </c>
      <c r="X154" s="9">
        <v>0</v>
      </c>
      <c r="Y154" s="9">
        <v>2</v>
      </c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</row>
    <row r="155" spans="1:35" ht="13.5" customHeight="1">
      <c r="A155" s="18">
        <v>159</v>
      </c>
      <c r="B155" s="17">
        <v>11025</v>
      </c>
      <c r="C155" s="24" t="str">
        <f t="shared" si="17"/>
        <v>4,7</v>
      </c>
      <c r="D155" s="24" t="str">
        <f t="shared" si="18"/>
        <v>0,49</v>
      </c>
      <c r="E155" s="24" t="str">
        <f t="shared" si="19"/>
        <v>0,0</v>
      </c>
      <c r="F155" s="24" t="str">
        <f t="shared" si="20"/>
        <v>0,0</v>
      </c>
      <c r="G155" s="17" t="str">
        <f t="shared" si="21"/>
        <v>100,1</v>
      </c>
      <c r="H155" s="17" t="s">
        <v>31</v>
      </c>
      <c r="I155" s="17" t="s">
        <v>31</v>
      </c>
      <c r="K155" s="9">
        <v>4</v>
      </c>
      <c r="L155" s="9">
        <v>0</v>
      </c>
      <c r="M155" s="9">
        <v>0</v>
      </c>
      <c r="N155" s="9">
        <v>0</v>
      </c>
      <c r="O155" s="9">
        <v>100</v>
      </c>
      <c r="P155" s="9">
        <v>7</v>
      </c>
      <c r="Q155" s="9">
        <v>49</v>
      </c>
      <c r="R155" s="9">
        <v>0</v>
      </c>
      <c r="S155" s="9">
        <v>0</v>
      </c>
      <c r="T155" s="9">
        <v>1</v>
      </c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</row>
    <row r="156" spans="1:35" ht="13.5" customHeight="1">
      <c r="A156" s="18">
        <v>160</v>
      </c>
      <c r="B156" s="17">
        <v>11030</v>
      </c>
      <c r="C156" s="24" t="str">
        <f t="shared" si="17"/>
        <v>4,7,14</v>
      </c>
      <c r="D156" s="24" t="str">
        <f t="shared" si="18"/>
        <v>0,50,0</v>
      </c>
      <c r="E156" s="24" t="str">
        <f t="shared" si="19"/>
        <v>0,0,0</v>
      </c>
      <c r="F156" s="24" t="str">
        <f t="shared" si="20"/>
        <v>0,0,0</v>
      </c>
      <c r="G156" s="17" t="str">
        <f t="shared" si="21"/>
        <v>100,1,2</v>
      </c>
      <c r="H156" s="17" t="s">
        <v>31</v>
      </c>
      <c r="I156" s="17" t="s">
        <v>31</v>
      </c>
      <c r="K156" s="9">
        <v>4</v>
      </c>
      <c r="L156" s="9">
        <v>0</v>
      </c>
      <c r="M156" s="9">
        <v>0</v>
      </c>
      <c r="N156" s="9">
        <v>0</v>
      </c>
      <c r="O156" s="9">
        <v>100</v>
      </c>
      <c r="P156" s="9">
        <v>7</v>
      </c>
      <c r="Q156" s="9">
        <v>50</v>
      </c>
      <c r="R156" s="9">
        <v>0</v>
      </c>
      <c r="S156" s="9">
        <v>0</v>
      </c>
      <c r="T156" s="9">
        <v>1</v>
      </c>
      <c r="U156" s="9">
        <v>14</v>
      </c>
      <c r="V156" s="9">
        <v>0</v>
      </c>
      <c r="W156" s="9">
        <v>0</v>
      </c>
      <c r="X156" s="9">
        <v>0</v>
      </c>
      <c r="Y156" s="9">
        <v>2</v>
      </c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</row>
    <row r="157" spans="1:35" ht="13.5" customHeight="1">
      <c r="A157" s="18">
        <v>161</v>
      </c>
      <c r="B157" s="17">
        <v>11035</v>
      </c>
      <c r="C157" s="24" t="str">
        <f t="shared" si="17"/>
        <v>4,7</v>
      </c>
      <c r="D157" s="24" t="str">
        <f t="shared" si="18"/>
        <v>0,51</v>
      </c>
      <c r="E157" s="24" t="str">
        <f t="shared" si="19"/>
        <v>0,0</v>
      </c>
      <c r="F157" s="24" t="str">
        <f t="shared" si="20"/>
        <v>0,0</v>
      </c>
      <c r="G157" s="17" t="str">
        <f t="shared" si="21"/>
        <v>100,1</v>
      </c>
      <c r="H157" s="17" t="s">
        <v>31</v>
      </c>
      <c r="I157" s="17" t="s">
        <v>31</v>
      </c>
      <c r="K157" s="9">
        <v>4</v>
      </c>
      <c r="L157" s="9">
        <v>0</v>
      </c>
      <c r="M157" s="9">
        <v>0</v>
      </c>
      <c r="N157" s="9">
        <v>0</v>
      </c>
      <c r="O157" s="9">
        <v>100</v>
      </c>
      <c r="P157" s="9">
        <v>7</v>
      </c>
      <c r="Q157" s="9">
        <v>51</v>
      </c>
      <c r="R157" s="9">
        <v>0</v>
      </c>
      <c r="S157" s="9">
        <v>0</v>
      </c>
      <c r="T157" s="9">
        <v>1</v>
      </c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</row>
    <row r="158" spans="1:35" ht="13.5" customHeight="1">
      <c r="A158" s="18">
        <v>162</v>
      </c>
      <c r="B158" s="17">
        <v>11040</v>
      </c>
      <c r="C158" s="24" t="str">
        <f t="shared" si="17"/>
        <v>4,7,14</v>
      </c>
      <c r="D158" s="24" t="str">
        <f t="shared" si="18"/>
        <v>0,52,0</v>
      </c>
      <c r="E158" s="24" t="str">
        <f t="shared" si="19"/>
        <v>0,0,0</v>
      </c>
      <c r="F158" s="24" t="str">
        <f t="shared" si="20"/>
        <v>0,0,0</v>
      </c>
      <c r="G158" s="17" t="str">
        <f t="shared" si="21"/>
        <v>100,1,2</v>
      </c>
      <c r="H158" s="17" t="s">
        <v>31</v>
      </c>
      <c r="I158" s="17" t="s">
        <v>31</v>
      </c>
      <c r="K158" s="9">
        <v>4</v>
      </c>
      <c r="L158" s="9">
        <v>0</v>
      </c>
      <c r="M158" s="9">
        <v>0</v>
      </c>
      <c r="N158" s="9">
        <v>0</v>
      </c>
      <c r="O158" s="9">
        <v>100</v>
      </c>
      <c r="P158" s="9">
        <v>7</v>
      </c>
      <c r="Q158" s="9">
        <v>52</v>
      </c>
      <c r="R158" s="9">
        <v>0</v>
      </c>
      <c r="S158" s="9">
        <v>0</v>
      </c>
      <c r="T158" s="9">
        <v>1</v>
      </c>
      <c r="U158" s="9">
        <v>14</v>
      </c>
      <c r="V158" s="9">
        <v>0</v>
      </c>
      <c r="W158" s="9">
        <v>0</v>
      </c>
      <c r="X158" s="9">
        <v>0</v>
      </c>
      <c r="Y158" s="9">
        <v>2</v>
      </c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</row>
    <row r="159" spans="1:35" ht="13.5" customHeight="1">
      <c r="A159" s="18">
        <v>163</v>
      </c>
      <c r="B159" s="17">
        <v>11045</v>
      </c>
      <c r="C159" s="24" t="str">
        <f t="shared" si="17"/>
        <v>4,7</v>
      </c>
      <c r="D159" s="24" t="str">
        <f t="shared" si="18"/>
        <v>0,49</v>
      </c>
      <c r="E159" s="24" t="str">
        <f t="shared" si="19"/>
        <v>0,0</v>
      </c>
      <c r="F159" s="24" t="str">
        <f t="shared" si="20"/>
        <v>0,0</v>
      </c>
      <c r="G159" s="17" t="str">
        <f t="shared" si="21"/>
        <v>100,1</v>
      </c>
      <c r="H159" s="17" t="s">
        <v>31</v>
      </c>
      <c r="I159" s="17" t="s">
        <v>31</v>
      </c>
      <c r="K159" s="9">
        <v>4</v>
      </c>
      <c r="L159" s="9">
        <v>0</v>
      </c>
      <c r="M159" s="9">
        <v>0</v>
      </c>
      <c r="N159" s="9">
        <v>0</v>
      </c>
      <c r="O159" s="9">
        <v>100</v>
      </c>
      <c r="P159" s="9">
        <v>7</v>
      </c>
      <c r="Q159" s="9">
        <v>49</v>
      </c>
      <c r="R159" s="9">
        <v>0</v>
      </c>
      <c r="S159" s="9">
        <v>0</v>
      </c>
      <c r="T159" s="9">
        <v>1</v>
      </c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</row>
    <row r="160" spans="1:35" ht="13.5" customHeight="1">
      <c r="A160" s="18">
        <v>164</v>
      </c>
      <c r="B160" s="17">
        <v>11050</v>
      </c>
      <c r="C160" s="24" t="str">
        <f t="shared" si="17"/>
        <v>4,6,14</v>
      </c>
      <c r="D160" s="24" t="str">
        <f t="shared" si="18"/>
        <v>0,1,0</v>
      </c>
      <c r="E160" s="24" t="str">
        <f t="shared" si="19"/>
        <v>0,0,0</v>
      </c>
      <c r="F160" s="24" t="str">
        <f t="shared" si="20"/>
        <v>0,5,0</v>
      </c>
      <c r="G160" s="17" t="str">
        <f t="shared" si="21"/>
        <v>200,50,2</v>
      </c>
      <c r="H160" s="17" t="s">
        <v>31</v>
      </c>
      <c r="I160" s="17" t="s">
        <v>31</v>
      </c>
      <c r="K160" s="9">
        <v>4</v>
      </c>
      <c r="L160" s="9">
        <v>0</v>
      </c>
      <c r="M160" s="9">
        <v>0</v>
      </c>
      <c r="N160" s="9">
        <v>0</v>
      </c>
      <c r="O160" s="9">
        <v>200</v>
      </c>
      <c r="P160" s="9">
        <v>6</v>
      </c>
      <c r="Q160" s="9">
        <v>1</v>
      </c>
      <c r="R160" s="9">
        <v>0</v>
      </c>
      <c r="S160" s="9">
        <v>5</v>
      </c>
      <c r="T160" s="9">
        <v>50</v>
      </c>
      <c r="U160" s="9">
        <v>14</v>
      </c>
      <c r="V160" s="9">
        <v>0</v>
      </c>
      <c r="W160" s="9">
        <v>0</v>
      </c>
      <c r="X160" s="9">
        <v>0</v>
      </c>
      <c r="Y160" s="9">
        <v>2</v>
      </c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</row>
    <row r="161" spans="1:35" ht="13.5" customHeight="1">
      <c r="A161" s="18">
        <v>165</v>
      </c>
      <c r="B161" s="17">
        <v>20105</v>
      </c>
      <c r="C161" s="24" t="str">
        <f t="shared" si="17"/>
        <v>4,7</v>
      </c>
      <c r="D161" s="24" t="str">
        <f t="shared" si="18"/>
        <v>0,53</v>
      </c>
      <c r="E161" s="24" t="str">
        <f t="shared" si="19"/>
        <v>0,0</v>
      </c>
      <c r="F161" s="24" t="str">
        <f t="shared" si="20"/>
        <v>0,0</v>
      </c>
      <c r="G161" s="17" t="str">
        <f t="shared" si="21"/>
        <v>100,1</v>
      </c>
      <c r="H161" s="17" t="s">
        <v>31</v>
      </c>
      <c r="I161" s="17" t="s">
        <v>31</v>
      </c>
      <c r="J161" s="40"/>
      <c r="K161" s="9">
        <v>4</v>
      </c>
      <c r="L161" s="9">
        <v>0</v>
      </c>
      <c r="M161" s="9">
        <v>0</v>
      </c>
      <c r="N161" s="9">
        <v>0</v>
      </c>
      <c r="O161" s="9">
        <v>100</v>
      </c>
      <c r="P161" s="9">
        <v>7</v>
      </c>
      <c r="Q161" s="9">
        <v>53</v>
      </c>
      <c r="R161" s="9">
        <v>0</v>
      </c>
      <c r="S161" s="9">
        <v>0</v>
      </c>
      <c r="T161" s="9">
        <v>1</v>
      </c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</row>
    <row r="162" spans="1:35" ht="13.5" customHeight="1">
      <c r="A162" s="18">
        <v>166</v>
      </c>
      <c r="B162" s="17">
        <v>20110</v>
      </c>
      <c r="C162" s="24" t="str">
        <f t="shared" si="17"/>
        <v>4,7,18</v>
      </c>
      <c r="D162" s="24" t="str">
        <f t="shared" si="18"/>
        <v>0,54,0</v>
      </c>
      <c r="E162" s="24" t="str">
        <f t="shared" si="19"/>
        <v>0,0,0</v>
      </c>
      <c r="F162" s="24" t="str">
        <f t="shared" si="20"/>
        <v>0,0,0</v>
      </c>
      <c r="G162" s="17" t="str">
        <f t="shared" si="21"/>
        <v>100,1,2</v>
      </c>
      <c r="H162" s="17" t="s">
        <v>31</v>
      </c>
      <c r="I162" s="17" t="s">
        <v>31</v>
      </c>
      <c r="K162" s="9">
        <v>4</v>
      </c>
      <c r="L162" s="9">
        <v>0</v>
      </c>
      <c r="M162" s="9">
        <v>0</v>
      </c>
      <c r="N162" s="9">
        <v>0</v>
      </c>
      <c r="O162" s="9">
        <v>100</v>
      </c>
      <c r="P162" s="9">
        <v>7</v>
      </c>
      <c r="Q162" s="9">
        <v>54</v>
      </c>
      <c r="R162" s="9">
        <v>0</v>
      </c>
      <c r="S162" s="9">
        <v>0</v>
      </c>
      <c r="T162" s="9">
        <v>1</v>
      </c>
      <c r="U162" s="9">
        <v>18</v>
      </c>
      <c r="V162" s="9">
        <v>0</v>
      </c>
      <c r="W162" s="9">
        <v>0</v>
      </c>
      <c r="X162" s="9">
        <v>0</v>
      </c>
      <c r="Y162" s="9">
        <v>2</v>
      </c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</row>
    <row r="163" spans="1:35" ht="13.5" customHeight="1">
      <c r="A163" s="18">
        <v>167</v>
      </c>
      <c r="B163" s="17">
        <v>20115</v>
      </c>
      <c r="C163" s="24" t="str">
        <f t="shared" si="17"/>
        <v>4,7</v>
      </c>
      <c r="D163" s="24" t="str">
        <f t="shared" si="18"/>
        <v>0,55</v>
      </c>
      <c r="E163" s="24" t="str">
        <f t="shared" si="19"/>
        <v>0,0</v>
      </c>
      <c r="F163" s="24" t="str">
        <f t="shared" si="20"/>
        <v>0,0</v>
      </c>
      <c r="G163" s="17" t="str">
        <f t="shared" si="21"/>
        <v>100,1</v>
      </c>
      <c r="H163" s="17" t="s">
        <v>31</v>
      </c>
      <c r="I163" s="17" t="s">
        <v>31</v>
      </c>
      <c r="K163" s="9">
        <v>4</v>
      </c>
      <c r="L163" s="9">
        <v>0</v>
      </c>
      <c r="M163" s="9">
        <v>0</v>
      </c>
      <c r="N163" s="9">
        <v>0</v>
      </c>
      <c r="O163" s="9">
        <v>100</v>
      </c>
      <c r="P163" s="9">
        <v>7</v>
      </c>
      <c r="Q163" s="9">
        <v>55</v>
      </c>
      <c r="R163" s="9">
        <v>0</v>
      </c>
      <c r="S163" s="9">
        <v>0</v>
      </c>
      <c r="T163" s="9">
        <v>1</v>
      </c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</row>
    <row r="164" spans="1:35" ht="13.5" customHeight="1">
      <c r="A164" s="18">
        <v>168</v>
      </c>
      <c r="B164" s="17">
        <v>20120</v>
      </c>
      <c r="C164" s="24" t="str">
        <f t="shared" si="17"/>
        <v>4,7,18</v>
      </c>
      <c r="D164" s="24" t="str">
        <f t="shared" si="18"/>
        <v>0,56,0</v>
      </c>
      <c r="E164" s="24" t="str">
        <f t="shared" si="19"/>
        <v>0,0,0</v>
      </c>
      <c r="F164" s="24" t="str">
        <f t="shared" si="20"/>
        <v>0,0,0</v>
      </c>
      <c r="G164" s="17" t="str">
        <f t="shared" si="21"/>
        <v>100,1,2</v>
      </c>
      <c r="H164" s="17" t="s">
        <v>31</v>
      </c>
      <c r="I164" s="17" t="s">
        <v>31</v>
      </c>
      <c r="K164" s="9">
        <v>4</v>
      </c>
      <c r="L164" s="9">
        <v>0</v>
      </c>
      <c r="M164" s="9">
        <v>0</v>
      </c>
      <c r="N164" s="9">
        <v>0</v>
      </c>
      <c r="O164" s="9">
        <v>100</v>
      </c>
      <c r="P164" s="9">
        <v>7</v>
      </c>
      <c r="Q164" s="9">
        <v>56</v>
      </c>
      <c r="R164" s="9">
        <v>0</v>
      </c>
      <c r="S164" s="9">
        <v>0</v>
      </c>
      <c r="T164" s="9">
        <v>1</v>
      </c>
      <c r="U164" s="9">
        <v>18</v>
      </c>
      <c r="V164" s="9">
        <v>0</v>
      </c>
      <c r="W164" s="9">
        <v>0</v>
      </c>
      <c r="X164" s="9">
        <v>0</v>
      </c>
      <c r="Y164" s="9">
        <v>2</v>
      </c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</row>
    <row r="165" spans="1:35" ht="13.5" customHeight="1">
      <c r="A165" s="18">
        <v>169</v>
      </c>
      <c r="B165" s="17">
        <v>20125</v>
      </c>
      <c r="C165" s="24" t="str">
        <f t="shared" si="17"/>
        <v>4,7</v>
      </c>
      <c r="D165" s="24" t="str">
        <f t="shared" si="18"/>
        <v>0,53</v>
      </c>
      <c r="E165" s="24" t="str">
        <f t="shared" si="19"/>
        <v>0,0</v>
      </c>
      <c r="F165" s="24" t="str">
        <f t="shared" si="20"/>
        <v>0,0</v>
      </c>
      <c r="G165" s="17" t="str">
        <f t="shared" si="21"/>
        <v>100,1</v>
      </c>
      <c r="H165" s="17" t="s">
        <v>31</v>
      </c>
      <c r="I165" s="17" t="s">
        <v>31</v>
      </c>
      <c r="K165" s="9">
        <v>4</v>
      </c>
      <c r="L165" s="9">
        <v>0</v>
      </c>
      <c r="M165" s="9">
        <v>0</v>
      </c>
      <c r="N165" s="9">
        <v>0</v>
      </c>
      <c r="O165" s="9">
        <v>100</v>
      </c>
      <c r="P165" s="9">
        <v>7</v>
      </c>
      <c r="Q165" s="9">
        <v>53</v>
      </c>
      <c r="R165" s="9">
        <v>0</v>
      </c>
      <c r="S165" s="9">
        <v>0</v>
      </c>
      <c r="T165" s="9">
        <v>1</v>
      </c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</row>
    <row r="166" spans="1:35" ht="13.5" customHeight="1">
      <c r="A166" s="18">
        <v>170</v>
      </c>
      <c r="B166" s="17">
        <v>20130</v>
      </c>
      <c r="C166" s="24" t="str">
        <f t="shared" si="17"/>
        <v>4,7,18</v>
      </c>
      <c r="D166" s="24" t="str">
        <f t="shared" si="18"/>
        <v>0,54,0</v>
      </c>
      <c r="E166" s="24" t="str">
        <f t="shared" si="19"/>
        <v>0,0,0</v>
      </c>
      <c r="F166" s="24" t="str">
        <f t="shared" si="20"/>
        <v>0,0,0</v>
      </c>
      <c r="G166" s="17" t="str">
        <f t="shared" si="21"/>
        <v>100,1,2</v>
      </c>
      <c r="H166" s="17" t="s">
        <v>31</v>
      </c>
      <c r="I166" s="17" t="s">
        <v>31</v>
      </c>
      <c r="K166" s="9">
        <v>4</v>
      </c>
      <c r="L166" s="9">
        <v>0</v>
      </c>
      <c r="M166" s="9">
        <v>0</v>
      </c>
      <c r="N166" s="9">
        <v>0</v>
      </c>
      <c r="O166" s="9">
        <v>100</v>
      </c>
      <c r="P166" s="9">
        <v>7</v>
      </c>
      <c r="Q166" s="9">
        <v>54</v>
      </c>
      <c r="R166" s="9">
        <v>0</v>
      </c>
      <c r="S166" s="9">
        <v>0</v>
      </c>
      <c r="T166" s="9">
        <v>1</v>
      </c>
      <c r="U166" s="9">
        <v>18</v>
      </c>
      <c r="V166" s="9">
        <v>0</v>
      </c>
      <c r="W166" s="9">
        <v>0</v>
      </c>
      <c r="X166" s="9">
        <v>0</v>
      </c>
      <c r="Y166" s="9">
        <v>2</v>
      </c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</row>
    <row r="167" spans="1:35" ht="13.5" customHeight="1">
      <c r="A167" s="18">
        <v>171</v>
      </c>
      <c r="B167" s="17">
        <v>20135</v>
      </c>
      <c r="C167" s="24" t="str">
        <f t="shared" si="17"/>
        <v>4,7</v>
      </c>
      <c r="D167" s="24" t="str">
        <f t="shared" si="18"/>
        <v>0,55</v>
      </c>
      <c r="E167" s="24" t="str">
        <f t="shared" si="19"/>
        <v>0,0</v>
      </c>
      <c r="F167" s="24" t="str">
        <f t="shared" si="20"/>
        <v>0,0</v>
      </c>
      <c r="G167" s="17" t="str">
        <f t="shared" si="21"/>
        <v>100,1</v>
      </c>
      <c r="H167" s="17" t="s">
        <v>31</v>
      </c>
      <c r="I167" s="17" t="s">
        <v>31</v>
      </c>
      <c r="K167" s="9">
        <v>4</v>
      </c>
      <c r="L167" s="9">
        <v>0</v>
      </c>
      <c r="M167" s="9">
        <v>0</v>
      </c>
      <c r="N167" s="9">
        <v>0</v>
      </c>
      <c r="O167" s="9">
        <v>100</v>
      </c>
      <c r="P167" s="9">
        <v>7</v>
      </c>
      <c r="Q167" s="9">
        <v>55</v>
      </c>
      <c r="R167" s="9">
        <v>0</v>
      </c>
      <c r="S167" s="9">
        <v>0</v>
      </c>
      <c r="T167" s="9">
        <v>1</v>
      </c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</row>
    <row r="168" spans="1:35" ht="13.5" customHeight="1">
      <c r="A168" s="18">
        <v>172</v>
      </c>
      <c r="B168" s="17">
        <v>20140</v>
      </c>
      <c r="C168" s="24" t="str">
        <f t="shared" si="17"/>
        <v>4,7,18</v>
      </c>
      <c r="D168" s="24" t="str">
        <f t="shared" si="18"/>
        <v>0,56,0</v>
      </c>
      <c r="E168" s="24" t="str">
        <f t="shared" si="19"/>
        <v>0,0,0</v>
      </c>
      <c r="F168" s="24" t="str">
        <f t="shared" si="20"/>
        <v>0,0,0</v>
      </c>
      <c r="G168" s="17" t="str">
        <f t="shared" si="21"/>
        <v>100,1,2</v>
      </c>
      <c r="H168" s="17" t="s">
        <v>31</v>
      </c>
      <c r="I168" s="17" t="s">
        <v>31</v>
      </c>
      <c r="K168" s="9">
        <v>4</v>
      </c>
      <c r="L168" s="9">
        <v>0</v>
      </c>
      <c r="M168" s="9">
        <v>0</v>
      </c>
      <c r="N168" s="9">
        <v>0</v>
      </c>
      <c r="O168" s="9">
        <v>100</v>
      </c>
      <c r="P168" s="9">
        <v>7</v>
      </c>
      <c r="Q168" s="9">
        <v>56</v>
      </c>
      <c r="R168" s="9">
        <v>0</v>
      </c>
      <c r="S168" s="9">
        <v>0</v>
      </c>
      <c r="T168" s="9">
        <v>1</v>
      </c>
      <c r="U168" s="9">
        <v>18</v>
      </c>
      <c r="V168" s="9">
        <v>0</v>
      </c>
      <c r="W168" s="9">
        <v>0</v>
      </c>
      <c r="X168" s="9">
        <v>0</v>
      </c>
      <c r="Y168" s="9">
        <v>2</v>
      </c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</row>
    <row r="169" spans="1:35" ht="13.5" customHeight="1">
      <c r="A169" s="18">
        <v>173</v>
      </c>
      <c r="B169" s="17">
        <v>20145</v>
      </c>
      <c r="C169" s="24" t="str">
        <f t="shared" si="17"/>
        <v>4,7</v>
      </c>
      <c r="D169" s="24" t="str">
        <f t="shared" si="18"/>
        <v>0,53</v>
      </c>
      <c r="E169" s="24" t="str">
        <f t="shared" si="19"/>
        <v>0,0</v>
      </c>
      <c r="F169" s="24" t="str">
        <f t="shared" si="20"/>
        <v>0,0</v>
      </c>
      <c r="G169" s="17" t="str">
        <f t="shared" si="21"/>
        <v>100,1</v>
      </c>
      <c r="H169" s="17" t="s">
        <v>31</v>
      </c>
      <c r="I169" s="17" t="s">
        <v>31</v>
      </c>
      <c r="K169" s="9">
        <v>4</v>
      </c>
      <c r="L169" s="9">
        <v>0</v>
      </c>
      <c r="M169" s="9">
        <v>0</v>
      </c>
      <c r="N169" s="9">
        <v>0</v>
      </c>
      <c r="O169" s="9">
        <v>100</v>
      </c>
      <c r="P169" s="9">
        <v>7</v>
      </c>
      <c r="Q169" s="9">
        <v>53</v>
      </c>
      <c r="R169" s="9">
        <v>0</v>
      </c>
      <c r="S169" s="9">
        <v>0</v>
      </c>
      <c r="T169" s="9">
        <v>1</v>
      </c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</row>
    <row r="170" spans="1:35" ht="13.5" customHeight="1">
      <c r="A170" s="18">
        <v>174</v>
      </c>
      <c r="B170" s="17">
        <v>20150</v>
      </c>
      <c r="C170" s="24" t="str">
        <f t="shared" si="17"/>
        <v>4,6,18</v>
      </c>
      <c r="D170" s="24" t="str">
        <f t="shared" si="18"/>
        <v>0,1,0</v>
      </c>
      <c r="E170" s="24" t="str">
        <f t="shared" si="19"/>
        <v>0,0,0</v>
      </c>
      <c r="F170" s="24" t="str">
        <f t="shared" si="20"/>
        <v>0,5,0</v>
      </c>
      <c r="G170" s="17" t="str">
        <f t="shared" si="21"/>
        <v>200,50,2</v>
      </c>
      <c r="H170" s="17" t="s">
        <v>31</v>
      </c>
      <c r="I170" s="17" t="s">
        <v>31</v>
      </c>
      <c r="K170" s="9">
        <v>4</v>
      </c>
      <c r="L170" s="9">
        <v>0</v>
      </c>
      <c r="M170" s="9">
        <v>0</v>
      </c>
      <c r="N170" s="9">
        <v>0</v>
      </c>
      <c r="O170" s="9">
        <v>200</v>
      </c>
      <c r="P170" s="9">
        <v>6</v>
      </c>
      <c r="Q170" s="9">
        <v>1</v>
      </c>
      <c r="R170" s="9">
        <v>0</v>
      </c>
      <c r="S170" s="9">
        <v>5</v>
      </c>
      <c r="T170" s="9">
        <v>50</v>
      </c>
      <c r="U170" s="9">
        <v>18</v>
      </c>
      <c r="V170" s="9">
        <v>0</v>
      </c>
      <c r="W170" s="9">
        <v>0</v>
      </c>
      <c r="X170" s="9">
        <v>0</v>
      </c>
      <c r="Y170" s="9">
        <v>2</v>
      </c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</row>
    <row r="171" spans="1:35" ht="13.5" customHeight="1">
      <c r="A171" s="18">
        <v>175</v>
      </c>
      <c r="B171" s="17">
        <v>20205</v>
      </c>
      <c r="C171" s="24" t="str">
        <f t="shared" si="17"/>
        <v>4,7</v>
      </c>
      <c r="D171" s="24" t="str">
        <f t="shared" si="18"/>
        <v>0,54</v>
      </c>
      <c r="E171" s="24" t="str">
        <f t="shared" si="19"/>
        <v>0,0</v>
      </c>
      <c r="F171" s="24" t="str">
        <f t="shared" si="20"/>
        <v>0,0</v>
      </c>
      <c r="G171" s="17" t="str">
        <f t="shared" si="21"/>
        <v>100,1</v>
      </c>
      <c r="H171" s="17" t="s">
        <v>31</v>
      </c>
      <c r="I171" s="17" t="s">
        <v>31</v>
      </c>
      <c r="K171" s="9">
        <v>4</v>
      </c>
      <c r="L171" s="9">
        <v>0</v>
      </c>
      <c r="M171" s="9">
        <v>0</v>
      </c>
      <c r="N171" s="9">
        <v>0</v>
      </c>
      <c r="O171" s="9">
        <v>100</v>
      </c>
      <c r="P171" s="9">
        <v>7</v>
      </c>
      <c r="Q171" s="9">
        <v>54</v>
      </c>
      <c r="R171" s="9">
        <v>0</v>
      </c>
      <c r="S171" s="9">
        <v>0</v>
      </c>
      <c r="T171" s="9">
        <v>1</v>
      </c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</row>
    <row r="172" spans="1:35" ht="13.5" customHeight="1">
      <c r="A172" s="18">
        <v>176</v>
      </c>
      <c r="B172" s="17">
        <v>20210</v>
      </c>
      <c r="C172" s="24" t="str">
        <f t="shared" si="17"/>
        <v>4,7,18</v>
      </c>
      <c r="D172" s="24" t="str">
        <f t="shared" si="18"/>
        <v>0,55,0</v>
      </c>
      <c r="E172" s="24" t="str">
        <f t="shared" si="19"/>
        <v>0,0,0</v>
      </c>
      <c r="F172" s="24" t="str">
        <f t="shared" si="20"/>
        <v>0,0,0</v>
      </c>
      <c r="G172" s="17" t="str">
        <f t="shared" si="21"/>
        <v>100,1,2</v>
      </c>
      <c r="H172" s="17" t="s">
        <v>31</v>
      </c>
      <c r="I172" s="17" t="s">
        <v>31</v>
      </c>
      <c r="K172" s="9">
        <v>4</v>
      </c>
      <c r="L172" s="9">
        <v>0</v>
      </c>
      <c r="M172" s="9">
        <v>0</v>
      </c>
      <c r="N172" s="9">
        <v>0</v>
      </c>
      <c r="O172" s="9">
        <v>100</v>
      </c>
      <c r="P172" s="9">
        <v>7</v>
      </c>
      <c r="Q172" s="9">
        <v>55</v>
      </c>
      <c r="R172" s="9">
        <v>0</v>
      </c>
      <c r="S172" s="9">
        <v>0</v>
      </c>
      <c r="T172" s="9">
        <v>1</v>
      </c>
      <c r="U172" s="9">
        <v>18</v>
      </c>
      <c r="V172" s="9">
        <v>0</v>
      </c>
      <c r="W172" s="9">
        <v>0</v>
      </c>
      <c r="X172" s="9">
        <v>0</v>
      </c>
      <c r="Y172" s="9">
        <v>2</v>
      </c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</row>
    <row r="173" spans="1:35" ht="13.5" customHeight="1">
      <c r="A173" s="18">
        <v>177</v>
      </c>
      <c r="B173" s="17">
        <v>20215</v>
      </c>
      <c r="C173" s="24" t="str">
        <f t="shared" si="17"/>
        <v>4,7</v>
      </c>
      <c r="D173" s="24" t="str">
        <f t="shared" si="18"/>
        <v>0,56</v>
      </c>
      <c r="E173" s="24" t="str">
        <f t="shared" si="19"/>
        <v>0,0</v>
      </c>
      <c r="F173" s="24" t="str">
        <f t="shared" si="20"/>
        <v>0,0</v>
      </c>
      <c r="G173" s="17" t="str">
        <f t="shared" si="21"/>
        <v>100,1</v>
      </c>
      <c r="H173" s="17" t="s">
        <v>31</v>
      </c>
      <c r="I173" s="17" t="s">
        <v>31</v>
      </c>
      <c r="K173" s="9">
        <v>4</v>
      </c>
      <c r="L173" s="9">
        <v>0</v>
      </c>
      <c r="M173" s="9">
        <v>0</v>
      </c>
      <c r="N173" s="9">
        <v>0</v>
      </c>
      <c r="O173" s="9">
        <v>100</v>
      </c>
      <c r="P173" s="9">
        <v>7</v>
      </c>
      <c r="Q173" s="9">
        <v>56</v>
      </c>
      <c r="R173" s="9">
        <v>0</v>
      </c>
      <c r="S173" s="9">
        <v>0</v>
      </c>
      <c r="T173" s="9">
        <v>1</v>
      </c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</row>
    <row r="174" spans="1:35" ht="13.5" customHeight="1">
      <c r="A174" s="18">
        <v>178</v>
      </c>
      <c r="B174" s="17">
        <v>20220</v>
      </c>
      <c r="C174" s="24" t="str">
        <f t="shared" si="17"/>
        <v>4,7,18</v>
      </c>
      <c r="D174" s="24" t="str">
        <f t="shared" si="18"/>
        <v>0,53,0</v>
      </c>
      <c r="E174" s="24" t="str">
        <f t="shared" si="19"/>
        <v>0,0,0</v>
      </c>
      <c r="F174" s="24" t="str">
        <f t="shared" si="20"/>
        <v>0,0,0</v>
      </c>
      <c r="G174" s="17" t="str">
        <f t="shared" si="21"/>
        <v>100,1,2</v>
      </c>
      <c r="H174" s="17" t="s">
        <v>31</v>
      </c>
      <c r="I174" s="17" t="s">
        <v>31</v>
      </c>
      <c r="K174" s="9">
        <v>4</v>
      </c>
      <c r="L174" s="9">
        <v>0</v>
      </c>
      <c r="M174" s="9">
        <v>0</v>
      </c>
      <c r="N174" s="9">
        <v>0</v>
      </c>
      <c r="O174" s="9">
        <v>100</v>
      </c>
      <c r="P174" s="9">
        <v>7</v>
      </c>
      <c r="Q174" s="9">
        <v>53</v>
      </c>
      <c r="R174" s="9">
        <v>0</v>
      </c>
      <c r="S174" s="9">
        <v>0</v>
      </c>
      <c r="T174" s="9">
        <v>1</v>
      </c>
      <c r="U174" s="9">
        <v>18</v>
      </c>
      <c r="V174" s="9">
        <v>0</v>
      </c>
      <c r="W174" s="9">
        <v>0</v>
      </c>
      <c r="X174" s="9">
        <v>0</v>
      </c>
      <c r="Y174" s="9">
        <v>2</v>
      </c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</row>
    <row r="175" spans="1:35" ht="13.5" customHeight="1">
      <c r="A175" s="18">
        <v>179</v>
      </c>
      <c r="B175" s="17">
        <v>20225</v>
      </c>
      <c r="C175" s="24" t="str">
        <f t="shared" si="17"/>
        <v>4,7</v>
      </c>
      <c r="D175" s="24" t="str">
        <f t="shared" si="18"/>
        <v>0,54</v>
      </c>
      <c r="E175" s="24" t="str">
        <f t="shared" si="19"/>
        <v>0,0</v>
      </c>
      <c r="F175" s="24" t="str">
        <f t="shared" si="20"/>
        <v>0,0</v>
      </c>
      <c r="G175" s="17" t="str">
        <f t="shared" si="21"/>
        <v>100,1</v>
      </c>
      <c r="H175" s="17" t="s">
        <v>31</v>
      </c>
      <c r="I175" s="17" t="s">
        <v>31</v>
      </c>
      <c r="K175" s="9">
        <v>4</v>
      </c>
      <c r="L175" s="9">
        <v>0</v>
      </c>
      <c r="M175" s="9">
        <v>0</v>
      </c>
      <c r="N175" s="9">
        <v>0</v>
      </c>
      <c r="O175" s="9">
        <v>100</v>
      </c>
      <c r="P175" s="9">
        <v>7</v>
      </c>
      <c r="Q175" s="9">
        <v>54</v>
      </c>
      <c r="R175" s="9">
        <v>0</v>
      </c>
      <c r="S175" s="9">
        <v>0</v>
      </c>
      <c r="T175" s="9">
        <v>1</v>
      </c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</row>
    <row r="176" spans="1:35" ht="13.5" customHeight="1">
      <c r="A176" s="18">
        <v>180</v>
      </c>
      <c r="B176" s="17">
        <v>20230</v>
      </c>
      <c r="C176" s="24" t="str">
        <f t="shared" si="17"/>
        <v>4,7,18</v>
      </c>
      <c r="D176" s="24" t="str">
        <f t="shared" si="18"/>
        <v>0,55,0</v>
      </c>
      <c r="E176" s="24" t="str">
        <f t="shared" si="19"/>
        <v>0,0,0</v>
      </c>
      <c r="F176" s="24" t="str">
        <f t="shared" si="20"/>
        <v>0,0,0</v>
      </c>
      <c r="G176" s="17" t="str">
        <f t="shared" si="21"/>
        <v>100,1,2</v>
      </c>
      <c r="H176" s="17" t="s">
        <v>31</v>
      </c>
      <c r="I176" s="17" t="s">
        <v>31</v>
      </c>
      <c r="K176" s="9">
        <v>4</v>
      </c>
      <c r="L176" s="9">
        <v>0</v>
      </c>
      <c r="M176" s="9">
        <v>0</v>
      </c>
      <c r="N176" s="9">
        <v>0</v>
      </c>
      <c r="O176" s="9">
        <v>100</v>
      </c>
      <c r="P176" s="9">
        <v>7</v>
      </c>
      <c r="Q176" s="9">
        <v>55</v>
      </c>
      <c r="R176" s="9">
        <v>0</v>
      </c>
      <c r="S176" s="9">
        <v>0</v>
      </c>
      <c r="T176" s="9">
        <v>1</v>
      </c>
      <c r="U176" s="9">
        <v>18</v>
      </c>
      <c r="V176" s="9">
        <v>0</v>
      </c>
      <c r="W176" s="9">
        <v>0</v>
      </c>
      <c r="X176" s="9">
        <v>0</v>
      </c>
      <c r="Y176" s="9">
        <v>2</v>
      </c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</row>
    <row r="177" spans="1:35" ht="13.5" customHeight="1">
      <c r="A177" s="18">
        <v>181</v>
      </c>
      <c r="B177" s="17">
        <v>20235</v>
      </c>
      <c r="C177" s="24" t="str">
        <f t="shared" si="17"/>
        <v>4,7</v>
      </c>
      <c r="D177" s="24" t="str">
        <f t="shared" si="18"/>
        <v>0,56</v>
      </c>
      <c r="E177" s="24" t="str">
        <f t="shared" si="19"/>
        <v>0,0</v>
      </c>
      <c r="F177" s="24" t="str">
        <f t="shared" si="20"/>
        <v>0,0</v>
      </c>
      <c r="G177" s="17" t="str">
        <f t="shared" si="21"/>
        <v>100,1</v>
      </c>
      <c r="H177" s="17" t="s">
        <v>31</v>
      </c>
      <c r="I177" s="17" t="s">
        <v>31</v>
      </c>
      <c r="K177" s="9">
        <v>4</v>
      </c>
      <c r="L177" s="9">
        <v>0</v>
      </c>
      <c r="M177" s="9">
        <v>0</v>
      </c>
      <c r="N177" s="9">
        <v>0</v>
      </c>
      <c r="O177" s="9">
        <v>100</v>
      </c>
      <c r="P177" s="9">
        <v>7</v>
      </c>
      <c r="Q177" s="9">
        <v>56</v>
      </c>
      <c r="R177" s="9">
        <v>0</v>
      </c>
      <c r="S177" s="9">
        <v>0</v>
      </c>
      <c r="T177" s="9">
        <v>1</v>
      </c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</row>
    <row r="178" spans="1:35" ht="13.5" customHeight="1">
      <c r="A178" s="18">
        <v>182</v>
      </c>
      <c r="B178" s="17">
        <v>20240</v>
      </c>
      <c r="C178" s="24" t="str">
        <f t="shared" si="17"/>
        <v>4,7,18</v>
      </c>
      <c r="D178" s="24" t="str">
        <f t="shared" si="18"/>
        <v>0,53,0</v>
      </c>
      <c r="E178" s="24" t="str">
        <f t="shared" si="19"/>
        <v>0,0,0</v>
      </c>
      <c r="F178" s="24" t="str">
        <f t="shared" si="20"/>
        <v>0,0,0</v>
      </c>
      <c r="G178" s="17" t="str">
        <f t="shared" si="21"/>
        <v>100,1,2</v>
      </c>
      <c r="H178" s="17" t="s">
        <v>31</v>
      </c>
      <c r="I178" s="17" t="s">
        <v>31</v>
      </c>
      <c r="K178" s="9">
        <v>4</v>
      </c>
      <c r="L178" s="9">
        <v>0</v>
      </c>
      <c r="M178" s="9">
        <v>0</v>
      </c>
      <c r="N178" s="9">
        <v>0</v>
      </c>
      <c r="O178" s="9">
        <v>100</v>
      </c>
      <c r="P178" s="9">
        <v>7</v>
      </c>
      <c r="Q178" s="9">
        <v>53</v>
      </c>
      <c r="R178" s="9">
        <v>0</v>
      </c>
      <c r="S178" s="9">
        <v>0</v>
      </c>
      <c r="T178" s="9">
        <v>1</v>
      </c>
      <c r="U178" s="9">
        <v>18</v>
      </c>
      <c r="V178" s="9">
        <v>0</v>
      </c>
      <c r="W178" s="9">
        <v>0</v>
      </c>
      <c r="X178" s="9">
        <v>0</v>
      </c>
      <c r="Y178" s="9">
        <v>2</v>
      </c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</row>
    <row r="179" spans="1:35" ht="13.5" customHeight="1">
      <c r="A179" s="18">
        <v>183</v>
      </c>
      <c r="B179" s="17">
        <v>20245</v>
      </c>
      <c r="C179" s="24" t="str">
        <f t="shared" si="17"/>
        <v>4,7</v>
      </c>
      <c r="D179" s="24" t="str">
        <f t="shared" si="18"/>
        <v>0,54</v>
      </c>
      <c r="E179" s="24" t="str">
        <f t="shared" si="19"/>
        <v>0,0</v>
      </c>
      <c r="F179" s="24" t="str">
        <f t="shared" si="20"/>
        <v>0,0</v>
      </c>
      <c r="G179" s="17" t="str">
        <f t="shared" si="21"/>
        <v>100,1</v>
      </c>
      <c r="H179" s="17" t="s">
        <v>31</v>
      </c>
      <c r="I179" s="17" t="s">
        <v>31</v>
      </c>
      <c r="K179" s="9">
        <v>4</v>
      </c>
      <c r="L179" s="9">
        <v>0</v>
      </c>
      <c r="M179" s="9">
        <v>0</v>
      </c>
      <c r="N179" s="9">
        <v>0</v>
      </c>
      <c r="O179" s="9">
        <v>100</v>
      </c>
      <c r="P179" s="9">
        <v>7</v>
      </c>
      <c r="Q179" s="9">
        <v>54</v>
      </c>
      <c r="R179" s="9">
        <v>0</v>
      </c>
      <c r="S179" s="9">
        <v>0</v>
      </c>
      <c r="T179" s="9">
        <v>1</v>
      </c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</row>
    <row r="180" spans="1:35" ht="13.5" customHeight="1">
      <c r="A180" s="18">
        <v>184</v>
      </c>
      <c r="B180" s="17">
        <v>20250</v>
      </c>
      <c r="C180" s="24" t="str">
        <f t="shared" si="17"/>
        <v>4,6,18</v>
      </c>
      <c r="D180" s="24" t="str">
        <f t="shared" si="18"/>
        <v>0,1,0</v>
      </c>
      <c r="E180" s="24" t="str">
        <f t="shared" si="19"/>
        <v>0,0,0</v>
      </c>
      <c r="F180" s="24" t="str">
        <f t="shared" si="20"/>
        <v>0,5,0</v>
      </c>
      <c r="G180" s="17" t="str">
        <f t="shared" si="21"/>
        <v>200,50,2</v>
      </c>
      <c r="H180" s="17" t="s">
        <v>31</v>
      </c>
      <c r="I180" s="17" t="s">
        <v>31</v>
      </c>
      <c r="K180" s="9">
        <v>4</v>
      </c>
      <c r="L180" s="9">
        <v>0</v>
      </c>
      <c r="M180" s="9">
        <v>0</v>
      </c>
      <c r="N180" s="9">
        <v>0</v>
      </c>
      <c r="O180" s="9">
        <v>200</v>
      </c>
      <c r="P180" s="9">
        <v>6</v>
      </c>
      <c r="Q180" s="9">
        <v>1</v>
      </c>
      <c r="R180" s="9">
        <v>0</v>
      </c>
      <c r="S180" s="9">
        <v>5</v>
      </c>
      <c r="T180" s="9">
        <v>50</v>
      </c>
      <c r="U180" s="9">
        <v>18</v>
      </c>
      <c r="V180" s="9">
        <v>0</v>
      </c>
      <c r="W180" s="9">
        <v>0</v>
      </c>
      <c r="X180" s="9">
        <v>0</v>
      </c>
      <c r="Y180" s="9">
        <v>2</v>
      </c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</row>
    <row r="181" spans="1:35" ht="13.5" customHeight="1">
      <c r="A181" s="18">
        <v>185</v>
      </c>
      <c r="B181" s="17">
        <v>20305</v>
      </c>
      <c r="C181" s="24" t="str">
        <f t="shared" si="17"/>
        <v>4,7</v>
      </c>
      <c r="D181" s="24" t="str">
        <f t="shared" si="18"/>
        <v>0,55</v>
      </c>
      <c r="E181" s="24" t="str">
        <f t="shared" si="19"/>
        <v>0,0</v>
      </c>
      <c r="F181" s="24" t="str">
        <f t="shared" si="20"/>
        <v>0,0</v>
      </c>
      <c r="G181" s="17" t="str">
        <f t="shared" si="21"/>
        <v>100,1</v>
      </c>
      <c r="H181" s="17" t="s">
        <v>31</v>
      </c>
      <c r="I181" s="17" t="s">
        <v>31</v>
      </c>
      <c r="K181" s="9">
        <v>4</v>
      </c>
      <c r="L181" s="9">
        <v>0</v>
      </c>
      <c r="M181" s="9">
        <v>0</v>
      </c>
      <c r="N181" s="9">
        <v>0</v>
      </c>
      <c r="O181" s="9">
        <v>100</v>
      </c>
      <c r="P181" s="9">
        <v>7</v>
      </c>
      <c r="Q181" s="9">
        <v>55</v>
      </c>
      <c r="R181" s="9">
        <v>0</v>
      </c>
      <c r="S181" s="9">
        <v>0</v>
      </c>
      <c r="T181" s="9">
        <v>1</v>
      </c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</row>
    <row r="182" spans="1:35" ht="13.5" customHeight="1">
      <c r="A182" s="18">
        <v>186</v>
      </c>
      <c r="B182" s="17">
        <v>20310</v>
      </c>
      <c r="C182" s="24" t="str">
        <f t="shared" si="17"/>
        <v>4,7,18</v>
      </c>
      <c r="D182" s="24" t="str">
        <f t="shared" si="18"/>
        <v>0,56,0</v>
      </c>
      <c r="E182" s="24" t="str">
        <f t="shared" si="19"/>
        <v>0,0,0</v>
      </c>
      <c r="F182" s="24" t="str">
        <f t="shared" si="20"/>
        <v>0,0,0</v>
      </c>
      <c r="G182" s="17" t="str">
        <f t="shared" si="21"/>
        <v>100,1,2</v>
      </c>
      <c r="H182" s="17" t="s">
        <v>31</v>
      </c>
      <c r="I182" s="17" t="s">
        <v>31</v>
      </c>
      <c r="K182" s="9">
        <v>4</v>
      </c>
      <c r="L182" s="9">
        <v>0</v>
      </c>
      <c r="M182" s="9">
        <v>0</v>
      </c>
      <c r="N182" s="9">
        <v>0</v>
      </c>
      <c r="O182" s="9">
        <v>100</v>
      </c>
      <c r="P182" s="9">
        <v>7</v>
      </c>
      <c r="Q182" s="9">
        <v>56</v>
      </c>
      <c r="R182" s="9">
        <v>0</v>
      </c>
      <c r="S182" s="9">
        <v>0</v>
      </c>
      <c r="T182" s="9">
        <v>1</v>
      </c>
      <c r="U182" s="9">
        <v>18</v>
      </c>
      <c r="V182" s="9">
        <v>0</v>
      </c>
      <c r="W182" s="9">
        <v>0</v>
      </c>
      <c r="X182" s="9">
        <v>0</v>
      </c>
      <c r="Y182" s="9">
        <v>2</v>
      </c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</row>
    <row r="183" spans="1:35" ht="13.5" customHeight="1">
      <c r="A183" s="18">
        <v>187</v>
      </c>
      <c r="B183" s="17">
        <v>20315</v>
      </c>
      <c r="C183" s="24" t="str">
        <f t="shared" si="17"/>
        <v>4,7</v>
      </c>
      <c r="D183" s="24" t="str">
        <f t="shared" si="18"/>
        <v>0,53</v>
      </c>
      <c r="E183" s="24" t="str">
        <f t="shared" si="19"/>
        <v>0,0</v>
      </c>
      <c r="F183" s="24" t="str">
        <f t="shared" si="20"/>
        <v>0,0</v>
      </c>
      <c r="G183" s="17" t="str">
        <f t="shared" si="21"/>
        <v>100,1</v>
      </c>
      <c r="H183" s="17" t="s">
        <v>31</v>
      </c>
      <c r="I183" s="17" t="s">
        <v>31</v>
      </c>
      <c r="K183" s="9">
        <v>4</v>
      </c>
      <c r="L183" s="9">
        <v>0</v>
      </c>
      <c r="M183" s="9">
        <v>0</v>
      </c>
      <c r="N183" s="9">
        <v>0</v>
      </c>
      <c r="O183" s="9">
        <v>100</v>
      </c>
      <c r="P183" s="9">
        <v>7</v>
      </c>
      <c r="Q183" s="9">
        <v>53</v>
      </c>
      <c r="R183" s="9">
        <v>0</v>
      </c>
      <c r="S183" s="9">
        <v>0</v>
      </c>
      <c r="T183" s="9">
        <v>1</v>
      </c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</row>
    <row r="184" spans="1:35" ht="13.5" customHeight="1">
      <c r="A184" s="18">
        <v>188</v>
      </c>
      <c r="B184" s="17">
        <v>20320</v>
      </c>
      <c r="C184" s="24" t="str">
        <f t="shared" si="17"/>
        <v>4,7,18</v>
      </c>
      <c r="D184" s="24" t="str">
        <f t="shared" si="18"/>
        <v>0,54,0</v>
      </c>
      <c r="E184" s="24" t="str">
        <f t="shared" si="19"/>
        <v>0,0,0</v>
      </c>
      <c r="F184" s="24" t="str">
        <f t="shared" si="20"/>
        <v>0,0,0</v>
      </c>
      <c r="G184" s="17" t="str">
        <f t="shared" si="21"/>
        <v>100,1,2</v>
      </c>
      <c r="H184" s="17" t="s">
        <v>31</v>
      </c>
      <c r="I184" s="17" t="s">
        <v>31</v>
      </c>
      <c r="K184" s="9">
        <v>4</v>
      </c>
      <c r="L184" s="9">
        <v>0</v>
      </c>
      <c r="M184" s="9">
        <v>0</v>
      </c>
      <c r="N184" s="9">
        <v>0</v>
      </c>
      <c r="O184" s="9">
        <v>100</v>
      </c>
      <c r="P184" s="9">
        <v>7</v>
      </c>
      <c r="Q184" s="9">
        <v>54</v>
      </c>
      <c r="R184" s="9">
        <v>0</v>
      </c>
      <c r="S184" s="9">
        <v>0</v>
      </c>
      <c r="T184" s="9">
        <v>1</v>
      </c>
      <c r="U184" s="9">
        <v>18</v>
      </c>
      <c r="V184" s="9">
        <v>0</v>
      </c>
      <c r="W184" s="9">
        <v>0</v>
      </c>
      <c r="X184" s="9">
        <v>0</v>
      </c>
      <c r="Y184" s="9">
        <v>2</v>
      </c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</row>
    <row r="185" spans="1:35" ht="13.5" customHeight="1">
      <c r="A185" s="18">
        <v>189</v>
      </c>
      <c r="B185" s="17">
        <v>20325</v>
      </c>
      <c r="C185" s="24" t="str">
        <f t="shared" si="17"/>
        <v>4,7</v>
      </c>
      <c r="D185" s="24" t="str">
        <f t="shared" si="18"/>
        <v>0,55</v>
      </c>
      <c r="E185" s="24" t="str">
        <f t="shared" si="19"/>
        <v>0,0</v>
      </c>
      <c r="F185" s="24" t="str">
        <f t="shared" si="20"/>
        <v>0,0</v>
      </c>
      <c r="G185" s="17" t="str">
        <f t="shared" si="21"/>
        <v>100,1</v>
      </c>
      <c r="H185" s="17" t="s">
        <v>31</v>
      </c>
      <c r="I185" s="17" t="s">
        <v>31</v>
      </c>
      <c r="K185" s="9">
        <v>4</v>
      </c>
      <c r="L185" s="9">
        <v>0</v>
      </c>
      <c r="M185" s="9">
        <v>0</v>
      </c>
      <c r="N185" s="9">
        <v>0</v>
      </c>
      <c r="O185" s="9">
        <v>100</v>
      </c>
      <c r="P185" s="9">
        <v>7</v>
      </c>
      <c r="Q185" s="9">
        <v>55</v>
      </c>
      <c r="R185" s="9">
        <v>0</v>
      </c>
      <c r="S185" s="9">
        <v>0</v>
      </c>
      <c r="T185" s="9">
        <v>1</v>
      </c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</row>
    <row r="186" spans="1:35" ht="13.5" customHeight="1">
      <c r="A186" s="18">
        <v>190</v>
      </c>
      <c r="B186" s="17">
        <v>20330</v>
      </c>
      <c r="C186" s="24" t="str">
        <f t="shared" si="17"/>
        <v>4,7,18</v>
      </c>
      <c r="D186" s="24" t="str">
        <f t="shared" si="18"/>
        <v>0,56,0</v>
      </c>
      <c r="E186" s="24" t="str">
        <f t="shared" si="19"/>
        <v>0,0,0</v>
      </c>
      <c r="F186" s="24" t="str">
        <f t="shared" si="20"/>
        <v>0,0,0</v>
      </c>
      <c r="G186" s="17" t="str">
        <f t="shared" si="21"/>
        <v>100,1,2</v>
      </c>
      <c r="H186" s="17" t="s">
        <v>31</v>
      </c>
      <c r="I186" s="17" t="s">
        <v>31</v>
      </c>
      <c r="K186" s="9">
        <v>4</v>
      </c>
      <c r="L186" s="9">
        <v>0</v>
      </c>
      <c r="M186" s="9">
        <v>0</v>
      </c>
      <c r="N186" s="9">
        <v>0</v>
      </c>
      <c r="O186" s="9">
        <v>100</v>
      </c>
      <c r="P186" s="9">
        <v>7</v>
      </c>
      <c r="Q186" s="9">
        <v>56</v>
      </c>
      <c r="R186" s="9">
        <v>0</v>
      </c>
      <c r="S186" s="9">
        <v>0</v>
      </c>
      <c r="T186" s="9">
        <v>1</v>
      </c>
      <c r="U186" s="9">
        <v>18</v>
      </c>
      <c r="V186" s="9">
        <v>0</v>
      </c>
      <c r="W186" s="9">
        <v>0</v>
      </c>
      <c r="X186" s="9">
        <v>0</v>
      </c>
      <c r="Y186" s="9">
        <v>2</v>
      </c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</row>
    <row r="187" spans="1:35" ht="13.5" customHeight="1">
      <c r="A187" s="18">
        <v>191</v>
      </c>
      <c r="B187" s="17">
        <v>20335</v>
      </c>
      <c r="C187" s="24" t="str">
        <f t="shared" si="17"/>
        <v>4,7</v>
      </c>
      <c r="D187" s="24" t="str">
        <f t="shared" si="18"/>
        <v>0,53</v>
      </c>
      <c r="E187" s="24" t="str">
        <f t="shared" si="19"/>
        <v>0,0</v>
      </c>
      <c r="F187" s="24" t="str">
        <f t="shared" si="20"/>
        <v>0,0</v>
      </c>
      <c r="G187" s="17" t="str">
        <f t="shared" si="21"/>
        <v>100,1</v>
      </c>
      <c r="H187" s="17" t="s">
        <v>31</v>
      </c>
      <c r="I187" s="17" t="s">
        <v>31</v>
      </c>
      <c r="K187" s="9">
        <v>4</v>
      </c>
      <c r="L187" s="9">
        <v>0</v>
      </c>
      <c r="M187" s="9">
        <v>0</v>
      </c>
      <c r="N187" s="9">
        <v>0</v>
      </c>
      <c r="O187" s="9">
        <v>100</v>
      </c>
      <c r="P187" s="9">
        <v>7</v>
      </c>
      <c r="Q187" s="9">
        <v>53</v>
      </c>
      <c r="R187" s="9">
        <v>0</v>
      </c>
      <c r="S187" s="9">
        <v>0</v>
      </c>
      <c r="T187" s="9">
        <v>1</v>
      </c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</row>
    <row r="188" spans="1:35" ht="13.5" customHeight="1">
      <c r="A188" s="18">
        <v>192</v>
      </c>
      <c r="B188" s="17">
        <v>20340</v>
      </c>
      <c r="C188" s="24" t="str">
        <f t="shared" si="17"/>
        <v>4,7,18</v>
      </c>
      <c r="D188" s="24" t="str">
        <f t="shared" si="18"/>
        <v>0,54,0</v>
      </c>
      <c r="E188" s="24" t="str">
        <f t="shared" si="19"/>
        <v>0,0,0</v>
      </c>
      <c r="F188" s="24" t="str">
        <f t="shared" si="20"/>
        <v>0,0,0</v>
      </c>
      <c r="G188" s="17" t="str">
        <f t="shared" si="21"/>
        <v>100,1,2</v>
      </c>
      <c r="H188" s="17" t="s">
        <v>31</v>
      </c>
      <c r="I188" s="17" t="s">
        <v>31</v>
      </c>
      <c r="K188" s="9">
        <v>4</v>
      </c>
      <c r="L188" s="9">
        <v>0</v>
      </c>
      <c r="M188" s="9">
        <v>0</v>
      </c>
      <c r="N188" s="9">
        <v>0</v>
      </c>
      <c r="O188" s="9">
        <v>100</v>
      </c>
      <c r="P188" s="9">
        <v>7</v>
      </c>
      <c r="Q188" s="9">
        <v>54</v>
      </c>
      <c r="R188" s="9">
        <v>0</v>
      </c>
      <c r="S188" s="9">
        <v>0</v>
      </c>
      <c r="T188" s="9">
        <v>1</v>
      </c>
      <c r="U188" s="9">
        <v>18</v>
      </c>
      <c r="V188" s="9">
        <v>0</v>
      </c>
      <c r="W188" s="9">
        <v>0</v>
      </c>
      <c r="X188" s="9">
        <v>0</v>
      </c>
      <c r="Y188" s="9">
        <v>2</v>
      </c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</row>
    <row r="189" spans="1:35" ht="13.5" customHeight="1">
      <c r="A189" s="18">
        <v>193</v>
      </c>
      <c r="B189" s="17">
        <v>20345</v>
      </c>
      <c r="C189" s="24" t="str">
        <f t="shared" si="17"/>
        <v>4,7</v>
      </c>
      <c r="D189" s="24" t="str">
        <f t="shared" si="18"/>
        <v>0,55</v>
      </c>
      <c r="E189" s="24" t="str">
        <f t="shared" si="19"/>
        <v>0,0</v>
      </c>
      <c r="F189" s="24" t="str">
        <f t="shared" si="20"/>
        <v>0,0</v>
      </c>
      <c r="G189" s="17" t="str">
        <f t="shared" si="21"/>
        <v>100,1</v>
      </c>
      <c r="H189" s="17" t="s">
        <v>31</v>
      </c>
      <c r="I189" s="17" t="s">
        <v>31</v>
      </c>
      <c r="K189" s="9">
        <v>4</v>
      </c>
      <c r="L189" s="9">
        <v>0</v>
      </c>
      <c r="M189" s="9">
        <v>0</v>
      </c>
      <c r="N189" s="9">
        <v>0</v>
      </c>
      <c r="O189" s="9">
        <v>100</v>
      </c>
      <c r="P189" s="9">
        <v>7</v>
      </c>
      <c r="Q189" s="9">
        <v>55</v>
      </c>
      <c r="R189" s="9">
        <v>0</v>
      </c>
      <c r="S189" s="9">
        <v>0</v>
      </c>
      <c r="T189" s="9">
        <v>1</v>
      </c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</row>
    <row r="190" spans="1:35" ht="13.5" customHeight="1">
      <c r="A190" s="18">
        <v>194</v>
      </c>
      <c r="B190" s="17">
        <v>20350</v>
      </c>
      <c r="C190" s="24" t="str">
        <f t="shared" si="17"/>
        <v>4,6,18</v>
      </c>
      <c r="D190" s="24" t="str">
        <f t="shared" si="18"/>
        <v>0,1,0</v>
      </c>
      <c r="E190" s="24" t="str">
        <f t="shared" si="19"/>
        <v>0,0,0</v>
      </c>
      <c r="F190" s="24" t="str">
        <f t="shared" si="20"/>
        <v>0,5,0</v>
      </c>
      <c r="G190" s="17" t="str">
        <f t="shared" si="21"/>
        <v>200,50,2</v>
      </c>
      <c r="H190" s="17" t="s">
        <v>31</v>
      </c>
      <c r="I190" s="17" t="s">
        <v>31</v>
      </c>
      <c r="K190" s="9">
        <v>4</v>
      </c>
      <c r="L190" s="9">
        <v>0</v>
      </c>
      <c r="M190" s="9">
        <v>0</v>
      </c>
      <c r="N190" s="9">
        <v>0</v>
      </c>
      <c r="O190" s="9">
        <v>200</v>
      </c>
      <c r="P190" s="9">
        <v>6</v>
      </c>
      <c r="Q190" s="9">
        <v>1</v>
      </c>
      <c r="R190" s="9">
        <v>0</v>
      </c>
      <c r="S190" s="9">
        <v>5</v>
      </c>
      <c r="T190" s="9">
        <v>50</v>
      </c>
      <c r="U190" s="9">
        <v>18</v>
      </c>
      <c r="V190" s="9">
        <v>0</v>
      </c>
      <c r="W190" s="9">
        <v>0</v>
      </c>
      <c r="X190" s="9">
        <v>0</v>
      </c>
      <c r="Y190" s="9">
        <v>2</v>
      </c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</row>
    <row r="191" spans="1:35" ht="13.5" customHeight="1">
      <c r="A191" s="18">
        <v>195</v>
      </c>
      <c r="B191" s="17">
        <v>20405</v>
      </c>
      <c r="C191" s="24" t="str">
        <f t="shared" si="17"/>
        <v>4,7</v>
      </c>
      <c r="D191" s="24" t="str">
        <f t="shared" si="18"/>
        <v>0,56</v>
      </c>
      <c r="E191" s="24" t="str">
        <f t="shared" si="19"/>
        <v>0,0</v>
      </c>
      <c r="F191" s="24" t="str">
        <f t="shared" si="20"/>
        <v>0,0</v>
      </c>
      <c r="G191" s="17" t="str">
        <f t="shared" si="21"/>
        <v>100,1</v>
      </c>
      <c r="H191" s="17" t="s">
        <v>31</v>
      </c>
      <c r="I191" s="17" t="s">
        <v>31</v>
      </c>
      <c r="J191" s="40"/>
      <c r="K191" s="9">
        <v>4</v>
      </c>
      <c r="L191" s="9">
        <v>0</v>
      </c>
      <c r="M191" s="9">
        <v>0</v>
      </c>
      <c r="N191" s="9">
        <v>0</v>
      </c>
      <c r="O191" s="9">
        <v>100</v>
      </c>
      <c r="P191" s="9">
        <v>7</v>
      </c>
      <c r="Q191" s="9">
        <v>56</v>
      </c>
      <c r="R191" s="9">
        <v>0</v>
      </c>
      <c r="S191" s="9">
        <v>0</v>
      </c>
      <c r="T191" s="9">
        <v>1</v>
      </c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35" ht="13.5" customHeight="1">
      <c r="A192" s="18">
        <v>196</v>
      </c>
      <c r="B192" s="17">
        <v>20410</v>
      </c>
      <c r="C192" s="24" t="str">
        <f t="shared" si="17"/>
        <v>4,7,18</v>
      </c>
      <c r="D192" s="24" t="str">
        <f t="shared" si="18"/>
        <v>0,53,0</v>
      </c>
      <c r="E192" s="24" t="str">
        <f t="shared" si="19"/>
        <v>0,0,0</v>
      </c>
      <c r="F192" s="24" t="str">
        <f t="shared" si="20"/>
        <v>0,0,0</v>
      </c>
      <c r="G192" s="17" t="str">
        <f t="shared" si="21"/>
        <v>100,1,2</v>
      </c>
      <c r="H192" s="17" t="s">
        <v>31</v>
      </c>
      <c r="I192" s="17" t="s">
        <v>31</v>
      </c>
      <c r="K192" s="9">
        <v>4</v>
      </c>
      <c r="L192" s="9">
        <v>0</v>
      </c>
      <c r="M192" s="9">
        <v>0</v>
      </c>
      <c r="N192" s="9">
        <v>0</v>
      </c>
      <c r="O192" s="9">
        <v>100</v>
      </c>
      <c r="P192" s="9">
        <v>7</v>
      </c>
      <c r="Q192" s="9">
        <v>53</v>
      </c>
      <c r="R192" s="9">
        <v>0</v>
      </c>
      <c r="S192" s="9">
        <v>0</v>
      </c>
      <c r="T192" s="9">
        <v>1</v>
      </c>
      <c r="U192" s="9">
        <v>18</v>
      </c>
      <c r="V192" s="9">
        <v>0</v>
      </c>
      <c r="W192" s="9">
        <v>0</v>
      </c>
      <c r="X192" s="9">
        <v>0</v>
      </c>
      <c r="Y192" s="9">
        <v>2</v>
      </c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3.5" customHeight="1">
      <c r="A193" s="18">
        <v>197</v>
      </c>
      <c r="B193" s="17">
        <v>20415</v>
      </c>
      <c r="C193" s="24" t="str">
        <f t="shared" si="17"/>
        <v>4,7</v>
      </c>
      <c r="D193" s="24" t="str">
        <f t="shared" si="18"/>
        <v>0,54</v>
      </c>
      <c r="E193" s="24" t="str">
        <f t="shared" si="19"/>
        <v>0,0</v>
      </c>
      <c r="F193" s="24" t="str">
        <f t="shared" si="20"/>
        <v>0,0</v>
      </c>
      <c r="G193" s="17" t="str">
        <f t="shared" si="21"/>
        <v>100,1</v>
      </c>
      <c r="H193" s="17" t="s">
        <v>31</v>
      </c>
      <c r="I193" s="17" t="s">
        <v>31</v>
      </c>
      <c r="K193" s="9">
        <v>4</v>
      </c>
      <c r="L193" s="9">
        <v>0</v>
      </c>
      <c r="M193" s="9">
        <v>0</v>
      </c>
      <c r="N193" s="9">
        <v>0</v>
      </c>
      <c r="O193" s="9">
        <v>100</v>
      </c>
      <c r="P193" s="9">
        <v>7</v>
      </c>
      <c r="Q193" s="9">
        <v>54</v>
      </c>
      <c r="R193" s="9">
        <v>0</v>
      </c>
      <c r="S193" s="9">
        <v>0</v>
      </c>
      <c r="T193" s="9">
        <v>1</v>
      </c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</row>
    <row r="194" spans="1:35" ht="13.5" customHeight="1">
      <c r="A194" s="18">
        <v>198</v>
      </c>
      <c r="B194" s="17">
        <v>20420</v>
      </c>
      <c r="C194" s="24" t="str">
        <f t="shared" si="17"/>
        <v>4,7,18</v>
      </c>
      <c r="D194" s="24" t="str">
        <f t="shared" si="18"/>
        <v>0,55,0</v>
      </c>
      <c r="E194" s="24" t="str">
        <f t="shared" si="19"/>
        <v>0,0,0</v>
      </c>
      <c r="F194" s="24" t="str">
        <f t="shared" si="20"/>
        <v>0,0,0</v>
      </c>
      <c r="G194" s="17" t="str">
        <f t="shared" si="21"/>
        <v>100,1,2</v>
      </c>
      <c r="H194" s="17" t="s">
        <v>31</v>
      </c>
      <c r="I194" s="17" t="s">
        <v>31</v>
      </c>
      <c r="K194" s="9">
        <v>4</v>
      </c>
      <c r="L194" s="9">
        <v>0</v>
      </c>
      <c r="M194" s="9">
        <v>0</v>
      </c>
      <c r="N194" s="9">
        <v>0</v>
      </c>
      <c r="O194" s="9">
        <v>100</v>
      </c>
      <c r="P194" s="9">
        <v>7</v>
      </c>
      <c r="Q194" s="9">
        <v>55</v>
      </c>
      <c r="R194" s="9">
        <v>0</v>
      </c>
      <c r="S194" s="9">
        <v>0</v>
      </c>
      <c r="T194" s="9">
        <v>1</v>
      </c>
      <c r="U194" s="9">
        <v>18</v>
      </c>
      <c r="V194" s="9">
        <v>0</v>
      </c>
      <c r="W194" s="9">
        <v>0</v>
      </c>
      <c r="X194" s="9">
        <v>0</v>
      </c>
      <c r="Y194" s="9">
        <v>2</v>
      </c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3.5" customHeight="1">
      <c r="A195" s="18">
        <v>199</v>
      </c>
      <c r="B195" s="17">
        <v>20425</v>
      </c>
      <c r="C195" s="24" t="str">
        <f t="shared" si="17"/>
        <v>4,7</v>
      </c>
      <c r="D195" s="24" t="str">
        <f t="shared" si="18"/>
        <v>0,56</v>
      </c>
      <c r="E195" s="24" t="str">
        <f t="shared" si="19"/>
        <v>0,0</v>
      </c>
      <c r="F195" s="24" t="str">
        <f t="shared" si="20"/>
        <v>0,0</v>
      </c>
      <c r="G195" s="17" t="str">
        <f t="shared" si="21"/>
        <v>100,1</v>
      </c>
      <c r="H195" s="17" t="s">
        <v>31</v>
      </c>
      <c r="I195" s="17" t="s">
        <v>31</v>
      </c>
      <c r="K195" s="9">
        <v>4</v>
      </c>
      <c r="L195" s="9">
        <v>0</v>
      </c>
      <c r="M195" s="9">
        <v>0</v>
      </c>
      <c r="N195" s="9">
        <v>0</v>
      </c>
      <c r="O195" s="9">
        <v>100</v>
      </c>
      <c r="P195" s="9">
        <v>7</v>
      </c>
      <c r="Q195" s="9">
        <v>56</v>
      </c>
      <c r="R195" s="9">
        <v>0</v>
      </c>
      <c r="S195" s="9">
        <v>0</v>
      </c>
      <c r="T195" s="9">
        <v>1</v>
      </c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3.5" customHeight="1">
      <c r="A196" s="18">
        <v>200</v>
      </c>
      <c r="B196" s="17">
        <v>20430</v>
      </c>
      <c r="C196" s="24" t="str">
        <f t="shared" ref="C196:C259" si="22">IF(AND(U196="",K196&lt;&gt;"",P196&lt;&gt;""),K196&amp;","&amp;P196,IF(AND(U196="",P196="",K196&lt;&gt;""),K196,IF(AND(U196="",P196="",K196=""),"",K196&amp;","&amp;P196&amp;","&amp;U196)))</f>
        <v>4,7,18</v>
      </c>
      <c r="D196" s="24" t="str">
        <f t="shared" ref="D196:D259" si="23">IF(AND(V196="",L196&lt;&gt;"",Q196&lt;&gt;""),L196&amp;","&amp;Q196,IF(AND(V196="",Q196="",L196&lt;&gt;""),L196,IF(AND(V196="",Q196="",L196=""),"",L196&amp;","&amp;Q196&amp;","&amp;V196)))</f>
        <v>0,53,0</v>
      </c>
      <c r="E196" s="24" t="str">
        <f t="shared" ref="E196:E259" si="24">IF(AND(W196="",M196&lt;&gt;"",R196&lt;&gt;""),M196&amp;","&amp;R196,IF(AND(W196="",R196="",M196&lt;&gt;""),M196,IF(AND(W196="",R196="",M196=""),"",M196&amp;","&amp;R196&amp;","&amp;W196)))</f>
        <v>0,0,0</v>
      </c>
      <c r="F196" s="24" t="str">
        <f t="shared" ref="F196:F259" si="25">IF(AND(X196="",N196&lt;&gt;"",S196&lt;&gt;""),N196&amp;","&amp;S196,IF(AND(X196="",S196="",N196&lt;&gt;""),N196,IF(AND(X196="",S196="",N196=""),"",N196&amp;","&amp;S196&amp;","&amp;X196)))</f>
        <v>0,0,0</v>
      </c>
      <c r="G196" s="17" t="str">
        <f t="shared" ref="G196:G259" si="26">IF(AND(Y196="",O196&lt;&gt;"",T196&lt;&gt;""),O196&amp;","&amp;T196,IF(AND(Y196="",T196="",O196&lt;&gt;""),O196,IF(AND(Y196="",T196="",O196=""),"",O196&amp;","&amp;T196&amp;","&amp;Y196)))</f>
        <v>100,1,2</v>
      </c>
      <c r="H196" s="17" t="s">
        <v>31</v>
      </c>
      <c r="I196" s="17" t="s">
        <v>31</v>
      </c>
      <c r="K196" s="9">
        <v>4</v>
      </c>
      <c r="L196" s="9">
        <v>0</v>
      </c>
      <c r="M196" s="9">
        <v>0</v>
      </c>
      <c r="N196" s="9">
        <v>0</v>
      </c>
      <c r="O196" s="9">
        <v>100</v>
      </c>
      <c r="P196" s="9">
        <v>7</v>
      </c>
      <c r="Q196" s="9">
        <v>53</v>
      </c>
      <c r="R196" s="9">
        <v>0</v>
      </c>
      <c r="S196" s="9">
        <v>0</v>
      </c>
      <c r="T196" s="9">
        <v>1</v>
      </c>
      <c r="U196" s="9">
        <v>18</v>
      </c>
      <c r="V196" s="9">
        <v>0</v>
      </c>
      <c r="W196" s="9">
        <v>0</v>
      </c>
      <c r="X196" s="9">
        <v>0</v>
      </c>
      <c r="Y196" s="9">
        <v>2</v>
      </c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</row>
    <row r="197" spans="1:35" ht="13.5" customHeight="1">
      <c r="A197" s="18">
        <v>201</v>
      </c>
      <c r="B197" s="17">
        <v>20435</v>
      </c>
      <c r="C197" s="24" t="str">
        <f t="shared" si="22"/>
        <v>4,7</v>
      </c>
      <c r="D197" s="24" t="str">
        <f t="shared" si="23"/>
        <v>0,54</v>
      </c>
      <c r="E197" s="24" t="str">
        <f t="shared" si="24"/>
        <v>0,0</v>
      </c>
      <c r="F197" s="24" t="str">
        <f t="shared" si="25"/>
        <v>0,0</v>
      </c>
      <c r="G197" s="17" t="str">
        <f t="shared" si="26"/>
        <v>100,1</v>
      </c>
      <c r="H197" s="17" t="s">
        <v>31</v>
      </c>
      <c r="I197" s="17" t="s">
        <v>31</v>
      </c>
      <c r="K197" s="9">
        <v>4</v>
      </c>
      <c r="L197" s="9">
        <v>0</v>
      </c>
      <c r="M197" s="9">
        <v>0</v>
      </c>
      <c r="N197" s="9">
        <v>0</v>
      </c>
      <c r="O197" s="9">
        <v>100</v>
      </c>
      <c r="P197" s="9">
        <v>7</v>
      </c>
      <c r="Q197" s="9">
        <v>54</v>
      </c>
      <c r="R197" s="9">
        <v>0</v>
      </c>
      <c r="S197" s="9">
        <v>0</v>
      </c>
      <c r="T197" s="9">
        <v>1</v>
      </c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3.5" customHeight="1">
      <c r="A198" s="18">
        <v>202</v>
      </c>
      <c r="B198" s="17">
        <v>20440</v>
      </c>
      <c r="C198" s="24" t="str">
        <f t="shared" si="22"/>
        <v>4,7,18</v>
      </c>
      <c r="D198" s="24" t="str">
        <f t="shared" si="23"/>
        <v>0,55,0</v>
      </c>
      <c r="E198" s="24" t="str">
        <f t="shared" si="24"/>
        <v>0,0,0</v>
      </c>
      <c r="F198" s="24" t="str">
        <f t="shared" si="25"/>
        <v>0,0,0</v>
      </c>
      <c r="G198" s="17" t="str">
        <f t="shared" si="26"/>
        <v>100,1,2</v>
      </c>
      <c r="H198" s="17" t="s">
        <v>31</v>
      </c>
      <c r="I198" s="17" t="s">
        <v>31</v>
      </c>
      <c r="K198" s="9">
        <v>4</v>
      </c>
      <c r="L198" s="9">
        <v>0</v>
      </c>
      <c r="M198" s="9">
        <v>0</v>
      </c>
      <c r="N198" s="9">
        <v>0</v>
      </c>
      <c r="O198" s="9">
        <v>100</v>
      </c>
      <c r="P198" s="9">
        <v>7</v>
      </c>
      <c r="Q198" s="9">
        <v>55</v>
      </c>
      <c r="R198" s="9">
        <v>0</v>
      </c>
      <c r="S198" s="9">
        <v>0</v>
      </c>
      <c r="T198" s="9">
        <v>1</v>
      </c>
      <c r="U198" s="9">
        <v>18</v>
      </c>
      <c r="V198" s="9">
        <v>0</v>
      </c>
      <c r="W198" s="9">
        <v>0</v>
      </c>
      <c r="X198" s="9">
        <v>0</v>
      </c>
      <c r="Y198" s="9">
        <v>2</v>
      </c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</row>
    <row r="199" spans="1:35" ht="13.5" customHeight="1">
      <c r="A199" s="18">
        <v>203</v>
      </c>
      <c r="B199" s="17">
        <v>20445</v>
      </c>
      <c r="C199" s="24" t="str">
        <f t="shared" si="22"/>
        <v>4,7</v>
      </c>
      <c r="D199" s="24" t="str">
        <f t="shared" si="23"/>
        <v>0,56</v>
      </c>
      <c r="E199" s="24" t="str">
        <f t="shared" si="24"/>
        <v>0,0</v>
      </c>
      <c r="F199" s="24" t="str">
        <f t="shared" si="25"/>
        <v>0,0</v>
      </c>
      <c r="G199" s="17" t="str">
        <f t="shared" si="26"/>
        <v>100,1</v>
      </c>
      <c r="H199" s="17" t="s">
        <v>31</v>
      </c>
      <c r="I199" s="17" t="s">
        <v>31</v>
      </c>
      <c r="K199" s="9">
        <v>4</v>
      </c>
      <c r="L199" s="9">
        <v>0</v>
      </c>
      <c r="M199" s="9">
        <v>0</v>
      </c>
      <c r="N199" s="9">
        <v>0</v>
      </c>
      <c r="O199" s="9">
        <v>100</v>
      </c>
      <c r="P199" s="9">
        <v>7</v>
      </c>
      <c r="Q199" s="9">
        <v>56</v>
      </c>
      <c r="R199" s="9">
        <v>0</v>
      </c>
      <c r="S199" s="9">
        <v>0</v>
      </c>
      <c r="T199" s="9">
        <v>1</v>
      </c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</row>
    <row r="200" spans="1:35" ht="13.5" customHeight="1">
      <c r="A200" s="18">
        <v>204</v>
      </c>
      <c r="B200" s="17">
        <v>20450</v>
      </c>
      <c r="C200" s="24" t="str">
        <f t="shared" si="22"/>
        <v>4,6,18</v>
      </c>
      <c r="D200" s="24" t="str">
        <f t="shared" si="23"/>
        <v>0,1,0</v>
      </c>
      <c r="E200" s="24" t="str">
        <f t="shared" si="24"/>
        <v>0,0,0</v>
      </c>
      <c r="F200" s="24" t="str">
        <f t="shared" si="25"/>
        <v>0,5,0</v>
      </c>
      <c r="G200" s="17" t="str">
        <f t="shared" si="26"/>
        <v>200,50,2</v>
      </c>
      <c r="H200" s="17" t="s">
        <v>31</v>
      </c>
      <c r="I200" s="17" t="s">
        <v>31</v>
      </c>
      <c r="K200" s="9">
        <v>4</v>
      </c>
      <c r="L200" s="9">
        <v>0</v>
      </c>
      <c r="M200" s="9">
        <v>0</v>
      </c>
      <c r="N200" s="9">
        <v>0</v>
      </c>
      <c r="O200" s="9">
        <v>200</v>
      </c>
      <c r="P200" s="9">
        <v>6</v>
      </c>
      <c r="Q200" s="9">
        <v>1</v>
      </c>
      <c r="R200" s="9">
        <v>0</v>
      </c>
      <c r="S200" s="9">
        <v>5</v>
      </c>
      <c r="T200" s="9">
        <v>50</v>
      </c>
      <c r="U200" s="9">
        <v>18</v>
      </c>
      <c r="V200" s="9">
        <v>0</v>
      </c>
      <c r="W200" s="9">
        <v>0</v>
      </c>
      <c r="X200" s="9">
        <v>0</v>
      </c>
      <c r="Y200" s="9">
        <v>2</v>
      </c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</row>
    <row r="201" spans="1:35" ht="13.5" customHeight="1">
      <c r="A201" s="18">
        <v>205</v>
      </c>
      <c r="B201" s="17">
        <v>20505</v>
      </c>
      <c r="C201" s="24" t="str">
        <f t="shared" si="22"/>
        <v>4,7</v>
      </c>
      <c r="D201" s="24" t="str">
        <f t="shared" si="23"/>
        <v>0,53</v>
      </c>
      <c r="E201" s="24" t="str">
        <f t="shared" si="24"/>
        <v>0,0</v>
      </c>
      <c r="F201" s="24" t="str">
        <f t="shared" si="25"/>
        <v>0,0</v>
      </c>
      <c r="G201" s="17" t="str">
        <f t="shared" si="26"/>
        <v>100,1</v>
      </c>
      <c r="H201" s="17" t="s">
        <v>31</v>
      </c>
      <c r="I201" s="17" t="s">
        <v>31</v>
      </c>
      <c r="K201" s="9">
        <v>4</v>
      </c>
      <c r="L201" s="9">
        <v>0</v>
      </c>
      <c r="M201" s="9">
        <v>0</v>
      </c>
      <c r="N201" s="9">
        <v>0</v>
      </c>
      <c r="O201" s="9">
        <v>100</v>
      </c>
      <c r="P201" s="9">
        <v>7</v>
      </c>
      <c r="Q201" s="9">
        <v>53</v>
      </c>
      <c r="R201" s="9">
        <v>0</v>
      </c>
      <c r="S201" s="9">
        <v>0</v>
      </c>
      <c r="T201" s="9">
        <v>1</v>
      </c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</row>
    <row r="202" spans="1:35" ht="13.5" customHeight="1">
      <c r="A202" s="18">
        <v>206</v>
      </c>
      <c r="B202" s="17">
        <v>20510</v>
      </c>
      <c r="C202" s="24" t="str">
        <f t="shared" si="22"/>
        <v>4,7,18</v>
      </c>
      <c r="D202" s="24" t="str">
        <f t="shared" si="23"/>
        <v>0,54,0</v>
      </c>
      <c r="E202" s="24" t="str">
        <f t="shared" si="24"/>
        <v>0,0,0</v>
      </c>
      <c r="F202" s="24" t="str">
        <f t="shared" si="25"/>
        <v>0,0,0</v>
      </c>
      <c r="G202" s="17" t="str">
        <f t="shared" si="26"/>
        <v>100,1,2</v>
      </c>
      <c r="H202" s="17" t="s">
        <v>31</v>
      </c>
      <c r="I202" s="17" t="s">
        <v>31</v>
      </c>
      <c r="K202" s="9">
        <v>4</v>
      </c>
      <c r="L202" s="9">
        <v>0</v>
      </c>
      <c r="M202" s="9">
        <v>0</v>
      </c>
      <c r="N202" s="9">
        <v>0</v>
      </c>
      <c r="O202" s="9">
        <v>100</v>
      </c>
      <c r="P202" s="9">
        <v>7</v>
      </c>
      <c r="Q202" s="9">
        <v>54</v>
      </c>
      <c r="R202" s="9">
        <v>0</v>
      </c>
      <c r="S202" s="9">
        <v>0</v>
      </c>
      <c r="T202" s="9">
        <v>1</v>
      </c>
      <c r="U202" s="9">
        <v>18</v>
      </c>
      <c r="V202" s="9">
        <v>0</v>
      </c>
      <c r="W202" s="9">
        <v>0</v>
      </c>
      <c r="X202" s="9">
        <v>0</v>
      </c>
      <c r="Y202" s="9">
        <v>2</v>
      </c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</row>
    <row r="203" spans="1:35" ht="13.5" customHeight="1">
      <c r="A203" s="18">
        <v>207</v>
      </c>
      <c r="B203" s="17">
        <v>20515</v>
      </c>
      <c r="C203" s="24" t="str">
        <f t="shared" si="22"/>
        <v>4,7</v>
      </c>
      <c r="D203" s="24" t="str">
        <f t="shared" si="23"/>
        <v>0,55</v>
      </c>
      <c r="E203" s="24" t="str">
        <f t="shared" si="24"/>
        <v>0,0</v>
      </c>
      <c r="F203" s="24" t="str">
        <f t="shared" si="25"/>
        <v>0,0</v>
      </c>
      <c r="G203" s="17" t="str">
        <f t="shared" si="26"/>
        <v>100,1</v>
      </c>
      <c r="H203" s="17" t="s">
        <v>31</v>
      </c>
      <c r="I203" s="17" t="s">
        <v>31</v>
      </c>
      <c r="K203" s="9">
        <v>4</v>
      </c>
      <c r="L203" s="9">
        <v>0</v>
      </c>
      <c r="M203" s="9">
        <v>0</v>
      </c>
      <c r="N203" s="9">
        <v>0</v>
      </c>
      <c r="O203" s="9">
        <v>100</v>
      </c>
      <c r="P203" s="9">
        <v>7</v>
      </c>
      <c r="Q203" s="9">
        <v>55</v>
      </c>
      <c r="R203" s="9">
        <v>0</v>
      </c>
      <c r="S203" s="9">
        <v>0</v>
      </c>
      <c r="T203" s="9">
        <v>1</v>
      </c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</row>
    <row r="204" spans="1:35" ht="13.5" customHeight="1">
      <c r="A204" s="18">
        <v>208</v>
      </c>
      <c r="B204" s="17">
        <v>20520</v>
      </c>
      <c r="C204" s="24" t="str">
        <f t="shared" si="22"/>
        <v>4,7,18</v>
      </c>
      <c r="D204" s="24" t="str">
        <f t="shared" si="23"/>
        <v>0,56,0</v>
      </c>
      <c r="E204" s="24" t="str">
        <f t="shared" si="24"/>
        <v>0,0,0</v>
      </c>
      <c r="F204" s="24" t="str">
        <f t="shared" si="25"/>
        <v>0,0,0</v>
      </c>
      <c r="G204" s="17" t="str">
        <f t="shared" si="26"/>
        <v>100,1,2</v>
      </c>
      <c r="H204" s="17" t="s">
        <v>31</v>
      </c>
      <c r="I204" s="17" t="s">
        <v>31</v>
      </c>
      <c r="K204" s="9">
        <v>4</v>
      </c>
      <c r="L204" s="9">
        <v>0</v>
      </c>
      <c r="M204" s="9">
        <v>0</v>
      </c>
      <c r="N204" s="9">
        <v>0</v>
      </c>
      <c r="O204" s="9">
        <v>100</v>
      </c>
      <c r="P204" s="9">
        <v>7</v>
      </c>
      <c r="Q204" s="9">
        <v>56</v>
      </c>
      <c r="R204" s="9">
        <v>0</v>
      </c>
      <c r="S204" s="9">
        <v>0</v>
      </c>
      <c r="T204" s="9">
        <v>1</v>
      </c>
      <c r="U204" s="9">
        <v>18</v>
      </c>
      <c r="V204" s="9">
        <v>0</v>
      </c>
      <c r="W204" s="9">
        <v>0</v>
      </c>
      <c r="X204" s="9">
        <v>0</v>
      </c>
      <c r="Y204" s="9">
        <v>2</v>
      </c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</row>
    <row r="205" spans="1:35" ht="13.5" customHeight="1">
      <c r="A205" s="18">
        <v>209</v>
      </c>
      <c r="B205" s="17">
        <v>20525</v>
      </c>
      <c r="C205" s="24" t="str">
        <f t="shared" si="22"/>
        <v>4,7</v>
      </c>
      <c r="D205" s="24" t="str">
        <f t="shared" si="23"/>
        <v>0,53</v>
      </c>
      <c r="E205" s="24" t="str">
        <f t="shared" si="24"/>
        <v>0,0</v>
      </c>
      <c r="F205" s="24" t="str">
        <f t="shared" si="25"/>
        <v>0,0</v>
      </c>
      <c r="G205" s="17" t="str">
        <f t="shared" si="26"/>
        <v>100,1</v>
      </c>
      <c r="H205" s="17" t="s">
        <v>31</v>
      </c>
      <c r="I205" s="17" t="s">
        <v>31</v>
      </c>
      <c r="K205" s="9">
        <v>4</v>
      </c>
      <c r="L205" s="9">
        <v>0</v>
      </c>
      <c r="M205" s="9">
        <v>0</v>
      </c>
      <c r="N205" s="9">
        <v>0</v>
      </c>
      <c r="O205" s="9">
        <v>100</v>
      </c>
      <c r="P205" s="9">
        <v>7</v>
      </c>
      <c r="Q205" s="9">
        <v>53</v>
      </c>
      <c r="R205" s="9">
        <v>0</v>
      </c>
      <c r="S205" s="9">
        <v>0</v>
      </c>
      <c r="T205" s="9">
        <v>1</v>
      </c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</row>
    <row r="206" spans="1:35" ht="13.5" customHeight="1">
      <c r="A206" s="18">
        <v>210</v>
      </c>
      <c r="B206" s="17">
        <v>20530</v>
      </c>
      <c r="C206" s="24" t="str">
        <f t="shared" si="22"/>
        <v>4,7,18</v>
      </c>
      <c r="D206" s="24" t="str">
        <f t="shared" si="23"/>
        <v>0,54,0</v>
      </c>
      <c r="E206" s="24" t="str">
        <f t="shared" si="24"/>
        <v>0,0,0</v>
      </c>
      <c r="F206" s="24" t="str">
        <f t="shared" si="25"/>
        <v>0,0,0</v>
      </c>
      <c r="G206" s="17" t="str">
        <f t="shared" si="26"/>
        <v>100,1,2</v>
      </c>
      <c r="H206" s="17" t="s">
        <v>31</v>
      </c>
      <c r="I206" s="17" t="s">
        <v>31</v>
      </c>
      <c r="K206" s="9">
        <v>4</v>
      </c>
      <c r="L206" s="9">
        <v>0</v>
      </c>
      <c r="M206" s="9">
        <v>0</v>
      </c>
      <c r="N206" s="9">
        <v>0</v>
      </c>
      <c r="O206" s="9">
        <v>100</v>
      </c>
      <c r="P206" s="9">
        <v>7</v>
      </c>
      <c r="Q206" s="9">
        <v>54</v>
      </c>
      <c r="R206" s="9">
        <v>0</v>
      </c>
      <c r="S206" s="9">
        <v>0</v>
      </c>
      <c r="T206" s="9">
        <v>1</v>
      </c>
      <c r="U206" s="9">
        <v>18</v>
      </c>
      <c r="V206" s="9">
        <v>0</v>
      </c>
      <c r="W206" s="9">
        <v>0</v>
      </c>
      <c r="X206" s="9">
        <v>0</v>
      </c>
      <c r="Y206" s="9">
        <v>2</v>
      </c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</row>
    <row r="207" spans="1:35" ht="13.5" customHeight="1">
      <c r="A207" s="18">
        <v>211</v>
      </c>
      <c r="B207" s="17">
        <v>20535</v>
      </c>
      <c r="C207" s="24" t="str">
        <f t="shared" si="22"/>
        <v>4,7</v>
      </c>
      <c r="D207" s="24" t="str">
        <f t="shared" si="23"/>
        <v>0,55</v>
      </c>
      <c r="E207" s="24" t="str">
        <f t="shared" si="24"/>
        <v>0,0</v>
      </c>
      <c r="F207" s="24" t="str">
        <f t="shared" si="25"/>
        <v>0,0</v>
      </c>
      <c r="G207" s="17" t="str">
        <f t="shared" si="26"/>
        <v>100,1</v>
      </c>
      <c r="H207" s="17" t="s">
        <v>31</v>
      </c>
      <c r="I207" s="17" t="s">
        <v>31</v>
      </c>
      <c r="K207" s="9">
        <v>4</v>
      </c>
      <c r="L207" s="9">
        <v>0</v>
      </c>
      <c r="M207" s="9">
        <v>0</v>
      </c>
      <c r="N207" s="9">
        <v>0</v>
      </c>
      <c r="O207" s="9">
        <v>100</v>
      </c>
      <c r="P207" s="9">
        <v>7</v>
      </c>
      <c r="Q207" s="9">
        <v>55</v>
      </c>
      <c r="R207" s="9">
        <v>0</v>
      </c>
      <c r="S207" s="9">
        <v>0</v>
      </c>
      <c r="T207" s="9">
        <v>1</v>
      </c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</row>
    <row r="208" spans="1:35" ht="13.5" customHeight="1">
      <c r="A208" s="18">
        <v>212</v>
      </c>
      <c r="B208" s="17">
        <v>20540</v>
      </c>
      <c r="C208" s="24" t="str">
        <f t="shared" si="22"/>
        <v>4,7,18</v>
      </c>
      <c r="D208" s="24" t="str">
        <f t="shared" si="23"/>
        <v>0,56,0</v>
      </c>
      <c r="E208" s="24" t="str">
        <f t="shared" si="24"/>
        <v>0,0,0</v>
      </c>
      <c r="F208" s="24" t="str">
        <f t="shared" si="25"/>
        <v>0,0,0</v>
      </c>
      <c r="G208" s="17" t="str">
        <f t="shared" si="26"/>
        <v>100,1,2</v>
      </c>
      <c r="H208" s="17" t="s">
        <v>31</v>
      </c>
      <c r="I208" s="17" t="s">
        <v>31</v>
      </c>
      <c r="K208" s="9">
        <v>4</v>
      </c>
      <c r="L208" s="9">
        <v>0</v>
      </c>
      <c r="M208" s="9">
        <v>0</v>
      </c>
      <c r="N208" s="9">
        <v>0</v>
      </c>
      <c r="O208" s="9">
        <v>100</v>
      </c>
      <c r="P208" s="9">
        <v>7</v>
      </c>
      <c r="Q208" s="9">
        <v>56</v>
      </c>
      <c r="R208" s="9">
        <v>0</v>
      </c>
      <c r="S208" s="9">
        <v>0</v>
      </c>
      <c r="T208" s="9">
        <v>1</v>
      </c>
      <c r="U208" s="9">
        <v>18</v>
      </c>
      <c r="V208" s="9">
        <v>0</v>
      </c>
      <c r="W208" s="9">
        <v>0</v>
      </c>
      <c r="X208" s="9">
        <v>0</v>
      </c>
      <c r="Y208" s="9">
        <v>2</v>
      </c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</row>
    <row r="209" spans="1:35" ht="13.5" customHeight="1">
      <c r="A209" s="18">
        <v>213</v>
      </c>
      <c r="B209" s="17">
        <v>20545</v>
      </c>
      <c r="C209" s="24" t="str">
        <f t="shared" si="22"/>
        <v>4,7</v>
      </c>
      <c r="D209" s="24" t="str">
        <f t="shared" si="23"/>
        <v>0,53</v>
      </c>
      <c r="E209" s="24" t="str">
        <f t="shared" si="24"/>
        <v>0,0</v>
      </c>
      <c r="F209" s="24" t="str">
        <f t="shared" si="25"/>
        <v>0,0</v>
      </c>
      <c r="G209" s="17" t="str">
        <f t="shared" si="26"/>
        <v>100,1</v>
      </c>
      <c r="H209" s="17" t="s">
        <v>31</v>
      </c>
      <c r="I209" s="17" t="s">
        <v>31</v>
      </c>
      <c r="K209" s="9">
        <v>4</v>
      </c>
      <c r="L209" s="9">
        <v>0</v>
      </c>
      <c r="M209" s="9">
        <v>0</v>
      </c>
      <c r="N209" s="9">
        <v>0</v>
      </c>
      <c r="O209" s="9">
        <v>100</v>
      </c>
      <c r="P209" s="9">
        <v>7</v>
      </c>
      <c r="Q209" s="9">
        <v>53</v>
      </c>
      <c r="R209" s="9">
        <v>0</v>
      </c>
      <c r="S209" s="9">
        <v>0</v>
      </c>
      <c r="T209" s="9">
        <v>1</v>
      </c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</row>
    <row r="210" spans="1:35" ht="13.5" customHeight="1">
      <c r="A210" s="18">
        <v>214</v>
      </c>
      <c r="B210" s="17">
        <v>20550</v>
      </c>
      <c r="C210" s="24" t="str">
        <f t="shared" si="22"/>
        <v>4,6,18</v>
      </c>
      <c r="D210" s="24" t="str">
        <f t="shared" si="23"/>
        <v>0,1,0</v>
      </c>
      <c r="E210" s="24" t="str">
        <f t="shared" si="24"/>
        <v>0,0,0</v>
      </c>
      <c r="F210" s="24" t="str">
        <f t="shared" si="25"/>
        <v>0,5,0</v>
      </c>
      <c r="G210" s="17" t="str">
        <f t="shared" si="26"/>
        <v>200,50,2</v>
      </c>
      <c r="H210" s="17" t="s">
        <v>31</v>
      </c>
      <c r="I210" s="17" t="s">
        <v>31</v>
      </c>
      <c r="K210" s="9">
        <v>4</v>
      </c>
      <c r="L210" s="9">
        <v>0</v>
      </c>
      <c r="M210" s="9">
        <v>0</v>
      </c>
      <c r="N210" s="9">
        <v>0</v>
      </c>
      <c r="O210" s="9">
        <v>200</v>
      </c>
      <c r="P210" s="9">
        <v>6</v>
      </c>
      <c r="Q210" s="9">
        <v>1</v>
      </c>
      <c r="R210" s="9">
        <v>0</v>
      </c>
      <c r="S210" s="9">
        <v>5</v>
      </c>
      <c r="T210" s="9">
        <v>50</v>
      </c>
      <c r="U210" s="9">
        <v>18</v>
      </c>
      <c r="V210" s="9">
        <v>0</v>
      </c>
      <c r="W210" s="9">
        <v>0</v>
      </c>
      <c r="X210" s="9">
        <v>0</v>
      </c>
      <c r="Y210" s="9">
        <v>2</v>
      </c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</row>
    <row r="211" spans="1:35" ht="13.5" customHeight="1">
      <c r="A211" s="18">
        <v>215</v>
      </c>
      <c r="B211" s="17">
        <v>20605</v>
      </c>
      <c r="C211" s="24" t="str">
        <f t="shared" si="22"/>
        <v>4,7</v>
      </c>
      <c r="D211" s="24" t="str">
        <f t="shared" si="23"/>
        <v>0,57</v>
      </c>
      <c r="E211" s="24" t="str">
        <f t="shared" si="24"/>
        <v>0,0</v>
      </c>
      <c r="F211" s="24" t="str">
        <f t="shared" si="25"/>
        <v>0,0</v>
      </c>
      <c r="G211" s="17" t="str">
        <f t="shared" si="26"/>
        <v>100,1</v>
      </c>
      <c r="H211" s="17" t="s">
        <v>31</v>
      </c>
      <c r="I211" s="17" t="s">
        <v>31</v>
      </c>
      <c r="J211" s="40"/>
      <c r="K211" s="9">
        <v>4</v>
      </c>
      <c r="L211" s="9">
        <v>0</v>
      </c>
      <c r="M211" s="9">
        <v>0</v>
      </c>
      <c r="N211" s="9">
        <v>0</v>
      </c>
      <c r="O211" s="9">
        <v>100</v>
      </c>
      <c r="P211" s="9">
        <v>7</v>
      </c>
      <c r="Q211" s="9">
        <v>57</v>
      </c>
      <c r="R211" s="9">
        <v>0</v>
      </c>
      <c r="S211" s="9">
        <v>0</v>
      </c>
      <c r="T211" s="9">
        <v>1</v>
      </c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</row>
    <row r="212" spans="1:35" ht="13.5" customHeight="1">
      <c r="A212" s="18">
        <v>216</v>
      </c>
      <c r="B212" s="17">
        <v>20610</v>
      </c>
      <c r="C212" s="24" t="str">
        <f t="shared" si="22"/>
        <v>4,7,18</v>
      </c>
      <c r="D212" s="24" t="str">
        <f t="shared" si="23"/>
        <v>0,58,0</v>
      </c>
      <c r="E212" s="24" t="str">
        <f t="shared" si="24"/>
        <v>0,0,0</v>
      </c>
      <c r="F212" s="24" t="str">
        <f t="shared" si="25"/>
        <v>0,0,0</v>
      </c>
      <c r="G212" s="17" t="str">
        <f t="shared" si="26"/>
        <v>100,1,2</v>
      </c>
      <c r="H212" s="17" t="s">
        <v>31</v>
      </c>
      <c r="I212" s="17" t="s">
        <v>31</v>
      </c>
      <c r="K212" s="9">
        <v>4</v>
      </c>
      <c r="L212" s="9">
        <v>0</v>
      </c>
      <c r="M212" s="9">
        <v>0</v>
      </c>
      <c r="N212" s="9">
        <v>0</v>
      </c>
      <c r="O212" s="9">
        <v>100</v>
      </c>
      <c r="P212" s="9">
        <v>7</v>
      </c>
      <c r="Q212" s="9">
        <v>58</v>
      </c>
      <c r="R212" s="9">
        <v>0</v>
      </c>
      <c r="S212" s="9">
        <v>0</v>
      </c>
      <c r="T212" s="9">
        <v>1</v>
      </c>
      <c r="U212" s="9">
        <v>18</v>
      </c>
      <c r="V212" s="9">
        <v>0</v>
      </c>
      <c r="W212" s="9">
        <v>0</v>
      </c>
      <c r="X212" s="9">
        <v>0</v>
      </c>
      <c r="Y212" s="9">
        <v>2</v>
      </c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</row>
    <row r="213" spans="1:35" ht="13.5" customHeight="1">
      <c r="A213" s="18">
        <v>217</v>
      </c>
      <c r="B213" s="17">
        <v>20615</v>
      </c>
      <c r="C213" s="24" t="str">
        <f t="shared" si="22"/>
        <v>4,7</v>
      </c>
      <c r="D213" s="24" t="str">
        <f t="shared" si="23"/>
        <v>0,59</v>
      </c>
      <c r="E213" s="24" t="str">
        <f t="shared" si="24"/>
        <v>0,0</v>
      </c>
      <c r="F213" s="24" t="str">
        <f t="shared" si="25"/>
        <v>0,0</v>
      </c>
      <c r="G213" s="17" t="str">
        <f t="shared" si="26"/>
        <v>100,1</v>
      </c>
      <c r="H213" s="17" t="s">
        <v>31</v>
      </c>
      <c r="I213" s="17" t="s">
        <v>31</v>
      </c>
      <c r="K213" s="9">
        <v>4</v>
      </c>
      <c r="L213" s="9">
        <v>0</v>
      </c>
      <c r="M213" s="9">
        <v>0</v>
      </c>
      <c r="N213" s="9">
        <v>0</v>
      </c>
      <c r="O213" s="9">
        <v>100</v>
      </c>
      <c r="P213" s="9">
        <v>7</v>
      </c>
      <c r="Q213" s="9">
        <v>59</v>
      </c>
      <c r="R213" s="9">
        <v>0</v>
      </c>
      <c r="S213" s="9">
        <v>0</v>
      </c>
      <c r="T213" s="9">
        <v>1</v>
      </c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</row>
    <row r="214" spans="1:35" ht="13.5" customHeight="1">
      <c r="A214" s="18">
        <v>218</v>
      </c>
      <c r="B214" s="17">
        <v>20620</v>
      </c>
      <c r="C214" s="24" t="str">
        <f t="shared" si="22"/>
        <v>4,7,18</v>
      </c>
      <c r="D214" s="24" t="str">
        <f t="shared" si="23"/>
        <v>0,60,0</v>
      </c>
      <c r="E214" s="24" t="str">
        <f t="shared" si="24"/>
        <v>0,0,0</v>
      </c>
      <c r="F214" s="24" t="str">
        <f t="shared" si="25"/>
        <v>0,0,0</v>
      </c>
      <c r="G214" s="17" t="str">
        <f t="shared" si="26"/>
        <v>100,1,2</v>
      </c>
      <c r="H214" s="17" t="s">
        <v>31</v>
      </c>
      <c r="I214" s="17" t="s">
        <v>31</v>
      </c>
      <c r="K214" s="9">
        <v>4</v>
      </c>
      <c r="L214" s="9">
        <v>0</v>
      </c>
      <c r="M214" s="9">
        <v>0</v>
      </c>
      <c r="N214" s="9">
        <v>0</v>
      </c>
      <c r="O214" s="9">
        <v>100</v>
      </c>
      <c r="P214" s="9">
        <v>7</v>
      </c>
      <c r="Q214" s="9">
        <v>60</v>
      </c>
      <c r="R214" s="9">
        <v>0</v>
      </c>
      <c r="S214" s="9">
        <v>0</v>
      </c>
      <c r="T214" s="9">
        <v>1</v>
      </c>
      <c r="U214" s="9">
        <v>18</v>
      </c>
      <c r="V214" s="9">
        <v>0</v>
      </c>
      <c r="W214" s="9">
        <v>0</v>
      </c>
      <c r="X214" s="9">
        <v>0</v>
      </c>
      <c r="Y214" s="9">
        <v>2</v>
      </c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</row>
    <row r="215" spans="1:35" ht="13.5" customHeight="1">
      <c r="A215" s="18">
        <v>219</v>
      </c>
      <c r="B215" s="17">
        <v>20625</v>
      </c>
      <c r="C215" s="24" t="str">
        <f t="shared" si="22"/>
        <v>4,7</v>
      </c>
      <c r="D215" s="24" t="str">
        <f t="shared" si="23"/>
        <v>0,57</v>
      </c>
      <c r="E215" s="24" t="str">
        <f t="shared" si="24"/>
        <v>0,0</v>
      </c>
      <c r="F215" s="24" t="str">
        <f t="shared" si="25"/>
        <v>0,0</v>
      </c>
      <c r="G215" s="17" t="str">
        <f t="shared" si="26"/>
        <v>100,1</v>
      </c>
      <c r="H215" s="17" t="s">
        <v>31</v>
      </c>
      <c r="I215" s="17" t="s">
        <v>31</v>
      </c>
      <c r="K215" s="9">
        <v>4</v>
      </c>
      <c r="L215" s="9">
        <v>0</v>
      </c>
      <c r="M215" s="9">
        <v>0</v>
      </c>
      <c r="N215" s="9">
        <v>0</v>
      </c>
      <c r="O215" s="9">
        <v>100</v>
      </c>
      <c r="P215" s="9">
        <v>7</v>
      </c>
      <c r="Q215" s="9">
        <v>57</v>
      </c>
      <c r="R215" s="9">
        <v>0</v>
      </c>
      <c r="S215" s="9">
        <v>0</v>
      </c>
      <c r="T215" s="9">
        <v>1</v>
      </c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</row>
    <row r="216" spans="1:35" ht="13.5" customHeight="1">
      <c r="A216" s="18">
        <v>220</v>
      </c>
      <c r="B216" s="17">
        <v>20630</v>
      </c>
      <c r="C216" s="24" t="str">
        <f t="shared" si="22"/>
        <v>4,7,18</v>
      </c>
      <c r="D216" s="24" t="str">
        <f t="shared" si="23"/>
        <v>0,58,0</v>
      </c>
      <c r="E216" s="24" t="str">
        <f t="shared" si="24"/>
        <v>0,0,0</v>
      </c>
      <c r="F216" s="24" t="str">
        <f t="shared" si="25"/>
        <v>0,0,0</v>
      </c>
      <c r="G216" s="17" t="str">
        <f t="shared" si="26"/>
        <v>100,1,2</v>
      </c>
      <c r="H216" s="17" t="s">
        <v>31</v>
      </c>
      <c r="I216" s="17" t="s">
        <v>31</v>
      </c>
      <c r="K216" s="9">
        <v>4</v>
      </c>
      <c r="L216" s="9">
        <v>0</v>
      </c>
      <c r="M216" s="9">
        <v>0</v>
      </c>
      <c r="N216" s="9">
        <v>0</v>
      </c>
      <c r="O216" s="9">
        <v>100</v>
      </c>
      <c r="P216" s="9">
        <v>7</v>
      </c>
      <c r="Q216" s="9">
        <v>58</v>
      </c>
      <c r="R216" s="9">
        <v>0</v>
      </c>
      <c r="S216" s="9">
        <v>0</v>
      </c>
      <c r="T216" s="9">
        <v>1</v>
      </c>
      <c r="U216" s="9">
        <v>18</v>
      </c>
      <c r="V216" s="9">
        <v>0</v>
      </c>
      <c r="W216" s="9">
        <v>0</v>
      </c>
      <c r="X216" s="9">
        <v>0</v>
      </c>
      <c r="Y216" s="9">
        <v>2</v>
      </c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</row>
    <row r="217" spans="1:35" ht="13.5" customHeight="1">
      <c r="A217" s="18">
        <v>221</v>
      </c>
      <c r="B217" s="17">
        <v>20635</v>
      </c>
      <c r="C217" s="24" t="str">
        <f t="shared" si="22"/>
        <v>4,7</v>
      </c>
      <c r="D217" s="24" t="str">
        <f t="shared" si="23"/>
        <v>0,59</v>
      </c>
      <c r="E217" s="24" t="str">
        <f t="shared" si="24"/>
        <v>0,0</v>
      </c>
      <c r="F217" s="24" t="str">
        <f t="shared" si="25"/>
        <v>0,0</v>
      </c>
      <c r="G217" s="17" t="str">
        <f t="shared" si="26"/>
        <v>100,1</v>
      </c>
      <c r="H217" s="17" t="s">
        <v>31</v>
      </c>
      <c r="I217" s="17" t="s">
        <v>31</v>
      </c>
      <c r="K217" s="9">
        <v>4</v>
      </c>
      <c r="L217" s="9">
        <v>0</v>
      </c>
      <c r="M217" s="9">
        <v>0</v>
      </c>
      <c r="N217" s="9">
        <v>0</v>
      </c>
      <c r="O217" s="9">
        <v>100</v>
      </c>
      <c r="P217" s="9">
        <v>7</v>
      </c>
      <c r="Q217" s="9">
        <v>59</v>
      </c>
      <c r="R217" s="9">
        <v>0</v>
      </c>
      <c r="S217" s="9">
        <v>0</v>
      </c>
      <c r="T217" s="9">
        <v>1</v>
      </c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</row>
    <row r="218" spans="1:35" ht="13.5" customHeight="1">
      <c r="A218" s="18">
        <v>222</v>
      </c>
      <c r="B218" s="17">
        <v>20640</v>
      </c>
      <c r="C218" s="24" t="str">
        <f t="shared" si="22"/>
        <v>4,7,18</v>
      </c>
      <c r="D218" s="24" t="str">
        <f t="shared" si="23"/>
        <v>0,60,0</v>
      </c>
      <c r="E218" s="24" t="str">
        <f t="shared" si="24"/>
        <v>0,0,0</v>
      </c>
      <c r="F218" s="24" t="str">
        <f t="shared" si="25"/>
        <v>0,0,0</v>
      </c>
      <c r="G218" s="17" t="str">
        <f t="shared" si="26"/>
        <v>100,1,2</v>
      </c>
      <c r="H218" s="17" t="s">
        <v>31</v>
      </c>
      <c r="I218" s="17" t="s">
        <v>31</v>
      </c>
      <c r="K218" s="9">
        <v>4</v>
      </c>
      <c r="L218" s="9">
        <v>0</v>
      </c>
      <c r="M218" s="9">
        <v>0</v>
      </c>
      <c r="N218" s="9">
        <v>0</v>
      </c>
      <c r="O218" s="9">
        <v>100</v>
      </c>
      <c r="P218" s="9">
        <v>7</v>
      </c>
      <c r="Q218" s="9">
        <v>60</v>
      </c>
      <c r="R218" s="9">
        <v>0</v>
      </c>
      <c r="S218" s="9">
        <v>0</v>
      </c>
      <c r="T218" s="9">
        <v>1</v>
      </c>
      <c r="U218" s="9">
        <v>18</v>
      </c>
      <c r="V218" s="9">
        <v>0</v>
      </c>
      <c r="W218" s="9">
        <v>0</v>
      </c>
      <c r="X218" s="9">
        <v>0</v>
      </c>
      <c r="Y218" s="9">
        <v>2</v>
      </c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</row>
    <row r="219" spans="1:35" ht="13.5" customHeight="1">
      <c r="A219" s="18">
        <v>223</v>
      </c>
      <c r="B219" s="17">
        <v>20645</v>
      </c>
      <c r="C219" s="24" t="str">
        <f t="shared" si="22"/>
        <v>4,7</v>
      </c>
      <c r="D219" s="24" t="str">
        <f t="shared" si="23"/>
        <v>0,57</v>
      </c>
      <c r="E219" s="24" t="str">
        <f t="shared" si="24"/>
        <v>0,0</v>
      </c>
      <c r="F219" s="24" t="str">
        <f t="shared" si="25"/>
        <v>0,0</v>
      </c>
      <c r="G219" s="17" t="str">
        <f t="shared" si="26"/>
        <v>100,1</v>
      </c>
      <c r="H219" s="17" t="s">
        <v>31</v>
      </c>
      <c r="I219" s="17" t="s">
        <v>31</v>
      </c>
      <c r="K219" s="9">
        <v>4</v>
      </c>
      <c r="L219" s="9">
        <v>0</v>
      </c>
      <c r="M219" s="9">
        <v>0</v>
      </c>
      <c r="N219" s="9">
        <v>0</v>
      </c>
      <c r="O219" s="9">
        <v>100</v>
      </c>
      <c r="P219" s="9">
        <v>7</v>
      </c>
      <c r="Q219" s="9">
        <v>57</v>
      </c>
      <c r="R219" s="9">
        <v>0</v>
      </c>
      <c r="S219" s="9">
        <v>0</v>
      </c>
      <c r="T219" s="9">
        <v>1</v>
      </c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</row>
    <row r="220" spans="1:35" ht="13.5" customHeight="1">
      <c r="A220" s="18">
        <v>224</v>
      </c>
      <c r="B220" s="17">
        <v>20650</v>
      </c>
      <c r="C220" s="24" t="str">
        <f t="shared" si="22"/>
        <v>4,6,18</v>
      </c>
      <c r="D220" s="24" t="str">
        <f t="shared" si="23"/>
        <v>0,1,0</v>
      </c>
      <c r="E220" s="24" t="str">
        <f t="shared" si="24"/>
        <v>0,0,0</v>
      </c>
      <c r="F220" s="24" t="str">
        <f t="shared" si="25"/>
        <v>0,5,0</v>
      </c>
      <c r="G220" s="17" t="str">
        <f t="shared" si="26"/>
        <v>200,50,2</v>
      </c>
      <c r="H220" s="17" t="s">
        <v>31</v>
      </c>
      <c r="I220" s="17" t="s">
        <v>31</v>
      </c>
      <c r="K220" s="9">
        <v>4</v>
      </c>
      <c r="L220" s="9">
        <v>0</v>
      </c>
      <c r="M220" s="9">
        <v>0</v>
      </c>
      <c r="N220" s="9">
        <v>0</v>
      </c>
      <c r="O220" s="9">
        <v>200</v>
      </c>
      <c r="P220" s="9">
        <v>6</v>
      </c>
      <c r="Q220" s="9">
        <v>1</v>
      </c>
      <c r="R220" s="9">
        <v>0</v>
      </c>
      <c r="S220" s="9">
        <v>5</v>
      </c>
      <c r="T220" s="9">
        <v>50</v>
      </c>
      <c r="U220" s="9">
        <v>18</v>
      </c>
      <c r="V220" s="9">
        <v>0</v>
      </c>
      <c r="W220" s="9">
        <v>0</v>
      </c>
      <c r="X220" s="9">
        <v>0</v>
      </c>
      <c r="Y220" s="9">
        <v>2</v>
      </c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</row>
    <row r="221" spans="1:35" ht="13.5" customHeight="1">
      <c r="A221" s="18">
        <v>225</v>
      </c>
      <c r="B221" s="17">
        <v>20705</v>
      </c>
      <c r="C221" s="24" t="str">
        <f t="shared" si="22"/>
        <v>4,7</v>
      </c>
      <c r="D221" s="24" t="str">
        <f t="shared" si="23"/>
        <v>0,58</v>
      </c>
      <c r="E221" s="24" t="str">
        <f t="shared" si="24"/>
        <v>0,0</v>
      </c>
      <c r="F221" s="24" t="str">
        <f t="shared" si="25"/>
        <v>0,0</v>
      </c>
      <c r="G221" s="17" t="str">
        <f t="shared" si="26"/>
        <v>100,1</v>
      </c>
      <c r="H221" s="17" t="s">
        <v>31</v>
      </c>
      <c r="I221" s="17" t="s">
        <v>31</v>
      </c>
      <c r="K221" s="9">
        <v>4</v>
      </c>
      <c r="L221" s="9">
        <v>0</v>
      </c>
      <c r="M221" s="9">
        <v>0</v>
      </c>
      <c r="N221" s="9">
        <v>0</v>
      </c>
      <c r="O221" s="9">
        <v>100</v>
      </c>
      <c r="P221" s="9">
        <v>7</v>
      </c>
      <c r="Q221" s="9">
        <v>58</v>
      </c>
      <c r="R221" s="9">
        <v>0</v>
      </c>
      <c r="S221" s="9">
        <v>0</v>
      </c>
      <c r="T221" s="9">
        <v>1</v>
      </c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</row>
    <row r="222" spans="1:35" ht="13.5" customHeight="1">
      <c r="A222" s="18">
        <v>226</v>
      </c>
      <c r="B222" s="17">
        <v>20710</v>
      </c>
      <c r="C222" s="24" t="str">
        <f t="shared" si="22"/>
        <v>4,7,18</v>
      </c>
      <c r="D222" s="24" t="str">
        <f t="shared" si="23"/>
        <v>0,59,0</v>
      </c>
      <c r="E222" s="24" t="str">
        <f t="shared" si="24"/>
        <v>0,0,0</v>
      </c>
      <c r="F222" s="24" t="str">
        <f t="shared" si="25"/>
        <v>0,0,0</v>
      </c>
      <c r="G222" s="17" t="str">
        <f t="shared" si="26"/>
        <v>100,1,2</v>
      </c>
      <c r="H222" s="17" t="s">
        <v>31</v>
      </c>
      <c r="I222" s="17" t="s">
        <v>31</v>
      </c>
      <c r="K222" s="9">
        <v>4</v>
      </c>
      <c r="L222" s="9">
        <v>0</v>
      </c>
      <c r="M222" s="9">
        <v>0</v>
      </c>
      <c r="N222" s="9">
        <v>0</v>
      </c>
      <c r="O222" s="9">
        <v>100</v>
      </c>
      <c r="P222" s="9">
        <v>7</v>
      </c>
      <c r="Q222" s="9">
        <v>59</v>
      </c>
      <c r="R222" s="9">
        <v>0</v>
      </c>
      <c r="S222" s="9">
        <v>0</v>
      </c>
      <c r="T222" s="9">
        <v>1</v>
      </c>
      <c r="U222" s="9">
        <v>18</v>
      </c>
      <c r="V222" s="9">
        <v>0</v>
      </c>
      <c r="W222" s="9">
        <v>0</v>
      </c>
      <c r="X222" s="9">
        <v>0</v>
      </c>
      <c r="Y222" s="9">
        <v>2</v>
      </c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</row>
    <row r="223" spans="1:35" ht="13.5" customHeight="1">
      <c r="A223" s="18">
        <v>227</v>
      </c>
      <c r="B223" s="17">
        <v>20715</v>
      </c>
      <c r="C223" s="24" t="str">
        <f t="shared" si="22"/>
        <v>4,7</v>
      </c>
      <c r="D223" s="24" t="str">
        <f t="shared" si="23"/>
        <v>0,60</v>
      </c>
      <c r="E223" s="24" t="str">
        <f t="shared" si="24"/>
        <v>0,0</v>
      </c>
      <c r="F223" s="24" t="str">
        <f t="shared" si="25"/>
        <v>0,0</v>
      </c>
      <c r="G223" s="17" t="str">
        <f t="shared" si="26"/>
        <v>100,1</v>
      </c>
      <c r="H223" s="17" t="s">
        <v>31</v>
      </c>
      <c r="I223" s="17" t="s">
        <v>31</v>
      </c>
      <c r="K223" s="9">
        <v>4</v>
      </c>
      <c r="L223" s="9">
        <v>0</v>
      </c>
      <c r="M223" s="9">
        <v>0</v>
      </c>
      <c r="N223" s="9">
        <v>0</v>
      </c>
      <c r="O223" s="9">
        <v>100</v>
      </c>
      <c r="P223" s="9">
        <v>7</v>
      </c>
      <c r="Q223" s="9">
        <v>60</v>
      </c>
      <c r="R223" s="9">
        <v>0</v>
      </c>
      <c r="S223" s="9">
        <v>0</v>
      </c>
      <c r="T223" s="9">
        <v>1</v>
      </c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</row>
    <row r="224" spans="1:35" ht="13.5" customHeight="1">
      <c r="A224" s="18">
        <v>228</v>
      </c>
      <c r="B224" s="17">
        <v>20720</v>
      </c>
      <c r="C224" s="24" t="str">
        <f t="shared" si="22"/>
        <v>4,7,18</v>
      </c>
      <c r="D224" s="24" t="str">
        <f t="shared" si="23"/>
        <v>0,57,0</v>
      </c>
      <c r="E224" s="24" t="str">
        <f t="shared" si="24"/>
        <v>0,0,0</v>
      </c>
      <c r="F224" s="24" t="str">
        <f t="shared" si="25"/>
        <v>0,0,0</v>
      </c>
      <c r="G224" s="17" t="str">
        <f t="shared" si="26"/>
        <v>100,1,2</v>
      </c>
      <c r="H224" s="17" t="s">
        <v>31</v>
      </c>
      <c r="I224" s="17" t="s">
        <v>31</v>
      </c>
      <c r="K224" s="9">
        <v>4</v>
      </c>
      <c r="L224" s="9">
        <v>0</v>
      </c>
      <c r="M224" s="9">
        <v>0</v>
      </c>
      <c r="N224" s="9">
        <v>0</v>
      </c>
      <c r="O224" s="9">
        <v>100</v>
      </c>
      <c r="P224" s="9">
        <v>7</v>
      </c>
      <c r="Q224" s="9">
        <v>57</v>
      </c>
      <c r="R224" s="9">
        <v>0</v>
      </c>
      <c r="S224" s="9">
        <v>0</v>
      </c>
      <c r="T224" s="9">
        <v>1</v>
      </c>
      <c r="U224" s="9">
        <v>18</v>
      </c>
      <c r="V224" s="9">
        <v>0</v>
      </c>
      <c r="W224" s="9">
        <v>0</v>
      </c>
      <c r="X224" s="9">
        <v>0</v>
      </c>
      <c r="Y224" s="9">
        <v>2</v>
      </c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</row>
    <row r="225" spans="1:35" ht="13.5" customHeight="1">
      <c r="A225" s="18">
        <v>229</v>
      </c>
      <c r="B225" s="17">
        <v>20725</v>
      </c>
      <c r="C225" s="24" t="str">
        <f t="shared" si="22"/>
        <v>4,7</v>
      </c>
      <c r="D225" s="24" t="str">
        <f t="shared" si="23"/>
        <v>0,58</v>
      </c>
      <c r="E225" s="24" t="str">
        <f t="shared" si="24"/>
        <v>0,0</v>
      </c>
      <c r="F225" s="24" t="str">
        <f t="shared" si="25"/>
        <v>0,0</v>
      </c>
      <c r="G225" s="17" t="str">
        <f t="shared" si="26"/>
        <v>100,1</v>
      </c>
      <c r="H225" s="17" t="s">
        <v>31</v>
      </c>
      <c r="I225" s="17" t="s">
        <v>31</v>
      </c>
      <c r="K225" s="9">
        <v>4</v>
      </c>
      <c r="L225" s="9">
        <v>0</v>
      </c>
      <c r="M225" s="9">
        <v>0</v>
      </c>
      <c r="N225" s="9">
        <v>0</v>
      </c>
      <c r="O225" s="9">
        <v>100</v>
      </c>
      <c r="P225" s="9">
        <v>7</v>
      </c>
      <c r="Q225" s="9">
        <v>58</v>
      </c>
      <c r="R225" s="9">
        <v>0</v>
      </c>
      <c r="S225" s="9">
        <v>0</v>
      </c>
      <c r="T225" s="9">
        <v>1</v>
      </c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</row>
    <row r="226" spans="1:35" ht="13.5" customHeight="1">
      <c r="A226" s="18">
        <v>230</v>
      </c>
      <c r="B226" s="17">
        <v>20730</v>
      </c>
      <c r="C226" s="24" t="str">
        <f t="shared" si="22"/>
        <v>4,7,18</v>
      </c>
      <c r="D226" s="24" t="str">
        <f t="shared" si="23"/>
        <v>0,59,0</v>
      </c>
      <c r="E226" s="24" t="str">
        <f t="shared" si="24"/>
        <v>0,0,0</v>
      </c>
      <c r="F226" s="24" t="str">
        <f t="shared" si="25"/>
        <v>0,0,0</v>
      </c>
      <c r="G226" s="17" t="str">
        <f t="shared" si="26"/>
        <v>100,1,2</v>
      </c>
      <c r="H226" s="17" t="s">
        <v>31</v>
      </c>
      <c r="I226" s="17" t="s">
        <v>31</v>
      </c>
      <c r="K226" s="9">
        <v>4</v>
      </c>
      <c r="L226" s="9">
        <v>0</v>
      </c>
      <c r="M226" s="9">
        <v>0</v>
      </c>
      <c r="N226" s="9">
        <v>0</v>
      </c>
      <c r="O226" s="9">
        <v>100</v>
      </c>
      <c r="P226" s="9">
        <v>7</v>
      </c>
      <c r="Q226" s="9">
        <v>59</v>
      </c>
      <c r="R226" s="9">
        <v>0</v>
      </c>
      <c r="S226" s="9">
        <v>0</v>
      </c>
      <c r="T226" s="9">
        <v>1</v>
      </c>
      <c r="U226" s="9">
        <v>18</v>
      </c>
      <c r="V226" s="9">
        <v>0</v>
      </c>
      <c r="W226" s="9">
        <v>0</v>
      </c>
      <c r="X226" s="9">
        <v>0</v>
      </c>
      <c r="Y226" s="9">
        <v>2</v>
      </c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</row>
    <row r="227" spans="1:35" ht="13.5" customHeight="1">
      <c r="A227" s="18">
        <v>231</v>
      </c>
      <c r="B227" s="17">
        <v>20735</v>
      </c>
      <c r="C227" s="24" t="str">
        <f t="shared" si="22"/>
        <v>4,7</v>
      </c>
      <c r="D227" s="24" t="str">
        <f t="shared" si="23"/>
        <v>0,60</v>
      </c>
      <c r="E227" s="24" t="str">
        <f t="shared" si="24"/>
        <v>0,0</v>
      </c>
      <c r="F227" s="24" t="str">
        <f t="shared" si="25"/>
        <v>0,0</v>
      </c>
      <c r="G227" s="17" t="str">
        <f t="shared" si="26"/>
        <v>100,1</v>
      </c>
      <c r="H227" s="17" t="s">
        <v>31</v>
      </c>
      <c r="I227" s="17" t="s">
        <v>31</v>
      </c>
      <c r="K227" s="9">
        <v>4</v>
      </c>
      <c r="L227" s="9">
        <v>0</v>
      </c>
      <c r="M227" s="9">
        <v>0</v>
      </c>
      <c r="N227" s="9">
        <v>0</v>
      </c>
      <c r="O227" s="9">
        <v>100</v>
      </c>
      <c r="P227" s="9">
        <v>7</v>
      </c>
      <c r="Q227" s="9">
        <v>60</v>
      </c>
      <c r="R227" s="9">
        <v>0</v>
      </c>
      <c r="S227" s="9">
        <v>0</v>
      </c>
      <c r="T227" s="9">
        <v>1</v>
      </c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</row>
    <row r="228" spans="1:35" ht="13.5" customHeight="1">
      <c r="A228" s="18">
        <v>232</v>
      </c>
      <c r="B228" s="17">
        <v>20740</v>
      </c>
      <c r="C228" s="24" t="str">
        <f t="shared" si="22"/>
        <v>4,7,18</v>
      </c>
      <c r="D228" s="24" t="str">
        <f t="shared" si="23"/>
        <v>0,57,0</v>
      </c>
      <c r="E228" s="24" t="str">
        <f t="shared" si="24"/>
        <v>0,0,0</v>
      </c>
      <c r="F228" s="24" t="str">
        <f t="shared" si="25"/>
        <v>0,0,0</v>
      </c>
      <c r="G228" s="17" t="str">
        <f t="shared" si="26"/>
        <v>100,1,2</v>
      </c>
      <c r="H228" s="17" t="s">
        <v>31</v>
      </c>
      <c r="I228" s="17" t="s">
        <v>31</v>
      </c>
      <c r="K228" s="9">
        <v>4</v>
      </c>
      <c r="L228" s="9">
        <v>0</v>
      </c>
      <c r="M228" s="9">
        <v>0</v>
      </c>
      <c r="N228" s="9">
        <v>0</v>
      </c>
      <c r="O228" s="9">
        <v>100</v>
      </c>
      <c r="P228" s="9">
        <v>7</v>
      </c>
      <c r="Q228" s="9">
        <v>57</v>
      </c>
      <c r="R228" s="9">
        <v>0</v>
      </c>
      <c r="S228" s="9">
        <v>0</v>
      </c>
      <c r="T228" s="9">
        <v>1</v>
      </c>
      <c r="U228" s="9">
        <v>18</v>
      </c>
      <c r="V228" s="9">
        <v>0</v>
      </c>
      <c r="W228" s="9">
        <v>0</v>
      </c>
      <c r="X228" s="9">
        <v>0</v>
      </c>
      <c r="Y228" s="9">
        <v>2</v>
      </c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</row>
    <row r="229" spans="1:35" ht="13.5" customHeight="1">
      <c r="A229" s="18">
        <v>233</v>
      </c>
      <c r="B229" s="17">
        <v>20745</v>
      </c>
      <c r="C229" s="24" t="str">
        <f t="shared" si="22"/>
        <v>4,7</v>
      </c>
      <c r="D229" s="24" t="str">
        <f t="shared" si="23"/>
        <v>0,58</v>
      </c>
      <c r="E229" s="24" t="str">
        <f t="shared" si="24"/>
        <v>0,0</v>
      </c>
      <c r="F229" s="24" t="str">
        <f t="shared" si="25"/>
        <v>0,0</v>
      </c>
      <c r="G229" s="17" t="str">
        <f t="shared" si="26"/>
        <v>100,1</v>
      </c>
      <c r="H229" s="17" t="s">
        <v>31</v>
      </c>
      <c r="I229" s="17" t="s">
        <v>31</v>
      </c>
      <c r="K229" s="9">
        <v>4</v>
      </c>
      <c r="L229" s="9">
        <v>0</v>
      </c>
      <c r="M229" s="9">
        <v>0</v>
      </c>
      <c r="N229" s="9">
        <v>0</v>
      </c>
      <c r="O229" s="9">
        <v>100</v>
      </c>
      <c r="P229" s="9">
        <v>7</v>
      </c>
      <c r="Q229" s="9">
        <v>58</v>
      </c>
      <c r="R229" s="9">
        <v>0</v>
      </c>
      <c r="S229" s="9">
        <v>0</v>
      </c>
      <c r="T229" s="9">
        <v>1</v>
      </c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</row>
    <row r="230" spans="1:35" ht="13.5" customHeight="1">
      <c r="A230" s="18">
        <v>234</v>
      </c>
      <c r="B230" s="17">
        <v>20750</v>
      </c>
      <c r="C230" s="24" t="str">
        <f t="shared" si="22"/>
        <v>4,6,18</v>
      </c>
      <c r="D230" s="24" t="str">
        <f t="shared" si="23"/>
        <v>0,1,0</v>
      </c>
      <c r="E230" s="24" t="str">
        <f t="shared" si="24"/>
        <v>0,0,0</v>
      </c>
      <c r="F230" s="24" t="str">
        <f t="shared" si="25"/>
        <v>0,5,0</v>
      </c>
      <c r="G230" s="17" t="str">
        <f t="shared" si="26"/>
        <v>200,50,2</v>
      </c>
      <c r="H230" s="17" t="s">
        <v>31</v>
      </c>
      <c r="I230" s="17" t="s">
        <v>31</v>
      </c>
      <c r="K230" s="9">
        <v>4</v>
      </c>
      <c r="L230" s="9">
        <v>0</v>
      </c>
      <c r="M230" s="9">
        <v>0</v>
      </c>
      <c r="N230" s="9">
        <v>0</v>
      </c>
      <c r="O230" s="9">
        <v>200</v>
      </c>
      <c r="P230" s="9">
        <v>6</v>
      </c>
      <c r="Q230" s="9">
        <v>1</v>
      </c>
      <c r="R230" s="9">
        <v>0</v>
      </c>
      <c r="S230" s="9">
        <v>5</v>
      </c>
      <c r="T230" s="9">
        <v>50</v>
      </c>
      <c r="U230" s="9">
        <v>18</v>
      </c>
      <c r="V230" s="9">
        <v>0</v>
      </c>
      <c r="W230" s="9">
        <v>0</v>
      </c>
      <c r="X230" s="9">
        <v>0</v>
      </c>
      <c r="Y230" s="9">
        <v>2</v>
      </c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</row>
    <row r="231" spans="1:35" ht="13.5" customHeight="1">
      <c r="A231" s="18">
        <v>235</v>
      </c>
      <c r="B231" s="17">
        <v>20805</v>
      </c>
      <c r="C231" s="24" t="str">
        <f t="shared" si="22"/>
        <v>4,7</v>
      </c>
      <c r="D231" s="24" t="str">
        <f t="shared" si="23"/>
        <v>0,59</v>
      </c>
      <c r="E231" s="24" t="str">
        <f t="shared" si="24"/>
        <v>0,0</v>
      </c>
      <c r="F231" s="24" t="str">
        <f t="shared" si="25"/>
        <v>0,0</v>
      </c>
      <c r="G231" s="17" t="str">
        <f t="shared" si="26"/>
        <v>100,1</v>
      </c>
      <c r="H231" s="17" t="s">
        <v>31</v>
      </c>
      <c r="I231" s="17" t="s">
        <v>31</v>
      </c>
      <c r="K231" s="9">
        <v>4</v>
      </c>
      <c r="L231" s="9">
        <v>0</v>
      </c>
      <c r="M231" s="9">
        <v>0</v>
      </c>
      <c r="N231" s="9">
        <v>0</v>
      </c>
      <c r="O231" s="9">
        <v>100</v>
      </c>
      <c r="P231" s="9">
        <v>7</v>
      </c>
      <c r="Q231" s="9">
        <v>59</v>
      </c>
      <c r="R231" s="9">
        <v>0</v>
      </c>
      <c r="S231" s="9">
        <v>0</v>
      </c>
      <c r="T231" s="9">
        <v>1</v>
      </c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</row>
    <row r="232" spans="1:35" ht="13.5" customHeight="1">
      <c r="A232" s="18">
        <v>236</v>
      </c>
      <c r="B232" s="17">
        <v>20810</v>
      </c>
      <c r="C232" s="24" t="str">
        <f t="shared" si="22"/>
        <v>4,7,18</v>
      </c>
      <c r="D232" s="24" t="str">
        <f t="shared" si="23"/>
        <v>0,60,0</v>
      </c>
      <c r="E232" s="24" t="str">
        <f t="shared" si="24"/>
        <v>0,0,0</v>
      </c>
      <c r="F232" s="24" t="str">
        <f t="shared" si="25"/>
        <v>0,0,0</v>
      </c>
      <c r="G232" s="17" t="str">
        <f t="shared" si="26"/>
        <v>100,1,2</v>
      </c>
      <c r="H232" s="17" t="s">
        <v>31</v>
      </c>
      <c r="I232" s="17" t="s">
        <v>31</v>
      </c>
      <c r="K232" s="9">
        <v>4</v>
      </c>
      <c r="L232" s="9">
        <v>0</v>
      </c>
      <c r="M232" s="9">
        <v>0</v>
      </c>
      <c r="N232" s="9">
        <v>0</v>
      </c>
      <c r="O232" s="9">
        <v>100</v>
      </c>
      <c r="P232" s="9">
        <v>7</v>
      </c>
      <c r="Q232" s="9">
        <v>60</v>
      </c>
      <c r="R232" s="9">
        <v>0</v>
      </c>
      <c r="S232" s="9">
        <v>0</v>
      </c>
      <c r="T232" s="9">
        <v>1</v>
      </c>
      <c r="U232" s="9">
        <v>18</v>
      </c>
      <c r="V232" s="9">
        <v>0</v>
      </c>
      <c r="W232" s="9">
        <v>0</v>
      </c>
      <c r="X232" s="9">
        <v>0</v>
      </c>
      <c r="Y232" s="9">
        <v>2</v>
      </c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</row>
    <row r="233" spans="1:35" ht="13.5" customHeight="1">
      <c r="A233" s="18">
        <v>237</v>
      </c>
      <c r="B233" s="17">
        <v>20815</v>
      </c>
      <c r="C233" s="24" t="str">
        <f t="shared" si="22"/>
        <v>4,7</v>
      </c>
      <c r="D233" s="24" t="str">
        <f t="shared" si="23"/>
        <v>0,57</v>
      </c>
      <c r="E233" s="24" t="str">
        <f t="shared" si="24"/>
        <v>0,0</v>
      </c>
      <c r="F233" s="24" t="str">
        <f t="shared" si="25"/>
        <v>0,0</v>
      </c>
      <c r="G233" s="17" t="str">
        <f t="shared" si="26"/>
        <v>100,1</v>
      </c>
      <c r="H233" s="17" t="s">
        <v>31</v>
      </c>
      <c r="I233" s="17" t="s">
        <v>31</v>
      </c>
      <c r="K233" s="9">
        <v>4</v>
      </c>
      <c r="L233" s="9">
        <v>0</v>
      </c>
      <c r="M233" s="9">
        <v>0</v>
      </c>
      <c r="N233" s="9">
        <v>0</v>
      </c>
      <c r="O233" s="9">
        <v>100</v>
      </c>
      <c r="P233" s="9">
        <v>7</v>
      </c>
      <c r="Q233" s="9">
        <v>57</v>
      </c>
      <c r="R233" s="9">
        <v>0</v>
      </c>
      <c r="S233" s="9">
        <v>0</v>
      </c>
      <c r="T233" s="9">
        <v>1</v>
      </c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</row>
    <row r="234" spans="1:35" ht="13.5" customHeight="1">
      <c r="A234" s="18">
        <v>238</v>
      </c>
      <c r="B234" s="17">
        <v>20820</v>
      </c>
      <c r="C234" s="24" t="str">
        <f t="shared" si="22"/>
        <v>4,7,18</v>
      </c>
      <c r="D234" s="24" t="str">
        <f t="shared" si="23"/>
        <v>0,58,0</v>
      </c>
      <c r="E234" s="24" t="str">
        <f t="shared" si="24"/>
        <v>0,0,0</v>
      </c>
      <c r="F234" s="24" t="str">
        <f t="shared" si="25"/>
        <v>0,0,0</v>
      </c>
      <c r="G234" s="17" t="str">
        <f t="shared" si="26"/>
        <v>100,1,2</v>
      </c>
      <c r="H234" s="17" t="s">
        <v>31</v>
      </c>
      <c r="I234" s="17" t="s">
        <v>31</v>
      </c>
      <c r="K234" s="9">
        <v>4</v>
      </c>
      <c r="L234" s="9">
        <v>0</v>
      </c>
      <c r="M234" s="9">
        <v>0</v>
      </c>
      <c r="N234" s="9">
        <v>0</v>
      </c>
      <c r="O234" s="9">
        <v>100</v>
      </c>
      <c r="P234" s="9">
        <v>7</v>
      </c>
      <c r="Q234" s="9">
        <v>58</v>
      </c>
      <c r="R234" s="9">
        <v>0</v>
      </c>
      <c r="S234" s="9">
        <v>0</v>
      </c>
      <c r="T234" s="9">
        <v>1</v>
      </c>
      <c r="U234" s="9">
        <v>18</v>
      </c>
      <c r="V234" s="9">
        <v>0</v>
      </c>
      <c r="W234" s="9">
        <v>0</v>
      </c>
      <c r="X234" s="9">
        <v>0</v>
      </c>
      <c r="Y234" s="9">
        <v>2</v>
      </c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</row>
    <row r="235" spans="1:35" ht="13.5" customHeight="1">
      <c r="A235" s="18">
        <v>239</v>
      </c>
      <c r="B235" s="17">
        <v>20825</v>
      </c>
      <c r="C235" s="24" t="str">
        <f t="shared" si="22"/>
        <v>4,7</v>
      </c>
      <c r="D235" s="24" t="str">
        <f t="shared" si="23"/>
        <v>0,59</v>
      </c>
      <c r="E235" s="24" t="str">
        <f t="shared" si="24"/>
        <v>0,0</v>
      </c>
      <c r="F235" s="24" t="str">
        <f t="shared" si="25"/>
        <v>0,0</v>
      </c>
      <c r="G235" s="17" t="str">
        <f t="shared" si="26"/>
        <v>100,1</v>
      </c>
      <c r="H235" s="17" t="s">
        <v>31</v>
      </c>
      <c r="I235" s="17" t="s">
        <v>31</v>
      </c>
      <c r="K235" s="9">
        <v>4</v>
      </c>
      <c r="L235" s="9">
        <v>0</v>
      </c>
      <c r="M235" s="9">
        <v>0</v>
      </c>
      <c r="N235" s="9">
        <v>0</v>
      </c>
      <c r="O235" s="9">
        <v>100</v>
      </c>
      <c r="P235" s="9">
        <v>7</v>
      </c>
      <c r="Q235" s="9">
        <v>59</v>
      </c>
      <c r="R235" s="9">
        <v>0</v>
      </c>
      <c r="S235" s="9">
        <v>0</v>
      </c>
      <c r="T235" s="9">
        <v>1</v>
      </c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</row>
    <row r="236" spans="1:35" ht="13.5" customHeight="1">
      <c r="A236" s="18">
        <v>240</v>
      </c>
      <c r="B236" s="17">
        <v>20830</v>
      </c>
      <c r="C236" s="24" t="str">
        <f t="shared" si="22"/>
        <v>4,7,18</v>
      </c>
      <c r="D236" s="24" t="str">
        <f t="shared" si="23"/>
        <v>0,60,0</v>
      </c>
      <c r="E236" s="24" t="str">
        <f t="shared" si="24"/>
        <v>0,0,0</v>
      </c>
      <c r="F236" s="24" t="str">
        <f t="shared" si="25"/>
        <v>0,0,0</v>
      </c>
      <c r="G236" s="17" t="str">
        <f t="shared" si="26"/>
        <v>100,1,2</v>
      </c>
      <c r="H236" s="17" t="s">
        <v>31</v>
      </c>
      <c r="I236" s="17" t="s">
        <v>31</v>
      </c>
      <c r="K236" s="9">
        <v>4</v>
      </c>
      <c r="L236" s="9">
        <v>0</v>
      </c>
      <c r="M236" s="9">
        <v>0</v>
      </c>
      <c r="N236" s="9">
        <v>0</v>
      </c>
      <c r="O236" s="9">
        <v>100</v>
      </c>
      <c r="P236" s="9">
        <v>7</v>
      </c>
      <c r="Q236" s="9">
        <v>60</v>
      </c>
      <c r="R236" s="9">
        <v>0</v>
      </c>
      <c r="S236" s="9">
        <v>0</v>
      </c>
      <c r="T236" s="9">
        <v>1</v>
      </c>
      <c r="U236" s="9">
        <v>18</v>
      </c>
      <c r="V236" s="9">
        <v>0</v>
      </c>
      <c r="W236" s="9">
        <v>0</v>
      </c>
      <c r="X236" s="9">
        <v>0</v>
      </c>
      <c r="Y236" s="9">
        <v>2</v>
      </c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</row>
    <row r="237" spans="1:35" ht="13.5" customHeight="1">
      <c r="A237" s="18">
        <v>241</v>
      </c>
      <c r="B237" s="17">
        <v>20835</v>
      </c>
      <c r="C237" s="24" t="str">
        <f t="shared" si="22"/>
        <v>4,7</v>
      </c>
      <c r="D237" s="24" t="str">
        <f t="shared" si="23"/>
        <v>0,57</v>
      </c>
      <c r="E237" s="24" t="str">
        <f t="shared" si="24"/>
        <v>0,0</v>
      </c>
      <c r="F237" s="24" t="str">
        <f t="shared" si="25"/>
        <v>0,0</v>
      </c>
      <c r="G237" s="17" t="str">
        <f t="shared" si="26"/>
        <v>100,1</v>
      </c>
      <c r="H237" s="17" t="s">
        <v>31</v>
      </c>
      <c r="I237" s="17" t="s">
        <v>31</v>
      </c>
      <c r="K237" s="9">
        <v>4</v>
      </c>
      <c r="L237" s="9">
        <v>0</v>
      </c>
      <c r="M237" s="9">
        <v>0</v>
      </c>
      <c r="N237" s="9">
        <v>0</v>
      </c>
      <c r="O237" s="9">
        <v>100</v>
      </c>
      <c r="P237" s="9">
        <v>7</v>
      </c>
      <c r="Q237" s="9">
        <v>57</v>
      </c>
      <c r="R237" s="9">
        <v>0</v>
      </c>
      <c r="S237" s="9">
        <v>0</v>
      </c>
      <c r="T237" s="9">
        <v>1</v>
      </c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</row>
    <row r="238" spans="1:35" ht="13.5" customHeight="1">
      <c r="A238" s="18">
        <v>242</v>
      </c>
      <c r="B238" s="17">
        <v>20840</v>
      </c>
      <c r="C238" s="24" t="str">
        <f t="shared" si="22"/>
        <v>4,7,18</v>
      </c>
      <c r="D238" s="24" t="str">
        <f t="shared" si="23"/>
        <v>0,58,0</v>
      </c>
      <c r="E238" s="24" t="str">
        <f t="shared" si="24"/>
        <v>0,0,0</v>
      </c>
      <c r="F238" s="24" t="str">
        <f t="shared" si="25"/>
        <v>0,0,0</v>
      </c>
      <c r="G238" s="17" t="str">
        <f t="shared" si="26"/>
        <v>100,1,2</v>
      </c>
      <c r="H238" s="17" t="s">
        <v>31</v>
      </c>
      <c r="I238" s="17" t="s">
        <v>31</v>
      </c>
      <c r="K238" s="9">
        <v>4</v>
      </c>
      <c r="L238" s="9">
        <v>0</v>
      </c>
      <c r="M238" s="9">
        <v>0</v>
      </c>
      <c r="N238" s="9">
        <v>0</v>
      </c>
      <c r="O238" s="9">
        <v>100</v>
      </c>
      <c r="P238" s="9">
        <v>7</v>
      </c>
      <c r="Q238" s="9">
        <v>58</v>
      </c>
      <c r="R238" s="9">
        <v>0</v>
      </c>
      <c r="S238" s="9">
        <v>0</v>
      </c>
      <c r="T238" s="9">
        <v>1</v>
      </c>
      <c r="U238" s="9">
        <v>18</v>
      </c>
      <c r="V238" s="9">
        <v>0</v>
      </c>
      <c r="W238" s="9">
        <v>0</v>
      </c>
      <c r="X238" s="9">
        <v>0</v>
      </c>
      <c r="Y238" s="9">
        <v>2</v>
      </c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</row>
    <row r="239" spans="1:35" ht="13.5" customHeight="1">
      <c r="A239" s="18">
        <v>243</v>
      </c>
      <c r="B239" s="17">
        <v>20845</v>
      </c>
      <c r="C239" s="24" t="str">
        <f t="shared" si="22"/>
        <v>4,7</v>
      </c>
      <c r="D239" s="24" t="str">
        <f t="shared" si="23"/>
        <v>0,59</v>
      </c>
      <c r="E239" s="24" t="str">
        <f t="shared" si="24"/>
        <v>0,0</v>
      </c>
      <c r="F239" s="24" t="str">
        <f t="shared" si="25"/>
        <v>0,0</v>
      </c>
      <c r="G239" s="17" t="str">
        <f t="shared" si="26"/>
        <v>100,1</v>
      </c>
      <c r="H239" s="17" t="s">
        <v>31</v>
      </c>
      <c r="I239" s="17" t="s">
        <v>31</v>
      </c>
      <c r="K239" s="9">
        <v>4</v>
      </c>
      <c r="L239" s="9">
        <v>0</v>
      </c>
      <c r="M239" s="9">
        <v>0</v>
      </c>
      <c r="N239" s="9">
        <v>0</v>
      </c>
      <c r="O239" s="9">
        <v>100</v>
      </c>
      <c r="P239" s="9">
        <v>7</v>
      </c>
      <c r="Q239" s="9">
        <v>59</v>
      </c>
      <c r="R239" s="9">
        <v>0</v>
      </c>
      <c r="S239" s="9">
        <v>0</v>
      </c>
      <c r="T239" s="9">
        <v>1</v>
      </c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</row>
    <row r="240" spans="1:35" ht="13.5" customHeight="1">
      <c r="A240" s="18">
        <v>244</v>
      </c>
      <c r="B240" s="17">
        <v>20850</v>
      </c>
      <c r="C240" s="24" t="str">
        <f t="shared" si="22"/>
        <v>4,6,18</v>
      </c>
      <c r="D240" s="24" t="str">
        <f t="shared" si="23"/>
        <v>0,1,0</v>
      </c>
      <c r="E240" s="24" t="str">
        <f t="shared" si="24"/>
        <v>0,0,0</v>
      </c>
      <c r="F240" s="24" t="str">
        <f t="shared" si="25"/>
        <v>0,5,0</v>
      </c>
      <c r="G240" s="17" t="str">
        <f t="shared" si="26"/>
        <v>200,50,2</v>
      </c>
      <c r="H240" s="17" t="s">
        <v>31</v>
      </c>
      <c r="I240" s="17" t="s">
        <v>31</v>
      </c>
      <c r="K240" s="9">
        <v>4</v>
      </c>
      <c r="L240" s="9">
        <v>0</v>
      </c>
      <c r="M240" s="9">
        <v>0</v>
      </c>
      <c r="N240" s="9">
        <v>0</v>
      </c>
      <c r="O240" s="9">
        <v>200</v>
      </c>
      <c r="P240" s="9">
        <v>6</v>
      </c>
      <c r="Q240" s="9">
        <v>1</v>
      </c>
      <c r="R240" s="9">
        <v>0</v>
      </c>
      <c r="S240" s="9">
        <v>5</v>
      </c>
      <c r="T240" s="9">
        <v>50</v>
      </c>
      <c r="U240" s="9">
        <v>18</v>
      </c>
      <c r="V240" s="9">
        <v>0</v>
      </c>
      <c r="W240" s="9">
        <v>0</v>
      </c>
      <c r="X240" s="9">
        <v>0</v>
      </c>
      <c r="Y240" s="9">
        <v>2</v>
      </c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</row>
    <row r="241" spans="1:35" ht="13.5" customHeight="1">
      <c r="A241" s="18">
        <v>245</v>
      </c>
      <c r="B241" s="17">
        <v>20905</v>
      </c>
      <c r="C241" s="24" t="str">
        <f t="shared" si="22"/>
        <v>4,7</v>
      </c>
      <c r="D241" s="24" t="str">
        <f t="shared" si="23"/>
        <v>0,60</v>
      </c>
      <c r="E241" s="24" t="str">
        <f t="shared" si="24"/>
        <v>0,0</v>
      </c>
      <c r="F241" s="24" t="str">
        <f t="shared" si="25"/>
        <v>0,0</v>
      </c>
      <c r="G241" s="17" t="str">
        <f t="shared" si="26"/>
        <v>100,1</v>
      </c>
      <c r="H241" s="17" t="s">
        <v>31</v>
      </c>
      <c r="I241" s="17" t="s">
        <v>31</v>
      </c>
      <c r="K241" s="9">
        <v>4</v>
      </c>
      <c r="L241" s="9">
        <v>0</v>
      </c>
      <c r="M241" s="9">
        <v>0</v>
      </c>
      <c r="N241" s="9">
        <v>0</v>
      </c>
      <c r="O241" s="9">
        <v>100</v>
      </c>
      <c r="P241" s="9">
        <v>7</v>
      </c>
      <c r="Q241" s="9">
        <v>60</v>
      </c>
      <c r="R241" s="9">
        <v>0</v>
      </c>
      <c r="S241" s="9">
        <v>0</v>
      </c>
      <c r="T241" s="9">
        <v>1</v>
      </c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</row>
    <row r="242" spans="1:35" ht="13.5" customHeight="1">
      <c r="A242" s="18">
        <v>246</v>
      </c>
      <c r="B242" s="17">
        <v>20910</v>
      </c>
      <c r="C242" s="24" t="str">
        <f t="shared" si="22"/>
        <v>4,7,18</v>
      </c>
      <c r="D242" s="24" t="str">
        <f t="shared" si="23"/>
        <v>0,57,0</v>
      </c>
      <c r="E242" s="24" t="str">
        <f t="shared" si="24"/>
        <v>0,0,0</v>
      </c>
      <c r="F242" s="24" t="str">
        <f t="shared" si="25"/>
        <v>0,0,0</v>
      </c>
      <c r="G242" s="17" t="str">
        <f t="shared" si="26"/>
        <v>100,1,2</v>
      </c>
      <c r="H242" s="17" t="s">
        <v>31</v>
      </c>
      <c r="I242" s="17" t="s">
        <v>31</v>
      </c>
      <c r="K242" s="9">
        <v>4</v>
      </c>
      <c r="L242" s="9">
        <v>0</v>
      </c>
      <c r="M242" s="9">
        <v>0</v>
      </c>
      <c r="N242" s="9">
        <v>0</v>
      </c>
      <c r="O242" s="9">
        <v>100</v>
      </c>
      <c r="P242" s="9">
        <v>7</v>
      </c>
      <c r="Q242" s="9">
        <v>57</v>
      </c>
      <c r="R242" s="9">
        <v>0</v>
      </c>
      <c r="S242" s="9">
        <v>0</v>
      </c>
      <c r="T242" s="9">
        <v>1</v>
      </c>
      <c r="U242" s="9">
        <v>18</v>
      </c>
      <c r="V242" s="9">
        <v>0</v>
      </c>
      <c r="W242" s="9">
        <v>0</v>
      </c>
      <c r="X242" s="9">
        <v>0</v>
      </c>
      <c r="Y242" s="9">
        <v>2</v>
      </c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</row>
    <row r="243" spans="1:35" ht="13.5" customHeight="1">
      <c r="A243" s="18">
        <v>247</v>
      </c>
      <c r="B243" s="17">
        <v>20915</v>
      </c>
      <c r="C243" s="24" t="str">
        <f t="shared" si="22"/>
        <v>4,7</v>
      </c>
      <c r="D243" s="24" t="str">
        <f t="shared" si="23"/>
        <v>0,58</v>
      </c>
      <c r="E243" s="24" t="str">
        <f t="shared" si="24"/>
        <v>0,0</v>
      </c>
      <c r="F243" s="24" t="str">
        <f t="shared" si="25"/>
        <v>0,0</v>
      </c>
      <c r="G243" s="17" t="str">
        <f t="shared" si="26"/>
        <v>100,1</v>
      </c>
      <c r="H243" s="17" t="s">
        <v>31</v>
      </c>
      <c r="I243" s="17" t="s">
        <v>31</v>
      </c>
      <c r="K243" s="9">
        <v>4</v>
      </c>
      <c r="L243" s="9">
        <v>0</v>
      </c>
      <c r="M243" s="9">
        <v>0</v>
      </c>
      <c r="N243" s="9">
        <v>0</v>
      </c>
      <c r="O243" s="9">
        <v>100</v>
      </c>
      <c r="P243" s="9">
        <v>7</v>
      </c>
      <c r="Q243" s="9">
        <v>58</v>
      </c>
      <c r="R243" s="9">
        <v>0</v>
      </c>
      <c r="S243" s="9">
        <v>0</v>
      </c>
      <c r="T243" s="9">
        <v>1</v>
      </c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</row>
    <row r="244" spans="1:35" ht="13.5" customHeight="1">
      <c r="A244" s="18">
        <v>248</v>
      </c>
      <c r="B244" s="17">
        <v>20920</v>
      </c>
      <c r="C244" s="24" t="str">
        <f t="shared" si="22"/>
        <v>4,7,18</v>
      </c>
      <c r="D244" s="24" t="str">
        <f t="shared" si="23"/>
        <v>0,59,0</v>
      </c>
      <c r="E244" s="24" t="str">
        <f t="shared" si="24"/>
        <v>0,0,0</v>
      </c>
      <c r="F244" s="24" t="str">
        <f t="shared" si="25"/>
        <v>0,0,0</v>
      </c>
      <c r="G244" s="17" t="str">
        <f t="shared" si="26"/>
        <v>100,1,2</v>
      </c>
      <c r="H244" s="17" t="s">
        <v>31</v>
      </c>
      <c r="I244" s="17" t="s">
        <v>31</v>
      </c>
      <c r="K244" s="9">
        <v>4</v>
      </c>
      <c r="L244" s="9">
        <v>0</v>
      </c>
      <c r="M244" s="9">
        <v>0</v>
      </c>
      <c r="N244" s="9">
        <v>0</v>
      </c>
      <c r="O244" s="9">
        <v>100</v>
      </c>
      <c r="P244" s="9">
        <v>7</v>
      </c>
      <c r="Q244" s="9">
        <v>59</v>
      </c>
      <c r="R244" s="9">
        <v>0</v>
      </c>
      <c r="S244" s="9">
        <v>0</v>
      </c>
      <c r="T244" s="9">
        <v>1</v>
      </c>
      <c r="U244" s="9">
        <v>18</v>
      </c>
      <c r="V244" s="9">
        <v>0</v>
      </c>
      <c r="W244" s="9">
        <v>0</v>
      </c>
      <c r="X244" s="9">
        <v>0</v>
      </c>
      <c r="Y244" s="9">
        <v>2</v>
      </c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</row>
    <row r="245" spans="1:35" ht="13.5" customHeight="1">
      <c r="A245" s="18">
        <v>249</v>
      </c>
      <c r="B245" s="17">
        <v>20925</v>
      </c>
      <c r="C245" s="24" t="str">
        <f t="shared" si="22"/>
        <v>4,7</v>
      </c>
      <c r="D245" s="24" t="str">
        <f t="shared" si="23"/>
        <v>0,60</v>
      </c>
      <c r="E245" s="24" t="str">
        <f t="shared" si="24"/>
        <v>0,0</v>
      </c>
      <c r="F245" s="24" t="str">
        <f t="shared" si="25"/>
        <v>0,0</v>
      </c>
      <c r="G245" s="17" t="str">
        <f t="shared" si="26"/>
        <v>100,1</v>
      </c>
      <c r="H245" s="17" t="s">
        <v>31</v>
      </c>
      <c r="I245" s="17" t="s">
        <v>31</v>
      </c>
      <c r="K245" s="9">
        <v>4</v>
      </c>
      <c r="L245" s="9">
        <v>0</v>
      </c>
      <c r="M245" s="9">
        <v>0</v>
      </c>
      <c r="N245" s="9">
        <v>0</v>
      </c>
      <c r="O245" s="9">
        <v>100</v>
      </c>
      <c r="P245" s="9">
        <v>7</v>
      </c>
      <c r="Q245" s="9">
        <v>60</v>
      </c>
      <c r="R245" s="9">
        <v>0</v>
      </c>
      <c r="S245" s="9">
        <v>0</v>
      </c>
      <c r="T245" s="9">
        <v>1</v>
      </c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</row>
    <row r="246" spans="1:35" ht="13.5" customHeight="1">
      <c r="A246" s="18">
        <v>250</v>
      </c>
      <c r="B246" s="17">
        <v>20930</v>
      </c>
      <c r="C246" s="24" t="str">
        <f t="shared" si="22"/>
        <v>4,7,18</v>
      </c>
      <c r="D246" s="24" t="str">
        <f t="shared" si="23"/>
        <v>0,57,0</v>
      </c>
      <c r="E246" s="24" t="str">
        <f t="shared" si="24"/>
        <v>0,0,0</v>
      </c>
      <c r="F246" s="24" t="str">
        <f t="shared" si="25"/>
        <v>0,0,0</v>
      </c>
      <c r="G246" s="17" t="str">
        <f t="shared" si="26"/>
        <v>100,1,2</v>
      </c>
      <c r="H246" s="17" t="s">
        <v>31</v>
      </c>
      <c r="I246" s="17" t="s">
        <v>31</v>
      </c>
      <c r="K246" s="9">
        <v>4</v>
      </c>
      <c r="L246" s="9">
        <v>0</v>
      </c>
      <c r="M246" s="9">
        <v>0</v>
      </c>
      <c r="N246" s="9">
        <v>0</v>
      </c>
      <c r="O246" s="9">
        <v>100</v>
      </c>
      <c r="P246" s="9">
        <v>7</v>
      </c>
      <c r="Q246" s="9">
        <v>57</v>
      </c>
      <c r="R246" s="9">
        <v>0</v>
      </c>
      <c r="S246" s="9">
        <v>0</v>
      </c>
      <c r="T246" s="9">
        <v>1</v>
      </c>
      <c r="U246" s="9">
        <v>18</v>
      </c>
      <c r="V246" s="9">
        <v>0</v>
      </c>
      <c r="W246" s="9">
        <v>0</v>
      </c>
      <c r="X246" s="9">
        <v>0</v>
      </c>
      <c r="Y246" s="9">
        <v>2</v>
      </c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</row>
    <row r="247" spans="1:35" ht="13.5" customHeight="1">
      <c r="A247" s="18">
        <v>251</v>
      </c>
      <c r="B247" s="17">
        <v>20935</v>
      </c>
      <c r="C247" s="24" t="str">
        <f t="shared" si="22"/>
        <v>4,7</v>
      </c>
      <c r="D247" s="24" t="str">
        <f t="shared" si="23"/>
        <v>0,58</v>
      </c>
      <c r="E247" s="24" t="str">
        <f t="shared" si="24"/>
        <v>0,0</v>
      </c>
      <c r="F247" s="24" t="str">
        <f t="shared" si="25"/>
        <v>0,0</v>
      </c>
      <c r="G247" s="17" t="str">
        <f t="shared" si="26"/>
        <v>100,1</v>
      </c>
      <c r="H247" s="17" t="s">
        <v>31</v>
      </c>
      <c r="I247" s="17" t="s">
        <v>31</v>
      </c>
      <c r="K247" s="9">
        <v>4</v>
      </c>
      <c r="L247" s="9">
        <v>0</v>
      </c>
      <c r="M247" s="9">
        <v>0</v>
      </c>
      <c r="N247" s="9">
        <v>0</v>
      </c>
      <c r="O247" s="9">
        <v>100</v>
      </c>
      <c r="P247" s="9">
        <v>7</v>
      </c>
      <c r="Q247" s="9">
        <v>58</v>
      </c>
      <c r="R247" s="9">
        <v>0</v>
      </c>
      <c r="S247" s="9">
        <v>0</v>
      </c>
      <c r="T247" s="9">
        <v>1</v>
      </c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</row>
    <row r="248" spans="1:35" ht="13.5" customHeight="1">
      <c r="A248" s="18">
        <v>252</v>
      </c>
      <c r="B248" s="17">
        <v>20940</v>
      </c>
      <c r="C248" s="24" t="str">
        <f t="shared" si="22"/>
        <v>4,7,18</v>
      </c>
      <c r="D248" s="24" t="str">
        <f t="shared" si="23"/>
        <v>0,59,0</v>
      </c>
      <c r="E248" s="24" t="str">
        <f t="shared" si="24"/>
        <v>0,0,0</v>
      </c>
      <c r="F248" s="24" t="str">
        <f t="shared" si="25"/>
        <v>0,0,0</v>
      </c>
      <c r="G248" s="17" t="str">
        <f t="shared" si="26"/>
        <v>100,1,2</v>
      </c>
      <c r="H248" s="17" t="s">
        <v>31</v>
      </c>
      <c r="I248" s="17" t="s">
        <v>31</v>
      </c>
      <c r="K248" s="9">
        <v>4</v>
      </c>
      <c r="L248" s="9">
        <v>0</v>
      </c>
      <c r="M248" s="9">
        <v>0</v>
      </c>
      <c r="N248" s="9">
        <v>0</v>
      </c>
      <c r="O248" s="9">
        <v>100</v>
      </c>
      <c r="P248" s="9">
        <v>7</v>
      </c>
      <c r="Q248" s="9">
        <v>59</v>
      </c>
      <c r="R248" s="9">
        <v>0</v>
      </c>
      <c r="S248" s="9">
        <v>0</v>
      </c>
      <c r="T248" s="9">
        <v>1</v>
      </c>
      <c r="U248" s="9">
        <v>18</v>
      </c>
      <c r="V248" s="9">
        <v>0</v>
      </c>
      <c r="W248" s="9">
        <v>0</v>
      </c>
      <c r="X248" s="9">
        <v>0</v>
      </c>
      <c r="Y248" s="9">
        <v>2</v>
      </c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</row>
    <row r="249" spans="1:35" ht="13.5" customHeight="1">
      <c r="A249" s="18">
        <v>253</v>
      </c>
      <c r="B249" s="17">
        <v>20945</v>
      </c>
      <c r="C249" s="24" t="str">
        <f t="shared" si="22"/>
        <v>4,7</v>
      </c>
      <c r="D249" s="24" t="str">
        <f t="shared" si="23"/>
        <v>0,60</v>
      </c>
      <c r="E249" s="24" t="str">
        <f t="shared" si="24"/>
        <v>0,0</v>
      </c>
      <c r="F249" s="24" t="str">
        <f t="shared" si="25"/>
        <v>0,0</v>
      </c>
      <c r="G249" s="17" t="str">
        <f t="shared" si="26"/>
        <v>100,1</v>
      </c>
      <c r="H249" s="17" t="s">
        <v>31</v>
      </c>
      <c r="I249" s="17" t="s">
        <v>31</v>
      </c>
      <c r="K249" s="9">
        <v>4</v>
      </c>
      <c r="L249" s="9">
        <v>0</v>
      </c>
      <c r="M249" s="9">
        <v>0</v>
      </c>
      <c r="N249" s="9">
        <v>0</v>
      </c>
      <c r="O249" s="9">
        <v>100</v>
      </c>
      <c r="P249" s="9">
        <v>7</v>
      </c>
      <c r="Q249" s="9">
        <v>60</v>
      </c>
      <c r="R249" s="9">
        <v>0</v>
      </c>
      <c r="S249" s="9">
        <v>0</v>
      </c>
      <c r="T249" s="9">
        <v>1</v>
      </c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</row>
    <row r="250" spans="1:35" ht="13.5" customHeight="1">
      <c r="A250" s="18">
        <v>254</v>
      </c>
      <c r="B250" s="17">
        <v>20950</v>
      </c>
      <c r="C250" s="24" t="str">
        <f t="shared" si="22"/>
        <v>4,6,18</v>
      </c>
      <c r="D250" s="24" t="str">
        <f t="shared" si="23"/>
        <v>0,1,0</v>
      </c>
      <c r="E250" s="24" t="str">
        <f t="shared" si="24"/>
        <v>0,0,0</v>
      </c>
      <c r="F250" s="24" t="str">
        <f t="shared" si="25"/>
        <v>0,5,0</v>
      </c>
      <c r="G250" s="17" t="str">
        <f t="shared" si="26"/>
        <v>200,50,2</v>
      </c>
      <c r="H250" s="17" t="s">
        <v>31</v>
      </c>
      <c r="I250" s="17" t="s">
        <v>31</v>
      </c>
      <c r="K250" s="9">
        <v>4</v>
      </c>
      <c r="L250" s="9">
        <v>0</v>
      </c>
      <c r="M250" s="9">
        <v>0</v>
      </c>
      <c r="N250" s="9">
        <v>0</v>
      </c>
      <c r="O250" s="9">
        <v>200</v>
      </c>
      <c r="P250" s="9">
        <v>6</v>
      </c>
      <c r="Q250" s="9">
        <v>1</v>
      </c>
      <c r="R250" s="9">
        <v>0</v>
      </c>
      <c r="S250" s="9">
        <v>5</v>
      </c>
      <c r="T250" s="9">
        <v>50</v>
      </c>
      <c r="U250" s="9">
        <v>18</v>
      </c>
      <c r="V250" s="9">
        <v>0</v>
      </c>
      <c r="W250" s="9">
        <v>0</v>
      </c>
      <c r="X250" s="9">
        <v>0</v>
      </c>
      <c r="Y250" s="9">
        <v>2</v>
      </c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</row>
    <row r="251" spans="1:35" ht="13.5" customHeight="1">
      <c r="A251" s="18">
        <v>255</v>
      </c>
      <c r="B251" s="17">
        <v>21005</v>
      </c>
      <c r="C251" s="24" t="str">
        <f t="shared" si="22"/>
        <v>4,7</v>
      </c>
      <c r="D251" s="24" t="str">
        <f t="shared" si="23"/>
        <v>0,57</v>
      </c>
      <c r="E251" s="24" t="str">
        <f t="shared" si="24"/>
        <v>0,0</v>
      </c>
      <c r="F251" s="24" t="str">
        <f t="shared" si="25"/>
        <v>0,0</v>
      </c>
      <c r="G251" s="17" t="str">
        <f t="shared" si="26"/>
        <v>100,1</v>
      </c>
      <c r="H251" s="17" t="s">
        <v>31</v>
      </c>
      <c r="I251" s="17" t="s">
        <v>31</v>
      </c>
      <c r="K251" s="9">
        <v>4</v>
      </c>
      <c r="L251" s="9">
        <v>0</v>
      </c>
      <c r="M251" s="9">
        <v>0</v>
      </c>
      <c r="N251" s="9">
        <v>0</v>
      </c>
      <c r="O251" s="9">
        <v>100</v>
      </c>
      <c r="P251" s="9">
        <v>7</v>
      </c>
      <c r="Q251" s="9">
        <v>57</v>
      </c>
      <c r="R251" s="9">
        <v>0</v>
      </c>
      <c r="S251" s="9">
        <v>0</v>
      </c>
      <c r="T251" s="9">
        <v>1</v>
      </c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</row>
    <row r="252" spans="1:35" ht="13.5" customHeight="1">
      <c r="A252" s="18">
        <v>256</v>
      </c>
      <c r="B252" s="17">
        <v>21010</v>
      </c>
      <c r="C252" s="24" t="str">
        <f t="shared" si="22"/>
        <v>4,7,18</v>
      </c>
      <c r="D252" s="24" t="str">
        <f t="shared" si="23"/>
        <v>0,58,0</v>
      </c>
      <c r="E252" s="24" t="str">
        <f t="shared" si="24"/>
        <v>0,0,0</v>
      </c>
      <c r="F252" s="24" t="str">
        <f t="shared" si="25"/>
        <v>0,0,0</v>
      </c>
      <c r="G252" s="17" t="str">
        <f t="shared" si="26"/>
        <v>100,1,2</v>
      </c>
      <c r="H252" s="17" t="s">
        <v>31</v>
      </c>
      <c r="I252" s="17" t="s">
        <v>31</v>
      </c>
      <c r="K252" s="9">
        <v>4</v>
      </c>
      <c r="L252" s="9">
        <v>0</v>
      </c>
      <c r="M252" s="9">
        <v>0</v>
      </c>
      <c r="N252" s="9">
        <v>0</v>
      </c>
      <c r="O252" s="9">
        <v>100</v>
      </c>
      <c r="P252" s="9">
        <v>7</v>
      </c>
      <c r="Q252" s="9">
        <v>58</v>
      </c>
      <c r="R252" s="9">
        <v>0</v>
      </c>
      <c r="S252" s="9">
        <v>0</v>
      </c>
      <c r="T252" s="9">
        <v>1</v>
      </c>
      <c r="U252" s="9">
        <v>18</v>
      </c>
      <c r="V252" s="9">
        <v>0</v>
      </c>
      <c r="W252" s="9">
        <v>0</v>
      </c>
      <c r="X252" s="9">
        <v>0</v>
      </c>
      <c r="Y252" s="9">
        <v>2</v>
      </c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</row>
    <row r="253" spans="1:35" ht="13.5" customHeight="1">
      <c r="A253" s="18">
        <v>257</v>
      </c>
      <c r="B253" s="17">
        <v>21015</v>
      </c>
      <c r="C253" s="24" t="str">
        <f t="shared" si="22"/>
        <v>4,7</v>
      </c>
      <c r="D253" s="24" t="str">
        <f t="shared" si="23"/>
        <v>0,59</v>
      </c>
      <c r="E253" s="24" t="str">
        <f t="shared" si="24"/>
        <v>0,0</v>
      </c>
      <c r="F253" s="24" t="str">
        <f t="shared" si="25"/>
        <v>0,0</v>
      </c>
      <c r="G253" s="17" t="str">
        <f t="shared" si="26"/>
        <v>100,1</v>
      </c>
      <c r="H253" s="17" t="s">
        <v>31</v>
      </c>
      <c r="I253" s="17" t="s">
        <v>31</v>
      </c>
      <c r="K253" s="9">
        <v>4</v>
      </c>
      <c r="L253" s="9">
        <v>0</v>
      </c>
      <c r="M253" s="9">
        <v>0</v>
      </c>
      <c r="N253" s="9">
        <v>0</v>
      </c>
      <c r="O253" s="9">
        <v>100</v>
      </c>
      <c r="P253" s="9">
        <v>7</v>
      </c>
      <c r="Q253" s="9">
        <v>59</v>
      </c>
      <c r="R253" s="9">
        <v>0</v>
      </c>
      <c r="S253" s="9">
        <v>0</v>
      </c>
      <c r="T253" s="9">
        <v>1</v>
      </c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</row>
    <row r="254" spans="1:35" ht="13.5" customHeight="1">
      <c r="A254" s="18">
        <v>258</v>
      </c>
      <c r="B254" s="17">
        <v>21020</v>
      </c>
      <c r="C254" s="24" t="str">
        <f t="shared" si="22"/>
        <v>4,7,18</v>
      </c>
      <c r="D254" s="24" t="str">
        <f t="shared" si="23"/>
        <v>0,60,0</v>
      </c>
      <c r="E254" s="24" t="str">
        <f t="shared" si="24"/>
        <v>0,0,0</v>
      </c>
      <c r="F254" s="24" t="str">
        <f t="shared" si="25"/>
        <v>0,0,0</v>
      </c>
      <c r="G254" s="17" t="str">
        <f t="shared" si="26"/>
        <v>100,1,2</v>
      </c>
      <c r="H254" s="17" t="s">
        <v>31</v>
      </c>
      <c r="I254" s="17" t="s">
        <v>31</v>
      </c>
      <c r="K254" s="9">
        <v>4</v>
      </c>
      <c r="L254" s="9">
        <v>0</v>
      </c>
      <c r="M254" s="9">
        <v>0</v>
      </c>
      <c r="N254" s="9">
        <v>0</v>
      </c>
      <c r="O254" s="9">
        <v>100</v>
      </c>
      <c r="P254" s="9">
        <v>7</v>
      </c>
      <c r="Q254" s="9">
        <v>60</v>
      </c>
      <c r="R254" s="9">
        <v>0</v>
      </c>
      <c r="S254" s="9">
        <v>0</v>
      </c>
      <c r="T254" s="9">
        <v>1</v>
      </c>
      <c r="U254" s="9">
        <v>18</v>
      </c>
      <c r="V254" s="9">
        <v>0</v>
      </c>
      <c r="W254" s="9">
        <v>0</v>
      </c>
      <c r="X254" s="9">
        <v>0</v>
      </c>
      <c r="Y254" s="9">
        <v>2</v>
      </c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</row>
    <row r="255" spans="1:35" ht="13.5" customHeight="1">
      <c r="A255" s="18">
        <v>259</v>
      </c>
      <c r="B255" s="17">
        <v>21025</v>
      </c>
      <c r="C255" s="24" t="str">
        <f t="shared" si="22"/>
        <v>4,7</v>
      </c>
      <c r="D255" s="24" t="str">
        <f t="shared" si="23"/>
        <v>0,57</v>
      </c>
      <c r="E255" s="24" t="str">
        <f t="shared" si="24"/>
        <v>0,0</v>
      </c>
      <c r="F255" s="24" t="str">
        <f t="shared" si="25"/>
        <v>0,0</v>
      </c>
      <c r="G255" s="17" t="str">
        <f t="shared" si="26"/>
        <v>100,1</v>
      </c>
      <c r="H255" s="17" t="s">
        <v>31</v>
      </c>
      <c r="I255" s="17" t="s">
        <v>31</v>
      </c>
      <c r="K255" s="9">
        <v>4</v>
      </c>
      <c r="L255" s="9">
        <v>0</v>
      </c>
      <c r="M255" s="9">
        <v>0</v>
      </c>
      <c r="N255" s="9">
        <v>0</v>
      </c>
      <c r="O255" s="9">
        <v>100</v>
      </c>
      <c r="P255" s="9">
        <v>7</v>
      </c>
      <c r="Q255" s="9">
        <v>57</v>
      </c>
      <c r="R255" s="9">
        <v>0</v>
      </c>
      <c r="S255" s="9">
        <v>0</v>
      </c>
      <c r="T255" s="9">
        <v>1</v>
      </c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</row>
    <row r="256" spans="1:35" ht="13.5" customHeight="1">
      <c r="A256" s="18">
        <v>260</v>
      </c>
      <c r="B256" s="17">
        <v>21030</v>
      </c>
      <c r="C256" s="24" t="str">
        <f t="shared" si="22"/>
        <v>4,7,18</v>
      </c>
      <c r="D256" s="24" t="str">
        <f t="shared" si="23"/>
        <v>0,58,0</v>
      </c>
      <c r="E256" s="24" t="str">
        <f t="shared" si="24"/>
        <v>0,0,0</v>
      </c>
      <c r="F256" s="24" t="str">
        <f t="shared" si="25"/>
        <v>0,0,0</v>
      </c>
      <c r="G256" s="17" t="str">
        <f t="shared" si="26"/>
        <v>100,1,2</v>
      </c>
      <c r="H256" s="17" t="s">
        <v>31</v>
      </c>
      <c r="I256" s="17" t="s">
        <v>31</v>
      </c>
      <c r="K256" s="9">
        <v>4</v>
      </c>
      <c r="L256" s="9">
        <v>0</v>
      </c>
      <c r="M256" s="9">
        <v>0</v>
      </c>
      <c r="N256" s="9">
        <v>0</v>
      </c>
      <c r="O256" s="9">
        <v>100</v>
      </c>
      <c r="P256" s="9">
        <v>7</v>
      </c>
      <c r="Q256" s="9">
        <v>58</v>
      </c>
      <c r="R256" s="9">
        <v>0</v>
      </c>
      <c r="S256" s="9">
        <v>0</v>
      </c>
      <c r="T256" s="9">
        <v>1</v>
      </c>
      <c r="U256" s="9">
        <v>18</v>
      </c>
      <c r="V256" s="9">
        <v>0</v>
      </c>
      <c r="W256" s="9">
        <v>0</v>
      </c>
      <c r="X256" s="9">
        <v>0</v>
      </c>
      <c r="Y256" s="9">
        <v>2</v>
      </c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</row>
    <row r="257" spans="1:35" ht="13.5" customHeight="1">
      <c r="A257" s="18">
        <v>261</v>
      </c>
      <c r="B257" s="17">
        <v>21035</v>
      </c>
      <c r="C257" s="24" t="str">
        <f t="shared" si="22"/>
        <v>4,7</v>
      </c>
      <c r="D257" s="24" t="str">
        <f t="shared" si="23"/>
        <v>0,59</v>
      </c>
      <c r="E257" s="24" t="str">
        <f t="shared" si="24"/>
        <v>0,0</v>
      </c>
      <c r="F257" s="24" t="str">
        <f t="shared" si="25"/>
        <v>0,0</v>
      </c>
      <c r="G257" s="17" t="str">
        <f t="shared" si="26"/>
        <v>100,1</v>
      </c>
      <c r="H257" s="17" t="s">
        <v>31</v>
      </c>
      <c r="I257" s="17" t="s">
        <v>31</v>
      </c>
      <c r="K257" s="9">
        <v>4</v>
      </c>
      <c r="L257" s="9">
        <v>0</v>
      </c>
      <c r="M257" s="9">
        <v>0</v>
      </c>
      <c r="N257" s="9">
        <v>0</v>
      </c>
      <c r="O257" s="9">
        <v>100</v>
      </c>
      <c r="P257" s="9">
        <v>7</v>
      </c>
      <c r="Q257" s="9">
        <v>59</v>
      </c>
      <c r="R257" s="9">
        <v>0</v>
      </c>
      <c r="S257" s="9">
        <v>0</v>
      </c>
      <c r="T257" s="9">
        <v>1</v>
      </c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</row>
    <row r="258" spans="1:35" ht="13.5" customHeight="1">
      <c r="A258" s="18">
        <v>262</v>
      </c>
      <c r="B258" s="17">
        <v>21040</v>
      </c>
      <c r="C258" s="24" t="str">
        <f t="shared" si="22"/>
        <v>4,7,18</v>
      </c>
      <c r="D258" s="24" t="str">
        <f t="shared" si="23"/>
        <v>0,60,0</v>
      </c>
      <c r="E258" s="24" t="str">
        <f t="shared" si="24"/>
        <v>0,0,0</v>
      </c>
      <c r="F258" s="24" t="str">
        <f t="shared" si="25"/>
        <v>0,0,0</v>
      </c>
      <c r="G258" s="17" t="str">
        <f t="shared" si="26"/>
        <v>100,1,2</v>
      </c>
      <c r="H258" s="17" t="s">
        <v>31</v>
      </c>
      <c r="I258" s="17" t="s">
        <v>31</v>
      </c>
      <c r="K258" s="9">
        <v>4</v>
      </c>
      <c r="L258" s="9">
        <v>0</v>
      </c>
      <c r="M258" s="9">
        <v>0</v>
      </c>
      <c r="N258" s="9">
        <v>0</v>
      </c>
      <c r="O258" s="9">
        <v>100</v>
      </c>
      <c r="P258" s="9">
        <v>7</v>
      </c>
      <c r="Q258" s="9">
        <v>60</v>
      </c>
      <c r="R258" s="9">
        <v>0</v>
      </c>
      <c r="S258" s="9">
        <v>0</v>
      </c>
      <c r="T258" s="9">
        <v>1</v>
      </c>
      <c r="U258" s="9">
        <v>18</v>
      </c>
      <c r="V258" s="9">
        <v>0</v>
      </c>
      <c r="W258" s="9">
        <v>0</v>
      </c>
      <c r="X258" s="9">
        <v>0</v>
      </c>
      <c r="Y258" s="9">
        <v>2</v>
      </c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</row>
    <row r="259" spans="1:35" ht="13.5" customHeight="1">
      <c r="A259" s="18">
        <v>263</v>
      </c>
      <c r="B259" s="17">
        <v>21045</v>
      </c>
      <c r="C259" s="24" t="str">
        <f t="shared" si="22"/>
        <v>4,7</v>
      </c>
      <c r="D259" s="24" t="str">
        <f t="shared" si="23"/>
        <v>0,57</v>
      </c>
      <c r="E259" s="24" t="str">
        <f t="shared" si="24"/>
        <v>0,0</v>
      </c>
      <c r="F259" s="24" t="str">
        <f t="shared" si="25"/>
        <v>0,0</v>
      </c>
      <c r="G259" s="17" t="str">
        <f t="shared" si="26"/>
        <v>100,1</v>
      </c>
      <c r="H259" s="17" t="s">
        <v>31</v>
      </c>
      <c r="I259" s="17" t="s">
        <v>31</v>
      </c>
      <c r="K259" s="9">
        <v>4</v>
      </c>
      <c r="L259" s="9">
        <v>0</v>
      </c>
      <c r="M259" s="9">
        <v>0</v>
      </c>
      <c r="N259" s="9">
        <v>0</v>
      </c>
      <c r="O259" s="9">
        <v>100</v>
      </c>
      <c r="P259" s="9">
        <v>7</v>
      </c>
      <c r="Q259" s="9">
        <v>57</v>
      </c>
      <c r="R259" s="9">
        <v>0</v>
      </c>
      <c r="S259" s="9">
        <v>0</v>
      </c>
      <c r="T259" s="9">
        <v>1</v>
      </c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</row>
    <row r="260" spans="1:35" ht="13.5" customHeight="1">
      <c r="A260" s="18">
        <v>264</v>
      </c>
      <c r="B260" s="17">
        <v>21050</v>
      </c>
      <c r="C260" s="24" t="str">
        <f t="shared" ref="C260:C323" si="27">IF(AND(U260="",K260&lt;&gt;"",P260&lt;&gt;""),K260&amp;","&amp;P260,IF(AND(U260="",P260="",K260&lt;&gt;""),K260,IF(AND(U260="",P260="",K260=""),"",K260&amp;","&amp;P260&amp;","&amp;U260)))</f>
        <v>4,6,18</v>
      </c>
      <c r="D260" s="24" t="str">
        <f t="shared" ref="D260:D323" si="28">IF(AND(V260="",L260&lt;&gt;"",Q260&lt;&gt;""),L260&amp;","&amp;Q260,IF(AND(V260="",Q260="",L260&lt;&gt;""),L260,IF(AND(V260="",Q260="",L260=""),"",L260&amp;","&amp;Q260&amp;","&amp;V260)))</f>
        <v>0,1,0</v>
      </c>
      <c r="E260" s="24" t="str">
        <f t="shared" ref="E260:E323" si="29">IF(AND(W260="",M260&lt;&gt;"",R260&lt;&gt;""),M260&amp;","&amp;R260,IF(AND(W260="",R260="",M260&lt;&gt;""),M260,IF(AND(W260="",R260="",M260=""),"",M260&amp;","&amp;R260&amp;","&amp;W260)))</f>
        <v>0,0,0</v>
      </c>
      <c r="F260" s="24" t="str">
        <f t="shared" ref="F260:F323" si="30">IF(AND(X260="",N260&lt;&gt;"",S260&lt;&gt;""),N260&amp;","&amp;S260,IF(AND(X260="",S260="",N260&lt;&gt;""),N260,IF(AND(X260="",S260="",N260=""),"",N260&amp;","&amp;S260&amp;","&amp;X260)))</f>
        <v>0,5,0</v>
      </c>
      <c r="G260" s="17" t="str">
        <f t="shared" ref="G260:G323" si="31">IF(AND(Y260="",O260&lt;&gt;"",T260&lt;&gt;""),O260&amp;","&amp;T260,IF(AND(Y260="",T260="",O260&lt;&gt;""),O260,IF(AND(Y260="",T260="",O260=""),"",O260&amp;","&amp;T260&amp;","&amp;Y260)))</f>
        <v>200,50,2</v>
      </c>
      <c r="H260" s="17" t="s">
        <v>31</v>
      </c>
      <c r="I260" s="17" t="s">
        <v>31</v>
      </c>
      <c r="K260" s="9">
        <v>4</v>
      </c>
      <c r="L260" s="9">
        <v>0</v>
      </c>
      <c r="M260" s="9">
        <v>0</v>
      </c>
      <c r="N260" s="9">
        <v>0</v>
      </c>
      <c r="O260" s="9">
        <v>200</v>
      </c>
      <c r="P260" s="9">
        <v>6</v>
      </c>
      <c r="Q260" s="9">
        <v>1</v>
      </c>
      <c r="R260" s="9">
        <v>0</v>
      </c>
      <c r="S260" s="9">
        <v>5</v>
      </c>
      <c r="T260" s="9">
        <v>50</v>
      </c>
      <c r="U260" s="9">
        <v>18</v>
      </c>
      <c r="V260" s="9">
        <v>0</v>
      </c>
      <c r="W260" s="9">
        <v>0</v>
      </c>
      <c r="X260" s="9">
        <v>0</v>
      </c>
      <c r="Y260" s="9">
        <v>2</v>
      </c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</row>
    <row r="261" spans="1:35" ht="13.5" customHeight="1">
      <c r="A261" s="18">
        <v>265</v>
      </c>
      <c r="B261" s="17">
        <v>30105</v>
      </c>
      <c r="C261" s="24" t="str">
        <f t="shared" si="27"/>
        <v>4,7</v>
      </c>
      <c r="D261" s="24" t="str">
        <f t="shared" si="28"/>
        <v>0,61</v>
      </c>
      <c r="E261" s="24" t="str">
        <f t="shared" si="29"/>
        <v>0,0</v>
      </c>
      <c r="F261" s="24" t="str">
        <f t="shared" si="30"/>
        <v>0,0</v>
      </c>
      <c r="G261" s="17" t="str">
        <f t="shared" si="31"/>
        <v>100,1</v>
      </c>
      <c r="H261" s="17" t="s">
        <v>31</v>
      </c>
      <c r="I261" s="17" t="s">
        <v>31</v>
      </c>
      <c r="K261" s="9">
        <v>4</v>
      </c>
      <c r="L261" s="9">
        <v>0</v>
      </c>
      <c r="M261" s="9">
        <v>0</v>
      </c>
      <c r="N261" s="9">
        <v>0</v>
      </c>
      <c r="O261" s="9">
        <v>100</v>
      </c>
      <c r="P261" s="9">
        <v>7</v>
      </c>
      <c r="Q261" s="9">
        <v>61</v>
      </c>
      <c r="R261" s="9">
        <v>0</v>
      </c>
      <c r="S261" s="9">
        <v>0</v>
      </c>
      <c r="T261" s="9">
        <v>1</v>
      </c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</row>
    <row r="262" spans="1:35" ht="13.5" customHeight="1">
      <c r="A262" s="18">
        <v>266</v>
      </c>
      <c r="B262" s="17">
        <v>30110</v>
      </c>
      <c r="C262" s="24" t="str">
        <f t="shared" si="27"/>
        <v>4,7,18</v>
      </c>
      <c r="D262" s="24" t="str">
        <f t="shared" si="28"/>
        <v>0,62,0</v>
      </c>
      <c r="E262" s="24" t="str">
        <f t="shared" si="29"/>
        <v>0,0,0</v>
      </c>
      <c r="F262" s="24" t="str">
        <f t="shared" si="30"/>
        <v>0,0,0</v>
      </c>
      <c r="G262" s="17" t="str">
        <f t="shared" si="31"/>
        <v>100,1,2</v>
      </c>
      <c r="H262" s="17" t="s">
        <v>31</v>
      </c>
      <c r="I262" s="17" t="s">
        <v>31</v>
      </c>
      <c r="K262" s="9">
        <v>4</v>
      </c>
      <c r="L262" s="9">
        <v>0</v>
      </c>
      <c r="M262" s="9">
        <v>0</v>
      </c>
      <c r="N262" s="9">
        <v>0</v>
      </c>
      <c r="O262" s="9">
        <v>100</v>
      </c>
      <c r="P262" s="9">
        <v>7</v>
      </c>
      <c r="Q262" s="9">
        <v>62</v>
      </c>
      <c r="R262" s="9">
        <v>0</v>
      </c>
      <c r="S262" s="9">
        <v>0</v>
      </c>
      <c r="T262" s="9">
        <v>1</v>
      </c>
      <c r="U262" s="9">
        <v>18</v>
      </c>
      <c r="V262" s="9">
        <v>0</v>
      </c>
      <c r="W262" s="9">
        <v>0</v>
      </c>
      <c r="X262" s="9">
        <v>0</v>
      </c>
      <c r="Y262" s="9">
        <v>2</v>
      </c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</row>
    <row r="263" spans="1:35" ht="13.5" customHeight="1">
      <c r="A263" s="18">
        <v>267</v>
      </c>
      <c r="B263" s="17">
        <v>30115</v>
      </c>
      <c r="C263" s="24" t="str">
        <f t="shared" si="27"/>
        <v>4,7</v>
      </c>
      <c r="D263" s="24" t="str">
        <f t="shared" si="28"/>
        <v>0,63</v>
      </c>
      <c r="E263" s="24" t="str">
        <f t="shared" si="29"/>
        <v>0,0</v>
      </c>
      <c r="F263" s="24" t="str">
        <f t="shared" si="30"/>
        <v>0,0</v>
      </c>
      <c r="G263" s="17" t="str">
        <f t="shared" si="31"/>
        <v>100,1</v>
      </c>
      <c r="H263" s="17" t="s">
        <v>31</v>
      </c>
      <c r="I263" s="17" t="s">
        <v>31</v>
      </c>
      <c r="K263" s="9">
        <v>4</v>
      </c>
      <c r="L263" s="9">
        <v>0</v>
      </c>
      <c r="M263" s="9">
        <v>0</v>
      </c>
      <c r="N263" s="9">
        <v>0</v>
      </c>
      <c r="O263" s="9">
        <v>100</v>
      </c>
      <c r="P263" s="9">
        <v>7</v>
      </c>
      <c r="Q263" s="9">
        <v>63</v>
      </c>
      <c r="R263" s="9">
        <v>0</v>
      </c>
      <c r="S263" s="9">
        <v>0</v>
      </c>
      <c r="T263" s="9">
        <v>1</v>
      </c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</row>
    <row r="264" spans="1:35" ht="13.5" customHeight="1">
      <c r="A264" s="18">
        <v>268</v>
      </c>
      <c r="B264" s="17">
        <v>30120</v>
      </c>
      <c r="C264" s="24" t="str">
        <f t="shared" si="27"/>
        <v>4,7,18</v>
      </c>
      <c r="D264" s="24" t="str">
        <f t="shared" si="28"/>
        <v>0,64,0</v>
      </c>
      <c r="E264" s="24" t="str">
        <f t="shared" si="29"/>
        <v>0,0,0</v>
      </c>
      <c r="F264" s="24" t="str">
        <f t="shared" si="30"/>
        <v>0,0,0</v>
      </c>
      <c r="G264" s="17" t="str">
        <f t="shared" si="31"/>
        <v>100,1,2</v>
      </c>
      <c r="H264" s="17" t="s">
        <v>31</v>
      </c>
      <c r="I264" s="17" t="s">
        <v>31</v>
      </c>
      <c r="K264" s="9">
        <v>4</v>
      </c>
      <c r="L264" s="9">
        <v>0</v>
      </c>
      <c r="M264" s="9">
        <v>0</v>
      </c>
      <c r="N264" s="9">
        <v>0</v>
      </c>
      <c r="O264" s="9">
        <v>100</v>
      </c>
      <c r="P264" s="9">
        <v>7</v>
      </c>
      <c r="Q264" s="9">
        <v>64</v>
      </c>
      <c r="R264" s="9">
        <v>0</v>
      </c>
      <c r="S264" s="9">
        <v>0</v>
      </c>
      <c r="T264" s="9">
        <v>1</v>
      </c>
      <c r="U264" s="9">
        <v>18</v>
      </c>
      <c r="V264" s="9">
        <v>0</v>
      </c>
      <c r="W264" s="9">
        <v>0</v>
      </c>
      <c r="X264" s="9">
        <v>0</v>
      </c>
      <c r="Y264" s="9">
        <v>2</v>
      </c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</row>
    <row r="265" spans="1:35" ht="13.5" customHeight="1">
      <c r="A265" s="18">
        <v>269</v>
      </c>
      <c r="B265" s="17">
        <v>30125</v>
      </c>
      <c r="C265" s="24" t="str">
        <f t="shared" si="27"/>
        <v>4,7</v>
      </c>
      <c r="D265" s="24" t="str">
        <f t="shared" si="28"/>
        <v>0,61</v>
      </c>
      <c r="E265" s="24" t="str">
        <f t="shared" si="29"/>
        <v>0,0</v>
      </c>
      <c r="F265" s="24" t="str">
        <f t="shared" si="30"/>
        <v>0,0</v>
      </c>
      <c r="G265" s="17" t="str">
        <f t="shared" si="31"/>
        <v>100,1</v>
      </c>
      <c r="H265" s="17" t="s">
        <v>31</v>
      </c>
      <c r="I265" s="17" t="s">
        <v>31</v>
      </c>
      <c r="K265" s="9">
        <v>4</v>
      </c>
      <c r="L265" s="9">
        <v>0</v>
      </c>
      <c r="M265" s="9">
        <v>0</v>
      </c>
      <c r="N265" s="9">
        <v>0</v>
      </c>
      <c r="O265" s="9">
        <v>100</v>
      </c>
      <c r="P265" s="9">
        <v>7</v>
      </c>
      <c r="Q265" s="9">
        <v>61</v>
      </c>
      <c r="R265" s="9">
        <v>0</v>
      </c>
      <c r="S265" s="9">
        <v>0</v>
      </c>
      <c r="T265" s="9">
        <v>1</v>
      </c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</row>
    <row r="266" spans="1:35" ht="13.5" customHeight="1">
      <c r="A266" s="18">
        <v>270</v>
      </c>
      <c r="B266" s="17">
        <v>30130</v>
      </c>
      <c r="C266" s="24" t="str">
        <f t="shared" si="27"/>
        <v>4,7,18</v>
      </c>
      <c r="D266" s="24" t="str">
        <f t="shared" si="28"/>
        <v>0,62,0</v>
      </c>
      <c r="E266" s="24" t="str">
        <f t="shared" si="29"/>
        <v>0,0,0</v>
      </c>
      <c r="F266" s="24" t="str">
        <f t="shared" si="30"/>
        <v>0,0,0</v>
      </c>
      <c r="G266" s="17" t="str">
        <f t="shared" si="31"/>
        <v>100,1,2</v>
      </c>
      <c r="H266" s="17" t="s">
        <v>31</v>
      </c>
      <c r="I266" s="17" t="s">
        <v>31</v>
      </c>
      <c r="K266" s="9">
        <v>4</v>
      </c>
      <c r="L266" s="9">
        <v>0</v>
      </c>
      <c r="M266" s="9">
        <v>0</v>
      </c>
      <c r="N266" s="9">
        <v>0</v>
      </c>
      <c r="O266" s="9">
        <v>100</v>
      </c>
      <c r="P266" s="9">
        <v>7</v>
      </c>
      <c r="Q266" s="9">
        <v>62</v>
      </c>
      <c r="R266" s="9">
        <v>0</v>
      </c>
      <c r="S266" s="9">
        <v>0</v>
      </c>
      <c r="T266" s="9">
        <v>1</v>
      </c>
      <c r="U266" s="9">
        <v>18</v>
      </c>
      <c r="V266" s="9">
        <v>0</v>
      </c>
      <c r="W266" s="9">
        <v>0</v>
      </c>
      <c r="X266" s="9">
        <v>0</v>
      </c>
      <c r="Y266" s="9">
        <v>2</v>
      </c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</row>
    <row r="267" spans="1:35" ht="13.5" customHeight="1">
      <c r="A267" s="18">
        <v>271</v>
      </c>
      <c r="B267" s="17">
        <v>30135</v>
      </c>
      <c r="C267" s="24" t="str">
        <f t="shared" si="27"/>
        <v>4,7</v>
      </c>
      <c r="D267" s="24" t="str">
        <f t="shared" si="28"/>
        <v>0,63</v>
      </c>
      <c r="E267" s="24" t="str">
        <f t="shared" si="29"/>
        <v>0,0</v>
      </c>
      <c r="F267" s="24" t="str">
        <f t="shared" si="30"/>
        <v>0,0</v>
      </c>
      <c r="G267" s="17" t="str">
        <f t="shared" si="31"/>
        <v>100,1</v>
      </c>
      <c r="H267" s="17" t="s">
        <v>31</v>
      </c>
      <c r="I267" s="17" t="s">
        <v>31</v>
      </c>
      <c r="K267" s="9">
        <v>4</v>
      </c>
      <c r="L267" s="9">
        <v>0</v>
      </c>
      <c r="M267" s="9">
        <v>0</v>
      </c>
      <c r="N267" s="9">
        <v>0</v>
      </c>
      <c r="O267" s="9">
        <v>100</v>
      </c>
      <c r="P267" s="9">
        <v>7</v>
      </c>
      <c r="Q267" s="9">
        <v>63</v>
      </c>
      <c r="R267" s="9">
        <v>0</v>
      </c>
      <c r="S267" s="9">
        <v>0</v>
      </c>
      <c r="T267" s="9">
        <v>1</v>
      </c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</row>
    <row r="268" spans="1:35" ht="13.5" customHeight="1">
      <c r="A268" s="18">
        <v>272</v>
      </c>
      <c r="B268" s="17">
        <v>30140</v>
      </c>
      <c r="C268" s="24" t="str">
        <f t="shared" si="27"/>
        <v>4,7,18</v>
      </c>
      <c r="D268" s="24" t="str">
        <f t="shared" si="28"/>
        <v>0,64,0</v>
      </c>
      <c r="E268" s="24" t="str">
        <f t="shared" si="29"/>
        <v>0,0,0</v>
      </c>
      <c r="F268" s="24" t="str">
        <f t="shared" si="30"/>
        <v>0,0,0</v>
      </c>
      <c r="G268" s="17" t="str">
        <f t="shared" si="31"/>
        <v>100,1,2</v>
      </c>
      <c r="H268" s="17" t="s">
        <v>31</v>
      </c>
      <c r="I268" s="17" t="s">
        <v>31</v>
      </c>
      <c r="K268" s="9">
        <v>4</v>
      </c>
      <c r="L268" s="9">
        <v>0</v>
      </c>
      <c r="M268" s="9">
        <v>0</v>
      </c>
      <c r="N268" s="9">
        <v>0</v>
      </c>
      <c r="O268" s="9">
        <v>100</v>
      </c>
      <c r="P268" s="9">
        <v>7</v>
      </c>
      <c r="Q268" s="9">
        <v>64</v>
      </c>
      <c r="R268" s="9">
        <v>0</v>
      </c>
      <c r="S268" s="9">
        <v>0</v>
      </c>
      <c r="T268" s="9">
        <v>1</v>
      </c>
      <c r="U268" s="9">
        <v>18</v>
      </c>
      <c r="V268" s="9">
        <v>0</v>
      </c>
      <c r="W268" s="9">
        <v>0</v>
      </c>
      <c r="X268" s="9">
        <v>0</v>
      </c>
      <c r="Y268" s="9">
        <v>2</v>
      </c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</row>
    <row r="269" spans="1:35" ht="13.5" customHeight="1">
      <c r="A269" s="18">
        <v>273</v>
      </c>
      <c r="B269" s="17">
        <v>30145</v>
      </c>
      <c r="C269" s="24" t="str">
        <f t="shared" si="27"/>
        <v>4,7</v>
      </c>
      <c r="D269" s="24" t="str">
        <f t="shared" si="28"/>
        <v>0,61</v>
      </c>
      <c r="E269" s="24" t="str">
        <f t="shared" si="29"/>
        <v>0,0</v>
      </c>
      <c r="F269" s="24" t="str">
        <f t="shared" si="30"/>
        <v>0,0</v>
      </c>
      <c r="G269" s="17" t="str">
        <f t="shared" si="31"/>
        <v>100,1</v>
      </c>
      <c r="H269" s="17" t="s">
        <v>31</v>
      </c>
      <c r="I269" s="17" t="s">
        <v>31</v>
      </c>
      <c r="K269" s="9">
        <v>4</v>
      </c>
      <c r="L269" s="9">
        <v>0</v>
      </c>
      <c r="M269" s="9">
        <v>0</v>
      </c>
      <c r="N269" s="9">
        <v>0</v>
      </c>
      <c r="O269" s="9">
        <v>100</v>
      </c>
      <c r="P269" s="9">
        <v>7</v>
      </c>
      <c r="Q269" s="9">
        <v>61</v>
      </c>
      <c r="R269" s="9">
        <v>0</v>
      </c>
      <c r="S269" s="9">
        <v>0</v>
      </c>
      <c r="T269" s="9">
        <v>1</v>
      </c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</row>
    <row r="270" spans="1:35" ht="13.5" customHeight="1">
      <c r="A270" s="18">
        <v>274</v>
      </c>
      <c r="B270" s="17">
        <v>30150</v>
      </c>
      <c r="C270" s="24" t="str">
        <f t="shared" si="27"/>
        <v>4,6,18</v>
      </c>
      <c r="D270" s="24" t="str">
        <f t="shared" si="28"/>
        <v>0,1,0</v>
      </c>
      <c r="E270" s="24" t="str">
        <f t="shared" si="29"/>
        <v>0,0,0</v>
      </c>
      <c r="F270" s="24" t="str">
        <f t="shared" si="30"/>
        <v>0,5,0</v>
      </c>
      <c r="G270" s="17" t="str">
        <f t="shared" si="31"/>
        <v>200,50,2</v>
      </c>
      <c r="H270" s="17" t="s">
        <v>31</v>
      </c>
      <c r="I270" s="17" t="s">
        <v>31</v>
      </c>
      <c r="K270" s="9">
        <v>4</v>
      </c>
      <c r="L270" s="9">
        <v>0</v>
      </c>
      <c r="M270" s="9">
        <v>0</v>
      </c>
      <c r="N270" s="9">
        <v>0</v>
      </c>
      <c r="O270" s="9">
        <v>200</v>
      </c>
      <c r="P270" s="9">
        <v>6</v>
      </c>
      <c r="Q270" s="9">
        <v>1</v>
      </c>
      <c r="R270" s="9">
        <v>0</v>
      </c>
      <c r="S270" s="9">
        <v>5</v>
      </c>
      <c r="T270" s="9">
        <v>50</v>
      </c>
      <c r="U270" s="9">
        <v>18</v>
      </c>
      <c r="V270" s="9">
        <v>0</v>
      </c>
      <c r="W270" s="9">
        <v>0</v>
      </c>
      <c r="X270" s="9">
        <v>0</v>
      </c>
      <c r="Y270" s="9">
        <v>2</v>
      </c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</row>
    <row r="271" spans="1:35" ht="13.5" customHeight="1">
      <c r="A271" s="18">
        <v>275</v>
      </c>
      <c r="B271" s="17">
        <v>30205</v>
      </c>
      <c r="C271" s="24" t="str">
        <f t="shared" si="27"/>
        <v>4,7</v>
      </c>
      <c r="D271" s="24" t="str">
        <f t="shared" si="28"/>
        <v>0,62</v>
      </c>
      <c r="E271" s="24" t="str">
        <f t="shared" si="29"/>
        <v>0,0</v>
      </c>
      <c r="F271" s="24" t="str">
        <f t="shared" si="30"/>
        <v>0,0</v>
      </c>
      <c r="G271" s="17" t="str">
        <f t="shared" si="31"/>
        <v>100,1</v>
      </c>
      <c r="H271" s="17" t="s">
        <v>31</v>
      </c>
      <c r="I271" s="17" t="s">
        <v>31</v>
      </c>
      <c r="K271" s="9">
        <v>4</v>
      </c>
      <c r="L271" s="9">
        <v>0</v>
      </c>
      <c r="M271" s="9">
        <v>0</v>
      </c>
      <c r="N271" s="9">
        <v>0</v>
      </c>
      <c r="O271" s="9">
        <v>100</v>
      </c>
      <c r="P271" s="9">
        <v>7</v>
      </c>
      <c r="Q271" s="9">
        <v>62</v>
      </c>
      <c r="R271" s="9">
        <v>0</v>
      </c>
      <c r="S271" s="9">
        <v>0</v>
      </c>
      <c r="T271" s="9">
        <v>1</v>
      </c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</row>
    <row r="272" spans="1:35" ht="13.5" customHeight="1">
      <c r="A272" s="18">
        <v>276</v>
      </c>
      <c r="B272" s="17">
        <v>30210</v>
      </c>
      <c r="C272" s="24" t="str">
        <f t="shared" si="27"/>
        <v>4,7,18</v>
      </c>
      <c r="D272" s="24" t="str">
        <f t="shared" si="28"/>
        <v>0,63,0</v>
      </c>
      <c r="E272" s="24" t="str">
        <f t="shared" si="29"/>
        <v>0,0,0</v>
      </c>
      <c r="F272" s="24" t="str">
        <f t="shared" si="30"/>
        <v>0,0,0</v>
      </c>
      <c r="G272" s="17" t="str">
        <f t="shared" si="31"/>
        <v>100,1,2</v>
      </c>
      <c r="H272" s="17" t="s">
        <v>31</v>
      </c>
      <c r="I272" s="17" t="s">
        <v>31</v>
      </c>
      <c r="K272" s="9">
        <v>4</v>
      </c>
      <c r="L272" s="9">
        <v>0</v>
      </c>
      <c r="M272" s="9">
        <v>0</v>
      </c>
      <c r="N272" s="9">
        <v>0</v>
      </c>
      <c r="O272" s="9">
        <v>100</v>
      </c>
      <c r="P272" s="9">
        <v>7</v>
      </c>
      <c r="Q272" s="9">
        <v>63</v>
      </c>
      <c r="R272" s="9">
        <v>0</v>
      </c>
      <c r="S272" s="9">
        <v>0</v>
      </c>
      <c r="T272" s="9">
        <v>1</v>
      </c>
      <c r="U272" s="9">
        <v>18</v>
      </c>
      <c r="V272" s="9">
        <v>0</v>
      </c>
      <c r="W272" s="9">
        <v>0</v>
      </c>
      <c r="X272" s="9">
        <v>0</v>
      </c>
      <c r="Y272" s="9">
        <v>2</v>
      </c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</row>
    <row r="273" spans="1:35" ht="13.5" customHeight="1">
      <c r="A273" s="18">
        <v>277</v>
      </c>
      <c r="B273" s="17">
        <v>30215</v>
      </c>
      <c r="C273" s="24" t="str">
        <f t="shared" si="27"/>
        <v>4,7</v>
      </c>
      <c r="D273" s="24" t="str">
        <f t="shared" si="28"/>
        <v>0,64</v>
      </c>
      <c r="E273" s="24" t="str">
        <f t="shared" si="29"/>
        <v>0,0</v>
      </c>
      <c r="F273" s="24" t="str">
        <f t="shared" si="30"/>
        <v>0,0</v>
      </c>
      <c r="G273" s="17" t="str">
        <f t="shared" si="31"/>
        <v>100,1</v>
      </c>
      <c r="H273" s="17" t="s">
        <v>31</v>
      </c>
      <c r="I273" s="17" t="s">
        <v>31</v>
      </c>
      <c r="K273" s="9">
        <v>4</v>
      </c>
      <c r="L273" s="9">
        <v>0</v>
      </c>
      <c r="M273" s="9">
        <v>0</v>
      </c>
      <c r="N273" s="9">
        <v>0</v>
      </c>
      <c r="O273" s="9">
        <v>100</v>
      </c>
      <c r="P273" s="9">
        <v>7</v>
      </c>
      <c r="Q273" s="9">
        <v>64</v>
      </c>
      <c r="R273" s="9">
        <v>0</v>
      </c>
      <c r="S273" s="9">
        <v>0</v>
      </c>
      <c r="T273" s="9">
        <v>1</v>
      </c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</row>
    <row r="274" spans="1:35" ht="13.5" customHeight="1">
      <c r="A274" s="18">
        <v>278</v>
      </c>
      <c r="B274" s="17">
        <v>30220</v>
      </c>
      <c r="C274" s="24" t="str">
        <f t="shared" si="27"/>
        <v>4,7,18</v>
      </c>
      <c r="D274" s="24" t="str">
        <f t="shared" si="28"/>
        <v>0,61,0</v>
      </c>
      <c r="E274" s="24" t="str">
        <f t="shared" si="29"/>
        <v>0,0,0</v>
      </c>
      <c r="F274" s="24" t="str">
        <f t="shared" si="30"/>
        <v>0,0,0</v>
      </c>
      <c r="G274" s="17" t="str">
        <f t="shared" si="31"/>
        <v>100,1,2</v>
      </c>
      <c r="H274" s="17" t="s">
        <v>31</v>
      </c>
      <c r="I274" s="17" t="s">
        <v>31</v>
      </c>
      <c r="K274" s="9">
        <v>4</v>
      </c>
      <c r="L274" s="9">
        <v>0</v>
      </c>
      <c r="M274" s="9">
        <v>0</v>
      </c>
      <c r="N274" s="9">
        <v>0</v>
      </c>
      <c r="O274" s="9">
        <v>100</v>
      </c>
      <c r="P274" s="9">
        <v>7</v>
      </c>
      <c r="Q274" s="9">
        <v>61</v>
      </c>
      <c r="R274" s="9">
        <v>0</v>
      </c>
      <c r="S274" s="9">
        <v>0</v>
      </c>
      <c r="T274" s="9">
        <v>1</v>
      </c>
      <c r="U274" s="9">
        <v>18</v>
      </c>
      <c r="V274" s="9">
        <v>0</v>
      </c>
      <c r="W274" s="9">
        <v>0</v>
      </c>
      <c r="X274" s="9">
        <v>0</v>
      </c>
      <c r="Y274" s="9">
        <v>2</v>
      </c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</row>
    <row r="275" spans="1:35" ht="13.5" customHeight="1">
      <c r="A275" s="18">
        <v>279</v>
      </c>
      <c r="B275" s="17">
        <v>30225</v>
      </c>
      <c r="C275" s="24" t="str">
        <f t="shared" si="27"/>
        <v>4,7</v>
      </c>
      <c r="D275" s="24" t="str">
        <f t="shared" si="28"/>
        <v>0,62</v>
      </c>
      <c r="E275" s="24" t="str">
        <f t="shared" si="29"/>
        <v>0,0</v>
      </c>
      <c r="F275" s="24" t="str">
        <f t="shared" si="30"/>
        <v>0,0</v>
      </c>
      <c r="G275" s="17" t="str">
        <f t="shared" si="31"/>
        <v>100,1</v>
      </c>
      <c r="H275" s="17" t="s">
        <v>31</v>
      </c>
      <c r="I275" s="17" t="s">
        <v>31</v>
      </c>
      <c r="K275" s="9">
        <v>4</v>
      </c>
      <c r="L275" s="9">
        <v>0</v>
      </c>
      <c r="M275" s="9">
        <v>0</v>
      </c>
      <c r="N275" s="9">
        <v>0</v>
      </c>
      <c r="O275" s="9">
        <v>100</v>
      </c>
      <c r="P275" s="9">
        <v>7</v>
      </c>
      <c r="Q275" s="9">
        <v>62</v>
      </c>
      <c r="R275" s="9">
        <v>0</v>
      </c>
      <c r="S275" s="9">
        <v>0</v>
      </c>
      <c r="T275" s="9">
        <v>1</v>
      </c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</row>
    <row r="276" spans="1:35" ht="13.5" customHeight="1">
      <c r="A276" s="18">
        <v>280</v>
      </c>
      <c r="B276" s="17">
        <v>30230</v>
      </c>
      <c r="C276" s="24" t="str">
        <f t="shared" si="27"/>
        <v>4,7,18</v>
      </c>
      <c r="D276" s="24" t="str">
        <f t="shared" si="28"/>
        <v>0,63,0</v>
      </c>
      <c r="E276" s="24" t="str">
        <f t="shared" si="29"/>
        <v>0,0,0</v>
      </c>
      <c r="F276" s="24" t="str">
        <f t="shared" si="30"/>
        <v>0,0,0</v>
      </c>
      <c r="G276" s="17" t="str">
        <f t="shared" si="31"/>
        <v>100,1,2</v>
      </c>
      <c r="H276" s="17" t="s">
        <v>31</v>
      </c>
      <c r="I276" s="17" t="s">
        <v>31</v>
      </c>
      <c r="K276" s="9">
        <v>4</v>
      </c>
      <c r="L276" s="9">
        <v>0</v>
      </c>
      <c r="M276" s="9">
        <v>0</v>
      </c>
      <c r="N276" s="9">
        <v>0</v>
      </c>
      <c r="O276" s="9">
        <v>100</v>
      </c>
      <c r="P276" s="9">
        <v>7</v>
      </c>
      <c r="Q276" s="9">
        <v>63</v>
      </c>
      <c r="R276" s="9">
        <v>0</v>
      </c>
      <c r="S276" s="9">
        <v>0</v>
      </c>
      <c r="T276" s="9">
        <v>1</v>
      </c>
      <c r="U276" s="9">
        <v>18</v>
      </c>
      <c r="V276" s="9">
        <v>0</v>
      </c>
      <c r="W276" s="9">
        <v>0</v>
      </c>
      <c r="X276" s="9">
        <v>0</v>
      </c>
      <c r="Y276" s="9">
        <v>2</v>
      </c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</row>
    <row r="277" spans="1:35" ht="13.5" customHeight="1">
      <c r="A277" s="18">
        <v>281</v>
      </c>
      <c r="B277" s="17">
        <v>30235</v>
      </c>
      <c r="C277" s="24" t="str">
        <f t="shared" si="27"/>
        <v>4,7</v>
      </c>
      <c r="D277" s="24" t="str">
        <f t="shared" si="28"/>
        <v>0,64</v>
      </c>
      <c r="E277" s="24" t="str">
        <f t="shared" si="29"/>
        <v>0,0</v>
      </c>
      <c r="F277" s="24" t="str">
        <f t="shared" si="30"/>
        <v>0,0</v>
      </c>
      <c r="G277" s="17" t="str">
        <f t="shared" si="31"/>
        <v>100,1</v>
      </c>
      <c r="H277" s="17" t="s">
        <v>31</v>
      </c>
      <c r="I277" s="17" t="s">
        <v>31</v>
      </c>
      <c r="K277" s="9">
        <v>4</v>
      </c>
      <c r="L277" s="9">
        <v>0</v>
      </c>
      <c r="M277" s="9">
        <v>0</v>
      </c>
      <c r="N277" s="9">
        <v>0</v>
      </c>
      <c r="O277" s="9">
        <v>100</v>
      </c>
      <c r="P277" s="9">
        <v>7</v>
      </c>
      <c r="Q277" s="9">
        <v>64</v>
      </c>
      <c r="R277" s="9">
        <v>0</v>
      </c>
      <c r="S277" s="9">
        <v>0</v>
      </c>
      <c r="T277" s="9">
        <v>1</v>
      </c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</row>
    <row r="278" spans="1:35" ht="13.5" customHeight="1">
      <c r="A278" s="18">
        <v>282</v>
      </c>
      <c r="B278" s="17">
        <v>30240</v>
      </c>
      <c r="C278" s="24" t="str">
        <f t="shared" si="27"/>
        <v>4,7,18</v>
      </c>
      <c r="D278" s="24" t="str">
        <f t="shared" si="28"/>
        <v>0,61,0</v>
      </c>
      <c r="E278" s="24" t="str">
        <f t="shared" si="29"/>
        <v>0,0,0</v>
      </c>
      <c r="F278" s="24" t="str">
        <f t="shared" si="30"/>
        <v>0,0,0</v>
      </c>
      <c r="G278" s="17" t="str">
        <f t="shared" si="31"/>
        <v>100,1,2</v>
      </c>
      <c r="H278" s="17" t="s">
        <v>31</v>
      </c>
      <c r="I278" s="17" t="s">
        <v>31</v>
      </c>
      <c r="K278" s="9">
        <v>4</v>
      </c>
      <c r="L278" s="9">
        <v>0</v>
      </c>
      <c r="M278" s="9">
        <v>0</v>
      </c>
      <c r="N278" s="9">
        <v>0</v>
      </c>
      <c r="O278" s="9">
        <v>100</v>
      </c>
      <c r="P278" s="9">
        <v>7</v>
      </c>
      <c r="Q278" s="9">
        <v>61</v>
      </c>
      <c r="R278" s="9">
        <v>0</v>
      </c>
      <c r="S278" s="9">
        <v>0</v>
      </c>
      <c r="T278" s="9">
        <v>1</v>
      </c>
      <c r="U278" s="9">
        <v>18</v>
      </c>
      <c r="V278" s="9">
        <v>0</v>
      </c>
      <c r="W278" s="9">
        <v>0</v>
      </c>
      <c r="X278" s="9">
        <v>0</v>
      </c>
      <c r="Y278" s="9">
        <v>2</v>
      </c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</row>
    <row r="279" spans="1:35" ht="13.5" customHeight="1">
      <c r="A279" s="18">
        <v>283</v>
      </c>
      <c r="B279" s="17">
        <v>30245</v>
      </c>
      <c r="C279" s="24" t="str">
        <f t="shared" si="27"/>
        <v>4,7</v>
      </c>
      <c r="D279" s="24" t="str">
        <f t="shared" si="28"/>
        <v>0,62</v>
      </c>
      <c r="E279" s="24" t="str">
        <f t="shared" si="29"/>
        <v>0,0</v>
      </c>
      <c r="F279" s="24" t="str">
        <f t="shared" si="30"/>
        <v>0,0</v>
      </c>
      <c r="G279" s="17" t="str">
        <f t="shared" si="31"/>
        <v>100,1</v>
      </c>
      <c r="H279" s="17" t="s">
        <v>31</v>
      </c>
      <c r="I279" s="17" t="s">
        <v>31</v>
      </c>
      <c r="K279" s="9">
        <v>4</v>
      </c>
      <c r="L279" s="9">
        <v>0</v>
      </c>
      <c r="M279" s="9">
        <v>0</v>
      </c>
      <c r="N279" s="9">
        <v>0</v>
      </c>
      <c r="O279" s="9">
        <v>100</v>
      </c>
      <c r="P279" s="9">
        <v>7</v>
      </c>
      <c r="Q279" s="9">
        <v>62</v>
      </c>
      <c r="R279" s="9">
        <v>0</v>
      </c>
      <c r="S279" s="9">
        <v>0</v>
      </c>
      <c r="T279" s="9">
        <v>1</v>
      </c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</row>
    <row r="280" spans="1:35" ht="13.5" customHeight="1">
      <c r="A280" s="18">
        <v>284</v>
      </c>
      <c r="B280" s="17">
        <v>30250</v>
      </c>
      <c r="C280" s="24" t="str">
        <f t="shared" si="27"/>
        <v>4,6,18</v>
      </c>
      <c r="D280" s="24" t="str">
        <f t="shared" si="28"/>
        <v>0,1,0</v>
      </c>
      <c r="E280" s="24" t="str">
        <f t="shared" si="29"/>
        <v>0,0,0</v>
      </c>
      <c r="F280" s="24" t="str">
        <f t="shared" si="30"/>
        <v>0,5,0</v>
      </c>
      <c r="G280" s="17" t="str">
        <f t="shared" si="31"/>
        <v>200,50,2</v>
      </c>
      <c r="H280" s="17" t="s">
        <v>31</v>
      </c>
      <c r="I280" s="17" t="s">
        <v>31</v>
      </c>
      <c r="K280" s="9">
        <v>4</v>
      </c>
      <c r="L280" s="9">
        <v>0</v>
      </c>
      <c r="M280" s="9">
        <v>0</v>
      </c>
      <c r="N280" s="9">
        <v>0</v>
      </c>
      <c r="O280" s="9">
        <v>200</v>
      </c>
      <c r="P280" s="9">
        <v>6</v>
      </c>
      <c r="Q280" s="9">
        <v>1</v>
      </c>
      <c r="R280" s="9">
        <v>0</v>
      </c>
      <c r="S280" s="9">
        <v>5</v>
      </c>
      <c r="T280" s="9">
        <v>50</v>
      </c>
      <c r="U280" s="9">
        <v>18</v>
      </c>
      <c r="V280" s="9">
        <v>0</v>
      </c>
      <c r="W280" s="9">
        <v>0</v>
      </c>
      <c r="X280" s="9">
        <v>0</v>
      </c>
      <c r="Y280" s="9">
        <v>2</v>
      </c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</row>
    <row r="281" spans="1:35" ht="13.5" customHeight="1">
      <c r="A281" s="18">
        <v>285</v>
      </c>
      <c r="B281" s="17">
        <v>30305</v>
      </c>
      <c r="C281" s="24" t="str">
        <f t="shared" si="27"/>
        <v>4,7</v>
      </c>
      <c r="D281" s="24" t="str">
        <f t="shared" si="28"/>
        <v>0,63</v>
      </c>
      <c r="E281" s="24" t="str">
        <f t="shared" si="29"/>
        <v>0,0</v>
      </c>
      <c r="F281" s="24" t="str">
        <f t="shared" si="30"/>
        <v>0,0</v>
      </c>
      <c r="G281" s="17" t="str">
        <f t="shared" si="31"/>
        <v>100,1</v>
      </c>
      <c r="H281" s="17" t="s">
        <v>31</v>
      </c>
      <c r="I281" s="17" t="s">
        <v>31</v>
      </c>
      <c r="K281" s="9">
        <v>4</v>
      </c>
      <c r="L281" s="9">
        <v>0</v>
      </c>
      <c r="M281" s="9">
        <v>0</v>
      </c>
      <c r="N281" s="9">
        <v>0</v>
      </c>
      <c r="O281" s="9">
        <v>100</v>
      </c>
      <c r="P281" s="9">
        <v>7</v>
      </c>
      <c r="Q281" s="9">
        <v>63</v>
      </c>
      <c r="R281" s="9">
        <v>0</v>
      </c>
      <c r="S281" s="9">
        <v>0</v>
      </c>
      <c r="T281" s="9">
        <v>1</v>
      </c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</row>
    <row r="282" spans="1:35" ht="13.5" customHeight="1">
      <c r="A282" s="18">
        <v>286</v>
      </c>
      <c r="B282" s="17">
        <v>30310</v>
      </c>
      <c r="C282" s="24" t="str">
        <f t="shared" si="27"/>
        <v>4,7,18</v>
      </c>
      <c r="D282" s="24" t="str">
        <f t="shared" si="28"/>
        <v>0,64,0</v>
      </c>
      <c r="E282" s="24" t="str">
        <f t="shared" si="29"/>
        <v>0,0,0</v>
      </c>
      <c r="F282" s="24" t="str">
        <f t="shared" si="30"/>
        <v>0,0,0</v>
      </c>
      <c r="G282" s="17" t="str">
        <f t="shared" si="31"/>
        <v>100,1,2</v>
      </c>
      <c r="H282" s="17" t="s">
        <v>31</v>
      </c>
      <c r="I282" s="17" t="s">
        <v>31</v>
      </c>
      <c r="K282" s="9">
        <v>4</v>
      </c>
      <c r="L282" s="9">
        <v>0</v>
      </c>
      <c r="M282" s="9">
        <v>0</v>
      </c>
      <c r="N282" s="9">
        <v>0</v>
      </c>
      <c r="O282" s="9">
        <v>100</v>
      </c>
      <c r="P282" s="9">
        <v>7</v>
      </c>
      <c r="Q282" s="9">
        <v>64</v>
      </c>
      <c r="R282" s="9">
        <v>0</v>
      </c>
      <c r="S282" s="9">
        <v>0</v>
      </c>
      <c r="T282" s="9">
        <v>1</v>
      </c>
      <c r="U282" s="9">
        <v>18</v>
      </c>
      <c r="V282" s="9">
        <v>0</v>
      </c>
      <c r="W282" s="9">
        <v>0</v>
      </c>
      <c r="X282" s="9">
        <v>0</v>
      </c>
      <c r="Y282" s="9">
        <v>2</v>
      </c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</row>
    <row r="283" spans="1:35" ht="13.5" customHeight="1">
      <c r="A283" s="18">
        <v>287</v>
      </c>
      <c r="B283" s="17">
        <v>30315</v>
      </c>
      <c r="C283" s="24" t="str">
        <f t="shared" si="27"/>
        <v>4,7</v>
      </c>
      <c r="D283" s="24" t="str">
        <f t="shared" si="28"/>
        <v>0,61</v>
      </c>
      <c r="E283" s="24" t="str">
        <f t="shared" si="29"/>
        <v>0,0</v>
      </c>
      <c r="F283" s="24" t="str">
        <f t="shared" si="30"/>
        <v>0,0</v>
      </c>
      <c r="G283" s="17" t="str">
        <f t="shared" si="31"/>
        <v>100,1</v>
      </c>
      <c r="H283" s="17" t="s">
        <v>31</v>
      </c>
      <c r="I283" s="17" t="s">
        <v>31</v>
      </c>
      <c r="K283" s="9">
        <v>4</v>
      </c>
      <c r="L283" s="9">
        <v>0</v>
      </c>
      <c r="M283" s="9">
        <v>0</v>
      </c>
      <c r="N283" s="9">
        <v>0</v>
      </c>
      <c r="O283" s="9">
        <v>100</v>
      </c>
      <c r="P283" s="9">
        <v>7</v>
      </c>
      <c r="Q283" s="9">
        <v>61</v>
      </c>
      <c r="R283" s="9">
        <v>0</v>
      </c>
      <c r="S283" s="9">
        <v>0</v>
      </c>
      <c r="T283" s="9">
        <v>1</v>
      </c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</row>
    <row r="284" spans="1:35" ht="13.5" customHeight="1">
      <c r="A284" s="18">
        <v>288</v>
      </c>
      <c r="B284" s="17">
        <v>30320</v>
      </c>
      <c r="C284" s="24" t="str">
        <f t="shared" si="27"/>
        <v>4,7,18</v>
      </c>
      <c r="D284" s="24" t="str">
        <f t="shared" si="28"/>
        <v>0,62,0</v>
      </c>
      <c r="E284" s="24" t="str">
        <f t="shared" si="29"/>
        <v>0,0,0</v>
      </c>
      <c r="F284" s="24" t="str">
        <f t="shared" si="30"/>
        <v>0,0,0</v>
      </c>
      <c r="G284" s="17" t="str">
        <f t="shared" si="31"/>
        <v>100,1,2</v>
      </c>
      <c r="H284" s="17" t="s">
        <v>31</v>
      </c>
      <c r="I284" s="17" t="s">
        <v>31</v>
      </c>
      <c r="K284" s="9">
        <v>4</v>
      </c>
      <c r="L284" s="9">
        <v>0</v>
      </c>
      <c r="M284" s="9">
        <v>0</v>
      </c>
      <c r="N284" s="9">
        <v>0</v>
      </c>
      <c r="O284" s="9">
        <v>100</v>
      </c>
      <c r="P284" s="9">
        <v>7</v>
      </c>
      <c r="Q284" s="9">
        <v>62</v>
      </c>
      <c r="R284" s="9">
        <v>0</v>
      </c>
      <c r="S284" s="9">
        <v>0</v>
      </c>
      <c r="T284" s="9">
        <v>1</v>
      </c>
      <c r="U284" s="9">
        <v>18</v>
      </c>
      <c r="V284" s="9">
        <v>0</v>
      </c>
      <c r="W284" s="9">
        <v>0</v>
      </c>
      <c r="X284" s="9">
        <v>0</v>
      </c>
      <c r="Y284" s="9">
        <v>2</v>
      </c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</row>
    <row r="285" spans="1:35" ht="13.5" customHeight="1">
      <c r="A285" s="18">
        <v>289</v>
      </c>
      <c r="B285" s="17">
        <v>30325</v>
      </c>
      <c r="C285" s="24" t="str">
        <f t="shared" si="27"/>
        <v>4,7</v>
      </c>
      <c r="D285" s="24" t="str">
        <f t="shared" si="28"/>
        <v>0,63</v>
      </c>
      <c r="E285" s="24" t="str">
        <f t="shared" si="29"/>
        <v>0,0</v>
      </c>
      <c r="F285" s="24" t="str">
        <f t="shared" si="30"/>
        <v>0,0</v>
      </c>
      <c r="G285" s="17" t="str">
        <f t="shared" si="31"/>
        <v>100,1</v>
      </c>
      <c r="H285" s="17" t="s">
        <v>31</v>
      </c>
      <c r="I285" s="17" t="s">
        <v>31</v>
      </c>
      <c r="K285" s="9">
        <v>4</v>
      </c>
      <c r="L285" s="9">
        <v>0</v>
      </c>
      <c r="M285" s="9">
        <v>0</v>
      </c>
      <c r="N285" s="9">
        <v>0</v>
      </c>
      <c r="O285" s="9">
        <v>100</v>
      </c>
      <c r="P285" s="9">
        <v>7</v>
      </c>
      <c r="Q285" s="9">
        <v>63</v>
      </c>
      <c r="R285" s="9">
        <v>0</v>
      </c>
      <c r="S285" s="9">
        <v>0</v>
      </c>
      <c r="T285" s="9">
        <v>1</v>
      </c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</row>
    <row r="286" spans="1:35" ht="13.5" customHeight="1">
      <c r="A286" s="18">
        <v>290</v>
      </c>
      <c r="B286" s="17">
        <v>30330</v>
      </c>
      <c r="C286" s="24" t="str">
        <f t="shared" si="27"/>
        <v>4,7,18</v>
      </c>
      <c r="D286" s="24" t="str">
        <f t="shared" si="28"/>
        <v>0,64,0</v>
      </c>
      <c r="E286" s="24" t="str">
        <f t="shared" si="29"/>
        <v>0,0,0</v>
      </c>
      <c r="F286" s="24" t="str">
        <f t="shared" si="30"/>
        <v>0,0,0</v>
      </c>
      <c r="G286" s="17" t="str">
        <f t="shared" si="31"/>
        <v>100,1,2</v>
      </c>
      <c r="H286" s="17" t="s">
        <v>31</v>
      </c>
      <c r="I286" s="17" t="s">
        <v>31</v>
      </c>
      <c r="K286" s="9">
        <v>4</v>
      </c>
      <c r="L286" s="9">
        <v>0</v>
      </c>
      <c r="M286" s="9">
        <v>0</v>
      </c>
      <c r="N286" s="9">
        <v>0</v>
      </c>
      <c r="O286" s="9">
        <v>100</v>
      </c>
      <c r="P286" s="9">
        <v>7</v>
      </c>
      <c r="Q286" s="9">
        <v>64</v>
      </c>
      <c r="R286" s="9">
        <v>0</v>
      </c>
      <c r="S286" s="9">
        <v>0</v>
      </c>
      <c r="T286" s="9">
        <v>1</v>
      </c>
      <c r="U286" s="9">
        <v>18</v>
      </c>
      <c r="V286" s="9">
        <v>0</v>
      </c>
      <c r="W286" s="9">
        <v>0</v>
      </c>
      <c r="X286" s="9">
        <v>0</v>
      </c>
      <c r="Y286" s="9">
        <v>2</v>
      </c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</row>
    <row r="287" spans="1:35" ht="13.5" customHeight="1">
      <c r="A287" s="18">
        <v>291</v>
      </c>
      <c r="B287" s="17">
        <v>30335</v>
      </c>
      <c r="C287" s="24" t="str">
        <f t="shared" si="27"/>
        <v>4,7</v>
      </c>
      <c r="D287" s="24" t="str">
        <f t="shared" si="28"/>
        <v>0,61</v>
      </c>
      <c r="E287" s="24" t="str">
        <f t="shared" si="29"/>
        <v>0,0</v>
      </c>
      <c r="F287" s="24" t="str">
        <f t="shared" si="30"/>
        <v>0,0</v>
      </c>
      <c r="G287" s="17" t="str">
        <f t="shared" si="31"/>
        <v>100,1</v>
      </c>
      <c r="H287" s="17" t="s">
        <v>31</v>
      </c>
      <c r="I287" s="17" t="s">
        <v>31</v>
      </c>
      <c r="K287" s="9">
        <v>4</v>
      </c>
      <c r="L287" s="9">
        <v>0</v>
      </c>
      <c r="M287" s="9">
        <v>0</v>
      </c>
      <c r="N287" s="9">
        <v>0</v>
      </c>
      <c r="O287" s="9">
        <v>100</v>
      </c>
      <c r="P287" s="9">
        <v>7</v>
      </c>
      <c r="Q287" s="9">
        <v>61</v>
      </c>
      <c r="R287" s="9">
        <v>0</v>
      </c>
      <c r="S287" s="9">
        <v>0</v>
      </c>
      <c r="T287" s="9">
        <v>1</v>
      </c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</row>
    <row r="288" spans="1:35" ht="13.5" customHeight="1">
      <c r="A288" s="18">
        <v>292</v>
      </c>
      <c r="B288" s="17">
        <v>30340</v>
      </c>
      <c r="C288" s="24" t="str">
        <f t="shared" si="27"/>
        <v>4,7,18</v>
      </c>
      <c r="D288" s="24" t="str">
        <f t="shared" si="28"/>
        <v>0,62,0</v>
      </c>
      <c r="E288" s="24" t="str">
        <f t="shared" si="29"/>
        <v>0,0,0</v>
      </c>
      <c r="F288" s="24" t="str">
        <f t="shared" si="30"/>
        <v>0,0,0</v>
      </c>
      <c r="G288" s="17" t="str">
        <f t="shared" si="31"/>
        <v>100,1,2</v>
      </c>
      <c r="H288" s="17" t="s">
        <v>31</v>
      </c>
      <c r="I288" s="17" t="s">
        <v>31</v>
      </c>
      <c r="K288" s="9">
        <v>4</v>
      </c>
      <c r="L288" s="9">
        <v>0</v>
      </c>
      <c r="M288" s="9">
        <v>0</v>
      </c>
      <c r="N288" s="9">
        <v>0</v>
      </c>
      <c r="O288" s="9">
        <v>100</v>
      </c>
      <c r="P288" s="9">
        <v>7</v>
      </c>
      <c r="Q288" s="9">
        <v>62</v>
      </c>
      <c r="R288" s="9">
        <v>0</v>
      </c>
      <c r="S288" s="9">
        <v>0</v>
      </c>
      <c r="T288" s="9">
        <v>1</v>
      </c>
      <c r="U288" s="9">
        <v>18</v>
      </c>
      <c r="V288" s="9">
        <v>0</v>
      </c>
      <c r="W288" s="9">
        <v>0</v>
      </c>
      <c r="X288" s="9">
        <v>0</v>
      </c>
      <c r="Y288" s="9">
        <v>2</v>
      </c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</row>
    <row r="289" spans="1:35" ht="13.5" customHeight="1">
      <c r="A289" s="18">
        <v>293</v>
      </c>
      <c r="B289" s="17">
        <v>30345</v>
      </c>
      <c r="C289" s="24" t="str">
        <f t="shared" si="27"/>
        <v>4,7</v>
      </c>
      <c r="D289" s="24" t="str">
        <f t="shared" si="28"/>
        <v>0,63</v>
      </c>
      <c r="E289" s="24" t="str">
        <f t="shared" si="29"/>
        <v>0,0</v>
      </c>
      <c r="F289" s="24" t="str">
        <f t="shared" si="30"/>
        <v>0,0</v>
      </c>
      <c r="G289" s="17" t="str">
        <f t="shared" si="31"/>
        <v>100,1</v>
      </c>
      <c r="H289" s="17" t="s">
        <v>31</v>
      </c>
      <c r="I289" s="17" t="s">
        <v>31</v>
      </c>
      <c r="K289" s="9">
        <v>4</v>
      </c>
      <c r="L289" s="9">
        <v>0</v>
      </c>
      <c r="M289" s="9">
        <v>0</v>
      </c>
      <c r="N289" s="9">
        <v>0</v>
      </c>
      <c r="O289" s="9">
        <v>100</v>
      </c>
      <c r="P289" s="9">
        <v>7</v>
      </c>
      <c r="Q289" s="9">
        <v>63</v>
      </c>
      <c r="R289" s="9">
        <v>0</v>
      </c>
      <c r="S289" s="9">
        <v>0</v>
      </c>
      <c r="T289" s="9">
        <v>1</v>
      </c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</row>
    <row r="290" spans="1:35" ht="13.5" customHeight="1">
      <c r="A290" s="18">
        <v>294</v>
      </c>
      <c r="B290" s="17">
        <v>30350</v>
      </c>
      <c r="C290" s="24" t="str">
        <f t="shared" si="27"/>
        <v>4,6,18</v>
      </c>
      <c r="D290" s="24" t="str">
        <f t="shared" si="28"/>
        <v>0,1,0</v>
      </c>
      <c r="E290" s="24" t="str">
        <f t="shared" si="29"/>
        <v>0,0,0</v>
      </c>
      <c r="F290" s="24" t="str">
        <f t="shared" si="30"/>
        <v>0,5,0</v>
      </c>
      <c r="G290" s="17" t="str">
        <f t="shared" si="31"/>
        <v>200,50,2</v>
      </c>
      <c r="H290" s="17" t="s">
        <v>31</v>
      </c>
      <c r="I290" s="17" t="s">
        <v>31</v>
      </c>
      <c r="K290" s="9">
        <v>4</v>
      </c>
      <c r="L290" s="9">
        <v>0</v>
      </c>
      <c r="M290" s="9">
        <v>0</v>
      </c>
      <c r="N290" s="9">
        <v>0</v>
      </c>
      <c r="O290" s="9">
        <v>200</v>
      </c>
      <c r="P290" s="9">
        <v>6</v>
      </c>
      <c r="Q290" s="9">
        <v>1</v>
      </c>
      <c r="R290" s="9">
        <v>0</v>
      </c>
      <c r="S290" s="9">
        <v>5</v>
      </c>
      <c r="T290" s="9">
        <v>50</v>
      </c>
      <c r="U290" s="9">
        <v>18</v>
      </c>
      <c r="V290" s="9">
        <v>0</v>
      </c>
      <c r="W290" s="9">
        <v>0</v>
      </c>
      <c r="X290" s="9">
        <v>0</v>
      </c>
      <c r="Y290" s="9">
        <v>2</v>
      </c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</row>
    <row r="291" spans="1:35" ht="13.5" customHeight="1">
      <c r="A291" s="18">
        <v>295</v>
      </c>
      <c r="B291" s="17">
        <v>30405</v>
      </c>
      <c r="C291" s="24" t="str">
        <f t="shared" si="27"/>
        <v>4,7</v>
      </c>
      <c r="D291" s="24" t="str">
        <f t="shared" si="28"/>
        <v>0,64</v>
      </c>
      <c r="E291" s="24" t="str">
        <f t="shared" si="29"/>
        <v>0,0</v>
      </c>
      <c r="F291" s="24" t="str">
        <f t="shared" si="30"/>
        <v>0,0</v>
      </c>
      <c r="G291" s="17" t="str">
        <f t="shared" si="31"/>
        <v>100,1</v>
      </c>
      <c r="H291" s="17" t="s">
        <v>31</v>
      </c>
      <c r="I291" s="17" t="s">
        <v>31</v>
      </c>
      <c r="K291" s="9">
        <v>4</v>
      </c>
      <c r="L291" s="9">
        <v>0</v>
      </c>
      <c r="M291" s="9">
        <v>0</v>
      </c>
      <c r="N291" s="9">
        <v>0</v>
      </c>
      <c r="O291" s="9">
        <v>100</v>
      </c>
      <c r="P291" s="9">
        <v>7</v>
      </c>
      <c r="Q291" s="9">
        <v>64</v>
      </c>
      <c r="R291" s="9">
        <v>0</v>
      </c>
      <c r="S291" s="9">
        <v>0</v>
      </c>
      <c r="T291" s="9">
        <v>1</v>
      </c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</row>
    <row r="292" spans="1:35" ht="13.5" customHeight="1">
      <c r="A292" s="18">
        <v>296</v>
      </c>
      <c r="B292" s="17">
        <v>30410</v>
      </c>
      <c r="C292" s="24" t="str">
        <f t="shared" si="27"/>
        <v>4,7,18</v>
      </c>
      <c r="D292" s="24" t="str">
        <f t="shared" si="28"/>
        <v>0,61,0</v>
      </c>
      <c r="E292" s="24" t="str">
        <f t="shared" si="29"/>
        <v>0,0,0</v>
      </c>
      <c r="F292" s="24" t="str">
        <f t="shared" si="30"/>
        <v>0,0,0</v>
      </c>
      <c r="G292" s="17" t="str">
        <f t="shared" si="31"/>
        <v>100,1,2</v>
      </c>
      <c r="H292" s="17" t="s">
        <v>31</v>
      </c>
      <c r="I292" s="17" t="s">
        <v>31</v>
      </c>
      <c r="K292" s="9">
        <v>4</v>
      </c>
      <c r="L292" s="9">
        <v>0</v>
      </c>
      <c r="M292" s="9">
        <v>0</v>
      </c>
      <c r="N292" s="9">
        <v>0</v>
      </c>
      <c r="O292" s="9">
        <v>100</v>
      </c>
      <c r="P292" s="9">
        <v>7</v>
      </c>
      <c r="Q292" s="9">
        <v>61</v>
      </c>
      <c r="R292" s="9">
        <v>0</v>
      </c>
      <c r="S292" s="9">
        <v>0</v>
      </c>
      <c r="T292" s="9">
        <v>1</v>
      </c>
      <c r="U292" s="9">
        <v>18</v>
      </c>
      <c r="V292" s="9">
        <v>0</v>
      </c>
      <c r="W292" s="9">
        <v>0</v>
      </c>
      <c r="X292" s="9">
        <v>0</v>
      </c>
      <c r="Y292" s="9">
        <v>2</v>
      </c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</row>
    <row r="293" spans="1:35" ht="13.5" customHeight="1">
      <c r="A293" s="18">
        <v>297</v>
      </c>
      <c r="B293" s="17">
        <v>30415</v>
      </c>
      <c r="C293" s="24" t="str">
        <f t="shared" si="27"/>
        <v>4,7</v>
      </c>
      <c r="D293" s="24" t="str">
        <f t="shared" si="28"/>
        <v>0,62</v>
      </c>
      <c r="E293" s="24" t="str">
        <f t="shared" si="29"/>
        <v>0,0</v>
      </c>
      <c r="F293" s="24" t="str">
        <f t="shared" si="30"/>
        <v>0,0</v>
      </c>
      <c r="G293" s="17" t="str">
        <f t="shared" si="31"/>
        <v>100,1</v>
      </c>
      <c r="H293" s="17" t="s">
        <v>31</v>
      </c>
      <c r="I293" s="17" t="s">
        <v>31</v>
      </c>
      <c r="K293" s="9">
        <v>4</v>
      </c>
      <c r="L293" s="9">
        <v>0</v>
      </c>
      <c r="M293" s="9">
        <v>0</v>
      </c>
      <c r="N293" s="9">
        <v>0</v>
      </c>
      <c r="O293" s="9">
        <v>100</v>
      </c>
      <c r="P293" s="9">
        <v>7</v>
      </c>
      <c r="Q293" s="9">
        <v>62</v>
      </c>
      <c r="R293" s="9">
        <v>0</v>
      </c>
      <c r="S293" s="9">
        <v>0</v>
      </c>
      <c r="T293" s="9">
        <v>1</v>
      </c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</row>
    <row r="294" spans="1:35" ht="13.5" customHeight="1">
      <c r="A294" s="18">
        <v>298</v>
      </c>
      <c r="B294" s="17">
        <v>30420</v>
      </c>
      <c r="C294" s="24" t="str">
        <f t="shared" si="27"/>
        <v>4,7,18</v>
      </c>
      <c r="D294" s="24" t="str">
        <f t="shared" si="28"/>
        <v>0,63,0</v>
      </c>
      <c r="E294" s="24" t="str">
        <f t="shared" si="29"/>
        <v>0,0,0</v>
      </c>
      <c r="F294" s="24" t="str">
        <f t="shared" si="30"/>
        <v>0,0,0</v>
      </c>
      <c r="G294" s="17" t="str">
        <f t="shared" si="31"/>
        <v>100,1,2</v>
      </c>
      <c r="H294" s="17" t="s">
        <v>31</v>
      </c>
      <c r="I294" s="17" t="s">
        <v>31</v>
      </c>
      <c r="K294" s="9">
        <v>4</v>
      </c>
      <c r="L294" s="9">
        <v>0</v>
      </c>
      <c r="M294" s="9">
        <v>0</v>
      </c>
      <c r="N294" s="9">
        <v>0</v>
      </c>
      <c r="O294" s="9">
        <v>100</v>
      </c>
      <c r="P294" s="9">
        <v>7</v>
      </c>
      <c r="Q294" s="9">
        <v>63</v>
      </c>
      <c r="R294" s="9">
        <v>0</v>
      </c>
      <c r="S294" s="9">
        <v>0</v>
      </c>
      <c r="T294" s="9">
        <v>1</v>
      </c>
      <c r="U294" s="9">
        <v>18</v>
      </c>
      <c r="V294" s="9">
        <v>0</v>
      </c>
      <c r="W294" s="9">
        <v>0</v>
      </c>
      <c r="X294" s="9">
        <v>0</v>
      </c>
      <c r="Y294" s="9">
        <v>2</v>
      </c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</row>
    <row r="295" spans="1:35" ht="13.5" customHeight="1">
      <c r="A295" s="18">
        <v>299</v>
      </c>
      <c r="B295" s="17">
        <v>30425</v>
      </c>
      <c r="C295" s="24" t="str">
        <f t="shared" si="27"/>
        <v>4,7</v>
      </c>
      <c r="D295" s="24" t="str">
        <f t="shared" si="28"/>
        <v>0,64</v>
      </c>
      <c r="E295" s="24" t="str">
        <f t="shared" si="29"/>
        <v>0,0</v>
      </c>
      <c r="F295" s="24" t="str">
        <f t="shared" si="30"/>
        <v>0,0</v>
      </c>
      <c r="G295" s="17" t="str">
        <f t="shared" si="31"/>
        <v>100,1</v>
      </c>
      <c r="H295" s="17" t="s">
        <v>31</v>
      </c>
      <c r="I295" s="17" t="s">
        <v>31</v>
      </c>
      <c r="K295" s="9">
        <v>4</v>
      </c>
      <c r="L295" s="9">
        <v>0</v>
      </c>
      <c r="M295" s="9">
        <v>0</v>
      </c>
      <c r="N295" s="9">
        <v>0</v>
      </c>
      <c r="O295" s="9">
        <v>100</v>
      </c>
      <c r="P295" s="9">
        <v>7</v>
      </c>
      <c r="Q295" s="9">
        <v>64</v>
      </c>
      <c r="R295" s="9">
        <v>0</v>
      </c>
      <c r="S295" s="9">
        <v>0</v>
      </c>
      <c r="T295" s="9">
        <v>1</v>
      </c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</row>
    <row r="296" spans="1:35" ht="13.5" customHeight="1">
      <c r="A296" s="18">
        <v>300</v>
      </c>
      <c r="B296" s="17">
        <v>30430</v>
      </c>
      <c r="C296" s="24" t="str">
        <f t="shared" si="27"/>
        <v>4,7,18</v>
      </c>
      <c r="D296" s="24" t="str">
        <f t="shared" si="28"/>
        <v>0,61,0</v>
      </c>
      <c r="E296" s="24" t="str">
        <f t="shared" si="29"/>
        <v>0,0,0</v>
      </c>
      <c r="F296" s="24" t="str">
        <f t="shared" si="30"/>
        <v>0,0,0</v>
      </c>
      <c r="G296" s="17" t="str">
        <f t="shared" si="31"/>
        <v>100,1,2</v>
      </c>
      <c r="H296" s="17" t="s">
        <v>31</v>
      </c>
      <c r="I296" s="17" t="s">
        <v>31</v>
      </c>
      <c r="K296" s="9">
        <v>4</v>
      </c>
      <c r="L296" s="9">
        <v>0</v>
      </c>
      <c r="M296" s="9">
        <v>0</v>
      </c>
      <c r="N296" s="9">
        <v>0</v>
      </c>
      <c r="O296" s="9">
        <v>100</v>
      </c>
      <c r="P296" s="9">
        <v>7</v>
      </c>
      <c r="Q296" s="9">
        <v>61</v>
      </c>
      <c r="R296" s="9">
        <v>0</v>
      </c>
      <c r="S296" s="9">
        <v>0</v>
      </c>
      <c r="T296" s="9">
        <v>1</v>
      </c>
      <c r="U296" s="9">
        <v>18</v>
      </c>
      <c r="V296" s="9">
        <v>0</v>
      </c>
      <c r="W296" s="9">
        <v>0</v>
      </c>
      <c r="X296" s="9">
        <v>0</v>
      </c>
      <c r="Y296" s="9">
        <v>2</v>
      </c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</row>
    <row r="297" spans="1:35" ht="13.5" customHeight="1">
      <c r="A297" s="18">
        <v>301</v>
      </c>
      <c r="B297" s="17">
        <v>30435</v>
      </c>
      <c r="C297" s="24" t="str">
        <f t="shared" si="27"/>
        <v>4,7</v>
      </c>
      <c r="D297" s="24" t="str">
        <f t="shared" si="28"/>
        <v>0,62</v>
      </c>
      <c r="E297" s="24" t="str">
        <f t="shared" si="29"/>
        <v>0,0</v>
      </c>
      <c r="F297" s="24" t="str">
        <f t="shared" si="30"/>
        <v>0,0</v>
      </c>
      <c r="G297" s="17" t="str">
        <f t="shared" si="31"/>
        <v>100,1</v>
      </c>
      <c r="H297" s="17" t="s">
        <v>31</v>
      </c>
      <c r="I297" s="17" t="s">
        <v>31</v>
      </c>
      <c r="K297" s="9">
        <v>4</v>
      </c>
      <c r="L297" s="9">
        <v>0</v>
      </c>
      <c r="M297" s="9">
        <v>0</v>
      </c>
      <c r="N297" s="9">
        <v>0</v>
      </c>
      <c r="O297" s="9">
        <v>100</v>
      </c>
      <c r="P297" s="9">
        <v>7</v>
      </c>
      <c r="Q297" s="9">
        <v>62</v>
      </c>
      <c r="R297" s="9">
        <v>0</v>
      </c>
      <c r="S297" s="9">
        <v>0</v>
      </c>
      <c r="T297" s="9">
        <v>1</v>
      </c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</row>
    <row r="298" spans="1:35" ht="13.5" customHeight="1">
      <c r="A298" s="18">
        <v>302</v>
      </c>
      <c r="B298" s="17">
        <v>30440</v>
      </c>
      <c r="C298" s="24" t="str">
        <f t="shared" si="27"/>
        <v>4,7,18</v>
      </c>
      <c r="D298" s="24" t="str">
        <f t="shared" si="28"/>
        <v>0,63,0</v>
      </c>
      <c r="E298" s="24" t="str">
        <f t="shared" si="29"/>
        <v>0,0,0</v>
      </c>
      <c r="F298" s="24" t="str">
        <f t="shared" si="30"/>
        <v>0,0,0</v>
      </c>
      <c r="G298" s="17" t="str">
        <f t="shared" si="31"/>
        <v>100,1,2</v>
      </c>
      <c r="H298" s="17" t="s">
        <v>31</v>
      </c>
      <c r="I298" s="17" t="s">
        <v>31</v>
      </c>
      <c r="K298" s="9">
        <v>4</v>
      </c>
      <c r="L298" s="9">
        <v>0</v>
      </c>
      <c r="M298" s="9">
        <v>0</v>
      </c>
      <c r="N298" s="9">
        <v>0</v>
      </c>
      <c r="O298" s="9">
        <v>100</v>
      </c>
      <c r="P298" s="9">
        <v>7</v>
      </c>
      <c r="Q298" s="9">
        <v>63</v>
      </c>
      <c r="R298" s="9">
        <v>0</v>
      </c>
      <c r="S298" s="9">
        <v>0</v>
      </c>
      <c r="T298" s="9">
        <v>1</v>
      </c>
      <c r="U298" s="9">
        <v>18</v>
      </c>
      <c r="V298" s="9">
        <v>0</v>
      </c>
      <c r="W298" s="9">
        <v>0</v>
      </c>
      <c r="X298" s="9">
        <v>0</v>
      </c>
      <c r="Y298" s="9">
        <v>2</v>
      </c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</row>
    <row r="299" spans="1:35" ht="13.5" customHeight="1">
      <c r="A299" s="18">
        <v>303</v>
      </c>
      <c r="B299" s="17">
        <v>30445</v>
      </c>
      <c r="C299" s="24" t="str">
        <f t="shared" si="27"/>
        <v>4,7</v>
      </c>
      <c r="D299" s="24" t="str">
        <f t="shared" si="28"/>
        <v>0,64</v>
      </c>
      <c r="E299" s="24" t="str">
        <f t="shared" si="29"/>
        <v>0,0</v>
      </c>
      <c r="F299" s="24" t="str">
        <f t="shared" si="30"/>
        <v>0,0</v>
      </c>
      <c r="G299" s="17" t="str">
        <f t="shared" si="31"/>
        <v>100,1</v>
      </c>
      <c r="H299" s="17" t="s">
        <v>31</v>
      </c>
      <c r="I299" s="17" t="s">
        <v>31</v>
      </c>
      <c r="K299" s="9">
        <v>4</v>
      </c>
      <c r="L299" s="9">
        <v>0</v>
      </c>
      <c r="M299" s="9">
        <v>0</v>
      </c>
      <c r="N299" s="9">
        <v>0</v>
      </c>
      <c r="O299" s="9">
        <v>100</v>
      </c>
      <c r="P299" s="9">
        <v>7</v>
      </c>
      <c r="Q299" s="9">
        <v>64</v>
      </c>
      <c r="R299" s="9">
        <v>0</v>
      </c>
      <c r="S299" s="9">
        <v>0</v>
      </c>
      <c r="T299" s="9">
        <v>1</v>
      </c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</row>
    <row r="300" spans="1:35" ht="13.5" customHeight="1">
      <c r="A300" s="18">
        <v>304</v>
      </c>
      <c r="B300" s="17">
        <v>30450</v>
      </c>
      <c r="C300" s="24" t="str">
        <f t="shared" si="27"/>
        <v>4,6,18</v>
      </c>
      <c r="D300" s="24" t="str">
        <f t="shared" si="28"/>
        <v>0,1,0</v>
      </c>
      <c r="E300" s="24" t="str">
        <f t="shared" si="29"/>
        <v>0,0,0</v>
      </c>
      <c r="F300" s="24" t="str">
        <f t="shared" si="30"/>
        <v>0,5,0</v>
      </c>
      <c r="G300" s="17" t="str">
        <f t="shared" si="31"/>
        <v>200,50,2</v>
      </c>
      <c r="H300" s="17" t="s">
        <v>31</v>
      </c>
      <c r="I300" s="17" t="s">
        <v>31</v>
      </c>
      <c r="K300" s="9">
        <v>4</v>
      </c>
      <c r="L300" s="9">
        <v>0</v>
      </c>
      <c r="M300" s="9">
        <v>0</v>
      </c>
      <c r="N300" s="9">
        <v>0</v>
      </c>
      <c r="O300" s="9">
        <v>200</v>
      </c>
      <c r="P300" s="9">
        <v>6</v>
      </c>
      <c r="Q300" s="9">
        <v>1</v>
      </c>
      <c r="R300" s="9">
        <v>0</v>
      </c>
      <c r="S300" s="9">
        <v>5</v>
      </c>
      <c r="T300" s="9">
        <v>50</v>
      </c>
      <c r="U300" s="9">
        <v>18</v>
      </c>
      <c r="V300" s="9">
        <v>0</v>
      </c>
      <c r="W300" s="9">
        <v>0</v>
      </c>
      <c r="X300" s="9">
        <v>0</v>
      </c>
      <c r="Y300" s="9">
        <v>2</v>
      </c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</row>
    <row r="301" spans="1:35" ht="13.5" customHeight="1">
      <c r="A301" s="18">
        <v>305</v>
      </c>
      <c r="B301" s="17">
        <v>30505</v>
      </c>
      <c r="C301" s="24" t="str">
        <f t="shared" si="27"/>
        <v>4,7</v>
      </c>
      <c r="D301" s="24" t="str">
        <f t="shared" si="28"/>
        <v>0,61</v>
      </c>
      <c r="E301" s="24" t="str">
        <f t="shared" si="29"/>
        <v>0,0</v>
      </c>
      <c r="F301" s="24" t="str">
        <f t="shared" si="30"/>
        <v>0,0</v>
      </c>
      <c r="G301" s="17" t="str">
        <f t="shared" si="31"/>
        <v>100,1</v>
      </c>
      <c r="H301" s="17" t="s">
        <v>31</v>
      </c>
      <c r="I301" s="17" t="s">
        <v>31</v>
      </c>
      <c r="K301" s="9">
        <v>4</v>
      </c>
      <c r="L301" s="9">
        <v>0</v>
      </c>
      <c r="M301" s="9">
        <v>0</v>
      </c>
      <c r="N301" s="9">
        <v>0</v>
      </c>
      <c r="O301" s="9">
        <v>100</v>
      </c>
      <c r="P301" s="9">
        <v>7</v>
      </c>
      <c r="Q301" s="9">
        <v>61</v>
      </c>
      <c r="R301" s="9">
        <v>0</v>
      </c>
      <c r="S301" s="9">
        <v>0</v>
      </c>
      <c r="T301" s="9">
        <v>1</v>
      </c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</row>
    <row r="302" spans="1:35" ht="13.5" customHeight="1">
      <c r="A302" s="18">
        <v>306</v>
      </c>
      <c r="B302" s="17">
        <v>30510</v>
      </c>
      <c r="C302" s="24" t="str">
        <f t="shared" si="27"/>
        <v>4,7,18</v>
      </c>
      <c r="D302" s="24" t="str">
        <f t="shared" si="28"/>
        <v>0,62,0</v>
      </c>
      <c r="E302" s="24" t="str">
        <f t="shared" si="29"/>
        <v>0,0,0</v>
      </c>
      <c r="F302" s="24" t="str">
        <f t="shared" si="30"/>
        <v>0,0,0</v>
      </c>
      <c r="G302" s="17" t="str">
        <f t="shared" si="31"/>
        <v>100,1,2</v>
      </c>
      <c r="H302" s="17" t="s">
        <v>31</v>
      </c>
      <c r="I302" s="17" t="s">
        <v>31</v>
      </c>
      <c r="K302" s="9">
        <v>4</v>
      </c>
      <c r="L302" s="9">
        <v>0</v>
      </c>
      <c r="M302" s="9">
        <v>0</v>
      </c>
      <c r="N302" s="9">
        <v>0</v>
      </c>
      <c r="O302" s="9">
        <v>100</v>
      </c>
      <c r="P302" s="9">
        <v>7</v>
      </c>
      <c r="Q302" s="9">
        <v>62</v>
      </c>
      <c r="R302" s="9">
        <v>0</v>
      </c>
      <c r="S302" s="9">
        <v>0</v>
      </c>
      <c r="T302" s="9">
        <v>1</v>
      </c>
      <c r="U302" s="9">
        <v>18</v>
      </c>
      <c r="V302" s="9">
        <v>0</v>
      </c>
      <c r="W302" s="9">
        <v>0</v>
      </c>
      <c r="X302" s="9">
        <v>0</v>
      </c>
      <c r="Y302" s="9">
        <v>2</v>
      </c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</row>
    <row r="303" spans="1:35" ht="13.5" customHeight="1">
      <c r="A303" s="18">
        <v>307</v>
      </c>
      <c r="B303" s="17">
        <v>30515</v>
      </c>
      <c r="C303" s="24" t="str">
        <f t="shared" si="27"/>
        <v>4,7</v>
      </c>
      <c r="D303" s="24" t="str">
        <f t="shared" si="28"/>
        <v>0,63</v>
      </c>
      <c r="E303" s="24" t="str">
        <f t="shared" si="29"/>
        <v>0,0</v>
      </c>
      <c r="F303" s="24" t="str">
        <f t="shared" si="30"/>
        <v>0,0</v>
      </c>
      <c r="G303" s="17" t="str">
        <f t="shared" si="31"/>
        <v>100,1</v>
      </c>
      <c r="H303" s="17" t="s">
        <v>31</v>
      </c>
      <c r="I303" s="17" t="s">
        <v>31</v>
      </c>
      <c r="K303" s="9">
        <v>4</v>
      </c>
      <c r="L303" s="9">
        <v>0</v>
      </c>
      <c r="M303" s="9">
        <v>0</v>
      </c>
      <c r="N303" s="9">
        <v>0</v>
      </c>
      <c r="O303" s="9">
        <v>100</v>
      </c>
      <c r="P303" s="9">
        <v>7</v>
      </c>
      <c r="Q303" s="9">
        <v>63</v>
      </c>
      <c r="R303" s="9">
        <v>0</v>
      </c>
      <c r="S303" s="9">
        <v>0</v>
      </c>
      <c r="T303" s="9">
        <v>1</v>
      </c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</row>
    <row r="304" spans="1:35" ht="13.5" customHeight="1">
      <c r="A304" s="18">
        <v>308</v>
      </c>
      <c r="B304" s="17">
        <v>30520</v>
      </c>
      <c r="C304" s="24" t="str">
        <f t="shared" si="27"/>
        <v>4,7,18</v>
      </c>
      <c r="D304" s="24" t="str">
        <f t="shared" si="28"/>
        <v>0,64,0</v>
      </c>
      <c r="E304" s="24" t="str">
        <f t="shared" si="29"/>
        <v>0,0,0</v>
      </c>
      <c r="F304" s="24" t="str">
        <f t="shared" si="30"/>
        <v>0,0,0</v>
      </c>
      <c r="G304" s="17" t="str">
        <f t="shared" si="31"/>
        <v>100,1,2</v>
      </c>
      <c r="H304" s="17" t="s">
        <v>31</v>
      </c>
      <c r="I304" s="17" t="s">
        <v>31</v>
      </c>
      <c r="K304" s="9">
        <v>4</v>
      </c>
      <c r="L304" s="9">
        <v>0</v>
      </c>
      <c r="M304" s="9">
        <v>0</v>
      </c>
      <c r="N304" s="9">
        <v>0</v>
      </c>
      <c r="O304" s="9">
        <v>100</v>
      </c>
      <c r="P304" s="9">
        <v>7</v>
      </c>
      <c r="Q304" s="9">
        <v>64</v>
      </c>
      <c r="R304" s="9">
        <v>0</v>
      </c>
      <c r="S304" s="9">
        <v>0</v>
      </c>
      <c r="T304" s="9">
        <v>1</v>
      </c>
      <c r="U304" s="9">
        <v>18</v>
      </c>
      <c r="V304" s="9">
        <v>0</v>
      </c>
      <c r="W304" s="9">
        <v>0</v>
      </c>
      <c r="X304" s="9">
        <v>0</v>
      </c>
      <c r="Y304" s="9">
        <v>2</v>
      </c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</row>
    <row r="305" spans="1:35" ht="13.5" customHeight="1">
      <c r="A305" s="18">
        <v>309</v>
      </c>
      <c r="B305" s="17">
        <v>30525</v>
      </c>
      <c r="C305" s="24" t="str">
        <f t="shared" si="27"/>
        <v>4,7</v>
      </c>
      <c r="D305" s="24" t="str">
        <f t="shared" si="28"/>
        <v>0,61</v>
      </c>
      <c r="E305" s="24" t="str">
        <f t="shared" si="29"/>
        <v>0,0</v>
      </c>
      <c r="F305" s="24" t="str">
        <f t="shared" si="30"/>
        <v>0,0</v>
      </c>
      <c r="G305" s="17" t="str">
        <f t="shared" si="31"/>
        <v>100,1</v>
      </c>
      <c r="H305" s="17" t="s">
        <v>31</v>
      </c>
      <c r="I305" s="17" t="s">
        <v>31</v>
      </c>
      <c r="K305" s="9">
        <v>4</v>
      </c>
      <c r="L305" s="9">
        <v>0</v>
      </c>
      <c r="M305" s="9">
        <v>0</v>
      </c>
      <c r="N305" s="9">
        <v>0</v>
      </c>
      <c r="O305" s="9">
        <v>100</v>
      </c>
      <c r="P305" s="9">
        <v>7</v>
      </c>
      <c r="Q305" s="9">
        <v>61</v>
      </c>
      <c r="R305" s="9">
        <v>0</v>
      </c>
      <c r="S305" s="9">
        <v>0</v>
      </c>
      <c r="T305" s="9">
        <v>1</v>
      </c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</row>
    <row r="306" spans="1:35" ht="13.5" customHeight="1">
      <c r="A306" s="18">
        <v>310</v>
      </c>
      <c r="B306" s="17">
        <v>30530</v>
      </c>
      <c r="C306" s="24" t="str">
        <f t="shared" si="27"/>
        <v>4,7,18</v>
      </c>
      <c r="D306" s="24" t="str">
        <f t="shared" si="28"/>
        <v>0,62,0</v>
      </c>
      <c r="E306" s="24" t="str">
        <f t="shared" si="29"/>
        <v>0,0,0</v>
      </c>
      <c r="F306" s="24" t="str">
        <f t="shared" si="30"/>
        <v>0,0,0</v>
      </c>
      <c r="G306" s="17" t="str">
        <f t="shared" si="31"/>
        <v>100,1,2</v>
      </c>
      <c r="H306" s="17" t="s">
        <v>31</v>
      </c>
      <c r="I306" s="17" t="s">
        <v>31</v>
      </c>
      <c r="K306" s="9">
        <v>4</v>
      </c>
      <c r="L306" s="9">
        <v>0</v>
      </c>
      <c r="M306" s="9">
        <v>0</v>
      </c>
      <c r="N306" s="9">
        <v>0</v>
      </c>
      <c r="O306" s="9">
        <v>100</v>
      </c>
      <c r="P306" s="9">
        <v>7</v>
      </c>
      <c r="Q306" s="9">
        <v>62</v>
      </c>
      <c r="R306" s="9">
        <v>0</v>
      </c>
      <c r="S306" s="9">
        <v>0</v>
      </c>
      <c r="T306" s="9">
        <v>1</v>
      </c>
      <c r="U306" s="9">
        <v>18</v>
      </c>
      <c r="V306" s="9">
        <v>0</v>
      </c>
      <c r="W306" s="9">
        <v>0</v>
      </c>
      <c r="X306" s="9">
        <v>0</v>
      </c>
      <c r="Y306" s="9">
        <v>2</v>
      </c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</row>
    <row r="307" spans="1:35" ht="13.5" customHeight="1">
      <c r="A307" s="18">
        <v>311</v>
      </c>
      <c r="B307" s="17">
        <v>30535</v>
      </c>
      <c r="C307" s="24" t="str">
        <f t="shared" si="27"/>
        <v>4,7</v>
      </c>
      <c r="D307" s="24" t="str">
        <f t="shared" si="28"/>
        <v>0,63</v>
      </c>
      <c r="E307" s="24" t="str">
        <f t="shared" si="29"/>
        <v>0,0</v>
      </c>
      <c r="F307" s="24" t="str">
        <f t="shared" si="30"/>
        <v>0,0</v>
      </c>
      <c r="G307" s="17" t="str">
        <f t="shared" si="31"/>
        <v>100,1</v>
      </c>
      <c r="H307" s="17" t="s">
        <v>31</v>
      </c>
      <c r="I307" s="17" t="s">
        <v>31</v>
      </c>
      <c r="K307" s="9">
        <v>4</v>
      </c>
      <c r="L307" s="9">
        <v>0</v>
      </c>
      <c r="M307" s="9">
        <v>0</v>
      </c>
      <c r="N307" s="9">
        <v>0</v>
      </c>
      <c r="O307" s="9">
        <v>100</v>
      </c>
      <c r="P307" s="9">
        <v>7</v>
      </c>
      <c r="Q307" s="9">
        <v>63</v>
      </c>
      <c r="R307" s="9">
        <v>0</v>
      </c>
      <c r="S307" s="9">
        <v>0</v>
      </c>
      <c r="T307" s="9">
        <v>1</v>
      </c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</row>
    <row r="308" spans="1:35" ht="13.5" customHeight="1">
      <c r="A308" s="18">
        <v>312</v>
      </c>
      <c r="B308" s="17">
        <v>30540</v>
      </c>
      <c r="C308" s="24" t="str">
        <f t="shared" si="27"/>
        <v>4,7,18</v>
      </c>
      <c r="D308" s="24" t="str">
        <f t="shared" si="28"/>
        <v>0,64,0</v>
      </c>
      <c r="E308" s="24" t="str">
        <f t="shared" si="29"/>
        <v>0,0,0</v>
      </c>
      <c r="F308" s="24" t="str">
        <f t="shared" si="30"/>
        <v>0,0,0</v>
      </c>
      <c r="G308" s="17" t="str">
        <f t="shared" si="31"/>
        <v>100,1,2</v>
      </c>
      <c r="H308" s="17" t="s">
        <v>31</v>
      </c>
      <c r="I308" s="17" t="s">
        <v>31</v>
      </c>
      <c r="K308" s="9">
        <v>4</v>
      </c>
      <c r="L308" s="9">
        <v>0</v>
      </c>
      <c r="M308" s="9">
        <v>0</v>
      </c>
      <c r="N308" s="9">
        <v>0</v>
      </c>
      <c r="O308" s="9">
        <v>100</v>
      </c>
      <c r="P308" s="9">
        <v>7</v>
      </c>
      <c r="Q308" s="9">
        <v>64</v>
      </c>
      <c r="R308" s="9">
        <v>0</v>
      </c>
      <c r="S308" s="9">
        <v>0</v>
      </c>
      <c r="T308" s="9">
        <v>1</v>
      </c>
      <c r="U308" s="9">
        <v>18</v>
      </c>
      <c r="V308" s="9">
        <v>0</v>
      </c>
      <c r="W308" s="9">
        <v>0</v>
      </c>
      <c r="X308" s="9">
        <v>0</v>
      </c>
      <c r="Y308" s="9">
        <v>2</v>
      </c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</row>
    <row r="309" spans="1:35" ht="13.5" customHeight="1">
      <c r="A309" s="18">
        <v>313</v>
      </c>
      <c r="B309" s="17">
        <v>30545</v>
      </c>
      <c r="C309" s="24" t="str">
        <f t="shared" si="27"/>
        <v>4,7</v>
      </c>
      <c r="D309" s="24" t="str">
        <f t="shared" si="28"/>
        <v>0,61</v>
      </c>
      <c r="E309" s="24" t="str">
        <f t="shared" si="29"/>
        <v>0,0</v>
      </c>
      <c r="F309" s="24" t="str">
        <f t="shared" si="30"/>
        <v>0,0</v>
      </c>
      <c r="G309" s="17" t="str">
        <f t="shared" si="31"/>
        <v>100,1</v>
      </c>
      <c r="H309" s="17" t="s">
        <v>31</v>
      </c>
      <c r="I309" s="17" t="s">
        <v>31</v>
      </c>
      <c r="K309" s="9">
        <v>4</v>
      </c>
      <c r="L309" s="9">
        <v>0</v>
      </c>
      <c r="M309" s="9">
        <v>0</v>
      </c>
      <c r="N309" s="9">
        <v>0</v>
      </c>
      <c r="O309" s="9">
        <v>100</v>
      </c>
      <c r="P309" s="9">
        <v>7</v>
      </c>
      <c r="Q309" s="9">
        <v>61</v>
      </c>
      <c r="R309" s="9">
        <v>0</v>
      </c>
      <c r="S309" s="9">
        <v>0</v>
      </c>
      <c r="T309" s="9">
        <v>1</v>
      </c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</row>
    <row r="310" spans="1:35" ht="13.5" customHeight="1">
      <c r="A310" s="18">
        <v>314</v>
      </c>
      <c r="B310" s="17">
        <v>30550</v>
      </c>
      <c r="C310" s="24" t="str">
        <f t="shared" si="27"/>
        <v>4,6,18</v>
      </c>
      <c r="D310" s="24" t="str">
        <f t="shared" si="28"/>
        <v>0,1,0</v>
      </c>
      <c r="E310" s="24" t="str">
        <f t="shared" si="29"/>
        <v>0,0,0</v>
      </c>
      <c r="F310" s="24" t="str">
        <f t="shared" si="30"/>
        <v>0,5,0</v>
      </c>
      <c r="G310" s="17" t="str">
        <f t="shared" si="31"/>
        <v>200,50,2</v>
      </c>
      <c r="H310" s="17" t="s">
        <v>31</v>
      </c>
      <c r="I310" s="17" t="s">
        <v>31</v>
      </c>
      <c r="K310" s="9">
        <v>4</v>
      </c>
      <c r="L310" s="9">
        <v>0</v>
      </c>
      <c r="M310" s="9">
        <v>0</v>
      </c>
      <c r="N310" s="9">
        <v>0</v>
      </c>
      <c r="O310" s="9">
        <v>200</v>
      </c>
      <c r="P310" s="9">
        <v>6</v>
      </c>
      <c r="Q310" s="9">
        <v>1</v>
      </c>
      <c r="R310" s="9">
        <v>0</v>
      </c>
      <c r="S310" s="9">
        <v>5</v>
      </c>
      <c r="T310" s="9">
        <v>50</v>
      </c>
      <c r="U310" s="9">
        <v>18</v>
      </c>
      <c r="V310" s="9">
        <v>0</v>
      </c>
      <c r="W310" s="9">
        <v>0</v>
      </c>
      <c r="X310" s="9">
        <v>0</v>
      </c>
      <c r="Y310" s="9">
        <v>2</v>
      </c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</row>
    <row r="311" spans="1:35" ht="13.5" customHeight="1">
      <c r="A311" s="18">
        <v>315</v>
      </c>
      <c r="B311" s="17">
        <v>30605</v>
      </c>
      <c r="C311" s="24" t="str">
        <f t="shared" si="27"/>
        <v>4,7</v>
      </c>
      <c r="D311" s="24" t="str">
        <f t="shared" si="28"/>
        <v>0,62</v>
      </c>
      <c r="E311" s="24" t="str">
        <f t="shared" si="29"/>
        <v>0,0</v>
      </c>
      <c r="F311" s="24" t="str">
        <f t="shared" si="30"/>
        <v>0,0</v>
      </c>
      <c r="G311" s="17" t="str">
        <f t="shared" si="31"/>
        <v>100,1</v>
      </c>
      <c r="H311" s="17" t="s">
        <v>31</v>
      </c>
      <c r="I311" s="17" t="s">
        <v>31</v>
      </c>
      <c r="K311" s="9">
        <v>4</v>
      </c>
      <c r="L311" s="9">
        <v>0</v>
      </c>
      <c r="M311" s="9">
        <v>0</v>
      </c>
      <c r="N311" s="9">
        <v>0</v>
      </c>
      <c r="O311" s="9">
        <v>100</v>
      </c>
      <c r="P311" s="9">
        <v>7</v>
      </c>
      <c r="Q311" s="9">
        <v>62</v>
      </c>
      <c r="R311" s="9">
        <v>0</v>
      </c>
      <c r="S311" s="9">
        <v>0</v>
      </c>
      <c r="T311" s="9">
        <v>1</v>
      </c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</row>
    <row r="312" spans="1:35" ht="13.5" customHeight="1">
      <c r="A312" s="18">
        <v>316</v>
      </c>
      <c r="B312" s="17">
        <v>30610</v>
      </c>
      <c r="C312" s="24" t="str">
        <f t="shared" si="27"/>
        <v>4,7,18</v>
      </c>
      <c r="D312" s="24" t="str">
        <f t="shared" si="28"/>
        <v>0,63,0</v>
      </c>
      <c r="E312" s="24" t="str">
        <f t="shared" si="29"/>
        <v>0,0,0</v>
      </c>
      <c r="F312" s="24" t="str">
        <f t="shared" si="30"/>
        <v>0,0,0</v>
      </c>
      <c r="G312" s="17" t="str">
        <f t="shared" si="31"/>
        <v>100,1,2</v>
      </c>
      <c r="H312" s="17" t="s">
        <v>31</v>
      </c>
      <c r="I312" s="17" t="s">
        <v>31</v>
      </c>
      <c r="K312" s="9">
        <v>4</v>
      </c>
      <c r="L312" s="9">
        <v>0</v>
      </c>
      <c r="M312" s="9">
        <v>0</v>
      </c>
      <c r="N312" s="9">
        <v>0</v>
      </c>
      <c r="O312" s="9">
        <v>100</v>
      </c>
      <c r="P312" s="9">
        <v>7</v>
      </c>
      <c r="Q312" s="9">
        <v>63</v>
      </c>
      <c r="R312" s="9">
        <v>0</v>
      </c>
      <c r="S312" s="9">
        <v>0</v>
      </c>
      <c r="T312" s="9">
        <v>1</v>
      </c>
      <c r="U312" s="9">
        <v>18</v>
      </c>
      <c r="V312" s="9">
        <v>0</v>
      </c>
      <c r="W312" s="9">
        <v>0</v>
      </c>
      <c r="X312" s="9">
        <v>0</v>
      </c>
      <c r="Y312" s="9">
        <v>2</v>
      </c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</row>
    <row r="313" spans="1:35" ht="13.5" customHeight="1">
      <c r="A313" s="18">
        <v>317</v>
      </c>
      <c r="B313" s="17">
        <v>30615</v>
      </c>
      <c r="C313" s="24" t="str">
        <f t="shared" si="27"/>
        <v>4,7</v>
      </c>
      <c r="D313" s="24" t="str">
        <f t="shared" si="28"/>
        <v>0,64</v>
      </c>
      <c r="E313" s="24" t="str">
        <f t="shared" si="29"/>
        <v>0,0</v>
      </c>
      <c r="F313" s="24" t="str">
        <f t="shared" si="30"/>
        <v>0,0</v>
      </c>
      <c r="G313" s="17" t="str">
        <f t="shared" si="31"/>
        <v>100,1</v>
      </c>
      <c r="H313" s="17" t="s">
        <v>31</v>
      </c>
      <c r="I313" s="17" t="s">
        <v>31</v>
      </c>
      <c r="K313" s="9">
        <v>4</v>
      </c>
      <c r="L313" s="9">
        <v>0</v>
      </c>
      <c r="M313" s="9">
        <v>0</v>
      </c>
      <c r="N313" s="9">
        <v>0</v>
      </c>
      <c r="O313" s="9">
        <v>100</v>
      </c>
      <c r="P313" s="9">
        <v>7</v>
      </c>
      <c r="Q313" s="9">
        <v>64</v>
      </c>
      <c r="R313" s="9">
        <v>0</v>
      </c>
      <c r="S313" s="9">
        <v>0</v>
      </c>
      <c r="T313" s="9">
        <v>1</v>
      </c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</row>
    <row r="314" spans="1:35" ht="13.5" customHeight="1">
      <c r="A314" s="18">
        <v>318</v>
      </c>
      <c r="B314" s="17">
        <v>30620</v>
      </c>
      <c r="C314" s="24" t="str">
        <f t="shared" si="27"/>
        <v>4,7,18</v>
      </c>
      <c r="D314" s="24" t="str">
        <f t="shared" si="28"/>
        <v>0,61,0</v>
      </c>
      <c r="E314" s="24" t="str">
        <f t="shared" si="29"/>
        <v>0,0,0</v>
      </c>
      <c r="F314" s="24" t="str">
        <f t="shared" si="30"/>
        <v>0,0,0</v>
      </c>
      <c r="G314" s="17" t="str">
        <f t="shared" si="31"/>
        <v>100,1,2</v>
      </c>
      <c r="H314" s="17" t="s">
        <v>31</v>
      </c>
      <c r="I314" s="17" t="s">
        <v>31</v>
      </c>
      <c r="K314" s="9">
        <v>4</v>
      </c>
      <c r="L314" s="9">
        <v>0</v>
      </c>
      <c r="M314" s="9">
        <v>0</v>
      </c>
      <c r="N314" s="9">
        <v>0</v>
      </c>
      <c r="O314" s="9">
        <v>100</v>
      </c>
      <c r="P314" s="9">
        <v>7</v>
      </c>
      <c r="Q314" s="9">
        <v>61</v>
      </c>
      <c r="R314" s="9">
        <v>0</v>
      </c>
      <c r="S314" s="9">
        <v>0</v>
      </c>
      <c r="T314" s="9">
        <v>1</v>
      </c>
      <c r="U314" s="9">
        <v>18</v>
      </c>
      <c r="V314" s="9">
        <v>0</v>
      </c>
      <c r="W314" s="9">
        <v>0</v>
      </c>
      <c r="X314" s="9">
        <v>0</v>
      </c>
      <c r="Y314" s="9">
        <v>2</v>
      </c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</row>
    <row r="315" spans="1:35" ht="13.5" customHeight="1">
      <c r="A315" s="18">
        <v>319</v>
      </c>
      <c r="B315" s="17">
        <v>30625</v>
      </c>
      <c r="C315" s="24" t="str">
        <f t="shared" si="27"/>
        <v>4,7</v>
      </c>
      <c r="D315" s="24" t="str">
        <f t="shared" si="28"/>
        <v>0,62</v>
      </c>
      <c r="E315" s="24" t="str">
        <f t="shared" si="29"/>
        <v>0,0</v>
      </c>
      <c r="F315" s="24" t="str">
        <f t="shared" si="30"/>
        <v>0,0</v>
      </c>
      <c r="G315" s="17" t="str">
        <f t="shared" si="31"/>
        <v>100,1</v>
      </c>
      <c r="H315" s="17" t="s">
        <v>31</v>
      </c>
      <c r="I315" s="17" t="s">
        <v>31</v>
      </c>
      <c r="K315" s="9">
        <v>4</v>
      </c>
      <c r="L315" s="9">
        <v>0</v>
      </c>
      <c r="M315" s="9">
        <v>0</v>
      </c>
      <c r="N315" s="9">
        <v>0</v>
      </c>
      <c r="O315" s="9">
        <v>100</v>
      </c>
      <c r="P315" s="9">
        <v>7</v>
      </c>
      <c r="Q315" s="9">
        <v>62</v>
      </c>
      <c r="R315" s="9">
        <v>0</v>
      </c>
      <c r="S315" s="9">
        <v>0</v>
      </c>
      <c r="T315" s="9">
        <v>1</v>
      </c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</row>
    <row r="316" spans="1:35" ht="13.5" customHeight="1">
      <c r="A316" s="18">
        <v>320</v>
      </c>
      <c r="B316" s="17">
        <v>30630</v>
      </c>
      <c r="C316" s="24" t="str">
        <f t="shared" si="27"/>
        <v>4,7,18</v>
      </c>
      <c r="D316" s="24" t="str">
        <f t="shared" si="28"/>
        <v>0,63,0</v>
      </c>
      <c r="E316" s="24" t="str">
        <f t="shared" si="29"/>
        <v>0,0,0</v>
      </c>
      <c r="F316" s="24" t="str">
        <f t="shared" si="30"/>
        <v>0,0,0</v>
      </c>
      <c r="G316" s="17" t="str">
        <f t="shared" si="31"/>
        <v>100,1,2</v>
      </c>
      <c r="H316" s="17" t="s">
        <v>31</v>
      </c>
      <c r="I316" s="17" t="s">
        <v>31</v>
      </c>
      <c r="K316" s="9">
        <v>4</v>
      </c>
      <c r="L316" s="9">
        <v>0</v>
      </c>
      <c r="M316" s="9">
        <v>0</v>
      </c>
      <c r="N316" s="9">
        <v>0</v>
      </c>
      <c r="O316" s="9">
        <v>100</v>
      </c>
      <c r="P316" s="9">
        <v>7</v>
      </c>
      <c r="Q316" s="9">
        <v>63</v>
      </c>
      <c r="R316" s="9">
        <v>0</v>
      </c>
      <c r="S316" s="9">
        <v>0</v>
      </c>
      <c r="T316" s="9">
        <v>1</v>
      </c>
      <c r="U316" s="9">
        <v>18</v>
      </c>
      <c r="V316" s="9">
        <v>0</v>
      </c>
      <c r="W316" s="9">
        <v>0</v>
      </c>
      <c r="X316" s="9">
        <v>0</v>
      </c>
      <c r="Y316" s="9">
        <v>2</v>
      </c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</row>
    <row r="317" spans="1:35" ht="13.5" customHeight="1">
      <c r="A317" s="18">
        <v>321</v>
      </c>
      <c r="B317" s="17">
        <v>30635</v>
      </c>
      <c r="C317" s="24" t="str">
        <f t="shared" si="27"/>
        <v>4,7</v>
      </c>
      <c r="D317" s="24" t="str">
        <f t="shared" si="28"/>
        <v>0,64</v>
      </c>
      <c r="E317" s="24" t="str">
        <f t="shared" si="29"/>
        <v>0,0</v>
      </c>
      <c r="F317" s="24" t="str">
        <f t="shared" si="30"/>
        <v>0,0</v>
      </c>
      <c r="G317" s="17" t="str">
        <f t="shared" si="31"/>
        <v>100,1</v>
      </c>
      <c r="H317" s="17" t="s">
        <v>31</v>
      </c>
      <c r="I317" s="17" t="s">
        <v>31</v>
      </c>
      <c r="K317" s="9">
        <v>4</v>
      </c>
      <c r="L317" s="9">
        <v>0</v>
      </c>
      <c r="M317" s="9">
        <v>0</v>
      </c>
      <c r="N317" s="9">
        <v>0</v>
      </c>
      <c r="O317" s="9">
        <v>100</v>
      </c>
      <c r="P317" s="9">
        <v>7</v>
      </c>
      <c r="Q317" s="9">
        <v>64</v>
      </c>
      <c r="R317" s="9">
        <v>0</v>
      </c>
      <c r="S317" s="9">
        <v>0</v>
      </c>
      <c r="T317" s="9">
        <v>1</v>
      </c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</row>
    <row r="318" spans="1:35" ht="13.5" customHeight="1">
      <c r="A318" s="18">
        <v>322</v>
      </c>
      <c r="B318" s="17">
        <v>30640</v>
      </c>
      <c r="C318" s="24" t="str">
        <f t="shared" si="27"/>
        <v>4,7,18</v>
      </c>
      <c r="D318" s="24" t="str">
        <f t="shared" si="28"/>
        <v>0,61,0</v>
      </c>
      <c r="E318" s="24" t="str">
        <f t="shared" si="29"/>
        <v>0,0,0</v>
      </c>
      <c r="F318" s="24" t="str">
        <f t="shared" si="30"/>
        <v>0,0,0</v>
      </c>
      <c r="G318" s="17" t="str">
        <f t="shared" si="31"/>
        <v>100,1,2</v>
      </c>
      <c r="H318" s="17" t="s">
        <v>31</v>
      </c>
      <c r="I318" s="17" t="s">
        <v>31</v>
      </c>
      <c r="K318" s="9">
        <v>4</v>
      </c>
      <c r="L318" s="9">
        <v>0</v>
      </c>
      <c r="M318" s="9">
        <v>0</v>
      </c>
      <c r="N318" s="9">
        <v>0</v>
      </c>
      <c r="O318" s="9">
        <v>100</v>
      </c>
      <c r="P318" s="9">
        <v>7</v>
      </c>
      <c r="Q318" s="9">
        <v>61</v>
      </c>
      <c r="R318" s="9">
        <v>0</v>
      </c>
      <c r="S318" s="9">
        <v>0</v>
      </c>
      <c r="T318" s="9">
        <v>1</v>
      </c>
      <c r="U318" s="9">
        <v>18</v>
      </c>
      <c r="V318" s="9">
        <v>0</v>
      </c>
      <c r="W318" s="9">
        <v>0</v>
      </c>
      <c r="X318" s="9">
        <v>0</v>
      </c>
      <c r="Y318" s="9">
        <v>2</v>
      </c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</row>
    <row r="319" spans="1:35" ht="13.5" customHeight="1">
      <c r="A319" s="18">
        <v>323</v>
      </c>
      <c r="B319" s="17">
        <v>30645</v>
      </c>
      <c r="C319" s="24" t="str">
        <f t="shared" si="27"/>
        <v>4,7</v>
      </c>
      <c r="D319" s="24" t="str">
        <f t="shared" si="28"/>
        <v>0,62</v>
      </c>
      <c r="E319" s="24" t="str">
        <f t="shared" si="29"/>
        <v>0,0</v>
      </c>
      <c r="F319" s="24" t="str">
        <f t="shared" si="30"/>
        <v>0,0</v>
      </c>
      <c r="G319" s="17" t="str">
        <f t="shared" si="31"/>
        <v>100,1</v>
      </c>
      <c r="H319" s="17" t="s">
        <v>31</v>
      </c>
      <c r="I319" s="17" t="s">
        <v>31</v>
      </c>
      <c r="K319" s="9">
        <v>4</v>
      </c>
      <c r="L319" s="9">
        <v>0</v>
      </c>
      <c r="M319" s="9">
        <v>0</v>
      </c>
      <c r="N319" s="9">
        <v>0</v>
      </c>
      <c r="O319" s="9">
        <v>100</v>
      </c>
      <c r="P319" s="9">
        <v>7</v>
      </c>
      <c r="Q319" s="9">
        <v>62</v>
      </c>
      <c r="R319" s="9">
        <v>0</v>
      </c>
      <c r="S319" s="9">
        <v>0</v>
      </c>
      <c r="T319" s="9">
        <v>1</v>
      </c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</row>
    <row r="320" spans="1:35" ht="13.5" customHeight="1">
      <c r="A320" s="18">
        <v>324</v>
      </c>
      <c r="B320" s="17">
        <v>30650</v>
      </c>
      <c r="C320" s="24" t="str">
        <f t="shared" si="27"/>
        <v>4,6,18</v>
      </c>
      <c r="D320" s="24" t="str">
        <f t="shared" si="28"/>
        <v>0,1,0</v>
      </c>
      <c r="E320" s="24" t="str">
        <f t="shared" si="29"/>
        <v>0,0,0</v>
      </c>
      <c r="F320" s="24" t="str">
        <f t="shared" si="30"/>
        <v>0,5,0</v>
      </c>
      <c r="G320" s="17" t="str">
        <f t="shared" si="31"/>
        <v>200,50,2</v>
      </c>
      <c r="H320" s="17" t="s">
        <v>31</v>
      </c>
      <c r="I320" s="17" t="s">
        <v>31</v>
      </c>
      <c r="K320" s="9">
        <v>4</v>
      </c>
      <c r="L320" s="9">
        <v>0</v>
      </c>
      <c r="M320" s="9">
        <v>0</v>
      </c>
      <c r="N320" s="9">
        <v>0</v>
      </c>
      <c r="O320" s="9">
        <v>200</v>
      </c>
      <c r="P320" s="9">
        <v>6</v>
      </c>
      <c r="Q320" s="9">
        <v>1</v>
      </c>
      <c r="R320" s="9">
        <v>0</v>
      </c>
      <c r="S320" s="9">
        <v>5</v>
      </c>
      <c r="T320" s="9">
        <v>50</v>
      </c>
      <c r="U320" s="9">
        <v>18</v>
      </c>
      <c r="V320" s="9">
        <v>0</v>
      </c>
      <c r="W320" s="9">
        <v>0</v>
      </c>
      <c r="X320" s="9">
        <v>0</v>
      </c>
      <c r="Y320" s="9">
        <v>2</v>
      </c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</row>
    <row r="321" spans="1:35" ht="13.5" customHeight="1">
      <c r="A321" s="18">
        <v>325</v>
      </c>
      <c r="B321" s="17">
        <v>30705</v>
      </c>
      <c r="C321" s="24" t="str">
        <f t="shared" si="27"/>
        <v>4,7</v>
      </c>
      <c r="D321" s="24" t="str">
        <f t="shared" si="28"/>
        <v>0,63</v>
      </c>
      <c r="E321" s="24" t="str">
        <f t="shared" si="29"/>
        <v>0,0</v>
      </c>
      <c r="F321" s="24" t="str">
        <f t="shared" si="30"/>
        <v>0,0</v>
      </c>
      <c r="G321" s="17" t="str">
        <f t="shared" si="31"/>
        <v>100,1</v>
      </c>
      <c r="H321" s="17" t="s">
        <v>31</v>
      </c>
      <c r="I321" s="17" t="s">
        <v>31</v>
      </c>
      <c r="K321" s="9">
        <v>4</v>
      </c>
      <c r="L321" s="9">
        <v>0</v>
      </c>
      <c r="M321" s="9">
        <v>0</v>
      </c>
      <c r="N321" s="9">
        <v>0</v>
      </c>
      <c r="O321" s="9">
        <v>100</v>
      </c>
      <c r="P321" s="9">
        <v>7</v>
      </c>
      <c r="Q321" s="9">
        <v>63</v>
      </c>
      <c r="R321" s="9">
        <v>0</v>
      </c>
      <c r="S321" s="9">
        <v>0</v>
      </c>
      <c r="T321" s="9">
        <v>1</v>
      </c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</row>
    <row r="322" spans="1:35" ht="13.5" customHeight="1">
      <c r="A322" s="18">
        <v>326</v>
      </c>
      <c r="B322" s="17">
        <v>30710</v>
      </c>
      <c r="C322" s="24" t="str">
        <f t="shared" si="27"/>
        <v>4,7,18</v>
      </c>
      <c r="D322" s="24" t="str">
        <f t="shared" si="28"/>
        <v>0,64,0</v>
      </c>
      <c r="E322" s="24" t="str">
        <f t="shared" si="29"/>
        <v>0,0,0</v>
      </c>
      <c r="F322" s="24" t="str">
        <f t="shared" si="30"/>
        <v>0,0,0</v>
      </c>
      <c r="G322" s="17" t="str">
        <f t="shared" si="31"/>
        <v>100,1,2</v>
      </c>
      <c r="H322" s="17" t="s">
        <v>31</v>
      </c>
      <c r="I322" s="17" t="s">
        <v>31</v>
      </c>
      <c r="K322" s="9">
        <v>4</v>
      </c>
      <c r="L322" s="9">
        <v>0</v>
      </c>
      <c r="M322" s="9">
        <v>0</v>
      </c>
      <c r="N322" s="9">
        <v>0</v>
      </c>
      <c r="O322" s="9">
        <v>100</v>
      </c>
      <c r="P322" s="9">
        <v>7</v>
      </c>
      <c r="Q322" s="9">
        <v>64</v>
      </c>
      <c r="R322" s="9">
        <v>0</v>
      </c>
      <c r="S322" s="9">
        <v>0</v>
      </c>
      <c r="T322" s="9">
        <v>1</v>
      </c>
      <c r="U322" s="9">
        <v>18</v>
      </c>
      <c r="V322" s="9">
        <v>0</v>
      </c>
      <c r="W322" s="9">
        <v>0</v>
      </c>
      <c r="X322" s="9">
        <v>0</v>
      </c>
      <c r="Y322" s="9">
        <v>2</v>
      </c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</row>
    <row r="323" spans="1:35" ht="13.5" customHeight="1">
      <c r="A323" s="18">
        <v>327</v>
      </c>
      <c r="B323" s="17">
        <v>30715</v>
      </c>
      <c r="C323" s="24" t="str">
        <f t="shared" si="27"/>
        <v>4,7</v>
      </c>
      <c r="D323" s="24" t="str">
        <f t="shared" si="28"/>
        <v>0,61</v>
      </c>
      <c r="E323" s="24" t="str">
        <f t="shared" si="29"/>
        <v>0,0</v>
      </c>
      <c r="F323" s="24" t="str">
        <f t="shared" si="30"/>
        <v>0,0</v>
      </c>
      <c r="G323" s="17" t="str">
        <f t="shared" si="31"/>
        <v>100,1</v>
      </c>
      <c r="H323" s="17" t="s">
        <v>31</v>
      </c>
      <c r="I323" s="17" t="s">
        <v>31</v>
      </c>
      <c r="K323" s="9">
        <v>4</v>
      </c>
      <c r="L323" s="9">
        <v>0</v>
      </c>
      <c r="M323" s="9">
        <v>0</v>
      </c>
      <c r="N323" s="9">
        <v>0</v>
      </c>
      <c r="O323" s="9">
        <v>100</v>
      </c>
      <c r="P323" s="9">
        <v>7</v>
      </c>
      <c r="Q323" s="9">
        <v>61</v>
      </c>
      <c r="R323" s="9">
        <v>0</v>
      </c>
      <c r="S323" s="9">
        <v>0</v>
      </c>
      <c r="T323" s="9">
        <v>1</v>
      </c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</row>
    <row r="324" spans="1:35" ht="13.5" customHeight="1">
      <c r="A324" s="18">
        <v>328</v>
      </c>
      <c r="B324" s="17">
        <v>30720</v>
      </c>
      <c r="C324" s="24" t="str">
        <f t="shared" ref="C324:C360" si="32">IF(AND(U324="",K324&lt;&gt;"",P324&lt;&gt;""),K324&amp;","&amp;P324,IF(AND(U324="",P324="",K324&lt;&gt;""),K324,IF(AND(U324="",P324="",K324=""),"",K324&amp;","&amp;P324&amp;","&amp;U324)))</f>
        <v>4,7,18</v>
      </c>
      <c r="D324" s="24" t="str">
        <f t="shared" ref="D324:D360" si="33">IF(AND(V324="",L324&lt;&gt;"",Q324&lt;&gt;""),L324&amp;","&amp;Q324,IF(AND(V324="",Q324="",L324&lt;&gt;""),L324,IF(AND(V324="",Q324="",L324=""),"",L324&amp;","&amp;Q324&amp;","&amp;V324)))</f>
        <v>0,62,0</v>
      </c>
      <c r="E324" s="24" t="str">
        <f t="shared" ref="E324:E360" si="34">IF(AND(W324="",M324&lt;&gt;"",R324&lt;&gt;""),M324&amp;","&amp;R324,IF(AND(W324="",R324="",M324&lt;&gt;""),M324,IF(AND(W324="",R324="",M324=""),"",M324&amp;","&amp;R324&amp;","&amp;W324)))</f>
        <v>0,0,0</v>
      </c>
      <c r="F324" s="24" t="str">
        <f t="shared" ref="F324:F360" si="35">IF(AND(X324="",N324&lt;&gt;"",S324&lt;&gt;""),N324&amp;","&amp;S324,IF(AND(X324="",S324="",N324&lt;&gt;""),N324,IF(AND(X324="",S324="",N324=""),"",N324&amp;","&amp;S324&amp;","&amp;X324)))</f>
        <v>0,0,0</v>
      </c>
      <c r="G324" s="17" t="str">
        <f t="shared" ref="G324:G360" si="36">IF(AND(Y324="",O324&lt;&gt;"",T324&lt;&gt;""),O324&amp;","&amp;T324,IF(AND(Y324="",T324="",O324&lt;&gt;""),O324,IF(AND(Y324="",T324="",O324=""),"",O324&amp;","&amp;T324&amp;","&amp;Y324)))</f>
        <v>100,1,2</v>
      </c>
      <c r="H324" s="17" t="s">
        <v>31</v>
      </c>
      <c r="I324" s="17" t="s">
        <v>31</v>
      </c>
      <c r="K324" s="9">
        <v>4</v>
      </c>
      <c r="L324" s="9">
        <v>0</v>
      </c>
      <c r="M324" s="9">
        <v>0</v>
      </c>
      <c r="N324" s="9">
        <v>0</v>
      </c>
      <c r="O324" s="9">
        <v>100</v>
      </c>
      <c r="P324" s="9">
        <v>7</v>
      </c>
      <c r="Q324" s="9">
        <v>62</v>
      </c>
      <c r="R324" s="9">
        <v>0</v>
      </c>
      <c r="S324" s="9">
        <v>0</v>
      </c>
      <c r="T324" s="9">
        <v>1</v>
      </c>
      <c r="U324" s="9">
        <v>18</v>
      </c>
      <c r="V324" s="9">
        <v>0</v>
      </c>
      <c r="W324" s="9">
        <v>0</v>
      </c>
      <c r="X324" s="9">
        <v>0</v>
      </c>
      <c r="Y324" s="9">
        <v>2</v>
      </c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</row>
    <row r="325" spans="1:35" ht="13.5" customHeight="1">
      <c r="A325" s="18">
        <v>329</v>
      </c>
      <c r="B325" s="17">
        <v>30725</v>
      </c>
      <c r="C325" s="24" t="str">
        <f t="shared" si="32"/>
        <v>4,7</v>
      </c>
      <c r="D325" s="24" t="str">
        <f t="shared" si="33"/>
        <v>0,63</v>
      </c>
      <c r="E325" s="24" t="str">
        <f t="shared" si="34"/>
        <v>0,0</v>
      </c>
      <c r="F325" s="24" t="str">
        <f t="shared" si="35"/>
        <v>0,0</v>
      </c>
      <c r="G325" s="17" t="str">
        <f t="shared" si="36"/>
        <v>100,1</v>
      </c>
      <c r="H325" s="17" t="s">
        <v>31</v>
      </c>
      <c r="I325" s="17" t="s">
        <v>31</v>
      </c>
      <c r="K325" s="9">
        <v>4</v>
      </c>
      <c r="L325" s="9">
        <v>0</v>
      </c>
      <c r="M325" s="9">
        <v>0</v>
      </c>
      <c r="N325" s="9">
        <v>0</v>
      </c>
      <c r="O325" s="9">
        <v>100</v>
      </c>
      <c r="P325" s="9">
        <v>7</v>
      </c>
      <c r="Q325" s="9">
        <v>63</v>
      </c>
      <c r="R325" s="9">
        <v>0</v>
      </c>
      <c r="S325" s="9">
        <v>0</v>
      </c>
      <c r="T325" s="9">
        <v>1</v>
      </c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</row>
    <row r="326" spans="1:35" ht="13.5" customHeight="1">
      <c r="A326" s="18">
        <v>330</v>
      </c>
      <c r="B326" s="17">
        <v>30730</v>
      </c>
      <c r="C326" s="24" t="str">
        <f t="shared" si="32"/>
        <v>4,7,18</v>
      </c>
      <c r="D326" s="24" t="str">
        <f t="shared" si="33"/>
        <v>0,64,0</v>
      </c>
      <c r="E326" s="24" t="str">
        <f t="shared" si="34"/>
        <v>0,0,0</v>
      </c>
      <c r="F326" s="24" t="str">
        <f t="shared" si="35"/>
        <v>0,0,0</v>
      </c>
      <c r="G326" s="17" t="str">
        <f t="shared" si="36"/>
        <v>100,1,2</v>
      </c>
      <c r="H326" s="17" t="s">
        <v>31</v>
      </c>
      <c r="I326" s="17" t="s">
        <v>31</v>
      </c>
      <c r="K326" s="9">
        <v>4</v>
      </c>
      <c r="L326" s="9">
        <v>0</v>
      </c>
      <c r="M326" s="9">
        <v>0</v>
      </c>
      <c r="N326" s="9">
        <v>0</v>
      </c>
      <c r="O326" s="9">
        <v>100</v>
      </c>
      <c r="P326" s="9">
        <v>7</v>
      </c>
      <c r="Q326" s="9">
        <v>64</v>
      </c>
      <c r="R326" s="9">
        <v>0</v>
      </c>
      <c r="S326" s="9">
        <v>0</v>
      </c>
      <c r="T326" s="9">
        <v>1</v>
      </c>
      <c r="U326" s="9">
        <v>18</v>
      </c>
      <c r="V326" s="9">
        <v>0</v>
      </c>
      <c r="W326" s="9">
        <v>0</v>
      </c>
      <c r="X326" s="9">
        <v>0</v>
      </c>
      <c r="Y326" s="9">
        <v>2</v>
      </c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</row>
    <row r="327" spans="1:35" ht="13.5" customHeight="1">
      <c r="A327" s="18">
        <v>331</v>
      </c>
      <c r="B327" s="17">
        <v>30735</v>
      </c>
      <c r="C327" s="24" t="str">
        <f t="shared" si="32"/>
        <v>4,7</v>
      </c>
      <c r="D327" s="24" t="str">
        <f t="shared" si="33"/>
        <v>0,61</v>
      </c>
      <c r="E327" s="24" t="str">
        <f t="shared" si="34"/>
        <v>0,0</v>
      </c>
      <c r="F327" s="24" t="str">
        <f t="shared" si="35"/>
        <v>0,0</v>
      </c>
      <c r="G327" s="17" t="str">
        <f t="shared" si="36"/>
        <v>100,1</v>
      </c>
      <c r="H327" s="17" t="s">
        <v>31</v>
      </c>
      <c r="I327" s="17" t="s">
        <v>31</v>
      </c>
      <c r="K327" s="9">
        <v>4</v>
      </c>
      <c r="L327" s="9">
        <v>0</v>
      </c>
      <c r="M327" s="9">
        <v>0</v>
      </c>
      <c r="N327" s="9">
        <v>0</v>
      </c>
      <c r="O327" s="9">
        <v>100</v>
      </c>
      <c r="P327" s="9">
        <v>7</v>
      </c>
      <c r="Q327" s="9">
        <v>61</v>
      </c>
      <c r="R327" s="9">
        <v>0</v>
      </c>
      <c r="S327" s="9">
        <v>0</v>
      </c>
      <c r="T327" s="9">
        <v>1</v>
      </c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</row>
    <row r="328" spans="1:35" ht="13.5" customHeight="1">
      <c r="A328" s="18">
        <v>332</v>
      </c>
      <c r="B328" s="17">
        <v>30740</v>
      </c>
      <c r="C328" s="24" t="str">
        <f t="shared" si="32"/>
        <v>4,7,18</v>
      </c>
      <c r="D328" s="24" t="str">
        <f t="shared" si="33"/>
        <v>0,62,0</v>
      </c>
      <c r="E328" s="24" t="str">
        <f t="shared" si="34"/>
        <v>0,0,0</v>
      </c>
      <c r="F328" s="24" t="str">
        <f t="shared" si="35"/>
        <v>0,0,0</v>
      </c>
      <c r="G328" s="17" t="str">
        <f t="shared" si="36"/>
        <v>100,1,2</v>
      </c>
      <c r="H328" s="17" t="s">
        <v>31</v>
      </c>
      <c r="I328" s="17" t="s">
        <v>31</v>
      </c>
      <c r="K328" s="9">
        <v>4</v>
      </c>
      <c r="L328" s="9">
        <v>0</v>
      </c>
      <c r="M328" s="9">
        <v>0</v>
      </c>
      <c r="N328" s="9">
        <v>0</v>
      </c>
      <c r="O328" s="9">
        <v>100</v>
      </c>
      <c r="P328" s="9">
        <v>7</v>
      </c>
      <c r="Q328" s="9">
        <v>62</v>
      </c>
      <c r="R328" s="9">
        <v>0</v>
      </c>
      <c r="S328" s="9">
        <v>0</v>
      </c>
      <c r="T328" s="9">
        <v>1</v>
      </c>
      <c r="U328" s="9">
        <v>18</v>
      </c>
      <c r="V328" s="9">
        <v>0</v>
      </c>
      <c r="W328" s="9">
        <v>0</v>
      </c>
      <c r="X328" s="9">
        <v>0</v>
      </c>
      <c r="Y328" s="9">
        <v>2</v>
      </c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</row>
    <row r="329" spans="1:35" ht="13.5" customHeight="1">
      <c r="A329" s="18">
        <v>333</v>
      </c>
      <c r="B329" s="17">
        <v>30745</v>
      </c>
      <c r="C329" s="24" t="str">
        <f t="shared" si="32"/>
        <v>4,7</v>
      </c>
      <c r="D329" s="24" t="str">
        <f t="shared" si="33"/>
        <v>0,63</v>
      </c>
      <c r="E329" s="24" t="str">
        <f t="shared" si="34"/>
        <v>0,0</v>
      </c>
      <c r="F329" s="24" t="str">
        <f t="shared" si="35"/>
        <v>0,0</v>
      </c>
      <c r="G329" s="17" t="str">
        <f t="shared" si="36"/>
        <v>100,1</v>
      </c>
      <c r="H329" s="17" t="s">
        <v>31</v>
      </c>
      <c r="I329" s="17" t="s">
        <v>31</v>
      </c>
      <c r="K329" s="9">
        <v>4</v>
      </c>
      <c r="L329" s="9">
        <v>0</v>
      </c>
      <c r="M329" s="9">
        <v>0</v>
      </c>
      <c r="N329" s="9">
        <v>0</v>
      </c>
      <c r="O329" s="9">
        <v>100</v>
      </c>
      <c r="P329" s="9">
        <v>7</v>
      </c>
      <c r="Q329" s="9">
        <v>63</v>
      </c>
      <c r="R329" s="9">
        <v>0</v>
      </c>
      <c r="S329" s="9">
        <v>0</v>
      </c>
      <c r="T329" s="9">
        <v>1</v>
      </c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</row>
    <row r="330" spans="1:35" ht="13.5" customHeight="1">
      <c r="A330" s="18">
        <v>334</v>
      </c>
      <c r="B330" s="17">
        <v>30750</v>
      </c>
      <c r="C330" s="24" t="str">
        <f t="shared" si="32"/>
        <v>4,6,18</v>
      </c>
      <c r="D330" s="24" t="str">
        <f t="shared" si="33"/>
        <v>0,1,0</v>
      </c>
      <c r="E330" s="24" t="str">
        <f t="shared" si="34"/>
        <v>0,0,0</v>
      </c>
      <c r="F330" s="24" t="str">
        <f t="shared" si="35"/>
        <v>0,5,0</v>
      </c>
      <c r="G330" s="17" t="str">
        <f t="shared" si="36"/>
        <v>200,50,2</v>
      </c>
      <c r="H330" s="17" t="s">
        <v>31</v>
      </c>
      <c r="I330" s="17" t="s">
        <v>31</v>
      </c>
      <c r="K330" s="9">
        <v>4</v>
      </c>
      <c r="L330" s="9">
        <v>0</v>
      </c>
      <c r="M330" s="9">
        <v>0</v>
      </c>
      <c r="N330" s="9">
        <v>0</v>
      </c>
      <c r="O330" s="9">
        <v>200</v>
      </c>
      <c r="P330" s="9">
        <v>6</v>
      </c>
      <c r="Q330" s="9">
        <v>1</v>
      </c>
      <c r="R330" s="9">
        <v>0</v>
      </c>
      <c r="S330" s="9">
        <v>5</v>
      </c>
      <c r="T330" s="9">
        <v>50</v>
      </c>
      <c r="U330" s="9">
        <v>18</v>
      </c>
      <c r="V330" s="9">
        <v>0</v>
      </c>
      <c r="W330" s="9">
        <v>0</v>
      </c>
      <c r="X330" s="9">
        <v>0</v>
      </c>
      <c r="Y330" s="9">
        <v>2</v>
      </c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</row>
    <row r="331" spans="1:35" ht="13.5" customHeight="1">
      <c r="A331" s="18">
        <v>335</v>
      </c>
      <c r="B331" s="17">
        <v>30805</v>
      </c>
      <c r="C331" s="24" t="str">
        <f t="shared" si="32"/>
        <v>4,7</v>
      </c>
      <c r="D331" s="24" t="str">
        <f t="shared" si="33"/>
        <v>0,64</v>
      </c>
      <c r="E331" s="24" t="str">
        <f t="shared" si="34"/>
        <v>0,0</v>
      </c>
      <c r="F331" s="24" t="str">
        <f t="shared" si="35"/>
        <v>0,0</v>
      </c>
      <c r="G331" s="17" t="str">
        <f t="shared" si="36"/>
        <v>100,1</v>
      </c>
      <c r="H331" s="17" t="s">
        <v>31</v>
      </c>
      <c r="I331" s="17" t="s">
        <v>31</v>
      </c>
      <c r="K331" s="9">
        <v>4</v>
      </c>
      <c r="L331" s="9">
        <v>0</v>
      </c>
      <c r="M331" s="9">
        <v>0</v>
      </c>
      <c r="N331" s="9">
        <v>0</v>
      </c>
      <c r="O331" s="9">
        <v>100</v>
      </c>
      <c r="P331" s="9">
        <v>7</v>
      </c>
      <c r="Q331" s="9">
        <v>64</v>
      </c>
      <c r="R331" s="9">
        <v>0</v>
      </c>
      <c r="S331" s="9">
        <v>0</v>
      </c>
      <c r="T331" s="9">
        <v>1</v>
      </c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</row>
    <row r="332" spans="1:35" ht="13.5" customHeight="1">
      <c r="A332" s="18">
        <v>336</v>
      </c>
      <c r="B332" s="17">
        <v>30810</v>
      </c>
      <c r="C332" s="24" t="str">
        <f t="shared" si="32"/>
        <v>4,7,18</v>
      </c>
      <c r="D332" s="24" t="str">
        <f t="shared" si="33"/>
        <v>0,61,0</v>
      </c>
      <c r="E332" s="24" t="str">
        <f t="shared" si="34"/>
        <v>0,0,0</v>
      </c>
      <c r="F332" s="24" t="str">
        <f t="shared" si="35"/>
        <v>0,0,0</v>
      </c>
      <c r="G332" s="17" t="str">
        <f t="shared" si="36"/>
        <v>100,1,2</v>
      </c>
      <c r="H332" s="17" t="s">
        <v>31</v>
      </c>
      <c r="I332" s="17" t="s">
        <v>31</v>
      </c>
      <c r="K332" s="9">
        <v>4</v>
      </c>
      <c r="L332" s="9">
        <v>0</v>
      </c>
      <c r="M332" s="9">
        <v>0</v>
      </c>
      <c r="N332" s="9">
        <v>0</v>
      </c>
      <c r="O332" s="9">
        <v>100</v>
      </c>
      <c r="P332" s="9">
        <v>7</v>
      </c>
      <c r="Q332" s="9">
        <v>61</v>
      </c>
      <c r="R332" s="9">
        <v>0</v>
      </c>
      <c r="S332" s="9">
        <v>0</v>
      </c>
      <c r="T332" s="9">
        <v>1</v>
      </c>
      <c r="U332" s="9">
        <v>18</v>
      </c>
      <c r="V332" s="9">
        <v>0</v>
      </c>
      <c r="W332" s="9">
        <v>0</v>
      </c>
      <c r="X332" s="9">
        <v>0</v>
      </c>
      <c r="Y332" s="9">
        <v>2</v>
      </c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</row>
    <row r="333" spans="1:35" ht="13.5" customHeight="1">
      <c r="A333" s="18">
        <v>337</v>
      </c>
      <c r="B333" s="17">
        <v>30815</v>
      </c>
      <c r="C333" s="24" t="str">
        <f t="shared" si="32"/>
        <v>4,7</v>
      </c>
      <c r="D333" s="24" t="str">
        <f t="shared" si="33"/>
        <v>0,62</v>
      </c>
      <c r="E333" s="24" t="str">
        <f t="shared" si="34"/>
        <v>0,0</v>
      </c>
      <c r="F333" s="24" t="str">
        <f t="shared" si="35"/>
        <v>0,0</v>
      </c>
      <c r="G333" s="17" t="str">
        <f t="shared" si="36"/>
        <v>100,1</v>
      </c>
      <c r="H333" s="17" t="s">
        <v>31</v>
      </c>
      <c r="I333" s="17" t="s">
        <v>31</v>
      </c>
      <c r="K333" s="9">
        <v>4</v>
      </c>
      <c r="L333" s="9">
        <v>0</v>
      </c>
      <c r="M333" s="9">
        <v>0</v>
      </c>
      <c r="N333" s="9">
        <v>0</v>
      </c>
      <c r="O333" s="9">
        <v>100</v>
      </c>
      <c r="P333" s="9">
        <v>7</v>
      </c>
      <c r="Q333" s="9">
        <v>62</v>
      </c>
      <c r="R333" s="9">
        <v>0</v>
      </c>
      <c r="S333" s="9">
        <v>0</v>
      </c>
      <c r="T333" s="9">
        <v>1</v>
      </c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</row>
    <row r="334" spans="1:35" ht="13.5" customHeight="1">
      <c r="A334" s="18">
        <v>338</v>
      </c>
      <c r="B334" s="17">
        <v>30820</v>
      </c>
      <c r="C334" s="24" t="str">
        <f t="shared" si="32"/>
        <v>4,7,18</v>
      </c>
      <c r="D334" s="24" t="str">
        <f t="shared" si="33"/>
        <v>0,63,0</v>
      </c>
      <c r="E334" s="24" t="str">
        <f t="shared" si="34"/>
        <v>0,0,0</v>
      </c>
      <c r="F334" s="24" t="str">
        <f t="shared" si="35"/>
        <v>0,0,0</v>
      </c>
      <c r="G334" s="17" t="str">
        <f t="shared" si="36"/>
        <v>100,1,2</v>
      </c>
      <c r="H334" s="17" t="s">
        <v>31</v>
      </c>
      <c r="I334" s="17" t="s">
        <v>31</v>
      </c>
      <c r="K334" s="9">
        <v>4</v>
      </c>
      <c r="L334" s="9">
        <v>0</v>
      </c>
      <c r="M334" s="9">
        <v>0</v>
      </c>
      <c r="N334" s="9">
        <v>0</v>
      </c>
      <c r="O334" s="9">
        <v>100</v>
      </c>
      <c r="P334" s="9">
        <v>7</v>
      </c>
      <c r="Q334" s="9">
        <v>63</v>
      </c>
      <c r="R334" s="9">
        <v>0</v>
      </c>
      <c r="S334" s="9">
        <v>0</v>
      </c>
      <c r="T334" s="9">
        <v>1</v>
      </c>
      <c r="U334" s="9">
        <v>18</v>
      </c>
      <c r="V334" s="9">
        <v>0</v>
      </c>
      <c r="W334" s="9">
        <v>0</v>
      </c>
      <c r="X334" s="9">
        <v>0</v>
      </c>
      <c r="Y334" s="9">
        <v>2</v>
      </c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</row>
    <row r="335" spans="1:35" ht="13.5" customHeight="1">
      <c r="A335" s="18">
        <v>339</v>
      </c>
      <c r="B335" s="17">
        <v>30825</v>
      </c>
      <c r="C335" s="24" t="str">
        <f t="shared" si="32"/>
        <v>4,7</v>
      </c>
      <c r="D335" s="24" t="str">
        <f t="shared" si="33"/>
        <v>0,64</v>
      </c>
      <c r="E335" s="24" t="str">
        <f t="shared" si="34"/>
        <v>0,0</v>
      </c>
      <c r="F335" s="24" t="str">
        <f t="shared" si="35"/>
        <v>0,0</v>
      </c>
      <c r="G335" s="17" t="str">
        <f t="shared" si="36"/>
        <v>100,1</v>
      </c>
      <c r="H335" s="17" t="s">
        <v>31</v>
      </c>
      <c r="I335" s="17" t="s">
        <v>31</v>
      </c>
      <c r="K335" s="9">
        <v>4</v>
      </c>
      <c r="L335" s="9">
        <v>0</v>
      </c>
      <c r="M335" s="9">
        <v>0</v>
      </c>
      <c r="N335" s="9">
        <v>0</v>
      </c>
      <c r="O335" s="9">
        <v>100</v>
      </c>
      <c r="P335" s="9">
        <v>7</v>
      </c>
      <c r="Q335" s="9">
        <v>64</v>
      </c>
      <c r="R335" s="9">
        <v>0</v>
      </c>
      <c r="S335" s="9">
        <v>0</v>
      </c>
      <c r="T335" s="9">
        <v>1</v>
      </c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</row>
    <row r="336" spans="1:35" ht="13.5" customHeight="1">
      <c r="A336" s="18">
        <v>340</v>
      </c>
      <c r="B336" s="17">
        <v>30830</v>
      </c>
      <c r="C336" s="24" t="str">
        <f t="shared" si="32"/>
        <v>4,7,18</v>
      </c>
      <c r="D336" s="24" t="str">
        <f t="shared" si="33"/>
        <v>0,61,0</v>
      </c>
      <c r="E336" s="24" t="str">
        <f t="shared" si="34"/>
        <v>0,0,0</v>
      </c>
      <c r="F336" s="24" t="str">
        <f t="shared" si="35"/>
        <v>0,0,0</v>
      </c>
      <c r="G336" s="17" t="str">
        <f t="shared" si="36"/>
        <v>100,1,2</v>
      </c>
      <c r="H336" s="17" t="s">
        <v>31</v>
      </c>
      <c r="I336" s="17" t="s">
        <v>31</v>
      </c>
      <c r="K336" s="9">
        <v>4</v>
      </c>
      <c r="L336" s="9">
        <v>0</v>
      </c>
      <c r="M336" s="9">
        <v>0</v>
      </c>
      <c r="N336" s="9">
        <v>0</v>
      </c>
      <c r="O336" s="9">
        <v>100</v>
      </c>
      <c r="P336" s="9">
        <v>7</v>
      </c>
      <c r="Q336" s="9">
        <v>61</v>
      </c>
      <c r="R336" s="9">
        <v>0</v>
      </c>
      <c r="S336" s="9">
        <v>0</v>
      </c>
      <c r="T336" s="9">
        <v>1</v>
      </c>
      <c r="U336" s="9">
        <v>18</v>
      </c>
      <c r="V336" s="9">
        <v>0</v>
      </c>
      <c r="W336" s="9">
        <v>0</v>
      </c>
      <c r="X336" s="9">
        <v>0</v>
      </c>
      <c r="Y336" s="9">
        <v>2</v>
      </c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</row>
    <row r="337" spans="1:35" ht="13.5" customHeight="1">
      <c r="A337" s="18">
        <v>341</v>
      </c>
      <c r="B337" s="17">
        <v>30835</v>
      </c>
      <c r="C337" s="24" t="str">
        <f t="shared" si="32"/>
        <v>4,7</v>
      </c>
      <c r="D337" s="24" t="str">
        <f t="shared" si="33"/>
        <v>0,62</v>
      </c>
      <c r="E337" s="24" t="str">
        <f t="shared" si="34"/>
        <v>0,0</v>
      </c>
      <c r="F337" s="24" t="str">
        <f t="shared" si="35"/>
        <v>0,0</v>
      </c>
      <c r="G337" s="17" t="str">
        <f t="shared" si="36"/>
        <v>100,1</v>
      </c>
      <c r="H337" s="17" t="s">
        <v>31</v>
      </c>
      <c r="I337" s="17" t="s">
        <v>31</v>
      </c>
      <c r="K337" s="9">
        <v>4</v>
      </c>
      <c r="L337" s="9">
        <v>0</v>
      </c>
      <c r="M337" s="9">
        <v>0</v>
      </c>
      <c r="N337" s="9">
        <v>0</v>
      </c>
      <c r="O337" s="9">
        <v>100</v>
      </c>
      <c r="P337" s="9">
        <v>7</v>
      </c>
      <c r="Q337" s="9">
        <v>62</v>
      </c>
      <c r="R337" s="9">
        <v>0</v>
      </c>
      <c r="S337" s="9">
        <v>0</v>
      </c>
      <c r="T337" s="9">
        <v>1</v>
      </c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</row>
    <row r="338" spans="1:35" ht="13.5" customHeight="1">
      <c r="A338" s="18">
        <v>342</v>
      </c>
      <c r="B338" s="17">
        <v>30840</v>
      </c>
      <c r="C338" s="24" t="str">
        <f t="shared" si="32"/>
        <v>4,7,18</v>
      </c>
      <c r="D338" s="24" t="str">
        <f t="shared" si="33"/>
        <v>0,63,0</v>
      </c>
      <c r="E338" s="24" t="str">
        <f t="shared" si="34"/>
        <v>0,0,0</v>
      </c>
      <c r="F338" s="24" t="str">
        <f t="shared" si="35"/>
        <v>0,0,0</v>
      </c>
      <c r="G338" s="17" t="str">
        <f t="shared" si="36"/>
        <v>100,1,2</v>
      </c>
      <c r="H338" s="17" t="s">
        <v>31</v>
      </c>
      <c r="I338" s="17" t="s">
        <v>31</v>
      </c>
      <c r="K338" s="9">
        <v>4</v>
      </c>
      <c r="L338" s="9">
        <v>0</v>
      </c>
      <c r="M338" s="9">
        <v>0</v>
      </c>
      <c r="N338" s="9">
        <v>0</v>
      </c>
      <c r="O338" s="9">
        <v>100</v>
      </c>
      <c r="P338" s="9">
        <v>7</v>
      </c>
      <c r="Q338" s="9">
        <v>63</v>
      </c>
      <c r="R338" s="9">
        <v>0</v>
      </c>
      <c r="S338" s="9">
        <v>0</v>
      </c>
      <c r="T338" s="9">
        <v>1</v>
      </c>
      <c r="U338" s="9">
        <v>18</v>
      </c>
      <c r="V338" s="9">
        <v>0</v>
      </c>
      <c r="W338" s="9">
        <v>0</v>
      </c>
      <c r="X338" s="9">
        <v>0</v>
      </c>
      <c r="Y338" s="9">
        <v>2</v>
      </c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</row>
    <row r="339" spans="1:35" ht="13.5" customHeight="1">
      <c r="A339" s="18">
        <v>343</v>
      </c>
      <c r="B339" s="17">
        <v>30845</v>
      </c>
      <c r="C339" s="24" t="str">
        <f t="shared" si="32"/>
        <v>4,7</v>
      </c>
      <c r="D339" s="24" t="str">
        <f t="shared" si="33"/>
        <v>0,64</v>
      </c>
      <c r="E339" s="24" t="str">
        <f t="shared" si="34"/>
        <v>0,0</v>
      </c>
      <c r="F339" s="24" t="str">
        <f t="shared" si="35"/>
        <v>0,0</v>
      </c>
      <c r="G339" s="17" t="str">
        <f t="shared" si="36"/>
        <v>100,1</v>
      </c>
      <c r="H339" s="17" t="s">
        <v>31</v>
      </c>
      <c r="I339" s="17" t="s">
        <v>31</v>
      </c>
      <c r="K339" s="9">
        <v>4</v>
      </c>
      <c r="L339" s="9">
        <v>0</v>
      </c>
      <c r="M339" s="9">
        <v>0</v>
      </c>
      <c r="N339" s="9">
        <v>0</v>
      </c>
      <c r="O339" s="9">
        <v>100</v>
      </c>
      <c r="P339" s="9">
        <v>7</v>
      </c>
      <c r="Q339" s="9">
        <v>64</v>
      </c>
      <c r="R339" s="9">
        <v>0</v>
      </c>
      <c r="S339" s="9">
        <v>0</v>
      </c>
      <c r="T339" s="9">
        <v>1</v>
      </c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</row>
    <row r="340" spans="1:35" ht="13.5" customHeight="1">
      <c r="A340" s="18">
        <v>344</v>
      </c>
      <c r="B340" s="17">
        <v>30850</v>
      </c>
      <c r="C340" s="24" t="str">
        <f t="shared" si="32"/>
        <v>4,6,18</v>
      </c>
      <c r="D340" s="24" t="str">
        <f t="shared" si="33"/>
        <v>0,1,0</v>
      </c>
      <c r="E340" s="24" t="str">
        <f t="shared" si="34"/>
        <v>0,0,0</v>
      </c>
      <c r="F340" s="24" t="str">
        <f t="shared" si="35"/>
        <v>0,5,0</v>
      </c>
      <c r="G340" s="17" t="str">
        <f t="shared" si="36"/>
        <v>200,50,2</v>
      </c>
      <c r="H340" s="17" t="s">
        <v>31</v>
      </c>
      <c r="I340" s="17" t="s">
        <v>31</v>
      </c>
      <c r="K340" s="9">
        <v>4</v>
      </c>
      <c r="L340" s="9">
        <v>0</v>
      </c>
      <c r="M340" s="9">
        <v>0</v>
      </c>
      <c r="N340" s="9">
        <v>0</v>
      </c>
      <c r="O340" s="9">
        <v>200</v>
      </c>
      <c r="P340" s="9">
        <v>6</v>
      </c>
      <c r="Q340" s="9">
        <v>1</v>
      </c>
      <c r="R340" s="9">
        <v>0</v>
      </c>
      <c r="S340" s="9">
        <v>5</v>
      </c>
      <c r="T340" s="9">
        <v>50</v>
      </c>
      <c r="U340" s="9">
        <v>18</v>
      </c>
      <c r="V340" s="9">
        <v>0</v>
      </c>
      <c r="W340" s="9">
        <v>0</v>
      </c>
      <c r="X340" s="9">
        <v>0</v>
      </c>
      <c r="Y340" s="9">
        <v>2</v>
      </c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</row>
    <row r="341" spans="1:35" ht="13.5" customHeight="1">
      <c r="A341" s="18">
        <v>345</v>
      </c>
      <c r="B341" s="17">
        <v>30905</v>
      </c>
      <c r="C341" s="24" t="str">
        <f t="shared" si="32"/>
        <v>4,7</v>
      </c>
      <c r="D341" s="24" t="str">
        <f t="shared" si="33"/>
        <v>0,61</v>
      </c>
      <c r="E341" s="24" t="str">
        <f t="shared" si="34"/>
        <v>0,0</v>
      </c>
      <c r="F341" s="24" t="str">
        <f t="shared" si="35"/>
        <v>0,0</v>
      </c>
      <c r="G341" s="17" t="str">
        <f t="shared" si="36"/>
        <v>100,1</v>
      </c>
      <c r="H341" s="17" t="s">
        <v>31</v>
      </c>
      <c r="I341" s="17" t="s">
        <v>31</v>
      </c>
      <c r="K341" s="9">
        <v>4</v>
      </c>
      <c r="L341" s="9">
        <v>0</v>
      </c>
      <c r="M341" s="9">
        <v>0</v>
      </c>
      <c r="N341" s="9">
        <v>0</v>
      </c>
      <c r="O341" s="9">
        <v>100</v>
      </c>
      <c r="P341" s="9">
        <v>7</v>
      </c>
      <c r="Q341" s="9">
        <v>61</v>
      </c>
      <c r="R341" s="9">
        <v>0</v>
      </c>
      <c r="S341" s="9">
        <v>0</v>
      </c>
      <c r="T341" s="9">
        <v>1</v>
      </c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</row>
    <row r="342" spans="1:35" ht="13.5" customHeight="1">
      <c r="A342" s="18">
        <v>346</v>
      </c>
      <c r="B342" s="17">
        <v>30910</v>
      </c>
      <c r="C342" s="24" t="str">
        <f t="shared" si="32"/>
        <v>4,7,18</v>
      </c>
      <c r="D342" s="24" t="str">
        <f t="shared" si="33"/>
        <v>0,62,0</v>
      </c>
      <c r="E342" s="24" t="str">
        <f t="shared" si="34"/>
        <v>0,0,0</v>
      </c>
      <c r="F342" s="24" t="str">
        <f t="shared" si="35"/>
        <v>0,0,0</v>
      </c>
      <c r="G342" s="17" t="str">
        <f t="shared" si="36"/>
        <v>100,1,2</v>
      </c>
      <c r="H342" s="17" t="s">
        <v>31</v>
      </c>
      <c r="I342" s="17" t="s">
        <v>31</v>
      </c>
      <c r="K342" s="9">
        <v>4</v>
      </c>
      <c r="L342" s="9">
        <v>0</v>
      </c>
      <c r="M342" s="9">
        <v>0</v>
      </c>
      <c r="N342" s="9">
        <v>0</v>
      </c>
      <c r="O342" s="9">
        <v>100</v>
      </c>
      <c r="P342" s="9">
        <v>7</v>
      </c>
      <c r="Q342" s="9">
        <v>62</v>
      </c>
      <c r="R342" s="9">
        <v>0</v>
      </c>
      <c r="S342" s="9">
        <v>0</v>
      </c>
      <c r="T342" s="9">
        <v>1</v>
      </c>
      <c r="U342" s="9">
        <v>18</v>
      </c>
      <c r="V342" s="9">
        <v>0</v>
      </c>
      <c r="W342" s="9">
        <v>0</v>
      </c>
      <c r="X342" s="9">
        <v>0</v>
      </c>
      <c r="Y342" s="9">
        <v>2</v>
      </c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</row>
    <row r="343" spans="1:35" ht="13.5" customHeight="1">
      <c r="A343" s="18">
        <v>347</v>
      </c>
      <c r="B343" s="17">
        <v>30915</v>
      </c>
      <c r="C343" s="24" t="str">
        <f t="shared" si="32"/>
        <v>4,7</v>
      </c>
      <c r="D343" s="24" t="str">
        <f t="shared" si="33"/>
        <v>0,63</v>
      </c>
      <c r="E343" s="24" t="str">
        <f t="shared" si="34"/>
        <v>0,0</v>
      </c>
      <c r="F343" s="24" t="str">
        <f t="shared" si="35"/>
        <v>0,0</v>
      </c>
      <c r="G343" s="17" t="str">
        <f t="shared" si="36"/>
        <v>100,1</v>
      </c>
      <c r="H343" s="17" t="s">
        <v>31</v>
      </c>
      <c r="I343" s="17" t="s">
        <v>31</v>
      </c>
      <c r="K343" s="9">
        <v>4</v>
      </c>
      <c r="L343" s="9">
        <v>0</v>
      </c>
      <c r="M343" s="9">
        <v>0</v>
      </c>
      <c r="N343" s="9">
        <v>0</v>
      </c>
      <c r="O343" s="9">
        <v>100</v>
      </c>
      <c r="P343" s="9">
        <v>7</v>
      </c>
      <c r="Q343" s="9">
        <v>63</v>
      </c>
      <c r="R343" s="9">
        <v>0</v>
      </c>
      <c r="S343" s="9">
        <v>0</v>
      </c>
      <c r="T343" s="9">
        <v>1</v>
      </c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</row>
    <row r="344" spans="1:35" ht="13.5" customHeight="1">
      <c r="A344" s="18">
        <v>348</v>
      </c>
      <c r="B344" s="17">
        <v>30920</v>
      </c>
      <c r="C344" s="24" t="str">
        <f t="shared" si="32"/>
        <v>4,7,18</v>
      </c>
      <c r="D344" s="24" t="str">
        <f t="shared" si="33"/>
        <v>0,64,0</v>
      </c>
      <c r="E344" s="24" t="str">
        <f t="shared" si="34"/>
        <v>0,0,0</v>
      </c>
      <c r="F344" s="24" t="str">
        <f t="shared" si="35"/>
        <v>0,0,0</v>
      </c>
      <c r="G344" s="17" t="str">
        <f t="shared" si="36"/>
        <v>100,1,2</v>
      </c>
      <c r="H344" s="17" t="s">
        <v>31</v>
      </c>
      <c r="I344" s="17" t="s">
        <v>31</v>
      </c>
      <c r="K344" s="9">
        <v>4</v>
      </c>
      <c r="L344" s="9">
        <v>0</v>
      </c>
      <c r="M344" s="9">
        <v>0</v>
      </c>
      <c r="N344" s="9">
        <v>0</v>
      </c>
      <c r="O344" s="9">
        <v>100</v>
      </c>
      <c r="P344" s="9">
        <v>7</v>
      </c>
      <c r="Q344" s="9">
        <v>64</v>
      </c>
      <c r="R344" s="9">
        <v>0</v>
      </c>
      <c r="S344" s="9">
        <v>0</v>
      </c>
      <c r="T344" s="9">
        <v>1</v>
      </c>
      <c r="U344" s="9">
        <v>18</v>
      </c>
      <c r="V344" s="9">
        <v>0</v>
      </c>
      <c r="W344" s="9">
        <v>0</v>
      </c>
      <c r="X344" s="9">
        <v>0</v>
      </c>
      <c r="Y344" s="9">
        <v>2</v>
      </c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</row>
    <row r="345" spans="1:35" ht="13.5" customHeight="1">
      <c r="A345" s="18">
        <v>349</v>
      </c>
      <c r="B345" s="17">
        <v>30925</v>
      </c>
      <c r="C345" s="24" t="str">
        <f t="shared" si="32"/>
        <v>4,7</v>
      </c>
      <c r="D345" s="24" t="str">
        <f t="shared" si="33"/>
        <v>0,61</v>
      </c>
      <c r="E345" s="24" t="str">
        <f t="shared" si="34"/>
        <v>0,0</v>
      </c>
      <c r="F345" s="24" t="str">
        <f t="shared" si="35"/>
        <v>0,0</v>
      </c>
      <c r="G345" s="17" t="str">
        <f t="shared" si="36"/>
        <v>100,1</v>
      </c>
      <c r="H345" s="17" t="s">
        <v>31</v>
      </c>
      <c r="I345" s="17" t="s">
        <v>31</v>
      </c>
      <c r="K345" s="9">
        <v>4</v>
      </c>
      <c r="L345" s="9">
        <v>0</v>
      </c>
      <c r="M345" s="9">
        <v>0</v>
      </c>
      <c r="N345" s="9">
        <v>0</v>
      </c>
      <c r="O345" s="9">
        <v>100</v>
      </c>
      <c r="P345" s="9">
        <v>7</v>
      </c>
      <c r="Q345" s="9">
        <v>61</v>
      </c>
      <c r="R345" s="9">
        <v>0</v>
      </c>
      <c r="S345" s="9">
        <v>0</v>
      </c>
      <c r="T345" s="9">
        <v>1</v>
      </c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</row>
    <row r="346" spans="1:35" ht="13.5" customHeight="1">
      <c r="A346" s="18">
        <v>350</v>
      </c>
      <c r="B346" s="17">
        <v>30930</v>
      </c>
      <c r="C346" s="24" t="str">
        <f t="shared" si="32"/>
        <v>4,7,18</v>
      </c>
      <c r="D346" s="24" t="str">
        <f t="shared" si="33"/>
        <v>0,62,0</v>
      </c>
      <c r="E346" s="24" t="str">
        <f t="shared" si="34"/>
        <v>0,0,0</v>
      </c>
      <c r="F346" s="24" t="str">
        <f t="shared" si="35"/>
        <v>0,0,0</v>
      </c>
      <c r="G346" s="17" t="str">
        <f t="shared" si="36"/>
        <v>100,1,2</v>
      </c>
      <c r="H346" s="17" t="s">
        <v>31</v>
      </c>
      <c r="I346" s="17" t="s">
        <v>31</v>
      </c>
      <c r="K346" s="9">
        <v>4</v>
      </c>
      <c r="L346" s="9">
        <v>0</v>
      </c>
      <c r="M346" s="9">
        <v>0</v>
      </c>
      <c r="N346" s="9">
        <v>0</v>
      </c>
      <c r="O346" s="9">
        <v>100</v>
      </c>
      <c r="P346" s="9">
        <v>7</v>
      </c>
      <c r="Q346" s="9">
        <v>62</v>
      </c>
      <c r="R346" s="9">
        <v>0</v>
      </c>
      <c r="S346" s="9">
        <v>0</v>
      </c>
      <c r="T346" s="9">
        <v>1</v>
      </c>
      <c r="U346" s="9">
        <v>18</v>
      </c>
      <c r="V346" s="9">
        <v>0</v>
      </c>
      <c r="W346" s="9">
        <v>0</v>
      </c>
      <c r="X346" s="9">
        <v>0</v>
      </c>
      <c r="Y346" s="9">
        <v>2</v>
      </c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</row>
    <row r="347" spans="1:35" ht="13.5" customHeight="1">
      <c r="A347" s="18">
        <v>351</v>
      </c>
      <c r="B347" s="17">
        <v>30935</v>
      </c>
      <c r="C347" s="24" t="str">
        <f t="shared" si="32"/>
        <v>4,7</v>
      </c>
      <c r="D347" s="24" t="str">
        <f t="shared" si="33"/>
        <v>0,63</v>
      </c>
      <c r="E347" s="24" t="str">
        <f t="shared" si="34"/>
        <v>0,0</v>
      </c>
      <c r="F347" s="24" t="str">
        <f t="shared" si="35"/>
        <v>0,0</v>
      </c>
      <c r="G347" s="17" t="str">
        <f t="shared" si="36"/>
        <v>100,1</v>
      </c>
      <c r="H347" s="17" t="s">
        <v>31</v>
      </c>
      <c r="I347" s="17" t="s">
        <v>31</v>
      </c>
      <c r="K347" s="9">
        <v>4</v>
      </c>
      <c r="L347" s="9">
        <v>0</v>
      </c>
      <c r="M347" s="9">
        <v>0</v>
      </c>
      <c r="N347" s="9">
        <v>0</v>
      </c>
      <c r="O347" s="9">
        <v>100</v>
      </c>
      <c r="P347" s="9">
        <v>7</v>
      </c>
      <c r="Q347" s="9">
        <v>63</v>
      </c>
      <c r="R347" s="9">
        <v>0</v>
      </c>
      <c r="S347" s="9">
        <v>0</v>
      </c>
      <c r="T347" s="9">
        <v>1</v>
      </c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</row>
    <row r="348" spans="1:35" ht="13.5" customHeight="1">
      <c r="A348" s="18">
        <v>352</v>
      </c>
      <c r="B348" s="17">
        <v>30940</v>
      </c>
      <c r="C348" s="24" t="str">
        <f t="shared" si="32"/>
        <v>4,7,18</v>
      </c>
      <c r="D348" s="24" t="str">
        <f t="shared" si="33"/>
        <v>0,64,0</v>
      </c>
      <c r="E348" s="24" t="str">
        <f t="shared" si="34"/>
        <v>0,0,0</v>
      </c>
      <c r="F348" s="24" t="str">
        <f t="shared" si="35"/>
        <v>0,0,0</v>
      </c>
      <c r="G348" s="17" t="str">
        <f t="shared" si="36"/>
        <v>100,1,2</v>
      </c>
      <c r="H348" s="17" t="s">
        <v>31</v>
      </c>
      <c r="I348" s="17" t="s">
        <v>31</v>
      </c>
      <c r="K348" s="9">
        <v>4</v>
      </c>
      <c r="L348" s="9">
        <v>0</v>
      </c>
      <c r="M348" s="9">
        <v>0</v>
      </c>
      <c r="N348" s="9">
        <v>0</v>
      </c>
      <c r="O348" s="9">
        <v>100</v>
      </c>
      <c r="P348" s="9">
        <v>7</v>
      </c>
      <c r="Q348" s="9">
        <v>64</v>
      </c>
      <c r="R348" s="9">
        <v>0</v>
      </c>
      <c r="S348" s="9">
        <v>0</v>
      </c>
      <c r="T348" s="9">
        <v>1</v>
      </c>
      <c r="U348" s="9">
        <v>18</v>
      </c>
      <c r="V348" s="9">
        <v>0</v>
      </c>
      <c r="W348" s="9">
        <v>0</v>
      </c>
      <c r="X348" s="9">
        <v>0</v>
      </c>
      <c r="Y348" s="9">
        <v>2</v>
      </c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</row>
    <row r="349" spans="1:35" ht="13.5" customHeight="1">
      <c r="A349" s="18">
        <v>353</v>
      </c>
      <c r="B349" s="17">
        <v>30945</v>
      </c>
      <c r="C349" s="24" t="str">
        <f t="shared" si="32"/>
        <v>4,7</v>
      </c>
      <c r="D349" s="24" t="str">
        <f t="shared" si="33"/>
        <v>0,61</v>
      </c>
      <c r="E349" s="24" t="str">
        <f t="shared" si="34"/>
        <v>0,0</v>
      </c>
      <c r="F349" s="24" t="str">
        <f t="shared" si="35"/>
        <v>0,0</v>
      </c>
      <c r="G349" s="17" t="str">
        <f t="shared" si="36"/>
        <v>100,1</v>
      </c>
      <c r="H349" s="17" t="s">
        <v>31</v>
      </c>
      <c r="I349" s="17" t="s">
        <v>31</v>
      </c>
      <c r="K349" s="9">
        <v>4</v>
      </c>
      <c r="L349" s="9">
        <v>0</v>
      </c>
      <c r="M349" s="9">
        <v>0</v>
      </c>
      <c r="N349" s="9">
        <v>0</v>
      </c>
      <c r="O349" s="9">
        <v>100</v>
      </c>
      <c r="P349" s="9">
        <v>7</v>
      </c>
      <c r="Q349" s="9">
        <v>61</v>
      </c>
      <c r="R349" s="9">
        <v>0</v>
      </c>
      <c r="S349" s="9">
        <v>0</v>
      </c>
      <c r="T349" s="9">
        <v>1</v>
      </c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</row>
    <row r="350" spans="1:35" ht="13.5" customHeight="1">
      <c r="A350" s="18">
        <v>354</v>
      </c>
      <c r="B350" s="17">
        <v>30950</v>
      </c>
      <c r="C350" s="24" t="str">
        <f t="shared" si="32"/>
        <v>4,6,18</v>
      </c>
      <c r="D350" s="24" t="str">
        <f t="shared" si="33"/>
        <v>0,1,0</v>
      </c>
      <c r="E350" s="24" t="str">
        <f t="shared" si="34"/>
        <v>0,0,0</v>
      </c>
      <c r="F350" s="24" t="str">
        <f t="shared" si="35"/>
        <v>0,5,0</v>
      </c>
      <c r="G350" s="17" t="str">
        <f t="shared" si="36"/>
        <v>200,50,2</v>
      </c>
      <c r="H350" s="17" t="s">
        <v>31</v>
      </c>
      <c r="I350" s="17" t="s">
        <v>31</v>
      </c>
      <c r="K350" s="9">
        <v>4</v>
      </c>
      <c r="L350" s="9">
        <v>0</v>
      </c>
      <c r="M350" s="9">
        <v>0</v>
      </c>
      <c r="N350" s="9">
        <v>0</v>
      </c>
      <c r="O350" s="9">
        <v>200</v>
      </c>
      <c r="P350" s="9">
        <v>6</v>
      </c>
      <c r="Q350" s="9">
        <v>1</v>
      </c>
      <c r="R350" s="9">
        <v>0</v>
      </c>
      <c r="S350" s="9">
        <v>5</v>
      </c>
      <c r="T350" s="9">
        <v>50</v>
      </c>
      <c r="U350" s="9">
        <v>18</v>
      </c>
      <c r="V350" s="9">
        <v>0</v>
      </c>
      <c r="W350" s="9">
        <v>0</v>
      </c>
      <c r="X350" s="9">
        <v>0</v>
      </c>
      <c r="Y350" s="9">
        <v>2</v>
      </c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</row>
    <row r="351" spans="1:35" ht="13.5" customHeight="1">
      <c r="A351" s="18">
        <v>355</v>
      </c>
      <c r="B351" s="17">
        <v>31005</v>
      </c>
      <c r="C351" s="24" t="str">
        <f t="shared" si="32"/>
        <v>4,7</v>
      </c>
      <c r="D351" s="24" t="str">
        <f t="shared" si="33"/>
        <v>0,62</v>
      </c>
      <c r="E351" s="24" t="str">
        <f t="shared" si="34"/>
        <v>0,0</v>
      </c>
      <c r="F351" s="24" t="str">
        <f t="shared" si="35"/>
        <v>0,0</v>
      </c>
      <c r="G351" s="17" t="str">
        <f t="shared" si="36"/>
        <v>100,1</v>
      </c>
      <c r="H351" s="17" t="s">
        <v>31</v>
      </c>
      <c r="I351" s="17" t="s">
        <v>31</v>
      </c>
      <c r="K351" s="9">
        <v>4</v>
      </c>
      <c r="L351" s="9">
        <v>0</v>
      </c>
      <c r="M351" s="9">
        <v>0</v>
      </c>
      <c r="N351" s="9">
        <v>0</v>
      </c>
      <c r="O351" s="9">
        <v>100</v>
      </c>
      <c r="P351" s="9">
        <v>7</v>
      </c>
      <c r="Q351" s="9">
        <v>62</v>
      </c>
      <c r="R351" s="9">
        <v>0</v>
      </c>
      <c r="S351" s="9">
        <v>0</v>
      </c>
      <c r="T351" s="9">
        <v>1</v>
      </c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</row>
    <row r="352" spans="1:35" ht="13.5" customHeight="1">
      <c r="A352" s="18">
        <v>356</v>
      </c>
      <c r="B352" s="17">
        <v>31010</v>
      </c>
      <c r="C352" s="24" t="str">
        <f t="shared" si="32"/>
        <v>4,7,18</v>
      </c>
      <c r="D352" s="24" t="str">
        <f t="shared" si="33"/>
        <v>0,63,0</v>
      </c>
      <c r="E352" s="24" t="str">
        <f t="shared" si="34"/>
        <v>0,0,0</v>
      </c>
      <c r="F352" s="24" t="str">
        <f t="shared" si="35"/>
        <v>0,0,0</v>
      </c>
      <c r="G352" s="17" t="str">
        <f t="shared" si="36"/>
        <v>100,1,2</v>
      </c>
      <c r="H352" s="17" t="s">
        <v>31</v>
      </c>
      <c r="I352" s="17" t="s">
        <v>31</v>
      </c>
      <c r="K352" s="9">
        <v>4</v>
      </c>
      <c r="L352" s="9">
        <v>0</v>
      </c>
      <c r="M352" s="9">
        <v>0</v>
      </c>
      <c r="N352" s="9">
        <v>0</v>
      </c>
      <c r="O352" s="9">
        <v>100</v>
      </c>
      <c r="P352" s="9">
        <v>7</v>
      </c>
      <c r="Q352" s="9">
        <v>63</v>
      </c>
      <c r="R352" s="9">
        <v>0</v>
      </c>
      <c r="S352" s="9">
        <v>0</v>
      </c>
      <c r="T352" s="9">
        <v>1</v>
      </c>
      <c r="U352" s="9">
        <v>18</v>
      </c>
      <c r="V352" s="9">
        <v>0</v>
      </c>
      <c r="W352" s="9">
        <v>0</v>
      </c>
      <c r="X352" s="9">
        <v>0</v>
      </c>
      <c r="Y352" s="9">
        <v>2</v>
      </c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</row>
    <row r="353" spans="1:35" ht="13.5" customHeight="1">
      <c r="A353" s="18">
        <v>357</v>
      </c>
      <c r="B353" s="17">
        <v>31015</v>
      </c>
      <c r="C353" s="24" t="str">
        <f t="shared" si="32"/>
        <v>4,7</v>
      </c>
      <c r="D353" s="24" t="str">
        <f t="shared" si="33"/>
        <v>0,64</v>
      </c>
      <c r="E353" s="24" t="str">
        <f t="shared" si="34"/>
        <v>0,0</v>
      </c>
      <c r="F353" s="24" t="str">
        <f t="shared" si="35"/>
        <v>0,0</v>
      </c>
      <c r="G353" s="17" t="str">
        <f t="shared" si="36"/>
        <v>100,1</v>
      </c>
      <c r="H353" s="17" t="s">
        <v>31</v>
      </c>
      <c r="I353" s="17" t="s">
        <v>31</v>
      </c>
      <c r="K353" s="9">
        <v>4</v>
      </c>
      <c r="L353" s="9">
        <v>0</v>
      </c>
      <c r="M353" s="9">
        <v>0</v>
      </c>
      <c r="N353" s="9">
        <v>0</v>
      </c>
      <c r="O353" s="9">
        <v>100</v>
      </c>
      <c r="P353" s="9">
        <v>7</v>
      </c>
      <c r="Q353" s="9">
        <v>64</v>
      </c>
      <c r="R353" s="9">
        <v>0</v>
      </c>
      <c r="S353" s="9">
        <v>0</v>
      </c>
      <c r="T353" s="9">
        <v>1</v>
      </c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</row>
    <row r="354" spans="1:35" ht="13.5" customHeight="1">
      <c r="A354" s="18">
        <v>358</v>
      </c>
      <c r="B354" s="17">
        <v>31020</v>
      </c>
      <c r="C354" s="24" t="str">
        <f t="shared" si="32"/>
        <v>4,7,18</v>
      </c>
      <c r="D354" s="24" t="str">
        <f t="shared" si="33"/>
        <v>0,61,0</v>
      </c>
      <c r="E354" s="24" t="str">
        <f t="shared" si="34"/>
        <v>0,0,0</v>
      </c>
      <c r="F354" s="24" t="str">
        <f t="shared" si="35"/>
        <v>0,0,0</v>
      </c>
      <c r="G354" s="17" t="str">
        <f t="shared" si="36"/>
        <v>100,1,2</v>
      </c>
      <c r="H354" s="17" t="s">
        <v>31</v>
      </c>
      <c r="I354" s="17" t="s">
        <v>31</v>
      </c>
      <c r="K354" s="9">
        <v>4</v>
      </c>
      <c r="L354" s="9">
        <v>0</v>
      </c>
      <c r="M354" s="9">
        <v>0</v>
      </c>
      <c r="N354" s="9">
        <v>0</v>
      </c>
      <c r="O354" s="9">
        <v>100</v>
      </c>
      <c r="P354" s="9">
        <v>7</v>
      </c>
      <c r="Q354" s="9">
        <v>61</v>
      </c>
      <c r="R354" s="9">
        <v>0</v>
      </c>
      <c r="S354" s="9">
        <v>0</v>
      </c>
      <c r="T354" s="9">
        <v>1</v>
      </c>
      <c r="U354" s="9">
        <v>18</v>
      </c>
      <c r="V354" s="9">
        <v>0</v>
      </c>
      <c r="W354" s="9">
        <v>0</v>
      </c>
      <c r="X354" s="9">
        <v>0</v>
      </c>
      <c r="Y354" s="9">
        <v>2</v>
      </c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</row>
    <row r="355" spans="1:35" ht="13.5" customHeight="1">
      <c r="A355" s="18">
        <v>359</v>
      </c>
      <c r="B355" s="17">
        <v>31025</v>
      </c>
      <c r="C355" s="24" t="str">
        <f t="shared" si="32"/>
        <v>4,7</v>
      </c>
      <c r="D355" s="24" t="str">
        <f t="shared" si="33"/>
        <v>0,62</v>
      </c>
      <c r="E355" s="24" t="str">
        <f t="shared" si="34"/>
        <v>0,0</v>
      </c>
      <c r="F355" s="24" t="str">
        <f t="shared" si="35"/>
        <v>0,0</v>
      </c>
      <c r="G355" s="17" t="str">
        <f t="shared" si="36"/>
        <v>100,1</v>
      </c>
      <c r="H355" s="17" t="s">
        <v>31</v>
      </c>
      <c r="I355" s="17" t="s">
        <v>31</v>
      </c>
      <c r="K355" s="9">
        <v>4</v>
      </c>
      <c r="L355" s="9">
        <v>0</v>
      </c>
      <c r="M355" s="9">
        <v>0</v>
      </c>
      <c r="N355" s="9">
        <v>0</v>
      </c>
      <c r="O355" s="9">
        <v>100</v>
      </c>
      <c r="P355" s="9">
        <v>7</v>
      </c>
      <c r="Q355" s="9">
        <v>62</v>
      </c>
      <c r="R355" s="9">
        <v>0</v>
      </c>
      <c r="S355" s="9">
        <v>0</v>
      </c>
      <c r="T355" s="9">
        <v>1</v>
      </c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</row>
    <row r="356" spans="1:35" ht="13.5" customHeight="1">
      <c r="A356" s="18">
        <v>360</v>
      </c>
      <c r="B356" s="17">
        <v>31030</v>
      </c>
      <c r="C356" s="24" t="str">
        <f t="shared" si="32"/>
        <v>4,7,18</v>
      </c>
      <c r="D356" s="24" t="str">
        <f t="shared" si="33"/>
        <v>0,63,0</v>
      </c>
      <c r="E356" s="24" t="str">
        <f t="shared" si="34"/>
        <v>0,0,0</v>
      </c>
      <c r="F356" s="24" t="str">
        <f t="shared" si="35"/>
        <v>0,0,0</v>
      </c>
      <c r="G356" s="17" t="str">
        <f t="shared" si="36"/>
        <v>100,1,2</v>
      </c>
      <c r="H356" s="17" t="s">
        <v>31</v>
      </c>
      <c r="I356" s="17" t="s">
        <v>31</v>
      </c>
      <c r="K356" s="9">
        <v>4</v>
      </c>
      <c r="L356" s="9">
        <v>0</v>
      </c>
      <c r="M356" s="9">
        <v>0</v>
      </c>
      <c r="N356" s="9">
        <v>0</v>
      </c>
      <c r="O356" s="9">
        <v>100</v>
      </c>
      <c r="P356" s="9">
        <v>7</v>
      </c>
      <c r="Q356" s="9">
        <v>63</v>
      </c>
      <c r="R356" s="9">
        <v>0</v>
      </c>
      <c r="S356" s="9">
        <v>0</v>
      </c>
      <c r="T356" s="9">
        <v>1</v>
      </c>
      <c r="U356" s="9">
        <v>18</v>
      </c>
      <c r="V356" s="9">
        <v>0</v>
      </c>
      <c r="W356" s="9">
        <v>0</v>
      </c>
      <c r="X356" s="9">
        <v>0</v>
      </c>
      <c r="Y356" s="9">
        <v>2</v>
      </c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</row>
    <row r="357" spans="1:35" ht="13.5" customHeight="1">
      <c r="A357" s="18">
        <v>361</v>
      </c>
      <c r="B357" s="17">
        <v>31035</v>
      </c>
      <c r="C357" s="24" t="str">
        <f t="shared" si="32"/>
        <v>4,7</v>
      </c>
      <c r="D357" s="24" t="str">
        <f t="shared" si="33"/>
        <v>0,64</v>
      </c>
      <c r="E357" s="24" t="str">
        <f t="shared" si="34"/>
        <v>0,0</v>
      </c>
      <c r="F357" s="24" t="str">
        <f t="shared" si="35"/>
        <v>0,0</v>
      </c>
      <c r="G357" s="17" t="str">
        <f t="shared" si="36"/>
        <v>100,1</v>
      </c>
      <c r="H357" s="17" t="s">
        <v>31</v>
      </c>
      <c r="I357" s="17" t="s">
        <v>31</v>
      </c>
      <c r="K357" s="9">
        <v>4</v>
      </c>
      <c r="L357" s="9">
        <v>0</v>
      </c>
      <c r="M357" s="9">
        <v>0</v>
      </c>
      <c r="N357" s="9">
        <v>0</v>
      </c>
      <c r="O357" s="9">
        <v>100</v>
      </c>
      <c r="P357" s="9">
        <v>7</v>
      </c>
      <c r="Q357" s="9">
        <v>64</v>
      </c>
      <c r="R357" s="9">
        <v>0</v>
      </c>
      <c r="S357" s="9">
        <v>0</v>
      </c>
      <c r="T357" s="9">
        <v>1</v>
      </c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</row>
    <row r="358" spans="1:35" ht="13.5" customHeight="1">
      <c r="A358" s="18">
        <v>362</v>
      </c>
      <c r="B358" s="17">
        <v>31040</v>
      </c>
      <c r="C358" s="24" t="str">
        <f t="shared" si="32"/>
        <v>4,7,18</v>
      </c>
      <c r="D358" s="24" t="str">
        <f t="shared" si="33"/>
        <v>0,61,0</v>
      </c>
      <c r="E358" s="24" t="str">
        <f t="shared" si="34"/>
        <v>0,0,0</v>
      </c>
      <c r="F358" s="24" t="str">
        <f t="shared" si="35"/>
        <v>0,0,0</v>
      </c>
      <c r="G358" s="17" t="str">
        <f t="shared" si="36"/>
        <v>100,1,2</v>
      </c>
      <c r="H358" s="17" t="s">
        <v>31</v>
      </c>
      <c r="I358" s="17" t="s">
        <v>31</v>
      </c>
      <c r="K358" s="9">
        <v>4</v>
      </c>
      <c r="L358" s="9">
        <v>0</v>
      </c>
      <c r="M358" s="9">
        <v>0</v>
      </c>
      <c r="N358" s="9">
        <v>0</v>
      </c>
      <c r="O358" s="9">
        <v>100</v>
      </c>
      <c r="P358" s="9">
        <v>7</v>
      </c>
      <c r="Q358" s="9">
        <v>61</v>
      </c>
      <c r="R358" s="9">
        <v>0</v>
      </c>
      <c r="S358" s="9">
        <v>0</v>
      </c>
      <c r="T358" s="9">
        <v>1</v>
      </c>
      <c r="U358" s="9">
        <v>18</v>
      </c>
      <c r="V358" s="9">
        <v>0</v>
      </c>
      <c r="W358" s="9">
        <v>0</v>
      </c>
      <c r="X358" s="9">
        <v>0</v>
      </c>
      <c r="Y358" s="9">
        <v>2</v>
      </c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</row>
    <row r="359" spans="1:35" ht="13.5" customHeight="1">
      <c r="A359" s="18">
        <v>363</v>
      </c>
      <c r="B359" s="17">
        <v>31045</v>
      </c>
      <c r="C359" s="24" t="str">
        <f t="shared" si="32"/>
        <v>4,7</v>
      </c>
      <c r="D359" s="24" t="str">
        <f t="shared" si="33"/>
        <v>0,62</v>
      </c>
      <c r="E359" s="24" t="str">
        <f t="shared" si="34"/>
        <v>0,0</v>
      </c>
      <c r="F359" s="24" t="str">
        <f t="shared" si="35"/>
        <v>0,0</v>
      </c>
      <c r="G359" s="17" t="str">
        <f t="shared" si="36"/>
        <v>100,1</v>
      </c>
      <c r="H359" s="17" t="s">
        <v>31</v>
      </c>
      <c r="I359" s="17" t="s">
        <v>31</v>
      </c>
      <c r="K359" s="9">
        <v>4</v>
      </c>
      <c r="L359" s="9">
        <v>0</v>
      </c>
      <c r="M359" s="9">
        <v>0</v>
      </c>
      <c r="N359" s="9">
        <v>0</v>
      </c>
      <c r="O359" s="9">
        <v>100</v>
      </c>
      <c r="P359" s="9">
        <v>7</v>
      </c>
      <c r="Q359" s="9">
        <v>62</v>
      </c>
      <c r="R359" s="9">
        <v>0</v>
      </c>
      <c r="S359" s="9">
        <v>0</v>
      </c>
      <c r="T359" s="9">
        <v>1</v>
      </c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</row>
    <row r="360" spans="1:35" ht="13.5" customHeight="1">
      <c r="A360" s="18"/>
      <c r="B360" s="17"/>
      <c r="C360" s="24"/>
      <c r="D360" s="24"/>
      <c r="E360" s="24"/>
      <c r="F360" s="24"/>
      <c r="G360" s="17"/>
      <c r="H360" s="17"/>
      <c r="I360" s="17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</row>
  </sheetData>
  <autoFilter ref="A3:IP360" xr:uid="{00000000-0009-0000-0000-000000000000}"/>
  <mergeCells count="3">
    <mergeCell ref="K2:O2"/>
    <mergeCell ref="P2:T2"/>
    <mergeCell ref="U2:Y2"/>
  </mergeCells>
  <phoneticPr fontId="9" type="noConversion"/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368"/>
  <sheetViews>
    <sheetView workbookViewId="0">
      <selection activeCell="T24" sqref="T24"/>
    </sheetView>
  </sheetViews>
  <sheetFormatPr defaultColWidth="9" defaultRowHeight="13.5"/>
  <cols>
    <col min="1" max="1" width="6.5" customWidth="1"/>
    <col min="2" max="2" width="19.375" customWidth="1"/>
    <col min="3" max="5" width="13" customWidth="1"/>
    <col min="6" max="6" width="9" style="1"/>
  </cols>
  <sheetData>
    <row r="1" spans="1:20">
      <c r="A1" s="2" t="s">
        <v>0</v>
      </c>
      <c r="B1" s="2" t="s">
        <v>45</v>
      </c>
      <c r="C1" s="3" t="s">
        <v>46</v>
      </c>
      <c r="D1" s="4" t="s">
        <v>47</v>
      </c>
      <c r="E1" s="5" t="s">
        <v>48</v>
      </c>
      <c r="F1" s="6" t="s">
        <v>49</v>
      </c>
    </row>
    <row r="2" spans="1:20">
      <c r="A2" s="2" t="s">
        <v>10</v>
      </c>
      <c r="B2" s="2" t="s">
        <v>14</v>
      </c>
      <c r="C2" s="4" t="s">
        <v>50</v>
      </c>
      <c r="D2" s="4" t="s">
        <v>50</v>
      </c>
      <c r="E2" s="5" t="s">
        <v>11</v>
      </c>
      <c r="G2" s="7" t="s">
        <v>51</v>
      </c>
      <c r="H2">
        <f>COUNT(H4:H523)</f>
        <v>346</v>
      </c>
      <c r="I2">
        <f t="shared" ref="I2:J2" si="0">COUNT(I4:I201)</f>
        <v>0</v>
      </c>
      <c r="J2">
        <f t="shared" si="0"/>
        <v>0</v>
      </c>
      <c r="K2">
        <f>SUM(K4:K201)</f>
        <v>0</v>
      </c>
      <c r="L2">
        <f t="shared" ref="L2:N2" si="1">SUM(L4:L201)</f>
        <v>0</v>
      </c>
      <c r="M2">
        <f t="shared" si="1"/>
        <v>0</v>
      </c>
      <c r="N2">
        <f t="shared" si="1"/>
        <v>0</v>
      </c>
    </row>
    <row r="3" spans="1:20">
      <c r="A3" s="8" t="s">
        <v>18</v>
      </c>
      <c r="B3" s="2" t="s">
        <v>52</v>
      </c>
      <c r="C3" s="3" t="s">
        <v>53</v>
      </c>
      <c r="D3" s="4" t="s">
        <v>54</v>
      </c>
      <c r="E3" s="5" t="s">
        <v>55</v>
      </c>
      <c r="H3" t="s">
        <v>56</v>
      </c>
      <c r="I3" t="s">
        <v>57</v>
      </c>
      <c r="K3" t="s">
        <v>58</v>
      </c>
      <c r="L3" t="s">
        <v>59</v>
      </c>
      <c r="M3" t="s">
        <v>60</v>
      </c>
      <c r="N3" t="s">
        <v>61</v>
      </c>
    </row>
    <row r="4" spans="1:20">
      <c r="A4" s="9">
        <v>0</v>
      </c>
      <c r="B4" s="2" t="s">
        <v>62</v>
      </c>
      <c r="C4" s="3">
        <v>100</v>
      </c>
      <c r="D4" s="4">
        <v>10000</v>
      </c>
      <c r="E4" s="5">
        <v>10</v>
      </c>
      <c r="H4" s="2" t="s">
        <v>30</v>
      </c>
    </row>
    <row r="5" spans="1:20">
      <c r="A5" s="10">
        <v>1</v>
      </c>
      <c r="B5" s="2" t="s">
        <v>63</v>
      </c>
      <c r="C5" s="3">
        <v>500</v>
      </c>
      <c r="D5" s="4">
        <v>50000</v>
      </c>
      <c r="E5" s="5">
        <v>20</v>
      </c>
      <c r="H5" s="2" t="s">
        <v>64</v>
      </c>
    </row>
    <row r="6" spans="1:20">
      <c r="A6" s="9">
        <v>2</v>
      </c>
      <c r="B6" s="2" t="s">
        <v>65</v>
      </c>
      <c r="C6" s="3">
        <v>1000</v>
      </c>
      <c r="D6" s="4">
        <v>100000</v>
      </c>
      <c r="E6" s="5">
        <v>30</v>
      </c>
      <c r="H6" s="2" t="s">
        <v>66</v>
      </c>
      <c r="P6">
        <v>5</v>
      </c>
      <c r="Q6" t="s">
        <v>67</v>
      </c>
      <c r="R6" t="s">
        <v>57</v>
      </c>
      <c r="T6" t="s">
        <v>67</v>
      </c>
    </row>
    <row r="7" spans="1:20">
      <c r="A7" s="10">
        <v>3</v>
      </c>
      <c r="B7" s="2" t="s">
        <v>68</v>
      </c>
      <c r="C7" s="3">
        <v>2500</v>
      </c>
      <c r="D7" s="4">
        <v>250000</v>
      </c>
      <c r="E7" s="5">
        <v>40</v>
      </c>
      <c r="H7" s="2" t="s">
        <v>69</v>
      </c>
      <c r="P7">
        <v>10</v>
      </c>
      <c r="Q7" t="s">
        <v>67</v>
      </c>
      <c r="R7" t="s">
        <v>57</v>
      </c>
      <c r="T7" t="s">
        <v>57</v>
      </c>
    </row>
    <row r="8" spans="1:20">
      <c r="A8" s="9">
        <v>4</v>
      </c>
      <c r="B8" s="2" t="s">
        <v>70</v>
      </c>
      <c r="C8" s="3">
        <v>5000</v>
      </c>
      <c r="D8" s="4">
        <v>500000</v>
      </c>
      <c r="E8" s="5">
        <v>60</v>
      </c>
      <c r="H8" s="2" t="s">
        <v>71</v>
      </c>
      <c r="P8">
        <v>15</v>
      </c>
      <c r="Q8" t="s">
        <v>67</v>
      </c>
      <c r="R8" t="s">
        <v>57</v>
      </c>
      <c r="T8" t="s">
        <v>72</v>
      </c>
    </row>
    <row r="9" spans="1:20">
      <c r="A9" s="10">
        <v>5</v>
      </c>
      <c r="B9" s="2" t="s">
        <v>73</v>
      </c>
      <c r="C9" s="3">
        <v>10000</v>
      </c>
      <c r="D9" s="4">
        <v>1000000</v>
      </c>
      <c r="E9" s="5">
        <v>80</v>
      </c>
      <c r="H9" s="2" t="s">
        <v>74</v>
      </c>
      <c r="P9">
        <v>20</v>
      </c>
      <c r="Q9" t="s">
        <v>67</v>
      </c>
      <c r="R9" t="s">
        <v>57</v>
      </c>
      <c r="T9" t="s">
        <v>75</v>
      </c>
    </row>
    <row r="10" spans="1:20">
      <c r="A10" s="9">
        <v>6</v>
      </c>
      <c r="B10" s="2" t="s">
        <v>76</v>
      </c>
      <c r="C10" s="3">
        <v>30000</v>
      </c>
      <c r="D10" s="4">
        <v>3000000</v>
      </c>
      <c r="E10" s="5">
        <v>100</v>
      </c>
      <c r="H10" s="2" t="s">
        <v>33</v>
      </c>
      <c r="P10">
        <v>25</v>
      </c>
      <c r="Q10" t="s">
        <v>67</v>
      </c>
      <c r="R10" t="s">
        <v>72</v>
      </c>
    </row>
    <row r="11" spans="1:20">
      <c r="A11" s="10">
        <v>7</v>
      </c>
      <c r="B11" s="2" t="s">
        <v>77</v>
      </c>
      <c r="C11" s="3">
        <v>60000</v>
      </c>
      <c r="D11" s="4">
        <v>6000000</v>
      </c>
      <c r="E11" s="5">
        <v>120</v>
      </c>
      <c r="H11" s="2" t="s">
        <v>78</v>
      </c>
      <c r="P11">
        <v>30</v>
      </c>
      <c r="Q11" t="s">
        <v>67</v>
      </c>
      <c r="R11" t="s">
        <v>57</v>
      </c>
    </row>
    <row r="12" spans="1:20">
      <c r="A12" s="9">
        <v>8</v>
      </c>
      <c r="B12" s="2" t="s">
        <v>79</v>
      </c>
      <c r="C12" s="3">
        <v>100000</v>
      </c>
      <c r="D12" s="4">
        <v>10000000</v>
      </c>
      <c r="E12" s="5">
        <v>140</v>
      </c>
      <c r="H12" s="2" t="s">
        <v>34</v>
      </c>
      <c r="P12">
        <v>35</v>
      </c>
      <c r="Q12" t="s">
        <v>67</v>
      </c>
      <c r="R12" t="s">
        <v>57</v>
      </c>
    </row>
    <row r="13" spans="1:20">
      <c r="A13" s="10">
        <v>9</v>
      </c>
      <c r="B13" s="2" t="s">
        <v>80</v>
      </c>
      <c r="C13" s="3">
        <v>200000</v>
      </c>
      <c r="D13" s="4">
        <v>30000000</v>
      </c>
      <c r="E13" s="5">
        <v>160</v>
      </c>
      <c r="H13" s="2" t="s">
        <v>81</v>
      </c>
      <c r="P13">
        <v>40</v>
      </c>
      <c r="Q13" t="s">
        <v>67</v>
      </c>
      <c r="R13" t="s">
        <v>57</v>
      </c>
    </row>
    <row r="14" spans="1:20">
      <c r="A14" s="9">
        <v>10</v>
      </c>
      <c r="B14" s="2" t="s">
        <v>82</v>
      </c>
      <c r="C14" s="4">
        <v>500000</v>
      </c>
      <c r="D14" s="4">
        <v>60000000</v>
      </c>
      <c r="E14" s="5">
        <v>200</v>
      </c>
      <c r="H14" s="2" t="s">
        <v>83</v>
      </c>
      <c r="P14">
        <v>45</v>
      </c>
      <c r="Q14" t="s">
        <v>67</v>
      </c>
      <c r="R14" t="s">
        <v>57</v>
      </c>
    </row>
    <row r="15" spans="1:20">
      <c r="A15" s="4">
        <v>11</v>
      </c>
      <c r="B15" s="2" t="s">
        <v>84</v>
      </c>
      <c r="C15" s="4">
        <v>1000000</v>
      </c>
      <c r="D15" s="4">
        <v>100000000</v>
      </c>
      <c r="E15" s="5">
        <v>250</v>
      </c>
      <c r="H15" s="2" t="s">
        <v>85</v>
      </c>
      <c r="P15">
        <v>50</v>
      </c>
      <c r="Q15" t="s">
        <v>67</v>
      </c>
      <c r="R15" t="s">
        <v>86</v>
      </c>
    </row>
    <row r="16" spans="1:20">
      <c r="H16" s="2" t="s">
        <v>87</v>
      </c>
    </row>
    <row r="17" spans="8:20">
      <c r="H17" s="2" t="s">
        <v>88</v>
      </c>
      <c r="Q17">
        <v>50</v>
      </c>
      <c r="R17">
        <v>10</v>
      </c>
      <c r="S17">
        <v>5</v>
      </c>
      <c r="T17">
        <f>Q17*R17*S17</f>
        <v>2500</v>
      </c>
    </row>
    <row r="18" spans="8:20">
      <c r="H18" s="2">
        <v>315</v>
      </c>
      <c r="Q18">
        <v>100</v>
      </c>
      <c r="R18">
        <v>10</v>
      </c>
      <c r="S18">
        <v>10</v>
      </c>
      <c r="T18">
        <f t="shared" ref="T18:T20" si="2">Q18*R18*S18</f>
        <v>10000</v>
      </c>
    </row>
    <row r="19" spans="8:20">
      <c r="H19" s="2" t="s">
        <v>89</v>
      </c>
      <c r="Q19">
        <v>150</v>
      </c>
      <c r="R19">
        <v>10</v>
      </c>
      <c r="S19">
        <v>10</v>
      </c>
      <c r="T19">
        <f t="shared" si="2"/>
        <v>15000</v>
      </c>
    </row>
    <row r="20" spans="8:20">
      <c r="H20" s="2" t="s">
        <v>90</v>
      </c>
      <c r="Q20">
        <v>200</v>
      </c>
      <c r="R20">
        <v>10</v>
      </c>
      <c r="S20">
        <v>10</v>
      </c>
      <c r="T20">
        <f t="shared" si="2"/>
        <v>20000</v>
      </c>
    </row>
    <row r="21" spans="8:20">
      <c r="H21" s="2" t="s">
        <v>91</v>
      </c>
    </row>
    <row r="22" spans="8:20">
      <c r="H22" s="2" t="s">
        <v>92</v>
      </c>
      <c r="R22">
        <v>5</v>
      </c>
      <c r="S22">
        <v>10</v>
      </c>
    </row>
    <row r="23" spans="8:20">
      <c r="H23" s="2" t="s">
        <v>44</v>
      </c>
      <c r="R23">
        <v>3</v>
      </c>
      <c r="T23">
        <v>200</v>
      </c>
    </row>
    <row r="24" spans="8:20">
      <c r="H24" s="2">
        <v>505</v>
      </c>
      <c r="Q24">
        <v>20</v>
      </c>
      <c r="R24">
        <v>10</v>
      </c>
      <c r="T24">
        <v>200</v>
      </c>
    </row>
    <row r="25" spans="8:20">
      <c r="H25" s="2">
        <v>510</v>
      </c>
    </row>
    <row r="26" spans="8:20">
      <c r="H26" s="2">
        <v>515</v>
      </c>
    </row>
    <row r="27" spans="8:20">
      <c r="H27" s="2">
        <v>520</v>
      </c>
    </row>
    <row r="28" spans="8:20">
      <c r="H28" s="2">
        <v>525</v>
      </c>
    </row>
    <row r="29" spans="8:20">
      <c r="H29" s="2">
        <v>605</v>
      </c>
    </row>
    <row r="30" spans="8:20">
      <c r="H30" s="2">
        <v>610</v>
      </c>
    </row>
    <row r="31" spans="8:20">
      <c r="H31" s="2">
        <v>615</v>
      </c>
    </row>
    <row r="32" spans="8:20">
      <c r="H32" s="2">
        <v>620</v>
      </c>
    </row>
    <row r="33" spans="8:8">
      <c r="H33" s="2">
        <v>625</v>
      </c>
    </row>
    <row r="34" spans="8:8">
      <c r="H34" s="2">
        <v>630</v>
      </c>
    </row>
    <row r="35" spans="8:8">
      <c r="H35" s="2">
        <v>705</v>
      </c>
    </row>
    <row r="36" spans="8:8">
      <c r="H36" s="2">
        <v>710</v>
      </c>
    </row>
    <row r="37" spans="8:8">
      <c r="H37" s="2">
        <v>715</v>
      </c>
    </row>
    <row r="38" spans="8:8">
      <c r="H38" s="2">
        <v>720</v>
      </c>
    </row>
    <row r="39" spans="8:8">
      <c r="H39" s="2">
        <v>725</v>
      </c>
    </row>
    <row r="40" spans="8:8">
      <c r="H40" s="2">
        <v>730</v>
      </c>
    </row>
    <row r="41" spans="8:8">
      <c r="H41" s="2">
        <v>735</v>
      </c>
    </row>
    <row r="42" spans="8:8">
      <c r="H42" s="2">
        <v>805</v>
      </c>
    </row>
    <row r="43" spans="8:8">
      <c r="H43" s="2">
        <v>810</v>
      </c>
    </row>
    <row r="44" spans="8:8">
      <c r="H44" s="2">
        <v>815</v>
      </c>
    </row>
    <row r="45" spans="8:8">
      <c r="H45" s="2">
        <v>820</v>
      </c>
    </row>
    <row r="46" spans="8:8">
      <c r="H46" s="2">
        <v>825</v>
      </c>
    </row>
    <row r="47" spans="8:8">
      <c r="H47" s="2">
        <v>830</v>
      </c>
    </row>
    <row r="48" spans="8:8">
      <c r="H48" s="2">
        <v>835</v>
      </c>
    </row>
    <row r="49" spans="8:8">
      <c r="H49" s="2">
        <v>840</v>
      </c>
    </row>
    <row r="50" spans="8:8">
      <c r="H50" s="2">
        <v>905</v>
      </c>
    </row>
    <row r="51" spans="8:8">
      <c r="H51" s="2">
        <v>910</v>
      </c>
    </row>
    <row r="52" spans="8:8">
      <c r="H52" s="2">
        <v>915</v>
      </c>
    </row>
    <row r="53" spans="8:8">
      <c r="H53" s="2">
        <v>920</v>
      </c>
    </row>
    <row r="54" spans="8:8">
      <c r="H54" s="2">
        <v>925</v>
      </c>
    </row>
    <row r="55" spans="8:8">
      <c r="H55" s="2">
        <v>930</v>
      </c>
    </row>
    <row r="56" spans="8:8">
      <c r="H56" s="2">
        <v>935</v>
      </c>
    </row>
    <row r="57" spans="8:8">
      <c r="H57" s="2">
        <v>940</v>
      </c>
    </row>
    <row r="58" spans="8:8">
      <c r="H58" s="2">
        <v>945</v>
      </c>
    </row>
    <row r="59" spans="8:8">
      <c r="H59" s="2">
        <v>1005</v>
      </c>
    </row>
    <row r="60" spans="8:8">
      <c r="H60" s="2">
        <v>1010</v>
      </c>
    </row>
    <row r="61" spans="8:8">
      <c r="H61" s="2">
        <v>1015</v>
      </c>
    </row>
    <row r="62" spans="8:8">
      <c r="H62" s="2">
        <v>1020</v>
      </c>
    </row>
    <row r="63" spans="8:8">
      <c r="H63" s="2">
        <v>1025</v>
      </c>
    </row>
    <row r="64" spans="8:8">
      <c r="H64" s="2">
        <v>1030</v>
      </c>
    </row>
    <row r="65" spans="8:8">
      <c r="H65" s="2">
        <v>1035</v>
      </c>
    </row>
    <row r="66" spans="8:8">
      <c r="H66" s="2">
        <v>1040</v>
      </c>
    </row>
    <row r="67" spans="8:8">
      <c r="H67" s="2">
        <v>1045</v>
      </c>
    </row>
    <row r="68" spans="8:8">
      <c r="H68" s="2">
        <v>1050</v>
      </c>
    </row>
    <row r="69" spans="8:8">
      <c r="H69" s="2">
        <v>10105</v>
      </c>
    </row>
    <row r="70" spans="8:8">
      <c r="H70" s="2">
        <v>10110</v>
      </c>
    </row>
    <row r="71" spans="8:8">
      <c r="H71" s="2">
        <v>10115</v>
      </c>
    </row>
    <row r="72" spans="8:8">
      <c r="H72" s="2">
        <v>10120</v>
      </c>
    </row>
    <row r="73" spans="8:8">
      <c r="H73" s="2">
        <v>10125</v>
      </c>
    </row>
    <row r="74" spans="8:8">
      <c r="H74" s="2">
        <v>10130</v>
      </c>
    </row>
    <row r="75" spans="8:8">
      <c r="H75" s="2">
        <v>10135</v>
      </c>
    </row>
    <row r="76" spans="8:8">
      <c r="H76" s="2">
        <v>10140</v>
      </c>
    </row>
    <row r="77" spans="8:8">
      <c r="H77" s="2">
        <v>10145</v>
      </c>
    </row>
    <row r="78" spans="8:8">
      <c r="H78" s="2">
        <v>10150</v>
      </c>
    </row>
    <row r="79" spans="8:8">
      <c r="H79" s="2">
        <v>10205</v>
      </c>
    </row>
    <row r="80" spans="8:8">
      <c r="H80" s="2">
        <v>10210</v>
      </c>
    </row>
    <row r="81" spans="8:8">
      <c r="H81" s="2">
        <v>10215</v>
      </c>
    </row>
    <row r="82" spans="8:8">
      <c r="H82" s="2">
        <v>10220</v>
      </c>
    </row>
    <row r="83" spans="8:8">
      <c r="H83" s="2">
        <v>10225</v>
      </c>
    </row>
    <row r="84" spans="8:8">
      <c r="H84" s="2">
        <v>10230</v>
      </c>
    </row>
    <row r="85" spans="8:8">
      <c r="H85" s="2">
        <v>10235</v>
      </c>
    </row>
    <row r="86" spans="8:8">
      <c r="H86" s="2">
        <v>10240</v>
      </c>
    </row>
    <row r="87" spans="8:8">
      <c r="H87" s="2">
        <v>10245</v>
      </c>
    </row>
    <row r="88" spans="8:8">
      <c r="H88" s="2">
        <v>10250</v>
      </c>
    </row>
    <row r="89" spans="8:8">
      <c r="H89" s="2">
        <v>10305</v>
      </c>
    </row>
    <row r="90" spans="8:8">
      <c r="H90" s="2">
        <v>10310</v>
      </c>
    </row>
    <row r="91" spans="8:8">
      <c r="H91" s="2">
        <v>10315</v>
      </c>
    </row>
    <row r="92" spans="8:8">
      <c r="H92" s="2">
        <v>10320</v>
      </c>
    </row>
    <row r="93" spans="8:8">
      <c r="H93" s="2">
        <v>10325</v>
      </c>
    </row>
    <row r="94" spans="8:8">
      <c r="H94" s="2">
        <v>10330</v>
      </c>
    </row>
    <row r="95" spans="8:8">
      <c r="H95" s="2">
        <v>10335</v>
      </c>
    </row>
    <row r="96" spans="8:8">
      <c r="H96" s="2">
        <v>10340</v>
      </c>
    </row>
    <row r="97" spans="8:8">
      <c r="H97" s="2">
        <v>10345</v>
      </c>
    </row>
    <row r="98" spans="8:8">
      <c r="H98" s="2">
        <v>10350</v>
      </c>
    </row>
    <row r="99" spans="8:8">
      <c r="H99" s="2">
        <v>10405</v>
      </c>
    </row>
    <row r="100" spans="8:8">
      <c r="H100" s="2">
        <v>10410</v>
      </c>
    </row>
    <row r="101" spans="8:8">
      <c r="H101" s="2">
        <v>10415</v>
      </c>
    </row>
    <row r="102" spans="8:8">
      <c r="H102" s="2">
        <v>10420</v>
      </c>
    </row>
    <row r="103" spans="8:8">
      <c r="H103" s="2">
        <v>10425</v>
      </c>
    </row>
    <row r="104" spans="8:8">
      <c r="H104" s="2">
        <v>10430</v>
      </c>
    </row>
    <row r="105" spans="8:8">
      <c r="H105" s="2">
        <v>10435</v>
      </c>
    </row>
    <row r="106" spans="8:8">
      <c r="H106" s="2">
        <v>10440</v>
      </c>
    </row>
    <row r="107" spans="8:8">
      <c r="H107" s="2">
        <v>10445</v>
      </c>
    </row>
    <row r="108" spans="8:8">
      <c r="H108" s="2">
        <v>10450</v>
      </c>
    </row>
    <row r="109" spans="8:8">
      <c r="H109" s="2">
        <v>10505</v>
      </c>
    </row>
    <row r="110" spans="8:8">
      <c r="H110" s="2">
        <v>10510</v>
      </c>
    </row>
    <row r="111" spans="8:8">
      <c r="H111" s="2">
        <v>10515</v>
      </c>
    </row>
    <row r="112" spans="8:8">
      <c r="H112" s="2">
        <v>10520</v>
      </c>
    </row>
    <row r="113" spans="8:8">
      <c r="H113" s="2">
        <v>10525</v>
      </c>
    </row>
    <row r="114" spans="8:8">
      <c r="H114" s="2">
        <v>10530</v>
      </c>
    </row>
    <row r="115" spans="8:8">
      <c r="H115" s="2">
        <v>10535</v>
      </c>
    </row>
    <row r="116" spans="8:8">
      <c r="H116" s="2">
        <v>10540</v>
      </c>
    </row>
    <row r="117" spans="8:8">
      <c r="H117" s="2">
        <v>10545</v>
      </c>
    </row>
    <row r="118" spans="8:8">
      <c r="H118" s="2">
        <v>10550</v>
      </c>
    </row>
    <row r="119" spans="8:8">
      <c r="H119" s="2">
        <v>10605</v>
      </c>
    </row>
    <row r="120" spans="8:8">
      <c r="H120" s="2">
        <v>10610</v>
      </c>
    </row>
    <row r="121" spans="8:8">
      <c r="H121" s="2">
        <v>10615</v>
      </c>
    </row>
    <row r="122" spans="8:8">
      <c r="H122" s="2">
        <v>10620</v>
      </c>
    </row>
    <row r="123" spans="8:8">
      <c r="H123" s="2">
        <v>10625</v>
      </c>
    </row>
    <row r="124" spans="8:8">
      <c r="H124" s="2">
        <v>10630</v>
      </c>
    </row>
    <row r="125" spans="8:8">
      <c r="H125" s="2">
        <v>10635</v>
      </c>
    </row>
    <row r="126" spans="8:8">
      <c r="H126" s="2">
        <v>10640</v>
      </c>
    </row>
    <row r="127" spans="8:8">
      <c r="H127" s="2">
        <v>10645</v>
      </c>
    </row>
    <row r="128" spans="8:8">
      <c r="H128" s="2">
        <v>10650</v>
      </c>
    </row>
    <row r="129" spans="8:8">
      <c r="H129" s="2">
        <v>10705</v>
      </c>
    </row>
    <row r="130" spans="8:8">
      <c r="H130" s="2">
        <v>10710</v>
      </c>
    </row>
    <row r="131" spans="8:8">
      <c r="H131" s="2">
        <v>10715</v>
      </c>
    </row>
    <row r="132" spans="8:8">
      <c r="H132" s="2">
        <v>10720</v>
      </c>
    </row>
    <row r="133" spans="8:8">
      <c r="H133" s="2">
        <v>10725</v>
      </c>
    </row>
    <row r="134" spans="8:8">
      <c r="H134" s="2">
        <v>10730</v>
      </c>
    </row>
    <row r="135" spans="8:8">
      <c r="H135" s="2">
        <v>10735</v>
      </c>
    </row>
    <row r="136" spans="8:8">
      <c r="H136" s="2">
        <v>10740</v>
      </c>
    </row>
    <row r="137" spans="8:8">
      <c r="H137" s="2">
        <v>10745</v>
      </c>
    </row>
    <row r="138" spans="8:8">
      <c r="H138" s="2">
        <v>10750</v>
      </c>
    </row>
    <row r="139" spans="8:8">
      <c r="H139" s="2">
        <v>10805</v>
      </c>
    </row>
    <row r="140" spans="8:8">
      <c r="H140" s="2">
        <v>10810</v>
      </c>
    </row>
    <row r="141" spans="8:8">
      <c r="H141" s="2">
        <v>10815</v>
      </c>
    </row>
    <row r="142" spans="8:8">
      <c r="H142" s="2">
        <v>10820</v>
      </c>
    </row>
    <row r="143" spans="8:8">
      <c r="H143" s="2">
        <v>10825</v>
      </c>
    </row>
    <row r="144" spans="8:8">
      <c r="H144" s="2">
        <v>10830</v>
      </c>
    </row>
    <row r="145" spans="8:8">
      <c r="H145" s="2">
        <v>10835</v>
      </c>
    </row>
    <row r="146" spans="8:8">
      <c r="H146" s="2">
        <v>10840</v>
      </c>
    </row>
    <row r="147" spans="8:8">
      <c r="H147" s="2">
        <v>10845</v>
      </c>
    </row>
    <row r="148" spans="8:8">
      <c r="H148" s="2">
        <v>10850</v>
      </c>
    </row>
    <row r="149" spans="8:8">
      <c r="H149" s="2">
        <v>10905</v>
      </c>
    </row>
    <row r="150" spans="8:8">
      <c r="H150" s="2">
        <v>10910</v>
      </c>
    </row>
    <row r="151" spans="8:8">
      <c r="H151" s="2">
        <v>10915</v>
      </c>
    </row>
    <row r="152" spans="8:8">
      <c r="H152" s="2">
        <v>10920</v>
      </c>
    </row>
    <row r="153" spans="8:8">
      <c r="H153" s="2">
        <v>10925</v>
      </c>
    </row>
    <row r="154" spans="8:8">
      <c r="H154" s="2">
        <v>10930</v>
      </c>
    </row>
    <row r="155" spans="8:8">
      <c r="H155" s="2">
        <v>10935</v>
      </c>
    </row>
    <row r="156" spans="8:8">
      <c r="H156" s="2">
        <v>10940</v>
      </c>
    </row>
    <row r="157" spans="8:8">
      <c r="H157" s="2">
        <v>10945</v>
      </c>
    </row>
    <row r="158" spans="8:8">
      <c r="H158" s="2">
        <v>10950</v>
      </c>
    </row>
    <row r="159" spans="8:8">
      <c r="H159" s="2">
        <v>11005</v>
      </c>
    </row>
    <row r="160" spans="8:8">
      <c r="H160" s="2">
        <v>11010</v>
      </c>
    </row>
    <row r="161" spans="8:8">
      <c r="H161" s="2">
        <v>11015</v>
      </c>
    </row>
    <row r="162" spans="8:8">
      <c r="H162" s="2">
        <v>11020</v>
      </c>
    </row>
    <row r="163" spans="8:8">
      <c r="H163" s="2">
        <v>11025</v>
      </c>
    </row>
    <row r="164" spans="8:8">
      <c r="H164" s="2">
        <v>11030</v>
      </c>
    </row>
    <row r="165" spans="8:8">
      <c r="H165" s="2">
        <v>11035</v>
      </c>
    </row>
    <row r="166" spans="8:8">
      <c r="H166" s="2">
        <v>11040</v>
      </c>
    </row>
    <row r="167" spans="8:8">
      <c r="H167" s="2">
        <v>11045</v>
      </c>
    </row>
    <row r="168" spans="8:8">
      <c r="H168" s="2">
        <v>11050</v>
      </c>
    </row>
    <row r="169" spans="8:8">
      <c r="H169" s="2">
        <v>20105</v>
      </c>
    </row>
    <row r="170" spans="8:8">
      <c r="H170" s="2">
        <v>20110</v>
      </c>
    </row>
    <row r="171" spans="8:8">
      <c r="H171" s="2">
        <v>20115</v>
      </c>
    </row>
    <row r="172" spans="8:8">
      <c r="H172" s="2">
        <v>20120</v>
      </c>
    </row>
    <row r="173" spans="8:8">
      <c r="H173" s="2">
        <v>20125</v>
      </c>
    </row>
    <row r="174" spans="8:8">
      <c r="H174" s="2">
        <v>20130</v>
      </c>
    </row>
    <row r="175" spans="8:8">
      <c r="H175" s="2">
        <v>20135</v>
      </c>
    </row>
    <row r="176" spans="8:8">
      <c r="H176" s="2">
        <v>20140</v>
      </c>
    </row>
    <row r="177" spans="8:8">
      <c r="H177" s="2">
        <v>20145</v>
      </c>
    </row>
    <row r="178" spans="8:8">
      <c r="H178" s="2">
        <v>20150</v>
      </c>
    </row>
    <row r="179" spans="8:8">
      <c r="H179" s="2">
        <v>20205</v>
      </c>
    </row>
    <row r="180" spans="8:8">
      <c r="H180" s="2">
        <v>20210</v>
      </c>
    </row>
    <row r="181" spans="8:8">
      <c r="H181" s="2">
        <v>20215</v>
      </c>
    </row>
    <row r="182" spans="8:8">
      <c r="H182" s="2">
        <v>20220</v>
      </c>
    </row>
    <row r="183" spans="8:8">
      <c r="H183" s="2">
        <v>20225</v>
      </c>
    </row>
    <row r="184" spans="8:8">
      <c r="H184" s="2">
        <v>20230</v>
      </c>
    </row>
    <row r="185" spans="8:8">
      <c r="H185" s="2">
        <v>20235</v>
      </c>
    </row>
    <row r="186" spans="8:8">
      <c r="H186" s="2">
        <v>20240</v>
      </c>
    </row>
    <row r="187" spans="8:8">
      <c r="H187" s="2">
        <v>20245</v>
      </c>
    </row>
    <row r="188" spans="8:8">
      <c r="H188" s="2">
        <v>20250</v>
      </c>
    </row>
    <row r="189" spans="8:8">
      <c r="H189" s="2">
        <v>20305</v>
      </c>
    </row>
    <row r="190" spans="8:8">
      <c r="H190" s="2">
        <v>20310</v>
      </c>
    </row>
    <row r="191" spans="8:8">
      <c r="H191" s="2">
        <v>20315</v>
      </c>
    </row>
    <row r="192" spans="8:8">
      <c r="H192" s="2">
        <v>20320</v>
      </c>
    </row>
    <row r="193" spans="8:8">
      <c r="H193" s="2">
        <v>20325</v>
      </c>
    </row>
    <row r="194" spans="8:8">
      <c r="H194" s="2">
        <v>20330</v>
      </c>
    </row>
    <row r="195" spans="8:8">
      <c r="H195" s="2">
        <v>20335</v>
      </c>
    </row>
    <row r="196" spans="8:8">
      <c r="H196" s="2">
        <v>20340</v>
      </c>
    </row>
    <row r="197" spans="8:8">
      <c r="H197" s="2">
        <v>20345</v>
      </c>
    </row>
    <row r="198" spans="8:8">
      <c r="H198" s="2">
        <v>20350</v>
      </c>
    </row>
    <row r="199" spans="8:8">
      <c r="H199" s="2">
        <v>20405</v>
      </c>
    </row>
    <row r="200" spans="8:8">
      <c r="H200" s="2">
        <v>20410</v>
      </c>
    </row>
    <row r="201" spans="8:8">
      <c r="H201" s="2">
        <v>20415</v>
      </c>
    </row>
    <row r="202" spans="8:8">
      <c r="H202" s="2">
        <v>20420</v>
      </c>
    </row>
    <row r="203" spans="8:8">
      <c r="H203" s="2">
        <v>20425</v>
      </c>
    </row>
    <row r="204" spans="8:8">
      <c r="H204" s="2">
        <v>20430</v>
      </c>
    </row>
    <row r="205" spans="8:8">
      <c r="H205" s="2">
        <v>20435</v>
      </c>
    </row>
    <row r="206" spans="8:8">
      <c r="H206" s="2">
        <v>20440</v>
      </c>
    </row>
    <row r="207" spans="8:8">
      <c r="H207" s="2">
        <v>20445</v>
      </c>
    </row>
    <row r="208" spans="8:8">
      <c r="H208" s="2">
        <v>20450</v>
      </c>
    </row>
    <row r="209" spans="8:8">
      <c r="H209" s="2">
        <v>20505</v>
      </c>
    </row>
    <row r="210" spans="8:8">
      <c r="H210" s="2">
        <v>20510</v>
      </c>
    </row>
    <row r="211" spans="8:8">
      <c r="H211" s="2">
        <v>20515</v>
      </c>
    </row>
    <row r="212" spans="8:8">
      <c r="H212" s="2">
        <v>20520</v>
      </c>
    </row>
    <row r="213" spans="8:8">
      <c r="H213" s="2">
        <v>20525</v>
      </c>
    </row>
    <row r="214" spans="8:8">
      <c r="H214" s="2">
        <v>20530</v>
      </c>
    </row>
    <row r="215" spans="8:8">
      <c r="H215" s="2">
        <v>20535</v>
      </c>
    </row>
    <row r="216" spans="8:8">
      <c r="H216" s="2">
        <v>20540</v>
      </c>
    </row>
    <row r="217" spans="8:8">
      <c r="H217" s="2">
        <v>20545</v>
      </c>
    </row>
    <row r="218" spans="8:8">
      <c r="H218" s="2">
        <v>20550</v>
      </c>
    </row>
    <row r="219" spans="8:8">
      <c r="H219" s="2">
        <v>20605</v>
      </c>
    </row>
    <row r="220" spans="8:8">
      <c r="H220" s="2">
        <v>20610</v>
      </c>
    </row>
    <row r="221" spans="8:8">
      <c r="H221" s="2">
        <v>20615</v>
      </c>
    </row>
    <row r="222" spans="8:8">
      <c r="H222" s="2">
        <v>20620</v>
      </c>
    </row>
    <row r="223" spans="8:8">
      <c r="H223" s="2">
        <v>20625</v>
      </c>
    </row>
    <row r="224" spans="8:8">
      <c r="H224" s="2">
        <v>20630</v>
      </c>
    </row>
    <row r="225" spans="8:8">
      <c r="H225" s="2">
        <v>20635</v>
      </c>
    </row>
    <row r="226" spans="8:8">
      <c r="H226" s="2">
        <v>20640</v>
      </c>
    </row>
    <row r="227" spans="8:8">
      <c r="H227" s="2">
        <v>20645</v>
      </c>
    </row>
    <row r="228" spans="8:8">
      <c r="H228" s="2">
        <v>20650</v>
      </c>
    </row>
    <row r="229" spans="8:8">
      <c r="H229" s="2">
        <v>20705</v>
      </c>
    </row>
    <row r="230" spans="8:8">
      <c r="H230" s="2">
        <v>20710</v>
      </c>
    </row>
    <row r="231" spans="8:8">
      <c r="H231" s="2">
        <v>20715</v>
      </c>
    </row>
    <row r="232" spans="8:8">
      <c r="H232" s="2">
        <v>20720</v>
      </c>
    </row>
    <row r="233" spans="8:8">
      <c r="H233" s="2">
        <v>20725</v>
      </c>
    </row>
    <row r="234" spans="8:8">
      <c r="H234" s="2">
        <v>20730</v>
      </c>
    </row>
    <row r="235" spans="8:8">
      <c r="H235" s="2">
        <v>20735</v>
      </c>
    </row>
    <row r="236" spans="8:8">
      <c r="H236" s="2">
        <v>20740</v>
      </c>
    </row>
    <row r="237" spans="8:8">
      <c r="H237" s="2">
        <v>20745</v>
      </c>
    </row>
    <row r="238" spans="8:8">
      <c r="H238" s="2">
        <v>20750</v>
      </c>
    </row>
    <row r="239" spans="8:8">
      <c r="H239" s="2">
        <v>20805</v>
      </c>
    </row>
    <row r="240" spans="8:8">
      <c r="H240" s="2">
        <v>20810</v>
      </c>
    </row>
    <row r="241" spans="8:8">
      <c r="H241" s="2">
        <v>20815</v>
      </c>
    </row>
    <row r="242" spans="8:8">
      <c r="H242" s="2">
        <v>20820</v>
      </c>
    </row>
    <row r="243" spans="8:8">
      <c r="H243" s="2">
        <v>20825</v>
      </c>
    </row>
    <row r="244" spans="8:8">
      <c r="H244" s="2">
        <v>20830</v>
      </c>
    </row>
    <row r="245" spans="8:8">
      <c r="H245" s="2">
        <v>20835</v>
      </c>
    </row>
    <row r="246" spans="8:8">
      <c r="H246" s="2">
        <v>20840</v>
      </c>
    </row>
    <row r="247" spans="8:8">
      <c r="H247" s="2">
        <v>20845</v>
      </c>
    </row>
    <row r="248" spans="8:8">
      <c r="H248" s="2">
        <v>20850</v>
      </c>
    </row>
    <row r="249" spans="8:8">
      <c r="H249" s="2">
        <v>20905</v>
      </c>
    </row>
    <row r="250" spans="8:8">
      <c r="H250" s="2">
        <v>20910</v>
      </c>
    </row>
    <row r="251" spans="8:8">
      <c r="H251" s="2">
        <v>20915</v>
      </c>
    </row>
    <row r="252" spans="8:8">
      <c r="H252" s="2">
        <v>20920</v>
      </c>
    </row>
    <row r="253" spans="8:8">
      <c r="H253" s="2">
        <v>20925</v>
      </c>
    </row>
    <row r="254" spans="8:8">
      <c r="H254" s="2">
        <v>20930</v>
      </c>
    </row>
    <row r="255" spans="8:8">
      <c r="H255" s="2">
        <v>20935</v>
      </c>
    </row>
    <row r="256" spans="8:8">
      <c r="H256" s="2">
        <v>20940</v>
      </c>
    </row>
    <row r="257" spans="8:8">
      <c r="H257" s="2">
        <v>20945</v>
      </c>
    </row>
    <row r="258" spans="8:8">
      <c r="H258" s="2">
        <v>20950</v>
      </c>
    </row>
    <row r="259" spans="8:8">
      <c r="H259" s="2">
        <v>21005</v>
      </c>
    </row>
    <row r="260" spans="8:8">
      <c r="H260" s="2">
        <v>21010</v>
      </c>
    </row>
    <row r="261" spans="8:8">
      <c r="H261" s="2">
        <v>21015</v>
      </c>
    </row>
    <row r="262" spans="8:8">
      <c r="H262" s="2">
        <v>21020</v>
      </c>
    </row>
    <row r="263" spans="8:8">
      <c r="H263" s="2">
        <v>21025</v>
      </c>
    </row>
    <row r="264" spans="8:8">
      <c r="H264" s="2">
        <v>21030</v>
      </c>
    </row>
    <row r="265" spans="8:8">
      <c r="H265" s="2">
        <v>21035</v>
      </c>
    </row>
    <row r="266" spans="8:8">
      <c r="H266" s="2">
        <v>21040</v>
      </c>
    </row>
    <row r="267" spans="8:8">
      <c r="H267" s="2">
        <v>21045</v>
      </c>
    </row>
    <row r="268" spans="8:8">
      <c r="H268" s="2">
        <v>21050</v>
      </c>
    </row>
    <row r="269" spans="8:8">
      <c r="H269" s="2">
        <v>30105</v>
      </c>
    </row>
    <row r="270" spans="8:8">
      <c r="H270" s="2">
        <v>30110</v>
      </c>
    </row>
    <row r="271" spans="8:8">
      <c r="H271" s="2">
        <v>30115</v>
      </c>
    </row>
    <row r="272" spans="8:8">
      <c r="H272" s="2">
        <v>30120</v>
      </c>
    </row>
    <row r="273" spans="8:8">
      <c r="H273" s="2">
        <v>30125</v>
      </c>
    </row>
    <row r="274" spans="8:8">
      <c r="H274" s="2">
        <v>30130</v>
      </c>
    </row>
    <row r="275" spans="8:8">
      <c r="H275" s="2">
        <v>30135</v>
      </c>
    </row>
    <row r="276" spans="8:8">
      <c r="H276" s="2">
        <v>30140</v>
      </c>
    </row>
    <row r="277" spans="8:8">
      <c r="H277" s="2">
        <v>30145</v>
      </c>
    </row>
    <row r="278" spans="8:8">
      <c r="H278" s="2">
        <v>30150</v>
      </c>
    </row>
    <row r="279" spans="8:8">
      <c r="H279" s="2">
        <v>30205</v>
      </c>
    </row>
    <row r="280" spans="8:8">
      <c r="H280" s="2">
        <v>30210</v>
      </c>
    </row>
    <row r="281" spans="8:8">
      <c r="H281" s="2">
        <v>30215</v>
      </c>
    </row>
    <row r="282" spans="8:8">
      <c r="H282" s="2">
        <v>30220</v>
      </c>
    </row>
    <row r="283" spans="8:8">
      <c r="H283" s="2">
        <v>30225</v>
      </c>
    </row>
    <row r="284" spans="8:8">
      <c r="H284" s="2">
        <v>30230</v>
      </c>
    </row>
    <row r="285" spans="8:8">
      <c r="H285" s="2">
        <v>30235</v>
      </c>
    </row>
    <row r="286" spans="8:8">
      <c r="H286" s="2">
        <v>30240</v>
      </c>
    </row>
    <row r="287" spans="8:8">
      <c r="H287" s="2">
        <v>30245</v>
      </c>
    </row>
    <row r="288" spans="8:8">
      <c r="H288" s="2">
        <v>30250</v>
      </c>
    </row>
    <row r="289" spans="8:8">
      <c r="H289" s="2">
        <v>30305</v>
      </c>
    </row>
    <row r="290" spans="8:8">
      <c r="H290" s="2">
        <v>30310</v>
      </c>
    </row>
    <row r="291" spans="8:8">
      <c r="H291" s="2">
        <v>30315</v>
      </c>
    </row>
    <row r="292" spans="8:8">
      <c r="H292" s="2">
        <v>30320</v>
      </c>
    </row>
    <row r="293" spans="8:8">
      <c r="H293" s="2">
        <v>30325</v>
      </c>
    </row>
    <row r="294" spans="8:8">
      <c r="H294" s="2">
        <v>30330</v>
      </c>
    </row>
    <row r="295" spans="8:8">
      <c r="H295" s="2">
        <v>30335</v>
      </c>
    </row>
    <row r="296" spans="8:8">
      <c r="H296" s="2">
        <v>30340</v>
      </c>
    </row>
    <row r="297" spans="8:8">
      <c r="H297" s="2">
        <v>30345</v>
      </c>
    </row>
    <row r="298" spans="8:8">
      <c r="H298" s="2">
        <v>30350</v>
      </c>
    </row>
    <row r="299" spans="8:8">
      <c r="H299" s="2">
        <v>30405</v>
      </c>
    </row>
    <row r="300" spans="8:8">
      <c r="H300" s="2">
        <v>30410</v>
      </c>
    </row>
    <row r="301" spans="8:8">
      <c r="H301" s="2">
        <v>30415</v>
      </c>
    </row>
    <row r="302" spans="8:8">
      <c r="H302" s="2">
        <v>30420</v>
      </c>
    </row>
    <row r="303" spans="8:8">
      <c r="H303" s="2">
        <v>30425</v>
      </c>
    </row>
    <row r="304" spans="8:8">
      <c r="H304" s="2">
        <v>30430</v>
      </c>
    </row>
    <row r="305" spans="8:8">
      <c r="H305" s="2">
        <v>30435</v>
      </c>
    </row>
    <row r="306" spans="8:8">
      <c r="H306" s="2">
        <v>30440</v>
      </c>
    </row>
    <row r="307" spans="8:8">
      <c r="H307" s="2">
        <v>30445</v>
      </c>
    </row>
    <row r="308" spans="8:8">
      <c r="H308" s="2">
        <v>30450</v>
      </c>
    </row>
    <row r="309" spans="8:8">
      <c r="H309" s="2">
        <v>30505</v>
      </c>
    </row>
    <row r="310" spans="8:8">
      <c r="H310" s="2">
        <v>30510</v>
      </c>
    </row>
    <row r="311" spans="8:8">
      <c r="H311" s="2">
        <v>30515</v>
      </c>
    </row>
    <row r="312" spans="8:8">
      <c r="H312" s="2">
        <v>30520</v>
      </c>
    </row>
    <row r="313" spans="8:8">
      <c r="H313" s="2">
        <v>30525</v>
      </c>
    </row>
    <row r="314" spans="8:8">
      <c r="H314" s="2">
        <v>30530</v>
      </c>
    </row>
    <row r="315" spans="8:8">
      <c r="H315" s="2">
        <v>30535</v>
      </c>
    </row>
    <row r="316" spans="8:8">
      <c r="H316" s="2">
        <v>30540</v>
      </c>
    </row>
    <row r="317" spans="8:8">
      <c r="H317" s="2">
        <v>30545</v>
      </c>
    </row>
    <row r="318" spans="8:8">
      <c r="H318" s="2">
        <v>30550</v>
      </c>
    </row>
    <row r="319" spans="8:8">
      <c r="H319" s="2">
        <v>30605</v>
      </c>
    </row>
    <row r="320" spans="8:8">
      <c r="H320" s="2">
        <v>30610</v>
      </c>
    </row>
    <row r="321" spans="8:8">
      <c r="H321" s="2">
        <v>30615</v>
      </c>
    </row>
    <row r="322" spans="8:8">
      <c r="H322" s="2">
        <v>30620</v>
      </c>
    </row>
    <row r="323" spans="8:8">
      <c r="H323" s="2">
        <v>30625</v>
      </c>
    </row>
    <row r="324" spans="8:8">
      <c r="H324" s="2">
        <v>30630</v>
      </c>
    </row>
    <row r="325" spans="8:8">
      <c r="H325" s="2">
        <v>30635</v>
      </c>
    </row>
    <row r="326" spans="8:8">
      <c r="H326" s="2">
        <v>30640</v>
      </c>
    </row>
    <row r="327" spans="8:8">
      <c r="H327" s="2">
        <v>30645</v>
      </c>
    </row>
    <row r="328" spans="8:8">
      <c r="H328" s="2">
        <v>30650</v>
      </c>
    </row>
    <row r="329" spans="8:8">
      <c r="H329" s="2">
        <v>30705</v>
      </c>
    </row>
    <row r="330" spans="8:8">
      <c r="H330" s="2">
        <v>30710</v>
      </c>
    </row>
    <row r="331" spans="8:8">
      <c r="H331" s="2">
        <v>30715</v>
      </c>
    </row>
    <row r="332" spans="8:8">
      <c r="H332" s="2">
        <v>30720</v>
      </c>
    </row>
    <row r="333" spans="8:8">
      <c r="H333" s="2">
        <v>30725</v>
      </c>
    </row>
    <row r="334" spans="8:8">
      <c r="H334" s="2">
        <v>30730</v>
      </c>
    </row>
    <row r="335" spans="8:8">
      <c r="H335" s="2">
        <v>30735</v>
      </c>
    </row>
    <row r="336" spans="8:8">
      <c r="H336" s="2">
        <v>30740</v>
      </c>
    </row>
    <row r="337" spans="8:8">
      <c r="H337" s="2">
        <v>30745</v>
      </c>
    </row>
    <row r="338" spans="8:8">
      <c r="H338" s="2">
        <v>30750</v>
      </c>
    </row>
    <row r="339" spans="8:8">
      <c r="H339" s="2">
        <v>30805</v>
      </c>
    </row>
    <row r="340" spans="8:8">
      <c r="H340" s="2">
        <v>30810</v>
      </c>
    </row>
    <row r="341" spans="8:8">
      <c r="H341" s="2">
        <v>30815</v>
      </c>
    </row>
    <row r="342" spans="8:8">
      <c r="H342" s="2">
        <v>30820</v>
      </c>
    </row>
    <row r="343" spans="8:8">
      <c r="H343" s="2">
        <v>30825</v>
      </c>
    </row>
    <row r="344" spans="8:8">
      <c r="H344" s="2">
        <v>30830</v>
      </c>
    </row>
    <row r="345" spans="8:8">
      <c r="H345" s="2">
        <v>30835</v>
      </c>
    </row>
    <row r="346" spans="8:8">
      <c r="H346" s="2">
        <v>30840</v>
      </c>
    </row>
    <row r="347" spans="8:8">
      <c r="H347" s="2">
        <v>30845</v>
      </c>
    </row>
    <row r="348" spans="8:8">
      <c r="H348" s="2">
        <v>30850</v>
      </c>
    </row>
    <row r="349" spans="8:8">
      <c r="H349" s="2">
        <v>30905</v>
      </c>
    </row>
    <row r="350" spans="8:8">
      <c r="H350" s="2">
        <v>30910</v>
      </c>
    </row>
    <row r="351" spans="8:8">
      <c r="H351" s="2">
        <v>30915</v>
      </c>
    </row>
    <row r="352" spans="8:8">
      <c r="H352" s="2">
        <v>30920</v>
      </c>
    </row>
    <row r="353" spans="8:8">
      <c r="H353" s="2">
        <v>30925</v>
      </c>
    </row>
    <row r="354" spans="8:8">
      <c r="H354" s="2">
        <v>30930</v>
      </c>
    </row>
    <row r="355" spans="8:8">
      <c r="H355" s="2">
        <v>30935</v>
      </c>
    </row>
    <row r="356" spans="8:8">
      <c r="H356" s="2">
        <v>30940</v>
      </c>
    </row>
    <row r="357" spans="8:8">
      <c r="H357" s="2">
        <v>30945</v>
      </c>
    </row>
    <row r="358" spans="8:8">
      <c r="H358" s="2">
        <v>30950</v>
      </c>
    </row>
    <row r="359" spans="8:8">
      <c r="H359" s="2">
        <v>31005</v>
      </c>
    </row>
    <row r="360" spans="8:8">
      <c r="H360" s="2">
        <v>31010</v>
      </c>
    </row>
    <row r="361" spans="8:8">
      <c r="H361" s="2">
        <v>31015</v>
      </c>
    </row>
    <row r="362" spans="8:8">
      <c r="H362" s="2">
        <v>31020</v>
      </c>
    </row>
    <row r="363" spans="8:8">
      <c r="H363" s="2">
        <v>31025</v>
      </c>
    </row>
    <row r="364" spans="8:8">
      <c r="H364" s="2">
        <v>31030</v>
      </c>
    </row>
    <row r="365" spans="8:8">
      <c r="H365" s="2">
        <v>31035</v>
      </c>
    </row>
    <row r="366" spans="8:8">
      <c r="H366" s="2">
        <v>31040</v>
      </c>
    </row>
    <row r="367" spans="8:8">
      <c r="H367" s="2">
        <v>31045</v>
      </c>
    </row>
    <row r="368" spans="8:8">
      <c r="H368" s="2">
        <v>31050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copy_extra_award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2021-03-03T08:22:03Z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