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8F51DED2-BBCE-42CF-9B98-9CF2A68AF8EF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mythical_copy" sheetId="1" r:id="rId1"/>
  </sheets>
  <externalReferences>
    <externalReference r:id="rId2"/>
  </externalReferences>
  <definedNames>
    <definedName name="_xlnm._FilterDatabase" localSheetId="0" hidden="1">mythical_copy!$A$3:$BE$603</definedName>
  </definedNames>
  <calcPr calcId="191029"/>
</workbook>
</file>

<file path=xl/calcChain.xml><?xml version="1.0" encoding="utf-8"?>
<calcChain xmlns="http://schemas.openxmlformats.org/spreadsheetml/2006/main">
  <c r="AV5" i="1" l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57" i="1"/>
  <c r="D157" i="1"/>
  <c r="C158" i="1"/>
  <c r="D158" i="1"/>
  <c r="C159" i="1"/>
  <c r="D159" i="1"/>
  <c r="C160" i="1"/>
  <c r="D160" i="1"/>
  <c r="C161" i="1"/>
  <c r="D161" i="1"/>
  <c r="C162" i="1"/>
  <c r="D162" i="1"/>
  <c r="C163" i="1"/>
  <c r="D163" i="1"/>
  <c r="O163" i="1"/>
  <c r="F163" i="1" s="1"/>
  <c r="O5" i="1"/>
  <c r="F5" i="1" s="1"/>
  <c r="O6" i="1"/>
  <c r="F6" i="1" s="1"/>
  <c r="O7" i="1"/>
  <c r="F7" i="1" s="1"/>
  <c r="O8" i="1"/>
  <c r="F8" i="1" s="1"/>
  <c r="O9" i="1"/>
  <c r="F9" i="1" s="1"/>
  <c r="O10" i="1"/>
  <c r="F10" i="1" s="1"/>
  <c r="O11" i="1"/>
  <c r="F11" i="1" s="1"/>
  <c r="O12" i="1"/>
  <c r="F12" i="1" s="1"/>
  <c r="O13" i="1"/>
  <c r="F13" i="1" s="1"/>
  <c r="O14" i="1"/>
  <c r="F14" i="1" s="1"/>
  <c r="O15" i="1"/>
  <c r="F15" i="1" s="1"/>
  <c r="O16" i="1"/>
  <c r="F16" i="1" s="1"/>
  <c r="O17" i="1"/>
  <c r="F17" i="1" s="1"/>
  <c r="O18" i="1"/>
  <c r="F18" i="1" s="1"/>
  <c r="O19" i="1"/>
  <c r="F19" i="1" s="1"/>
  <c r="O20" i="1"/>
  <c r="F20" i="1" s="1"/>
  <c r="O21" i="1"/>
  <c r="F21" i="1" s="1"/>
  <c r="O22" i="1"/>
  <c r="F22" i="1" s="1"/>
  <c r="O23" i="1"/>
  <c r="F23" i="1" s="1"/>
  <c r="O24" i="1"/>
  <c r="F24" i="1" s="1"/>
  <c r="O25" i="1"/>
  <c r="F25" i="1" s="1"/>
  <c r="O26" i="1"/>
  <c r="F26" i="1" s="1"/>
  <c r="O27" i="1"/>
  <c r="F27" i="1" s="1"/>
  <c r="O28" i="1"/>
  <c r="F28" i="1" s="1"/>
  <c r="O29" i="1"/>
  <c r="F29" i="1" s="1"/>
  <c r="O30" i="1"/>
  <c r="F30" i="1" s="1"/>
  <c r="O31" i="1"/>
  <c r="F31" i="1" s="1"/>
  <c r="O32" i="1"/>
  <c r="F32" i="1" s="1"/>
  <c r="O33" i="1"/>
  <c r="F33" i="1" s="1"/>
  <c r="O34" i="1"/>
  <c r="F34" i="1" s="1"/>
  <c r="O35" i="1"/>
  <c r="F35" i="1" s="1"/>
  <c r="O36" i="1"/>
  <c r="F36" i="1" s="1"/>
  <c r="O37" i="1"/>
  <c r="F37" i="1" s="1"/>
  <c r="O38" i="1"/>
  <c r="F38" i="1" s="1"/>
  <c r="O39" i="1"/>
  <c r="F39" i="1" s="1"/>
  <c r="O40" i="1"/>
  <c r="F40" i="1" s="1"/>
  <c r="O41" i="1"/>
  <c r="F41" i="1" s="1"/>
  <c r="O42" i="1"/>
  <c r="F42" i="1" s="1"/>
  <c r="O43" i="1"/>
  <c r="F43" i="1" s="1"/>
  <c r="O44" i="1"/>
  <c r="F44" i="1" s="1"/>
  <c r="O45" i="1"/>
  <c r="F45" i="1" s="1"/>
  <c r="O46" i="1"/>
  <c r="F46" i="1" s="1"/>
  <c r="O47" i="1"/>
  <c r="F47" i="1" s="1"/>
  <c r="O48" i="1"/>
  <c r="F48" i="1" s="1"/>
  <c r="O49" i="1"/>
  <c r="F49" i="1" s="1"/>
  <c r="O50" i="1"/>
  <c r="F50" i="1" s="1"/>
  <c r="O51" i="1"/>
  <c r="F51" i="1" s="1"/>
  <c r="O52" i="1"/>
  <c r="F52" i="1" s="1"/>
  <c r="O53" i="1"/>
  <c r="F53" i="1" s="1"/>
  <c r="O54" i="1"/>
  <c r="F54" i="1" s="1"/>
  <c r="O55" i="1"/>
  <c r="F55" i="1" s="1"/>
  <c r="O56" i="1"/>
  <c r="F56" i="1" s="1"/>
  <c r="O57" i="1"/>
  <c r="F57" i="1" s="1"/>
  <c r="O58" i="1"/>
  <c r="F58" i="1" s="1"/>
  <c r="O59" i="1"/>
  <c r="F59" i="1" s="1"/>
  <c r="O60" i="1"/>
  <c r="F60" i="1" s="1"/>
  <c r="O61" i="1"/>
  <c r="F61" i="1" s="1"/>
  <c r="O62" i="1"/>
  <c r="F62" i="1" s="1"/>
  <c r="O63" i="1"/>
  <c r="F63" i="1" s="1"/>
  <c r="O64" i="1"/>
  <c r="F64" i="1" s="1"/>
  <c r="O65" i="1"/>
  <c r="F65" i="1" s="1"/>
  <c r="O66" i="1"/>
  <c r="F66" i="1" s="1"/>
  <c r="O67" i="1"/>
  <c r="F67" i="1" s="1"/>
  <c r="O68" i="1"/>
  <c r="F68" i="1" s="1"/>
  <c r="O69" i="1"/>
  <c r="F69" i="1" s="1"/>
  <c r="O70" i="1"/>
  <c r="F70" i="1" s="1"/>
  <c r="O71" i="1"/>
  <c r="F71" i="1" s="1"/>
  <c r="O72" i="1"/>
  <c r="F72" i="1" s="1"/>
  <c r="O73" i="1"/>
  <c r="F73" i="1" s="1"/>
  <c r="O74" i="1"/>
  <c r="F74" i="1" s="1"/>
  <c r="O75" i="1"/>
  <c r="F75" i="1" s="1"/>
  <c r="O76" i="1"/>
  <c r="F76" i="1" s="1"/>
  <c r="O77" i="1"/>
  <c r="F77" i="1" s="1"/>
  <c r="O78" i="1"/>
  <c r="F78" i="1" s="1"/>
  <c r="O79" i="1"/>
  <c r="F79" i="1" s="1"/>
  <c r="O80" i="1"/>
  <c r="F80" i="1" s="1"/>
  <c r="O81" i="1"/>
  <c r="F81" i="1" s="1"/>
  <c r="O82" i="1"/>
  <c r="F82" i="1" s="1"/>
  <c r="O83" i="1"/>
  <c r="F83" i="1" s="1"/>
  <c r="O84" i="1"/>
  <c r="F84" i="1" s="1"/>
  <c r="O85" i="1"/>
  <c r="F85" i="1" s="1"/>
  <c r="O86" i="1"/>
  <c r="F86" i="1" s="1"/>
  <c r="O87" i="1"/>
  <c r="F87" i="1" s="1"/>
  <c r="O88" i="1"/>
  <c r="F88" i="1" s="1"/>
  <c r="O89" i="1"/>
  <c r="F89" i="1" s="1"/>
  <c r="O90" i="1"/>
  <c r="F90" i="1" s="1"/>
  <c r="O91" i="1"/>
  <c r="F91" i="1" s="1"/>
  <c r="O92" i="1"/>
  <c r="F92" i="1" s="1"/>
  <c r="O93" i="1"/>
  <c r="F93" i="1" s="1"/>
  <c r="O94" i="1"/>
  <c r="F94" i="1" s="1"/>
  <c r="O95" i="1"/>
  <c r="F95" i="1" s="1"/>
  <c r="O96" i="1"/>
  <c r="F96" i="1" s="1"/>
  <c r="O97" i="1"/>
  <c r="F97" i="1" s="1"/>
  <c r="O98" i="1"/>
  <c r="F98" i="1" s="1"/>
  <c r="O99" i="1"/>
  <c r="F99" i="1" s="1"/>
  <c r="O100" i="1"/>
  <c r="F100" i="1" s="1"/>
  <c r="O101" i="1"/>
  <c r="F101" i="1" s="1"/>
  <c r="O102" i="1"/>
  <c r="F102" i="1" s="1"/>
  <c r="O103" i="1"/>
  <c r="F103" i="1" s="1"/>
  <c r="O104" i="1"/>
  <c r="F104" i="1" s="1"/>
  <c r="O105" i="1"/>
  <c r="F105" i="1" s="1"/>
  <c r="O106" i="1"/>
  <c r="F106" i="1" s="1"/>
  <c r="O107" i="1"/>
  <c r="F107" i="1" s="1"/>
  <c r="O108" i="1"/>
  <c r="F108" i="1" s="1"/>
  <c r="O109" i="1"/>
  <c r="F109" i="1" s="1"/>
  <c r="O110" i="1"/>
  <c r="F110" i="1" s="1"/>
  <c r="O111" i="1"/>
  <c r="F111" i="1" s="1"/>
  <c r="O112" i="1"/>
  <c r="F112" i="1" s="1"/>
  <c r="O113" i="1"/>
  <c r="F113" i="1" s="1"/>
  <c r="O114" i="1"/>
  <c r="F114" i="1" s="1"/>
  <c r="O115" i="1"/>
  <c r="F115" i="1" s="1"/>
  <c r="O116" i="1"/>
  <c r="F116" i="1" s="1"/>
  <c r="O117" i="1"/>
  <c r="F117" i="1" s="1"/>
  <c r="O118" i="1"/>
  <c r="F118" i="1" s="1"/>
  <c r="O119" i="1"/>
  <c r="F119" i="1" s="1"/>
  <c r="O120" i="1"/>
  <c r="F120" i="1" s="1"/>
  <c r="O121" i="1"/>
  <c r="F121" i="1" s="1"/>
  <c r="O122" i="1"/>
  <c r="F122" i="1" s="1"/>
  <c r="O123" i="1"/>
  <c r="F123" i="1" s="1"/>
  <c r="O124" i="1"/>
  <c r="F124" i="1" s="1"/>
  <c r="O125" i="1"/>
  <c r="F125" i="1" s="1"/>
  <c r="O126" i="1"/>
  <c r="F126" i="1" s="1"/>
  <c r="O127" i="1"/>
  <c r="F127" i="1" s="1"/>
  <c r="O128" i="1"/>
  <c r="F128" i="1" s="1"/>
  <c r="O129" i="1"/>
  <c r="F129" i="1" s="1"/>
  <c r="O130" i="1"/>
  <c r="F130" i="1" s="1"/>
  <c r="O131" i="1"/>
  <c r="F131" i="1" s="1"/>
  <c r="O132" i="1"/>
  <c r="F132" i="1" s="1"/>
  <c r="O133" i="1"/>
  <c r="F133" i="1" s="1"/>
  <c r="O134" i="1"/>
  <c r="F134" i="1" s="1"/>
  <c r="O135" i="1"/>
  <c r="F135" i="1" s="1"/>
  <c r="O136" i="1"/>
  <c r="F136" i="1" s="1"/>
  <c r="O137" i="1"/>
  <c r="F137" i="1" s="1"/>
  <c r="O138" i="1"/>
  <c r="F138" i="1" s="1"/>
  <c r="O139" i="1"/>
  <c r="F139" i="1" s="1"/>
  <c r="O140" i="1"/>
  <c r="F140" i="1" s="1"/>
  <c r="O141" i="1"/>
  <c r="F141" i="1" s="1"/>
  <c r="O142" i="1"/>
  <c r="F142" i="1" s="1"/>
  <c r="O143" i="1"/>
  <c r="F143" i="1" s="1"/>
  <c r="O144" i="1"/>
  <c r="F144" i="1" s="1"/>
  <c r="O145" i="1"/>
  <c r="F145" i="1" s="1"/>
  <c r="O146" i="1"/>
  <c r="F146" i="1" s="1"/>
  <c r="O147" i="1"/>
  <c r="F147" i="1" s="1"/>
  <c r="O148" i="1"/>
  <c r="F148" i="1" s="1"/>
  <c r="O149" i="1"/>
  <c r="F149" i="1" s="1"/>
  <c r="O150" i="1"/>
  <c r="F150" i="1" s="1"/>
  <c r="O151" i="1"/>
  <c r="F151" i="1" s="1"/>
  <c r="O152" i="1"/>
  <c r="F152" i="1" s="1"/>
  <c r="O153" i="1"/>
  <c r="F153" i="1" s="1"/>
  <c r="O154" i="1"/>
  <c r="F154" i="1" s="1"/>
  <c r="O155" i="1"/>
  <c r="F155" i="1" s="1"/>
  <c r="O156" i="1"/>
  <c r="F156" i="1" s="1"/>
  <c r="O157" i="1"/>
  <c r="F157" i="1" s="1"/>
  <c r="O158" i="1"/>
  <c r="F158" i="1" s="1"/>
  <c r="O159" i="1"/>
  <c r="F159" i="1" s="1"/>
  <c r="O160" i="1"/>
  <c r="F160" i="1" s="1"/>
  <c r="O161" i="1"/>
  <c r="F161" i="1" s="1"/>
  <c r="O162" i="1"/>
  <c r="F162" i="1" s="1"/>
  <c r="O4" i="1"/>
  <c r="F4" i="1" s="1"/>
  <c r="AI5" i="1"/>
  <c r="AJ5" i="1"/>
  <c r="AK5" i="1"/>
  <c r="AL5" i="1"/>
  <c r="AM5" i="1"/>
  <c r="AN5" i="1"/>
  <c r="AI6" i="1"/>
  <c r="AJ6" i="1"/>
  <c r="AK6" i="1"/>
  <c r="AL6" i="1"/>
  <c r="AM6" i="1"/>
  <c r="AN6" i="1"/>
  <c r="AI7" i="1"/>
  <c r="AJ7" i="1"/>
  <c r="AK7" i="1"/>
  <c r="AL7" i="1"/>
  <c r="AM7" i="1"/>
  <c r="AN7" i="1"/>
  <c r="AI8" i="1"/>
  <c r="AJ8" i="1"/>
  <c r="AK8" i="1"/>
  <c r="AL8" i="1"/>
  <c r="AM8" i="1"/>
  <c r="AN8" i="1"/>
  <c r="AI9" i="1"/>
  <c r="AJ9" i="1"/>
  <c r="AK9" i="1"/>
  <c r="AL9" i="1"/>
  <c r="AM9" i="1"/>
  <c r="AN9" i="1"/>
  <c r="AI10" i="1"/>
  <c r="AJ10" i="1"/>
  <c r="AK10" i="1"/>
  <c r="AL10" i="1"/>
  <c r="AM10" i="1"/>
  <c r="AN10" i="1"/>
  <c r="AI11" i="1"/>
  <c r="AJ11" i="1"/>
  <c r="AK11" i="1"/>
  <c r="AL11" i="1"/>
  <c r="AM11" i="1"/>
  <c r="AN11" i="1"/>
  <c r="AI12" i="1"/>
  <c r="AJ12" i="1"/>
  <c r="AK12" i="1"/>
  <c r="AL12" i="1"/>
  <c r="AM12" i="1"/>
  <c r="AN12" i="1"/>
  <c r="AI13" i="1"/>
  <c r="AJ13" i="1"/>
  <c r="AK13" i="1"/>
  <c r="AL13" i="1"/>
  <c r="AM13" i="1"/>
  <c r="AN13" i="1"/>
  <c r="AI14" i="1"/>
  <c r="AJ14" i="1"/>
  <c r="AK14" i="1"/>
  <c r="AL14" i="1"/>
  <c r="AM14" i="1"/>
  <c r="AN14" i="1"/>
  <c r="AI15" i="1"/>
  <c r="AJ15" i="1"/>
  <c r="AK15" i="1"/>
  <c r="AL15" i="1"/>
  <c r="AM15" i="1"/>
  <c r="AN15" i="1"/>
  <c r="AI16" i="1"/>
  <c r="AJ16" i="1"/>
  <c r="AK16" i="1"/>
  <c r="AL16" i="1"/>
  <c r="AM16" i="1"/>
  <c r="AN16" i="1"/>
  <c r="AI17" i="1"/>
  <c r="AJ17" i="1"/>
  <c r="AK17" i="1"/>
  <c r="AL17" i="1"/>
  <c r="AM17" i="1"/>
  <c r="AN17" i="1"/>
  <c r="AI18" i="1"/>
  <c r="AJ18" i="1"/>
  <c r="AK18" i="1"/>
  <c r="AL18" i="1"/>
  <c r="AM18" i="1"/>
  <c r="AN18" i="1"/>
  <c r="AI19" i="1"/>
  <c r="AJ19" i="1"/>
  <c r="AK19" i="1"/>
  <c r="AL19" i="1"/>
  <c r="AM19" i="1"/>
  <c r="AN19" i="1"/>
  <c r="AI20" i="1"/>
  <c r="AJ20" i="1"/>
  <c r="AK20" i="1"/>
  <c r="AL20" i="1"/>
  <c r="AM20" i="1"/>
  <c r="AN20" i="1"/>
  <c r="AI21" i="1"/>
  <c r="AJ21" i="1"/>
  <c r="AK21" i="1"/>
  <c r="AL21" i="1"/>
  <c r="AM21" i="1"/>
  <c r="AN21" i="1"/>
  <c r="AI22" i="1"/>
  <c r="AJ22" i="1"/>
  <c r="AK22" i="1"/>
  <c r="AL22" i="1"/>
  <c r="AM22" i="1"/>
  <c r="AN22" i="1"/>
  <c r="AI23" i="1"/>
  <c r="AJ23" i="1"/>
  <c r="AK23" i="1"/>
  <c r="AL23" i="1"/>
  <c r="AM23" i="1"/>
  <c r="AN23" i="1"/>
  <c r="AI24" i="1"/>
  <c r="AJ24" i="1"/>
  <c r="AK24" i="1"/>
  <c r="AL24" i="1"/>
  <c r="AM24" i="1"/>
  <c r="AN24" i="1"/>
  <c r="AI25" i="1"/>
  <c r="AJ25" i="1"/>
  <c r="AK25" i="1"/>
  <c r="AL25" i="1"/>
  <c r="AM25" i="1"/>
  <c r="AN25" i="1"/>
  <c r="AI26" i="1"/>
  <c r="AJ26" i="1"/>
  <c r="AK26" i="1"/>
  <c r="AL26" i="1"/>
  <c r="AM26" i="1"/>
  <c r="AN26" i="1"/>
  <c r="AI27" i="1"/>
  <c r="AJ27" i="1"/>
  <c r="AK27" i="1"/>
  <c r="AL27" i="1"/>
  <c r="AM27" i="1"/>
  <c r="AN27" i="1"/>
  <c r="AI28" i="1"/>
  <c r="AJ28" i="1"/>
  <c r="AK28" i="1"/>
  <c r="AL28" i="1"/>
  <c r="AM28" i="1"/>
  <c r="AN28" i="1"/>
  <c r="AI29" i="1"/>
  <c r="AJ29" i="1"/>
  <c r="AK29" i="1"/>
  <c r="AL29" i="1"/>
  <c r="AM29" i="1"/>
  <c r="AN29" i="1"/>
  <c r="AI30" i="1"/>
  <c r="AJ30" i="1"/>
  <c r="AK30" i="1"/>
  <c r="AL30" i="1"/>
  <c r="AM30" i="1"/>
  <c r="AN30" i="1"/>
  <c r="AI31" i="1"/>
  <c r="AJ31" i="1"/>
  <c r="AK31" i="1"/>
  <c r="AL31" i="1"/>
  <c r="AM31" i="1"/>
  <c r="AN31" i="1"/>
  <c r="AI32" i="1"/>
  <c r="AJ32" i="1"/>
  <c r="AK32" i="1"/>
  <c r="AL32" i="1"/>
  <c r="AM32" i="1"/>
  <c r="AN32" i="1"/>
  <c r="AI33" i="1"/>
  <c r="AJ33" i="1"/>
  <c r="AK33" i="1"/>
  <c r="AL33" i="1"/>
  <c r="AM33" i="1"/>
  <c r="AN33" i="1"/>
  <c r="AI34" i="1"/>
  <c r="AJ34" i="1"/>
  <c r="AK34" i="1"/>
  <c r="AL34" i="1"/>
  <c r="AM34" i="1"/>
  <c r="AN34" i="1"/>
  <c r="AI35" i="1"/>
  <c r="AJ35" i="1"/>
  <c r="AK35" i="1"/>
  <c r="AL35" i="1"/>
  <c r="AM35" i="1"/>
  <c r="AN35" i="1"/>
  <c r="AI36" i="1"/>
  <c r="AJ36" i="1"/>
  <c r="AK36" i="1"/>
  <c r="AL36" i="1"/>
  <c r="AM36" i="1"/>
  <c r="AN36" i="1"/>
  <c r="AI37" i="1"/>
  <c r="AJ37" i="1"/>
  <c r="AK37" i="1"/>
  <c r="AL37" i="1"/>
  <c r="AM37" i="1"/>
  <c r="AN37" i="1"/>
  <c r="AI38" i="1"/>
  <c r="AJ38" i="1"/>
  <c r="AK38" i="1"/>
  <c r="AL38" i="1"/>
  <c r="AM38" i="1"/>
  <c r="AN38" i="1"/>
  <c r="AI39" i="1"/>
  <c r="AJ39" i="1"/>
  <c r="AK39" i="1"/>
  <c r="AL39" i="1"/>
  <c r="AM39" i="1"/>
  <c r="AN39" i="1"/>
  <c r="AI40" i="1"/>
  <c r="AJ40" i="1"/>
  <c r="AK40" i="1"/>
  <c r="AL40" i="1"/>
  <c r="AM40" i="1"/>
  <c r="AN40" i="1"/>
  <c r="AI41" i="1"/>
  <c r="AJ41" i="1"/>
  <c r="AK41" i="1"/>
  <c r="AL41" i="1"/>
  <c r="AM41" i="1"/>
  <c r="AN41" i="1"/>
  <c r="AI42" i="1"/>
  <c r="AJ42" i="1"/>
  <c r="AK42" i="1"/>
  <c r="AL42" i="1"/>
  <c r="AM42" i="1"/>
  <c r="AN42" i="1"/>
  <c r="AI43" i="1"/>
  <c r="AJ43" i="1"/>
  <c r="AK43" i="1"/>
  <c r="AL43" i="1"/>
  <c r="AM43" i="1"/>
  <c r="AN43" i="1"/>
  <c r="AI44" i="1"/>
  <c r="AJ44" i="1"/>
  <c r="AK44" i="1"/>
  <c r="AL44" i="1"/>
  <c r="AM44" i="1"/>
  <c r="AN44" i="1"/>
  <c r="AI45" i="1"/>
  <c r="AJ45" i="1"/>
  <c r="AK45" i="1"/>
  <c r="AL45" i="1"/>
  <c r="AM45" i="1"/>
  <c r="AN45" i="1"/>
  <c r="AI46" i="1"/>
  <c r="AJ46" i="1"/>
  <c r="AK46" i="1"/>
  <c r="AL46" i="1"/>
  <c r="AM46" i="1"/>
  <c r="AN46" i="1"/>
  <c r="AI47" i="1"/>
  <c r="AJ47" i="1"/>
  <c r="AK47" i="1"/>
  <c r="AL47" i="1"/>
  <c r="AM47" i="1"/>
  <c r="AN47" i="1"/>
  <c r="AI48" i="1"/>
  <c r="AJ48" i="1"/>
  <c r="AK48" i="1"/>
  <c r="AL48" i="1"/>
  <c r="AM48" i="1"/>
  <c r="AN48" i="1"/>
  <c r="AI49" i="1"/>
  <c r="AJ49" i="1"/>
  <c r="AK49" i="1"/>
  <c r="AL49" i="1"/>
  <c r="AM49" i="1"/>
  <c r="AN49" i="1"/>
  <c r="AI50" i="1"/>
  <c r="AJ50" i="1"/>
  <c r="AK50" i="1"/>
  <c r="AL50" i="1"/>
  <c r="AM50" i="1"/>
  <c r="AN50" i="1"/>
  <c r="AI51" i="1"/>
  <c r="AJ51" i="1"/>
  <c r="AK51" i="1"/>
  <c r="AL51" i="1"/>
  <c r="AM51" i="1"/>
  <c r="AN51" i="1"/>
  <c r="AI52" i="1"/>
  <c r="AJ52" i="1"/>
  <c r="AK52" i="1"/>
  <c r="AL52" i="1"/>
  <c r="AM52" i="1"/>
  <c r="AN52" i="1"/>
  <c r="AI53" i="1"/>
  <c r="AJ53" i="1"/>
  <c r="AK53" i="1"/>
  <c r="AL53" i="1"/>
  <c r="AM53" i="1"/>
  <c r="AN53" i="1"/>
  <c r="AI54" i="1"/>
  <c r="AJ54" i="1"/>
  <c r="AK54" i="1"/>
  <c r="AL54" i="1"/>
  <c r="AM54" i="1"/>
  <c r="AN54" i="1"/>
  <c r="AI55" i="1"/>
  <c r="AJ55" i="1"/>
  <c r="AK55" i="1"/>
  <c r="AL55" i="1"/>
  <c r="AM55" i="1"/>
  <c r="AN55" i="1"/>
  <c r="AI56" i="1"/>
  <c r="AJ56" i="1"/>
  <c r="AK56" i="1"/>
  <c r="AL56" i="1"/>
  <c r="AM56" i="1"/>
  <c r="AN56" i="1"/>
  <c r="AI57" i="1"/>
  <c r="AJ57" i="1"/>
  <c r="AK57" i="1"/>
  <c r="AL57" i="1"/>
  <c r="AM57" i="1"/>
  <c r="AN57" i="1"/>
  <c r="AI58" i="1"/>
  <c r="AJ58" i="1"/>
  <c r="AK58" i="1"/>
  <c r="AL58" i="1"/>
  <c r="AM58" i="1"/>
  <c r="AN58" i="1"/>
  <c r="AI59" i="1"/>
  <c r="AJ59" i="1"/>
  <c r="AK59" i="1"/>
  <c r="AL59" i="1"/>
  <c r="AM59" i="1"/>
  <c r="AN59" i="1"/>
  <c r="AI60" i="1"/>
  <c r="AJ60" i="1"/>
  <c r="AK60" i="1"/>
  <c r="AL60" i="1"/>
  <c r="AM60" i="1"/>
  <c r="AN60" i="1"/>
  <c r="AI61" i="1"/>
  <c r="AJ61" i="1"/>
  <c r="AK61" i="1"/>
  <c r="AL61" i="1"/>
  <c r="AM61" i="1"/>
  <c r="AN61" i="1"/>
  <c r="AI62" i="1"/>
  <c r="AJ62" i="1"/>
  <c r="AK62" i="1"/>
  <c r="AL62" i="1"/>
  <c r="AM62" i="1"/>
  <c r="AN62" i="1"/>
  <c r="AI63" i="1"/>
  <c r="AJ63" i="1"/>
  <c r="AK63" i="1"/>
  <c r="AL63" i="1"/>
  <c r="AM63" i="1"/>
  <c r="AN63" i="1"/>
  <c r="AI64" i="1"/>
  <c r="AJ64" i="1"/>
  <c r="AK64" i="1"/>
  <c r="AL64" i="1"/>
  <c r="AM64" i="1"/>
  <c r="AN64" i="1"/>
  <c r="AI65" i="1"/>
  <c r="AJ65" i="1"/>
  <c r="AK65" i="1"/>
  <c r="AL65" i="1"/>
  <c r="AM65" i="1"/>
  <c r="AN65" i="1"/>
  <c r="AI66" i="1"/>
  <c r="AJ66" i="1"/>
  <c r="AK66" i="1"/>
  <c r="AL66" i="1"/>
  <c r="AM66" i="1"/>
  <c r="AN66" i="1"/>
  <c r="AI67" i="1"/>
  <c r="AJ67" i="1"/>
  <c r="AK67" i="1"/>
  <c r="AL67" i="1"/>
  <c r="AM67" i="1"/>
  <c r="AN67" i="1"/>
  <c r="AI68" i="1"/>
  <c r="AJ68" i="1"/>
  <c r="AK68" i="1"/>
  <c r="AL68" i="1"/>
  <c r="AM68" i="1"/>
  <c r="AN68" i="1"/>
  <c r="AI69" i="1"/>
  <c r="AJ69" i="1"/>
  <c r="AK69" i="1"/>
  <c r="AL69" i="1"/>
  <c r="AM69" i="1"/>
  <c r="AN69" i="1"/>
  <c r="AI70" i="1"/>
  <c r="AJ70" i="1"/>
  <c r="AK70" i="1"/>
  <c r="AL70" i="1"/>
  <c r="AM70" i="1"/>
  <c r="AN70" i="1"/>
  <c r="AI71" i="1"/>
  <c r="AJ71" i="1"/>
  <c r="AK71" i="1"/>
  <c r="AL71" i="1"/>
  <c r="AM71" i="1"/>
  <c r="AN71" i="1"/>
  <c r="AI72" i="1"/>
  <c r="AJ72" i="1"/>
  <c r="AK72" i="1"/>
  <c r="AL72" i="1"/>
  <c r="AM72" i="1"/>
  <c r="AN72" i="1"/>
  <c r="AI73" i="1"/>
  <c r="AJ73" i="1"/>
  <c r="AK73" i="1"/>
  <c r="AL73" i="1"/>
  <c r="AM73" i="1"/>
  <c r="AN73" i="1"/>
  <c r="AI74" i="1"/>
  <c r="AJ74" i="1"/>
  <c r="AK74" i="1"/>
  <c r="AL74" i="1"/>
  <c r="AM74" i="1"/>
  <c r="AN74" i="1"/>
  <c r="AI75" i="1"/>
  <c r="AJ75" i="1"/>
  <c r="AK75" i="1"/>
  <c r="AL75" i="1"/>
  <c r="AM75" i="1"/>
  <c r="AN75" i="1"/>
  <c r="AI76" i="1"/>
  <c r="AJ76" i="1"/>
  <c r="AK76" i="1"/>
  <c r="AL76" i="1"/>
  <c r="AM76" i="1"/>
  <c r="AN76" i="1"/>
  <c r="AI77" i="1"/>
  <c r="AJ77" i="1"/>
  <c r="AK77" i="1"/>
  <c r="AL77" i="1"/>
  <c r="AM77" i="1"/>
  <c r="AN77" i="1"/>
  <c r="AI78" i="1"/>
  <c r="AJ78" i="1"/>
  <c r="AK78" i="1"/>
  <c r="AL78" i="1"/>
  <c r="AM78" i="1"/>
  <c r="AN78" i="1"/>
  <c r="AI79" i="1"/>
  <c r="AJ79" i="1"/>
  <c r="AK79" i="1"/>
  <c r="AL79" i="1"/>
  <c r="AM79" i="1"/>
  <c r="AN79" i="1"/>
  <c r="AI80" i="1"/>
  <c r="AJ80" i="1"/>
  <c r="AK80" i="1"/>
  <c r="AL80" i="1"/>
  <c r="AM80" i="1"/>
  <c r="AN80" i="1"/>
  <c r="AI81" i="1"/>
  <c r="AJ81" i="1"/>
  <c r="AK81" i="1"/>
  <c r="AL81" i="1"/>
  <c r="AM81" i="1"/>
  <c r="AN81" i="1"/>
  <c r="AI82" i="1"/>
  <c r="AJ82" i="1"/>
  <c r="AK82" i="1"/>
  <c r="AL82" i="1"/>
  <c r="AM82" i="1"/>
  <c r="AN82" i="1"/>
  <c r="AI83" i="1"/>
  <c r="AJ83" i="1"/>
  <c r="AK83" i="1"/>
  <c r="AL83" i="1"/>
  <c r="AM83" i="1"/>
  <c r="AN83" i="1"/>
  <c r="AI84" i="1"/>
  <c r="AJ84" i="1"/>
  <c r="AK84" i="1"/>
  <c r="AL84" i="1"/>
  <c r="AM84" i="1"/>
  <c r="AN84" i="1"/>
  <c r="AI85" i="1"/>
  <c r="AJ85" i="1"/>
  <c r="AK85" i="1"/>
  <c r="AL85" i="1"/>
  <c r="AM85" i="1"/>
  <c r="AN85" i="1"/>
  <c r="AI86" i="1"/>
  <c r="AJ86" i="1"/>
  <c r="AK86" i="1"/>
  <c r="AL86" i="1"/>
  <c r="AM86" i="1"/>
  <c r="AN86" i="1"/>
  <c r="AI87" i="1"/>
  <c r="AJ87" i="1"/>
  <c r="AK87" i="1"/>
  <c r="AL87" i="1"/>
  <c r="AM87" i="1"/>
  <c r="AN87" i="1"/>
  <c r="AI88" i="1"/>
  <c r="AJ88" i="1"/>
  <c r="AK88" i="1"/>
  <c r="AL88" i="1"/>
  <c r="AM88" i="1"/>
  <c r="AN88" i="1"/>
  <c r="AI89" i="1"/>
  <c r="AJ89" i="1"/>
  <c r="AK89" i="1"/>
  <c r="AL89" i="1"/>
  <c r="AM89" i="1"/>
  <c r="AN89" i="1"/>
  <c r="AI90" i="1"/>
  <c r="AJ90" i="1"/>
  <c r="AK90" i="1"/>
  <c r="AL90" i="1"/>
  <c r="AM90" i="1"/>
  <c r="AN90" i="1"/>
  <c r="AI91" i="1"/>
  <c r="AJ91" i="1"/>
  <c r="AK91" i="1"/>
  <c r="AL91" i="1"/>
  <c r="AM91" i="1"/>
  <c r="AN91" i="1"/>
  <c r="AI92" i="1"/>
  <c r="AJ92" i="1"/>
  <c r="AK92" i="1"/>
  <c r="AL92" i="1"/>
  <c r="AM92" i="1"/>
  <c r="AN92" i="1"/>
  <c r="AI93" i="1"/>
  <c r="AJ93" i="1"/>
  <c r="AK93" i="1"/>
  <c r="AL93" i="1"/>
  <c r="AM93" i="1"/>
  <c r="AN93" i="1"/>
  <c r="AI94" i="1"/>
  <c r="AJ94" i="1"/>
  <c r="AK94" i="1"/>
  <c r="AL94" i="1"/>
  <c r="AM94" i="1"/>
  <c r="AN94" i="1"/>
  <c r="AI95" i="1"/>
  <c r="AJ95" i="1"/>
  <c r="AK95" i="1"/>
  <c r="AL95" i="1"/>
  <c r="AM95" i="1"/>
  <c r="AN95" i="1"/>
  <c r="AI96" i="1"/>
  <c r="AJ96" i="1"/>
  <c r="AK96" i="1"/>
  <c r="AL96" i="1"/>
  <c r="AM96" i="1"/>
  <c r="AN96" i="1"/>
  <c r="AI97" i="1"/>
  <c r="AJ97" i="1"/>
  <c r="AK97" i="1"/>
  <c r="AL97" i="1"/>
  <c r="AM97" i="1"/>
  <c r="AN97" i="1"/>
  <c r="AI98" i="1"/>
  <c r="AJ98" i="1"/>
  <c r="AK98" i="1"/>
  <c r="AL98" i="1"/>
  <c r="AM98" i="1"/>
  <c r="AN98" i="1"/>
  <c r="AI99" i="1"/>
  <c r="AJ99" i="1"/>
  <c r="AK99" i="1"/>
  <c r="AL99" i="1"/>
  <c r="AM99" i="1"/>
  <c r="AN99" i="1"/>
  <c r="AI100" i="1"/>
  <c r="AJ100" i="1"/>
  <c r="AK100" i="1"/>
  <c r="AL100" i="1"/>
  <c r="AM100" i="1"/>
  <c r="AN100" i="1"/>
  <c r="AI101" i="1"/>
  <c r="AJ101" i="1"/>
  <c r="AK101" i="1"/>
  <c r="AL101" i="1"/>
  <c r="AM101" i="1"/>
  <c r="AN101" i="1"/>
  <c r="AI102" i="1"/>
  <c r="AJ102" i="1"/>
  <c r="AK102" i="1"/>
  <c r="AL102" i="1"/>
  <c r="AM102" i="1"/>
  <c r="AN102" i="1"/>
  <c r="AI103" i="1"/>
  <c r="AJ103" i="1"/>
  <c r="AK103" i="1"/>
  <c r="AL103" i="1"/>
  <c r="AM103" i="1"/>
  <c r="AN103" i="1"/>
  <c r="AI104" i="1"/>
  <c r="AJ104" i="1"/>
  <c r="AK104" i="1"/>
  <c r="AL104" i="1"/>
  <c r="AM104" i="1"/>
  <c r="AN104" i="1"/>
  <c r="AI105" i="1"/>
  <c r="AJ105" i="1"/>
  <c r="AK105" i="1"/>
  <c r="AL105" i="1"/>
  <c r="AM105" i="1"/>
  <c r="AN105" i="1"/>
  <c r="AI106" i="1"/>
  <c r="AJ106" i="1"/>
  <c r="AK106" i="1"/>
  <c r="AL106" i="1"/>
  <c r="AM106" i="1"/>
  <c r="AN106" i="1"/>
  <c r="AI107" i="1"/>
  <c r="AJ107" i="1"/>
  <c r="AK107" i="1"/>
  <c r="AL107" i="1"/>
  <c r="AM107" i="1"/>
  <c r="AN107" i="1"/>
  <c r="AI108" i="1"/>
  <c r="AJ108" i="1"/>
  <c r="AK108" i="1"/>
  <c r="AL108" i="1"/>
  <c r="AM108" i="1"/>
  <c r="AN108" i="1"/>
  <c r="AI109" i="1"/>
  <c r="AJ109" i="1"/>
  <c r="AK109" i="1"/>
  <c r="AL109" i="1"/>
  <c r="AM109" i="1"/>
  <c r="AN109" i="1"/>
  <c r="AI110" i="1"/>
  <c r="AJ110" i="1"/>
  <c r="AK110" i="1"/>
  <c r="AL110" i="1"/>
  <c r="AM110" i="1"/>
  <c r="AN110" i="1"/>
  <c r="AI111" i="1"/>
  <c r="AJ111" i="1"/>
  <c r="AK111" i="1"/>
  <c r="AL111" i="1"/>
  <c r="AM111" i="1"/>
  <c r="AN111" i="1"/>
  <c r="AI112" i="1"/>
  <c r="AJ112" i="1"/>
  <c r="AK112" i="1"/>
  <c r="AL112" i="1"/>
  <c r="AM112" i="1"/>
  <c r="AN112" i="1"/>
  <c r="AI113" i="1"/>
  <c r="AJ113" i="1"/>
  <c r="AK113" i="1"/>
  <c r="AL113" i="1"/>
  <c r="AM113" i="1"/>
  <c r="AN113" i="1"/>
  <c r="AI114" i="1"/>
  <c r="AJ114" i="1"/>
  <c r="AK114" i="1"/>
  <c r="AL114" i="1"/>
  <c r="AM114" i="1"/>
  <c r="AN114" i="1"/>
  <c r="AI115" i="1"/>
  <c r="AJ115" i="1"/>
  <c r="AK115" i="1"/>
  <c r="AL115" i="1"/>
  <c r="AM115" i="1"/>
  <c r="AN115" i="1"/>
  <c r="AI116" i="1"/>
  <c r="AJ116" i="1"/>
  <c r="AK116" i="1"/>
  <c r="AL116" i="1"/>
  <c r="AM116" i="1"/>
  <c r="AN116" i="1"/>
  <c r="AI117" i="1"/>
  <c r="AJ117" i="1"/>
  <c r="AK117" i="1"/>
  <c r="AL117" i="1"/>
  <c r="AM117" i="1"/>
  <c r="AN117" i="1"/>
  <c r="AI118" i="1"/>
  <c r="AJ118" i="1"/>
  <c r="AK118" i="1"/>
  <c r="AL118" i="1"/>
  <c r="AM118" i="1"/>
  <c r="AN118" i="1"/>
  <c r="AI119" i="1"/>
  <c r="AJ119" i="1"/>
  <c r="AK119" i="1"/>
  <c r="AL119" i="1"/>
  <c r="AM119" i="1"/>
  <c r="AN119" i="1"/>
  <c r="AI120" i="1"/>
  <c r="AJ120" i="1"/>
  <c r="AK120" i="1"/>
  <c r="AL120" i="1"/>
  <c r="AM120" i="1"/>
  <c r="AN120" i="1"/>
  <c r="AI121" i="1"/>
  <c r="AJ121" i="1"/>
  <c r="AK121" i="1"/>
  <c r="AL121" i="1"/>
  <c r="AM121" i="1"/>
  <c r="AN121" i="1"/>
  <c r="AI122" i="1"/>
  <c r="AJ122" i="1"/>
  <c r="AK122" i="1"/>
  <c r="AL122" i="1"/>
  <c r="AM122" i="1"/>
  <c r="AN122" i="1"/>
  <c r="AI123" i="1"/>
  <c r="AJ123" i="1"/>
  <c r="AK123" i="1"/>
  <c r="AL123" i="1"/>
  <c r="AM123" i="1"/>
  <c r="AN123" i="1"/>
  <c r="AI124" i="1"/>
  <c r="AJ124" i="1"/>
  <c r="AK124" i="1"/>
  <c r="AL124" i="1"/>
  <c r="AM124" i="1"/>
  <c r="AN124" i="1"/>
  <c r="AI125" i="1"/>
  <c r="AJ125" i="1"/>
  <c r="AK125" i="1"/>
  <c r="AL125" i="1"/>
  <c r="AM125" i="1"/>
  <c r="AN125" i="1"/>
  <c r="AI126" i="1"/>
  <c r="AJ126" i="1"/>
  <c r="AK126" i="1"/>
  <c r="AL126" i="1"/>
  <c r="AM126" i="1"/>
  <c r="AN126" i="1"/>
  <c r="AI127" i="1"/>
  <c r="AJ127" i="1"/>
  <c r="AK127" i="1"/>
  <c r="AL127" i="1"/>
  <c r="AM127" i="1"/>
  <c r="AN127" i="1"/>
  <c r="AI128" i="1"/>
  <c r="AJ128" i="1"/>
  <c r="AK128" i="1"/>
  <c r="AL128" i="1"/>
  <c r="AM128" i="1"/>
  <c r="AN128" i="1"/>
  <c r="AI129" i="1"/>
  <c r="AJ129" i="1"/>
  <c r="AK129" i="1"/>
  <c r="AL129" i="1"/>
  <c r="AM129" i="1"/>
  <c r="AN129" i="1"/>
  <c r="AI130" i="1"/>
  <c r="AJ130" i="1"/>
  <c r="AK130" i="1"/>
  <c r="AL130" i="1"/>
  <c r="AM130" i="1"/>
  <c r="AN130" i="1"/>
  <c r="AI131" i="1"/>
  <c r="AJ131" i="1"/>
  <c r="AK131" i="1"/>
  <c r="AL131" i="1"/>
  <c r="AM131" i="1"/>
  <c r="AN131" i="1"/>
  <c r="AI132" i="1"/>
  <c r="AJ132" i="1"/>
  <c r="AK132" i="1"/>
  <c r="AL132" i="1"/>
  <c r="AM132" i="1"/>
  <c r="AN132" i="1"/>
  <c r="AI133" i="1"/>
  <c r="AJ133" i="1"/>
  <c r="AK133" i="1"/>
  <c r="AL133" i="1"/>
  <c r="AM133" i="1"/>
  <c r="AN133" i="1"/>
  <c r="AI134" i="1"/>
  <c r="AJ134" i="1"/>
  <c r="AK134" i="1"/>
  <c r="AL134" i="1"/>
  <c r="AM134" i="1"/>
  <c r="AN134" i="1"/>
  <c r="AI135" i="1"/>
  <c r="AJ135" i="1"/>
  <c r="AK135" i="1"/>
  <c r="AL135" i="1"/>
  <c r="AM135" i="1"/>
  <c r="AN135" i="1"/>
  <c r="AI136" i="1"/>
  <c r="AJ136" i="1"/>
  <c r="AK136" i="1"/>
  <c r="AL136" i="1"/>
  <c r="AM136" i="1"/>
  <c r="AN136" i="1"/>
  <c r="AI137" i="1"/>
  <c r="AJ137" i="1"/>
  <c r="AK137" i="1"/>
  <c r="AL137" i="1"/>
  <c r="AM137" i="1"/>
  <c r="AN137" i="1"/>
  <c r="AI138" i="1"/>
  <c r="AJ138" i="1"/>
  <c r="AK138" i="1"/>
  <c r="AL138" i="1"/>
  <c r="AM138" i="1"/>
  <c r="AN138" i="1"/>
  <c r="AI139" i="1"/>
  <c r="AJ139" i="1"/>
  <c r="AK139" i="1"/>
  <c r="AL139" i="1"/>
  <c r="AM139" i="1"/>
  <c r="AN139" i="1"/>
  <c r="AI140" i="1"/>
  <c r="AJ140" i="1"/>
  <c r="AK140" i="1"/>
  <c r="AL140" i="1"/>
  <c r="AM140" i="1"/>
  <c r="AN140" i="1"/>
  <c r="AI141" i="1"/>
  <c r="AJ141" i="1"/>
  <c r="AK141" i="1"/>
  <c r="AL141" i="1"/>
  <c r="AM141" i="1"/>
  <c r="AN141" i="1"/>
  <c r="AI142" i="1"/>
  <c r="AJ142" i="1"/>
  <c r="AK142" i="1"/>
  <c r="AL142" i="1"/>
  <c r="AM142" i="1"/>
  <c r="AN142" i="1"/>
  <c r="AI143" i="1"/>
  <c r="AJ143" i="1"/>
  <c r="AK143" i="1"/>
  <c r="AL143" i="1"/>
  <c r="AM143" i="1"/>
  <c r="AN143" i="1"/>
  <c r="AI144" i="1"/>
  <c r="AJ144" i="1"/>
  <c r="AK144" i="1"/>
  <c r="AL144" i="1"/>
  <c r="AM144" i="1"/>
  <c r="AN144" i="1"/>
  <c r="AI145" i="1"/>
  <c r="AJ145" i="1"/>
  <c r="AK145" i="1"/>
  <c r="AL145" i="1"/>
  <c r="AM145" i="1"/>
  <c r="AN145" i="1"/>
  <c r="AI146" i="1"/>
  <c r="AJ146" i="1"/>
  <c r="AK146" i="1"/>
  <c r="AL146" i="1"/>
  <c r="AM146" i="1"/>
  <c r="AN146" i="1"/>
  <c r="AI147" i="1"/>
  <c r="AJ147" i="1"/>
  <c r="AK147" i="1"/>
  <c r="AL147" i="1"/>
  <c r="AM147" i="1"/>
  <c r="AN147" i="1"/>
  <c r="AI148" i="1"/>
  <c r="AJ148" i="1"/>
  <c r="AK148" i="1"/>
  <c r="AL148" i="1"/>
  <c r="AM148" i="1"/>
  <c r="AN148" i="1"/>
  <c r="AI149" i="1"/>
  <c r="AJ149" i="1"/>
  <c r="AK149" i="1"/>
  <c r="AL149" i="1"/>
  <c r="AM149" i="1"/>
  <c r="AN149" i="1"/>
  <c r="AI150" i="1"/>
  <c r="AJ150" i="1"/>
  <c r="AK150" i="1"/>
  <c r="AL150" i="1"/>
  <c r="AM150" i="1"/>
  <c r="AN150" i="1"/>
  <c r="AI151" i="1"/>
  <c r="AJ151" i="1"/>
  <c r="AK151" i="1"/>
  <c r="AL151" i="1"/>
  <c r="AM151" i="1"/>
  <c r="AN151" i="1"/>
  <c r="AI152" i="1"/>
  <c r="AJ152" i="1"/>
  <c r="AK152" i="1"/>
  <c r="AL152" i="1"/>
  <c r="AM152" i="1"/>
  <c r="AN152" i="1"/>
  <c r="AI153" i="1"/>
  <c r="AJ153" i="1"/>
  <c r="AK153" i="1"/>
  <c r="AL153" i="1"/>
  <c r="AM153" i="1"/>
  <c r="AN153" i="1"/>
  <c r="AI154" i="1"/>
  <c r="AJ154" i="1"/>
  <c r="AK154" i="1"/>
  <c r="AL154" i="1"/>
  <c r="AM154" i="1"/>
  <c r="AN154" i="1"/>
  <c r="AI155" i="1"/>
  <c r="AJ155" i="1"/>
  <c r="AK155" i="1"/>
  <c r="AL155" i="1"/>
  <c r="AM155" i="1"/>
  <c r="AN155" i="1"/>
  <c r="AI156" i="1"/>
  <c r="AJ156" i="1"/>
  <c r="AK156" i="1"/>
  <c r="AL156" i="1"/>
  <c r="AM156" i="1"/>
  <c r="AN156" i="1"/>
  <c r="AI157" i="1"/>
  <c r="AJ157" i="1"/>
  <c r="AK157" i="1"/>
  <c r="AL157" i="1"/>
  <c r="AM157" i="1"/>
  <c r="AN157" i="1"/>
  <c r="AI158" i="1"/>
  <c r="AJ158" i="1"/>
  <c r="AK158" i="1"/>
  <c r="AL158" i="1"/>
  <c r="AM158" i="1"/>
  <c r="AN158" i="1"/>
  <c r="AI159" i="1"/>
  <c r="AJ159" i="1"/>
  <c r="AK159" i="1"/>
  <c r="AL159" i="1"/>
  <c r="AM159" i="1"/>
  <c r="AN159" i="1"/>
  <c r="AI160" i="1"/>
  <c r="AJ160" i="1"/>
  <c r="AK160" i="1"/>
  <c r="AL160" i="1"/>
  <c r="AM160" i="1"/>
  <c r="AN160" i="1"/>
  <c r="AI161" i="1"/>
  <c r="AJ161" i="1"/>
  <c r="AK161" i="1"/>
  <c r="AL161" i="1"/>
  <c r="AM161" i="1"/>
  <c r="AN161" i="1"/>
  <c r="AI162" i="1"/>
  <c r="AJ162" i="1"/>
  <c r="AK162" i="1"/>
  <c r="AL162" i="1"/>
  <c r="AM162" i="1"/>
  <c r="AN162" i="1"/>
  <c r="AI163" i="1"/>
  <c r="AJ163" i="1"/>
  <c r="AK163" i="1"/>
  <c r="AL163" i="1"/>
  <c r="AM163" i="1"/>
  <c r="AN163" i="1"/>
  <c r="AK4" i="1"/>
  <c r="AL4" i="1"/>
  <c r="AM4" i="1"/>
  <c r="AN4" i="1"/>
  <c r="AJ4" i="1"/>
  <c r="AI4" i="1"/>
  <c r="D4" i="1"/>
  <c r="C4" i="1"/>
  <c r="FP5" i="1"/>
  <c r="FQ5" i="1"/>
  <c r="FR5" i="1"/>
  <c r="FS5" i="1"/>
  <c r="FT5" i="1"/>
  <c r="FU5" i="1"/>
  <c r="FP6" i="1"/>
  <c r="FQ6" i="1"/>
  <c r="FR6" i="1"/>
  <c r="FS6" i="1"/>
  <c r="FT6" i="1"/>
  <c r="FU6" i="1"/>
  <c r="FP7" i="1"/>
  <c r="FQ7" i="1"/>
  <c r="FR7" i="1"/>
  <c r="FS7" i="1"/>
  <c r="FT7" i="1"/>
  <c r="FU7" i="1"/>
  <c r="FP8" i="1"/>
  <c r="FQ8" i="1"/>
  <c r="FR8" i="1"/>
  <c r="FS8" i="1"/>
  <c r="FT8" i="1"/>
  <c r="FU8" i="1"/>
  <c r="FP9" i="1"/>
  <c r="FQ9" i="1"/>
  <c r="FR9" i="1"/>
  <c r="FS9" i="1"/>
  <c r="FT9" i="1"/>
  <c r="FU9" i="1"/>
  <c r="FP10" i="1"/>
  <c r="FQ10" i="1"/>
  <c r="FR10" i="1"/>
  <c r="FS10" i="1"/>
  <c r="FT10" i="1"/>
  <c r="FU10" i="1"/>
  <c r="FP11" i="1"/>
  <c r="FQ11" i="1"/>
  <c r="FR11" i="1"/>
  <c r="FS11" i="1"/>
  <c r="FT11" i="1"/>
  <c r="FU11" i="1"/>
  <c r="FP12" i="1"/>
  <c r="FQ12" i="1"/>
  <c r="FR12" i="1"/>
  <c r="FS12" i="1"/>
  <c r="FT12" i="1"/>
  <c r="FU12" i="1"/>
  <c r="FP13" i="1"/>
  <c r="FQ13" i="1"/>
  <c r="FR13" i="1"/>
  <c r="FS13" i="1"/>
  <c r="FT13" i="1"/>
  <c r="FU13" i="1"/>
  <c r="FP14" i="1"/>
  <c r="FQ14" i="1"/>
  <c r="FR14" i="1"/>
  <c r="FS14" i="1"/>
  <c r="FT14" i="1"/>
  <c r="FU14" i="1"/>
  <c r="FP15" i="1"/>
  <c r="FQ15" i="1"/>
  <c r="FR15" i="1"/>
  <c r="FS15" i="1"/>
  <c r="FT15" i="1"/>
  <c r="FU15" i="1"/>
  <c r="FP16" i="1"/>
  <c r="FQ16" i="1"/>
  <c r="FR16" i="1"/>
  <c r="FS16" i="1"/>
  <c r="FT16" i="1"/>
  <c r="FU16" i="1"/>
  <c r="FP17" i="1"/>
  <c r="FQ17" i="1"/>
  <c r="FR17" i="1"/>
  <c r="FS17" i="1"/>
  <c r="FT17" i="1"/>
  <c r="FU17" i="1"/>
  <c r="FP18" i="1"/>
  <c r="FQ18" i="1"/>
  <c r="FR18" i="1"/>
  <c r="FS18" i="1"/>
  <c r="FT18" i="1"/>
  <c r="FU18" i="1"/>
  <c r="FP19" i="1"/>
  <c r="FQ19" i="1"/>
  <c r="FR19" i="1"/>
  <c r="FS19" i="1"/>
  <c r="FT19" i="1"/>
  <c r="FU19" i="1"/>
  <c r="FP20" i="1"/>
  <c r="FQ20" i="1"/>
  <c r="FR20" i="1"/>
  <c r="FS20" i="1"/>
  <c r="FT20" i="1"/>
  <c r="FU20" i="1"/>
  <c r="FP21" i="1"/>
  <c r="FQ21" i="1"/>
  <c r="FR21" i="1"/>
  <c r="FS21" i="1"/>
  <c r="FT21" i="1"/>
  <c r="FU21" i="1"/>
  <c r="FP22" i="1"/>
  <c r="FQ22" i="1"/>
  <c r="FR22" i="1"/>
  <c r="FS22" i="1"/>
  <c r="FT22" i="1"/>
  <c r="FU22" i="1"/>
  <c r="FP23" i="1"/>
  <c r="FQ23" i="1"/>
  <c r="FR23" i="1"/>
  <c r="FS23" i="1"/>
  <c r="FT23" i="1"/>
  <c r="FU23" i="1"/>
  <c r="FP24" i="1"/>
  <c r="FQ24" i="1"/>
  <c r="FR24" i="1"/>
  <c r="FS24" i="1"/>
  <c r="FT24" i="1"/>
  <c r="FU24" i="1"/>
  <c r="FP25" i="1"/>
  <c r="FQ25" i="1"/>
  <c r="FR25" i="1"/>
  <c r="FS25" i="1"/>
  <c r="FT25" i="1"/>
  <c r="FU25" i="1"/>
  <c r="FP26" i="1"/>
  <c r="FQ26" i="1"/>
  <c r="FR26" i="1"/>
  <c r="FS26" i="1"/>
  <c r="FT26" i="1"/>
  <c r="FU26" i="1"/>
  <c r="FP27" i="1"/>
  <c r="FQ27" i="1"/>
  <c r="FR27" i="1"/>
  <c r="FS27" i="1"/>
  <c r="FT27" i="1"/>
  <c r="FU27" i="1"/>
  <c r="FP28" i="1"/>
  <c r="FQ28" i="1"/>
  <c r="FR28" i="1"/>
  <c r="FS28" i="1"/>
  <c r="FT28" i="1"/>
  <c r="FU28" i="1"/>
  <c r="FP29" i="1"/>
  <c r="FQ29" i="1"/>
  <c r="FR29" i="1"/>
  <c r="FS29" i="1"/>
  <c r="FT29" i="1"/>
  <c r="FU29" i="1"/>
  <c r="FP30" i="1"/>
  <c r="FQ30" i="1"/>
  <c r="FR30" i="1"/>
  <c r="FS30" i="1"/>
  <c r="FT30" i="1"/>
  <c r="FU30" i="1"/>
  <c r="FP31" i="1"/>
  <c r="FQ31" i="1"/>
  <c r="FR31" i="1"/>
  <c r="FS31" i="1"/>
  <c r="FT31" i="1"/>
  <c r="FU31" i="1"/>
  <c r="FP32" i="1"/>
  <c r="FQ32" i="1"/>
  <c r="FR32" i="1"/>
  <c r="FS32" i="1"/>
  <c r="FT32" i="1"/>
  <c r="FU32" i="1"/>
  <c r="FP33" i="1"/>
  <c r="FQ33" i="1"/>
  <c r="FR33" i="1"/>
  <c r="FS33" i="1"/>
  <c r="FT33" i="1"/>
  <c r="FU33" i="1"/>
  <c r="FP34" i="1"/>
  <c r="FQ34" i="1"/>
  <c r="FR34" i="1"/>
  <c r="FS34" i="1"/>
  <c r="FT34" i="1"/>
  <c r="FU34" i="1"/>
  <c r="FP35" i="1"/>
  <c r="FQ35" i="1"/>
  <c r="FR35" i="1"/>
  <c r="FS35" i="1"/>
  <c r="FT35" i="1"/>
  <c r="FU35" i="1"/>
  <c r="FP36" i="1"/>
  <c r="FQ36" i="1"/>
  <c r="FR36" i="1"/>
  <c r="FS36" i="1"/>
  <c r="FT36" i="1"/>
  <c r="FU36" i="1"/>
  <c r="FP37" i="1"/>
  <c r="FQ37" i="1"/>
  <c r="FR37" i="1"/>
  <c r="FS37" i="1"/>
  <c r="FT37" i="1"/>
  <c r="FU37" i="1"/>
  <c r="FP38" i="1"/>
  <c r="FQ38" i="1"/>
  <c r="FR38" i="1"/>
  <c r="FS38" i="1"/>
  <c r="FT38" i="1"/>
  <c r="FU38" i="1"/>
  <c r="FP39" i="1"/>
  <c r="FQ39" i="1"/>
  <c r="FR39" i="1"/>
  <c r="FS39" i="1"/>
  <c r="FT39" i="1"/>
  <c r="FU39" i="1"/>
  <c r="FP40" i="1"/>
  <c r="FQ40" i="1"/>
  <c r="FR40" i="1"/>
  <c r="FS40" i="1"/>
  <c r="FT40" i="1"/>
  <c r="FU40" i="1"/>
  <c r="FP41" i="1"/>
  <c r="FQ41" i="1"/>
  <c r="FR41" i="1"/>
  <c r="FS41" i="1"/>
  <c r="FT41" i="1"/>
  <c r="FU41" i="1"/>
  <c r="FP42" i="1"/>
  <c r="FQ42" i="1"/>
  <c r="FR42" i="1"/>
  <c r="FS42" i="1"/>
  <c r="FT42" i="1"/>
  <c r="FU42" i="1"/>
  <c r="FP43" i="1"/>
  <c r="FQ43" i="1"/>
  <c r="FR43" i="1"/>
  <c r="FS43" i="1"/>
  <c r="FT43" i="1"/>
  <c r="FU43" i="1"/>
  <c r="FP44" i="1"/>
  <c r="FQ44" i="1"/>
  <c r="FR44" i="1"/>
  <c r="FS44" i="1"/>
  <c r="FT44" i="1"/>
  <c r="FU44" i="1"/>
  <c r="FP45" i="1"/>
  <c r="FQ45" i="1"/>
  <c r="FR45" i="1"/>
  <c r="FS45" i="1"/>
  <c r="FT45" i="1"/>
  <c r="FU45" i="1"/>
  <c r="FP46" i="1"/>
  <c r="FQ46" i="1"/>
  <c r="FR46" i="1"/>
  <c r="FS46" i="1"/>
  <c r="FT46" i="1"/>
  <c r="FU46" i="1"/>
  <c r="FP47" i="1"/>
  <c r="FQ47" i="1"/>
  <c r="FR47" i="1"/>
  <c r="FS47" i="1"/>
  <c r="FT47" i="1"/>
  <c r="FU47" i="1"/>
  <c r="FP48" i="1"/>
  <c r="FQ48" i="1"/>
  <c r="FR48" i="1"/>
  <c r="FS48" i="1"/>
  <c r="FT48" i="1"/>
  <c r="FU48" i="1"/>
  <c r="FP49" i="1"/>
  <c r="FQ49" i="1"/>
  <c r="FR49" i="1"/>
  <c r="FS49" i="1"/>
  <c r="FT49" i="1"/>
  <c r="FU49" i="1"/>
  <c r="FP50" i="1"/>
  <c r="FQ50" i="1"/>
  <c r="FR50" i="1"/>
  <c r="FS50" i="1"/>
  <c r="FT50" i="1"/>
  <c r="FU50" i="1"/>
  <c r="FP51" i="1"/>
  <c r="FQ51" i="1"/>
  <c r="FR51" i="1"/>
  <c r="FS51" i="1"/>
  <c r="FT51" i="1"/>
  <c r="FU51" i="1"/>
  <c r="FP52" i="1"/>
  <c r="FQ52" i="1"/>
  <c r="FR52" i="1"/>
  <c r="FS52" i="1"/>
  <c r="FT52" i="1"/>
  <c r="FU52" i="1"/>
  <c r="FP53" i="1"/>
  <c r="FQ53" i="1"/>
  <c r="FR53" i="1"/>
  <c r="FS53" i="1"/>
  <c r="FT53" i="1"/>
  <c r="FU53" i="1"/>
  <c r="FP54" i="1"/>
  <c r="FQ54" i="1"/>
  <c r="FR54" i="1"/>
  <c r="FS54" i="1"/>
  <c r="FT54" i="1"/>
  <c r="FU54" i="1"/>
  <c r="FP55" i="1"/>
  <c r="FQ55" i="1"/>
  <c r="FR55" i="1"/>
  <c r="FS55" i="1"/>
  <c r="FT55" i="1"/>
  <c r="FU55" i="1"/>
  <c r="FP56" i="1"/>
  <c r="FQ56" i="1"/>
  <c r="FR56" i="1"/>
  <c r="FS56" i="1"/>
  <c r="FT56" i="1"/>
  <c r="FU56" i="1"/>
  <c r="FP57" i="1"/>
  <c r="FQ57" i="1"/>
  <c r="FR57" i="1"/>
  <c r="FS57" i="1"/>
  <c r="FT57" i="1"/>
  <c r="FU57" i="1"/>
  <c r="FP58" i="1"/>
  <c r="FQ58" i="1"/>
  <c r="FR58" i="1"/>
  <c r="FS58" i="1"/>
  <c r="FT58" i="1"/>
  <c r="FU58" i="1"/>
  <c r="FP59" i="1"/>
  <c r="FQ59" i="1"/>
  <c r="FR59" i="1"/>
  <c r="FS59" i="1"/>
  <c r="FT59" i="1"/>
  <c r="FU59" i="1"/>
  <c r="FP60" i="1"/>
  <c r="FQ60" i="1"/>
  <c r="FR60" i="1"/>
  <c r="FS60" i="1"/>
  <c r="FT60" i="1"/>
  <c r="FU60" i="1"/>
  <c r="FP61" i="1"/>
  <c r="FQ61" i="1"/>
  <c r="FR61" i="1"/>
  <c r="FS61" i="1"/>
  <c r="FT61" i="1"/>
  <c r="FU61" i="1"/>
  <c r="FP62" i="1"/>
  <c r="FQ62" i="1"/>
  <c r="FR62" i="1"/>
  <c r="FS62" i="1"/>
  <c r="FT62" i="1"/>
  <c r="FU62" i="1"/>
  <c r="FP63" i="1"/>
  <c r="FQ63" i="1"/>
  <c r="FR63" i="1"/>
  <c r="FS63" i="1"/>
  <c r="FT63" i="1"/>
  <c r="FU63" i="1"/>
  <c r="FP64" i="1"/>
  <c r="FQ64" i="1"/>
  <c r="FR64" i="1"/>
  <c r="FS64" i="1"/>
  <c r="FT64" i="1"/>
  <c r="FU64" i="1"/>
  <c r="FP65" i="1"/>
  <c r="FQ65" i="1"/>
  <c r="FR65" i="1"/>
  <c r="FS65" i="1"/>
  <c r="FT65" i="1"/>
  <c r="FU65" i="1"/>
  <c r="FP66" i="1"/>
  <c r="FQ66" i="1"/>
  <c r="FR66" i="1"/>
  <c r="FS66" i="1"/>
  <c r="FT66" i="1"/>
  <c r="FU66" i="1"/>
  <c r="FP67" i="1"/>
  <c r="FQ67" i="1"/>
  <c r="FR67" i="1"/>
  <c r="FS67" i="1"/>
  <c r="FT67" i="1"/>
  <c r="FU67" i="1"/>
  <c r="FP68" i="1"/>
  <c r="FQ68" i="1"/>
  <c r="FR68" i="1"/>
  <c r="FS68" i="1"/>
  <c r="FT68" i="1"/>
  <c r="FU68" i="1"/>
  <c r="FP69" i="1"/>
  <c r="FQ69" i="1"/>
  <c r="FR69" i="1"/>
  <c r="FS69" i="1"/>
  <c r="FT69" i="1"/>
  <c r="FU69" i="1"/>
  <c r="FP70" i="1"/>
  <c r="FQ70" i="1"/>
  <c r="FR70" i="1"/>
  <c r="FS70" i="1"/>
  <c r="FT70" i="1"/>
  <c r="FU70" i="1"/>
  <c r="FP71" i="1"/>
  <c r="FQ71" i="1"/>
  <c r="FR71" i="1"/>
  <c r="FS71" i="1"/>
  <c r="FT71" i="1"/>
  <c r="FU71" i="1"/>
  <c r="FP72" i="1"/>
  <c r="FQ72" i="1"/>
  <c r="FR72" i="1"/>
  <c r="FS72" i="1"/>
  <c r="FT72" i="1"/>
  <c r="FU72" i="1"/>
  <c r="FP73" i="1"/>
  <c r="FQ73" i="1"/>
  <c r="FR73" i="1"/>
  <c r="FS73" i="1"/>
  <c r="FT73" i="1"/>
  <c r="FU73" i="1"/>
  <c r="FP74" i="1"/>
  <c r="FQ74" i="1"/>
  <c r="FR74" i="1"/>
  <c r="FS74" i="1"/>
  <c r="FT74" i="1"/>
  <c r="FU74" i="1"/>
  <c r="FP75" i="1"/>
  <c r="FQ75" i="1"/>
  <c r="FR75" i="1"/>
  <c r="FS75" i="1"/>
  <c r="FT75" i="1"/>
  <c r="FU75" i="1"/>
  <c r="FP76" i="1"/>
  <c r="FQ76" i="1"/>
  <c r="FR76" i="1"/>
  <c r="FS76" i="1"/>
  <c r="FT76" i="1"/>
  <c r="FU76" i="1"/>
  <c r="FP77" i="1"/>
  <c r="FQ77" i="1"/>
  <c r="FR77" i="1"/>
  <c r="FS77" i="1"/>
  <c r="FT77" i="1"/>
  <c r="FU77" i="1"/>
  <c r="FP78" i="1"/>
  <c r="FQ78" i="1"/>
  <c r="FR78" i="1"/>
  <c r="FS78" i="1"/>
  <c r="FT78" i="1"/>
  <c r="FU78" i="1"/>
  <c r="FP79" i="1"/>
  <c r="FQ79" i="1"/>
  <c r="FR79" i="1"/>
  <c r="FS79" i="1"/>
  <c r="FT79" i="1"/>
  <c r="FU79" i="1"/>
  <c r="FP80" i="1"/>
  <c r="FQ80" i="1"/>
  <c r="FR80" i="1"/>
  <c r="FS80" i="1"/>
  <c r="FT80" i="1"/>
  <c r="FU80" i="1"/>
  <c r="FP81" i="1"/>
  <c r="FQ81" i="1"/>
  <c r="FR81" i="1"/>
  <c r="FS81" i="1"/>
  <c r="FT81" i="1"/>
  <c r="FU81" i="1"/>
  <c r="FP82" i="1"/>
  <c r="FQ82" i="1"/>
  <c r="FR82" i="1"/>
  <c r="FS82" i="1"/>
  <c r="FT82" i="1"/>
  <c r="FU82" i="1"/>
  <c r="FP83" i="1"/>
  <c r="FQ83" i="1"/>
  <c r="FR83" i="1"/>
  <c r="FS83" i="1"/>
  <c r="FT83" i="1"/>
  <c r="FU83" i="1"/>
  <c r="FP84" i="1"/>
  <c r="FQ84" i="1"/>
  <c r="FR84" i="1"/>
  <c r="FS84" i="1"/>
  <c r="FT84" i="1"/>
  <c r="FU84" i="1"/>
  <c r="FP85" i="1"/>
  <c r="FQ85" i="1"/>
  <c r="FR85" i="1"/>
  <c r="FS85" i="1"/>
  <c r="FT85" i="1"/>
  <c r="FU85" i="1"/>
  <c r="FP86" i="1"/>
  <c r="FQ86" i="1"/>
  <c r="FR86" i="1"/>
  <c r="FS86" i="1"/>
  <c r="FT86" i="1"/>
  <c r="FU86" i="1"/>
  <c r="FP87" i="1"/>
  <c r="FQ87" i="1"/>
  <c r="FR87" i="1"/>
  <c r="FS87" i="1"/>
  <c r="FT87" i="1"/>
  <c r="FU87" i="1"/>
  <c r="FP88" i="1"/>
  <c r="FQ88" i="1"/>
  <c r="FR88" i="1"/>
  <c r="FS88" i="1"/>
  <c r="FT88" i="1"/>
  <c r="FU88" i="1"/>
  <c r="FP89" i="1"/>
  <c r="FQ89" i="1"/>
  <c r="FR89" i="1"/>
  <c r="FS89" i="1"/>
  <c r="FT89" i="1"/>
  <c r="FU89" i="1"/>
  <c r="FP90" i="1"/>
  <c r="FQ90" i="1"/>
  <c r="FR90" i="1"/>
  <c r="FS90" i="1"/>
  <c r="FT90" i="1"/>
  <c r="FU90" i="1"/>
  <c r="FP91" i="1"/>
  <c r="FQ91" i="1"/>
  <c r="FR91" i="1"/>
  <c r="FS91" i="1"/>
  <c r="FT91" i="1"/>
  <c r="FU91" i="1"/>
  <c r="FP92" i="1"/>
  <c r="FQ92" i="1"/>
  <c r="FR92" i="1"/>
  <c r="FS92" i="1"/>
  <c r="FT92" i="1"/>
  <c r="FU92" i="1"/>
  <c r="FP93" i="1"/>
  <c r="FQ93" i="1"/>
  <c r="FR93" i="1"/>
  <c r="FS93" i="1"/>
  <c r="FT93" i="1"/>
  <c r="FU93" i="1"/>
  <c r="FP94" i="1"/>
  <c r="FQ94" i="1"/>
  <c r="FR94" i="1"/>
  <c r="FS94" i="1"/>
  <c r="FT94" i="1"/>
  <c r="FU94" i="1"/>
  <c r="FP95" i="1"/>
  <c r="FQ95" i="1"/>
  <c r="FR95" i="1"/>
  <c r="FS95" i="1"/>
  <c r="FT95" i="1"/>
  <c r="FU95" i="1"/>
  <c r="FP96" i="1"/>
  <c r="FQ96" i="1"/>
  <c r="FR96" i="1"/>
  <c r="FS96" i="1"/>
  <c r="FT96" i="1"/>
  <c r="FU96" i="1"/>
  <c r="FP97" i="1"/>
  <c r="FQ97" i="1"/>
  <c r="FR97" i="1"/>
  <c r="FS97" i="1"/>
  <c r="FT97" i="1"/>
  <c r="FU97" i="1"/>
  <c r="FP98" i="1"/>
  <c r="FQ98" i="1"/>
  <c r="FR98" i="1"/>
  <c r="FS98" i="1"/>
  <c r="FT98" i="1"/>
  <c r="FU98" i="1"/>
  <c r="FP99" i="1"/>
  <c r="FQ99" i="1"/>
  <c r="FR99" i="1"/>
  <c r="FS99" i="1"/>
  <c r="FT99" i="1"/>
  <c r="FU99" i="1"/>
  <c r="FP100" i="1"/>
  <c r="FQ100" i="1"/>
  <c r="FR100" i="1"/>
  <c r="FS100" i="1"/>
  <c r="FT100" i="1"/>
  <c r="FU100" i="1"/>
  <c r="FP101" i="1"/>
  <c r="FQ101" i="1"/>
  <c r="FR101" i="1"/>
  <c r="FS101" i="1"/>
  <c r="FT101" i="1"/>
  <c r="FU101" i="1"/>
  <c r="FP102" i="1"/>
  <c r="FQ102" i="1"/>
  <c r="FR102" i="1"/>
  <c r="FS102" i="1"/>
  <c r="FT102" i="1"/>
  <c r="FU102" i="1"/>
  <c r="FP103" i="1"/>
  <c r="FQ103" i="1"/>
  <c r="FR103" i="1"/>
  <c r="FS103" i="1"/>
  <c r="FT103" i="1"/>
  <c r="FU103" i="1"/>
  <c r="FP104" i="1"/>
  <c r="FQ104" i="1"/>
  <c r="FR104" i="1"/>
  <c r="FS104" i="1"/>
  <c r="FT104" i="1"/>
  <c r="FU104" i="1"/>
  <c r="FP105" i="1"/>
  <c r="FQ105" i="1"/>
  <c r="FR105" i="1"/>
  <c r="FS105" i="1"/>
  <c r="FT105" i="1"/>
  <c r="FU105" i="1"/>
  <c r="FP106" i="1"/>
  <c r="FQ106" i="1"/>
  <c r="FR106" i="1"/>
  <c r="FS106" i="1"/>
  <c r="FT106" i="1"/>
  <c r="FU106" i="1"/>
  <c r="FP107" i="1"/>
  <c r="FQ107" i="1"/>
  <c r="FR107" i="1"/>
  <c r="FS107" i="1"/>
  <c r="FT107" i="1"/>
  <c r="FU107" i="1"/>
  <c r="FP108" i="1"/>
  <c r="FQ108" i="1"/>
  <c r="FR108" i="1"/>
  <c r="FS108" i="1"/>
  <c r="FT108" i="1"/>
  <c r="FU108" i="1"/>
  <c r="FP109" i="1"/>
  <c r="FQ109" i="1"/>
  <c r="FR109" i="1"/>
  <c r="FS109" i="1"/>
  <c r="FT109" i="1"/>
  <c r="FU109" i="1"/>
  <c r="FP110" i="1"/>
  <c r="FQ110" i="1"/>
  <c r="FR110" i="1"/>
  <c r="FS110" i="1"/>
  <c r="FT110" i="1"/>
  <c r="FU110" i="1"/>
  <c r="FP111" i="1"/>
  <c r="FQ111" i="1"/>
  <c r="FR111" i="1"/>
  <c r="FS111" i="1"/>
  <c r="FT111" i="1"/>
  <c r="FU111" i="1"/>
  <c r="FP112" i="1"/>
  <c r="FQ112" i="1"/>
  <c r="FR112" i="1"/>
  <c r="FS112" i="1"/>
  <c r="FT112" i="1"/>
  <c r="FU112" i="1"/>
  <c r="FP113" i="1"/>
  <c r="FQ113" i="1"/>
  <c r="FR113" i="1"/>
  <c r="FS113" i="1"/>
  <c r="FT113" i="1"/>
  <c r="FU113" i="1"/>
  <c r="FP114" i="1"/>
  <c r="FQ114" i="1"/>
  <c r="FR114" i="1"/>
  <c r="FS114" i="1"/>
  <c r="FT114" i="1"/>
  <c r="FU114" i="1"/>
  <c r="FP115" i="1"/>
  <c r="FQ115" i="1"/>
  <c r="FR115" i="1"/>
  <c r="FS115" i="1"/>
  <c r="FT115" i="1"/>
  <c r="FU115" i="1"/>
  <c r="FP116" i="1"/>
  <c r="FQ116" i="1"/>
  <c r="FR116" i="1"/>
  <c r="FS116" i="1"/>
  <c r="FT116" i="1"/>
  <c r="FU116" i="1"/>
  <c r="FP117" i="1"/>
  <c r="FQ117" i="1"/>
  <c r="FR117" i="1"/>
  <c r="FS117" i="1"/>
  <c r="FT117" i="1"/>
  <c r="FU117" i="1"/>
  <c r="FP118" i="1"/>
  <c r="FQ118" i="1"/>
  <c r="FR118" i="1"/>
  <c r="FS118" i="1"/>
  <c r="FT118" i="1"/>
  <c r="FU118" i="1"/>
  <c r="FP119" i="1"/>
  <c r="FQ119" i="1"/>
  <c r="FR119" i="1"/>
  <c r="FS119" i="1"/>
  <c r="FT119" i="1"/>
  <c r="FU119" i="1"/>
  <c r="FP120" i="1"/>
  <c r="FQ120" i="1"/>
  <c r="FR120" i="1"/>
  <c r="FS120" i="1"/>
  <c r="FT120" i="1"/>
  <c r="FU120" i="1"/>
  <c r="FP121" i="1"/>
  <c r="FQ121" i="1"/>
  <c r="FR121" i="1"/>
  <c r="FS121" i="1"/>
  <c r="FT121" i="1"/>
  <c r="FU121" i="1"/>
  <c r="FP122" i="1"/>
  <c r="FQ122" i="1"/>
  <c r="FR122" i="1"/>
  <c r="FS122" i="1"/>
  <c r="FT122" i="1"/>
  <c r="FU122" i="1"/>
  <c r="FP123" i="1"/>
  <c r="FQ123" i="1"/>
  <c r="FR123" i="1"/>
  <c r="FS123" i="1"/>
  <c r="FT123" i="1"/>
  <c r="FU123" i="1"/>
  <c r="FP124" i="1"/>
  <c r="FQ124" i="1"/>
  <c r="FR124" i="1"/>
  <c r="FS124" i="1"/>
  <c r="FT124" i="1"/>
  <c r="FU124" i="1"/>
  <c r="FP125" i="1"/>
  <c r="FQ125" i="1"/>
  <c r="FR125" i="1"/>
  <c r="FS125" i="1"/>
  <c r="FT125" i="1"/>
  <c r="FU125" i="1"/>
  <c r="FP126" i="1"/>
  <c r="FQ126" i="1"/>
  <c r="FR126" i="1"/>
  <c r="FS126" i="1"/>
  <c r="FT126" i="1"/>
  <c r="FU126" i="1"/>
  <c r="FP127" i="1"/>
  <c r="FQ127" i="1"/>
  <c r="FR127" i="1"/>
  <c r="FS127" i="1"/>
  <c r="FT127" i="1"/>
  <c r="FU127" i="1"/>
  <c r="FP128" i="1"/>
  <c r="FQ128" i="1"/>
  <c r="FR128" i="1"/>
  <c r="FS128" i="1"/>
  <c r="FT128" i="1"/>
  <c r="FU128" i="1"/>
  <c r="FP129" i="1"/>
  <c r="FQ129" i="1"/>
  <c r="FR129" i="1"/>
  <c r="FS129" i="1"/>
  <c r="FT129" i="1"/>
  <c r="FU129" i="1"/>
  <c r="FP130" i="1"/>
  <c r="FQ130" i="1"/>
  <c r="FR130" i="1"/>
  <c r="FS130" i="1"/>
  <c r="FT130" i="1"/>
  <c r="FU130" i="1"/>
  <c r="FP131" i="1"/>
  <c r="FQ131" i="1"/>
  <c r="FR131" i="1"/>
  <c r="FS131" i="1"/>
  <c r="FT131" i="1"/>
  <c r="FU131" i="1"/>
  <c r="FP132" i="1"/>
  <c r="FQ132" i="1"/>
  <c r="FR132" i="1"/>
  <c r="FS132" i="1"/>
  <c r="FT132" i="1"/>
  <c r="FU132" i="1"/>
  <c r="FP133" i="1"/>
  <c r="FQ133" i="1"/>
  <c r="FR133" i="1"/>
  <c r="FS133" i="1"/>
  <c r="FT133" i="1"/>
  <c r="FU133" i="1"/>
  <c r="FP134" i="1"/>
  <c r="FQ134" i="1"/>
  <c r="FR134" i="1"/>
  <c r="FS134" i="1"/>
  <c r="FT134" i="1"/>
  <c r="FU134" i="1"/>
  <c r="FP135" i="1"/>
  <c r="FQ135" i="1"/>
  <c r="FR135" i="1"/>
  <c r="FS135" i="1"/>
  <c r="FT135" i="1"/>
  <c r="FU135" i="1"/>
  <c r="FP136" i="1"/>
  <c r="FQ136" i="1"/>
  <c r="FR136" i="1"/>
  <c r="FS136" i="1"/>
  <c r="FT136" i="1"/>
  <c r="FU136" i="1"/>
  <c r="FP137" i="1"/>
  <c r="FQ137" i="1"/>
  <c r="FR137" i="1"/>
  <c r="FS137" i="1"/>
  <c r="FT137" i="1"/>
  <c r="FU137" i="1"/>
  <c r="FP138" i="1"/>
  <c r="FQ138" i="1"/>
  <c r="FR138" i="1"/>
  <c r="FS138" i="1"/>
  <c r="FT138" i="1"/>
  <c r="FU138" i="1"/>
  <c r="FP139" i="1"/>
  <c r="FQ139" i="1"/>
  <c r="FR139" i="1"/>
  <c r="FS139" i="1"/>
  <c r="FT139" i="1"/>
  <c r="FU139" i="1"/>
  <c r="FP140" i="1"/>
  <c r="FQ140" i="1"/>
  <c r="FR140" i="1"/>
  <c r="FS140" i="1"/>
  <c r="FT140" i="1"/>
  <c r="FU140" i="1"/>
  <c r="FP141" i="1"/>
  <c r="FQ141" i="1"/>
  <c r="FR141" i="1"/>
  <c r="FS141" i="1"/>
  <c r="FT141" i="1"/>
  <c r="FU141" i="1"/>
  <c r="FP142" i="1"/>
  <c r="FQ142" i="1"/>
  <c r="FR142" i="1"/>
  <c r="FS142" i="1"/>
  <c r="FT142" i="1"/>
  <c r="FU142" i="1"/>
  <c r="FP143" i="1"/>
  <c r="FQ143" i="1"/>
  <c r="FR143" i="1"/>
  <c r="FS143" i="1"/>
  <c r="FT143" i="1"/>
  <c r="FU143" i="1"/>
  <c r="FP144" i="1"/>
  <c r="FQ144" i="1"/>
  <c r="FR144" i="1"/>
  <c r="FS144" i="1"/>
  <c r="FT144" i="1"/>
  <c r="FU144" i="1"/>
  <c r="FP145" i="1"/>
  <c r="FQ145" i="1"/>
  <c r="FR145" i="1"/>
  <c r="FS145" i="1"/>
  <c r="FT145" i="1"/>
  <c r="FU145" i="1"/>
  <c r="FP146" i="1"/>
  <c r="FQ146" i="1"/>
  <c r="FR146" i="1"/>
  <c r="FS146" i="1"/>
  <c r="FT146" i="1"/>
  <c r="FU146" i="1"/>
  <c r="FP147" i="1"/>
  <c r="FQ147" i="1"/>
  <c r="FR147" i="1"/>
  <c r="FS147" i="1"/>
  <c r="FT147" i="1"/>
  <c r="FU147" i="1"/>
  <c r="FP148" i="1"/>
  <c r="FQ148" i="1"/>
  <c r="FR148" i="1"/>
  <c r="FS148" i="1"/>
  <c r="FT148" i="1"/>
  <c r="FU148" i="1"/>
  <c r="FP149" i="1"/>
  <c r="FQ149" i="1"/>
  <c r="FR149" i="1"/>
  <c r="FS149" i="1"/>
  <c r="FT149" i="1"/>
  <c r="FU149" i="1"/>
  <c r="FP150" i="1"/>
  <c r="FQ150" i="1"/>
  <c r="FR150" i="1"/>
  <c r="FS150" i="1"/>
  <c r="FT150" i="1"/>
  <c r="FU150" i="1"/>
  <c r="FP151" i="1"/>
  <c r="FQ151" i="1"/>
  <c r="FR151" i="1"/>
  <c r="FS151" i="1"/>
  <c r="FT151" i="1"/>
  <c r="FU151" i="1"/>
  <c r="FP152" i="1"/>
  <c r="FQ152" i="1"/>
  <c r="FR152" i="1"/>
  <c r="FS152" i="1"/>
  <c r="FT152" i="1"/>
  <c r="FU152" i="1"/>
  <c r="FP153" i="1"/>
  <c r="FQ153" i="1"/>
  <c r="FR153" i="1"/>
  <c r="FS153" i="1"/>
  <c r="FT153" i="1"/>
  <c r="FU153" i="1"/>
  <c r="FP154" i="1"/>
  <c r="FQ154" i="1"/>
  <c r="FR154" i="1"/>
  <c r="FS154" i="1"/>
  <c r="FT154" i="1"/>
  <c r="FU154" i="1"/>
  <c r="FP155" i="1"/>
  <c r="FQ155" i="1"/>
  <c r="FR155" i="1"/>
  <c r="FS155" i="1"/>
  <c r="FT155" i="1"/>
  <c r="FU155" i="1"/>
  <c r="FP156" i="1"/>
  <c r="FQ156" i="1"/>
  <c r="FR156" i="1"/>
  <c r="FS156" i="1"/>
  <c r="FT156" i="1"/>
  <c r="FU156" i="1"/>
  <c r="FP157" i="1"/>
  <c r="FQ157" i="1"/>
  <c r="FR157" i="1"/>
  <c r="FS157" i="1"/>
  <c r="FT157" i="1"/>
  <c r="FU157" i="1"/>
  <c r="FP158" i="1"/>
  <c r="FQ158" i="1"/>
  <c r="FR158" i="1"/>
  <c r="FS158" i="1"/>
  <c r="FT158" i="1"/>
  <c r="FU158" i="1"/>
  <c r="FP159" i="1"/>
  <c r="FQ159" i="1"/>
  <c r="FR159" i="1"/>
  <c r="FS159" i="1"/>
  <c r="FT159" i="1"/>
  <c r="FU159" i="1"/>
  <c r="FP160" i="1"/>
  <c r="FQ160" i="1"/>
  <c r="FR160" i="1"/>
  <c r="FS160" i="1"/>
  <c r="FT160" i="1"/>
  <c r="FU160" i="1"/>
  <c r="FP161" i="1"/>
  <c r="FQ161" i="1"/>
  <c r="FR161" i="1"/>
  <c r="FS161" i="1"/>
  <c r="FT161" i="1"/>
  <c r="FU161" i="1"/>
  <c r="FP162" i="1"/>
  <c r="FQ162" i="1"/>
  <c r="FR162" i="1"/>
  <c r="FS162" i="1"/>
  <c r="FT162" i="1"/>
  <c r="FU162" i="1"/>
  <c r="FP163" i="1"/>
  <c r="FQ163" i="1"/>
  <c r="FR163" i="1"/>
  <c r="FS163" i="1"/>
  <c r="FT163" i="1"/>
  <c r="FU163" i="1"/>
  <c r="FU4" i="1"/>
  <c r="FQ4" i="1"/>
  <c r="FR4" i="1"/>
  <c r="FS4" i="1"/>
  <c r="FT4" i="1"/>
  <c r="FP4" i="1"/>
  <c r="FV5" i="1"/>
  <c r="FW5" i="1"/>
  <c r="FX5" i="1"/>
  <c r="FY5" i="1"/>
  <c r="FZ5" i="1"/>
  <c r="GA5" i="1"/>
  <c r="FV6" i="1"/>
  <c r="FW6" i="1"/>
  <c r="FX6" i="1"/>
  <c r="FY6" i="1"/>
  <c r="FZ6" i="1"/>
  <c r="GA6" i="1"/>
  <c r="FV7" i="1"/>
  <c r="FW7" i="1"/>
  <c r="FX7" i="1"/>
  <c r="FY7" i="1"/>
  <c r="FZ7" i="1"/>
  <c r="GA7" i="1"/>
  <c r="FV8" i="1"/>
  <c r="FW8" i="1"/>
  <c r="FX8" i="1"/>
  <c r="FY8" i="1"/>
  <c r="FZ8" i="1"/>
  <c r="GA8" i="1"/>
  <c r="FV9" i="1"/>
  <c r="FW9" i="1"/>
  <c r="FX9" i="1"/>
  <c r="FY9" i="1"/>
  <c r="FZ9" i="1"/>
  <c r="GA9" i="1"/>
  <c r="FV10" i="1"/>
  <c r="FW10" i="1"/>
  <c r="FX10" i="1"/>
  <c r="FY10" i="1"/>
  <c r="FZ10" i="1"/>
  <c r="GA10" i="1"/>
  <c r="FV11" i="1"/>
  <c r="FW11" i="1"/>
  <c r="FX11" i="1"/>
  <c r="FY11" i="1"/>
  <c r="FZ11" i="1"/>
  <c r="GA11" i="1"/>
  <c r="FV12" i="1"/>
  <c r="FW12" i="1"/>
  <c r="FX12" i="1"/>
  <c r="FY12" i="1"/>
  <c r="FZ12" i="1"/>
  <c r="GA12" i="1"/>
  <c r="FV13" i="1"/>
  <c r="FW13" i="1"/>
  <c r="FX13" i="1"/>
  <c r="FY13" i="1"/>
  <c r="FZ13" i="1"/>
  <c r="GA13" i="1"/>
  <c r="FV14" i="1"/>
  <c r="FW14" i="1"/>
  <c r="FX14" i="1"/>
  <c r="FY14" i="1"/>
  <c r="FZ14" i="1"/>
  <c r="GA14" i="1"/>
  <c r="FV15" i="1"/>
  <c r="FW15" i="1"/>
  <c r="FX15" i="1"/>
  <c r="FY15" i="1"/>
  <c r="FZ15" i="1"/>
  <c r="GA15" i="1"/>
  <c r="FV16" i="1"/>
  <c r="FW16" i="1"/>
  <c r="FX16" i="1"/>
  <c r="FY16" i="1"/>
  <c r="FZ16" i="1"/>
  <c r="GA16" i="1"/>
  <c r="FV17" i="1"/>
  <c r="FW17" i="1"/>
  <c r="FX17" i="1"/>
  <c r="FY17" i="1"/>
  <c r="FZ17" i="1"/>
  <c r="GA17" i="1"/>
  <c r="FV18" i="1"/>
  <c r="FW18" i="1"/>
  <c r="FX18" i="1"/>
  <c r="FY18" i="1"/>
  <c r="FZ18" i="1"/>
  <c r="GA18" i="1"/>
  <c r="FV19" i="1"/>
  <c r="FW19" i="1"/>
  <c r="FX19" i="1"/>
  <c r="FY19" i="1"/>
  <c r="FZ19" i="1"/>
  <c r="GA19" i="1"/>
  <c r="FV20" i="1"/>
  <c r="FW20" i="1"/>
  <c r="FX20" i="1"/>
  <c r="FY20" i="1"/>
  <c r="FZ20" i="1"/>
  <c r="GA20" i="1"/>
  <c r="FV21" i="1"/>
  <c r="FW21" i="1"/>
  <c r="FX21" i="1"/>
  <c r="FY21" i="1"/>
  <c r="FZ21" i="1"/>
  <c r="GA21" i="1"/>
  <c r="FV22" i="1"/>
  <c r="FW22" i="1"/>
  <c r="FX22" i="1"/>
  <c r="FY22" i="1"/>
  <c r="FZ22" i="1"/>
  <c r="GA22" i="1"/>
  <c r="FV23" i="1"/>
  <c r="FW23" i="1"/>
  <c r="FX23" i="1"/>
  <c r="FY23" i="1"/>
  <c r="FZ23" i="1"/>
  <c r="GA23" i="1"/>
  <c r="FV24" i="1"/>
  <c r="FW24" i="1"/>
  <c r="FX24" i="1"/>
  <c r="FY24" i="1"/>
  <c r="FZ24" i="1"/>
  <c r="GA24" i="1"/>
  <c r="FV25" i="1"/>
  <c r="FW25" i="1"/>
  <c r="FX25" i="1"/>
  <c r="FY25" i="1"/>
  <c r="FZ25" i="1"/>
  <c r="GA25" i="1"/>
  <c r="FV26" i="1"/>
  <c r="FW26" i="1"/>
  <c r="FX26" i="1"/>
  <c r="FY26" i="1"/>
  <c r="FZ26" i="1"/>
  <c r="GA26" i="1"/>
  <c r="FV27" i="1"/>
  <c r="FW27" i="1"/>
  <c r="FX27" i="1"/>
  <c r="FY27" i="1"/>
  <c r="FZ27" i="1"/>
  <c r="GA27" i="1"/>
  <c r="FV28" i="1"/>
  <c r="FW28" i="1"/>
  <c r="FX28" i="1"/>
  <c r="FY28" i="1"/>
  <c r="FZ28" i="1"/>
  <c r="GA28" i="1"/>
  <c r="FV29" i="1"/>
  <c r="FW29" i="1"/>
  <c r="FX29" i="1"/>
  <c r="FY29" i="1"/>
  <c r="FZ29" i="1"/>
  <c r="GA29" i="1"/>
  <c r="FV30" i="1"/>
  <c r="FW30" i="1"/>
  <c r="FX30" i="1"/>
  <c r="FY30" i="1"/>
  <c r="FZ30" i="1"/>
  <c r="GA30" i="1"/>
  <c r="FV31" i="1"/>
  <c r="FW31" i="1"/>
  <c r="FX31" i="1"/>
  <c r="FY31" i="1"/>
  <c r="FZ31" i="1"/>
  <c r="GA31" i="1"/>
  <c r="FV32" i="1"/>
  <c r="FW32" i="1"/>
  <c r="FX32" i="1"/>
  <c r="FY32" i="1"/>
  <c r="FZ32" i="1"/>
  <c r="GA32" i="1"/>
  <c r="FV33" i="1"/>
  <c r="FW33" i="1"/>
  <c r="FX33" i="1"/>
  <c r="FY33" i="1"/>
  <c r="FZ33" i="1"/>
  <c r="GA33" i="1"/>
  <c r="FV34" i="1"/>
  <c r="FW34" i="1"/>
  <c r="FX34" i="1"/>
  <c r="FY34" i="1"/>
  <c r="FZ34" i="1"/>
  <c r="GA34" i="1"/>
  <c r="FV35" i="1"/>
  <c r="FW35" i="1"/>
  <c r="FX35" i="1"/>
  <c r="FY35" i="1"/>
  <c r="FZ35" i="1"/>
  <c r="GA35" i="1"/>
  <c r="FV36" i="1"/>
  <c r="FW36" i="1"/>
  <c r="FX36" i="1"/>
  <c r="FY36" i="1"/>
  <c r="FZ36" i="1"/>
  <c r="GA36" i="1"/>
  <c r="FV37" i="1"/>
  <c r="FW37" i="1"/>
  <c r="FX37" i="1"/>
  <c r="FY37" i="1"/>
  <c r="FZ37" i="1"/>
  <c r="GA37" i="1"/>
  <c r="FV38" i="1"/>
  <c r="FW38" i="1"/>
  <c r="FX38" i="1"/>
  <c r="FY38" i="1"/>
  <c r="FZ38" i="1"/>
  <c r="GA38" i="1"/>
  <c r="FV39" i="1"/>
  <c r="FW39" i="1"/>
  <c r="FX39" i="1"/>
  <c r="FY39" i="1"/>
  <c r="FZ39" i="1"/>
  <c r="GA39" i="1"/>
  <c r="FV40" i="1"/>
  <c r="FW40" i="1"/>
  <c r="FX40" i="1"/>
  <c r="FY40" i="1"/>
  <c r="FZ40" i="1"/>
  <c r="GA40" i="1"/>
  <c r="FV41" i="1"/>
  <c r="FW41" i="1"/>
  <c r="FX41" i="1"/>
  <c r="FY41" i="1"/>
  <c r="FZ41" i="1"/>
  <c r="GA41" i="1"/>
  <c r="FV42" i="1"/>
  <c r="FW42" i="1"/>
  <c r="FX42" i="1"/>
  <c r="FY42" i="1"/>
  <c r="FZ42" i="1"/>
  <c r="GA42" i="1"/>
  <c r="FV43" i="1"/>
  <c r="FW43" i="1"/>
  <c r="FX43" i="1"/>
  <c r="FY43" i="1"/>
  <c r="FZ43" i="1"/>
  <c r="GA43" i="1"/>
  <c r="FV44" i="1"/>
  <c r="FW44" i="1"/>
  <c r="FX44" i="1"/>
  <c r="FY44" i="1"/>
  <c r="FZ44" i="1"/>
  <c r="GA44" i="1"/>
  <c r="FV45" i="1"/>
  <c r="FW45" i="1"/>
  <c r="FX45" i="1"/>
  <c r="FY45" i="1"/>
  <c r="FZ45" i="1"/>
  <c r="GA45" i="1"/>
  <c r="FV46" i="1"/>
  <c r="FW46" i="1"/>
  <c r="FX46" i="1"/>
  <c r="FY46" i="1"/>
  <c r="FZ46" i="1"/>
  <c r="GA46" i="1"/>
  <c r="FV47" i="1"/>
  <c r="FW47" i="1"/>
  <c r="FX47" i="1"/>
  <c r="FY47" i="1"/>
  <c r="FZ47" i="1"/>
  <c r="GA47" i="1"/>
  <c r="FV48" i="1"/>
  <c r="FW48" i="1"/>
  <c r="FX48" i="1"/>
  <c r="FY48" i="1"/>
  <c r="FZ48" i="1"/>
  <c r="GA48" i="1"/>
  <c r="FV49" i="1"/>
  <c r="FW49" i="1"/>
  <c r="FX49" i="1"/>
  <c r="FY49" i="1"/>
  <c r="FZ49" i="1"/>
  <c r="GA49" i="1"/>
  <c r="FV50" i="1"/>
  <c r="FW50" i="1"/>
  <c r="FX50" i="1"/>
  <c r="FY50" i="1"/>
  <c r="FZ50" i="1"/>
  <c r="GA50" i="1"/>
  <c r="FV51" i="1"/>
  <c r="FW51" i="1"/>
  <c r="FX51" i="1"/>
  <c r="FY51" i="1"/>
  <c r="FZ51" i="1"/>
  <c r="GA51" i="1"/>
  <c r="FV52" i="1"/>
  <c r="FW52" i="1"/>
  <c r="FX52" i="1"/>
  <c r="FY52" i="1"/>
  <c r="FZ52" i="1"/>
  <c r="GA52" i="1"/>
  <c r="FV53" i="1"/>
  <c r="FW53" i="1"/>
  <c r="FX53" i="1"/>
  <c r="FY53" i="1"/>
  <c r="FZ53" i="1"/>
  <c r="GA53" i="1"/>
  <c r="FV54" i="1"/>
  <c r="FW54" i="1"/>
  <c r="FX54" i="1"/>
  <c r="FY54" i="1"/>
  <c r="FZ54" i="1"/>
  <c r="GA54" i="1"/>
  <c r="FV55" i="1"/>
  <c r="FW55" i="1"/>
  <c r="FX55" i="1"/>
  <c r="FY55" i="1"/>
  <c r="FZ55" i="1"/>
  <c r="GA55" i="1"/>
  <c r="FV56" i="1"/>
  <c r="FW56" i="1"/>
  <c r="FX56" i="1"/>
  <c r="FY56" i="1"/>
  <c r="FZ56" i="1"/>
  <c r="GA56" i="1"/>
  <c r="FV57" i="1"/>
  <c r="FW57" i="1"/>
  <c r="FX57" i="1"/>
  <c r="FY57" i="1"/>
  <c r="FZ57" i="1"/>
  <c r="GA57" i="1"/>
  <c r="FV58" i="1"/>
  <c r="FW58" i="1"/>
  <c r="FX58" i="1"/>
  <c r="FY58" i="1"/>
  <c r="FZ58" i="1"/>
  <c r="GA58" i="1"/>
  <c r="FV59" i="1"/>
  <c r="FW59" i="1"/>
  <c r="FX59" i="1"/>
  <c r="FY59" i="1"/>
  <c r="FZ59" i="1"/>
  <c r="GA59" i="1"/>
  <c r="FV60" i="1"/>
  <c r="FW60" i="1"/>
  <c r="FX60" i="1"/>
  <c r="FY60" i="1"/>
  <c r="FZ60" i="1"/>
  <c r="GA60" i="1"/>
  <c r="FV61" i="1"/>
  <c r="FW61" i="1"/>
  <c r="FX61" i="1"/>
  <c r="FY61" i="1"/>
  <c r="FZ61" i="1"/>
  <c r="GA61" i="1"/>
  <c r="FV62" i="1"/>
  <c r="FW62" i="1"/>
  <c r="FX62" i="1"/>
  <c r="FY62" i="1"/>
  <c r="FZ62" i="1"/>
  <c r="GA62" i="1"/>
  <c r="FV63" i="1"/>
  <c r="FW63" i="1"/>
  <c r="FX63" i="1"/>
  <c r="FY63" i="1"/>
  <c r="FZ63" i="1"/>
  <c r="GA63" i="1"/>
  <c r="FV64" i="1"/>
  <c r="FW64" i="1"/>
  <c r="FX64" i="1"/>
  <c r="FY64" i="1"/>
  <c r="FZ64" i="1"/>
  <c r="GA64" i="1"/>
  <c r="FV65" i="1"/>
  <c r="FW65" i="1"/>
  <c r="FX65" i="1"/>
  <c r="FY65" i="1"/>
  <c r="FZ65" i="1"/>
  <c r="GA65" i="1"/>
  <c r="FV66" i="1"/>
  <c r="FW66" i="1"/>
  <c r="FX66" i="1"/>
  <c r="FY66" i="1"/>
  <c r="FZ66" i="1"/>
  <c r="GA66" i="1"/>
  <c r="FV67" i="1"/>
  <c r="FW67" i="1"/>
  <c r="FX67" i="1"/>
  <c r="FY67" i="1"/>
  <c r="FZ67" i="1"/>
  <c r="GA67" i="1"/>
  <c r="FV68" i="1"/>
  <c r="FW68" i="1"/>
  <c r="FX68" i="1"/>
  <c r="FY68" i="1"/>
  <c r="FZ68" i="1"/>
  <c r="GA68" i="1"/>
  <c r="FV69" i="1"/>
  <c r="FW69" i="1"/>
  <c r="FX69" i="1"/>
  <c r="FY69" i="1"/>
  <c r="FZ69" i="1"/>
  <c r="GA69" i="1"/>
  <c r="FV70" i="1"/>
  <c r="FW70" i="1"/>
  <c r="FX70" i="1"/>
  <c r="FY70" i="1"/>
  <c r="FZ70" i="1"/>
  <c r="GA70" i="1"/>
  <c r="FV71" i="1"/>
  <c r="FW71" i="1"/>
  <c r="FX71" i="1"/>
  <c r="FY71" i="1"/>
  <c r="FZ71" i="1"/>
  <c r="GA71" i="1"/>
  <c r="FV72" i="1"/>
  <c r="FW72" i="1"/>
  <c r="FX72" i="1"/>
  <c r="FY72" i="1"/>
  <c r="FZ72" i="1"/>
  <c r="GA72" i="1"/>
  <c r="FV73" i="1"/>
  <c r="FW73" i="1"/>
  <c r="FX73" i="1"/>
  <c r="FY73" i="1"/>
  <c r="FZ73" i="1"/>
  <c r="GA73" i="1"/>
  <c r="FV74" i="1"/>
  <c r="FW74" i="1"/>
  <c r="FX74" i="1"/>
  <c r="FY74" i="1"/>
  <c r="FZ74" i="1"/>
  <c r="GA74" i="1"/>
  <c r="FV75" i="1"/>
  <c r="FW75" i="1"/>
  <c r="FX75" i="1"/>
  <c r="FY75" i="1"/>
  <c r="FZ75" i="1"/>
  <c r="GA75" i="1"/>
  <c r="FV76" i="1"/>
  <c r="FW76" i="1"/>
  <c r="FX76" i="1"/>
  <c r="FY76" i="1"/>
  <c r="FZ76" i="1"/>
  <c r="GA76" i="1"/>
  <c r="FV77" i="1"/>
  <c r="FW77" i="1"/>
  <c r="FX77" i="1"/>
  <c r="FY77" i="1"/>
  <c r="FZ77" i="1"/>
  <c r="GA77" i="1"/>
  <c r="FV78" i="1"/>
  <c r="FW78" i="1"/>
  <c r="FX78" i="1"/>
  <c r="FY78" i="1"/>
  <c r="FZ78" i="1"/>
  <c r="GA78" i="1"/>
  <c r="FV79" i="1"/>
  <c r="FW79" i="1"/>
  <c r="FX79" i="1"/>
  <c r="FY79" i="1"/>
  <c r="FZ79" i="1"/>
  <c r="GA79" i="1"/>
  <c r="FV80" i="1"/>
  <c r="FW80" i="1"/>
  <c r="FX80" i="1"/>
  <c r="FY80" i="1"/>
  <c r="FZ80" i="1"/>
  <c r="GA80" i="1"/>
  <c r="FV81" i="1"/>
  <c r="FW81" i="1"/>
  <c r="FX81" i="1"/>
  <c r="FY81" i="1"/>
  <c r="FZ81" i="1"/>
  <c r="GA81" i="1"/>
  <c r="FV82" i="1"/>
  <c r="FW82" i="1"/>
  <c r="FX82" i="1"/>
  <c r="FY82" i="1"/>
  <c r="FZ82" i="1"/>
  <c r="GA82" i="1"/>
  <c r="FV83" i="1"/>
  <c r="FW83" i="1"/>
  <c r="FX83" i="1"/>
  <c r="FY83" i="1"/>
  <c r="FZ83" i="1"/>
  <c r="GA83" i="1"/>
  <c r="FV84" i="1"/>
  <c r="FW84" i="1"/>
  <c r="FX84" i="1"/>
  <c r="FY84" i="1"/>
  <c r="FZ84" i="1"/>
  <c r="GA84" i="1"/>
  <c r="FV85" i="1"/>
  <c r="FW85" i="1"/>
  <c r="FX85" i="1"/>
  <c r="FY85" i="1"/>
  <c r="FZ85" i="1"/>
  <c r="GA85" i="1"/>
  <c r="FV86" i="1"/>
  <c r="FW86" i="1"/>
  <c r="FX86" i="1"/>
  <c r="FY86" i="1"/>
  <c r="FZ86" i="1"/>
  <c r="GA86" i="1"/>
  <c r="FV87" i="1"/>
  <c r="FW87" i="1"/>
  <c r="FX87" i="1"/>
  <c r="FY87" i="1"/>
  <c r="FZ87" i="1"/>
  <c r="GA87" i="1"/>
  <c r="FV88" i="1"/>
  <c r="FW88" i="1"/>
  <c r="FX88" i="1"/>
  <c r="FY88" i="1"/>
  <c r="FZ88" i="1"/>
  <c r="GA88" i="1"/>
  <c r="FV89" i="1"/>
  <c r="FW89" i="1"/>
  <c r="FX89" i="1"/>
  <c r="FY89" i="1"/>
  <c r="FZ89" i="1"/>
  <c r="GA89" i="1"/>
  <c r="FV90" i="1"/>
  <c r="FW90" i="1"/>
  <c r="FX90" i="1"/>
  <c r="FY90" i="1"/>
  <c r="FZ90" i="1"/>
  <c r="GA90" i="1"/>
  <c r="FV91" i="1"/>
  <c r="FW91" i="1"/>
  <c r="FX91" i="1"/>
  <c r="FY91" i="1"/>
  <c r="FZ91" i="1"/>
  <c r="GA91" i="1"/>
  <c r="FV92" i="1"/>
  <c r="FW92" i="1"/>
  <c r="FX92" i="1"/>
  <c r="FY92" i="1"/>
  <c r="FZ92" i="1"/>
  <c r="GA92" i="1"/>
  <c r="FV93" i="1"/>
  <c r="FW93" i="1"/>
  <c r="FX93" i="1"/>
  <c r="FY93" i="1"/>
  <c r="FZ93" i="1"/>
  <c r="GA93" i="1"/>
  <c r="FV94" i="1"/>
  <c r="FW94" i="1"/>
  <c r="FX94" i="1"/>
  <c r="FY94" i="1"/>
  <c r="FZ94" i="1"/>
  <c r="GA94" i="1"/>
  <c r="FV95" i="1"/>
  <c r="FW95" i="1"/>
  <c r="FX95" i="1"/>
  <c r="FY95" i="1"/>
  <c r="FZ95" i="1"/>
  <c r="GA95" i="1"/>
  <c r="FV96" i="1"/>
  <c r="FW96" i="1"/>
  <c r="FX96" i="1"/>
  <c r="FY96" i="1"/>
  <c r="FZ96" i="1"/>
  <c r="GA96" i="1"/>
  <c r="FV97" i="1"/>
  <c r="FW97" i="1"/>
  <c r="FX97" i="1"/>
  <c r="FY97" i="1"/>
  <c r="FZ97" i="1"/>
  <c r="GA97" i="1"/>
  <c r="FV98" i="1"/>
  <c r="FW98" i="1"/>
  <c r="FX98" i="1"/>
  <c r="FY98" i="1"/>
  <c r="FZ98" i="1"/>
  <c r="GA98" i="1"/>
  <c r="FV99" i="1"/>
  <c r="FW99" i="1"/>
  <c r="FX99" i="1"/>
  <c r="FY99" i="1"/>
  <c r="FZ99" i="1"/>
  <c r="GA99" i="1"/>
  <c r="FV100" i="1"/>
  <c r="FW100" i="1"/>
  <c r="FX100" i="1"/>
  <c r="FY100" i="1"/>
  <c r="FZ100" i="1"/>
  <c r="GA100" i="1"/>
  <c r="FV101" i="1"/>
  <c r="FW101" i="1"/>
  <c r="FX101" i="1"/>
  <c r="FY101" i="1"/>
  <c r="FZ101" i="1"/>
  <c r="GA101" i="1"/>
  <c r="FV102" i="1"/>
  <c r="FW102" i="1"/>
  <c r="FX102" i="1"/>
  <c r="FY102" i="1"/>
  <c r="FZ102" i="1"/>
  <c r="GA102" i="1"/>
  <c r="FV103" i="1"/>
  <c r="FW103" i="1"/>
  <c r="FX103" i="1"/>
  <c r="FY103" i="1"/>
  <c r="FZ103" i="1"/>
  <c r="GA103" i="1"/>
  <c r="FV104" i="1"/>
  <c r="FW104" i="1"/>
  <c r="FX104" i="1"/>
  <c r="FY104" i="1"/>
  <c r="FZ104" i="1"/>
  <c r="GA104" i="1"/>
  <c r="FV105" i="1"/>
  <c r="FW105" i="1"/>
  <c r="FX105" i="1"/>
  <c r="FY105" i="1"/>
  <c r="FZ105" i="1"/>
  <c r="GA105" i="1"/>
  <c r="FV106" i="1"/>
  <c r="FW106" i="1"/>
  <c r="FX106" i="1"/>
  <c r="FY106" i="1"/>
  <c r="FZ106" i="1"/>
  <c r="GA106" i="1"/>
  <c r="FV107" i="1"/>
  <c r="FW107" i="1"/>
  <c r="FX107" i="1"/>
  <c r="FY107" i="1"/>
  <c r="FZ107" i="1"/>
  <c r="GA107" i="1"/>
  <c r="FV108" i="1"/>
  <c r="FW108" i="1"/>
  <c r="FX108" i="1"/>
  <c r="FY108" i="1"/>
  <c r="FZ108" i="1"/>
  <c r="GA108" i="1"/>
  <c r="FV109" i="1"/>
  <c r="FW109" i="1"/>
  <c r="FX109" i="1"/>
  <c r="FY109" i="1"/>
  <c r="FZ109" i="1"/>
  <c r="GA109" i="1"/>
  <c r="FV110" i="1"/>
  <c r="FW110" i="1"/>
  <c r="FX110" i="1"/>
  <c r="FY110" i="1"/>
  <c r="FZ110" i="1"/>
  <c r="GA110" i="1"/>
  <c r="FV111" i="1"/>
  <c r="FW111" i="1"/>
  <c r="FX111" i="1"/>
  <c r="FY111" i="1"/>
  <c r="FZ111" i="1"/>
  <c r="GA111" i="1"/>
  <c r="FV112" i="1"/>
  <c r="FW112" i="1"/>
  <c r="FX112" i="1"/>
  <c r="FY112" i="1"/>
  <c r="FZ112" i="1"/>
  <c r="GA112" i="1"/>
  <c r="FV113" i="1"/>
  <c r="FW113" i="1"/>
  <c r="FX113" i="1"/>
  <c r="FY113" i="1"/>
  <c r="FZ113" i="1"/>
  <c r="GA113" i="1"/>
  <c r="FV114" i="1"/>
  <c r="FW114" i="1"/>
  <c r="FX114" i="1"/>
  <c r="FY114" i="1"/>
  <c r="FZ114" i="1"/>
  <c r="GA114" i="1"/>
  <c r="FV115" i="1"/>
  <c r="FW115" i="1"/>
  <c r="FX115" i="1"/>
  <c r="FY115" i="1"/>
  <c r="FZ115" i="1"/>
  <c r="GA115" i="1"/>
  <c r="FV116" i="1"/>
  <c r="FW116" i="1"/>
  <c r="FX116" i="1"/>
  <c r="FY116" i="1"/>
  <c r="FZ116" i="1"/>
  <c r="GA116" i="1"/>
  <c r="FV117" i="1"/>
  <c r="FW117" i="1"/>
  <c r="FX117" i="1"/>
  <c r="FY117" i="1"/>
  <c r="FZ117" i="1"/>
  <c r="GA117" i="1"/>
  <c r="FV118" i="1"/>
  <c r="FW118" i="1"/>
  <c r="FX118" i="1"/>
  <c r="FY118" i="1"/>
  <c r="FZ118" i="1"/>
  <c r="GA118" i="1"/>
  <c r="FV119" i="1"/>
  <c r="FW119" i="1"/>
  <c r="FX119" i="1"/>
  <c r="FY119" i="1"/>
  <c r="FZ119" i="1"/>
  <c r="GA119" i="1"/>
  <c r="FV120" i="1"/>
  <c r="FW120" i="1"/>
  <c r="FX120" i="1"/>
  <c r="FY120" i="1"/>
  <c r="FZ120" i="1"/>
  <c r="GA120" i="1"/>
  <c r="FV121" i="1"/>
  <c r="FW121" i="1"/>
  <c r="FX121" i="1"/>
  <c r="FY121" i="1"/>
  <c r="FZ121" i="1"/>
  <c r="GA121" i="1"/>
  <c r="FV122" i="1"/>
  <c r="FW122" i="1"/>
  <c r="FX122" i="1"/>
  <c r="FY122" i="1"/>
  <c r="FZ122" i="1"/>
  <c r="GA122" i="1"/>
  <c r="FV123" i="1"/>
  <c r="FW123" i="1"/>
  <c r="FX123" i="1"/>
  <c r="FY123" i="1"/>
  <c r="FZ123" i="1"/>
  <c r="GA123" i="1"/>
  <c r="FV124" i="1"/>
  <c r="FW124" i="1"/>
  <c r="FX124" i="1"/>
  <c r="FY124" i="1"/>
  <c r="FZ124" i="1"/>
  <c r="GA124" i="1"/>
  <c r="FV125" i="1"/>
  <c r="FW125" i="1"/>
  <c r="FX125" i="1"/>
  <c r="FY125" i="1"/>
  <c r="FZ125" i="1"/>
  <c r="GA125" i="1"/>
  <c r="FV126" i="1"/>
  <c r="FW126" i="1"/>
  <c r="FX126" i="1"/>
  <c r="FY126" i="1"/>
  <c r="FZ126" i="1"/>
  <c r="GA126" i="1"/>
  <c r="FV127" i="1"/>
  <c r="FW127" i="1"/>
  <c r="FX127" i="1"/>
  <c r="FY127" i="1"/>
  <c r="FZ127" i="1"/>
  <c r="GA127" i="1"/>
  <c r="FV128" i="1"/>
  <c r="FW128" i="1"/>
  <c r="FX128" i="1"/>
  <c r="FY128" i="1"/>
  <c r="FZ128" i="1"/>
  <c r="GA128" i="1"/>
  <c r="FV129" i="1"/>
  <c r="FW129" i="1"/>
  <c r="FX129" i="1"/>
  <c r="FY129" i="1"/>
  <c r="FZ129" i="1"/>
  <c r="GA129" i="1"/>
  <c r="FV130" i="1"/>
  <c r="FW130" i="1"/>
  <c r="FX130" i="1"/>
  <c r="FY130" i="1"/>
  <c r="FZ130" i="1"/>
  <c r="GA130" i="1"/>
  <c r="FV131" i="1"/>
  <c r="FW131" i="1"/>
  <c r="FX131" i="1"/>
  <c r="FY131" i="1"/>
  <c r="FZ131" i="1"/>
  <c r="GA131" i="1"/>
  <c r="FV132" i="1"/>
  <c r="FW132" i="1"/>
  <c r="FX132" i="1"/>
  <c r="FY132" i="1"/>
  <c r="FZ132" i="1"/>
  <c r="GA132" i="1"/>
  <c r="FV133" i="1"/>
  <c r="FW133" i="1"/>
  <c r="FX133" i="1"/>
  <c r="FY133" i="1"/>
  <c r="FZ133" i="1"/>
  <c r="GA133" i="1"/>
  <c r="FV134" i="1"/>
  <c r="FW134" i="1"/>
  <c r="FX134" i="1"/>
  <c r="FY134" i="1"/>
  <c r="FZ134" i="1"/>
  <c r="GA134" i="1"/>
  <c r="FV135" i="1"/>
  <c r="FW135" i="1"/>
  <c r="FX135" i="1"/>
  <c r="FY135" i="1"/>
  <c r="FZ135" i="1"/>
  <c r="GA135" i="1"/>
  <c r="FV136" i="1"/>
  <c r="FW136" i="1"/>
  <c r="FX136" i="1"/>
  <c r="FY136" i="1"/>
  <c r="FZ136" i="1"/>
  <c r="GA136" i="1"/>
  <c r="FV137" i="1"/>
  <c r="FW137" i="1"/>
  <c r="FX137" i="1"/>
  <c r="FY137" i="1"/>
  <c r="FZ137" i="1"/>
  <c r="GA137" i="1"/>
  <c r="FV138" i="1"/>
  <c r="FW138" i="1"/>
  <c r="FX138" i="1"/>
  <c r="FY138" i="1"/>
  <c r="FZ138" i="1"/>
  <c r="GA138" i="1"/>
  <c r="FV139" i="1"/>
  <c r="FW139" i="1"/>
  <c r="FX139" i="1"/>
  <c r="FY139" i="1"/>
  <c r="FZ139" i="1"/>
  <c r="GA139" i="1"/>
  <c r="FV140" i="1"/>
  <c r="FW140" i="1"/>
  <c r="FX140" i="1"/>
  <c r="FY140" i="1"/>
  <c r="FZ140" i="1"/>
  <c r="GA140" i="1"/>
  <c r="FV141" i="1"/>
  <c r="FW141" i="1"/>
  <c r="FX141" i="1"/>
  <c r="FY141" i="1"/>
  <c r="FZ141" i="1"/>
  <c r="GA141" i="1"/>
  <c r="FV142" i="1"/>
  <c r="FW142" i="1"/>
  <c r="FX142" i="1"/>
  <c r="FY142" i="1"/>
  <c r="FZ142" i="1"/>
  <c r="GA142" i="1"/>
  <c r="FV143" i="1"/>
  <c r="FW143" i="1"/>
  <c r="FX143" i="1"/>
  <c r="FY143" i="1"/>
  <c r="FZ143" i="1"/>
  <c r="GA143" i="1"/>
  <c r="FV144" i="1"/>
  <c r="FW144" i="1"/>
  <c r="FX144" i="1"/>
  <c r="FY144" i="1"/>
  <c r="FZ144" i="1"/>
  <c r="GA144" i="1"/>
  <c r="FV145" i="1"/>
  <c r="FW145" i="1"/>
  <c r="FX145" i="1"/>
  <c r="FY145" i="1"/>
  <c r="FZ145" i="1"/>
  <c r="GA145" i="1"/>
  <c r="FV146" i="1"/>
  <c r="FW146" i="1"/>
  <c r="FX146" i="1"/>
  <c r="FY146" i="1"/>
  <c r="FZ146" i="1"/>
  <c r="GA146" i="1"/>
  <c r="FV147" i="1"/>
  <c r="FW147" i="1"/>
  <c r="FX147" i="1"/>
  <c r="FY147" i="1"/>
  <c r="FZ147" i="1"/>
  <c r="GA147" i="1"/>
  <c r="FV148" i="1"/>
  <c r="FW148" i="1"/>
  <c r="FX148" i="1"/>
  <c r="FY148" i="1"/>
  <c r="FZ148" i="1"/>
  <c r="GA148" i="1"/>
  <c r="FV149" i="1"/>
  <c r="FW149" i="1"/>
  <c r="FX149" i="1"/>
  <c r="FY149" i="1"/>
  <c r="FZ149" i="1"/>
  <c r="GA149" i="1"/>
  <c r="FV150" i="1"/>
  <c r="FW150" i="1"/>
  <c r="FX150" i="1"/>
  <c r="FY150" i="1"/>
  <c r="FZ150" i="1"/>
  <c r="GA150" i="1"/>
  <c r="FV151" i="1"/>
  <c r="FW151" i="1"/>
  <c r="FX151" i="1"/>
  <c r="FY151" i="1"/>
  <c r="FZ151" i="1"/>
  <c r="GA151" i="1"/>
  <c r="FV152" i="1"/>
  <c r="FW152" i="1"/>
  <c r="FX152" i="1"/>
  <c r="FY152" i="1"/>
  <c r="FZ152" i="1"/>
  <c r="GA152" i="1"/>
  <c r="FV153" i="1"/>
  <c r="FW153" i="1"/>
  <c r="FX153" i="1"/>
  <c r="FY153" i="1"/>
  <c r="FZ153" i="1"/>
  <c r="GA153" i="1"/>
  <c r="FV154" i="1"/>
  <c r="FW154" i="1"/>
  <c r="FX154" i="1"/>
  <c r="FY154" i="1"/>
  <c r="FZ154" i="1"/>
  <c r="GA154" i="1"/>
  <c r="FV155" i="1"/>
  <c r="FW155" i="1"/>
  <c r="FX155" i="1"/>
  <c r="FY155" i="1"/>
  <c r="FZ155" i="1"/>
  <c r="GA155" i="1"/>
  <c r="FV156" i="1"/>
  <c r="FW156" i="1"/>
  <c r="FX156" i="1"/>
  <c r="FY156" i="1"/>
  <c r="FZ156" i="1"/>
  <c r="GA156" i="1"/>
  <c r="FV157" i="1"/>
  <c r="FW157" i="1"/>
  <c r="FX157" i="1"/>
  <c r="FY157" i="1"/>
  <c r="FZ157" i="1"/>
  <c r="GA157" i="1"/>
  <c r="FV158" i="1"/>
  <c r="FW158" i="1"/>
  <c r="FX158" i="1"/>
  <c r="FY158" i="1"/>
  <c r="FZ158" i="1"/>
  <c r="GA158" i="1"/>
  <c r="FV159" i="1"/>
  <c r="FW159" i="1"/>
  <c r="FX159" i="1"/>
  <c r="FY159" i="1"/>
  <c r="FZ159" i="1"/>
  <c r="GA159" i="1"/>
  <c r="FV160" i="1"/>
  <c r="FW160" i="1"/>
  <c r="FX160" i="1"/>
  <c r="FY160" i="1"/>
  <c r="FZ160" i="1"/>
  <c r="GA160" i="1"/>
  <c r="FV161" i="1"/>
  <c r="FW161" i="1"/>
  <c r="FX161" i="1"/>
  <c r="FY161" i="1"/>
  <c r="FZ161" i="1"/>
  <c r="GA161" i="1"/>
  <c r="FV162" i="1"/>
  <c r="FW162" i="1"/>
  <c r="FX162" i="1"/>
  <c r="FY162" i="1"/>
  <c r="FZ162" i="1"/>
  <c r="GA162" i="1"/>
  <c r="FV163" i="1"/>
  <c r="FW163" i="1"/>
  <c r="FX163" i="1"/>
  <c r="FY163" i="1"/>
  <c r="FZ163" i="1"/>
  <c r="GA163" i="1"/>
  <c r="FW4" i="1"/>
  <c r="FX4" i="1"/>
  <c r="FY4" i="1"/>
  <c r="FZ4" i="1"/>
  <c r="GA4" i="1"/>
  <c r="FV4" i="1"/>
  <c r="DV4" i="1"/>
  <c r="DW4" i="1"/>
  <c r="DX4" i="1"/>
  <c r="DY4" i="1"/>
  <c r="DZ4" i="1"/>
  <c r="EA4" i="1"/>
  <c r="DV5" i="1"/>
  <c r="DW5" i="1"/>
  <c r="DX5" i="1"/>
  <c r="DY5" i="1"/>
  <c r="DZ5" i="1"/>
  <c r="EA5" i="1"/>
  <c r="DV6" i="1"/>
  <c r="DW6" i="1"/>
  <c r="DX6" i="1"/>
  <c r="DY6" i="1"/>
  <c r="DZ6" i="1"/>
  <c r="EA6" i="1"/>
  <c r="DV7" i="1"/>
  <c r="DW7" i="1"/>
  <c r="DX7" i="1"/>
  <c r="DY7" i="1"/>
  <c r="DZ7" i="1"/>
  <c r="EA7" i="1"/>
  <c r="DV8" i="1"/>
  <c r="DW8" i="1"/>
  <c r="DX8" i="1"/>
  <c r="DY8" i="1"/>
  <c r="DZ8" i="1"/>
  <c r="EA8" i="1"/>
  <c r="DV9" i="1"/>
  <c r="DW9" i="1"/>
  <c r="DX9" i="1"/>
  <c r="DY9" i="1"/>
  <c r="DZ9" i="1"/>
  <c r="EA9" i="1"/>
  <c r="DV10" i="1"/>
  <c r="DW10" i="1"/>
  <c r="DX10" i="1"/>
  <c r="DY10" i="1"/>
  <c r="DZ10" i="1"/>
  <c r="EA10" i="1"/>
  <c r="DV11" i="1"/>
  <c r="DW11" i="1"/>
  <c r="DX11" i="1"/>
  <c r="DY11" i="1"/>
  <c r="DZ11" i="1"/>
  <c r="EA11" i="1"/>
  <c r="DV12" i="1"/>
  <c r="DW12" i="1"/>
  <c r="DX12" i="1"/>
  <c r="DY12" i="1"/>
  <c r="DZ12" i="1"/>
  <c r="EA12" i="1"/>
  <c r="DV13" i="1"/>
  <c r="DW13" i="1"/>
  <c r="DX13" i="1"/>
  <c r="DY13" i="1"/>
  <c r="DZ13" i="1"/>
  <c r="EA13" i="1"/>
  <c r="DV14" i="1"/>
  <c r="DW14" i="1"/>
  <c r="DX14" i="1"/>
  <c r="DY14" i="1"/>
  <c r="DZ14" i="1"/>
  <c r="EA14" i="1"/>
  <c r="DV15" i="1"/>
  <c r="DW15" i="1"/>
  <c r="DX15" i="1"/>
  <c r="DY15" i="1"/>
  <c r="DZ15" i="1"/>
  <c r="EA15" i="1"/>
  <c r="DV16" i="1"/>
  <c r="DW16" i="1"/>
  <c r="DX16" i="1"/>
  <c r="DY16" i="1"/>
  <c r="DZ16" i="1"/>
  <c r="EA16" i="1"/>
  <c r="DV17" i="1"/>
  <c r="DW17" i="1"/>
  <c r="DX17" i="1"/>
  <c r="DY17" i="1"/>
  <c r="DZ17" i="1"/>
  <c r="EA17" i="1"/>
  <c r="DV18" i="1"/>
  <c r="DW18" i="1"/>
  <c r="DX18" i="1"/>
  <c r="DY18" i="1"/>
  <c r="DZ18" i="1"/>
  <c r="EA18" i="1"/>
  <c r="DV19" i="1"/>
  <c r="DW19" i="1"/>
  <c r="DX19" i="1"/>
  <c r="DY19" i="1"/>
  <c r="DZ19" i="1"/>
  <c r="EA19" i="1"/>
  <c r="DV20" i="1"/>
  <c r="DW20" i="1"/>
  <c r="DX20" i="1"/>
  <c r="DY20" i="1"/>
  <c r="DZ20" i="1"/>
  <c r="EA20" i="1"/>
  <c r="DV21" i="1"/>
  <c r="DW21" i="1"/>
  <c r="DX21" i="1"/>
  <c r="DY21" i="1"/>
  <c r="DZ21" i="1"/>
  <c r="EA21" i="1"/>
  <c r="DV22" i="1"/>
  <c r="DW22" i="1"/>
  <c r="DX22" i="1"/>
  <c r="DY22" i="1"/>
  <c r="DZ22" i="1"/>
  <c r="EA22" i="1"/>
  <c r="DV23" i="1"/>
  <c r="DW23" i="1"/>
  <c r="DX23" i="1"/>
  <c r="DY23" i="1"/>
  <c r="DZ23" i="1"/>
  <c r="EA23" i="1"/>
  <c r="DV24" i="1"/>
  <c r="DW24" i="1"/>
  <c r="DX24" i="1"/>
  <c r="DY24" i="1"/>
  <c r="DZ24" i="1"/>
  <c r="EA24" i="1"/>
  <c r="DV25" i="1"/>
  <c r="DW25" i="1"/>
  <c r="DX25" i="1"/>
  <c r="DY25" i="1"/>
  <c r="DZ25" i="1"/>
  <c r="EA25" i="1"/>
  <c r="DV26" i="1"/>
  <c r="DW26" i="1"/>
  <c r="DX26" i="1"/>
  <c r="DY26" i="1"/>
  <c r="DZ26" i="1"/>
  <c r="EA26" i="1"/>
  <c r="DV27" i="1"/>
  <c r="DW27" i="1"/>
  <c r="DX27" i="1"/>
  <c r="DY27" i="1"/>
  <c r="DZ27" i="1"/>
  <c r="EA27" i="1"/>
  <c r="DV28" i="1"/>
  <c r="DW28" i="1"/>
  <c r="DX28" i="1"/>
  <c r="DY28" i="1"/>
  <c r="DZ28" i="1"/>
  <c r="EA28" i="1"/>
  <c r="DV29" i="1"/>
  <c r="DW29" i="1"/>
  <c r="DX29" i="1"/>
  <c r="DY29" i="1"/>
  <c r="DZ29" i="1"/>
  <c r="EA29" i="1"/>
  <c r="DV30" i="1"/>
  <c r="DW30" i="1"/>
  <c r="DX30" i="1"/>
  <c r="DY30" i="1"/>
  <c r="DZ30" i="1"/>
  <c r="EA30" i="1"/>
  <c r="DV31" i="1"/>
  <c r="DW31" i="1"/>
  <c r="DX31" i="1"/>
  <c r="DY31" i="1"/>
  <c r="DZ31" i="1"/>
  <c r="EA31" i="1"/>
  <c r="DV32" i="1"/>
  <c r="DW32" i="1"/>
  <c r="DX32" i="1"/>
  <c r="DY32" i="1"/>
  <c r="DZ32" i="1"/>
  <c r="EA32" i="1"/>
  <c r="DV33" i="1"/>
  <c r="DW33" i="1"/>
  <c r="DX33" i="1"/>
  <c r="DY33" i="1"/>
  <c r="DZ33" i="1"/>
  <c r="EA33" i="1"/>
  <c r="DV34" i="1"/>
  <c r="DW34" i="1"/>
  <c r="DX34" i="1"/>
  <c r="DY34" i="1"/>
  <c r="DZ34" i="1"/>
  <c r="EA34" i="1"/>
  <c r="DV35" i="1"/>
  <c r="DW35" i="1"/>
  <c r="DX35" i="1"/>
  <c r="DY35" i="1"/>
  <c r="DZ35" i="1"/>
  <c r="EA35" i="1"/>
  <c r="DV36" i="1"/>
  <c r="DW36" i="1"/>
  <c r="DX36" i="1"/>
  <c r="DY36" i="1"/>
  <c r="DZ36" i="1"/>
  <c r="EA36" i="1"/>
  <c r="DV37" i="1"/>
  <c r="DW37" i="1"/>
  <c r="DX37" i="1"/>
  <c r="DY37" i="1"/>
  <c r="DZ37" i="1"/>
  <c r="EA37" i="1"/>
  <c r="DV38" i="1"/>
  <c r="DW38" i="1"/>
  <c r="DX38" i="1"/>
  <c r="DY38" i="1"/>
  <c r="DZ38" i="1"/>
  <c r="EA38" i="1"/>
  <c r="DV39" i="1"/>
  <c r="DW39" i="1"/>
  <c r="DX39" i="1"/>
  <c r="DY39" i="1"/>
  <c r="DZ39" i="1"/>
  <c r="EA39" i="1"/>
  <c r="DV40" i="1"/>
  <c r="DW40" i="1"/>
  <c r="DX40" i="1"/>
  <c r="DY40" i="1"/>
  <c r="DZ40" i="1"/>
  <c r="EA40" i="1"/>
  <c r="DV41" i="1"/>
  <c r="DW41" i="1"/>
  <c r="DX41" i="1"/>
  <c r="DY41" i="1"/>
  <c r="DZ41" i="1"/>
  <c r="EA41" i="1"/>
  <c r="DV42" i="1"/>
  <c r="DW42" i="1"/>
  <c r="DX42" i="1"/>
  <c r="DY42" i="1"/>
  <c r="DZ42" i="1"/>
  <c r="EA42" i="1"/>
  <c r="DV43" i="1"/>
  <c r="DW43" i="1"/>
  <c r="DX43" i="1"/>
  <c r="DY43" i="1"/>
  <c r="DZ43" i="1"/>
  <c r="EA43" i="1"/>
  <c r="DV44" i="1"/>
  <c r="DW44" i="1"/>
  <c r="DX44" i="1"/>
  <c r="DY44" i="1"/>
  <c r="DZ44" i="1"/>
  <c r="EA44" i="1"/>
  <c r="DV45" i="1"/>
  <c r="DW45" i="1"/>
  <c r="DX45" i="1"/>
  <c r="DY45" i="1"/>
  <c r="DZ45" i="1"/>
  <c r="EA45" i="1"/>
  <c r="DV46" i="1"/>
  <c r="DW46" i="1"/>
  <c r="DX46" i="1"/>
  <c r="DY46" i="1"/>
  <c r="DZ46" i="1"/>
  <c r="EA46" i="1"/>
  <c r="DV47" i="1"/>
  <c r="DW47" i="1"/>
  <c r="DX47" i="1"/>
  <c r="DY47" i="1"/>
  <c r="DZ47" i="1"/>
  <c r="EA47" i="1"/>
  <c r="DV48" i="1"/>
  <c r="DW48" i="1"/>
  <c r="DX48" i="1"/>
  <c r="DY48" i="1"/>
  <c r="DZ48" i="1"/>
  <c r="EA48" i="1"/>
  <c r="DV49" i="1"/>
  <c r="DW49" i="1"/>
  <c r="DX49" i="1"/>
  <c r="DY49" i="1"/>
  <c r="DZ49" i="1"/>
  <c r="EA49" i="1"/>
  <c r="DV50" i="1"/>
  <c r="DW50" i="1"/>
  <c r="DX50" i="1"/>
  <c r="DY50" i="1"/>
  <c r="DZ50" i="1"/>
  <c r="EA50" i="1"/>
  <c r="DV51" i="1"/>
  <c r="DW51" i="1"/>
  <c r="DX51" i="1"/>
  <c r="DY51" i="1"/>
  <c r="DZ51" i="1"/>
  <c r="EA51" i="1"/>
  <c r="DV52" i="1"/>
  <c r="DW52" i="1"/>
  <c r="DX52" i="1"/>
  <c r="DY52" i="1"/>
  <c r="DZ52" i="1"/>
  <c r="EA52" i="1"/>
  <c r="DV53" i="1"/>
  <c r="DW53" i="1"/>
  <c r="DX53" i="1"/>
  <c r="DY53" i="1"/>
  <c r="DZ53" i="1"/>
  <c r="EA53" i="1"/>
  <c r="DV54" i="1"/>
  <c r="DW54" i="1"/>
  <c r="DX54" i="1"/>
  <c r="DY54" i="1"/>
  <c r="DZ54" i="1"/>
  <c r="EA54" i="1"/>
  <c r="DV55" i="1"/>
  <c r="DW55" i="1"/>
  <c r="DX55" i="1"/>
  <c r="DY55" i="1"/>
  <c r="DZ55" i="1"/>
  <c r="EA55" i="1"/>
  <c r="DV56" i="1"/>
  <c r="DW56" i="1"/>
  <c r="DX56" i="1"/>
  <c r="DY56" i="1"/>
  <c r="DZ56" i="1"/>
  <c r="EA56" i="1"/>
  <c r="DV57" i="1"/>
  <c r="DW57" i="1"/>
  <c r="DX57" i="1"/>
  <c r="DY57" i="1"/>
  <c r="DZ57" i="1"/>
  <c r="EA57" i="1"/>
  <c r="DV58" i="1"/>
  <c r="DW58" i="1"/>
  <c r="DX58" i="1"/>
  <c r="DY58" i="1"/>
  <c r="DZ58" i="1"/>
  <c r="EA58" i="1"/>
  <c r="DV59" i="1"/>
  <c r="DW59" i="1"/>
  <c r="DX59" i="1"/>
  <c r="DY59" i="1"/>
  <c r="DZ59" i="1"/>
  <c r="EA59" i="1"/>
  <c r="DV60" i="1"/>
  <c r="DW60" i="1"/>
  <c r="DX60" i="1"/>
  <c r="DY60" i="1"/>
  <c r="DZ60" i="1"/>
  <c r="EA60" i="1"/>
  <c r="DV61" i="1"/>
  <c r="DW61" i="1"/>
  <c r="DX61" i="1"/>
  <c r="DY61" i="1"/>
  <c r="DZ61" i="1"/>
  <c r="EA61" i="1"/>
  <c r="DV62" i="1"/>
  <c r="DW62" i="1"/>
  <c r="DX62" i="1"/>
  <c r="DY62" i="1"/>
  <c r="DZ62" i="1"/>
  <c r="EA62" i="1"/>
  <c r="DV63" i="1"/>
  <c r="DW63" i="1"/>
  <c r="DX63" i="1"/>
  <c r="DY63" i="1"/>
  <c r="DZ63" i="1"/>
  <c r="EA63" i="1"/>
  <c r="DV64" i="1"/>
  <c r="DW64" i="1"/>
  <c r="DX64" i="1"/>
  <c r="DY64" i="1"/>
  <c r="DZ64" i="1"/>
  <c r="EA64" i="1"/>
  <c r="DV65" i="1"/>
  <c r="DW65" i="1"/>
  <c r="DX65" i="1"/>
  <c r="DY65" i="1"/>
  <c r="DZ65" i="1"/>
  <c r="EA65" i="1"/>
  <c r="DV66" i="1"/>
  <c r="DW66" i="1"/>
  <c r="DX66" i="1"/>
  <c r="DY66" i="1"/>
  <c r="DZ66" i="1"/>
  <c r="EA66" i="1"/>
  <c r="DV67" i="1"/>
  <c r="DW67" i="1"/>
  <c r="DX67" i="1"/>
  <c r="DY67" i="1"/>
  <c r="DZ67" i="1"/>
  <c r="EA67" i="1"/>
  <c r="DV68" i="1"/>
  <c r="DW68" i="1"/>
  <c r="DX68" i="1"/>
  <c r="DY68" i="1"/>
  <c r="DZ68" i="1"/>
  <c r="EA68" i="1"/>
  <c r="DV69" i="1"/>
  <c r="DW69" i="1"/>
  <c r="DX69" i="1"/>
  <c r="DY69" i="1"/>
  <c r="DZ69" i="1"/>
  <c r="EA69" i="1"/>
  <c r="DV70" i="1"/>
  <c r="DW70" i="1"/>
  <c r="DX70" i="1"/>
  <c r="DY70" i="1"/>
  <c r="DZ70" i="1"/>
  <c r="EA70" i="1"/>
  <c r="DV71" i="1"/>
  <c r="DW71" i="1"/>
  <c r="DX71" i="1"/>
  <c r="DY71" i="1"/>
  <c r="DZ71" i="1"/>
  <c r="EA71" i="1"/>
  <c r="DV72" i="1"/>
  <c r="DW72" i="1"/>
  <c r="DX72" i="1"/>
  <c r="DY72" i="1"/>
  <c r="DZ72" i="1"/>
  <c r="EA72" i="1"/>
  <c r="DV73" i="1"/>
  <c r="DW73" i="1"/>
  <c r="DX73" i="1"/>
  <c r="DY73" i="1"/>
  <c r="DZ73" i="1"/>
  <c r="EA73" i="1"/>
  <c r="DV74" i="1"/>
  <c r="DW74" i="1"/>
  <c r="DX74" i="1"/>
  <c r="DY74" i="1"/>
  <c r="DZ74" i="1"/>
  <c r="EA74" i="1"/>
  <c r="DV75" i="1"/>
  <c r="DW75" i="1"/>
  <c r="DX75" i="1"/>
  <c r="DY75" i="1"/>
  <c r="DZ75" i="1"/>
  <c r="EA75" i="1"/>
  <c r="DV76" i="1"/>
  <c r="DW76" i="1"/>
  <c r="DX76" i="1"/>
  <c r="DY76" i="1"/>
  <c r="DZ76" i="1"/>
  <c r="EA76" i="1"/>
  <c r="DV77" i="1"/>
  <c r="DW77" i="1"/>
  <c r="DX77" i="1"/>
  <c r="DY77" i="1"/>
  <c r="DZ77" i="1"/>
  <c r="EA77" i="1"/>
  <c r="DV78" i="1"/>
  <c r="DW78" i="1"/>
  <c r="DX78" i="1"/>
  <c r="DY78" i="1"/>
  <c r="DZ78" i="1"/>
  <c r="EA78" i="1"/>
  <c r="DV79" i="1"/>
  <c r="DW79" i="1"/>
  <c r="DX79" i="1"/>
  <c r="DY79" i="1"/>
  <c r="DZ79" i="1"/>
  <c r="EA79" i="1"/>
  <c r="DV80" i="1"/>
  <c r="DW80" i="1"/>
  <c r="DX80" i="1"/>
  <c r="DY80" i="1"/>
  <c r="DZ80" i="1"/>
  <c r="EA80" i="1"/>
  <c r="DV81" i="1"/>
  <c r="DW81" i="1"/>
  <c r="DX81" i="1"/>
  <c r="DY81" i="1"/>
  <c r="DZ81" i="1"/>
  <c r="EA81" i="1"/>
  <c r="DV82" i="1"/>
  <c r="DW82" i="1"/>
  <c r="DX82" i="1"/>
  <c r="DY82" i="1"/>
  <c r="DZ82" i="1"/>
  <c r="EA82" i="1"/>
  <c r="DV83" i="1"/>
  <c r="DW83" i="1"/>
  <c r="DX83" i="1"/>
  <c r="DY83" i="1"/>
  <c r="DZ83" i="1"/>
  <c r="EA83" i="1"/>
  <c r="DV84" i="1"/>
  <c r="DW84" i="1"/>
  <c r="DX84" i="1"/>
  <c r="DY84" i="1"/>
  <c r="DZ84" i="1"/>
  <c r="EA84" i="1"/>
  <c r="DV85" i="1"/>
  <c r="DW85" i="1"/>
  <c r="DX85" i="1"/>
  <c r="DY85" i="1"/>
  <c r="DZ85" i="1"/>
  <c r="EA85" i="1"/>
  <c r="DV86" i="1"/>
  <c r="DW86" i="1"/>
  <c r="DX86" i="1"/>
  <c r="DY86" i="1"/>
  <c r="DZ86" i="1"/>
  <c r="EA86" i="1"/>
  <c r="DV87" i="1"/>
  <c r="DW87" i="1"/>
  <c r="DX87" i="1"/>
  <c r="DY87" i="1"/>
  <c r="DZ87" i="1"/>
  <c r="EA87" i="1"/>
  <c r="DV88" i="1"/>
  <c r="DW88" i="1"/>
  <c r="DX88" i="1"/>
  <c r="DY88" i="1"/>
  <c r="DZ88" i="1"/>
  <c r="EA88" i="1"/>
  <c r="DV89" i="1"/>
  <c r="DW89" i="1"/>
  <c r="DX89" i="1"/>
  <c r="DY89" i="1"/>
  <c r="DZ89" i="1"/>
  <c r="EA89" i="1"/>
  <c r="DV90" i="1"/>
  <c r="DW90" i="1"/>
  <c r="DX90" i="1"/>
  <c r="DY90" i="1"/>
  <c r="DZ90" i="1"/>
  <c r="EA90" i="1"/>
  <c r="DV91" i="1"/>
  <c r="DW91" i="1"/>
  <c r="DX91" i="1"/>
  <c r="DY91" i="1"/>
  <c r="DZ91" i="1"/>
  <c r="EA91" i="1"/>
  <c r="DV92" i="1"/>
  <c r="DW92" i="1"/>
  <c r="DX92" i="1"/>
  <c r="DY92" i="1"/>
  <c r="DZ92" i="1"/>
  <c r="EA92" i="1"/>
  <c r="DV93" i="1"/>
  <c r="DW93" i="1"/>
  <c r="DX93" i="1"/>
  <c r="DY93" i="1"/>
  <c r="DZ93" i="1"/>
  <c r="EA93" i="1"/>
  <c r="DV94" i="1"/>
  <c r="DW94" i="1"/>
  <c r="DX94" i="1"/>
  <c r="DY94" i="1"/>
  <c r="DZ94" i="1"/>
  <c r="EA94" i="1"/>
  <c r="DV95" i="1"/>
  <c r="DW95" i="1"/>
  <c r="DX95" i="1"/>
  <c r="DY95" i="1"/>
  <c r="DZ95" i="1"/>
  <c r="EA95" i="1"/>
  <c r="DV96" i="1"/>
  <c r="DW96" i="1"/>
  <c r="DX96" i="1"/>
  <c r="DY96" i="1"/>
  <c r="DZ96" i="1"/>
  <c r="EA96" i="1"/>
  <c r="DV97" i="1"/>
  <c r="DW97" i="1"/>
  <c r="DX97" i="1"/>
  <c r="DY97" i="1"/>
  <c r="DZ97" i="1"/>
  <c r="EA97" i="1"/>
  <c r="DV98" i="1"/>
  <c r="DW98" i="1"/>
  <c r="DX98" i="1"/>
  <c r="DY98" i="1"/>
  <c r="DZ98" i="1"/>
  <c r="EA98" i="1"/>
  <c r="DV99" i="1"/>
  <c r="DW99" i="1"/>
  <c r="DX99" i="1"/>
  <c r="DY99" i="1"/>
  <c r="DZ99" i="1"/>
  <c r="EA99" i="1"/>
  <c r="DV100" i="1"/>
  <c r="DW100" i="1"/>
  <c r="DX100" i="1"/>
  <c r="DY100" i="1"/>
  <c r="DZ100" i="1"/>
  <c r="EA100" i="1"/>
  <c r="DV101" i="1"/>
  <c r="DW101" i="1"/>
  <c r="DX101" i="1"/>
  <c r="DY101" i="1"/>
  <c r="DZ101" i="1"/>
  <c r="EA101" i="1"/>
  <c r="DV102" i="1"/>
  <c r="DW102" i="1"/>
  <c r="DX102" i="1"/>
  <c r="DY102" i="1"/>
  <c r="DZ102" i="1"/>
  <c r="EA102" i="1"/>
  <c r="DV103" i="1"/>
  <c r="DW103" i="1"/>
  <c r="DX103" i="1"/>
  <c r="DY103" i="1"/>
  <c r="DZ103" i="1"/>
  <c r="EA103" i="1"/>
  <c r="DV104" i="1"/>
  <c r="DW104" i="1"/>
  <c r="DX104" i="1"/>
  <c r="DY104" i="1"/>
  <c r="DZ104" i="1"/>
  <c r="EA104" i="1"/>
  <c r="DV105" i="1"/>
  <c r="DW105" i="1"/>
  <c r="DX105" i="1"/>
  <c r="DY105" i="1"/>
  <c r="DZ105" i="1"/>
  <c r="EA105" i="1"/>
  <c r="DV106" i="1"/>
  <c r="DW106" i="1"/>
  <c r="DX106" i="1"/>
  <c r="DY106" i="1"/>
  <c r="DZ106" i="1"/>
  <c r="EA106" i="1"/>
  <c r="DV107" i="1"/>
  <c r="DW107" i="1"/>
  <c r="DX107" i="1"/>
  <c r="DY107" i="1"/>
  <c r="DZ107" i="1"/>
  <c r="EA107" i="1"/>
  <c r="DV108" i="1"/>
  <c r="DW108" i="1"/>
  <c r="DX108" i="1"/>
  <c r="DY108" i="1"/>
  <c r="DZ108" i="1"/>
  <c r="EA108" i="1"/>
  <c r="DV109" i="1"/>
  <c r="DW109" i="1"/>
  <c r="DX109" i="1"/>
  <c r="DY109" i="1"/>
  <c r="DZ109" i="1"/>
  <c r="EA109" i="1"/>
  <c r="DV110" i="1"/>
  <c r="DW110" i="1"/>
  <c r="DX110" i="1"/>
  <c r="DY110" i="1"/>
  <c r="DZ110" i="1"/>
  <c r="EA110" i="1"/>
  <c r="DV111" i="1"/>
  <c r="DW111" i="1"/>
  <c r="DX111" i="1"/>
  <c r="DY111" i="1"/>
  <c r="DZ111" i="1"/>
  <c r="EA111" i="1"/>
  <c r="DV112" i="1"/>
  <c r="DW112" i="1"/>
  <c r="DX112" i="1"/>
  <c r="DY112" i="1"/>
  <c r="DZ112" i="1"/>
  <c r="EA112" i="1"/>
  <c r="DV113" i="1"/>
  <c r="DW113" i="1"/>
  <c r="DX113" i="1"/>
  <c r="DY113" i="1"/>
  <c r="DZ113" i="1"/>
  <c r="EA113" i="1"/>
  <c r="DV114" i="1"/>
  <c r="DW114" i="1"/>
  <c r="DX114" i="1"/>
  <c r="DY114" i="1"/>
  <c r="DZ114" i="1"/>
  <c r="EA114" i="1"/>
  <c r="DV115" i="1"/>
  <c r="DW115" i="1"/>
  <c r="DX115" i="1"/>
  <c r="DY115" i="1"/>
  <c r="DZ115" i="1"/>
  <c r="EA115" i="1"/>
  <c r="DV116" i="1"/>
  <c r="DW116" i="1"/>
  <c r="DX116" i="1"/>
  <c r="DY116" i="1"/>
  <c r="DZ116" i="1"/>
  <c r="EA116" i="1"/>
  <c r="DV117" i="1"/>
  <c r="DW117" i="1"/>
  <c r="DX117" i="1"/>
  <c r="DY117" i="1"/>
  <c r="DZ117" i="1"/>
  <c r="EA117" i="1"/>
  <c r="DV118" i="1"/>
  <c r="DW118" i="1"/>
  <c r="DX118" i="1"/>
  <c r="DY118" i="1"/>
  <c r="DZ118" i="1"/>
  <c r="EA118" i="1"/>
  <c r="DV119" i="1"/>
  <c r="DW119" i="1"/>
  <c r="DX119" i="1"/>
  <c r="DY119" i="1"/>
  <c r="DZ119" i="1"/>
  <c r="EA119" i="1"/>
  <c r="DV120" i="1"/>
  <c r="DW120" i="1"/>
  <c r="DX120" i="1"/>
  <c r="DY120" i="1"/>
  <c r="DZ120" i="1"/>
  <c r="EA120" i="1"/>
  <c r="DV121" i="1"/>
  <c r="DW121" i="1"/>
  <c r="DX121" i="1"/>
  <c r="DY121" i="1"/>
  <c r="DZ121" i="1"/>
  <c r="EA121" i="1"/>
  <c r="DV122" i="1"/>
  <c r="DW122" i="1"/>
  <c r="DX122" i="1"/>
  <c r="DY122" i="1"/>
  <c r="DZ122" i="1"/>
  <c r="EA122" i="1"/>
  <c r="DV123" i="1"/>
  <c r="DW123" i="1"/>
  <c r="DX123" i="1"/>
  <c r="DY123" i="1"/>
  <c r="DZ123" i="1"/>
  <c r="EA123" i="1"/>
  <c r="DV124" i="1"/>
  <c r="DW124" i="1"/>
  <c r="DX124" i="1"/>
  <c r="DY124" i="1"/>
  <c r="DZ124" i="1"/>
  <c r="EA124" i="1"/>
  <c r="DV125" i="1"/>
  <c r="DW125" i="1"/>
  <c r="DX125" i="1"/>
  <c r="DY125" i="1"/>
  <c r="DZ125" i="1"/>
  <c r="EA125" i="1"/>
  <c r="DV126" i="1"/>
  <c r="DW126" i="1"/>
  <c r="DX126" i="1"/>
  <c r="DY126" i="1"/>
  <c r="DZ126" i="1"/>
  <c r="EA126" i="1"/>
  <c r="DV127" i="1"/>
  <c r="DW127" i="1"/>
  <c r="DX127" i="1"/>
  <c r="DY127" i="1"/>
  <c r="DZ127" i="1"/>
  <c r="EA127" i="1"/>
  <c r="DV128" i="1"/>
  <c r="DW128" i="1"/>
  <c r="DX128" i="1"/>
  <c r="DY128" i="1"/>
  <c r="DZ128" i="1"/>
  <c r="EA128" i="1"/>
  <c r="DV129" i="1"/>
  <c r="DW129" i="1"/>
  <c r="DX129" i="1"/>
  <c r="DY129" i="1"/>
  <c r="DZ129" i="1"/>
  <c r="EA129" i="1"/>
  <c r="DV130" i="1"/>
  <c r="DW130" i="1"/>
  <c r="DX130" i="1"/>
  <c r="DY130" i="1"/>
  <c r="DZ130" i="1"/>
  <c r="EA130" i="1"/>
  <c r="DV131" i="1"/>
  <c r="DW131" i="1"/>
  <c r="DX131" i="1"/>
  <c r="DY131" i="1"/>
  <c r="DZ131" i="1"/>
  <c r="EA131" i="1"/>
  <c r="DV132" i="1"/>
  <c r="DW132" i="1"/>
  <c r="DX132" i="1"/>
  <c r="DY132" i="1"/>
  <c r="DZ132" i="1"/>
  <c r="EA132" i="1"/>
  <c r="DV133" i="1"/>
  <c r="DW133" i="1"/>
  <c r="DX133" i="1"/>
  <c r="DY133" i="1"/>
  <c r="DZ133" i="1"/>
  <c r="EA133" i="1"/>
  <c r="DV134" i="1"/>
  <c r="DW134" i="1"/>
  <c r="DX134" i="1"/>
  <c r="DY134" i="1"/>
  <c r="DZ134" i="1"/>
  <c r="EA134" i="1"/>
  <c r="DV135" i="1"/>
  <c r="DW135" i="1"/>
  <c r="DX135" i="1"/>
  <c r="DY135" i="1"/>
  <c r="DZ135" i="1"/>
  <c r="EA135" i="1"/>
  <c r="DV136" i="1"/>
  <c r="DW136" i="1"/>
  <c r="DX136" i="1"/>
  <c r="DY136" i="1"/>
  <c r="DZ136" i="1"/>
  <c r="EA136" i="1"/>
  <c r="DV137" i="1"/>
  <c r="DW137" i="1"/>
  <c r="DX137" i="1"/>
  <c r="DY137" i="1"/>
  <c r="DZ137" i="1"/>
  <c r="EA137" i="1"/>
  <c r="DV138" i="1"/>
  <c r="DW138" i="1"/>
  <c r="DX138" i="1"/>
  <c r="DY138" i="1"/>
  <c r="DZ138" i="1"/>
  <c r="EA138" i="1"/>
  <c r="DV139" i="1"/>
  <c r="DW139" i="1"/>
  <c r="DX139" i="1"/>
  <c r="DY139" i="1"/>
  <c r="DZ139" i="1"/>
  <c r="EA139" i="1"/>
  <c r="DV140" i="1"/>
  <c r="DW140" i="1"/>
  <c r="DX140" i="1"/>
  <c r="DY140" i="1"/>
  <c r="DZ140" i="1"/>
  <c r="EA140" i="1"/>
  <c r="DV141" i="1"/>
  <c r="DW141" i="1"/>
  <c r="DX141" i="1"/>
  <c r="DY141" i="1"/>
  <c r="DZ141" i="1"/>
  <c r="EA141" i="1"/>
  <c r="DV142" i="1"/>
  <c r="DW142" i="1"/>
  <c r="DX142" i="1"/>
  <c r="DY142" i="1"/>
  <c r="DZ142" i="1"/>
  <c r="EA142" i="1"/>
  <c r="DV143" i="1"/>
  <c r="DW143" i="1"/>
  <c r="DX143" i="1"/>
  <c r="DY143" i="1"/>
  <c r="DZ143" i="1"/>
  <c r="EA143" i="1"/>
  <c r="DV144" i="1"/>
  <c r="DW144" i="1"/>
  <c r="DX144" i="1"/>
  <c r="DY144" i="1"/>
  <c r="DZ144" i="1"/>
  <c r="EA144" i="1"/>
  <c r="DV145" i="1"/>
  <c r="DW145" i="1"/>
  <c r="DX145" i="1"/>
  <c r="DY145" i="1"/>
  <c r="DZ145" i="1"/>
  <c r="EA145" i="1"/>
  <c r="DV146" i="1"/>
  <c r="DW146" i="1"/>
  <c r="DX146" i="1"/>
  <c r="DY146" i="1"/>
  <c r="DZ146" i="1"/>
  <c r="EA146" i="1"/>
  <c r="DV147" i="1"/>
  <c r="DW147" i="1"/>
  <c r="DX147" i="1"/>
  <c r="DY147" i="1"/>
  <c r="DZ147" i="1"/>
  <c r="EA147" i="1"/>
  <c r="DV148" i="1"/>
  <c r="DW148" i="1"/>
  <c r="DX148" i="1"/>
  <c r="DY148" i="1"/>
  <c r="DZ148" i="1"/>
  <c r="EA148" i="1"/>
  <c r="DV149" i="1"/>
  <c r="DW149" i="1"/>
  <c r="DX149" i="1"/>
  <c r="DY149" i="1"/>
  <c r="DZ149" i="1"/>
  <c r="EA149" i="1"/>
  <c r="DV150" i="1"/>
  <c r="DW150" i="1"/>
  <c r="DX150" i="1"/>
  <c r="DY150" i="1"/>
  <c r="DZ150" i="1"/>
  <c r="EA150" i="1"/>
  <c r="DV151" i="1"/>
  <c r="DW151" i="1"/>
  <c r="DX151" i="1"/>
  <c r="DY151" i="1"/>
  <c r="DZ151" i="1"/>
  <c r="EA151" i="1"/>
  <c r="DV152" i="1"/>
  <c r="DW152" i="1"/>
  <c r="DX152" i="1"/>
  <c r="DY152" i="1"/>
  <c r="DZ152" i="1"/>
  <c r="EA152" i="1"/>
  <c r="DV153" i="1"/>
  <c r="DW153" i="1"/>
  <c r="DX153" i="1"/>
  <c r="DY153" i="1"/>
  <c r="DZ153" i="1"/>
  <c r="EA153" i="1"/>
  <c r="DV154" i="1"/>
  <c r="DW154" i="1"/>
  <c r="DX154" i="1"/>
  <c r="DY154" i="1"/>
  <c r="DZ154" i="1"/>
  <c r="EA154" i="1"/>
  <c r="DV155" i="1"/>
  <c r="DW155" i="1"/>
  <c r="DX155" i="1"/>
  <c r="DY155" i="1"/>
  <c r="DZ155" i="1"/>
  <c r="EA155" i="1"/>
  <c r="DV156" i="1"/>
  <c r="DW156" i="1"/>
  <c r="DX156" i="1"/>
  <c r="DY156" i="1"/>
  <c r="DZ156" i="1"/>
  <c r="EA156" i="1"/>
  <c r="DV157" i="1"/>
  <c r="DW157" i="1"/>
  <c r="DX157" i="1"/>
  <c r="DY157" i="1"/>
  <c r="DZ157" i="1"/>
  <c r="EA157" i="1"/>
  <c r="DV158" i="1"/>
  <c r="DW158" i="1"/>
  <c r="DX158" i="1"/>
  <c r="DY158" i="1"/>
  <c r="DZ158" i="1"/>
  <c r="EA158" i="1"/>
  <c r="DV159" i="1"/>
  <c r="DW159" i="1"/>
  <c r="DX159" i="1"/>
  <c r="DY159" i="1"/>
  <c r="DZ159" i="1"/>
  <c r="EA159" i="1"/>
  <c r="DV160" i="1"/>
  <c r="DW160" i="1"/>
  <c r="DX160" i="1"/>
  <c r="DY160" i="1"/>
  <c r="DZ160" i="1"/>
  <c r="EA160" i="1"/>
  <c r="DV161" i="1"/>
  <c r="DW161" i="1"/>
  <c r="DX161" i="1"/>
  <c r="DY161" i="1"/>
  <c r="DZ161" i="1"/>
  <c r="EA161" i="1"/>
  <c r="DV162" i="1"/>
  <c r="DW162" i="1"/>
  <c r="DX162" i="1"/>
  <c r="DY162" i="1"/>
  <c r="DZ162" i="1"/>
  <c r="EA162" i="1"/>
  <c r="DW163" i="1"/>
  <c r="DX163" i="1"/>
  <c r="DY163" i="1"/>
  <c r="DZ163" i="1"/>
  <c r="EA163" i="1"/>
  <c r="DV163" i="1"/>
  <c r="CX5" i="1"/>
  <c r="CR5" i="1" s="1"/>
  <c r="CY5" i="1"/>
  <c r="CS5" i="1" s="1"/>
  <c r="CZ5" i="1"/>
  <c r="CT5" i="1" s="1"/>
  <c r="DA5" i="1"/>
  <c r="CU5" i="1" s="1"/>
  <c r="DB5" i="1"/>
  <c r="CV5" i="1" s="1"/>
  <c r="DC5" i="1"/>
  <c r="CW5" i="1" s="1"/>
  <c r="CX6" i="1"/>
  <c r="CR6" i="1" s="1"/>
  <c r="CY6" i="1"/>
  <c r="CS6" i="1" s="1"/>
  <c r="CZ6" i="1"/>
  <c r="CT6" i="1" s="1"/>
  <c r="DA6" i="1"/>
  <c r="CU6" i="1" s="1"/>
  <c r="DB6" i="1"/>
  <c r="CV6" i="1" s="1"/>
  <c r="DC6" i="1"/>
  <c r="CW6" i="1" s="1"/>
  <c r="CX7" i="1"/>
  <c r="CR7" i="1" s="1"/>
  <c r="CY7" i="1"/>
  <c r="CS7" i="1" s="1"/>
  <c r="CZ7" i="1"/>
  <c r="CT7" i="1" s="1"/>
  <c r="DA7" i="1"/>
  <c r="CU7" i="1" s="1"/>
  <c r="DB7" i="1"/>
  <c r="CV7" i="1" s="1"/>
  <c r="DC7" i="1"/>
  <c r="CW7" i="1" s="1"/>
  <c r="CX8" i="1"/>
  <c r="CR8" i="1" s="1"/>
  <c r="CY8" i="1"/>
  <c r="CS8" i="1" s="1"/>
  <c r="CZ8" i="1"/>
  <c r="CT8" i="1" s="1"/>
  <c r="DA8" i="1"/>
  <c r="CU8" i="1" s="1"/>
  <c r="DB8" i="1"/>
  <c r="CV8" i="1" s="1"/>
  <c r="DC8" i="1"/>
  <c r="CW8" i="1" s="1"/>
  <c r="CX9" i="1"/>
  <c r="CR9" i="1" s="1"/>
  <c r="CY9" i="1"/>
  <c r="CS9" i="1" s="1"/>
  <c r="CZ9" i="1"/>
  <c r="CT9" i="1" s="1"/>
  <c r="DA9" i="1"/>
  <c r="CU9" i="1" s="1"/>
  <c r="DB9" i="1"/>
  <c r="CV9" i="1" s="1"/>
  <c r="DC9" i="1"/>
  <c r="CW9" i="1" s="1"/>
  <c r="CX10" i="1"/>
  <c r="CR10" i="1" s="1"/>
  <c r="CY10" i="1"/>
  <c r="CS10" i="1" s="1"/>
  <c r="CZ10" i="1"/>
  <c r="CT10" i="1" s="1"/>
  <c r="DA10" i="1"/>
  <c r="CU10" i="1" s="1"/>
  <c r="DB10" i="1"/>
  <c r="CV10" i="1" s="1"/>
  <c r="DC10" i="1"/>
  <c r="CW10" i="1" s="1"/>
  <c r="CX11" i="1"/>
  <c r="CR11" i="1" s="1"/>
  <c r="CY11" i="1"/>
  <c r="CS11" i="1" s="1"/>
  <c r="CZ11" i="1"/>
  <c r="CT11" i="1" s="1"/>
  <c r="DA11" i="1"/>
  <c r="CU11" i="1" s="1"/>
  <c r="DB11" i="1"/>
  <c r="CV11" i="1" s="1"/>
  <c r="DC11" i="1"/>
  <c r="CW11" i="1" s="1"/>
  <c r="CX12" i="1"/>
  <c r="CR12" i="1" s="1"/>
  <c r="CY12" i="1"/>
  <c r="CS12" i="1" s="1"/>
  <c r="CZ12" i="1"/>
  <c r="CT12" i="1" s="1"/>
  <c r="DA12" i="1"/>
  <c r="CU12" i="1" s="1"/>
  <c r="DB12" i="1"/>
  <c r="CV12" i="1" s="1"/>
  <c r="DC12" i="1"/>
  <c r="CW12" i="1" s="1"/>
  <c r="CX13" i="1"/>
  <c r="CR13" i="1" s="1"/>
  <c r="CY13" i="1"/>
  <c r="CS13" i="1" s="1"/>
  <c r="CZ13" i="1"/>
  <c r="CT13" i="1" s="1"/>
  <c r="DA13" i="1"/>
  <c r="CU13" i="1" s="1"/>
  <c r="DB13" i="1"/>
  <c r="CV13" i="1" s="1"/>
  <c r="DC13" i="1"/>
  <c r="CW13" i="1" s="1"/>
  <c r="CX14" i="1"/>
  <c r="CR14" i="1" s="1"/>
  <c r="CY14" i="1"/>
  <c r="CS14" i="1" s="1"/>
  <c r="CZ14" i="1"/>
  <c r="CT14" i="1" s="1"/>
  <c r="DA14" i="1"/>
  <c r="CU14" i="1" s="1"/>
  <c r="DB14" i="1"/>
  <c r="CV14" i="1" s="1"/>
  <c r="DC14" i="1"/>
  <c r="CW14" i="1" s="1"/>
  <c r="CX15" i="1"/>
  <c r="CR15" i="1" s="1"/>
  <c r="CY15" i="1"/>
  <c r="CS15" i="1" s="1"/>
  <c r="CZ15" i="1"/>
  <c r="CT15" i="1" s="1"/>
  <c r="DA15" i="1"/>
  <c r="CU15" i="1" s="1"/>
  <c r="DB15" i="1"/>
  <c r="CV15" i="1" s="1"/>
  <c r="DC15" i="1"/>
  <c r="CW15" i="1" s="1"/>
  <c r="CX16" i="1"/>
  <c r="CR16" i="1" s="1"/>
  <c r="CY16" i="1"/>
  <c r="CS16" i="1" s="1"/>
  <c r="CZ16" i="1"/>
  <c r="CT16" i="1" s="1"/>
  <c r="DA16" i="1"/>
  <c r="CU16" i="1" s="1"/>
  <c r="DB16" i="1"/>
  <c r="CV16" i="1" s="1"/>
  <c r="DC16" i="1"/>
  <c r="CW16" i="1" s="1"/>
  <c r="CX17" i="1"/>
  <c r="CR17" i="1" s="1"/>
  <c r="CY17" i="1"/>
  <c r="CS17" i="1" s="1"/>
  <c r="CZ17" i="1"/>
  <c r="CT17" i="1" s="1"/>
  <c r="DA17" i="1"/>
  <c r="CU17" i="1" s="1"/>
  <c r="DB17" i="1"/>
  <c r="CV17" i="1" s="1"/>
  <c r="DC17" i="1"/>
  <c r="CW17" i="1" s="1"/>
  <c r="CX18" i="1"/>
  <c r="CR18" i="1" s="1"/>
  <c r="CY18" i="1"/>
  <c r="CS18" i="1" s="1"/>
  <c r="CZ18" i="1"/>
  <c r="CT18" i="1" s="1"/>
  <c r="DA18" i="1"/>
  <c r="CU18" i="1" s="1"/>
  <c r="DB18" i="1"/>
  <c r="CV18" i="1" s="1"/>
  <c r="DC18" i="1"/>
  <c r="CW18" i="1" s="1"/>
  <c r="CX19" i="1"/>
  <c r="CR19" i="1" s="1"/>
  <c r="CY19" i="1"/>
  <c r="CS19" i="1" s="1"/>
  <c r="CZ19" i="1"/>
  <c r="CT19" i="1" s="1"/>
  <c r="DA19" i="1"/>
  <c r="CU19" i="1" s="1"/>
  <c r="DB19" i="1"/>
  <c r="CV19" i="1" s="1"/>
  <c r="DC19" i="1"/>
  <c r="CW19" i="1" s="1"/>
  <c r="CX20" i="1"/>
  <c r="CR20" i="1" s="1"/>
  <c r="CY20" i="1"/>
  <c r="CS20" i="1" s="1"/>
  <c r="CZ20" i="1"/>
  <c r="CT20" i="1" s="1"/>
  <c r="DA20" i="1"/>
  <c r="CU20" i="1" s="1"/>
  <c r="DB20" i="1"/>
  <c r="CV20" i="1" s="1"/>
  <c r="DC20" i="1"/>
  <c r="CW20" i="1" s="1"/>
  <c r="CX21" i="1"/>
  <c r="CR21" i="1" s="1"/>
  <c r="CY21" i="1"/>
  <c r="CS21" i="1" s="1"/>
  <c r="CZ21" i="1"/>
  <c r="CT21" i="1" s="1"/>
  <c r="DA21" i="1"/>
  <c r="CU21" i="1" s="1"/>
  <c r="DB21" i="1"/>
  <c r="CV21" i="1" s="1"/>
  <c r="DC21" i="1"/>
  <c r="CW21" i="1" s="1"/>
  <c r="CX22" i="1"/>
  <c r="CR22" i="1" s="1"/>
  <c r="CY22" i="1"/>
  <c r="CS22" i="1" s="1"/>
  <c r="CZ22" i="1"/>
  <c r="CT22" i="1" s="1"/>
  <c r="DA22" i="1"/>
  <c r="CU22" i="1" s="1"/>
  <c r="DB22" i="1"/>
  <c r="CV22" i="1" s="1"/>
  <c r="DC22" i="1"/>
  <c r="CW22" i="1" s="1"/>
  <c r="CX23" i="1"/>
  <c r="CR23" i="1" s="1"/>
  <c r="CY23" i="1"/>
  <c r="CS23" i="1" s="1"/>
  <c r="CZ23" i="1"/>
  <c r="CT23" i="1" s="1"/>
  <c r="DA23" i="1"/>
  <c r="CU23" i="1" s="1"/>
  <c r="DB23" i="1"/>
  <c r="CV23" i="1" s="1"/>
  <c r="DC23" i="1"/>
  <c r="CW23" i="1" s="1"/>
  <c r="CX24" i="1"/>
  <c r="CR24" i="1" s="1"/>
  <c r="CY24" i="1"/>
  <c r="CS24" i="1" s="1"/>
  <c r="CZ24" i="1"/>
  <c r="CT24" i="1" s="1"/>
  <c r="DA24" i="1"/>
  <c r="CU24" i="1" s="1"/>
  <c r="DB24" i="1"/>
  <c r="CV24" i="1" s="1"/>
  <c r="DC24" i="1"/>
  <c r="CW24" i="1" s="1"/>
  <c r="CX25" i="1"/>
  <c r="CR25" i="1" s="1"/>
  <c r="CY25" i="1"/>
  <c r="CS25" i="1" s="1"/>
  <c r="CZ25" i="1"/>
  <c r="CT25" i="1" s="1"/>
  <c r="DA25" i="1"/>
  <c r="CU25" i="1" s="1"/>
  <c r="DB25" i="1"/>
  <c r="CV25" i="1" s="1"/>
  <c r="DC25" i="1"/>
  <c r="CW25" i="1" s="1"/>
  <c r="CX26" i="1"/>
  <c r="CR26" i="1" s="1"/>
  <c r="CY26" i="1"/>
  <c r="CS26" i="1" s="1"/>
  <c r="CZ26" i="1"/>
  <c r="CT26" i="1" s="1"/>
  <c r="DA26" i="1"/>
  <c r="CU26" i="1" s="1"/>
  <c r="DB26" i="1"/>
  <c r="CV26" i="1" s="1"/>
  <c r="DC26" i="1"/>
  <c r="CW26" i="1" s="1"/>
  <c r="CX27" i="1"/>
  <c r="CR27" i="1" s="1"/>
  <c r="CY27" i="1"/>
  <c r="CS27" i="1" s="1"/>
  <c r="CZ27" i="1"/>
  <c r="CT27" i="1" s="1"/>
  <c r="DA27" i="1"/>
  <c r="CU27" i="1" s="1"/>
  <c r="DB27" i="1"/>
  <c r="CV27" i="1" s="1"/>
  <c r="DC27" i="1"/>
  <c r="CW27" i="1" s="1"/>
  <c r="CX28" i="1"/>
  <c r="CR28" i="1" s="1"/>
  <c r="CY28" i="1"/>
  <c r="CS28" i="1" s="1"/>
  <c r="CZ28" i="1"/>
  <c r="CT28" i="1" s="1"/>
  <c r="DA28" i="1"/>
  <c r="CU28" i="1" s="1"/>
  <c r="DB28" i="1"/>
  <c r="CV28" i="1" s="1"/>
  <c r="DC28" i="1"/>
  <c r="CW28" i="1" s="1"/>
  <c r="CX29" i="1"/>
  <c r="CR29" i="1" s="1"/>
  <c r="CY29" i="1"/>
  <c r="CS29" i="1" s="1"/>
  <c r="CZ29" i="1"/>
  <c r="CT29" i="1" s="1"/>
  <c r="DA29" i="1"/>
  <c r="CU29" i="1" s="1"/>
  <c r="DB29" i="1"/>
  <c r="CV29" i="1" s="1"/>
  <c r="DC29" i="1"/>
  <c r="CW29" i="1" s="1"/>
  <c r="CX30" i="1"/>
  <c r="CR30" i="1" s="1"/>
  <c r="CY30" i="1"/>
  <c r="CS30" i="1" s="1"/>
  <c r="CZ30" i="1"/>
  <c r="CT30" i="1" s="1"/>
  <c r="DA30" i="1"/>
  <c r="CU30" i="1" s="1"/>
  <c r="DB30" i="1"/>
  <c r="CV30" i="1" s="1"/>
  <c r="DC30" i="1"/>
  <c r="CW30" i="1" s="1"/>
  <c r="CX31" i="1"/>
  <c r="CR31" i="1" s="1"/>
  <c r="CY31" i="1"/>
  <c r="CS31" i="1" s="1"/>
  <c r="CZ31" i="1"/>
  <c r="CT31" i="1" s="1"/>
  <c r="DA31" i="1"/>
  <c r="CU31" i="1" s="1"/>
  <c r="DB31" i="1"/>
  <c r="CV31" i="1" s="1"/>
  <c r="DC31" i="1"/>
  <c r="CW31" i="1" s="1"/>
  <c r="CX32" i="1"/>
  <c r="CR32" i="1" s="1"/>
  <c r="CY32" i="1"/>
  <c r="CS32" i="1" s="1"/>
  <c r="CZ32" i="1"/>
  <c r="CT32" i="1" s="1"/>
  <c r="DA32" i="1"/>
  <c r="CU32" i="1" s="1"/>
  <c r="DB32" i="1"/>
  <c r="CV32" i="1" s="1"/>
  <c r="DC32" i="1"/>
  <c r="CW32" i="1" s="1"/>
  <c r="CX33" i="1"/>
  <c r="CR33" i="1" s="1"/>
  <c r="CY33" i="1"/>
  <c r="CS33" i="1" s="1"/>
  <c r="CZ33" i="1"/>
  <c r="CT33" i="1" s="1"/>
  <c r="DA33" i="1"/>
  <c r="CU33" i="1" s="1"/>
  <c r="DB33" i="1"/>
  <c r="CV33" i="1" s="1"/>
  <c r="DC33" i="1"/>
  <c r="CW33" i="1" s="1"/>
  <c r="CX34" i="1"/>
  <c r="CR34" i="1" s="1"/>
  <c r="CY34" i="1"/>
  <c r="CS34" i="1" s="1"/>
  <c r="CZ34" i="1"/>
  <c r="CT34" i="1" s="1"/>
  <c r="DA34" i="1"/>
  <c r="CU34" i="1" s="1"/>
  <c r="DB34" i="1"/>
  <c r="CV34" i="1" s="1"/>
  <c r="DC34" i="1"/>
  <c r="CW34" i="1" s="1"/>
  <c r="CX35" i="1"/>
  <c r="CR35" i="1" s="1"/>
  <c r="CY35" i="1"/>
  <c r="CS35" i="1" s="1"/>
  <c r="CZ35" i="1"/>
  <c r="CT35" i="1" s="1"/>
  <c r="DA35" i="1"/>
  <c r="CU35" i="1" s="1"/>
  <c r="DB35" i="1"/>
  <c r="CV35" i="1" s="1"/>
  <c r="DC35" i="1"/>
  <c r="CW35" i="1" s="1"/>
  <c r="CX36" i="1"/>
  <c r="CR36" i="1" s="1"/>
  <c r="CY36" i="1"/>
  <c r="CS36" i="1" s="1"/>
  <c r="CZ36" i="1"/>
  <c r="CT36" i="1" s="1"/>
  <c r="DA36" i="1"/>
  <c r="CU36" i="1" s="1"/>
  <c r="DB36" i="1"/>
  <c r="CV36" i="1" s="1"/>
  <c r="DC36" i="1"/>
  <c r="CW36" i="1" s="1"/>
  <c r="CX37" i="1"/>
  <c r="CR37" i="1" s="1"/>
  <c r="CY37" i="1"/>
  <c r="CS37" i="1" s="1"/>
  <c r="CZ37" i="1"/>
  <c r="CT37" i="1" s="1"/>
  <c r="DA37" i="1"/>
  <c r="CU37" i="1" s="1"/>
  <c r="DB37" i="1"/>
  <c r="CV37" i="1" s="1"/>
  <c r="DC37" i="1"/>
  <c r="CW37" i="1" s="1"/>
  <c r="CX38" i="1"/>
  <c r="CR38" i="1" s="1"/>
  <c r="CY38" i="1"/>
  <c r="CS38" i="1" s="1"/>
  <c r="CZ38" i="1"/>
  <c r="CT38" i="1" s="1"/>
  <c r="DA38" i="1"/>
  <c r="CU38" i="1" s="1"/>
  <c r="DB38" i="1"/>
  <c r="CV38" i="1" s="1"/>
  <c r="DC38" i="1"/>
  <c r="CW38" i="1" s="1"/>
  <c r="CX39" i="1"/>
  <c r="CR39" i="1" s="1"/>
  <c r="CY39" i="1"/>
  <c r="CS39" i="1" s="1"/>
  <c r="CZ39" i="1"/>
  <c r="CT39" i="1" s="1"/>
  <c r="DA39" i="1"/>
  <c r="CU39" i="1" s="1"/>
  <c r="DB39" i="1"/>
  <c r="CV39" i="1" s="1"/>
  <c r="DC39" i="1"/>
  <c r="CW39" i="1" s="1"/>
  <c r="CX40" i="1"/>
  <c r="CR40" i="1" s="1"/>
  <c r="CY40" i="1"/>
  <c r="CS40" i="1" s="1"/>
  <c r="CZ40" i="1"/>
  <c r="CT40" i="1" s="1"/>
  <c r="DA40" i="1"/>
  <c r="CU40" i="1" s="1"/>
  <c r="DB40" i="1"/>
  <c r="CV40" i="1" s="1"/>
  <c r="DC40" i="1"/>
  <c r="CW40" i="1" s="1"/>
  <c r="CX41" i="1"/>
  <c r="CR41" i="1" s="1"/>
  <c r="CY41" i="1"/>
  <c r="CS41" i="1" s="1"/>
  <c r="CZ41" i="1"/>
  <c r="CT41" i="1" s="1"/>
  <c r="DA41" i="1"/>
  <c r="CU41" i="1" s="1"/>
  <c r="DB41" i="1"/>
  <c r="CV41" i="1" s="1"/>
  <c r="DC41" i="1"/>
  <c r="CW41" i="1" s="1"/>
  <c r="CX42" i="1"/>
  <c r="CR42" i="1" s="1"/>
  <c r="CY42" i="1"/>
  <c r="CS42" i="1" s="1"/>
  <c r="CZ42" i="1"/>
  <c r="CT42" i="1" s="1"/>
  <c r="DA42" i="1"/>
  <c r="CU42" i="1" s="1"/>
  <c r="DB42" i="1"/>
  <c r="CV42" i="1" s="1"/>
  <c r="DC42" i="1"/>
  <c r="CW42" i="1" s="1"/>
  <c r="CX43" i="1"/>
  <c r="CR43" i="1" s="1"/>
  <c r="CY43" i="1"/>
  <c r="CS43" i="1" s="1"/>
  <c r="CZ43" i="1"/>
  <c r="CT43" i="1" s="1"/>
  <c r="DA43" i="1"/>
  <c r="CU43" i="1" s="1"/>
  <c r="DB43" i="1"/>
  <c r="CV43" i="1" s="1"/>
  <c r="DC43" i="1"/>
  <c r="CW43" i="1" s="1"/>
  <c r="CX44" i="1"/>
  <c r="CR44" i="1" s="1"/>
  <c r="CY44" i="1"/>
  <c r="CS44" i="1" s="1"/>
  <c r="CZ44" i="1"/>
  <c r="CT44" i="1" s="1"/>
  <c r="DA44" i="1"/>
  <c r="CU44" i="1" s="1"/>
  <c r="DB44" i="1"/>
  <c r="CV44" i="1" s="1"/>
  <c r="DC44" i="1"/>
  <c r="CW44" i="1" s="1"/>
  <c r="CX45" i="1"/>
  <c r="CR45" i="1" s="1"/>
  <c r="CY45" i="1"/>
  <c r="CS45" i="1" s="1"/>
  <c r="CZ45" i="1"/>
  <c r="CT45" i="1" s="1"/>
  <c r="DA45" i="1"/>
  <c r="CU45" i="1" s="1"/>
  <c r="DB45" i="1"/>
  <c r="CV45" i="1" s="1"/>
  <c r="DC45" i="1"/>
  <c r="CW45" i="1" s="1"/>
  <c r="CX46" i="1"/>
  <c r="CR46" i="1" s="1"/>
  <c r="CY46" i="1"/>
  <c r="CS46" i="1" s="1"/>
  <c r="CZ46" i="1"/>
  <c r="CT46" i="1" s="1"/>
  <c r="DA46" i="1"/>
  <c r="CU46" i="1" s="1"/>
  <c r="DB46" i="1"/>
  <c r="CV46" i="1" s="1"/>
  <c r="DC46" i="1"/>
  <c r="CW46" i="1" s="1"/>
  <c r="CX47" i="1"/>
  <c r="CR47" i="1" s="1"/>
  <c r="CY47" i="1"/>
  <c r="CS47" i="1" s="1"/>
  <c r="CZ47" i="1"/>
  <c r="CT47" i="1" s="1"/>
  <c r="DA47" i="1"/>
  <c r="CU47" i="1" s="1"/>
  <c r="DB47" i="1"/>
  <c r="CV47" i="1" s="1"/>
  <c r="DC47" i="1"/>
  <c r="CW47" i="1" s="1"/>
  <c r="CX48" i="1"/>
  <c r="CR48" i="1" s="1"/>
  <c r="CY48" i="1"/>
  <c r="CS48" i="1" s="1"/>
  <c r="CZ48" i="1"/>
  <c r="CT48" i="1" s="1"/>
  <c r="DA48" i="1"/>
  <c r="CU48" i="1" s="1"/>
  <c r="DB48" i="1"/>
  <c r="CV48" i="1" s="1"/>
  <c r="DC48" i="1"/>
  <c r="CW48" i="1" s="1"/>
  <c r="CX49" i="1"/>
  <c r="CR49" i="1" s="1"/>
  <c r="CY49" i="1"/>
  <c r="CS49" i="1" s="1"/>
  <c r="CZ49" i="1"/>
  <c r="CT49" i="1" s="1"/>
  <c r="DA49" i="1"/>
  <c r="CU49" i="1" s="1"/>
  <c r="DB49" i="1"/>
  <c r="CV49" i="1" s="1"/>
  <c r="DC49" i="1"/>
  <c r="CW49" i="1" s="1"/>
  <c r="CX50" i="1"/>
  <c r="CR50" i="1" s="1"/>
  <c r="CY50" i="1"/>
  <c r="CS50" i="1" s="1"/>
  <c r="CZ50" i="1"/>
  <c r="CT50" i="1" s="1"/>
  <c r="DA50" i="1"/>
  <c r="CU50" i="1" s="1"/>
  <c r="DB50" i="1"/>
  <c r="CV50" i="1" s="1"/>
  <c r="DC50" i="1"/>
  <c r="CW50" i="1" s="1"/>
  <c r="CX51" i="1"/>
  <c r="CR51" i="1" s="1"/>
  <c r="CY51" i="1"/>
  <c r="CS51" i="1" s="1"/>
  <c r="CZ51" i="1"/>
  <c r="CT51" i="1" s="1"/>
  <c r="DA51" i="1"/>
  <c r="CU51" i="1" s="1"/>
  <c r="DB51" i="1"/>
  <c r="CV51" i="1" s="1"/>
  <c r="DC51" i="1"/>
  <c r="CW51" i="1" s="1"/>
  <c r="CX52" i="1"/>
  <c r="CR52" i="1" s="1"/>
  <c r="CY52" i="1"/>
  <c r="CS52" i="1" s="1"/>
  <c r="CZ52" i="1"/>
  <c r="CT52" i="1" s="1"/>
  <c r="DA52" i="1"/>
  <c r="CU52" i="1" s="1"/>
  <c r="DB52" i="1"/>
  <c r="CV52" i="1" s="1"/>
  <c r="DC52" i="1"/>
  <c r="CW52" i="1" s="1"/>
  <c r="CX53" i="1"/>
  <c r="CR53" i="1" s="1"/>
  <c r="CY53" i="1"/>
  <c r="CS53" i="1" s="1"/>
  <c r="CZ53" i="1"/>
  <c r="CT53" i="1" s="1"/>
  <c r="DA53" i="1"/>
  <c r="CU53" i="1" s="1"/>
  <c r="DB53" i="1"/>
  <c r="CV53" i="1" s="1"/>
  <c r="DC53" i="1"/>
  <c r="CW53" i="1" s="1"/>
  <c r="CX54" i="1"/>
  <c r="CR54" i="1" s="1"/>
  <c r="CY54" i="1"/>
  <c r="CS54" i="1" s="1"/>
  <c r="CZ54" i="1"/>
  <c r="CT54" i="1" s="1"/>
  <c r="DA54" i="1"/>
  <c r="CU54" i="1" s="1"/>
  <c r="DB54" i="1"/>
  <c r="CV54" i="1" s="1"/>
  <c r="DC54" i="1"/>
  <c r="CW54" i="1" s="1"/>
  <c r="CX55" i="1"/>
  <c r="CR55" i="1" s="1"/>
  <c r="CY55" i="1"/>
  <c r="CS55" i="1" s="1"/>
  <c r="CZ55" i="1"/>
  <c r="CT55" i="1" s="1"/>
  <c r="DA55" i="1"/>
  <c r="CU55" i="1" s="1"/>
  <c r="DB55" i="1"/>
  <c r="CV55" i="1" s="1"/>
  <c r="DC55" i="1"/>
  <c r="CW55" i="1" s="1"/>
  <c r="CX56" i="1"/>
  <c r="CR56" i="1" s="1"/>
  <c r="CY56" i="1"/>
  <c r="CS56" i="1" s="1"/>
  <c r="CZ56" i="1"/>
  <c r="CT56" i="1" s="1"/>
  <c r="DA56" i="1"/>
  <c r="CU56" i="1" s="1"/>
  <c r="DB56" i="1"/>
  <c r="CV56" i="1" s="1"/>
  <c r="DC56" i="1"/>
  <c r="CW56" i="1" s="1"/>
  <c r="CX57" i="1"/>
  <c r="CR57" i="1" s="1"/>
  <c r="CY57" i="1"/>
  <c r="CS57" i="1" s="1"/>
  <c r="CZ57" i="1"/>
  <c r="CT57" i="1" s="1"/>
  <c r="DA57" i="1"/>
  <c r="CU57" i="1" s="1"/>
  <c r="DB57" i="1"/>
  <c r="CV57" i="1" s="1"/>
  <c r="DC57" i="1"/>
  <c r="CW57" i="1" s="1"/>
  <c r="CX58" i="1"/>
  <c r="CR58" i="1" s="1"/>
  <c r="CY58" i="1"/>
  <c r="CS58" i="1" s="1"/>
  <c r="CZ58" i="1"/>
  <c r="CT58" i="1" s="1"/>
  <c r="DA58" i="1"/>
  <c r="CU58" i="1" s="1"/>
  <c r="DB58" i="1"/>
  <c r="CV58" i="1" s="1"/>
  <c r="DC58" i="1"/>
  <c r="CW58" i="1" s="1"/>
  <c r="CX59" i="1"/>
  <c r="CR59" i="1" s="1"/>
  <c r="CY59" i="1"/>
  <c r="CS59" i="1" s="1"/>
  <c r="CZ59" i="1"/>
  <c r="CT59" i="1" s="1"/>
  <c r="DA59" i="1"/>
  <c r="CU59" i="1" s="1"/>
  <c r="DB59" i="1"/>
  <c r="CV59" i="1" s="1"/>
  <c r="DC59" i="1"/>
  <c r="CW59" i="1" s="1"/>
  <c r="CX60" i="1"/>
  <c r="CR60" i="1" s="1"/>
  <c r="CY60" i="1"/>
  <c r="CS60" i="1" s="1"/>
  <c r="CZ60" i="1"/>
  <c r="CT60" i="1" s="1"/>
  <c r="DA60" i="1"/>
  <c r="CU60" i="1" s="1"/>
  <c r="DB60" i="1"/>
  <c r="CV60" i="1" s="1"/>
  <c r="DC60" i="1"/>
  <c r="CW60" i="1" s="1"/>
  <c r="CX61" i="1"/>
  <c r="CR61" i="1" s="1"/>
  <c r="CY61" i="1"/>
  <c r="CS61" i="1" s="1"/>
  <c r="CZ61" i="1"/>
  <c r="CT61" i="1" s="1"/>
  <c r="DA61" i="1"/>
  <c r="CU61" i="1" s="1"/>
  <c r="DB61" i="1"/>
  <c r="CV61" i="1" s="1"/>
  <c r="DC61" i="1"/>
  <c r="CW61" i="1" s="1"/>
  <c r="CX62" i="1"/>
  <c r="CR62" i="1" s="1"/>
  <c r="CY62" i="1"/>
  <c r="CS62" i="1" s="1"/>
  <c r="CZ62" i="1"/>
  <c r="CT62" i="1" s="1"/>
  <c r="DA62" i="1"/>
  <c r="CU62" i="1" s="1"/>
  <c r="DB62" i="1"/>
  <c r="CV62" i="1" s="1"/>
  <c r="DC62" i="1"/>
  <c r="CW62" i="1" s="1"/>
  <c r="CX63" i="1"/>
  <c r="CR63" i="1" s="1"/>
  <c r="CY63" i="1"/>
  <c r="CS63" i="1" s="1"/>
  <c r="CZ63" i="1"/>
  <c r="CT63" i="1" s="1"/>
  <c r="DA63" i="1"/>
  <c r="CU63" i="1" s="1"/>
  <c r="DB63" i="1"/>
  <c r="CV63" i="1" s="1"/>
  <c r="DC63" i="1"/>
  <c r="CW63" i="1" s="1"/>
  <c r="CX64" i="1"/>
  <c r="CR64" i="1" s="1"/>
  <c r="CY64" i="1"/>
  <c r="CS64" i="1" s="1"/>
  <c r="CZ64" i="1"/>
  <c r="CT64" i="1" s="1"/>
  <c r="DA64" i="1"/>
  <c r="CU64" i="1" s="1"/>
  <c r="DB64" i="1"/>
  <c r="CV64" i="1" s="1"/>
  <c r="DC64" i="1"/>
  <c r="CW64" i="1" s="1"/>
  <c r="CX65" i="1"/>
  <c r="CR65" i="1" s="1"/>
  <c r="CY65" i="1"/>
  <c r="CS65" i="1" s="1"/>
  <c r="CZ65" i="1"/>
  <c r="CT65" i="1" s="1"/>
  <c r="DA65" i="1"/>
  <c r="CU65" i="1" s="1"/>
  <c r="DB65" i="1"/>
  <c r="CV65" i="1" s="1"/>
  <c r="DC65" i="1"/>
  <c r="CW65" i="1" s="1"/>
  <c r="CX66" i="1"/>
  <c r="CR66" i="1" s="1"/>
  <c r="CY66" i="1"/>
  <c r="CS66" i="1" s="1"/>
  <c r="CZ66" i="1"/>
  <c r="CT66" i="1" s="1"/>
  <c r="DA66" i="1"/>
  <c r="CU66" i="1" s="1"/>
  <c r="DB66" i="1"/>
  <c r="CV66" i="1" s="1"/>
  <c r="DC66" i="1"/>
  <c r="CW66" i="1" s="1"/>
  <c r="CX67" i="1"/>
  <c r="CR67" i="1" s="1"/>
  <c r="CY67" i="1"/>
  <c r="CS67" i="1" s="1"/>
  <c r="CZ67" i="1"/>
  <c r="CT67" i="1" s="1"/>
  <c r="DA67" i="1"/>
  <c r="CU67" i="1" s="1"/>
  <c r="DB67" i="1"/>
  <c r="CV67" i="1" s="1"/>
  <c r="DC67" i="1"/>
  <c r="CW67" i="1" s="1"/>
  <c r="CX68" i="1"/>
  <c r="CR68" i="1" s="1"/>
  <c r="CY68" i="1"/>
  <c r="CS68" i="1" s="1"/>
  <c r="CZ68" i="1"/>
  <c r="CT68" i="1" s="1"/>
  <c r="DA68" i="1"/>
  <c r="CU68" i="1" s="1"/>
  <c r="DB68" i="1"/>
  <c r="CV68" i="1" s="1"/>
  <c r="DC68" i="1"/>
  <c r="CW68" i="1" s="1"/>
  <c r="CX69" i="1"/>
  <c r="CR69" i="1" s="1"/>
  <c r="CY69" i="1"/>
  <c r="CS69" i="1" s="1"/>
  <c r="CZ69" i="1"/>
  <c r="CT69" i="1" s="1"/>
  <c r="DA69" i="1"/>
  <c r="CU69" i="1" s="1"/>
  <c r="DB69" i="1"/>
  <c r="CV69" i="1" s="1"/>
  <c r="DC69" i="1"/>
  <c r="CW69" i="1" s="1"/>
  <c r="CX70" i="1"/>
  <c r="CR70" i="1" s="1"/>
  <c r="CY70" i="1"/>
  <c r="CS70" i="1" s="1"/>
  <c r="CZ70" i="1"/>
  <c r="CT70" i="1" s="1"/>
  <c r="DA70" i="1"/>
  <c r="CU70" i="1" s="1"/>
  <c r="DB70" i="1"/>
  <c r="CV70" i="1" s="1"/>
  <c r="DC70" i="1"/>
  <c r="CW70" i="1" s="1"/>
  <c r="CX71" i="1"/>
  <c r="CR71" i="1" s="1"/>
  <c r="CY71" i="1"/>
  <c r="CS71" i="1" s="1"/>
  <c r="CZ71" i="1"/>
  <c r="CT71" i="1" s="1"/>
  <c r="DA71" i="1"/>
  <c r="CU71" i="1" s="1"/>
  <c r="DB71" i="1"/>
  <c r="CV71" i="1" s="1"/>
  <c r="DC71" i="1"/>
  <c r="CW71" i="1" s="1"/>
  <c r="CX72" i="1"/>
  <c r="CR72" i="1" s="1"/>
  <c r="CY72" i="1"/>
  <c r="CS72" i="1" s="1"/>
  <c r="CZ72" i="1"/>
  <c r="CT72" i="1" s="1"/>
  <c r="DA72" i="1"/>
  <c r="CU72" i="1" s="1"/>
  <c r="DB72" i="1"/>
  <c r="CV72" i="1" s="1"/>
  <c r="DC72" i="1"/>
  <c r="CW72" i="1" s="1"/>
  <c r="CX73" i="1"/>
  <c r="CR73" i="1" s="1"/>
  <c r="CY73" i="1"/>
  <c r="CS73" i="1" s="1"/>
  <c r="CZ73" i="1"/>
  <c r="CT73" i="1" s="1"/>
  <c r="DA73" i="1"/>
  <c r="CU73" i="1" s="1"/>
  <c r="DB73" i="1"/>
  <c r="CV73" i="1" s="1"/>
  <c r="DC73" i="1"/>
  <c r="CW73" i="1" s="1"/>
  <c r="CX74" i="1"/>
  <c r="CR74" i="1" s="1"/>
  <c r="CY74" i="1"/>
  <c r="CS74" i="1" s="1"/>
  <c r="CZ74" i="1"/>
  <c r="CT74" i="1" s="1"/>
  <c r="DA74" i="1"/>
  <c r="CU74" i="1" s="1"/>
  <c r="DB74" i="1"/>
  <c r="CV74" i="1" s="1"/>
  <c r="DC74" i="1"/>
  <c r="CW74" i="1" s="1"/>
  <c r="CX75" i="1"/>
  <c r="CR75" i="1" s="1"/>
  <c r="CY75" i="1"/>
  <c r="CS75" i="1" s="1"/>
  <c r="CZ75" i="1"/>
  <c r="CT75" i="1" s="1"/>
  <c r="DA75" i="1"/>
  <c r="CU75" i="1" s="1"/>
  <c r="DB75" i="1"/>
  <c r="CV75" i="1" s="1"/>
  <c r="DC75" i="1"/>
  <c r="CW75" i="1" s="1"/>
  <c r="CX76" i="1"/>
  <c r="CR76" i="1" s="1"/>
  <c r="CY76" i="1"/>
  <c r="CS76" i="1" s="1"/>
  <c r="CZ76" i="1"/>
  <c r="CT76" i="1" s="1"/>
  <c r="DA76" i="1"/>
  <c r="CU76" i="1" s="1"/>
  <c r="DB76" i="1"/>
  <c r="CV76" i="1" s="1"/>
  <c r="DC76" i="1"/>
  <c r="CW76" i="1" s="1"/>
  <c r="CX77" i="1"/>
  <c r="CR77" i="1" s="1"/>
  <c r="CY77" i="1"/>
  <c r="CS77" i="1" s="1"/>
  <c r="CZ77" i="1"/>
  <c r="CT77" i="1" s="1"/>
  <c r="DA77" i="1"/>
  <c r="CU77" i="1" s="1"/>
  <c r="DB77" i="1"/>
  <c r="CV77" i="1" s="1"/>
  <c r="DC77" i="1"/>
  <c r="CW77" i="1" s="1"/>
  <c r="CX78" i="1"/>
  <c r="CR78" i="1" s="1"/>
  <c r="CY78" i="1"/>
  <c r="CS78" i="1" s="1"/>
  <c r="CZ78" i="1"/>
  <c r="CT78" i="1" s="1"/>
  <c r="DA78" i="1"/>
  <c r="CU78" i="1" s="1"/>
  <c r="DB78" i="1"/>
  <c r="CV78" i="1" s="1"/>
  <c r="DC78" i="1"/>
  <c r="CW78" i="1" s="1"/>
  <c r="CX79" i="1"/>
  <c r="CR79" i="1" s="1"/>
  <c r="CY79" i="1"/>
  <c r="CS79" i="1" s="1"/>
  <c r="CZ79" i="1"/>
  <c r="CT79" i="1" s="1"/>
  <c r="DA79" i="1"/>
  <c r="CU79" i="1" s="1"/>
  <c r="DB79" i="1"/>
  <c r="CV79" i="1" s="1"/>
  <c r="DC79" i="1"/>
  <c r="CW79" i="1" s="1"/>
  <c r="CX80" i="1"/>
  <c r="CR80" i="1" s="1"/>
  <c r="CY80" i="1"/>
  <c r="CS80" i="1" s="1"/>
  <c r="CZ80" i="1"/>
  <c r="CT80" i="1" s="1"/>
  <c r="DA80" i="1"/>
  <c r="CU80" i="1" s="1"/>
  <c r="DB80" i="1"/>
  <c r="CV80" i="1" s="1"/>
  <c r="DC80" i="1"/>
  <c r="CW80" i="1" s="1"/>
  <c r="CX81" i="1"/>
  <c r="CR81" i="1" s="1"/>
  <c r="CY81" i="1"/>
  <c r="CS81" i="1" s="1"/>
  <c r="CZ81" i="1"/>
  <c r="CT81" i="1" s="1"/>
  <c r="DA81" i="1"/>
  <c r="CU81" i="1" s="1"/>
  <c r="DB81" i="1"/>
  <c r="CV81" i="1" s="1"/>
  <c r="DC81" i="1"/>
  <c r="CW81" i="1" s="1"/>
  <c r="CX82" i="1"/>
  <c r="CR82" i="1" s="1"/>
  <c r="CY82" i="1"/>
  <c r="CS82" i="1" s="1"/>
  <c r="CZ82" i="1"/>
  <c r="CT82" i="1" s="1"/>
  <c r="DA82" i="1"/>
  <c r="CU82" i="1" s="1"/>
  <c r="DB82" i="1"/>
  <c r="CV82" i="1" s="1"/>
  <c r="DC82" i="1"/>
  <c r="CW82" i="1" s="1"/>
  <c r="CX83" i="1"/>
  <c r="CR83" i="1" s="1"/>
  <c r="CY83" i="1"/>
  <c r="CS83" i="1" s="1"/>
  <c r="CZ83" i="1"/>
  <c r="CT83" i="1" s="1"/>
  <c r="DA83" i="1"/>
  <c r="CU83" i="1" s="1"/>
  <c r="DB83" i="1"/>
  <c r="CV83" i="1" s="1"/>
  <c r="DC83" i="1"/>
  <c r="CW83" i="1" s="1"/>
  <c r="CX84" i="1"/>
  <c r="CR84" i="1" s="1"/>
  <c r="CY84" i="1"/>
  <c r="CS84" i="1" s="1"/>
  <c r="CZ84" i="1"/>
  <c r="CT84" i="1" s="1"/>
  <c r="DA84" i="1"/>
  <c r="CU84" i="1" s="1"/>
  <c r="DB84" i="1"/>
  <c r="CV84" i="1" s="1"/>
  <c r="DC84" i="1"/>
  <c r="CW84" i="1" s="1"/>
  <c r="CX85" i="1"/>
  <c r="CR85" i="1" s="1"/>
  <c r="CY85" i="1"/>
  <c r="CS85" i="1" s="1"/>
  <c r="CZ85" i="1"/>
  <c r="CT85" i="1" s="1"/>
  <c r="DA85" i="1"/>
  <c r="CU85" i="1" s="1"/>
  <c r="DB85" i="1"/>
  <c r="CV85" i="1" s="1"/>
  <c r="DC85" i="1"/>
  <c r="CW85" i="1" s="1"/>
  <c r="CX86" i="1"/>
  <c r="CR86" i="1" s="1"/>
  <c r="CY86" i="1"/>
  <c r="CS86" i="1" s="1"/>
  <c r="CZ86" i="1"/>
  <c r="CT86" i="1" s="1"/>
  <c r="DA86" i="1"/>
  <c r="CU86" i="1" s="1"/>
  <c r="DB86" i="1"/>
  <c r="CV86" i="1" s="1"/>
  <c r="DC86" i="1"/>
  <c r="CW86" i="1" s="1"/>
  <c r="CX87" i="1"/>
  <c r="CR87" i="1" s="1"/>
  <c r="CY87" i="1"/>
  <c r="CS87" i="1" s="1"/>
  <c r="CZ87" i="1"/>
  <c r="CT87" i="1" s="1"/>
  <c r="DA87" i="1"/>
  <c r="CU87" i="1" s="1"/>
  <c r="DB87" i="1"/>
  <c r="CV87" i="1" s="1"/>
  <c r="DC87" i="1"/>
  <c r="CW87" i="1" s="1"/>
  <c r="CX88" i="1"/>
  <c r="CR88" i="1" s="1"/>
  <c r="CY88" i="1"/>
  <c r="CS88" i="1" s="1"/>
  <c r="CZ88" i="1"/>
  <c r="CT88" i="1" s="1"/>
  <c r="DA88" i="1"/>
  <c r="CU88" i="1" s="1"/>
  <c r="DB88" i="1"/>
  <c r="CV88" i="1" s="1"/>
  <c r="DC88" i="1"/>
  <c r="CW88" i="1" s="1"/>
  <c r="CX89" i="1"/>
  <c r="CR89" i="1" s="1"/>
  <c r="CY89" i="1"/>
  <c r="CS89" i="1" s="1"/>
  <c r="CZ89" i="1"/>
  <c r="CT89" i="1" s="1"/>
  <c r="DA89" i="1"/>
  <c r="CU89" i="1" s="1"/>
  <c r="DB89" i="1"/>
  <c r="CV89" i="1" s="1"/>
  <c r="DC89" i="1"/>
  <c r="CW89" i="1" s="1"/>
  <c r="CX90" i="1"/>
  <c r="CR90" i="1" s="1"/>
  <c r="CY90" i="1"/>
  <c r="CS90" i="1" s="1"/>
  <c r="CZ90" i="1"/>
  <c r="CT90" i="1" s="1"/>
  <c r="DA90" i="1"/>
  <c r="CU90" i="1" s="1"/>
  <c r="DB90" i="1"/>
  <c r="CV90" i="1" s="1"/>
  <c r="DC90" i="1"/>
  <c r="CW90" i="1" s="1"/>
  <c r="CX91" i="1"/>
  <c r="CR91" i="1" s="1"/>
  <c r="CY91" i="1"/>
  <c r="CS91" i="1" s="1"/>
  <c r="CZ91" i="1"/>
  <c r="CT91" i="1" s="1"/>
  <c r="DA91" i="1"/>
  <c r="CU91" i="1" s="1"/>
  <c r="DB91" i="1"/>
  <c r="CV91" i="1" s="1"/>
  <c r="DC91" i="1"/>
  <c r="CW91" i="1" s="1"/>
  <c r="CX92" i="1"/>
  <c r="CR92" i="1" s="1"/>
  <c r="CY92" i="1"/>
  <c r="CS92" i="1" s="1"/>
  <c r="CZ92" i="1"/>
  <c r="CT92" i="1" s="1"/>
  <c r="DA92" i="1"/>
  <c r="CU92" i="1" s="1"/>
  <c r="DB92" i="1"/>
  <c r="CV92" i="1" s="1"/>
  <c r="DC92" i="1"/>
  <c r="CW92" i="1" s="1"/>
  <c r="CX93" i="1"/>
  <c r="CR93" i="1" s="1"/>
  <c r="CY93" i="1"/>
  <c r="CS93" i="1" s="1"/>
  <c r="CZ93" i="1"/>
  <c r="CT93" i="1" s="1"/>
  <c r="DA93" i="1"/>
  <c r="CU93" i="1" s="1"/>
  <c r="DB93" i="1"/>
  <c r="CV93" i="1" s="1"/>
  <c r="DC93" i="1"/>
  <c r="CW93" i="1" s="1"/>
  <c r="CX94" i="1"/>
  <c r="CR94" i="1" s="1"/>
  <c r="CY94" i="1"/>
  <c r="CS94" i="1" s="1"/>
  <c r="CZ94" i="1"/>
  <c r="CT94" i="1" s="1"/>
  <c r="DA94" i="1"/>
  <c r="CU94" i="1" s="1"/>
  <c r="DB94" i="1"/>
  <c r="CV94" i="1" s="1"/>
  <c r="DC94" i="1"/>
  <c r="CW94" i="1" s="1"/>
  <c r="CX95" i="1"/>
  <c r="CR95" i="1" s="1"/>
  <c r="CY95" i="1"/>
  <c r="CS95" i="1" s="1"/>
  <c r="CZ95" i="1"/>
  <c r="CT95" i="1" s="1"/>
  <c r="DA95" i="1"/>
  <c r="CU95" i="1" s="1"/>
  <c r="DB95" i="1"/>
  <c r="CV95" i="1" s="1"/>
  <c r="DC95" i="1"/>
  <c r="CW95" i="1" s="1"/>
  <c r="CX96" i="1"/>
  <c r="CR96" i="1" s="1"/>
  <c r="CY96" i="1"/>
  <c r="CS96" i="1" s="1"/>
  <c r="CZ96" i="1"/>
  <c r="CT96" i="1" s="1"/>
  <c r="DA96" i="1"/>
  <c r="CU96" i="1" s="1"/>
  <c r="DB96" i="1"/>
  <c r="CV96" i="1" s="1"/>
  <c r="DC96" i="1"/>
  <c r="CW96" i="1" s="1"/>
  <c r="CX97" i="1"/>
  <c r="CR97" i="1" s="1"/>
  <c r="CY97" i="1"/>
  <c r="CS97" i="1" s="1"/>
  <c r="CZ97" i="1"/>
  <c r="CT97" i="1" s="1"/>
  <c r="DA97" i="1"/>
  <c r="CU97" i="1" s="1"/>
  <c r="DB97" i="1"/>
  <c r="CV97" i="1" s="1"/>
  <c r="DC97" i="1"/>
  <c r="CW97" i="1" s="1"/>
  <c r="CX98" i="1"/>
  <c r="CR98" i="1" s="1"/>
  <c r="CY98" i="1"/>
  <c r="CS98" i="1" s="1"/>
  <c r="CZ98" i="1"/>
  <c r="CT98" i="1" s="1"/>
  <c r="DA98" i="1"/>
  <c r="CU98" i="1" s="1"/>
  <c r="DB98" i="1"/>
  <c r="CV98" i="1" s="1"/>
  <c r="DC98" i="1"/>
  <c r="CW98" i="1" s="1"/>
  <c r="CX99" i="1"/>
  <c r="CR99" i="1" s="1"/>
  <c r="CY99" i="1"/>
  <c r="CS99" i="1" s="1"/>
  <c r="CZ99" i="1"/>
  <c r="CT99" i="1" s="1"/>
  <c r="DA99" i="1"/>
  <c r="CU99" i="1" s="1"/>
  <c r="DB99" i="1"/>
  <c r="CV99" i="1" s="1"/>
  <c r="DC99" i="1"/>
  <c r="CW99" i="1" s="1"/>
  <c r="CX100" i="1"/>
  <c r="CR100" i="1" s="1"/>
  <c r="CY100" i="1"/>
  <c r="CS100" i="1" s="1"/>
  <c r="CZ100" i="1"/>
  <c r="CT100" i="1" s="1"/>
  <c r="DA100" i="1"/>
  <c r="CU100" i="1" s="1"/>
  <c r="DB100" i="1"/>
  <c r="CV100" i="1" s="1"/>
  <c r="DC100" i="1"/>
  <c r="CW100" i="1" s="1"/>
  <c r="CX101" i="1"/>
  <c r="CR101" i="1" s="1"/>
  <c r="CY101" i="1"/>
  <c r="CS101" i="1" s="1"/>
  <c r="CZ101" i="1"/>
  <c r="CT101" i="1" s="1"/>
  <c r="DA101" i="1"/>
  <c r="CU101" i="1" s="1"/>
  <c r="DB101" i="1"/>
  <c r="CV101" i="1" s="1"/>
  <c r="DC101" i="1"/>
  <c r="CW101" i="1" s="1"/>
  <c r="CX102" i="1"/>
  <c r="CR102" i="1" s="1"/>
  <c r="CY102" i="1"/>
  <c r="CS102" i="1" s="1"/>
  <c r="CZ102" i="1"/>
  <c r="CT102" i="1" s="1"/>
  <c r="DA102" i="1"/>
  <c r="CU102" i="1" s="1"/>
  <c r="DB102" i="1"/>
  <c r="CV102" i="1" s="1"/>
  <c r="DC102" i="1"/>
  <c r="CW102" i="1" s="1"/>
  <c r="CX103" i="1"/>
  <c r="CR103" i="1" s="1"/>
  <c r="CY103" i="1"/>
  <c r="CS103" i="1" s="1"/>
  <c r="CZ103" i="1"/>
  <c r="CT103" i="1" s="1"/>
  <c r="DA103" i="1"/>
  <c r="CU103" i="1" s="1"/>
  <c r="DB103" i="1"/>
  <c r="CV103" i="1" s="1"/>
  <c r="DC103" i="1"/>
  <c r="CW103" i="1" s="1"/>
  <c r="CX104" i="1"/>
  <c r="CR104" i="1" s="1"/>
  <c r="CY104" i="1"/>
  <c r="CS104" i="1" s="1"/>
  <c r="CZ104" i="1"/>
  <c r="CT104" i="1" s="1"/>
  <c r="DA104" i="1"/>
  <c r="CU104" i="1" s="1"/>
  <c r="DB104" i="1"/>
  <c r="CV104" i="1" s="1"/>
  <c r="DC104" i="1"/>
  <c r="CW104" i="1" s="1"/>
  <c r="CX105" i="1"/>
  <c r="CR105" i="1" s="1"/>
  <c r="CY105" i="1"/>
  <c r="CS105" i="1" s="1"/>
  <c r="CZ105" i="1"/>
  <c r="CT105" i="1" s="1"/>
  <c r="DA105" i="1"/>
  <c r="CU105" i="1" s="1"/>
  <c r="DB105" i="1"/>
  <c r="CV105" i="1" s="1"/>
  <c r="DC105" i="1"/>
  <c r="CW105" i="1" s="1"/>
  <c r="CX106" i="1"/>
  <c r="CR106" i="1" s="1"/>
  <c r="CY106" i="1"/>
  <c r="CS106" i="1" s="1"/>
  <c r="CZ106" i="1"/>
  <c r="CT106" i="1" s="1"/>
  <c r="DA106" i="1"/>
  <c r="CU106" i="1" s="1"/>
  <c r="DB106" i="1"/>
  <c r="CV106" i="1" s="1"/>
  <c r="DC106" i="1"/>
  <c r="CW106" i="1" s="1"/>
  <c r="CX107" i="1"/>
  <c r="CR107" i="1" s="1"/>
  <c r="CY107" i="1"/>
  <c r="CS107" i="1" s="1"/>
  <c r="CZ107" i="1"/>
  <c r="CT107" i="1" s="1"/>
  <c r="DA107" i="1"/>
  <c r="CU107" i="1" s="1"/>
  <c r="DB107" i="1"/>
  <c r="CV107" i="1" s="1"/>
  <c r="DC107" i="1"/>
  <c r="CW107" i="1" s="1"/>
  <c r="CX108" i="1"/>
  <c r="CR108" i="1" s="1"/>
  <c r="CY108" i="1"/>
  <c r="CS108" i="1" s="1"/>
  <c r="CZ108" i="1"/>
  <c r="CT108" i="1" s="1"/>
  <c r="DA108" i="1"/>
  <c r="CU108" i="1" s="1"/>
  <c r="DB108" i="1"/>
  <c r="CV108" i="1" s="1"/>
  <c r="DC108" i="1"/>
  <c r="CW108" i="1" s="1"/>
  <c r="CX109" i="1"/>
  <c r="CR109" i="1" s="1"/>
  <c r="CY109" i="1"/>
  <c r="CS109" i="1" s="1"/>
  <c r="CZ109" i="1"/>
  <c r="CT109" i="1" s="1"/>
  <c r="DA109" i="1"/>
  <c r="CU109" i="1" s="1"/>
  <c r="DB109" i="1"/>
  <c r="CV109" i="1" s="1"/>
  <c r="DC109" i="1"/>
  <c r="CW109" i="1" s="1"/>
  <c r="CX110" i="1"/>
  <c r="CR110" i="1" s="1"/>
  <c r="CY110" i="1"/>
  <c r="CS110" i="1" s="1"/>
  <c r="CZ110" i="1"/>
  <c r="CT110" i="1" s="1"/>
  <c r="DA110" i="1"/>
  <c r="CU110" i="1" s="1"/>
  <c r="DB110" i="1"/>
  <c r="CV110" i="1" s="1"/>
  <c r="DC110" i="1"/>
  <c r="CW110" i="1" s="1"/>
  <c r="CX111" i="1"/>
  <c r="CR111" i="1" s="1"/>
  <c r="CY111" i="1"/>
  <c r="CS111" i="1" s="1"/>
  <c r="CZ111" i="1"/>
  <c r="CT111" i="1" s="1"/>
  <c r="DA111" i="1"/>
  <c r="CU111" i="1" s="1"/>
  <c r="DB111" i="1"/>
  <c r="CV111" i="1" s="1"/>
  <c r="DC111" i="1"/>
  <c r="CW111" i="1" s="1"/>
  <c r="CX112" i="1"/>
  <c r="CR112" i="1" s="1"/>
  <c r="CY112" i="1"/>
  <c r="CS112" i="1" s="1"/>
  <c r="CZ112" i="1"/>
  <c r="CT112" i="1" s="1"/>
  <c r="DA112" i="1"/>
  <c r="CU112" i="1" s="1"/>
  <c r="DB112" i="1"/>
  <c r="CV112" i="1" s="1"/>
  <c r="DC112" i="1"/>
  <c r="CW112" i="1" s="1"/>
  <c r="CX113" i="1"/>
  <c r="CR113" i="1" s="1"/>
  <c r="CY113" i="1"/>
  <c r="CS113" i="1" s="1"/>
  <c r="CZ113" i="1"/>
  <c r="CT113" i="1" s="1"/>
  <c r="DA113" i="1"/>
  <c r="CU113" i="1" s="1"/>
  <c r="DB113" i="1"/>
  <c r="CV113" i="1" s="1"/>
  <c r="DC113" i="1"/>
  <c r="CW113" i="1" s="1"/>
  <c r="CX114" i="1"/>
  <c r="CR114" i="1" s="1"/>
  <c r="CY114" i="1"/>
  <c r="CS114" i="1" s="1"/>
  <c r="CZ114" i="1"/>
  <c r="CT114" i="1" s="1"/>
  <c r="DA114" i="1"/>
  <c r="CU114" i="1" s="1"/>
  <c r="DB114" i="1"/>
  <c r="CV114" i="1" s="1"/>
  <c r="DC114" i="1"/>
  <c r="CW114" i="1" s="1"/>
  <c r="CX115" i="1"/>
  <c r="CR115" i="1" s="1"/>
  <c r="CY115" i="1"/>
  <c r="CS115" i="1" s="1"/>
  <c r="CZ115" i="1"/>
  <c r="CT115" i="1" s="1"/>
  <c r="DA115" i="1"/>
  <c r="CU115" i="1" s="1"/>
  <c r="DB115" i="1"/>
  <c r="CV115" i="1" s="1"/>
  <c r="DC115" i="1"/>
  <c r="CW115" i="1" s="1"/>
  <c r="CX116" i="1"/>
  <c r="CR116" i="1" s="1"/>
  <c r="CY116" i="1"/>
  <c r="CS116" i="1" s="1"/>
  <c r="CZ116" i="1"/>
  <c r="CT116" i="1" s="1"/>
  <c r="DA116" i="1"/>
  <c r="CU116" i="1" s="1"/>
  <c r="DB116" i="1"/>
  <c r="CV116" i="1" s="1"/>
  <c r="DC116" i="1"/>
  <c r="CW116" i="1" s="1"/>
  <c r="CX117" i="1"/>
  <c r="CR117" i="1" s="1"/>
  <c r="CY117" i="1"/>
  <c r="CS117" i="1" s="1"/>
  <c r="CZ117" i="1"/>
  <c r="CT117" i="1" s="1"/>
  <c r="DA117" i="1"/>
  <c r="CU117" i="1" s="1"/>
  <c r="DB117" i="1"/>
  <c r="CV117" i="1" s="1"/>
  <c r="DC117" i="1"/>
  <c r="CW117" i="1" s="1"/>
  <c r="CX118" i="1"/>
  <c r="CR118" i="1" s="1"/>
  <c r="CY118" i="1"/>
  <c r="CS118" i="1" s="1"/>
  <c r="CZ118" i="1"/>
  <c r="CT118" i="1" s="1"/>
  <c r="DA118" i="1"/>
  <c r="CU118" i="1" s="1"/>
  <c r="DB118" i="1"/>
  <c r="CV118" i="1" s="1"/>
  <c r="DC118" i="1"/>
  <c r="CW118" i="1" s="1"/>
  <c r="CX119" i="1"/>
  <c r="CR119" i="1" s="1"/>
  <c r="CY119" i="1"/>
  <c r="CS119" i="1" s="1"/>
  <c r="CZ119" i="1"/>
  <c r="CT119" i="1" s="1"/>
  <c r="DA119" i="1"/>
  <c r="CU119" i="1" s="1"/>
  <c r="DB119" i="1"/>
  <c r="CV119" i="1" s="1"/>
  <c r="DC119" i="1"/>
  <c r="CW119" i="1" s="1"/>
  <c r="CX120" i="1"/>
  <c r="CR120" i="1" s="1"/>
  <c r="CY120" i="1"/>
  <c r="CS120" i="1" s="1"/>
  <c r="CZ120" i="1"/>
  <c r="CT120" i="1" s="1"/>
  <c r="DA120" i="1"/>
  <c r="CU120" i="1" s="1"/>
  <c r="DB120" i="1"/>
  <c r="CV120" i="1" s="1"/>
  <c r="DC120" i="1"/>
  <c r="CW120" i="1" s="1"/>
  <c r="CX121" i="1"/>
  <c r="CR121" i="1" s="1"/>
  <c r="CY121" i="1"/>
  <c r="CS121" i="1" s="1"/>
  <c r="CZ121" i="1"/>
  <c r="CT121" i="1" s="1"/>
  <c r="DA121" i="1"/>
  <c r="CU121" i="1" s="1"/>
  <c r="DB121" i="1"/>
  <c r="CV121" i="1" s="1"/>
  <c r="DC121" i="1"/>
  <c r="CW121" i="1" s="1"/>
  <c r="CX122" i="1"/>
  <c r="CR122" i="1" s="1"/>
  <c r="CY122" i="1"/>
  <c r="CS122" i="1" s="1"/>
  <c r="CZ122" i="1"/>
  <c r="CT122" i="1" s="1"/>
  <c r="DA122" i="1"/>
  <c r="CU122" i="1" s="1"/>
  <c r="DB122" i="1"/>
  <c r="CV122" i="1" s="1"/>
  <c r="DC122" i="1"/>
  <c r="CW122" i="1" s="1"/>
  <c r="CX123" i="1"/>
  <c r="CR123" i="1" s="1"/>
  <c r="CY123" i="1"/>
  <c r="CS123" i="1" s="1"/>
  <c r="CZ123" i="1"/>
  <c r="CT123" i="1" s="1"/>
  <c r="DA123" i="1"/>
  <c r="CU123" i="1" s="1"/>
  <c r="DB123" i="1"/>
  <c r="CV123" i="1" s="1"/>
  <c r="DC123" i="1"/>
  <c r="CW123" i="1" s="1"/>
  <c r="CX124" i="1"/>
  <c r="CR124" i="1" s="1"/>
  <c r="CY124" i="1"/>
  <c r="CS124" i="1" s="1"/>
  <c r="CZ124" i="1"/>
  <c r="CT124" i="1" s="1"/>
  <c r="DA124" i="1"/>
  <c r="CU124" i="1" s="1"/>
  <c r="DB124" i="1"/>
  <c r="CV124" i="1" s="1"/>
  <c r="DC124" i="1"/>
  <c r="CW124" i="1" s="1"/>
  <c r="CX125" i="1"/>
  <c r="CR125" i="1" s="1"/>
  <c r="CY125" i="1"/>
  <c r="CS125" i="1" s="1"/>
  <c r="CZ125" i="1"/>
  <c r="CT125" i="1" s="1"/>
  <c r="DA125" i="1"/>
  <c r="CU125" i="1" s="1"/>
  <c r="DB125" i="1"/>
  <c r="CV125" i="1" s="1"/>
  <c r="DC125" i="1"/>
  <c r="CW125" i="1" s="1"/>
  <c r="CX126" i="1"/>
  <c r="CR126" i="1" s="1"/>
  <c r="CY126" i="1"/>
  <c r="CS126" i="1" s="1"/>
  <c r="CZ126" i="1"/>
  <c r="CT126" i="1" s="1"/>
  <c r="DA126" i="1"/>
  <c r="CU126" i="1" s="1"/>
  <c r="DB126" i="1"/>
  <c r="CV126" i="1" s="1"/>
  <c r="DC126" i="1"/>
  <c r="CW126" i="1" s="1"/>
  <c r="CX127" i="1"/>
  <c r="CR127" i="1" s="1"/>
  <c r="CY127" i="1"/>
  <c r="CS127" i="1" s="1"/>
  <c r="CZ127" i="1"/>
  <c r="CT127" i="1" s="1"/>
  <c r="DA127" i="1"/>
  <c r="CU127" i="1" s="1"/>
  <c r="DB127" i="1"/>
  <c r="CV127" i="1" s="1"/>
  <c r="DC127" i="1"/>
  <c r="CW127" i="1" s="1"/>
  <c r="CX128" i="1"/>
  <c r="CR128" i="1" s="1"/>
  <c r="CY128" i="1"/>
  <c r="CS128" i="1" s="1"/>
  <c r="CZ128" i="1"/>
  <c r="CT128" i="1" s="1"/>
  <c r="DA128" i="1"/>
  <c r="CU128" i="1" s="1"/>
  <c r="DB128" i="1"/>
  <c r="CV128" i="1" s="1"/>
  <c r="DC128" i="1"/>
  <c r="CW128" i="1" s="1"/>
  <c r="CX129" i="1"/>
  <c r="CR129" i="1" s="1"/>
  <c r="CY129" i="1"/>
  <c r="CS129" i="1" s="1"/>
  <c r="CZ129" i="1"/>
  <c r="CT129" i="1" s="1"/>
  <c r="DA129" i="1"/>
  <c r="CU129" i="1" s="1"/>
  <c r="DB129" i="1"/>
  <c r="CV129" i="1" s="1"/>
  <c r="DC129" i="1"/>
  <c r="CW129" i="1" s="1"/>
  <c r="CX130" i="1"/>
  <c r="CR130" i="1" s="1"/>
  <c r="CY130" i="1"/>
  <c r="CS130" i="1" s="1"/>
  <c r="CZ130" i="1"/>
  <c r="CT130" i="1" s="1"/>
  <c r="DA130" i="1"/>
  <c r="CU130" i="1" s="1"/>
  <c r="DB130" i="1"/>
  <c r="CV130" i="1" s="1"/>
  <c r="DC130" i="1"/>
  <c r="CW130" i="1" s="1"/>
  <c r="CX131" i="1"/>
  <c r="CR131" i="1" s="1"/>
  <c r="CY131" i="1"/>
  <c r="CS131" i="1" s="1"/>
  <c r="CZ131" i="1"/>
  <c r="CT131" i="1" s="1"/>
  <c r="DA131" i="1"/>
  <c r="CU131" i="1" s="1"/>
  <c r="DB131" i="1"/>
  <c r="CV131" i="1" s="1"/>
  <c r="DC131" i="1"/>
  <c r="CW131" i="1" s="1"/>
  <c r="CX132" i="1"/>
  <c r="CR132" i="1" s="1"/>
  <c r="CY132" i="1"/>
  <c r="CS132" i="1" s="1"/>
  <c r="CZ132" i="1"/>
  <c r="CT132" i="1" s="1"/>
  <c r="DA132" i="1"/>
  <c r="CU132" i="1" s="1"/>
  <c r="DB132" i="1"/>
  <c r="CV132" i="1" s="1"/>
  <c r="DC132" i="1"/>
  <c r="CW132" i="1" s="1"/>
  <c r="CX133" i="1"/>
  <c r="CR133" i="1" s="1"/>
  <c r="CY133" i="1"/>
  <c r="CS133" i="1" s="1"/>
  <c r="CZ133" i="1"/>
  <c r="CT133" i="1" s="1"/>
  <c r="DA133" i="1"/>
  <c r="CU133" i="1" s="1"/>
  <c r="DB133" i="1"/>
  <c r="CV133" i="1" s="1"/>
  <c r="DC133" i="1"/>
  <c r="CW133" i="1" s="1"/>
  <c r="CX134" i="1"/>
  <c r="CR134" i="1" s="1"/>
  <c r="CY134" i="1"/>
  <c r="CS134" i="1" s="1"/>
  <c r="CZ134" i="1"/>
  <c r="CT134" i="1" s="1"/>
  <c r="DA134" i="1"/>
  <c r="CU134" i="1" s="1"/>
  <c r="DB134" i="1"/>
  <c r="CV134" i="1" s="1"/>
  <c r="DC134" i="1"/>
  <c r="CW134" i="1" s="1"/>
  <c r="CX135" i="1"/>
  <c r="CR135" i="1" s="1"/>
  <c r="CY135" i="1"/>
  <c r="CS135" i="1" s="1"/>
  <c r="CZ135" i="1"/>
  <c r="CT135" i="1" s="1"/>
  <c r="DA135" i="1"/>
  <c r="CU135" i="1" s="1"/>
  <c r="DB135" i="1"/>
  <c r="CV135" i="1" s="1"/>
  <c r="DC135" i="1"/>
  <c r="CW135" i="1" s="1"/>
  <c r="CX136" i="1"/>
  <c r="CR136" i="1" s="1"/>
  <c r="CY136" i="1"/>
  <c r="CS136" i="1" s="1"/>
  <c r="CZ136" i="1"/>
  <c r="CT136" i="1" s="1"/>
  <c r="DA136" i="1"/>
  <c r="CU136" i="1" s="1"/>
  <c r="DB136" i="1"/>
  <c r="CV136" i="1" s="1"/>
  <c r="DC136" i="1"/>
  <c r="CW136" i="1" s="1"/>
  <c r="CX137" i="1"/>
  <c r="CR137" i="1" s="1"/>
  <c r="CY137" i="1"/>
  <c r="CS137" i="1" s="1"/>
  <c r="CZ137" i="1"/>
  <c r="CT137" i="1" s="1"/>
  <c r="DA137" i="1"/>
  <c r="CU137" i="1" s="1"/>
  <c r="DB137" i="1"/>
  <c r="CV137" i="1" s="1"/>
  <c r="DC137" i="1"/>
  <c r="CW137" i="1" s="1"/>
  <c r="CX138" i="1"/>
  <c r="CR138" i="1" s="1"/>
  <c r="CY138" i="1"/>
  <c r="CS138" i="1" s="1"/>
  <c r="CZ138" i="1"/>
  <c r="CT138" i="1" s="1"/>
  <c r="DA138" i="1"/>
  <c r="CU138" i="1" s="1"/>
  <c r="DB138" i="1"/>
  <c r="CV138" i="1" s="1"/>
  <c r="DC138" i="1"/>
  <c r="CW138" i="1" s="1"/>
  <c r="CX139" i="1"/>
  <c r="CR139" i="1" s="1"/>
  <c r="CY139" i="1"/>
  <c r="CS139" i="1" s="1"/>
  <c r="CZ139" i="1"/>
  <c r="CT139" i="1" s="1"/>
  <c r="DA139" i="1"/>
  <c r="CU139" i="1" s="1"/>
  <c r="DB139" i="1"/>
  <c r="CV139" i="1" s="1"/>
  <c r="DC139" i="1"/>
  <c r="CW139" i="1" s="1"/>
  <c r="CX140" i="1"/>
  <c r="CR140" i="1" s="1"/>
  <c r="CY140" i="1"/>
  <c r="CS140" i="1" s="1"/>
  <c r="CZ140" i="1"/>
  <c r="CT140" i="1" s="1"/>
  <c r="DA140" i="1"/>
  <c r="CU140" i="1" s="1"/>
  <c r="DB140" i="1"/>
  <c r="CV140" i="1" s="1"/>
  <c r="DC140" i="1"/>
  <c r="CW140" i="1" s="1"/>
  <c r="CX141" i="1"/>
  <c r="CR141" i="1" s="1"/>
  <c r="CY141" i="1"/>
  <c r="CS141" i="1" s="1"/>
  <c r="CZ141" i="1"/>
  <c r="CT141" i="1" s="1"/>
  <c r="DA141" i="1"/>
  <c r="CU141" i="1" s="1"/>
  <c r="DB141" i="1"/>
  <c r="CV141" i="1" s="1"/>
  <c r="DC141" i="1"/>
  <c r="CW141" i="1" s="1"/>
  <c r="CX142" i="1"/>
  <c r="CR142" i="1" s="1"/>
  <c r="CY142" i="1"/>
  <c r="CS142" i="1" s="1"/>
  <c r="CZ142" i="1"/>
  <c r="CT142" i="1" s="1"/>
  <c r="DA142" i="1"/>
  <c r="CU142" i="1" s="1"/>
  <c r="DB142" i="1"/>
  <c r="CV142" i="1" s="1"/>
  <c r="DC142" i="1"/>
  <c r="CW142" i="1" s="1"/>
  <c r="CX143" i="1"/>
  <c r="CR143" i="1" s="1"/>
  <c r="CY143" i="1"/>
  <c r="CS143" i="1" s="1"/>
  <c r="CZ143" i="1"/>
  <c r="CT143" i="1" s="1"/>
  <c r="DA143" i="1"/>
  <c r="CU143" i="1" s="1"/>
  <c r="DB143" i="1"/>
  <c r="CV143" i="1" s="1"/>
  <c r="DC143" i="1"/>
  <c r="CW143" i="1" s="1"/>
  <c r="CX144" i="1"/>
  <c r="CR144" i="1" s="1"/>
  <c r="CY144" i="1"/>
  <c r="CS144" i="1" s="1"/>
  <c r="CZ144" i="1"/>
  <c r="CT144" i="1" s="1"/>
  <c r="DA144" i="1"/>
  <c r="CU144" i="1" s="1"/>
  <c r="DB144" i="1"/>
  <c r="CV144" i="1" s="1"/>
  <c r="DC144" i="1"/>
  <c r="CW144" i="1" s="1"/>
  <c r="CX145" i="1"/>
  <c r="CR145" i="1" s="1"/>
  <c r="CY145" i="1"/>
  <c r="CS145" i="1" s="1"/>
  <c r="CZ145" i="1"/>
  <c r="CT145" i="1" s="1"/>
  <c r="DA145" i="1"/>
  <c r="CU145" i="1" s="1"/>
  <c r="DB145" i="1"/>
  <c r="CV145" i="1" s="1"/>
  <c r="DC145" i="1"/>
  <c r="CW145" i="1" s="1"/>
  <c r="CX146" i="1"/>
  <c r="CR146" i="1" s="1"/>
  <c r="CY146" i="1"/>
  <c r="CS146" i="1" s="1"/>
  <c r="CZ146" i="1"/>
  <c r="CT146" i="1" s="1"/>
  <c r="DA146" i="1"/>
  <c r="CU146" i="1" s="1"/>
  <c r="DB146" i="1"/>
  <c r="CV146" i="1" s="1"/>
  <c r="DC146" i="1"/>
  <c r="CW146" i="1" s="1"/>
  <c r="CX147" i="1"/>
  <c r="CR147" i="1" s="1"/>
  <c r="CY147" i="1"/>
  <c r="CS147" i="1" s="1"/>
  <c r="CZ147" i="1"/>
  <c r="CT147" i="1" s="1"/>
  <c r="DA147" i="1"/>
  <c r="CU147" i="1" s="1"/>
  <c r="DB147" i="1"/>
  <c r="CV147" i="1" s="1"/>
  <c r="DC147" i="1"/>
  <c r="CW147" i="1" s="1"/>
  <c r="CX148" i="1"/>
  <c r="CR148" i="1" s="1"/>
  <c r="CY148" i="1"/>
  <c r="CS148" i="1" s="1"/>
  <c r="CZ148" i="1"/>
  <c r="CT148" i="1" s="1"/>
  <c r="DA148" i="1"/>
  <c r="CU148" i="1" s="1"/>
  <c r="DB148" i="1"/>
  <c r="CV148" i="1" s="1"/>
  <c r="DC148" i="1"/>
  <c r="CW148" i="1" s="1"/>
  <c r="CX149" i="1"/>
  <c r="CR149" i="1" s="1"/>
  <c r="CY149" i="1"/>
  <c r="CS149" i="1" s="1"/>
  <c r="CZ149" i="1"/>
  <c r="CT149" i="1" s="1"/>
  <c r="DA149" i="1"/>
  <c r="CU149" i="1" s="1"/>
  <c r="DB149" i="1"/>
  <c r="CV149" i="1" s="1"/>
  <c r="DC149" i="1"/>
  <c r="CW149" i="1" s="1"/>
  <c r="CX150" i="1"/>
  <c r="CR150" i="1" s="1"/>
  <c r="CY150" i="1"/>
  <c r="CS150" i="1" s="1"/>
  <c r="CZ150" i="1"/>
  <c r="CT150" i="1" s="1"/>
  <c r="DA150" i="1"/>
  <c r="CU150" i="1" s="1"/>
  <c r="DB150" i="1"/>
  <c r="CV150" i="1" s="1"/>
  <c r="DC150" i="1"/>
  <c r="CW150" i="1" s="1"/>
  <c r="CX151" i="1"/>
  <c r="CR151" i="1" s="1"/>
  <c r="CY151" i="1"/>
  <c r="CS151" i="1" s="1"/>
  <c r="CZ151" i="1"/>
  <c r="CT151" i="1" s="1"/>
  <c r="DA151" i="1"/>
  <c r="CU151" i="1" s="1"/>
  <c r="DB151" i="1"/>
  <c r="CV151" i="1" s="1"/>
  <c r="DC151" i="1"/>
  <c r="CW151" i="1" s="1"/>
  <c r="CX152" i="1"/>
  <c r="CR152" i="1" s="1"/>
  <c r="CY152" i="1"/>
  <c r="CS152" i="1" s="1"/>
  <c r="CZ152" i="1"/>
  <c r="CT152" i="1" s="1"/>
  <c r="DA152" i="1"/>
  <c r="CU152" i="1" s="1"/>
  <c r="DB152" i="1"/>
  <c r="CV152" i="1" s="1"/>
  <c r="DC152" i="1"/>
  <c r="CW152" i="1" s="1"/>
  <c r="CX153" i="1"/>
  <c r="CR153" i="1" s="1"/>
  <c r="CY153" i="1"/>
  <c r="CS153" i="1" s="1"/>
  <c r="CZ153" i="1"/>
  <c r="CT153" i="1" s="1"/>
  <c r="DA153" i="1"/>
  <c r="CU153" i="1" s="1"/>
  <c r="DB153" i="1"/>
  <c r="CV153" i="1" s="1"/>
  <c r="DC153" i="1"/>
  <c r="CW153" i="1" s="1"/>
  <c r="CX154" i="1"/>
  <c r="CR154" i="1" s="1"/>
  <c r="CY154" i="1"/>
  <c r="CS154" i="1" s="1"/>
  <c r="CZ154" i="1"/>
  <c r="CT154" i="1" s="1"/>
  <c r="DA154" i="1"/>
  <c r="CU154" i="1" s="1"/>
  <c r="DB154" i="1"/>
  <c r="CV154" i="1" s="1"/>
  <c r="DC154" i="1"/>
  <c r="CW154" i="1" s="1"/>
  <c r="CX155" i="1"/>
  <c r="CR155" i="1" s="1"/>
  <c r="CY155" i="1"/>
  <c r="CS155" i="1" s="1"/>
  <c r="CZ155" i="1"/>
  <c r="CT155" i="1" s="1"/>
  <c r="DA155" i="1"/>
  <c r="CU155" i="1" s="1"/>
  <c r="DB155" i="1"/>
  <c r="CV155" i="1" s="1"/>
  <c r="DC155" i="1"/>
  <c r="CW155" i="1" s="1"/>
  <c r="CX156" i="1"/>
  <c r="CR156" i="1" s="1"/>
  <c r="CY156" i="1"/>
  <c r="CS156" i="1" s="1"/>
  <c r="CZ156" i="1"/>
  <c r="CT156" i="1" s="1"/>
  <c r="DA156" i="1"/>
  <c r="CU156" i="1" s="1"/>
  <c r="DB156" i="1"/>
  <c r="CV156" i="1" s="1"/>
  <c r="DC156" i="1"/>
  <c r="CW156" i="1" s="1"/>
  <c r="CX157" i="1"/>
  <c r="CR157" i="1" s="1"/>
  <c r="CY157" i="1"/>
  <c r="CS157" i="1" s="1"/>
  <c r="CZ157" i="1"/>
  <c r="CT157" i="1" s="1"/>
  <c r="DA157" i="1"/>
  <c r="CU157" i="1" s="1"/>
  <c r="DB157" i="1"/>
  <c r="CV157" i="1" s="1"/>
  <c r="DC157" i="1"/>
  <c r="CW157" i="1" s="1"/>
  <c r="CX158" i="1"/>
  <c r="CR158" i="1" s="1"/>
  <c r="CY158" i="1"/>
  <c r="CS158" i="1" s="1"/>
  <c r="CZ158" i="1"/>
  <c r="CT158" i="1" s="1"/>
  <c r="DA158" i="1"/>
  <c r="CU158" i="1" s="1"/>
  <c r="DB158" i="1"/>
  <c r="CV158" i="1" s="1"/>
  <c r="DC158" i="1"/>
  <c r="CW158" i="1" s="1"/>
  <c r="CX159" i="1"/>
  <c r="CR159" i="1" s="1"/>
  <c r="CY159" i="1"/>
  <c r="CS159" i="1" s="1"/>
  <c r="CZ159" i="1"/>
  <c r="CT159" i="1" s="1"/>
  <c r="DA159" i="1"/>
  <c r="CU159" i="1" s="1"/>
  <c r="DB159" i="1"/>
  <c r="CV159" i="1" s="1"/>
  <c r="DC159" i="1"/>
  <c r="CW159" i="1" s="1"/>
  <c r="CX160" i="1"/>
  <c r="CR160" i="1" s="1"/>
  <c r="CY160" i="1"/>
  <c r="CS160" i="1" s="1"/>
  <c r="CZ160" i="1"/>
  <c r="CT160" i="1" s="1"/>
  <c r="DA160" i="1"/>
  <c r="CU160" i="1" s="1"/>
  <c r="DB160" i="1"/>
  <c r="CV160" i="1" s="1"/>
  <c r="DC160" i="1"/>
  <c r="CW160" i="1" s="1"/>
  <c r="CX161" i="1"/>
  <c r="CR161" i="1" s="1"/>
  <c r="CY161" i="1"/>
  <c r="CS161" i="1" s="1"/>
  <c r="CZ161" i="1"/>
  <c r="CT161" i="1" s="1"/>
  <c r="DA161" i="1"/>
  <c r="CU161" i="1" s="1"/>
  <c r="DB161" i="1"/>
  <c r="CV161" i="1" s="1"/>
  <c r="DC161" i="1"/>
  <c r="CW161" i="1" s="1"/>
  <c r="CX162" i="1"/>
  <c r="CR162" i="1" s="1"/>
  <c r="CY162" i="1"/>
  <c r="CS162" i="1" s="1"/>
  <c r="CZ162" i="1"/>
  <c r="CT162" i="1" s="1"/>
  <c r="DA162" i="1"/>
  <c r="CU162" i="1" s="1"/>
  <c r="DB162" i="1"/>
  <c r="CV162" i="1" s="1"/>
  <c r="DC162" i="1"/>
  <c r="CW162" i="1" s="1"/>
  <c r="CX163" i="1"/>
  <c r="CR163" i="1" s="1"/>
  <c r="CY163" i="1"/>
  <c r="CS163" i="1" s="1"/>
  <c r="CZ163" i="1"/>
  <c r="CT163" i="1" s="1"/>
  <c r="DA163" i="1"/>
  <c r="CU163" i="1" s="1"/>
  <c r="DB163" i="1"/>
  <c r="CV163" i="1" s="1"/>
  <c r="DC163" i="1"/>
  <c r="CW163" i="1" s="1"/>
  <c r="CY4" i="1"/>
  <c r="CS4" i="1" s="1"/>
  <c r="CZ4" i="1"/>
  <c r="CT4" i="1" s="1"/>
  <c r="DA4" i="1"/>
  <c r="CU4" i="1" s="1"/>
  <c r="DB4" i="1"/>
  <c r="CV4" i="1" s="1"/>
  <c r="DC4" i="1"/>
  <c r="CW4" i="1" s="1"/>
  <c r="CX4" i="1"/>
  <c r="CR4" i="1" s="1"/>
  <c r="FJ5" i="1"/>
  <c r="FK5" i="1"/>
  <c r="FL5" i="1"/>
  <c r="FM5" i="1"/>
  <c r="FN5" i="1"/>
  <c r="FO5" i="1"/>
  <c r="FJ6" i="1"/>
  <c r="FK6" i="1"/>
  <c r="FL6" i="1"/>
  <c r="FM6" i="1"/>
  <c r="FN6" i="1"/>
  <c r="FO6" i="1"/>
  <c r="FJ7" i="1"/>
  <c r="FK7" i="1"/>
  <c r="FL7" i="1"/>
  <c r="FM7" i="1"/>
  <c r="FN7" i="1"/>
  <c r="FO7" i="1"/>
  <c r="FJ8" i="1"/>
  <c r="FK8" i="1"/>
  <c r="FL8" i="1"/>
  <c r="FM8" i="1"/>
  <c r="FN8" i="1"/>
  <c r="FO8" i="1"/>
  <c r="FJ9" i="1"/>
  <c r="FK9" i="1"/>
  <c r="FL9" i="1"/>
  <c r="FM9" i="1"/>
  <c r="FN9" i="1"/>
  <c r="FO9" i="1"/>
  <c r="FJ10" i="1"/>
  <c r="FK10" i="1"/>
  <c r="FL10" i="1"/>
  <c r="FM10" i="1"/>
  <c r="FN10" i="1"/>
  <c r="FO10" i="1"/>
  <c r="FJ11" i="1"/>
  <c r="FK11" i="1"/>
  <c r="FL11" i="1"/>
  <c r="FM11" i="1"/>
  <c r="FN11" i="1"/>
  <c r="FO11" i="1"/>
  <c r="FJ12" i="1"/>
  <c r="FK12" i="1"/>
  <c r="FL12" i="1"/>
  <c r="FM12" i="1"/>
  <c r="FN12" i="1"/>
  <c r="FO12" i="1"/>
  <c r="FJ13" i="1"/>
  <c r="FK13" i="1"/>
  <c r="FL13" i="1"/>
  <c r="FM13" i="1"/>
  <c r="FN13" i="1"/>
  <c r="FO13" i="1"/>
  <c r="FJ14" i="1"/>
  <c r="FK14" i="1"/>
  <c r="FL14" i="1"/>
  <c r="FM14" i="1"/>
  <c r="FN14" i="1"/>
  <c r="FO14" i="1"/>
  <c r="FJ15" i="1"/>
  <c r="FK15" i="1"/>
  <c r="FL15" i="1"/>
  <c r="FM15" i="1"/>
  <c r="FN15" i="1"/>
  <c r="FO15" i="1"/>
  <c r="FJ16" i="1"/>
  <c r="FK16" i="1"/>
  <c r="FL16" i="1"/>
  <c r="FM16" i="1"/>
  <c r="FN16" i="1"/>
  <c r="FO16" i="1"/>
  <c r="FJ17" i="1"/>
  <c r="FK17" i="1"/>
  <c r="FL17" i="1"/>
  <c r="FM17" i="1"/>
  <c r="FN17" i="1"/>
  <c r="FO17" i="1"/>
  <c r="FJ18" i="1"/>
  <c r="FK18" i="1"/>
  <c r="FL18" i="1"/>
  <c r="FM18" i="1"/>
  <c r="FN18" i="1"/>
  <c r="FO18" i="1"/>
  <c r="FJ19" i="1"/>
  <c r="FK19" i="1"/>
  <c r="FL19" i="1"/>
  <c r="FM19" i="1"/>
  <c r="FN19" i="1"/>
  <c r="FO19" i="1"/>
  <c r="FJ20" i="1"/>
  <c r="FK20" i="1"/>
  <c r="FL20" i="1"/>
  <c r="FM20" i="1"/>
  <c r="FN20" i="1"/>
  <c r="FO20" i="1"/>
  <c r="FJ21" i="1"/>
  <c r="FK21" i="1"/>
  <c r="FL21" i="1"/>
  <c r="FM21" i="1"/>
  <c r="FN21" i="1"/>
  <c r="FO21" i="1"/>
  <c r="FJ22" i="1"/>
  <c r="FK22" i="1"/>
  <c r="FL22" i="1"/>
  <c r="FM22" i="1"/>
  <c r="FN22" i="1"/>
  <c r="FO22" i="1"/>
  <c r="FJ23" i="1"/>
  <c r="FK23" i="1"/>
  <c r="FL23" i="1"/>
  <c r="FM23" i="1"/>
  <c r="FN23" i="1"/>
  <c r="FO23" i="1"/>
  <c r="FJ24" i="1"/>
  <c r="FK24" i="1"/>
  <c r="FL24" i="1"/>
  <c r="FM24" i="1"/>
  <c r="FN24" i="1"/>
  <c r="FO24" i="1"/>
  <c r="FJ25" i="1"/>
  <c r="FK25" i="1"/>
  <c r="FL25" i="1"/>
  <c r="FM25" i="1"/>
  <c r="FN25" i="1"/>
  <c r="FO25" i="1"/>
  <c r="FJ26" i="1"/>
  <c r="FK26" i="1"/>
  <c r="FL26" i="1"/>
  <c r="FM26" i="1"/>
  <c r="FN26" i="1"/>
  <c r="FO26" i="1"/>
  <c r="FJ27" i="1"/>
  <c r="FK27" i="1"/>
  <c r="FL27" i="1"/>
  <c r="FM27" i="1"/>
  <c r="FN27" i="1"/>
  <c r="FO27" i="1"/>
  <c r="FJ28" i="1"/>
  <c r="FK28" i="1"/>
  <c r="FL28" i="1"/>
  <c r="FM28" i="1"/>
  <c r="FN28" i="1"/>
  <c r="FO28" i="1"/>
  <c r="FJ29" i="1"/>
  <c r="FK29" i="1"/>
  <c r="FL29" i="1"/>
  <c r="FM29" i="1"/>
  <c r="FN29" i="1"/>
  <c r="FO29" i="1"/>
  <c r="FJ30" i="1"/>
  <c r="FK30" i="1"/>
  <c r="FL30" i="1"/>
  <c r="FM30" i="1"/>
  <c r="FN30" i="1"/>
  <c r="FO30" i="1"/>
  <c r="FJ31" i="1"/>
  <c r="FK31" i="1"/>
  <c r="FL31" i="1"/>
  <c r="FM31" i="1"/>
  <c r="FN31" i="1"/>
  <c r="FO31" i="1"/>
  <c r="FJ32" i="1"/>
  <c r="FK32" i="1"/>
  <c r="FL32" i="1"/>
  <c r="FM32" i="1"/>
  <c r="FN32" i="1"/>
  <c r="FO32" i="1"/>
  <c r="FJ33" i="1"/>
  <c r="FK33" i="1"/>
  <c r="FL33" i="1"/>
  <c r="FM33" i="1"/>
  <c r="FN33" i="1"/>
  <c r="FO33" i="1"/>
  <c r="FJ34" i="1"/>
  <c r="FK34" i="1"/>
  <c r="FL34" i="1"/>
  <c r="FM34" i="1"/>
  <c r="FN34" i="1"/>
  <c r="FO34" i="1"/>
  <c r="FJ35" i="1"/>
  <c r="FK35" i="1"/>
  <c r="FL35" i="1"/>
  <c r="FM35" i="1"/>
  <c r="FN35" i="1"/>
  <c r="FO35" i="1"/>
  <c r="FJ36" i="1"/>
  <c r="FK36" i="1"/>
  <c r="FL36" i="1"/>
  <c r="FM36" i="1"/>
  <c r="FN36" i="1"/>
  <c r="FO36" i="1"/>
  <c r="FJ37" i="1"/>
  <c r="FK37" i="1"/>
  <c r="FL37" i="1"/>
  <c r="FM37" i="1"/>
  <c r="FN37" i="1"/>
  <c r="FO37" i="1"/>
  <c r="FJ38" i="1"/>
  <c r="FK38" i="1"/>
  <c r="FL38" i="1"/>
  <c r="FM38" i="1"/>
  <c r="FN38" i="1"/>
  <c r="FO38" i="1"/>
  <c r="FJ39" i="1"/>
  <c r="FK39" i="1"/>
  <c r="FL39" i="1"/>
  <c r="FM39" i="1"/>
  <c r="FN39" i="1"/>
  <c r="FO39" i="1"/>
  <c r="FJ40" i="1"/>
  <c r="FK40" i="1"/>
  <c r="FL40" i="1"/>
  <c r="FM40" i="1"/>
  <c r="FN40" i="1"/>
  <c r="FO40" i="1"/>
  <c r="FJ41" i="1"/>
  <c r="FK41" i="1"/>
  <c r="FL41" i="1"/>
  <c r="FM41" i="1"/>
  <c r="FN41" i="1"/>
  <c r="FO41" i="1"/>
  <c r="FJ42" i="1"/>
  <c r="FK42" i="1"/>
  <c r="FL42" i="1"/>
  <c r="FM42" i="1"/>
  <c r="FN42" i="1"/>
  <c r="FO42" i="1"/>
  <c r="FJ43" i="1"/>
  <c r="FK43" i="1"/>
  <c r="FL43" i="1"/>
  <c r="FM43" i="1"/>
  <c r="FN43" i="1"/>
  <c r="FO43" i="1"/>
  <c r="FJ44" i="1"/>
  <c r="FK44" i="1"/>
  <c r="FL44" i="1"/>
  <c r="FM44" i="1"/>
  <c r="FN44" i="1"/>
  <c r="FO44" i="1"/>
  <c r="FJ45" i="1"/>
  <c r="FK45" i="1"/>
  <c r="FL45" i="1"/>
  <c r="FM45" i="1"/>
  <c r="FN45" i="1"/>
  <c r="FO45" i="1"/>
  <c r="FJ46" i="1"/>
  <c r="FK46" i="1"/>
  <c r="FL46" i="1"/>
  <c r="FM46" i="1"/>
  <c r="FN46" i="1"/>
  <c r="FO46" i="1"/>
  <c r="FJ47" i="1"/>
  <c r="FK47" i="1"/>
  <c r="FL47" i="1"/>
  <c r="FM47" i="1"/>
  <c r="FN47" i="1"/>
  <c r="FO47" i="1"/>
  <c r="FJ48" i="1"/>
  <c r="FK48" i="1"/>
  <c r="FL48" i="1"/>
  <c r="FM48" i="1"/>
  <c r="FN48" i="1"/>
  <c r="FO48" i="1"/>
  <c r="FJ49" i="1"/>
  <c r="FK49" i="1"/>
  <c r="FL49" i="1"/>
  <c r="FM49" i="1"/>
  <c r="FN49" i="1"/>
  <c r="FO49" i="1"/>
  <c r="FJ50" i="1"/>
  <c r="FK50" i="1"/>
  <c r="FL50" i="1"/>
  <c r="FM50" i="1"/>
  <c r="FN50" i="1"/>
  <c r="FO50" i="1"/>
  <c r="FJ51" i="1"/>
  <c r="FK51" i="1"/>
  <c r="FL51" i="1"/>
  <c r="FM51" i="1"/>
  <c r="FN51" i="1"/>
  <c r="FO51" i="1"/>
  <c r="FJ52" i="1"/>
  <c r="FK52" i="1"/>
  <c r="FL52" i="1"/>
  <c r="FM52" i="1"/>
  <c r="FN52" i="1"/>
  <c r="FO52" i="1"/>
  <c r="FJ53" i="1"/>
  <c r="FK53" i="1"/>
  <c r="FL53" i="1"/>
  <c r="FM53" i="1"/>
  <c r="FN53" i="1"/>
  <c r="FO53" i="1"/>
  <c r="FJ54" i="1"/>
  <c r="FK54" i="1"/>
  <c r="FL54" i="1"/>
  <c r="FM54" i="1"/>
  <c r="FN54" i="1"/>
  <c r="FO54" i="1"/>
  <c r="FJ55" i="1"/>
  <c r="FK55" i="1"/>
  <c r="FL55" i="1"/>
  <c r="FM55" i="1"/>
  <c r="FN55" i="1"/>
  <c r="FO55" i="1"/>
  <c r="FJ56" i="1"/>
  <c r="FK56" i="1"/>
  <c r="FL56" i="1"/>
  <c r="FM56" i="1"/>
  <c r="FN56" i="1"/>
  <c r="FO56" i="1"/>
  <c r="FJ57" i="1"/>
  <c r="FK57" i="1"/>
  <c r="FL57" i="1"/>
  <c r="FM57" i="1"/>
  <c r="FN57" i="1"/>
  <c r="FO57" i="1"/>
  <c r="FJ58" i="1"/>
  <c r="FK58" i="1"/>
  <c r="FL58" i="1"/>
  <c r="FM58" i="1"/>
  <c r="FN58" i="1"/>
  <c r="FO58" i="1"/>
  <c r="FJ59" i="1"/>
  <c r="FK59" i="1"/>
  <c r="FL59" i="1"/>
  <c r="FM59" i="1"/>
  <c r="FN59" i="1"/>
  <c r="FO59" i="1"/>
  <c r="FJ60" i="1"/>
  <c r="FK60" i="1"/>
  <c r="FL60" i="1"/>
  <c r="FM60" i="1"/>
  <c r="FN60" i="1"/>
  <c r="FO60" i="1"/>
  <c r="FJ61" i="1"/>
  <c r="FK61" i="1"/>
  <c r="FL61" i="1"/>
  <c r="FM61" i="1"/>
  <c r="FN61" i="1"/>
  <c r="FO61" i="1"/>
  <c r="FJ62" i="1"/>
  <c r="FK62" i="1"/>
  <c r="FL62" i="1"/>
  <c r="FM62" i="1"/>
  <c r="FN62" i="1"/>
  <c r="FO62" i="1"/>
  <c r="FJ63" i="1"/>
  <c r="FK63" i="1"/>
  <c r="FL63" i="1"/>
  <c r="FM63" i="1"/>
  <c r="FN63" i="1"/>
  <c r="FO63" i="1"/>
  <c r="FJ64" i="1"/>
  <c r="FK64" i="1"/>
  <c r="FL64" i="1"/>
  <c r="FM64" i="1"/>
  <c r="FN64" i="1"/>
  <c r="FO64" i="1"/>
  <c r="FJ65" i="1"/>
  <c r="FK65" i="1"/>
  <c r="FL65" i="1"/>
  <c r="FM65" i="1"/>
  <c r="FN65" i="1"/>
  <c r="FO65" i="1"/>
  <c r="FJ66" i="1"/>
  <c r="FK66" i="1"/>
  <c r="FL66" i="1"/>
  <c r="FM66" i="1"/>
  <c r="FN66" i="1"/>
  <c r="FO66" i="1"/>
  <c r="FJ67" i="1"/>
  <c r="FK67" i="1"/>
  <c r="FL67" i="1"/>
  <c r="FM67" i="1"/>
  <c r="FN67" i="1"/>
  <c r="FO67" i="1"/>
  <c r="FJ68" i="1"/>
  <c r="FK68" i="1"/>
  <c r="FL68" i="1"/>
  <c r="FM68" i="1"/>
  <c r="FN68" i="1"/>
  <c r="FO68" i="1"/>
  <c r="FJ69" i="1"/>
  <c r="FK69" i="1"/>
  <c r="FL69" i="1"/>
  <c r="FM69" i="1"/>
  <c r="FN69" i="1"/>
  <c r="FO69" i="1"/>
  <c r="FJ70" i="1"/>
  <c r="FK70" i="1"/>
  <c r="FL70" i="1"/>
  <c r="FM70" i="1"/>
  <c r="FN70" i="1"/>
  <c r="FO70" i="1"/>
  <c r="FJ71" i="1"/>
  <c r="FK71" i="1"/>
  <c r="FL71" i="1"/>
  <c r="FM71" i="1"/>
  <c r="FN71" i="1"/>
  <c r="FO71" i="1"/>
  <c r="FJ72" i="1"/>
  <c r="FK72" i="1"/>
  <c r="FL72" i="1"/>
  <c r="FM72" i="1"/>
  <c r="FN72" i="1"/>
  <c r="FO72" i="1"/>
  <c r="FJ73" i="1"/>
  <c r="FK73" i="1"/>
  <c r="FL73" i="1"/>
  <c r="FM73" i="1"/>
  <c r="FN73" i="1"/>
  <c r="FO73" i="1"/>
  <c r="FJ74" i="1"/>
  <c r="FK74" i="1"/>
  <c r="FL74" i="1"/>
  <c r="FM74" i="1"/>
  <c r="FN74" i="1"/>
  <c r="FO74" i="1"/>
  <c r="FJ75" i="1"/>
  <c r="FK75" i="1"/>
  <c r="FL75" i="1"/>
  <c r="FM75" i="1"/>
  <c r="FN75" i="1"/>
  <c r="FO75" i="1"/>
  <c r="FJ76" i="1"/>
  <c r="FK76" i="1"/>
  <c r="FL76" i="1"/>
  <c r="FM76" i="1"/>
  <c r="FN76" i="1"/>
  <c r="FO76" i="1"/>
  <c r="FJ77" i="1"/>
  <c r="FK77" i="1"/>
  <c r="FL77" i="1"/>
  <c r="FM77" i="1"/>
  <c r="FN77" i="1"/>
  <c r="FO77" i="1"/>
  <c r="FJ78" i="1"/>
  <c r="FK78" i="1"/>
  <c r="FL78" i="1"/>
  <c r="FM78" i="1"/>
  <c r="FN78" i="1"/>
  <c r="FO78" i="1"/>
  <c r="FJ79" i="1"/>
  <c r="FK79" i="1"/>
  <c r="FL79" i="1"/>
  <c r="FM79" i="1"/>
  <c r="FN79" i="1"/>
  <c r="FO79" i="1"/>
  <c r="FJ80" i="1"/>
  <c r="FK80" i="1"/>
  <c r="FL80" i="1"/>
  <c r="FM80" i="1"/>
  <c r="FN80" i="1"/>
  <c r="FO80" i="1"/>
  <c r="FJ81" i="1"/>
  <c r="FK81" i="1"/>
  <c r="FL81" i="1"/>
  <c r="FM81" i="1"/>
  <c r="FN81" i="1"/>
  <c r="FO81" i="1"/>
  <c r="FJ82" i="1"/>
  <c r="FK82" i="1"/>
  <c r="FL82" i="1"/>
  <c r="FM82" i="1"/>
  <c r="FN82" i="1"/>
  <c r="FO82" i="1"/>
  <c r="FJ83" i="1"/>
  <c r="FK83" i="1"/>
  <c r="FL83" i="1"/>
  <c r="FM83" i="1"/>
  <c r="FN83" i="1"/>
  <c r="FO83" i="1"/>
  <c r="FJ84" i="1"/>
  <c r="FK84" i="1"/>
  <c r="FL84" i="1"/>
  <c r="FM84" i="1"/>
  <c r="FN84" i="1"/>
  <c r="FO84" i="1"/>
  <c r="FJ85" i="1"/>
  <c r="FK85" i="1"/>
  <c r="FL85" i="1"/>
  <c r="FM85" i="1"/>
  <c r="FN85" i="1"/>
  <c r="FO85" i="1"/>
  <c r="FJ86" i="1"/>
  <c r="FK86" i="1"/>
  <c r="FL86" i="1"/>
  <c r="FM86" i="1"/>
  <c r="FN86" i="1"/>
  <c r="FO86" i="1"/>
  <c r="FJ87" i="1"/>
  <c r="FK87" i="1"/>
  <c r="FL87" i="1"/>
  <c r="FM87" i="1"/>
  <c r="FN87" i="1"/>
  <c r="FO87" i="1"/>
  <c r="FJ88" i="1"/>
  <c r="FK88" i="1"/>
  <c r="FL88" i="1"/>
  <c r="FM88" i="1"/>
  <c r="FN88" i="1"/>
  <c r="FO88" i="1"/>
  <c r="FJ89" i="1"/>
  <c r="FK89" i="1"/>
  <c r="FL89" i="1"/>
  <c r="FM89" i="1"/>
  <c r="FN89" i="1"/>
  <c r="FO89" i="1"/>
  <c r="FJ90" i="1"/>
  <c r="FK90" i="1"/>
  <c r="FL90" i="1"/>
  <c r="FM90" i="1"/>
  <c r="FN90" i="1"/>
  <c r="FO90" i="1"/>
  <c r="FJ91" i="1"/>
  <c r="FK91" i="1"/>
  <c r="FL91" i="1"/>
  <c r="FM91" i="1"/>
  <c r="FN91" i="1"/>
  <c r="FO91" i="1"/>
  <c r="FJ92" i="1"/>
  <c r="FK92" i="1"/>
  <c r="FL92" i="1"/>
  <c r="FM92" i="1"/>
  <c r="FN92" i="1"/>
  <c r="FO92" i="1"/>
  <c r="FJ93" i="1"/>
  <c r="FK93" i="1"/>
  <c r="FL93" i="1"/>
  <c r="FM93" i="1"/>
  <c r="FN93" i="1"/>
  <c r="FO93" i="1"/>
  <c r="FJ94" i="1"/>
  <c r="FK94" i="1"/>
  <c r="FL94" i="1"/>
  <c r="FM94" i="1"/>
  <c r="FN94" i="1"/>
  <c r="FO94" i="1"/>
  <c r="FJ95" i="1"/>
  <c r="FK95" i="1"/>
  <c r="FL95" i="1"/>
  <c r="FM95" i="1"/>
  <c r="FN95" i="1"/>
  <c r="FO95" i="1"/>
  <c r="FJ96" i="1"/>
  <c r="FK96" i="1"/>
  <c r="FL96" i="1"/>
  <c r="FM96" i="1"/>
  <c r="FN96" i="1"/>
  <c r="FO96" i="1"/>
  <c r="FJ97" i="1"/>
  <c r="FK97" i="1"/>
  <c r="FL97" i="1"/>
  <c r="FM97" i="1"/>
  <c r="FN97" i="1"/>
  <c r="FO97" i="1"/>
  <c r="FJ98" i="1"/>
  <c r="FK98" i="1"/>
  <c r="FL98" i="1"/>
  <c r="FM98" i="1"/>
  <c r="FN98" i="1"/>
  <c r="FO98" i="1"/>
  <c r="FJ99" i="1"/>
  <c r="FK99" i="1"/>
  <c r="FL99" i="1"/>
  <c r="FM99" i="1"/>
  <c r="FN99" i="1"/>
  <c r="FO99" i="1"/>
  <c r="FJ100" i="1"/>
  <c r="FK100" i="1"/>
  <c r="FL100" i="1"/>
  <c r="FM100" i="1"/>
  <c r="FN100" i="1"/>
  <c r="FO100" i="1"/>
  <c r="FJ101" i="1"/>
  <c r="FK101" i="1"/>
  <c r="FL101" i="1"/>
  <c r="FM101" i="1"/>
  <c r="FN101" i="1"/>
  <c r="FO101" i="1"/>
  <c r="FJ102" i="1"/>
  <c r="FK102" i="1"/>
  <c r="FL102" i="1"/>
  <c r="FM102" i="1"/>
  <c r="FN102" i="1"/>
  <c r="FO102" i="1"/>
  <c r="FJ103" i="1"/>
  <c r="FK103" i="1"/>
  <c r="FL103" i="1"/>
  <c r="FM103" i="1"/>
  <c r="FN103" i="1"/>
  <c r="FO103" i="1"/>
  <c r="FJ104" i="1"/>
  <c r="FK104" i="1"/>
  <c r="FL104" i="1"/>
  <c r="FM104" i="1"/>
  <c r="FN104" i="1"/>
  <c r="FO104" i="1"/>
  <c r="FJ105" i="1"/>
  <c r="FK105" i="1"/>
  <c r="FL105" i="1"/>
  <c r="FM105" i="1"/>
  <c r="FN105" i="1"/>
  <c r="FO105" i="1"/>
  <c r="FJ106" i="1"/>
  <c r="FK106" i="1"/>
  <c r="FL106" i="1"/>
  <c r="FM106" i="1"/>
  <c r="FN106" i="1"/>
  <c r="FO106" i="1"/>
  <c r="FJ107" i="1"/>
  <c r="FK107" i="1"/>
  <c r="FL107" i="1"/>
  <c r="FM107" i="1"/>
  <c r="FN107" i="1"/>
  <c r="FO107" i="1"/>
  <c r="FJ108" i="1"/>
  <c r="FK108" i="1"/>
  <c r="FL108" i="1"/>
  <c r="FM108" i="1"/>
  <c r="FN108" i="1"/>
  <c r="FO108" i="1"/>
  <c r="FJ109" i="1"/>
  <c r="FK109" i="1"/>
  <c r="FL109" i="1"/>
  <c r="FM109" i="1"/>
  <c r="FN109" i="1"/>
  <c r="FO109" i="1"/>
  <c r="FJ110" i="1"/>
  <c r="FK110" i="1"/>
  <c r="FL110" i="1"/>
  <c r="FM110" i="1"/>
  <c r="FN110" i="1"/>
  <c r="FO110" i="1"/>
  <c r="FJ111" i="1"/>
  <c r="FK111" i="1"/>
  <c r="FL111" i="1"/>
  <c r="FM111" i="1"/>
  <c r="FN111" i="1"/>
  <c r="FO111" i="1"/>
  <c r="FJ112" i="1"/>
  <c r="FK112" i="1"/>
  <c r="FL112" i="1"/>
  <c r="FM112" i="1"/>
  <c r="FN112" i="1"/>
  <c r="FO112" i="1"/>
  <c r="FJ113" i="1"/>
  <c r="FK113" i="1"/>
  <c r="FL113" i="1"/>
  <c r="FM113" i="1"/>
  <c r="FN113" i="1"/>
  <c r="FO113" i="1"/>
  <c r="FJ114" i="1"/>
  <c r="FK114" i="1"/>
  <c r="FL114" i="1"/>
  <c r="FM114" i="1"/>
  <c r="FN114" i="1"/>
  <c r="FO114" i="1"/>
  <c r="FJ115" i="1"/>
  <c r="FK115" i="1"/>
  <c r="FL115" i="1"/>
  <c r="FM115" i="1"/>
  <c r="FN115" i="1"/>
  <c r="FO115" i="1"/>
  <c r="FJ116" i="1"/>
  <c r="FK116" i="1"/>
  <c r="FL116" i="1"/>
  <c r="FM116" i="1"/>
  <c r="FN116" i="1"/>
  <c r="FO116" i="1"/>
  <c r="FJ117" i="1"/>
  <c r="FK117" i="1"/>
  <c r="FL117" i="1"/>
  <c r="FM117" i="1"/>
  <c r="FN117" i="1"/>
  <c r="FO117" i="1"/>
  <c r="FJ118" i="1"/>
  <c r="FK118" i="1"/>
  <c r="FL118" i="1"/>
  <c r="FM118" i="1"/>
  <c r="FN118" i="1"/>
  <c r="FO118" i="1"/>
  <c r="FJ119" i="1"/>
  <c r="FK119" i="1"/>
  <c r="FL119" i="1"/>
  <c r="FM119" i="1"/>
  <c r="FN119" i="1"/>
  <c r="FO119" i="1"/>
  <c r="FJ120" i="1"/>
  <c r="FK120" i="1"/>
  <c r="FL120" i="1"/>
  <c r="FM120" i="1"/>
  <c r="FN120" i="1"/>
  <c r="FO120" i="1"/>
  <c r="FJ121" i="1"/>
  <c r="FK121" i="1"/>
  <c r="FL121" i="1"/>
  <c r="FM121" i="1"/>
  <c r="FN121" i="1"/>
  <c r="FO121" i="1"/>
  <c r="FJ122" i="1"/>
  <c r="FK122" i="1"/>
  <c r="FL122" i="1"/>
  <c r="FM122" i="1"/>
  <c r="FN122" i="1"/>
  <c r="FO122" i="1"/>
  <c r="FJ123" i="1"/>
  <c r="FK123" i="1"/>
  <c r="FL123" i="1"/>
  <c r="FM123" i="1"/>
  <c r="FN123" i="1"/>
  <c r="FO123" i="1"/>
  <c r="FJ124" i="1"/>
  <c r="FK124" i="1"/>
  <c r="FL124" i="1"/>
  <c r="FM124" i="1"/>
  <c r="FN124" i="1"/>
  <c r="FO124" i="1"/>
  <c r="FJ125" i="1"/>
  <c r="FK125" i="1"/>
  <c r="FL125" i="1"/>
  <c r="FM125" i="1"/>
  <c r="FN125" i="1"/>
  <c r="FO125" i="1"/>
  <c r="FJ126" i="1"/>
  <c r="FK126" i="1"/>
  <c r="FL126" i="1"/>
  <c r="FM126" i="1"/>
  <c r="FN126" i="1"/>
  <c r="FO126" i="1"/>
  <c r="FJ127" i="1"/>
  <c r="FK127" i="1"/>
  <c r="FL127" i="1"/>
  <c r="FM127" i="1"/>
  <c r="FN127" i="1"/>
  <c r="FO127" i="1"/>
  <c r="FJ128" i="1"/>
  <c r="FK128" i="1"/>
  <c r="FL128" i="1"/>
  <c r="FM128" i="1"/>
  <c r="FN128" i="1"/>
  <c r="FO128" i="1"/>
  <c r="FJ129" i="1"/>
  <c r="FK129" i="1"/>
  <c r="FL129" i="1"/>
  <c r="FM129" i="1"/>
  <c r="FN129" i="1"/>
  <c r="FO129" i="1"/>
  <c r="FJ130" i="1"/>
  <c r="FK130" i="1"/>
  <c r="FL130" i="1"/>
  <c r="FM130" i="1"/>
  <c r="FN130" i="1"/>
  <c r="FO130" i="1"/>
  <c r="FJ131" i="1"/>
  <c r="FK131" i="1"/>
  <c r="FL131" i="1"/>
  <c r="FM131" i="1"/>
  <c r="FN131" i="1"/>
  <c r="FO131" i="1"/>
  <c r="FJ132" i="1"/>
  <c r="FK132" i="1"/>
  <c r="FL132" i="1"/>
  <c r="FM132" i="1"/>
  <c r="FN132" i="1"/>
  <c r="FO132" i="1"/>
  <c r="FJ133" i="1"/>
  <c r="FK133" i="1"/>
  <c r="FL133" i="1"/>
  <c r="FM133" i="1"/>
  <c r="FN133" i="1"/>
  <c r="FO133" i="1"/>
  <c r="FJ134" i="1"/>
  <c r="FK134" i="1"/>
  <c r="FL134" i="1"/>
  <c r="FM134" i="1"/>
  <c r="FN134" i="1"/>
  <c r="FO134" i="1"/>
  <c r="FJ135" i="1"/>
  <c r="FK135" i="1"/>
  <c r="FL135" i="1"/>
  <c r="FM135" i="1"/>
  <c r="FN135" i="1"/>
  <c r="FO135" i="1"/>
  <c r="FJ136" i="1"/>
  <c r="FK136" i="1"/>
  <c r="FL136" i="1"/>
  <c r="FM136" i="1"/>
  <c r="FN136" i="1"/>
  <c r="FO136" i="1"/>
  <c r="FJ137" i="1"/>
  <c r="FK137" i="1"/>
  <c r="FL137" i="1"/>
  <c r="FM137" i="1"/>
  <c r="FN137" i="1"/>
  <c r="FO137" i="1"/>
  <c r="FJ138" i="1"/>
  <c r="FK138" i="1"/>
  <c r="FL138" i="1"/>
  <c r="FM138" i="1"/>
  <c r="FN138" i="1"/>
  <c r="FO138" i="1"/>
  <c r="FJ139" i="1"/>
  <c r="FK139" i="1"/>
  <c r="FL139" i="1"/>
  <c r="FM139" i="1"/>
  <c r="FN139" i="1"/>
  <c r="FO139" i="1"/>
  <c r="FJ140" i="1"/>
  <c r="FK140" i="1"/>
  <c r="FL140" i="1"/>
  <c r="FM140" i="1"/>
  <c r="FN140" i="1"/>
  <c r="FO140" i="1"/>
  <c r="FJ141" i="1"/>
  <c r="FK141" i="1"/>
  <c r="FL141" i="1"/>
  <c r="FM141" i="1"/>
  <c r="FN141" i="1"/>
  <c r="FO141" i="1"/>
  <c r="FJ142" i="1"/>
  <c r="FK142" i="1"/>
  <c r="FL142" i="1"/>
  <c r="FM142" i="1"/>
  <c r="FN142" i="1"/>
  <c r="FO142" i="1"/>
  <c r="FJ143" i="1"/>
  <c r="FK143" i="1"/>
  <c r="FL143" i="1"/>
  <c r="FM143" i="1"/>
  <c r="FN143" i="1"/>
  <c r="FO143" i="1"/>
  <c r="FJ144" i="1"/>
  <c r="FK144" i="1"/>
  <c r="FL144" i="1"/>
  <c r="FM144" i="1"/>
  <c r="FN144" i="1"/>
  <c r="FO144" i="1"/>
  <c r="FJ145" i="1"/>
  <c r="FK145" i="1"/>
  <c r="FL145" i="1"/>
  <c r="FM145" i="1"/>
  <c r="FN145" i="1"/>
  <c r="FO145" i="1"/>
  <c r="FJ146" i="1"/>
  <c r="FK146" i="1"/>
  <c r="FL146" i="1"/>
  <c r="FM146" i="1"/>
  <c r="FN146" i="1"/>
  <c r="FO146" i="1"/>
  <c r="FJ147" i="1"/>
  <c r="FK147" i="1"/>
  <c r="FL147" i="1"/>
  <c r="FM147" i="1"/>
  <c r="FN147" i="1"/>
  <c r="FO147" i="1"/>
  <c r="FJ148" i="1"/>
  <c r="FK148" i="1"/>
  <c r="FL148" i="1"/>
  <c r="FM148" i="1"/>
  <c r="FN148" i="1"/>
  <c r="FO148" i="1"/>
  <c r="FJ149" i="1"/>
  <c r="FK149" i="1"/>
  <c r="FL149" i="1"/>
  <c r="FM149" i="1"/>
  <c r="FN149" i="1"/>
  <c r="FO149" i="1"/>
  <c r="FJ150" i="1"/>
  <c r="FK150" i="1"/>
  <c r="FL150" i="1"/>
  <c r="FM150" i="1"/>
  <c r="FN150" i="1"/>
  <c r="FO150" i="1"/>
  <c r="FJ151" i="1"/>
  <c r="FK151" i="1"/>
  <c r="FL151" i="1"/>
  <c r="FM151" i="1"/>
  <c r="FN151" i="1"/>
  <c r="FO151" i="1"/>
  <c r="FJ152" i="1"/>
  <c r="FK152" i="1"/>
  <c r="FL152" i="1"/>
  <c r="FM152" i="1"/>
  <c r="FN152" i="1"/>
  <c r="FO152" i="1"/>
  <c r="FJ153" i="1"/>
  <c r="FK153" i="1"/>
  <c r="FL153" i="1"/>
  <c r="FM153" i="1"/>
  <c r="FN153" i="1"/>
  <c r="FO153" i="1"/>
  <c r="FJ154" i="1"/>
  <c r="FK154" i="1"/>
  <c r="FL154" i="1"/>
  <c r="FM154" i="1"/>
  <c r="FN154" i="1"/>
  <c r="FO154" i="1"/>
  <c r="FJ155" i="1"/>
  <c r="FK155" i="1"/>
  <c r="FL155" i="1"/>
  <c r="FM155" i="1"/>
  <c r="FN155" i="1"/>
  <c r="FO155" i="1"/>
  <c r="FJ156" i="1"/>
  <c r="FK156" i="1"/>
  <c r="FL156" i="1"/>
  <c r="FM156" i="1"/>
  <c r="FN156" i="1"/>
  <c r="FO156" i="1"/>
  <c r="FJ157" i="1"/>
  <c r="FK157" i="1"/>
  <c r="FL157" i="1"/>
  <c r="FM157" i="1"/>
  <c r="FN157" i="1"/>
  <c r="FO157" i="1"/>
  <c r="FJ158" i="1"/>
  <c r="FK158" i="1"/>
  <c r="FL158" i="1"/>
  <c r="FM158" i="1"/>
  <c r="FN158" i="1"/>
  <c r="FO158" i="1"/>
  <c r="FJ159" i="1"/>
  <c r="FK159" i="1"/>
  <c r="FL159" i="1"/>
  <c r="FM159" i="1"/>
  <c r="FN159" i="1"/>
  <c r="FO159" i="1"/>
  <c r="FJ160" i="1"/>
  <c r="FK160" i="1"/>
  <c r="FL160" i="1"/>
  <c r="FM160" i="1"/>
  <c r="FN160" i="1"/>
  <c r="FO160" i="1"/>
  <c r="FJ161" i="1"/>
  <c r="FK161" i="1"/>
  <c r="FL161" i="1"/>
  <c r="FM161" i="1"/>
  <c r="FN161" i="1"/>
  <c r="FO161" i="1"/>
  <c r="FJ162" i="1"/>
  <c r="FK162" i="1"/>
  <c r="FL162" i="1"/>
  <c r="FM162" i="1"/>
  <c r="FN162" i="1"/>
  <c r="FO162" i="1"/>
  <c r="FJ163" i="1"/>
  <c r="FK163" i="1"/>
  <c r="FL163" i="1"/>
  <c r="FM163" i="1"/>
  <c r="FN163" i="1"/>
  <c r="FO163" i="1"/>
  <c r="FO4" i="1"/>
  <c r="FK4" i="1"/>
  <c r="FL4" i="1"/>
  <c r="FM4" i="1"/>
  <c r="FN4" i="1"/>
  <c r="FJ4" i="1"/>
  <c r="AH1002" i="1" l="1"/>
  <c r="AG1002" i="1"/>
  <c r="AF1002" i="1"/>
  <c r="AE1002" i="1"/>
  <c r="AD1002" i="1"/>
  <c r="AC1002" i="1"/>
  <c r="AH1001" i="1"/>
  <c r="AG1001" i="1"/>
  <c r="AF1001" i="1"/>
  <c r="AE1001" i="1"/>
  <c r="AD1001" i="1"/>
  <c r="AC1001" i="1"/>
  <c r="AH1000" i="1"/>
  <c r="AG1000" i="1"/>
  <c r="AF1000" i="1"/>
  <c r="AE1000" i="1"/>
  <c r="AD1000" i="1"/>
  <c r="AC1000" i="1"/>
  <c r="AH999" i="1"/>
  <c r="AG999" i="1"/>
  <c r="AF999" i="1"/>
  <c r="AE999" i="1"/>
  <c r="AD999" i="1"/>
  <c r="AC999" i="1"/>
  <c r="AH998" i="1"/>
  <c r="AG998" i="1"/>
  <c r="AF998" i="1"/>
  <c r="AE998" i="1"/>
  <c r="AD998" i="1"/>
  <c r="AC998" i="1"/>
  <c r="AH997" i="1"/>
  <c r="AG997" i="1"/>
  <c r="AF997" i="1"/>
  <c r="AE997" i="1"/>
  <c r="AD997" i="1"/>
  <c r="AC997" i="1"/>
  <c r="AH996" i="1"/>
  <c r="AG996" i="1"/>
  <c r="AF996" i="1"/>
  <c r="AE996" i="1"/>
  <c r="AD996" i="1"/>
  <c r="AC996" i="1"/>
  <c r="AH995" i="1"/>
  <c r="AG995" i="1"/>
  <c r="AF995" i="1"/>
  <c r="AE995" i="1"/>
  <c r="AD995" i="1"/>
  <c r="AC995" i="1"/>
  <c r="AH994" i="1"/>
  <c r="AG994" i="1"/>
  <c r="AF994" i="1"/>
  <c r="AE994" i="1"/>
  <c r="AD994" i="1"/>
  <c r="AC994" i="1"/>
  <c r="AH993" i="1"/>
  <c r="AG993" i="1"/>
  <c r="AF993" i="1"/>
  <c r="AE993" i="1"/>
  <c r="AD993" i="1"/>
  <c r="AC993" i="1"/>
  <c r="AH992" i="1"/>
  <c r="AG992" i="1"/>
  <c r="AF992" i="1"/>
  <c r="AE992" i="1"/>
  <c r="AD992" i="1"/>
  <c r="AC992" i="1"/>
  <c r="AH991" i="1"/>
  <c r="AG991" i="1"/>
  <c r="AF991" i="1"/>
  <c r="AE991" i="1"/>
  <c r="AD991" i="1"/>
  <c r="AC991" i="1"/>
  <c r="AH990" i="1"/>
  <c r="AG990" i="1"/>
  <c r="AF990" i="1"/>
  <c r="AE990" i="1"/>
  <c r="AD990" i="1"/>
  <c r="AC990" i="1"/>
  <c r="AH989" i="1"/>
  <c r="AG989" i="1"/>
  <c r="AF989" i="1"/>
  <c r="AE989" i="1"/>
  <c r="AD989" i="1"/>
  <c r="AC989" i="1"/>
  <c r="AH988" i="1"/>
  <c r="AG988" i="1"/>
  <c r="AF988" i="1"/>
  <c r="AE988" i="1"/>
  <c r="AD988" i="1"/>
  <c r="AC988" i="1"/>
  <c r="AH987" i="1"/>
  <c r="AG987" i="1"/>
  <c r="AF987" i="1"/>
  <c r="AE987" i="1"/>
  <c r="AD987" i="1"/>
  <c r="AC987" i="1"/>
  <c r="AH986" i="1"/>
  <c r="AG986" i="1"/>
  <c r="AF986" i="1"/>
  <c r="AE986" i="1"/>
  <c r="AD986" i="1"/>
  <c r="AC986" i="1"/>
  <c r="AH985" i="1"/>
  <c r="AG985" i="1"/>
  <c r="AF985" i="1"/>
  <c r="AE985" i="1"/>
  <c r="AD985" i="1"/>
  <c r="AC985" i="1"/>
  <c r="AH984" i="1"/>
  <c r="AG984" i="1"/>
  <c r="AF984" i="1"/>
  <c r="AE984" i="1"/>
  <c r="AD984" i="1"/>
  <c r="AC984" i="1"/>
  <c r="BZ983" i="1"/>
  <c r="CA983" i="1" s="1"/>
  <c r="BY983" i="1"/>
  <c r="BX983" i="1"/>
  <c r="BW983" i="1"/>
  <c r="BV983" i="1"/>
  <c r="BU983" i="1"/>
  <c r="BT983" i="1"/>
  <c r="BS983" i="1"/>
  <c r="AH983" i="1"/>
  <c r="AG983" i="1"/>
  <c r="AF983" i="1"/>
  <c r="AE983" i="1"/>
  <c r="AD983" i="1"/>
  <c r="AC983" i="1"/>
  <c r="BZ982" i="1"/>
  <c r="CA982" i="1" s="1"/>
  <c r="BY982" i="1"/>
  <c r="BX982" i="1"/>
  <c r="BW982" i="1"/>
  <c r="BV982" i="1"/>
  <c r="BU982" i="1"/>
  <c r="BT982" i="1"/>
  <c r="BS982" i="1"/>
  <c r="AH982" i="1"/>
  <c r="AG982" i="1"/>
  <c r="AF982" i="1"/>
  <c r="AE982" i="1"/>
  <c r="AD982" i="1"/>
  <c r="AC982" i="1"/>
  <c r="BZ981" i="1"/>
  <c r="CA981" i="1" s="1"/>
  <c r="BY981" i="1"/>
  <c r="BX981" i="1"/>
  <c r="BW981" i="1"/>
  <c r="BV981" i="1"/>
  <c r="BU981" i="1"/>
  <c r="BT981" i="1"/>
  <c r="BS981" i="1"/>
  <c r="AH981" i="1"/>
  <c r="AG981" i="1"/>
  <c r="AF981" i="1"/>
  <c r="AE981" i="1"/>
  <c r="AD981" i="1"/>
  <c r="AC981" i="1"/>
  <c r="BZ980" i="1"/>
  <c r="CA980" i="1" s="1"/>
  <c r="BY980" i="1"/>
  <c r="BX980" i="1"/>
  <c r="BW980" i="1"/>
  <c r="BV980" i="1"/>
  <c r="BU980" i="1"/>
  <c r="BT980" i="1"/>
  <c r="BS980" i="1"/>
  <c r="AH980" i="1"/>
  <c r="AG980" i="1"/>
  <c r="AF980" i="1"/>
  <c r="AE980" i="1"/>
  <c r="AD980" i="1"/>
  <c r="AC980" i="1"/>
  <c r="BZ979" i="1"/>
  <c r="CA979" i="1" s="1"/>
  <c r="BY979" i="1"/>
  <c r="BX979" i="1"/>
  <c r="BW979" i="1"/>
  <c r="BV979" i="1"/>
  <c r="BU979" i="1"/>
  <c r="BT979" i="1"/>
  <c r="BS979" i="1"/>
  <c r="AH979" i="1"/>
  <c r="AG979" i="1"/>
  <c r="AF979" i="1"/>
  <c r="AE979" i="1"/>
  <c r="AD979" i="1"/>
  <c r="AC979" i="1"/>
  <c r="BZ978" i="1"/>
  <c r="CA978" i="1" s="1"/>
  <c r="BY978" i="1"/>
  <c r="BX978" i="1"/>
  <c r="BW978" i="1"/>
  <c r="BV978" i="1"/>
  <c r="BU978" i="1"/>
  <c r="BT978" i="1"/>
  <c r="BS978" i="1"/>
  <c r="AH978" i="1"/>
  <c r="AG978" i="1"/>
  <c r="AF978" i="1"/>
  <c r="AE978" i="1"/>
  <c r="AD978" i="1"/>
  <c r="AC978" i="1"/>
  <c r="BZ977" i="1"/>
  <c r="CA977" i="1" s="1"/>
  <c r="BY977" i="1"/>
  <c r="BX977" i="1"/>
  <c r="BW977" i="1"/>
  <c r="BV977" i="1"/>
  <c r="BU977" i="1"/>
  <c r="BT977" i="1"/>
  <c r="BS977" i="1"/>
  <c r="AH977" i="1"/>
  <c r="AG977" i="1"/>
  <c r="AF977" i="1"/>
  <c r="AE977" i="1"/>
  <c r="AD977" i="1"/>
  <c r="AC977" i="1"/>
  <c r="BZ976" i="1"/>
  <c r="CA976" i="1" s="1"/>
  <c r="BY976" i="1"/>
  <c r="BX976" i="1"/>
  <c r="BW976" i="1"/>
  <c r="BV976" i="1"/>
  <c r="BU976" i="1"/>
  <c r="BT976" i="1"/>
  <c r="BS976" i="1"/>
  <c r="AH976" i="1"/>
  <c r="AG976" i="1"/>
  <c r="AF976" i="1"/>
  <c r="AE976" i="1"/>
  <c r="AD976" i="1"/>
  <c r="AC976" i="1"/>
  <c r="BZ975" i="1"/>
  <c r="CA975" i="1" s="1"/>
  <c r="BY975" i="1"/>
  <c r="BX975" i="1"/>
  <c r="BW975" i="1"/>
  <c r="BV975" i="1"/>
  <c r="BU975" i="1"/>
  <c r="BT975" i="1"/>
  <c r="BS975" i="1"/>
  <c r="AH975" i="1"/>
  <c r="AG975" i="1"/>
  <c r="AF975" i="1"/>
  <c r="AE975" i="1"/>
  <c r="AD975" i="1"/>
  <c r="AC975" i="1"/>
  <c r="BZ974" i="1"/>
  <c r="CA974" i="1" s="1"/>
  <c r="BY974" i="1"/>
  <c r="BX974" i="1"/>
  <c r="BW974" i="1"/>
  <c r="BV974" i="1"/>
  <c r="BU974" i="1"/>
  <c r="BT974" i="1"/>
  <c r="BS974" i="1"/>
  <c r="AH974" i="1"/>
  <c r="AG974" i="1"/>
  <c r="AF974" i="1"/>
  <c r="AE974" i="1"/>
  <c r="AD974" i="1"/>
  <c r="AC974" i="1"/>
  <c r="BZ973" i="1"/>
  <c r="CA973" i="1" s="1"/>
  <c r="BY973" i="1"/>
  <c r="BX973" i="1"/>
  <c r="BW973" i="1"/>
  <c r="BV973" i="1"/>
  <c r="BU973" i="1"/>
  <c r="BT973" i="1"/>
  <c r="BS973" i="1"/>
  <c r="AH973" i="1"/>
  <c r="AG973" i="1"/>
  <c r="AF973" i="1"/>
  <c r="AE973" i="1"/>
  <c r="AD973" i="1"/>
  <c r="AC973" i="1"/>
  <c r="BZ972" i="1"/>
  <c r="CA972" i="1" s="1"/>
  <c r="BY972" i="1"/>
  <c r="BX972" i="1"/>
  <c r="BW972" i="1"/>
  <c r="BV972" i="1"/>
  <c r="BU972" i="1"/>
  <c r="BT972" i="1"/>
  <c r="BS972" i="1"/>
  <c r="AH972" i="1"/>
  <c r="AG972" i="1"/>
  <c r="AF972" i="1"/>
  <c r="AE972" i="1"/>
  <c r="AD972" i="1"/>
  <c r="AC972" i="1"/>
  <c r="BZ971" i="1"/>
  <c r="CA971" i="1" s="1"/>
  <c r="CC971" i="1" s="1"/>
  <c r="BY971" i="1"/>
  <c r="BX971" i="1"/>
  <c r="BW971" i="1"/>
  <c r="BV971" i="1"/>
  <c r="BU971" i="1"/>
  <c r="BT971" i="1"/>
  <c r="BS971" i="1"/>
  <c r="AH971" i="1"/>
  <c r="AG971" i="1"/>
  <c r="AF971" i="1"/>
  <c r="AE971" i="1"/>
  <c r="AD971" i="1"/>
  <c r="AC971" i="1"/>
  <c r="BZ970" i="1"/>
  <c r="CA970" i="1" s="1"/>
  <c r="BY970" i="1"/>
  <c r="BX970" i="1"/>
  <c r="BW970" i="1"/>
  <c r="BV970" i="1"/>
  <c r="BU970" i="1"/>
  <c r="BT970" i="1"/>
  <c r="BS970" i="1"/>
  <c r="AH970" i="1"/>
  <c r="AG970" i="1"/>
  <c r="AF970" i="1"/>
  <c r="AE970" i="1"/>
  <c r="AD970" i="1"/>
  <c r="AC970" i="1"/>
  <c r="BZ969" i="1"/>
  <c r="CA969" i="1" s="1"/>
  <c r="BY969" i="1"/>
  <c r="BX969" i="1"/>
  <c r="BW969" i="1"/>
  <c r="BV969" i="1"/>
  <c r="BU969" i="1"/>
  <c r="BT969" i="1"/>
  <c r="BS969" i="1"/>
  <c r="AH969" i="1"/>
  <c r="AG969" i="1"/>
  <c r="AF969" i="1"/>
  <c r="AE969" i="1"/>
  <c r="AD969" i="1"/>
  <c r="AC969" i="1"/>
  <c r="BZ968" i="1"/>
  <c r="CA968" i="1" s="1"/>
  <c r="BY968" i="1"/>
  <c r="BX968" i="1"/>
  <c r="BW968" i="1"/>
  <c r="BV968" i="1"/>
  <c r="BU968" i="1"/>
  <c r="BT968" i="1"/>
  <c r="BS968" i="1"/>
  <c r="AH968" i="1"/>
  <c r="AG968" i="1"/>
  <c r="AF968" i="1"/>
  <c r="AE968" i="1"/>
  <c r="AD968" i="1"/>
  <c r="AC968" i="1"/>
  <c r="BZ967" i="1"/>
  <c r="CA967" i="1" s="1"/>
  <c r="BY967" i="1"/>
  <c r="BX967" i="1"/>
  <c r="BW967" i="1"/>
  <c r="BV967" i="1"/>
  <c r="BU967" i="1"/>
  <c r="BT967" i="1"/>
  <c r="BS967" i="1"/>
  <c r="AH967" i="1"/>
  <c r="AG967" i="1"/>
  <c r="AF967" i="1"/>
  <c r="AE967" i="1"/>
  <c r="AD967" i="1"/>
  <c r="AC967" i="1"/>
  <c r="BZ966" i="1"/>
  <c r="CA966" i="1" s="1"/>
  <c r="BY966" i="1"/>
  <c r="BX966" i="1"/>
  <c r="BW966" i="1"/>
  <c r="BV966" i="1"/>
  <c r="BU966" i="1"/>
  <c r="BT966" i="1"/>
  <c r="BS966" i="1"/>
  <c r="AH966" i="1"/>
  <c r="AG966" i="1"/>
  <c r="AF966" i="1"/>
  <c r="AE966" i="1"/>
  <c r="AD966" i="1"/>
  <c r="AC966" i="1"/>
  <c r="BZ965" i="1"/>
  <c r="CA965" i="1" s="1"/>
  <c r="BY965" i="1"/>
  <c r="BX965" i="1"/>
  <c r="BW965" i="1"/>
  <c r="BV965" i="1"/>
  <c r="BU965" i="1"/>
  <c r="BT965" i="1"/>
  <c r="BS965" i="1"/>
  <c r="AH965" i="1"/>
  <c r="AG965" i="1"/>
  <c r="AF965" i="1"/>
  <c r="AE965" i="1"/>
  <c r="AD965" i="1"/>
  <c r="AC965" i="1"/>
  <c r="BZ964" i="1"/>
  <c r="CA964" i="1" s="1"/>
  <c r="BY964" i="1"/>
  <c r="BX964" i="1"/>
  <c r="BW964" i="1"/>
  <c r="BV964" i="1"/>
  <c r="BU964" i="1"/>
  <c r="BT964" i="1"/>
  <c r="BS964" i="1"/>
  <c r="AH964" i="1"/>
  <c r="AG964" i="1"/>
  <c r="AF964" i="1"/>
  <c r="AE964" i="1"/>
  <c r="AD964" i="1"/>
  <c r="AC964" i="1"/>
  <c r="BZ963" i="1"/>
  <c r="CA963" i="1" s="1"/>
  <c r="BY963" i="1"/>
  <c r="BX963" i="1"/>
  <c r="BW963" i="1"/>
  <c r="BV963" i="1"/>
  <c r="BU963" i="1"/>
  <c r="BT963" i="1"/>
  <c r="BS963" i="1"/>
  <c r="AH963" i="1"/>
  <c r="AG963" i="1"/>
  <c r="AF963" i="1"/>
  <c r="AE963" i="1"/>
  <c r="AD963" i="1"/>
  <c r="AC963" i="1"/>
  <c r="CA962" i="1"/>
  <c r="BZ962" i="1"/>
  <c r="BY962" i="1"/>
  <c r="BX962" i="1"/>
  <c r="BW962" i="1"/>
  <c r="BV962" i="1"/>
  <c r="BU962" i="1"/>
  <c r="BT962" i="1"/>
  <c r="BS962" i="1"/>
  <c r="AH962" i="1"/>
  <c r="AG962" i="1"/>
  <c r="AF962" i="1"/>
  <c r="AE962" i="1"/>
  <c r="AD962" i="1"/>
  <c r="AC962" i="1"/>
  <c r="BZ961" i="1"/>
  <c r="CA961" i="1" s="1"/>
  <c r="BY961" i="1"/>
  <c r="BX961" i="1"/>
  <c r="BW961" i="1"/>
  <c r="BV961" i="1"/>
  <c r="BU961" i="1"/>
  <c r="BT961" i="1"/>
  <c r="BS961" i="1"/>
  <c r="AH961" i="1"/>
  <c r="AG961" i="1"/>
  <c r="AF961" i="1"/>
  <c r="AE961" i="1"/>
  <c r="AD961" i="1"/>
  <c r="AC961" i="1"/>
  <c r="BZ960" i="1"/>
  <c r="CA960" i="1" s="1"/>
  <c r="BY960" i="1"/>
  <c r="BX960" i="1"/>
  <c r="BW960" i="1"/>
  <c r="BV960" i="1"/>
  <c r="BU960" i="1"/>
  <c r="BT960" i="1"/>
  <c r="BS960" i="1"/>
  <c r="AH960" i="1"/>
  <c r="AG960" i="1"/>
  <c r="AF960" i="1"/>
  <c r="AE960" i="1"/>
  <c r="AD960" i="1"/>
  <c r="AC960" i="1"/>
  <c r="BZ959" i="1"/>
  <c r="CA959" i="1" s="1"/>
  <c r="BY959" i="1"/>
  <c r="BX959" i="1"/>
  <c r="BW959" i="1"/>
  <c r="BV959" i="1"/>
  <c r="BU959" i="1"/>
  <c r="BT959" i="1"/>
  <c r="BS959" i="1"/>
  <c r="AH959" i="1"/>
  <c r="AG959" i="1"/>
  <c r="AF959" i="1"/>
  <c r="AE959" i="1"/>
  <c r="AD959" i="1"/>
  <c r="AC959" i="1"/>
  <c r="BZ958" i="1"/>
  <c r="CA958" i="1" s="1"/>
  <c r="BY958" i="1"/>
  <c r="BX958" i="1"/>
  <c r="BW958" i="1"/>
  <c r="BV958" i="1"/>
  <c r="BU958" i="1"/>
  <c r="BT958" i="1"/>
  <c r="BS958" i="1"/>
  <c r="AH958" i="1"/>
  <c r="AG958" i="1"/>
  <c r="AF958" i="1"/>
  <c r="AE958" i="1"/>
  <c r="AD958" i="1"/>
  <c r="AC958" i="1"/>
  <c r="BZ957" i="1"/>
  <c r="CA957" i="1" s="1"/>
  <c r="BY957" i="1"/>
  <c r="BX957" i="1"/>
  <c r="BW957" i="1"/>
  <c r="BV957" i="1"/>
  <c r="BU957" i="1"/>
  <c r="BT957" i="1"/>
  <c r="BS957" i="1"/>
  <c r="AH957" i="1"/>
  <c r="AG957" i="1"/>
  <c r="AF957" i="1"/>
  <c r="AE957" i="1"/>
  <c r="AD957" i="1"/>
  <c r="AC957" i="1"/>
  <c r="BZ956" i="1"/>
  <c r="CA956" i="1" s="1"/>
  <c r="BY956" i="1"/>
  <c r="BX956" i="1"/>
  <c r="BW956" i="1"/>
  <c r="BV956" i="1"/>
  <c r="BU956" i="1"/>
  <c r="BT956" i="1"/>
  <c r="BS956" i="1"/>
  <c r="AH956" i="1"/>
  <c r="AG956" i="1"/>
  <c r="AF956" i="1"/>
  <c r="AE956" i="1"/>
  <c r="AD956" i="1"/>
  <c r="AC956" i="1"/>
  <c r="BZ955" i="1"/>
  <c r="CA955" i="1" s="1"/>
  <c r="BY955" i="1"/>
  <c r="BX955" i="1"/>
  <c r="BW955" i="1"/>
  <c r="BV955" i="1"/>
  <c r="BU955" i="1"/>
  <c r="BT955" i="1"/>
  <c r="BS955" i="1"/>
  <c r="AH955" i="1"/>
  <c r="AG955" i="1"/>
  <c r="AF955" i="1"/>
  <c r="AE955" i="1"/>
  <c r="AD955" i="1"/>
  <c r="AC955" i="1"/>
  <c r="BZ954" i="1"/>
  <c r="CA954" i="1" s="1"/>
  <c r="BY954" i="1"/>
  <c r="BX954" i="1"/>
  <c r="BW954" i="1"/>
  <c r="BV954" i="1"/>
  <c r="BU954" i="1"/>
  <c r="BT954" i="1"/>
  <c r="BS954" i="1"/>
  <c r="AH954" i="1"/>
  <c r="AG954" i="1"/>
  <c r="AF954" i="1"/>
  <c r="AE954" i="1"/>
  <c r="AD954" i="1"/>
  <c r="AC954" i="1"/>
  <c r="BZ953" i="1"/>
  <c r="CA953" i="1" s="1"/>
  <c r="BY953" i="1"/>
  <c r="BX953" i="1"/>
  <c r="BW953" i="1"/>
  <c r="BV953" i="1"/>
  <c r="BU953" i="1"/>
  <c r="BT953" i="1"/>
  <c r="BS953" i="1"/>
  <c r="AH953" i="1"/>
  <c r="AG953" i="1"/>
  <c r="AF953" i="1"/>
  <c r="AE953" i="1"/>
  <c r="AD953" i="1"/>
  <c r="AC953" i="1"/>
  <c r="BZ952" i="1"/>
  <c r="CA952" i="1" s="1"/>
  <c r="BY952" i="1"/>
  <c r="BX952" i="1"/>
  <c r="BW952" i="1"/>
  <c r="BV952" i="1"/>
  <c r="BU952" i="1"/>
  <c r="BT952" i="1"/>
  <c r="BS952" i="1"/>
  <c r="AH952" i="1"/>
  <c r="AG952" i="1"/>
  <c r="AF952" i="1"/>
  <c r="AE952" i="1"/>
  <c r="AD952" i="1"/>
  <c r="AC952" i="1"/>
  <c r="BZ951" i="1"/>
  <c r="CA951" i="1" s="1"/>
  <c r="BY951" i="1"/>
  <c r="BX951" i="1"/>
  <c r="BW951" i="1"/>
  <c r="BV951" i="1"/>
  <c r="BU951" i="1"/>
  <c r="BT951" i="1"/>
  <c r="BS951" i="1"/>
  <c r="AH951" i="1"/>
  <c r="AG951" i="1"/>
  <c r="AF951" i="1"/>
  <c r="AE951" i="1"/>
  <c r="AD951" i="1"/>
  <c r="AC951" i="1"/>
  <c r="BZ950" i="1"/>
  <c r="CA950" i="1" s="1"/>
  <c r="BY950" i="1"/>
  <c r="BX950" i="1"/>
  <c r="BW950" i="1"/>
  <c r="BV950" i="1"/>
  <c r="BU950" i="1"/>
  <c r="BT950" i="1"/>
  <c r="BS950" i="1"/>
  <c r="AH950" i="1"/>
  <c r="AG950" i="1"/>
  <c r="AF950" i="1"/>
  <c r="AE950" i="1"/>
  <c r="AD950" i="1"/>
  <c r="AC950" i="1"/>
  <c r="BZ949" i="1"/>
  <c r="CA949" i="1" s="1"/>
  <c r="BY949" i="1"/>
  <c r="BX949" i="1"/>
  <c r="BW949" i="1"/>
  <c r="BV949" i="1"/>
  <c r="BU949" i="1"/>
  <c r="BT949" i="1"/>
  <c r="BS949" i="1"/>
  <c r="AH949" i="1"/>
  <c r="AG949" i="1"/>
  <c r="AF949" i="1"/>
  <c r="AE949" i="1"/>
  <c r="AD949" i="1"/>
  <c r="AC949" i="1"/>
  <c r="BZ948" i="1"/>
  <c r="CA948" i="1" s="1"/>
  <c r="BY948" i="1"/>
  <c r="BX948" i="1"/>
  <c r="BW948" i="1"/>
  <c r="BV948" i="1"/>
  <c r="BU948" i="1"/>
  <c r="BT948" i="1"/>
  <c r="BS948" i="1"/>
  <c r="AH948" i="1"/>
  <c r="AG948" i="1"/>
  <c r="AF948" i="1"/>
  <c r="AE948" i="1"/>
  <c r="AD948" i="1"/>
  <c r="AC948" i="1"/>
  <c r="BZ947" i="1"/>
  <c r="CA947" i="1" s="1"/>
  <c r="BY947" i="1"/>
  <c r="BX947" i="1"/>
  <c r="BW947" i="1"/>
  <c r="BV947" i="1"/>
  <c r="BU947" i="1"/>
  <c r="BT947" i="1"/>
  <c r="BS947" i="1"/>
  <c r="AH947" i="1"/>
  <c r="AG947" i="1"/>
  <c r="AF947" i="1"/>
  <c r="AE947" i="1"/>
  <c r="AD947" i="1"/>
  <c r="AC947" i="1"/>
  <c r="BZ946" i="1"/>
  <c r="CA946" i="1" s="1"/>
  <c r="BY946" i="1"/>
  <c r="BX946" i="1"/>
  <c r="BW946" i="1"/>
  <c r="BV946" i="1"/>
  <c r="BU946" i="1"/>
  <c r="BT946" i="1"/>
  <c r="BS946" i="1"/>
  <c r="AH946" i="1"/>
  <c r="AG946" i="1"/>
  <c r="AF946" i="1"/>
  <c r="AE946" i="1"/>
  <c r="AD946" i="1"/>
  <c r="AC946" i="1"/>
  <c r="BZ945" i="1"/>
  <c r="CA945" i="1" s="1"/>
  <c r="BY945" i="1"/>
  <c r="BX945" i="1"/>
  <c r="BW945" i="1"/>
  <c r="BV945" i="1"/>
  <c r="BU945" i="1"/>
  <c r="BT945" i="1"/>
  <c r="BS945" i="1"/>
  <c r="AH945" i="1"/>
  <c r="AG945" i="1"/>
  <c r="AF945" i="1"/>
  <c r="AE945" i="1"/>
  <c r="AD945" i="1"/>
  <c r="AC945" i="1"/>
  <c r="BZ944" i="1"/>
  <c r="CA944" i="1" s="1"/>
  <c r="BY944" i="1"/>
  <c r="BX944" i="1"/>
  <c r="BW944" i="1"/>
  <c r="BV944" i="1"/>
  <c r="BU944" i="1"/>
  <c r="BT944" i="1"/>
  <c r="BS944" i="1"/>
  <c r="AH944" i="1"/>
  <c r="AG944" i="1"/>
  <c r="AF944" i="1"/>
  <c r="AE944" i="1"/>
  <c r="AD944" i="1"/>
  <c r="AC944" i="1"/>
  <c r="BZ943" i="1"/>
  <c r="CA943" i="1" s="1"/>
  <c r="BY943" i="1"/>
  <c r="BX943" i="1"/>
  <c r="BW943" i="1"/>
  <c r="BV943" i="1"/>
  <c r="BU943" i="1"/>
  <c r="BT943" i="1"/>
  <c r="BS943" i="1"/>
  <c r="AH943" i="1"/>
  <c r="AG943" i="1"/>
  <c r="AF943" i="1"/>
  <c r="AE943" i="1"/>
  <c r="AD943" i="1"/>
  <c r="AC943" i="1"/>
  <c r="BZ942" i="1"/>
  <c r="CA942" i="1" s="1"/>
  <c r="BY942" i="1"/>
  <c r="BX942" i="1"/>
  <c r="BW942" i="1"/>
  <c r="BV942" i="1"/>
  <c r="BU942" i="1"/>
  <c r="BT942" i="1"/>
  <c r="BS942" i="1"/>
  <c r="AH942" i="1"/>
  <c r="AG942" i="1"/>
  <c r="AF942" i="1"/>
  <c r="AE942" i="1"/>
  <c r="AD942" i="1"/>
  <c r="AC942" i="1"/>
  <c r="BZ941" i="1"/>
  <c r="CA941" i="1" s="1"/>
  <c r="BY941" i="1"/>
  <c r="BX941" i="1"/>
  <c r="BW941" i="1"/>
  <c r="BV941" i="1"/>
  <c r="BU941" i="1"/>
  <c r="BT941" i="1"/>
  <c r="BS941" i="1"/>
  <c r="AH941" i="1"/>
  <c r="AG941" i="1"/>
  <c r="AF941" i="1"/>
  <c r="AE941" i="1"/>
  <c r="AD941" i="1"/>
  <c r="AC941" i="1"/>
  <c r="BZ940" i="1"/>
  <c r="CA940" i="1" s="1"/>
  <c r="BY940" i="1"/>
  <c r="BX940" i="1"/>
  <c r="BW940" i="1"/>
  <c r="BV940" i="1"/>
  <c r="BU940" i="1"/>
  <c r="BT940" i="1"/>
  <c r="BS940" i="1"/>
  <c r="AH940" i="1"/>
  <c r="AG940" i="1"/>
  <c r="AF940" i="1"/>
  <c r="AE940" i="1"/>
  <c r="AD940" i="1"/>
  <c r="AC940" i="1"/>
  <c r="BZ939" i="1"/>
  <c r="CA939" i="1" s="1"/>
  <c r="BY939" i="1"/>
  <c r="BX939" i="1"/>
  <c r="BW939" i="1"/>
  <c r="BV939" i="1"/>
  <c r="BU939" i="1"/>
  <c r="BT939" i="1"/>
  <c r="BS939" i="1"/>
  <c r="AH939" i="1"/>
  <c r="AG939" i="1"/>
  <c r="AF939" i="1"/>
  <c r="AE939" i="1"/>
  <c r="AD939" i="1"/>
  <c r="AC939" i="1"/>
  <c r="BZ938" i="1"/>
  <c r="CA938" i="1" s="1"/>
  <c r="BY938" i="1"/>
  <c r="BX938" i="1"/>
  <c r="BW938" i="1"/>
  <c r="BV938" i="1"/>
  <c r="BU938" i="1"/>
  <c r="BT938" i="1"/>
  <c r="BS938" i="1"/>
  <c r="AH938" i="1"/>
  <c r="AG938" i="1"/>
  <c r="AF938" i="1"/>
  <c r="AE938" i="1"/>
  <c r="AD938" i="1"/>
  <c r="AC938" i="1"/>
  <c r="BZ937" i="1"/>
  <c r="CA937" i="1" s="1"/>
  <c r="BY937" i="1"/>
  <c r="BX937" i="1"/>
  <c r="BW937" i="1"/>
  <c r="BV937" i="1"/>
  <c r="BU937" i="1"/>
  <c r="BT937" i="1"/>
  <c r="BS937" i="1"/>
  <c r="AH937" i="1"/>
  <c r="AG937" i="1"/>
  <c r="AF937" i="1"/>
  <c r="AE937" i="1"/>
  <c r="AD937" i="1"/>
  <c r="AC937" i="1"/>
  <c r="BZ936" i="1"/>
  <c r="CA936" i="1" s="1"/>
  <c r="BY936" i="1"/>
  <c r="BX936" i="1"/>
  <c r="BW936" i="1"/>
  <c r="BV936" i="1"/>
  <c r="BU936" i="1"/>
  <c r="BT936" i="1"/>
  <c r="BS936" i="1"/>
  <c r="AH936" i="1"/>
  <c r="AG936" i="1"/>
  <c r="AF936" i="1"/>
  <c r="AE936" i="1"/>
  <c r="AD936" i="1"/>
  <c r="AC936" i="1"/>
  <c r="BZ935" i="1"/>
  <c r="CA935" i="1" s="1"/>
  <c r="BY935" i="1"/>
  <c r="BX935" i="1"/>
  <c r="BW935" i="1"/>
  <c r="BV935" i="1"/>
  <c r="BU935" i="1"/>
  <c r="BT935" i="1"/>
  <c r="BS935" i="1"/>
  <c r="AH935" i="1"/>
  <c r="AG935" i="1"/>
  <c r="AF935" i="1"/>
  <c r="AE935" i="1"/>
  <c r="AD935" i="1"/>
  <c r="AC935" i="1"/>
  <c r="BZ934" i="1"/>
  <c r="CA934" i="1" s="1"/>
  <c r="BY934" i="1"/>
  <c r="BX934" i="1"/>
  <c r="BW934" i="1"/>
  <c r="BV934" i="1"/>
  <c r="BU934" i="1"/>
  <c r="BT934" i="1"/>
  <c r="BS934" i="1"/>
  <c r="AH934" i="1"/>
  <c r="AG934" i="1"/>
  <c r="AF934" i="1"/>
  <c r="AE934" i="1"/>
  <c r="AD934" i="1"/>
  <c r="AC934" i="1"/>
  <c r="BZ933" i="1"/>
  <c r="CA933" i="1" s="1"/>
  <c r="BY933" i="1"/>
  <c r="BX933" i="1"/>
  <c r="BW933" i="1"/>
  <c r="BV933" i="1"/>
  <c r="BU933" i="1"/>
  <c r="BT933" i="1"/>
  <c r="BS933" i="1"/>
  <c r="AH933" i="1"/>
  <c r="AG933" i="1"/>
  <c r="AF933" i="1"/>
  <c r="AE933" i="1"/>
  <c r="AD933" i="1"/>
  <c r="AC933" i="1"/>
  <c r="BZ932" i="1"/>
  <c r="CA932" i="1" s="1"/>
  <c r="BY932" i="1"/>
  <c r="BX932" i="1"/>
  <c r="BW932" i="1"/>
  <c r="BV932" i="1"/>
  <c r="BU932" i="1"/>
  <c r="BT932" i="1"/>
  <c r="BS932" i="1"/>
  <c r="AH932" i="1"/>
  <c r="AG932" i="1"/>
  <c r="AF932" i="1"/>
  <c r="AE932" i="1"/>
  <c r="AD932" i="1"/>
  <c r="AC932" i="1"/>
  <c r="BZ931" i="1"/>
  <c r="CA931" i="1" s="1"/>
  <c r="BY931" i="1"/>
  <c r="BX931" i="1"/>
  <c r="BW931" i="1"/>
  <c r="BV931" i="1"/>
  <c r="BU931" i="1"/>
  <c r="BT931" i="1"/>
  <c r="BS931" i="1"/>
  <c r="AH931" i="1"/>
  <c r="AG931" i="1"/>
  <c r="AF931" i="1"/>
  <c r="AE931" i="1"/>
  <c r="AD931" i="1"/>
  <c r="AC931" i="1"/>
  <c r="BZ930" i="1"/>
  <c r="CA930" i="1" s="1"/>
  <c r="BY930" i="1"/>
  <c r="BX930" i="1"/>
  <c r="BW930" i="1"/>
  <c r="BV930" i="1"/>
  <c r="BU930" i="1"/>
  <c r="BT930" i="1"/>
  <c r="BS930" i="1"/>
  <c r="AH930" i="1"/>
  <c r="AG930" i="1"/>
  <c r="AF930" i="1"/>
  <c r="AE930" i="1"/>
  <c r="AD930" i="1"/>
  <c r="AC930" i="1"/>
  <c r="BZ929" i="1"/>
  <c r="CA929" i="1" s="1"/>
  <c r="BY929" i="1"/>
  <c r="BX929" i="1"/>
  <c r="BW929" i="1"/>
  <c r="BV929" i="1"/>
  <c r="BU929" i="1"/>
  <c r="BT929" i="1"/>
  <c r="BS929" i="1"/>
  <c r="AH929" i="1"/>
  <c r="AG929" i="1"/>
  <c r="AF929" i="1"/>
  <c r="AE929" i="1"/>
  <c r="AD929" i="1"/>
  <c r="AC929" i="1"/>
  <c r="BZ928" i="1"/>
  <c r="CA928" i="1" s="1"/>
  <c r="BY928" i="1"/>
  <c r="BX928" i="1"/>
  <c r="BW928" i="1"/>
  <c r="BV928" i="1"/>
  <c r="BU928" i="1"/>
  <c r="BT928" i="1"/>
  <c r="BS928" i="1"/>
  <c r="AH928" i="1"/>
  <c r="AG928" i="1"/>
  <c r="AF928" i="1"/>
  <c r="AE928" i="1"/>
  <c r="AD928" i="1"/>
  <c r="AC928" i="1"/>
  <c r="BZ927" i="1"/>
  <c r="CA927" i="1" s="1"/>
  <c r="BY927" i="1"/>
  <c r="BX927" i="1"/>
  <c r="BW927" i="1"/>
  <c r="BV927" i="1"/>
  <c r="BU927" i="1"/>
  <c r="BT927" i="1"/>
  <c r="BS927" i="1"/>
  <c r="AH927" i="1"/>
  <c r="AG927" i="1"/>
  <c r="AF927" i="1"/>
  <c r="AE927" i="1"/>
  <c r="AD927" i="1"/>
  <c r="AC927" i="1"/>
  <c r="BZ926" i="1"/>
  <c r="CA926" i="1" s="1"/>
  <c r="BY926" i="1"/>
  <c r="BX926" i="1"/>
  <c r="BW926" i="1"/>
  <c r="BV926" i="1"/>
  <c r="BU926" i="1"/>
  <c r="BT926" i="1"/>
  <c r="BS926" i="1"/>
  <c r="AH926" i="1"/>
  <c r="AG926" i="1"/>
  <c r="AF926" i="1"/>
  <c r="AE926" i="1"/>
  <c r="AD926" i="1"/>
  <c r="AC926" i="1"/>
  <c r="BZ925" i="1"/>
  <c r="CA925" i="1" s="1"/>
  <c r="BY925" i="1"/>
  <c r="BX925" i="1"/>
  <c r="BW925" i="1"/>
  <c r="BV925" i="1"/>
  <c r="BU925" i="1"/>
  <c r="BT925" i="1"/>
  <c r="BS925" i="1"/>
  <c r="AH925" i="1"/>
  <c r="AG925" i="1"/>
  <c r="AF925" i="1"/>
  <c r="AE925" i="1"/>
  <c r="AD925" i="1"/>
  <c r="AC925" i="1"/>
  <c r="BZ924" i="1"/>
  <c r="CA924" i="1" s="1"/>
  <c r="BY924" i="1"/>
  <c r="BX924" i="1"/>
  <c r="BW924" i="1"/>
  <c r="BV924" i="1"/>
  <c r="BU924" i="1"/>
  <c r="BT924" i="1"/>
  <c r="BS924" i="1"/>
  <c r="AH924" i="1"/>
  <c r="AG924" i="1"/>
  <c r="AF924" i="1"/>
  <c r="AE924" i="1"/>
  <c r="AD924" i="1"/>
  <c r="AC924" i="1"/>
  <c r="BZ923" i="1"/>
  <c r="CA923" i="1" s="1"/>
  <c r="BY923" i="1"/>
  <c r="BX923" i="1"/>
  <c r="BW923" i="1"/>
  <c r="BV923" i="1"/>
  <c r="BU923" i="1"/>
  <c r="BT923" i="1"/>
  <c r="BS923" i="1"/>
  <c r="AH923" i="1"/>
  <c r="AG923" i="1"/>
  <c r="AF923" i="1"/>
  <c r="AE923" i="1"/>
  <c r="AD923" i="1"/>
  <c r="AC923" i="1"/>
  <c r="BZ922" i="1"/>
  <c r="CA922" i="1" s="1"/>
  <c r="BY922" i="1"/>
  <c r="BX922" i="1"/>
  <c r="BW922" i="1"/>
  <c r="BV922" i="1"/>
  <c r="BU922" i="1"/>
  <c r="BT922" i="1"/>
  <c r="BS922" i="1"/>
  <c r="AH922" i="1"/>
  <c r="AG922" i="1"/>
  <c r="AF922" i="1"/>
  <c r="AE922" i="1"/>
  <c r="AD922" i="1"/>
  <c r="AC922" i="1"/>
  <c r="BZ921" i="1"/>
  <c r="CA921" i="1" s="1"/>
  <c r="BY921" i="1"/>
  <c r="BX921" i="1"/>
  <c r="BW921" i="1"/>
  <c r="BV921" i="1"/>
  <c r="BU921" i="1"/>
  <c r="BT921" i="1"/>
  <c r="BS921" i="1"/>
  <c r="AH921" i="1"/>
  <c r="AG921" i="1"/>
  <c r="AF921" i="1"/>
  <c r="AE921" i="1"/>
  <c r="AD921" i="1"/>
  <c r="AC921" i="1"/>
  <c r="BZ920" i="1"/>
  <c r="CA920" i="1" s="1"/>
  <c r="BY920" i="1"/>
  <c r="BX920" i="1"/>
  <c r="BW920" i="1"/>
  <c r="BV920" i="1"/>
  <c r="BU920" i="1"/>
  <c r="BT920" i="1"/>
  <c r="BS920" i="1"/>
  <c r="AH920" i="1"/>
  <c r="AG920" i="1"/>
  <c r="AF920" i="1"/>
  <c r="AE920" i="1"/>
  <c r="AD920" i="1"/>
  <c r="AC920" i="1"/>
  <c r="BZ919" i="1"/>
  <c r="CA919" i="1" s="1"/>
  <c r="BY919" i="1"/>
  <c r="BX919" i="1"/>
  <c r="BW919" i="1"/>
  <c r="BV919" i="1"/>
  <c r="BU919" i="1"/>
  <c r="BT919" i="1"/>
  <c r="BS919" i="1"/>
  <c r="AH919" i="1"/>
  <c r="AG919" i="1"/>
  <c r="AF919" i="1"/>
  <c r="AE919" i="1"/>
  <c r="AD919" i="1"/>
  <c r="AC919" i="1"/>
  <c r="BZ918" i="1"/>
  <c r="CA918" i="1" s="1"/>
  <c r="BY918" i="1"/>
  <c r="BX918" i="1"/>
  <c r="BW918" i="1"/>
  <c r="BV918" i="1"/>
  <c r="BU918" i="1"/>
  <c r="BT918" i="1"/>
  <c r="BS918" i="1"/>
  <c r="AH918" i="1"/>
  <c r="AG918" i="1"/>
  <c r="AF918" i="1"/>
  <c r="AE918" i="1"/>
  <c r="AD918" i="1"/>
  <c r="AC918" i="1"/>
  <c r="BZ917" i="1"/>
  <c r="CA917" i="1" s="1"/>
  <c r="BY917" i="1"/>
  <c r="BX917" i="1"/>
  <c r="BW917" i="1"/>
  <c r="BV917" i="1"/>
  <c r="BU917" i="1"/>
  <c r="BT917" i="1"/>
  <c r="BS917" i="1"/>
  <c r="AH917" i="1"/>
  <c r="AG917" i="1"/>
  <c r="AF917" i="1"/>
  <c r="AE917" i="1"/>
  <c r="AD917" i="1"/>
  <c r="AC917" i="1"/>
  <c r="BZ916" i="1"/>
  <c r="CA916" i="1" s="1"/>
  <c r="BY916" i="1"/>
  <c r="BX916" i="1"/>
  <c r="BW916" i="1"/>
  <c r="BV916" i="1"/>
  <c r="BU916" i="1"/>
  <c r="BT916" i="1"/>
  <c r="BS916" i="1"/>
  <c r="AH916" i="1"/>
  <c r="AG916" i="1"/>
  <c r="AF916" i="1"/>
  <c r="AE916" i="1"/>
  <c r="AD916" i="1"/>
  <c r="AC916" i="1"/>
  <c r="BZ915" i="1"/>
  <c r="CA915" i="1" s="1"/>
  <c r="BY915" i="1"/>
  <c r="BX915" i="1"/>
  <c r="BW915" i="1"/>
  <c r="BV915" i="1"/>
  <c r="BU915" i="1"/>
  <c r="BT915" i="1"/>
  <c r="BS915" i="1"/>
  <c r="AH915" i="1"/>
  <c r="AG915" i="1"/>
  <c r="AF915" i="1"/>
  <c r="AE915" i="1"/>
  <c r="AD915" i="1"/>
  <c r="AC915" i="1"/>
  <c r="BZ914" i="1"/>
  <c r="CA914" i="1" s="1"/>
  <c r="BY914" i="1"/>
  <c r="BX914" i="1"/>
  <c r="BW914" i="1"/>
  <c r="BV914" i="1"/>
  <c r="BU914" i="1"/>
  <c r="BT914" i="1"/>
  <c r="BS914" i="1"/>
  <c r="AH914" i="1"/>
  <c r="AG914" i="1"/>
  <c r="AF914" i="1"/>
  <c r="AE914" i="1"/>
  <c r="AD914" i="1"/>
  <c r="AC914" i="1"/>
  <c r="BZ913" i="1"/>
  <c r="CA913" i="1" s="1"/>
  <c r="BY913" i="1"/>
  <c r="BX913" i="1"/>
  <c r="BW913" i="1"/>
  <c r="BV913" i="1"/>
  <c r="BU913" i="1"/>
  <c r="BT913" i="1"/>
  <c r="BS913" i="1"/>
  <c r="AH913" i="1"/>
  <c r="AG913" i="1"/>
  <c r="AF913" i="1"/>
  <c r="AE913" i="1"/>
  <c r="AD913" i="1"/>
  <c r="AC913" i="1"/>
  <c r="BZ912" i="1"/>
  <c r="CA912" i="1" s="1"/>
  <c r="BY912" i="1"/>
  <c r="BX912" i="1"/>
  <c r="BW912" i="1"/>
  <c r="BV912" i="1"/>
  <c r="BU912" i="1"/>
  <c r="BT912" i="1"/>
  <c r="BS912" i="1"/>
  <c r="AH912" i="1"/>
  <c r="AG912" i="1"/>
  <c r="AF912" i="1"/>
  <c r="AE912" i="1"/>
  <c r="AD912" i="1"/>
  <c r="AC912" i="1"/>
  <c r="BZ911" i="1"/>
  <c r="CA911" i="1" s="1"/>
  <c r="BY911" i="1"/>
  <c r="BX911" i="1"/>
  <c r="BW911" i="1"/>
  <c r="BV911" i="1"/>
  <c r="BU911" i="1"/>
  <c r="BT911" i="1"/>
  <c r="BS911" i="1"/>
  <c r="AH911" i="1"/>
  <c r="AG911" i="1"/>
  <c r="AF911" i="1"/>
  <c r="AE911" i="1"/>
  <c r="AD911" i="1"/>
  <c r="AC911" i="1"/>
  <c r="BZ910" i="1"/>
  <c r="CA910" i="1" s="1"/>
  <c r="BY910" i="1"/>
  <c r="BX910" i="1"/>
  <c r="BW910" i="1"/>
  <c r="BV910" i="1"/>
  <c r="BU910" i="1"/>
  <c r="BT910" i="1"/>
  <c r="BS910" i="1"/>
  <c r="AH910" i="1"/>
  <c r="AG910" i="1"/>
  <c r="AF910" i="1"/>
  <c r="AE910" i="1"/>
  <c r="AD910" i="1"/>
  <c r="AC910" i="1"/>
  <c r="BZ909" i="1"/>
  <c r="CA909" i="1" s="1"/>
  <c r="BY909" i="1"/>
  <c r="BX909" i="1"/>
  <c r="BW909" i="1"/>
  <c r="BV909" i="1"/>
  <c r="BU909" i="1"/>
  <c r="BT909" i="1"/>
  <c r="BS909" i="1"/>
  <c r="AH909" i="1"/>
  <c r="AG909" i="1"/>
  <c r="AF909" i="1"/>
  <c r="AE909" i="1"/>
  <c r="AD909" i="1"/>
  <c r="AC909" i="1"/>
  <c r="BZ908" i="1"/>
  <c r="CA908" i="1" s="1"/>
  <c r="BY908" i="1"/>
  <c r="BX908" i="1"/>
  <c r="BW908" i="1"/>
  <c r="BV908" i="1"/>
  <c r="BU908" i="1"/>
  <c r="BT908" i="1"/>
  <c r="BS908" i="1"/>
  <c r="AH908" i="1"/>
  <c r="AG908" i="1"/>
  <c r="AF908" i="1"/>
  <c r="AE908" i="1"/>
  <c r="AD908" i="1"/>
  <c r="AC908" i="1"/>
  <c r="BZ907" i="1"/>
  <c r="CA907" i="1" s="1"/>
  <c r="BY907" i="1"/>
  <c r="BX907" i="1"/>
  <c r="BW907" i="1"/>
  <c r="BV907" i="1"/>
  <c r="BU907" i="1"/>
  <c r="BT907" i="1"/>
  <c r="BS907" i="1"/>
  <c r="AH907" i="1"/>
  <c r="AG907" i="1"/>
  <c r="AF907" i="1"/>
  <c r="AE907" i="1"/>
  <c r="AD907" i="1"/>
  <c r="AC907" i="1"/>
  <c r="BZ906" i="1"/>
  <c r="CA906" i="1" s="1"/>
  <c r="BY906" i="1"/>
  <c r="BX906" i="1"/>
  <c r="BW906" i="1"/>
  <c r="BV906" i="1"/>
  <c r="BU906" i="1"/>
  <c r="BT906" i="1"/>
  <c r="BS906" i="1"/>
  <c r="AH906" i="1"/>
  <c r="AG906" i="1"/>
  <c r="AF906" i="1"/>
  <c r="AE906" i="1"/>
  <c r="AD906" i="1"/>
  <c r="AC906" i="1"/>
  <c r="BZ905" i="1"/>
  <c r="CA905" i="1" s="1"/>
  <c r="BY905" i="1"/>
  <c r="BX905" i="1"/>
  <c r="BW905" i="1"/>
  <c r="BV905" i="1"/>
  <c r="BU905" i="1"/>
  <c r="BT905" i="1"/>
  <c r="BS905" i="1"/>
  <c r="AH905" i="1"/>
  <c r="AG905" i="1"/>
  <c r="AF905" i="1"/>
  <c r="AE905" i="1"/>
  <c r="AD905" i="1"/>
  <c r="AC905" i="1"/>
  <c r="BZ904" i="1"/>
  <c r="CA904" i="1" s="1"/>
  <c r="BY904" i="1"/>
  <c r="BX904" i="1"/>
  <c r="BW904" i="1"/>
  <c r="BV904" i="1"/>
  <c r="BU904" i="1"/>
  <c r="BT904" i="1"/>
  <c r="BS904" i="1"/>
  <c r="AH904" i="1"/>
  <c r="AG904" i="1"/>
  <c r="AF904" i="1"/>
  <c r="AE904" i="1"/>
  <c r="AD904" i="1"/>
  <c r="AC904" i="1"/>
  <c r="BZ903" i="1"/>
  <c r="CA903" i="1" s="1"/>
  <c r="BY903" i="1"/>
  <c r="BX903" i="1"/>
  <c r="BW903" i="1"/>
  <c r="BV903" i="1"/>
  <c r="BU903" i="1"/>
  <c r="BT903" i="1"/>
  <c r="BS903" i="1"/>
  <c r="AH903" i="1"/>
  <c r="AG903" i="1"/>
  <c r="AF903" i="1"/>
  <c r="AE903" i="1"/>
  <c r="AD903" i="1"/>
  <c r="AC903" i="1"/>
  <c r="BZ902" i="1"/>
  <c r="CA902" i="1" s="1"/>
  <c r="BY902" i="1"/>
  <c r="BX902" i="1"/>
  <c r="BW902" i="1"/>
  <c r="BV902" i="1"/>
  <c r="BU902" i="1"/>
  <c r="BT902" i="1"/>
  <c r="BS902" i="1"/>
  <c r="AH902" i="1"/>
  <c r="AG902" i="1"/>
  <c r="AF902" i="1"/>
  <c r="AE902" i="1"/>
  <c r="AD902" i="1"/>
  <c r="AC902" i="1"/>
  <c r="BZ901" i="1"/>
  <c r="CA901" i="1" s="1"/>
  <c r="BY901" i="1"/>
  <c r="BX901" i="1"/>
  <c r="BW901" i="1"/>
  <c r="BV901" i="1"/>
  <c r="BU901" i="1"/>
  <c r="BT901" i="1"/>
  <c r="BS901" i="1"/>
  <c r="AH901" i="1"/>
  <c r="AG901" i="1"/>
  <c r="AF901" i="1"/>
  <c r="AE901" i="1"/>
  <c r="AD901" i="1"/>
  <c r="AC901" i="1"/>
  <c r="BZ900" i="1"/>
  <c r="CA900" i="1" s="1"/>
  <c r="BY900" i="1"/>
  <c r="BX900" i="1"/>
  <c r="BW900" i="1"/>
  <c r="BV900" i="1"/>
  <c r="BU900" i="1"/>
  <c r="BT900" i="1"/>
  <c r="BS900" i="1"/>
  <c r="AH900" i="1"/>
  <c r="AG900" i="1"/>
  <c r="AF900" i="1"/>
  <c r="AE900" i="1"/>
  <c r="AD900" i="1"/>
  <c r="AC900" i="1"/>
  <c r="BZ899" i="1"/>
  <c r="CA899" i="1" s="1"/>
  <c r="BY899" i="1"/>
  <c r="BX899" i="1"/>
  <c r="BW899" i="1"/>
  <c r="BV899" i="1"/>
  <c r="BU899" i="1"/>
  <c r="BT899" i="1"/>
  <c r="BS899" i="1"/>
  <c r="AH899" i="1"/>
  <c r="AG899" i="1"/>
  <c r="AF899" i="1"/>
  <c r="AE899" i="1"/>
  <c r="AD899" i="1"/>
  <c r="AC899" i="1"/>
  <c r="BZ898" i="1"/>
  <c r="CA898" i="1" s="1"/>
  <c r="BY898" i="1"/>
  <c r="BX898" i="1"/>
  <c r="BW898" i="1"/>
  <c r="BV898" i="1"/>
  <c r="BU898" i="1"/>
  <c r="BT898" i="1"/>
  <c r="BS898" i="1"/>
  <c r="AH898" i="1"/>
  <c r="AG898" i="1"/>
  <c r="AF898" i="1"/>
  <c r="AE898" i="1"/>
  <c r="AD898" i="1"/>
  <c r="AC898" i="1"/>
  <c r="BZ897" i="1"/>
  <c r="CA897" i="1" s="1"/>
  <c r="BY897" i="1"/>
  <c r="BX897" i="1"/>
  <c r="BW897" i="1"/>
  <c r="BV897" i="1"/>
  <c r="BU897" i="1"/>
  <c r="BT897" i="1"/>
  <c r="BS897" i="1"/>
  <c r="AH897" i="1"/>
  <c r="AG897" i="1"/>
  <c r="AF897" i="1"/>
  <c r="AE897" i="1"/>
  <c r="AD897" i="1"/>
  <c r="AC897" i="1"/>
  <c r="BZ896" i="1"/>
  <c r="CA896" i="1" s="1"/>
  <c r="BY896" i="1"/>
  <c r="BX896" i="1"/>
  <c r="BW896" i="1"/>
  <c r="BV896" i="1"/>
  <c r="BU896" i="1"/>
  <c r="BT896" i="1"/>
  <c r="BS896" i="1"/>
  <c r="AH896" i="1"/>
  <c r="AG896" i="1"/>
  <c r="AF896" i="1"/>
  <c r="AE896" i="1"/>
  <c r="AD896" i="1"/>
  <c r="AC896" i="1"/>
  <c r="BZ895" i="1"/>
  <c r="CA895" i="1" s="1"/>
  <c r="BY895" i="1"/>
  <c r="BX895" i="1"/>
  <c r="BW895" i="1"/>
  <c r="BV895" i="1"/>
  <c r="BU895" i="1"/>
  <c r="BT895" i="1"/>
  <c r="BS895" i="1"/>
  <c r="AH895" i="1"/>
  <c r="AG895" i="1"/>
  <c r="AF895" i="1"/>
  <c r="AE895" i="1"/>
  <c r="AD895" i="1"/>
  <c r="AC895" i="1"/>
  <c r="BZ894" i="1"/>
  <c r="CA894" i="1" s="1"/>
  <c r="BY894" i="1"/>
  <c r="BX894" i="1"/>
  <c r="BW894" i="1"/>
  <c r="BV894" i="1"/>
  <c r="BU894" i="1"/>
  <c r="BT894" i="1"/>
  <c r="BS894" i="1"/>
  <c r="AH894" i="1"/>
  <c r="AG894" i="1"/>
  <c r="AF894" i="1"/>
  <c r="AE894" i="1"/>
  <c r="AD894" i="1"/>
  <c r="AC894" i="1"/>
  <c r="BZ893" i="1"/>
  <c r="CA893" i="1" s="1"/>
  <c r="BY893" i="1"/>
  <c r="BX893" i="1"/>
  <c r="BW893" i="1"/>
  <c r="BV893" i="1"/>
  <c r="BU893" i="1"/>
  <c r="BT893" i="1"/>
  <c r="BS893" i="1"/>
  <c r="AH893" i="1"/>
  <c r="AG893" i="1"/>
  <c r="AF893" i="1"/>
  <c r="AE893" i="1"/>
  <c r="AD893" i="1"/>
  <c r="AC893" i="1"/>
  <c r="BZ892" i="1"/>
  <c r="CA892" i="1" s="1"/>
  <c r="BY892" i="1"/>
  <c r="BX892" i="1"/>
  <c r="BW892" i="1"/>
  <c r="BV892" i="1"/>
  <c r="BU892" i="1"/>
  <c r="BT892" i="1"/>
  <c r="BS892" i="1"/>
  <c r="AH892" i="1"/>
  <c r="AG892" i="1"/>
  <c r="AF892" i="1"/>
  <c r="AE892" i="1"/>
  <c r="AD892" i="1"/>
  <c r="AC892" i="1"/>
  <c r="BZ891" i="1"/>
  <c r="CA891" i="1" s="1"/>
  <c r="BY891" i="1"/>
  <c r="BX891" i="1"/>
  <c r="BW891" i="1"/>
  <c r="BV891" i="1"/>
  <c r="BU891" i="1"/>
  <c r="BT891" i="1"/>
  <c r="BS891" i="1"/>
  <c r="AH891" i="1"/>
  <c r="AG891" i="1"/>
  <c r="AF891" i="1"/>
  <c r="AE891" i="1"/>
  <c r="AD891" i="1"/>
  <c r="AC891" i="1"/>
  <c r="BZ890" i="1"/>
  <c r="CA890" i="1" s="1"/>
  <c r="BY890" i="1"/>
  <c r="BX890" i="1"/>
  <c r="BW890" i="1"/>
  <c r="BV890" i="1"/>
  <c r="BU890" i="1"/>
  <c r="BT890" i="1"/>
  <c r="BS890" i="1"/>
  <c r="AH890" i="1"/>
  <c r="AG890" i="1"/>
  <c r="AF890" i="1"/>
  <c r="AE890" i="1"/>
  <c r="AD890" i="1"/>
  <c r="AC890" i="1"/>
  <c r="BZ889" i="1"/>
  <c r="CA889" i="1" s="1"/>
  <c r="BY889" i="1"/>
  <c r="BX889" i="1"/>
  <c r="BW889" i="1"/>
  <c r="BV889" i="1"/>
  <c r="BU889" i="1"/>
  <c r="BT889" i="1"/>
  <c r="BS889" i="1"/>
  <c r="AH889" i="1"/>
  <c r="AG889" i="1"/>
  <c r="AF889" i="1"/>
  <c r="AE889" i="1"/>
  <c r="AD889" i="1"/>
  <c r="AC889" i="1"/>
  <c r="BZ888" i="1"/>
  <c r="CA888" i="1" s="1"/>
  <c r="BY888" i="1"/>
  <c r="BX888" i="1"/>
  <c r="BW888" i="1"/>
  <c r="BV888" i="1"/>
  <c r="BU888" i="1"/>
  <c r="BT888" i="1"/>
  <c r="BS888" i="1"/>
  <c r="AH888" i="1"/>
  <c r="AG888" i="1"/>
  <c r="AF888" i="1"/>
  <c r="AE888" i="1"/>
  <c r="AD888" i="1"/>
  <c r="AC888" i="1"/>
  <c r="BZ887" i="1"/>
  <c r="CA887" i="1" s="1"/>
  <c r="BY887" i="1"/>
  <c r="BX887" i="1"/>
  <c r="BW887" i="1"/>
  <c r="BV887" i="1"/>
  <c r="BU887" i="1"/>
  <c r="BT887" i="1"/>
  <c r="BS887" i="1"/>
  <c r="AH887" i="1"/>
  <c r="AG887" i="1"/>
  <c r="AF887" i="1"/>
  <c r="AE887" i="1"/>
  <c r="AD887" i="1"/>
  <c r="AC887" i="1"/>
  <c r="BZ886" i="1"/>
  <c r="CA886" i="1" s="1"/>
  <c r="BY886" i="1"/>
  <c r="BX886" i="1"/>
  <c r="BW886" i="1"/>
  <c r="BV886" i="1"/>
  <c r="BU886" i="1"/>
  <c r="BT886" i="1"/>
  <c r="BS886" i="1"/>
  <c r="AH886" i="1"/>
  <c r="AG886" i="1"/>
  <c r="AF886" i="1"/>
  <c r="AE886" i="1"/>
  <c r="AD886" i="1"/>
  <c r="AC886" i="1"/>
  <c r="BZ885" i="1"/>
  <c r="CA885" i="1" s="1"/>
  <c r="BY885" i="1"/>
  <c r="BX885" i="1"/>
  <c r="BW885" i="1"/>
  <c r="BV885" i="1"/>
  <c r="BU885" i="1"/>
  <c r="BT885" i="1"/>
  <c r="BS885" i="1"/>
  <c r="AH885" i="1"/>
  <c r="AG885" i="1"/>
  <c r="AF885" i="1"/>
  <c r="AE885" i="1"/>
  <c r="AD885" i="1"/>
  <c r="AC885" i="1"/>
  <c r="BZ884" i="1"/>
  <c r="CA884" i="1" s="1"/>
  <c r="BY884" i="1"/>
  <c r="BX884" i="1"/>
  <c r="BW884" i="1"/>
  <c r="BV884" i="1"/>
  <c r="BU884" i="1"/>
  <c r="BT884" i="1"/>
  <c r="BS884" i="1"/>
  <c r="AH884" i="1"/>
  <c r="AG884" i="1"/>
  <c r="AF884" i="1"/>
  <c r="AE884" i="1"/>
  <c r="AD884" i="1"/>
  <c r="AC884" i="1"/>
  <c r="BZ883" i="1"/>
  <c r="CA883" i="1" s="1"/>
  <c r="BY883" i="1"/>
  <c r="BX883" i="1"/>
  <c r="BW883" i="1"/>
  <c r="BV883" i="1"/>
  <c r="BU883" i="1"/>
  <c r="BT883" i="1"/>
  <c r="BS883" i="1"/>
  <c r="AH883" i="1"/>
  <c r="AG883" i="1"/>
  <c r="AF883" i="1"/>
  <c r="AE883" i="1"/>
  <c r="AD883" i="1"/>
  <c r="AC883" i="1"/>
  <c r="BZ882" i="1"/>
  <c r="CA882" i="1" s="1"/>
  <c r="BY882" i="1"/>
  <c r="BX882" i="1"/>
  <c r="BW882" i="1"/>
  <c r="BV882" i="1"/>
  <c r="BU882" i="1"/>
  <c r="BT882" i="1"/>
  <c r="BS882" i="1"/>
  <c r="AH882" i="1"/>
  <c r="AG882" i="1"/>
  <c r="AF882" i="1"/>
  <c r="AE882" i="1"/>
  <c r="AD882" i="1"/>
  <c r="AC882" i="1"/>
  <c r="BZ881" i="1"/>
  <c r="CA881" i="1" s="1"/>
  <c r="BY881" i="1"/>
  <c r="BX881" i="1"/>
  <c r="BW881" i="1"/>
  <c r="BV881" i="1"/>
  <c r="BU881" i="1"/>
  <c r="BT881" i="1"/>
  <c r="BS881" i="1"/>
  <c r="AH881" i="1"/>
  <c r="AG881" i="1"/>
  <c r="AF881" i="1"/>
  <c r="AE881" i="1"/>
  <c r="AD881" i="1"/>
  <c r="AC881" i="1"/>
  <c r="BZ880" i="1"/>
  <c r="CA880" i="1" s="1"/>
  <c r="BY880" i="1"/>
  <c r="BX880" i="1"/>
  <c r="BW880" i="1"/>
  <c r="BV880" i="1"/>
  <c r="BU880" i="1"/>
  <c r="BT880" i="1"/>
  <c r="BS880" i="1"/>
  <c r="AH880" i="1"/>
  <c r="AG880" i="1"/>
  <c r="AF880" i="1"/>
  <c r="AE880" i="1"/>
  <c r="AD880" i="1"/>
  <c r="AC880" i="1"/>
  <c r="BZ879" i="1"/>
  <c r="CA879" i="1" s="1"/>
  <c r="BY879" i="1"/>
  <c r="BX879" i="1"/>
  <c r="BW879" i="1"/>
  <c r="BV879" i="1"/>
  <c r="BU879" i="1"/>
  <c r="BT879" i="1"/>
  <c r="BS879" i="1"/>
  <c r="AH879" i="1"/>
  <c r="AG879" i="1"/>
  <c r="AF879" i="1"/>
  <c r="AE879" i="1"/>
  <c r="AD879" i="1"/>
  <c r="AC879" i="1"/>
  <c r="BZ878" i="1"/>
  <c r="CA878" i="1" s="1"/>
  <c r="BY878" i="1"/>
  <c r="BX878" i="1"/>
  <c r="BW878" i="1"/>
  <c r="BV878" i="1"/>
  <c r="BU878" i="1"/>
  <c r="BT878" i="1"/>
  <c r="BS878" i="1"/>
  <c r="AH878" i="1"/>
  <c r="AG878" i="1"/>
  <c r="AF878" i="1"/>
  <c r="AE878" i="1"/>
  <c r="AD878" i="1"/>
  <c r="AC878" i="1"/>
  <c r="BZ877" i="1"/>
  <c r="CA877" i="1" s="1"/>
  <c r="BY877" i="1"/>
  <c r="BX877" i="1"/>
  <c r="BW877" i="1"/>
  <c r="BV877" i="1"/>
  <c r="BU877" i="1"/>
  <c r="BT877" i="1"/>
  <c r="BS877" i="1"/>
  <c r="AH877" i="1"/>
  <c r="AG877" i="1"/>
  <c r="AF877" i="1"/>
  <c r="AE877" i="1"/>
  <c r="AD877" i="1"/>
  <c r="AC877" i="1"/>
  <c r="BZ876" i="1"/>
  <c r="CA876" i="1" s="1"/>
  <c r="BY876" i="1"/>
  <c r="BX876" i="1"/>
  <c r="BW876" i="1"/>
  <c r="BV876" i="1"/>
  <c r="BU876" i="1"/>
  <c r="BT876" i="1"/>
  <c r="BS876" i="1"/>
  <c r="AH876" i="1"/>
  <c r="AG876" i="1"/>
  <c r="AF876" i="1"/>
  <c r="AE876" i="1"/>
  <c r="AD876" i="1"/>
  <c r="AC876" i="1"/>
  <c r="BZ875" i="1"/>
  <c r="CA875" i="1" s="1"/>
  <c r="BY875" i="1"/>
  <c r="BX875" i="1"/>
  <c r="BW875" i="1"/>
  <c r="BV875" i="1"/>
  <c r="BU875" i="1"/>
  <c r="BT875" i="1"/>
  <c r="BS875" i="1"/>
  <c r="AH875" i="1"/>
  <c r="AG875" i="1"/>
  <c r="AF875" i="1"/>
  <c r="AE875" i="1"/>
  <c r="AD875" i="1"/>
  <c r="AC875" i="1"/>
  <c r="BZ874" i="1"/>
  <c r="CA874" i="1" s="1"/>
  <c r="BY874" i="1"/>
  <c r="BX874" i="1"/>
  <c r="BW874" i="1"/>
  <c r="BV874" i="1"/>
  <c r="BU874" i="1"/>
  <c r="BT874" i="1"/>
  <c r="BS874" i="1"/>
  <c r="AH874" i="1"/>
  <c r="AG874" i="1"/>
  <c r="AF874" i="1"/>
  <c r="AE874" i="1"/>
  <c r="AD874" i="1"/>
  <c r="AC874" i="1"/>
  <c r="BZ873" i="1"/>
  <c r="CA873" i="1" s="1"/>
  <c r="BY873" i="1"/>
  <c r="BX873" i="1"/>
  <c r="BW873" i="1"/>
  <c r="BV873" i="1"/>
  <c r="BU873" i="1"/>
  <c r="BT873" i="1"/>
  <c r="BS873" i="1"/>
  <c r="AH873" i="1"/>
  <c r="AG873" i="1"/>
  <c r="AF873" i="1"/>
  <c r="AE873" i="1"/>
  <c r="AD873" i="1"/>
  <c r="AC873" i="1"/>
  <c r="BZ872" i="1"/>
  <c r="CA872" i="1" s="1"/>
  <c r="BY872" i="1"/>
  <c r="BX872" i="1"/>
  <c r="BW872" i="1"/>
  <c r="BV872" i="1"/>
  <c r="BU872" i="1"/>
  <c r="BT872" i="1"/>
  <c r="BS872" i="1"/>
  <c r="AH872" i="1"/>
  <c r="AG872" i="1"/>
  <c r="AF872" i="1"/>
  <c r="AE872" i="1"/>
  <c r="AD872" i="1"/>
  <c r="AC872" i="1"/>
  <c r="BZ871" i="1"/>
  <c r="CA871" i="1" s="1"/>
  <c r="BY871" i="1"/>
  <c r="BX871" i="1"/>
  <c r="BW871" i="1"/>
  <c r="BV871" i="1"/>
  <c r="BU871" i="1"/>
  <c r="BT871" i="1"/>
  <c r="BS871" i="1"/>
  <c r="AH871" i="1"/>
  <c r="AG871" i="1"/>
  <c r="AF871" i="1"/>
  <c r="AE871" i="1"/>
  <c r="AD871" i="1"/>
  <c r="AC871" i="1"/>
  <c r="BZ870" i="1"/>
  <c r="CA870" i="1" s="1"/>
  <c r="BY870" i="1"/>
  <c r="BX870" i="1"/>
  <c r="BW870" i="1"/>
  <c r="BV870" i="1"/>
  <c r="BU870" i="1"/>
  <c r="BT870" i="1"/>
  <c r="BS870" i="1"/>
  <c r="AH870" i="1"/>
  <c r="AG870" i="1"/>
  <c r="AF870" i="1"/>
  <c r="AE870" i="1"/>
  <c r="AD870" i="1"/>
  <c r="AC870" i="1"/>
  <c r="BZ869" i="1"/>
  <c r="CA869" i="1" s="1"/>
  <c r="BY869" i="1"/>
  <c r="BX869" i="1"/>
  <c r="BW869" i="1"/>
  <c r="BV869" i="1"/>
  <c r="BU869" i="1"/>
  <c r="BT869" i="1"/>
  <c r="BS869" i="1"/>
  <c r="AH869" i="1"/>
  <c r="AG869" i="1"/>
  <c r="AF869" i="1"/>
  <c r="AE869" i="1"/>
  <c r="AD869" i="1"/>
  <c r="AC869" i="1"/>
  <c r="BZ868" i="1"/>
  <c r="CA868" i="1" s="1"/>
  <c r="BY868" i="1"/>
  <c r="BX868" i="1"/>
  <c r="BW868" i="1"/>
  <c r="BV868" i="1"/>
  <c r="BU868" i="1"/>
  <c r="BT868" i="1"/>
  <c r="BS868" i="1"/>
  <c r="AH868" i="1"/>
  <c r="AG868" i="1"/>
  <c r="AF868" i="1"/>
  <c r="AE868" i="1"/>
  <c r="AD868" i="1"/>
  <c r="AC868" i="1"/>
  <c r="BZ867" i="1"/>
  <c r="CA867" i="1" s="1"/>
  <c r="BY867" i="1"/>
  <c r="BX867" i="1"/>
  <c r="BW867" i="1"/>
  <c r="BV867" i="1"/>
  <c r="BU867" i="1"/>
  <c r="BT867" i="1"/>
  <c r="BS867" i="1"/>
  <c r="AH867" i="1"/>
  <c r="AG867" i="1"/>
  <c r="AF867" i="1"/>
  <c r="AE867" i="1"/>
  <c r="AD867" i="1"/>
  <c r="AC867" i="1"/>
  <c r="BZ866" i="1"/>
  <c r="CA866" i="1" s="1"/>
  <c r="BY866" i="1"/>
  <c r="BX866" i="1"/>
  <c r="BW866" i="1"/>
  <c r="BV866" i="1"/>
  <c r="BU866" i="1"/>
  <c r="BT866" i="1"/>
  <c r="BS866" i="1"/>
  <c r="AH866" i="1"/>
  <c r="AG866" i="1"/>
  <c r="AF866" i="1"/>
  <c r="AE866" i="1"/>
  <c r="AD866" i="1"/>
  <c r="AC866" i="1"/>
  <c r="BZ865" i="1"/>
  <c r="CA865" i="1" s="1"/>
  <c r="BY865" i="1"/>
  <c r="BX865" i="1"/>
  <c r="BW865" i="1"/>
  <c r="BV865" i="1"/>
  <c r="BU865" i="1"/>
  <c r="BT865" i="1"/>
  <c r="BS865" i="1"/>
  <c r="AH865" i="1"/>
  <c r="AG865" i="1"/>
  <c r="AF865" i="1"/>
  <c r="AE865" i="1"/>
  <c r="AD865" i="1"/>
  <c r="AC865" i="1"/>
  <c r="BZ864" i="1"/>
  <c r="CA864" i="1" s="1"/>
  <c r="BY864" i="1"/>
  <c r="BX864" i="1"/>
  <c r="BW864" i="1"/>
  <c r="BV864" i="1"/>
  <c r="BU864" i="1"/>
  <c r="BT864" i="1"/>
  <c r="BS864" i="1"/>
  <c r="AH864" i="1"/>
  <c r="AG864" i="1"/>
  <c r="AF864" i="1"/>
  <c r="AE864" i="1"/>
  <c r="AD864" i="1"/>
  <c r="AC864" i="1"/>
  <c r="BZ863" i="1"/>
  <c r="CA863" i="1" s="1"/>
  <c r="BY863" i="1"/>
  <c r="BX863" i="1"/>
  <c r="BW863" i="1"/>
  <c r="BV863" i="1"/>
  <c r="BU863" i="1"/>
  <c r="BT863" i="1"/>
  <c r="BS863" i="1"/>
  <c r="AH863" i="1"/>
  <c r="AG863" i="1"/>
  <c r="AF863" i="1"/>
  <c r="AE863" i="1"/>
  <c r="AD863" i="1"/>
  <c r="AC863" i="1"/>
  <c r="BZ862" i="1"/>
  <c r="CA862" i="1" s="1"/>
  <c r="BY862" i="1"/>
  <c r="BX862" i="1"/>
  <c r="BW862" i="1"/>
  <c r="BV862" i="1"/>
  <c r="BU862" i="1"/>
  <c r="BT862" i="1"/>
  <c r="BS862" i="1"/>
  <c r="AH862" i="1"/>
  <c r="AG862" i="1"/>
  <c r="AF862" i="1"/>
  <c r="AE862" i="1"/>
  <c r="AD862" i="1"/>
  <c r="AC862" i="1"/>
  <c r="BZ861" i="1"/>
  <c r="CA861" i="1" s="1"/>
  <c r="BY861" i="1"/>
  <c r="BX861" i="1"/>
  <c r="BW861" i="1"/>
  <c r="BV861" i="1"/>
  <c r="BU861" i="1"/>
  <c r="BT861" i="1"/>
  <c r="BS861" i="1"/>
  <c r="AH861" i="1"/>
  <c r="AG861" i="1"/>
  <c r="AF861" i="1"/>
  <c r="AE861" i="1"/>
  <c r="AD861" i="1"/>
  <c r="AC861" i="1"/>
  <c r="BZ860" i="1"/>
  <c r="CA860" i="1" s="1"/>
  <c r="BY860" i="1"/>
  <c r="BX860" i="1"/>
  <c r="BW860" i="1"/>
  <c r="BV860" i="1"/>
  <c r="BU860" i="1"/>
  <c r="BT860" i="1"/>
  <c r="BS860" i="1"/>
  <c r="AH860" i="1"/>
  <c r="AG860" i="1"/>
  <c r="AF860" i="1"/>
  <c r="AE860" i="1"/>
  <c r="AD860" i="1"/>
  <c r="AC860" i="1"/>
  <c r="BZ859" i="1"/>
  <c r="CA859" i="1" s="1"/>
  <c r="BY859" i="1"/>
  <c r="BX859" i="1"/>
  <c r="BW859" i="1"/>
  <c r="BV859" i="1"/>
  <c r="BU859" i="1"/>
  <c r="BT859" i="1"/>
  <c r="BS859" i="1"/>
  <c r="AH859" i="1"/>
  <c r="AG859" i="1"/>
  <c r="AF859" i="1"/>
  <c r="AE859" i="1"/>
  <c r="AD859" i="1"/>
  <c r="AC859" i="1"/>
  <c r="BZ858" i="1"/>
  <c r="CA858" i="1" s="1"/>
  <c r="BY858" i="1"/>
  <c r="BX858" i="1"/>
  <c r="BW858" i="1"/>
  <c r="BV858" i="1"/>
  <c r="BU858" i="1"/>
  <c r="BT858" i="1"/>
  <c r="BS858" i="1"/>
  <c r="AH858" i="1"/>
  <c r="AG858" i="1"/>
  <c r="AF858" i="1"/>
  <c r="AE858" i="1"/>
  <c r="AD858" i="1"/>
  <c r="AC858" i="1"/>
  <c r="BZ857" i="1"/>
  <c r="CA857" i="1" s="1"/>
  <c r="BY857" i="1"/>
  <c r="BX857" i="1"/>
  <c r="BW857" i="1"/>
  <c r="BV857" i="1"/>
  <c r="BU857" i="1"/>
  <c r="BT857" i="1"/>
  <c r="BS857" i="1"/>
  <c r="AH857" i="1"/>
  <c r="AG857" i="1"/>
  <c r="AF857" i="1"/>
  <c r="AE857" i="1"/>
  <c r="AD857" i="1"/>
  <c r="AC857" i="1"/>
  <c r="BZ856" i="1"/>
  <c r="CA856" i="1" s="1"/>
  <c r="BY856" i="1"/>
  <c r="BX856" i="1"/>
  <c r="BW856" i="1"/>
  <c r="BV856" i="1"/>
  <c r="BU856" i="1"/>
  <c r="BT856" i="1"/>
  <c r="BS856" i="1"/>
  <c r="AH856" i="1"/>
  <c r="AG856" i="1"/>
  <c r="AF856" i="1"/>
  <c r="AE856" i="1"/>
  <c r="AD856" i="1"/>
  <c r="AC856" i="1"/>
  <c r="BZ855" i="1"/>
  <c r="CA855" i="1" s="1"/>
  <c r="BY855" i="1"/>
  <c r="BX855" i="1"/>
  <c r="BW855" i="1"/>
  <c r="BV855" i="1"/>
  <c r="BU855" i="1"/>
  <c r="BT855" i="1"/>
  <c r="BS855" i="1"/>
  <c r="AH855" i="1"/>
  <c r="AG855" i="1"/>
  <c r="AF855" i="1"/>
  <c r="AE855" i="1"/>
  <c r="AD855" i="1"/>
  <c r="AC855" i="1"/>
  <c r="BZ854" i="1"/>
  <c r="CA854" i="1" s="1"/>
  <c r="BY854" i="1"/>
  <c r="BX854" i="1"/>
  <c r="BW854" i="1"/>
  <c r="BV854" i="1"/>
  <c r="BU854" i="1"/>
  <c r="BT854" i="1"/>
  <c r="BS854" i="1"/>
  <c r="AH854" i="1"/>
  <c r="AG854" i="1"/>
  <c r="AF854" i="1"/>
  <c r="AE854" i="1"/>
  <c r="AD854" i="1"/>
  <c r="AC854" i="1"/>
  <c r="BZ853" i="1"/>
  <c r="CA853" i="1" s="1"/>
  <c r="BY853" i="1"/>
  <c r="BX853" i="1"/>
  <c r="BW853" i="1"/>
  <c r="BV853" i="1"/>
  <c r="BU853" i="1"/>
  <c r="BT853" i="1"/>
  <c r="BS853" i="1"/>
  <c r="AH853" i="1"/>
  <c r="AG853" i="1"/>
  <c r="AF853" i="1"/>
  <c r="AE853" i="1"/>
  <c r="AD853" i="1"/>
  <c r="AC853" i="1"/>
  <c r="BZ852" i="1"/>
  <c r="CA852" i="1" s="1"/>
  <c r="BY852" i="1"/>
  <c r="BX852" i="1"/>
  <c r="BW852" i="1"/>
  <c r="BV852" i="1"/>
  <c r="BU852" i="1"/>
  <c r="BT852" i="1"/>
  <c r="BS852" i="1"/>
  <c r="AH852" i="1"/>
  <c r="AG852" i="1"/>
  <c r="AF852" i="1"/>
  <c r="AE852" i="1"/>
  <c r="AD852" i="1"/>
  <c r="AC852" i="1"/>
  <c r="BZ851" i="1"/>
  <c r="CA851" i="1" s="1"/>
  <c r="BY851" i="1"/>
  <c r="BX851" i="1"/>
  <c r="BW851" i="1"/>
  <c r="BV851" i="1"/>
  <c r="BU851" i="1"/>
  <c r="BT851" i="1"/>
  <c r="BS851" i="1"/>
  <c r="AH851" i="1"/>
  <c r="AG851" i="1"/>
  <c r="AF851" i="1"/>
  <c r="AE851" i="1"/>
  <c r="AD851" i="1"/>
  <c r="AC851" i="1"/>
  <c r="BZ850" i="1"/>
  <c r="CA850" i="1" s="1"/>
  <c r="BY850" i="1"/>
  <c r="BX850" i="1"/>
  <c r="BW850" i="1"/>
  <c r="BV850" i="1"/>
  <c r="BU850" i="1"/>
  <c r="BT850" i="1"/>
  <c r="BS850" i="1"/>
  <c r="AH850" i="1"/>
  <c r="AG850" i="1"/>
  <c r="AF850" i="1"/>
  <c r="AE850" i="1"/>
  <c r="AD850" i="1"/>
  <c r="AC850" i="1"/>
  <c r="BZ849" i="1"/>
  <c r="CA849" i="1" s="1"/>
  <c r="BY849" i="1"/>
  <c r="BX849" i="1"/>
  <c r="BW849" i="1"/>
  <c r="BV849" i="1"/>
  <c r="BU849" i="1"/>
  <c r="BT849" i="1"/>
  <c r="BS849" i="1"/>
  <c r="AH849" i="1"/>
  <c r="AG849" i="1"/>
  <c r="AF849" i="1"/>
  <c r="AE849" i="1"/>
  <c r="AD849" i="1"/>
  <c r="AC849" i="1"/>
  <c r="BZ848" i="1"/>
  <c r="CA848" i="1" s="1"/>
  <c r="BY848" i="1"/>
  <c r="BX848" i="1"/>
  <c r="BW848" i="1"/>
  <c r="BV848" i="1"/>
  <c r="BU848" i="1"/>
  <c r="BT848" i="1"/>
  <c r="BS848" i="1"/>
  <c r="AH848" i="1"/>
  <c r="AG848" i="1"/>
  <c r="AF848" i="1"/>
  <c r="AE848" i="1"/>
  <c r="AD848" i="1"/>
  <c r="AC848" i="1"/>
  <c r="BZ847" i="1"/>
  <c r="CA847" i="1" s="1"/>
  <c r="BY847" i="1"/>
  <c r="BX847" i="1"/>
  <c r="BW847" i="1"/>
  <c r="BV847" i="1"/>
  <c r="BU847" i="1"/>
  <c r="BT847" i="1"/>
  <c r="BS847" i="1"/>
  <c r="AH847" i="1"/>
  <c r="AG847" i="1"/>
  <c r="AF847" i="1"/>
  <c r="AE847" i="1"/>
  <c r="AD847" i="1"/>
  <c r="AC847" i="1"/>
  <c r="BZ846" i="1"/>
  <c r="CA846" i="1" s="1"/>
  <c r="BY846" i="1"/>
  <c r="BX846" i="1"/>
  <c r="BW846" i="1"/>
  <c r="BV846" i="1"/>
  <c r="BU846" i="1"/>
  <c r="BT846" i="1"/>
  <c r="BS846" i="1"/>
  <c r="AH846" i="1"/>
  <c r="AG846" i="1"/>
  <c r="AF846" i="1"/>
  <c r="AE846" i="1"/>
  <c r="AD846" i="1"/>
  <c r="AC846" i="1"/>
  <c r="BZ845" i="1"/>
  <c r="CA845" i="1" s="1"/>
  <c r="BY845" i="1"/>
  <c r="BX845" i="1"/>
  <c r="BW845" i="1"/>
  <c r="BV845" i="1"/>
  <c r="BU845" i="1"/>
  <c r="BT845" i="1"/>
  <c r="BS845" i="1"/>
  <c r="AH845" i="1"/>
  <c r="AG845" i="1"/>
  <c r="AF845" i="1"/>
  <c r="AE845" i="1"/>
  <c r="AD845" i="1"/>
  <c r="AC845" i="1"/>
  <c r="BZ844" i="1"/>
  <c r="CA844" i="1" s="1"/>
  <c r="BY844" i="1"/>
  <c r="BX844" i="1"/>
  <c r="BW844" i="1"/>
  <c r="BV844" i="1"/>
  <c r="BU844" i="1"/>
  <c r="BT844" i="1"/>
  <c r="BS844" i="1"/>
  <c r="AH844" i="1"/>
  <c r="AG844" i="1"/>
  <c r="AF844" i="1"/>
  <c r="AE844" i="1"/>
  <c r="AD844" i="1"/>
  <c r="AC844" i="1"/>
  <c r="BZ843" i="1"/>
  <c r="CA843" i="1" s="1"/>
  <c r="BY843" i="1"/>
  <c r="BX843" i="1"/>
  <c r="BW843" i="1"/>
  <c r="BV843" i="1"/>
  <c r="BU843" i="1"/>
  <c r="BT843" i="1"/>
  <c r="BS843" i="1"/>
  <c r="AH843" i="1"/>
  <c r="AG843" i="1"/>
  <c r="AF843" i="1"/>
  <c r="AE843" i="1"/>
  <c r="AD843" i="1"/>
  <c r="AC843" i="1"/>
  <c r="BZ842" i="1"/>
  <c r="CA842" i="1" s="1"/>
  <c r="BY842" i="1"/>
  <c r="BX842" i="1"/>
  <c r="BW842" i="1"/>
  <c r="BV842" i="1"/>
  <c r="BU842" i="1"/>
  <c r="BT842" i="1"/>
  <c r="BS842" i="1"/>
  <c r="AH842" i="1"/>
  <c r="AG842" i="1"/>
  <c r="AF842" i="1"/>
  <c r="AE842" i="1"/>
  <c r="AD842" i="1"/>
  <c r="AC842" i="1"/>
  <c r="BZ841" i="1"/>
  <c r="CA841" i="1" s="1"/>
  <c r="BY841" i="1"/>
  <c r="BX841" i="1"/>
  <c r="BW841" i="1"/>
  <c r="BV841" i="1"/>
  <c r="BU841" i="1"/>
  <c r="BT841" i="1"/>
  <c r="BS841" i="1"/>
  <c r="AH841" i="1"/>
  <c r="AG841" i="1"/>
  <c r="AF841" i="1"/>
  <c r="AE841" i="1"/>
  <c r="AD841" i="1"/>
  <c r="AC841" i="1"/>
  <c r="BZ840" i="1"/>
  <c r="CA840" i="1" s="1"/>
  <c r="BY840" i="1"/>
  <c r="BX840" i="1"/>
  <c r="BW840" i="1"/>
  <c r="BV840" i="1"/>
  <c r="BU840" i="1"/>
  <c r="BT840" i="1"/>
  <c r="BS840" i="1"/>
  <c r="AH840" i="1"/>
  <c r="AG840" i="1"/>
  <c r="AF840" i="1"/>
  <c r="AE840" i="1"/>
  <c r="AD840" i="1"/>
  <c r="AC840" i="1"/>
  <c r="BZ839" i="1"/>
  <c r="CA839" i="1" s="1"/>
  <c r="BY839" i="1"/>
  <c r="BX839" i="1"/>
  <c r="BW839" i="1"/>
  <c r="BV839" i="1"/>
  <c r="BU839" i="1"/>
  <c r="BT839" i="1"/>
  <c r="BS839" i="1"/>
  <c r="AH839" i="1"/>
  <c r="AG839" i="1"/>
  <c r="AF839" i="1"/>
  <c r="AE839" i="1"/>
  <c r="AD839" i="1"/>
  <c r="AC839" i="1"/>
  <c r="BZ838" i="1"/>
  <c r="CA838" i="1" s="1"/>
  <c r="BY838" i="1"/>
  <c r="BX838" i="1"/>
  <c r="BW838" i="1"/>
  <c r="BV838" i="1"/>
  <c r="BU838" i="1"/>
  <c r="BT838" i="1"/>
  <c r="BS838" i="1"/>
  <c r="AH838" i="1"/>
  <c r="AG838" i="1"/>
  <c r="AF838" i="1"/>
  <c r="AE838" i="1"/>
  <c r="AD838" i="1"/>
  <c r="AC838" i="1"/>
  <c r="BZ837" i="1"/>
  <c r="CA837" i="1" s="1"/>
  <c r="BY837" i="1"/>
  <c r="BX837" i="1"/>
  <c r="BW837" i="1"/>
  <c r="BV837" i="1"/>
  <c r="BU837" i="1"/>
  <c r="BT837" i="1"/>
  <c r="BS837" i="1"/>
  <c r="AH837" i="1"/>
  <c r="AG837" i="1"/>
  <c r="AF837" i="1"/>
  <c r="AE837" i="1"/>
  <c r="AD837" i="1"/>
  <c r="AC837" i="1"/>
  <c r="BZ836" i="1"/>
  <c r="CA836" i="1" s="1"/>
  <c r="BY836" i="1"/>
  <c r="BX836" i="1"/>
  <c r="BW836" i="1"/>
  <c r="BV836" i="1"/>
  <c r="BU836" i="1"/>
  <c r="BT836" i="1"/>
  <c r="BS836" i="1"/>
  <c r="AH836" i="1"/>
  <c r="AG836" i="1"/>
  <c r="AF836" i="1"/>
  <c r="AE836" i="1"/>
  <c r="AD836" i="1"/>
  <c r="AC836" i="1"/>
  <c r="BZ835" i="1"/>
  <c r="CA835" i="1" s="1"/>
  <c r="BY835" i="1"/>
  <c r="BX835" i="1"/>
  <c r="BW835" i="1"/>
  <c r="BV835" i="1"/>
  <c r="BU835" i="1"/>
  <c r="BT835" i="1"/>
  <c r="BS835" i="1"/>
  <c r="AH835" i="1"/>
  <c r="AG835" i="1"/>
  <c r="AF835" i="1"/>
  <c r="AE835" i="1"/>
  <c r="AD835" i="1"/>
  <c r="AC835" i="1"/>
  <c r="BZ834" i="1"/>
  <c r="CA834" i="1" s="1"/>
  <c r="BY834" i="1"/>
  <c r="BX834" i="1"/>
  <c r="BW834" i="1"/>
  <c r="BV834" i="1"/>
  <c r="BU834" i="1"/>
  <c r="BT834" i="1"/>
  <c r="BS834" i="1"/>
  <c r="AH834" i="1"/>
  <c r="AG834" i="1"/>
  <c r="AF834" i="1"/>
  <c r="AE834" i="1"/>
  <c r="AD834" i="1"/>
  <c r="AC834" i="1"/>
  <c r="BZ833" i="1"/>
  <c r="CA833" i="1" s="1"/>
  <c r="BY833" i="1"/>
  <c r="BX833" i="1"/>
  <c r="BW833" i="1"/>
  <c r="BV833" i="1"/>
  <c r="BU833" i="1"/>
  <c r="BT833" i="1"/>
  <c r="BS833" i="1"/>
  <c r="AH833" i="1"/>
  <c r="AG833" i="1"/>
  <c r="AF833" i="1"/>
  <c r="AE833" i="1"/>
  <c r="AD833" i="1"/>
  <c r="AC833" i="1"/>
  <c r="BZ832" i="1"/>
  <c r="CA832" i="1" s="1"/>
  <c r="BY832" i="1"/>
  <c r="BX832" i="1"/>
  <c r="BW832" i="1"/>
  <c r="BV832" i="1"/>
  <c r="BU832" i="1"/>
  <c r="BT832" i="1"/>
  <c r="BS832" i="1"/>
  <c r="AH832" i="1"/>
  <c r="AG832" i="1"/>
  <c r="AF832" i="1"/>
  <c r="AE832" i="1"/>
  <c r="AD832" i="1"/>
  <c r="AC832" i="1"/>
  <c r="BZ831" i="1"/>
  <c r="CA831" i="1" s="1"/>
  <c r="BY831" i="1"/>
  <c r="BX831" i="1"/>
  <c r="BW831" i="1"/>
  <c r="BV831" i="1"/>
  <c r="BU831" i="1"/>
  <c r="BT831" i="1"/>
  <c r="BS831" i="1"/>
  <c r="AH831" i="1"/>
  <c r="AG831" i="1"/>
  <c r="AF831" i="1"/>
  <c r="AE831" i="1"/>
  <c r="AD831" i="1"/>
  <c r="AC831" i="1"/>
  <c r="BZ830" i="1"/>
  <c r="CA830" i="1" s="1"/>
  <c r="BY830" i="1"/>
  <c r="BX830" i="1"/>
  <c r="BW830" i="1"/>
  <c r="BV830" i="1"/>
  <c r="BU830" i="1"/>
  <c r="BT830" i="1"/>
  <c r="BS830" i="1"/>
  <c r="AH830" i="1"/>
  <c r="AG830" i="1"/>
  <c r="AF830" i="1"/>
  <c r="AE830" i="1"/>
  <c r="AD830" i="1"/>
  <c r="AC830" i="1"/>
  <c r="BZ829" i="1"/>
  <c r="CA829" i="1" s="1"/>
  <c r="BY829" i="1"/>
  <c r="BX829" i="1"/>
  <c r="BW829" i="1"/>
  <c r="BV829" i="1"/>
  <c r="BU829" i="1"/>
  <c r="BT829" i="1"/>
  <c r="BS829" i="1"/>
  <c r="AH829" i="1"/>
  <c r="AG829" i="1"/>
  <c r="AF829" i="1"/>
  <c r="AE829" i="1"/>
  <c r="AD829" i="1"/>
  <c r="AC829" i="1"/>
  <c r="BZ828" i="1"/>
  <c r="CA828" i="1" s="1"/>
  <c r="BY828" i="1"/>
  <c r="BX828" i="1"/>
  <c r="BW828" i="1"/>
  <c r="BV828" i="1"/>
  <c r="BU828" i="1"/>
  <c r="BT828" i="1"/>
  <c r="BS828" i="1"/>
  <c r="AH828" i="1"/>
  <c r="AG828" i="1"/>
  <c r="AF828" i="1"/>
  <c r="AE828" i="1"/>
  <c r="AD828" i="1"/>
  <c r="AC828" i="1"/>
  <c r="BZ827" i="1"/>
  <c r="CA827" i="1" s="1"/>
  <c r="BY827" i="1"/>
  <c r="BX827" i="1"/>
  <c r="BW827" i="1"/>
  <c r="BV827" i="1"/>
  <c r="BU827" i="1"/>
  <c r="BT827" i="1"/>
  <c r="BS827" i="1"/>
  <c r="AH827" i="1"/>
  <c r="AG827" i="1"/>
  <c r="AF827" i="1"/>
  <c r="AE827" i="1"/>
  <c r="AD827" i="1"/>
  <c r="AC827" i="1"/>
  <c r="BZ826" i="1"/>
  <c r="CA826" i="1" s="1"/>
  <c r="BY826" i="1"/>
  <c r="BX826" i="1"/>
  <c r="BW826" i="1"/>
  <c r="BV826" i="1"/>
  <c r="BU826" i="1"/>
  <c r="BT826" i="1"/>
  <c r="BS826" i="1"/>
  <c r="AH826" i="1"/>
  <c r="AG826" i="1"/>
  <c r="AF826" i="1"/>
  <c r="AE826" i="1"/>
  <c r="AD826" i="1"/>
  <c r="AC826" i="1"/>
  <c r="BZ825" i="1"/>
  <c r="CA825" i="1" s="1"/>
  <c r="BY825" i="1"/>
  <c r="BX825" i="1"/>
  <c r="BW825" i="1"/>
  <c r="BV825" i="1"/>
  <c r="BU825" i="1"/>
  <c r="BT825" i="1"/>
  <c r="BS825" i="1"/>
  <c r="AH825" i="1"/>
  <c r="AG825" i="1"/>
  <c r="AF825" i="1"/>
  <c r="AE825" i="1"/>
  <c r="AD825" i="1"/>
  <c r="AC825" i="1"/>
  <c r="BZ824" i="1"/>
  <c r="CA824" i="1" s="1"/>
  <c r="BY824" i="1"/>
  <c r="BX824" i="1"/>
  <c r="BW824" i="1"/>
  <c r="BV824" i="1"/>
  <c r="BU824" i="1"/>
  <c r="BT824" i="1"/>
  <c r="BS824" i="1"/>
  <c r="AH824" i="1"/>
  <c r="AG824" i="1"/>
  <c r="AF824" i="1"/>
  <c r="AE824" i="1"/>
  <c r="AD824" i="1"/>
  <c r="AC824" i="1"/>
  <c r="BZ823" i="1"/>
  <c r="CA823" i="1" s="1"/>
  <c r="BY823" i="1"/>
  <c r="BX823" i="1"/>
  <c r="BW823" i="1"/>
  <c r="BV823" i="1"/>
  <c r="BU823" i="1"/>
  <c r="BT823" i="1"/>
  <c r="BS823" i="1"/>
  <c r="AH823" i="1"/>
  <c r="AG823" i="1"/>
  <c r="AF823" i="1"/>
  <c r="AE823" i="1"/>
  <c r="AD823" i="1"/>
  <c r="AC823" i="1"/>
  <c r="BZ822" i="1"/>
  <c r="CA822" i="1" s="1"/>
  <c r="BY822" i="1"/>
  <c r="BX822" i="1"/>
  <c r="BW822" i="1"/>
  <c r="BV822" i="1"/>
  <c r="BU822" i="1"/>
  <c r="BT822" i="1"/>
  <c r="BS822" i="1"/>
  <c r="AH822" i="1"/>
  <c r="AG822" i="1"/>
  <c r="AF822" i="1"/>
  <c r="AE822" i="1"/>
  <c r="AD822" i="1"/>
  <c r="AC822" i="1"/>
  <c r="BZ821" i="1"/>
  <c r="CA821" i="1" s="1"/>
  <c r="BY821" i="1"/>
  <c r="BX821" i="1"/>
  <c r="BW821" i="1"/>
  <c r="BV821" i="1"/>
  <c r="BU821" i="1"/>
  <c r="BT821" i="1"/>
  <c r="BS821" i="1"/>
  <c r="AH821" i="1"/>
  <c r="AG821" i="1"/>
  <c r="AF821" i="1"/>
  <c r="AE821" i="1"/>
  <c r="AD821" i="1"/>
  <c r="AC821" i="1"/>
  <c r="BZ820" i="1"/>
  <c r="CA820" i="1" s="1"/>
  <c r="BY820" i="1"/>
  <c r="BX820" i="1"/>
  <c r="BW820" i="1"/>
  <c r="BV820" i="1"/>
  <c r="BU820" i="1"/>
  <c r="BT820" i="1"/>
  <c r="BS820" i="1"/>
  <c r="AH820" i="1"/>
  <c r="AG820" i="1"/>
  <c r="AF820" i="1"/>
  <c r="AE820" i="1"/>
  <c r="AD820" i="1"/>
  <c r="AC820" i="1"/>
  <c r="BZ819" i="1"/>
  <c r="CA819" i="1" s="1"/>
  <c r="BY819" i="1"/>
  <c r="BX819" i="1"/>
  <c r="BW819" i="1"/>
  <c r="BV819" i="1"/>
  <c r="BU819" i="1"/>
  <c r="BT819" i="1"/>
  <c r="BS819" i="1"/>
  <c r="AH819" i="1"/>
  <c r="AG819" i="1"/>
  <c r="AF819" i="1"/>
  <c r="AE819" i="1"/>
  <c r="AD819" i="1"/>
  <c r="AC819" i="1"/>
  <c r="BZ818" i="1"/>
  <c r="CA818" i="1" s="1"/>
  <c r="BY818" i="1"/>
  <c r="BX818" i="1"/>
  <c r="BW818" i="1"/>
  <c r="BV818" i="1"/>
  <c r="BU818" i="1"/>
  <c r="BT818" i="1"/>
  <c r="BS818" i="1"/>
  <c r="AH818" i="1"/>
  <c r="AG818" i="1"/>
  <c r="AF818" i="1"/>
  <c r="AE818" i="1"/>
  <c r="AD818" i="1"/>
  <c r="AC818" i="1"/>
  <c r="BZ817" i="1"/>
  <c r="CA817" i="1" s="1"/>
  <c r="BY817" i="1"/>
  <c r="BX817" i="1"/>
  <c r="BW817" i="1"/>
  <c r="BV817" i="1"/>
  <c r="BU817" i="1"/>
  <c r="BT817" i="1"/>
  <c r="BS817" i="1"/>
  <c r="AH817" i="1"/>
  <c r="AG817" i="1"/>
  <c r="AF817" i="1"/>
  <c r="AE817" i="1"/>
  <c r="AD817" i="1"/>
  <c r="AC817" i="1"/>
  <c r="BZ816" i="1"/>
  <c r="CA816" i="1" s="1"/>
  <c r="BY816" i="1"/>
  <c r="BX816" i="1"/>
  <c r="BW816" i="1"/>
  <c r="BV816" i="1"/>
  <c r="BU816" i="1"/>
  <c r="BT816" i="1"/>
  <c r="BS816" i="1"/>
  <c r="AH816" i="1"/>
  <c r="AG816" i="1"/>
  <c r="AF816" i="1"/>
  <c r="AE816" i="1"/>
  <c r="AD816" i="1"/>
  <c r="AC816" i="1"/>
  <c r="BZ815" i="1"/>
  <c r="CA815" i="1" s="1"/>
  <c r="BY815" i="1"/>
  <c r="BX815" i="1"/>
  <c r="BW815" i="1"/>
  <c r="BV815" i="1"/>
  <c r="BU815" i="1"/>
  <c r="BT815" i="1"/>
  <c r="BS815" i="1"/>
  <c r="AH815" i="1"/>
  <c r="AG815" i="1"/>
  <c r="AF815" i="1"/>
  <c r="AE815" i="1"/>
  <c r="AD815" i="1"/>
  <c r="AC815" i="1"/>
  <c r="BZ814" i="1"/>
  <c r="CA814" i="1" s="1"/>
  <c r="BY814" i="1"/>
  <c r="BX814" i="1"/>
  <c r="BW814" i="1"/>
  <c r="BV814" i="1"/>
  <c r="BU814" i="1"/>
  <c r="BT814" i="1"/>
  <c r="BS814" i="1"/>
  <c r="AH814" i="1"/>
  <c r="AG814" i="1"/>
  <c r="AF814" i="1"/>
  <c r="AE814" i="1"/>
  <c r="AD814" i="1"/>
  <c r="AC814" i="1"/>
  <c r="BZ813" i="1"/>
  <c r="CA813" i="1" s="1"/>
  <c r="BY813" i="1"/>
  <c r="BX813" i="1"/>
  <c r="BW813" i="1"/>
  <c r="BV813" i="1"/>
  <c r="BU813" i="1"/>
  <c r="BT813" i="1"/>
  <c r="BS813" i="1"/>
  <c r="AH813" i="1"/>
  <c r="AG813" i="1"/>
  <c r="AF813" i="1"/>
  <c r="AE813" i="1"/>
  <c r="AD813" i="1"/>
  <c r="AC813" i="1"/>
  <c r="BZ812" i="1"/>
  <c r="CA812" i="1" s="1"/>
  <c r="BY812" i="1"/>
  <c r="BX812" i="1"/>
  <c r="BW812" i="1"/>
  <c r="BV812" i="1"/>
  <c r="BU812" i="1"/>
  <c r="BT812" i="1"/>
  <c r="BS812" i="1"/>
  <c r="AH812" i="1"/>
  <c r="AG812" i="1"/>
  <c r="AF812" i="1"/>
  <c r="AE812" i="1"/>
  <c r="AD812" i="1"/>
  <c r="AC812" i="1"/>
  <c r="BZ811" i="1"/>
  <c r="CA811" i="1" s="1"/>
  <c r="BY811" i="1"/>
  <c r="BX811" i="1"/>
  <c r="BW811" i="1"/>
  <c r="BV811" i="1"/>
  <c r="BU811" i="1"/>
  <c r="BT811" i="1"/>
  <c r="BS811" i="1"/>
  <c r="AH811" i="1"/>
  <c r="AG811" i="1"/>
  <c r="AF811" i="1"/>
  <c r="AE811" i="1"/>
  <c r="AD811" i="1"/>
  <c r="AC811" i="1"/>
  <c r="BZ810" i="1"/>
  <c r="CA810" i="1" s="1"/>
  <c r="BY810" i="1"/>
  <c r="BX810" i="1"/>
  <c r="BW810" i="1"/>
  <c r="BV810" i="1"/>
  <c r="BU810" i="1"/>
  <c r="BT810" i="1"/>
  <c r="BS810" i="1"/>
  <c r="AH810" i="1"/>
  <c r="AG810" i="1"/>
  <c r="AF810" i="1"/>
  <c r="AE810" i="1"/>
  <c r="AD810" i="1"/>
  <c r="AC810" i="1"/>
  <c r="BZ809" i="1"/>
  <c r="CA809" i="1" s="1"/>
  <c r="BY809" i="1"/>
  <c r="BX809" i="1"/>
  <c r="BW809" i="1"/>
  <c r="BV809" i="1"/>
  <c r="BU809" i="1"/>
  <c r="BT809" i="1"/>
  <c r="BS809" i="1"/>
  <c r="AH809" i="1"/>
  <c r="AG809" i="1"/>
  <c r="AF809" i="1"/>
  <c r="AE809" i="1"/>
  <c r="AD809" i="1"/>
  <c r="AC809" i="1"/>
  <c r="BZ808" i="1"/>
  <c r="CA808" i="1" s="1"/>
  <c r="BY808" i="1"/>
  <c r="BX808" i="1"/>
  <c r="BW808" i="1"/>
  <c r="BV808" i="1"/>
  <c r="BU808" i="1"/>
  <c r="BT808" i="1"/>
  <c r="BS808" i="1"/>
  <c r="AH808" i="1"/>
  <c r="AG808" i="1"/>
  <c r="AF808" i="1"/>
  <c r="AE808" i="1"/>
  <c r="AD808" i="1"/>
  <c r="AC808" i="1"/>
  <c r="BZ807" i="1"/>
  <c r="CA807" i="1" s="1"/>
  <c r="BY807" i="1"/>
  <c r="BX807" i="1"/>
  <c r="BW807" i="1"/>
  <c r="BV807" i="1"/>
  <c r="BU807" i="1"/>
  <c r="BT807" i="1"/>
  <c r="BS807" i="1"/>
  <c r="AH807" i="1"/>
  <c r="AG807" i="1"/>
  <c r="AF807" i="1"/>
  <c r="AE807" i="1"/>
  <c r="AD807" i="1"/>
  <c r="AC807" i="1"/>
  <c r="BZ806" i="1"/>
  <c r="CA806" i="1" s="1"/>
  <c r="BY806" i="1"/>
  <c r="BX806" i="1"/>
  <c r="BW806" i="1"/>
  <c r="BV806" i="1"/>
  <c r="BU806" i="1"/>
  <c r="BT806" i="1"/>
  <c r="BS806" i="1"/>
  <c r="AH806" i="1"/>
  <c r="AG806" i="1"/>
  <c r="AF806" i="1"/>
  <c r="AE806" i="1"/>
  <c r="AD806" i="1"/>
  <c r="AC806" i="1"/>
  <c r="BZ805" i="1"/>
  <c r="CA805" i="1" s="1"/>
  <c r="BY805" i="1"/>
  <c r="BX805" i="1"/>
  <c r="BW805" i="1"/>
  <c r="BV805" i="1"/>
  <c r="BU805" i="1"/>
  <c r="BT805" i="1"/>
  <c r="BS805" i="1"/>
  <c r="AH805" i="1"/>
  <c r="AG805" i="1"/>
  <c r="AF805" i="1"/>
  <c r="AE805" i="1"/>
  <c r="AD805" i="1"/>
  <c r="AC805" i="1"/>
  <c r="BZ804" i="1"/>
  <c r="CA804" i="1" s="1"/>
  <c r="BY804" i="1"/>
  <c r="BX804" i="1"/>
  <c r="BW804" i="1"/>
  <c r="BV804" i="1"/>
  <c r="BU804" i="1"/>
  <c r="BT804" i="1"/>
  <c r="BS804" i="1"/>
  <c r="AH804" i="1"/>
  <c r="AG804" i="1"/>
  <c r="AF804" i="1"/>
  <c r="AE804" i="1"/>
  <c r="AD804" i="1"/>
  <c r="AC804" i="1"/>
  <c r="BZ803" i="1"/>
  <c r="CA803" i="1" s="1"/>
  <c r="BY803" i="1"/>
  <c r="BX803" i="1"/>
  <c r="BW803" i="1"/>
  <c r="BV803" i="1"/>
  <c r="BU803" i="1"/>
  <c r="BT803" i="1"/>
  <c r="BS803" i="1"/>
  <c r="BZ802" i="1"/>
  <c r="CA802" i="1" s="1"/>
  <c r="BY802" i="1"/>
  <c r="BX802" i="1"/>
  <c r="BW802" i="1"/>
  <c r="BV802" i="1"/>
  <c r="BU802" i="1"/>
  <c r="BT802" i="1"/>
  <c r="BS802" i="1"/>
  <c r="BZ801" i="1"/>
  <c r="CA801" i="1" s="1"/>
  <c r="BY801" i="1"/>
  <c r="BX801" i="1"/>
  <c r="BW801" i="1"/>
  <c r="BV801" i="1"/>
  <c r="BU801" i="1"/>
  <c r="BT801" i="1"/>
  <c r="BS801" i="1"/>
  <c r="BZ800" i="1"/>
  <c r="CA800" i="1" s="1"/>
  <c r="BY800" i="1"/>
  <c r="BX800" i="1"/>
  <c r="BW800" i="1"/>
  <c r="BV800" i="1"/>
  <c r="BU800" i="1"/>
  <c r="BT800" i="1"/>
  <c r="BS800" i="1"/>
  <c r="BZ799" i="1"/>
  <c r="CA799" i="1" s="1"/>
  <c r="BY799" i="1"/>
  <c r="BX799" i="1"/>
  <c r="BW799" i="1"/>
  <c r="BV799" i="1"/>
  <c r="BU799" i="1"/>
  <c r="BT799" i="1"/>
  <c r="BS799" i="1"/>
  <c r="BZ798" i="1"/>
  <c r="CA798" i="1" s="1"/>
  <c r="BY798" i="1"/>
  <c r="BX798" i="1"/>
  <c r="BW798" i="1"/>
  <c r="BV798" i="1"/>
  <c r="BU798" i="1"/>
  <c r="BT798" i="1"/>
  <c r="BS798" i="1"/>
  <c r="BZ797" i="1"/>
  <c r="CA797" i="1" s="1"/>
  <c r="BY797" i="1"/>
  <c r="BX797" i="1"/>
  <c r="BW797" i="1"/>
  <c r="BV797" i="1"/>
  <c r="BU797" i="1"/>
  <c r="BT797" i="1"/>
  <c r="BS797" i="1"/>
  <c r="BZ796" i="1"/>
  <c r="CA796" i="1" s="1"/>
  <c r="BY796" i="1"/>
  <c r="BX796" i="1"/>
  <c r="BW796" i="1"/>
  <c r="BV796" i="1"/>
  <c r="BU796" i="1"/>
  <c r="BT796" i="1"/>
  <c r="BS796" i="1"/>
  <c r="BZ795" i="1"/>
  <c r="CA795" i="1" s="1"/>
  <c r="BY795" i="1"/>
  <c r="BX795" i="1"/>
  <c r="BW795" i="1"/>
  <c r="BV795" i="1"/>
  <c r="BU795" i="1"/>
  <c r="BT795" i="1"/>
  <c r="BS795" i="1"/>
  <c r="BZ794" i="1"/>
  <c r="CA794" i="1" s="1"/>
  <c r="BY794" i="1"/>
  <c r="BX794" i="1"/>
  <c r="BW794" i="1"/>
  <c r="BV794" i="1"/>
  <c r="BU794" i="1"/>
  <c r="BT794" i="1"/>
  <c r="BS794" i="1"/>
  <c r="BZ793" i="1"/>
  <c r="CA793" i="1" s="1"/>
  <c r="BY793" i="1"/>
  <c r="BX793" i="1"/>
  <c r="BW793" i="1"/>
  <c r="BV793" i="1"/>
  <c r="BU793" i="1"/>
  <c r="BT793" i="1"/>
  <c r="BS793" i="1"/>
  <c r="BZ792" i="1"/>
  <c r="CA792" i="1" s="1"/>
  <c r="BY792" i="1"/>
  <c r="BX792" i="1"/>
  <c r="BW792" i="1"/>
  <c r="BV792" i="1"/>
  <c r="BU792" i="1"/>
  <c r="BT792" i="1"/>
  <c r="BS792" i="1"/>
  <c r="BZ791" i="1"/>
  <c r="CA791" i="1" s="1"/>
  <c r="BY791" i="1"/>
  <c r="BX791" i="1"/>
  <c r="BW791" i="1"/>
  <c r="BV791" i="1"/>
  <c r="BU791" i="1"/>
  <c r="BT791" i="1"/>
  <c r="BS791" i="1"/>
  <c r="BZ790" i="1"/>
  <c r="CA790" i="1" s="1"/>
  <c r="BY790" i="1"/>
  <c r="BX790" i="1"/>
  <c r="BW790" i="1"/>
  <c r="BV790" i="1"/>
  <c r="BU790" i="1"/>
  <c r="BT790" i="1"/>
  <c r="BS790" i="1"/>
  <c r="BZ789" i="1"/>
  <c r="CA789" i="1" s="1"/>
  <c r="BY789" i="1"/>
  <c r="BX789" i="1"/>
  <c r="BW789" i="1"/>
  <c r="BV789" i="1"/>
  <c r="BU789" i="1"/>
  <c r="BT789" i="1"/>
  <c r="BS789" i="1"/>
  <c r="BZ788" i="1"/>
  <c r="CA788" i="1" s="1"/>
  <c r="BY788" i="1"/>
  <c r="BX788" i="1"/>
  <c r="BW788" i="1"/>
  <c r="BV788" i="1"/>
  <c r="BU788" i="1"/>
  <c r="BT788" i="1"/>
  <c r="BS788" i="1"/>
  <c r="BZ787" i="1"/>
  <c r="CA787" i="1" s="1"/>
  <c r="BY787" i="1"/>
  <c r="BX787" i="1"/>
  <c r="BW787" i="1"/>
  <c r="BV787" i="1"/>
  <c r="BU787" i="1"/>
  <c r="BT787" i="1"/>
  <c r="BS787" i="1"/>
  <c r="BZ786" i="1"/>
  <c r="CA786" i="1" s="1"/>
  <c r="BY786" i="1"/>
  <c r="BX786" i="1"/>
  <c r="BW786" i="1"/>
  <c r="BV786" i="1"/>
  <c r="BU786" i="1"/>
  <c r="BT786" i="1"/>
  <c r="BS786" i="1"/>
  <c r="BZ785" i="1"/>
  <c r="CA785" i="1" s="1"/>
  <c r="BY785" i="1"/>
  <c r="BX785" i="1"/>
  <c r="BW785" i="1"/>
  <c r="BV785" i="1"/>
  <c r="BU785" i="1"/>
  <c r="BT785" i="1"/>
  <c r="BS785" i="1"/>
  <c r="BZ784" i="1"/>
  <c r="CA784" i="1" s="1"/>
  <c r="BY784" i="1"/>
  <c r="BX784" i="1"/>
  <c r="BW784" i="1"/>
  <c r="BV784" i="1"/>
  <c r="BU784" i="1"/>
  <c r="BT784" i="1"/>
  <c r="BS784" i="1"/>
  <c r="BZ783" i="1"/>
  <c r="CA783" i="1" s="1"/>
  <c r="BY783" i="1"/>
  <c r="BX783" i="1"/>
  <c r="BW783" i="1"/>
  <c r="BV783" i="1"/>
  <c r="BU783" i="1"/>
  <c r="BT783" i="1"/>
  <c r="BS783" i="1"/>
  <c r="BZ782" i="1"/>
  <c r="CA782" i="1" s="1"/>
  <c r="BY782" i="1"/>
  <c r="BX782" i="1"/>
  <c r="BW782" i="1"/>
  <c r="BV782" i="1"/>
  <c r="BU782" i="1"/>
  <c r="BT782" i="1"/>
  <c r="BS782" i="1"/>
  <c r="BZ781" i="1"/>
  <c r="CA781" i="1" s="1"/>
  <c r="BY781" i="1"/>
  <c r="BX781" i="1"/>
  <c r="BW781" i="1"/>
  <c r="BV781" i="1"/>
  <c r="BU781" i="1"/>
  <c r="BT781" i="1"/>
  <c r="BS781" i="1"/>
  <c r="BZ780" i="1"/>
  <c r="CA780" i="1" s="1"/>
  <c r="BY780" i="1"/>
  <c r="BX780" i="1"/>
  <c r="BW780" i="1"/>
  <c r="BV780" i="1"/>
  <c r="BU780" i="1"/>
  <c r="BT780" i="1"/>
  <c r="BS780" i="1"/>
  <c r="BZ779" i="1"/>
  <c r="CA779" i="1" s="1"/>
  <c r="BY779" i="1"/>
  <c r="BX779" i="1"/>
  <c r="BW779" i="1"/>
  <c r="BV779" i="1"/>
  <c r="BU779" i="1"/>
  <c r="BT779" i="1"/>
  <c r="BS779" i="1"/>
  <c r="BZ778" i="1"/>
  <c r="CA778" i="1" s="1"/>
  <c r="BY778" i="1"/>
  <c r="BX778" i="1"/>
  <c r="BW778" i="1"/>
  <c r="BV778" i="1"/>
  <c r="BU778" i="1"/>
  <c r="BT778" i="1"/>
  <c r="BS778" i="1"/>
  <c r="BZ777" i="1"/>
  <c r="CA777" i="1" s="1"/>
  <c r="BY777" i="1"/>
  <c r="BX777" i="1"/>
  <c r="BW777" i="1"/>
  <c r="BV777" i="1"/>
  <c r="BU777" i="1"/>
  <c r="BT777" i="1"/>
  <c r="BS777" i="1"/>
  <c r="BZ776" i="1"/>
  <c r="CA776" i="1" s="1"/>
  <c r="BY776" i="1"/>
  <c r="BX776" i="1"/>
  <c r="BW776" i="1"/>
  <c r="BV776" i="1"/>
  <c r="BU776" i="1"/>
  <c r="BT776" i="1"/>
  <c r="BS776" i="1"/>
  <c r="BZ775" i="1"/>
  <c r="CA775" i="1" s="1"/>
  <c r="BY775" i="1"/>
  <c r="BX775" i="1"/>
  <c r="BW775" i="1"/>
  <c r="BV775" i="1"/>
  <c r="BU775" i="1"/>
  <c r="BT775" i="1"/>
  <c r="BS775" i="1"/>
  <c r="BZ774" i="1"/>
  <c r="CA774" i="1" s="1"/>
  <c r="BY774" i="1"/>
  <c r="BX774" i="1"/>
  <c r="BW774" i="1"/>
  <c r="BV774" i="1"/>
  <c r="BU774" i="1"/>
  <c r="BT774" i="1"/>
  <c r="BS774" i="1"/>
  <c r="BZ773" i="1"/>
  <c r="CA773" i="1" s="1"/>
  <c r="BY773" i="1"/>
  <c r="BX773" i="1"/>
  <c r="BW773" i="1"/>
  <c r="BV773" i="1"/>
  <c r="BU773" i="1"/>
  <c r="BT773" i="1"/>
  <c r="BS773" i="1"/>
  <c r="BZ772" i="1"/>
  <c r="CA772" i="1" s="1"/>
  <c r="BY772" i="1"/>
  <c r="BX772" i="1"/>
  <c r="BW772" i="1"/>
  <c r="BV772" i="1"/>
  <c r="BU772" i="1"/>
  <c r="BT772" i="1"/>
  <c r="BS772" i="1"/>
  <c r="BZ771" i="1"/>
  <c r="CA771" i="1" s="1"/>
  <c r="BY771" i="1"/>
  <c r="BX771" i="1"/>
  <c r="BW771" i="1"/>
  <c r="BV771" i="1"/>
  <c r="BU771" i="1"/>
  <c r="BT771" i="1"/>
  <c r="BS771" i="1"/>
  <c r="BZ770" i="1"/>
  <c r="CA770" i="1" s="1"/>
  <c r="BY770" i="1"/>
  <c r="BX770" i="1"/>
  <c r="BW770" i="1"/>
  <c r="BV770" i="1"/>
  <c r="BU770" i="1"/>
  <c r="BT770" i="1"/>
  <c r="BS770" i="1"/>
  <c r="BZ769" i="1"/>
  <c r="CA769" i="1" s="1"/>
  <c r="BY769" i="1"/>
  <c r="BX769" i="1"/>
  <c r="BW769" i="1"/>
  <c r="BV769" i="1"/>
  <c r="BU769" i="1"/>
  <c r="BT769" i="1"/>
  <c r="BS769" i="1"/>
  <c r="BZ768" i="1"/>
  <c r="CA768" i="1" s="1"/>
  <c r="BY768" i="1"/>
  <c r="BX768" i="1"/>
  <c r="BW768" i="1"/>
  <c r="BV768" i="1"/>
  <c r="BU768" i="1"/>
  <c r="BT768" i="1"/>
  <c r="BS768" i="1"/>
  <c r="BZ767" i="1"/>
  <c r="CA767" i="1" s="1"/>
  <c r="BY767" i="1"/>
  <c r="BX767" i="1"/>
  <c r="BW767" i="1"/>
  <c r="BV767" i="1"/>
  <c r="BU767" i="1"/>
  <c r="BT767" i="1"/>
  <c r="BS767" i="1"/>
  <c r="BZ766" i="1"/>
  <c r="CA766" i="1" s="1"/>
  <c r="BY766" i="1"/>
  <c r="BX766" i="1"/>
  <c r="BW766" i="1"/>
  <c r="BV766" i="1"/>
  <c r="BU766" i="1"/>
  <c r="BT766" i="1"/>
  <c r="BS766" i="1"/>
  <c r="BZ765" i="1"/>
  <c r="CA765" i="1" s="1"/>
  <c r="BY765" i="1"/>
  <c r="BX765" i="1"/>
  <c r="BW765" i="1"/>
  <c r="BV765" i="1"/>
  <c r="BU765" i="1"/>
  <c r="BT765" i="1"/>
  <c r="BS765" i="1"/>
  <c r="BZ764" i="1"/>
  <c r="CA764" i="1" s="1"/>
  <c r="BY764" i="1"/>
  <c r="BX764" i="1"/>
  <c r="BW764" i="1"/>
  <c r="BV764" i="1"/>
  <c r="BU764" i="1"/>
  <c r="BT764" i="1"/>
  <c r="BS764" i="1"/>
  <c r="BZ763" i="1"/>
  <c r="CA763" i="1" s="1"/>
  <c r="BY763" i="1"/>
  <c r="BX763" i="1"/>
  <c r="BW763" i="1"/>
  <c r="BV763" i="1"/>
  <c r="BU763" i="1"/>
  <c r="BT763" i="1"/>
  <c r="BS763" i="1"/>
  <c r="BZ762" i="1"/>
  <c r="CA762" i="1" s="1"/>
  <c r="BY762" i="1"/>
  <c r="BX762" i="1"/>
  <c r="BW762" i="1"/>
  <c r="BV762" i="1"/>
  <c r="BU762" i="1"/>
  <c r="BT762" i="1"/>
  <c r="BS762" i="1"/>
  <c r="BZ761" i="1"/>
  <c r="CA761" i="1" s="1"/>
  <c r="BY761" i="1"/>
  <c r="BX761" i="1"/>
  <c r="BW761" i="1"/>
  <c r="BV761" i="1"/>
  <c r="BU761" i="1"/>
  <c r="BT761" i="1"/>
  <c r="BS761" i="1"/>
  <c r="BZ760" i="1"/>
  <c r="CA760" i="1" s="1"/>
  <c r="BY760" i="1"/>
  <c r="BX760" i="1"/>
  <c r="BW760" i="1"/>
  <c r="BV760" i="1"/>
  <c r="BU760" i="1"/>
  <c r="BT760" i="1"/>
  <c r="BS760" i="1"/>
  <c r="BZ759" i="1"/>
  <c r="CA759" i="1" s="1"/>
  <c r="BY759" i="1"/>
  <c r="BX759" i="1"/>
  <c r="BW759" i="1"/>
  <c r="BV759" i="1"/>
  <c r="BU759" i="1"/>
  <c r="BT759" i="1"/>
  <c r="BS759" i="1"/>
  <c r="BZ758" i="1"/>
  <c r="CA758" i="1" s="1"/>
  <c r="BY758" i="1"/>
  <c r="BX758" i="1"/>
  <c r="BW758" i="1"/>
  <c r="BV758" i="1"/>
  <c r="BU758" i="1"/>
  <c r="BT758" i="1"/>
  <c r="BS758" i="1"/>
  <c r="BZ757" i="1"/>
  <c r="CA757" i="1" s="1"/>
  <c r="BY757" i="1"/>
  <c r="BX757" i="1"/>
  <c r="BW757" i="1"/>
  <c r="BV757" i="1"/>
  <c r="BU757" i="1"/>
  <c r="BT757" i="1"/>
  <c r="BS757" i="1"/>
  <c r="BZ756" i="1"/>
  <c r="CA756" i="1" s="1"/>
  <c r="BY756" i="1"/>
  <c r="BX756" i="1"/>
  <c r="BW756" i="1"/>
  <c r="BV756" i="1"/>
  <c r="BU756" i="1"/>
  <c r="BT756" i="1"/>
  <c r="BS756" i="1"/>
  <c r="BZ755" i="1"/>
  <c r="CA755" i="1" s="1"/>
  <c r="BY755" i="1"/>
  <c r="BX755" i="1"/>
  <c r="BW755" i="1"/>
  <c r="BV755" i="1"/>
  <c r="BU755" i="1"/>
  <c r="BT755" i="1"/>
  <c r="BS755" i="1"/>
  <c r="BZ754" i="1"/>
  <c r="CA754" i="1" s="1"/>
  <c r="BY754" i="1"/>
  <c r="BX754" i="1"/>
  <c r="BW754" i="1"/>
  <c r="BV754" i="1"/>
  <c r="BU754" i="1"/>
  <c r="BT754" i="1"/>
  <c r="BS754" i="1"/>
  <c r="BZ753" i="1"/>
  <c r="CA753" i="1" s="1"/>
  <c r="BY753" i="1"/>
  <c r="BX753" i="1"/>
  <c r="BW753" i="1"/>
  <c r="BV753" i="1"/>
  <c r="BU753" i="1"/>
  <c r="BT753" i="1"/>
  <c r="BS753" i="1"/>
  <c r="BZ752" i="1"/>
  <c r="CA752" i="1" s="1"/>
  <c r="BY752" i="1"/>
  <c r="BX752" i="1"/>
  <c r="BW752" i="1"/>
  <c r="BV752" i="1"/>
  <c r="BU752" i="1"/>
  <c r="BT752" i="1"/>
  <c r="BS752" i="1"/>
  <c r="BZ751" i="1"/>
  <c r="CA751" i="1" s="1"/>
  <c r="BY751" i="1"/>
  <c r="BX751" i="1"/>
  <c r="BW751" i="1"/>
  <c r="BV751" i="1"/>
  <c r="BU751" i="1"/>
  <c r="BT751" i="1"/>
  <c r="BS751" i="1"/>
  <c r="BZ750" i="1"/>
  <c r="CA750" i="1" s="1"/>
  <c r="BY750" i="1"/>
  <c r="BX750" i="1"/>
  <c r="BW750" i="1"/>
  <c r="BV750" i="1"/>
  <c r="BU750" i="1"/>
  <c r="BT750" i="1"/>
  <c r="BS750" i="1"/>
  <c r="BZ749" i="1"/>
  <c r="CA749" i="1" s="1"/>
  <c r="BY749" i="1"/>
  <c r="BX749" i="1"/>
  <c r="BW749" i="1"/>
  <c r="BV749" i="1"/>
  <c r="BU749" i="1"/>
  <c r="BT749" i="1"/>
  <c r="BS749" i="1"/>
  <c r="BZ748" i="1"/>
  <c r="CA748" i="1" s="1"/>
  <c r="BY748" i="1"/>
  <c r="BX748" i="1"/>
  <c r="BW748" i="1"/>
  <c r="BV748" i="1"/>
  <c r="BU748" i="1"/>
  <c r="BT748" i="1"/>
  <c r="BS748" i="1"/>
  <c r="BZ747" i="1"/>
  <c r="CA747" i="1" s="1"/>
  <c r="BY747" i="1"/>
  <c r="BX747" i="1"/>
  <c r="BW747" i="1"/>
  <c r="BV747" i="1"/>
  <c r="BU747" i="1"/>
  <c r="BT747" i="1"/>
  <c r="BS747" i="1"/>
  <c r="BZ746" i="1"/>
  <c r="CA746" i="1" s="1"/>
  <c r="BY746" i="1"/>
  <c r="BX746" i="1"/>
  <c r="BW746" i="1"/>
  <c r="BV746" i="1"/>
  <c r="BU746" i="1"/>
  <c r="BT746" i="1"/>
  <c r="BS746" i="1"/>
  <c r="BZ745" i="1"/>
  <c r="CA745" i="1" s="1"/>
  <c r="BY745" i="1"/>
  <c r="BX745" i="1"/>
  <c r="BW745" i="1"/>
  <c r="BV745" i="1"/>
  <c r="BU745" i="1"/>
  <c r="BT745" i="1"/>
  <c r="BS745" i="1"/>
  <c r="BZ744" i="1"/>
  <c r="CA744" i="1" s="1"/>
  <c r="BY744" i="1"/>
  <c r="BX744" i="1"/>
  <c r="BW744" i="1"/>
  <c r="BV744" i="1"/>
  <c r="BU744" i="1"/>
  <c r="BT744" i="1"/>
  <c r="BS744" i="1"/>
  <c r="BZ743" i="1"/>
  <c r="CA743" i="1" s="1"/>
  <c r="BY743" i="1"/>
  <c r="BX743" i="1"/>
  <c r="BW743" i="1"/>
  <c r="BV743" i="1"/>
  <c r="BU743" i="1"/>
  <c r="BT743" i="1"/>
  <c r="BS743" i="1"/>
  <c r="BZ742" i="1"/>
  <c r="CA742" i="1" s="1"/>
  <c r="BY742" i="1"/>
  <c r="BX742" i="1"/>
  <c r="BW742" i="1"/>
  <c r="BV742" i="1"/>
  <c r="BU742" i="1"/>
  <c r="BT742" i="1"/>
  <c r="BS742" i="1"/>
  <c r="BZ741" i="1"/>
  <c r="CA741" i="1" s="1"/>
  <c r="BY741" i="1"/>
  <c r="BX741" i="1"/>
  <c r="BW741" i="1"/>
  <c r="BV741" i="1"/>
  <c r="BU741" i="1"/>
  <c r="BT741" i="1"/>
  <c r="BS741" i="1"/>
  <c r="BZ740" i="1"/>
  <c r="CA740" i="1" s="1"/>
  <c r="BY740" i="1"/>
  <c r="BX740" i="1"/>
  <c r="BW740" i="1"/>
  <c r="BV740" i="1"/>
  <c r="BU740" i="1"/>
  <c r="BT740" i="1"/>
  <c r="BS740" i="1"/>
  <c r="BZ739" i="1"/>
  <c r="CA739" i="1" s="1"/>
  <c r="BY739" i="1"/>
  <c r="BX739" i="1"/>
  <c r="BW739" i="1"/>
  <c r="BV739" i="1"/>
  <c r="BU739" i="1"/>
  <c r="BT739" i="1"/>
  <c r="BS739" i="1"/>
  <c r="BZ738" i="1"/>
  <c r="CA738" i="1" s="1"/>
  <c r="BY738" i="1"/>
  <c r="BX738" i="1"/>
  <c r="BW738" i="1"/>
  <c r="BV738" i="1"/>
  <c r="BU738" i="1"/>
  <c r="BT738" i="1"/>
  <c r="BS738" i="1"/>
  <c r="BZ737" i="1"/>
  <c r="CA737" i="1" s="1"/>
  <c r="BY737" i="1"/>
  <c r="BX737" i="1"/>
  <c r="BW737" i="1"/>
  <c r="BV737" i="1"/>
  <c r="BU737" i="1"/>
  <c r="BT737" i="1"/>
  <c r="BS737" i="1"/>
  <c r="BZ736" i="1"/>
  <c r="CA736" i="1" s="1"/>
  <c r="BY736" i="1"/>
  <c r="BX736" i="1"/>
  <c r="BW736" i="1"/>
  <c r="BV736" i="1"/>
  <c r="BU736" i="1"/>
  <c r="BT736" i="1"/>
  <c r="BS736" i="1"/>
  <c r="BZ735" i="1"/>
  <c r="CA735" i="1" s="1"/>
  <c r="BY735" i="1"/>
  <c r="BX735" i="1"/>
  <c r="BW735" i="1"/>
  <c r="BV735" i="1"/>
  <c r="BU735" i="1"/>
  <c r="BT735" i="1"/>
  <c r="BS735" i="1"/>
  <c r="BZ734" i="1"/>
  <c r="CA734" i="1" s="1"/>
  <c r="BY734" i="1"/>
  <c r="BX734" i="1"/>
  <c r="BW734" i="1"/>
  <c r="BV734" i="1"/>
  <c r="BU734" i="1"/>
  <c r="BT734" i="1"/>
  <c r="BS734" i="1"/>
  <c r="BZ733" i="1"/>
  <c r="CA733" i="1" s="1"/>
  <c r="BY733" i="1"/>
  <c r="BX733" i="1"/>
  <c r="BW733" i="1"/>
  <c r="BV733" i="1"/>
  <c r="BU733" i="1"/>
  <c r="BT733" i="1"/>
  <c r="BS733" i="1"/>
  <c r="BZ732" i="1"/>
  <c r="CA732" i="1" s="1"/>
  <c r="BY732" i="1"/>
  <c r="BX732" i="1"/>
  <c r="BW732" i="1"/>
  <c r="BV732" i="1"/>
  <c r="BU732" i="1"/>
  <c r="BT732" i="1"/>
  <c r="BS732" i="1"/>
  <c r="BZ731" i="1"/>
  <c r="CA731" i="1" s="1"/>
  <c r="BY731" i="1"/>
  <c r="BX731" i="1"/>
  <c r="BW731" i="1"/>
  <c r="BV731" i="1"/>
  <c r="BU731" i="1"/>
  <c r="BT731" i="1"/>
  <c r="BS731" i="1"/>
  <c r="BZ730" i="1"/>
  <c r="CA730" i="1" s="1"/>
  <c r="BY730" i="1"/>
  <c r="BX730" i="1"/>
  <c r="BW730" i="1"/>
  <c r="BV730" i="1"/>
  <c r="BU730" i="1"/>
  <c r="BT730" i="1"/>
  <c r="BS730" i="1"/>
  <c r="BZ729" i="1"/>
  <c r="CA729" i="1" s="1"/>
  <c r="BY729" i="1"/>
  <c r="BX729" i="1"/>
  <c r="BW729" i="1"/>
  <c r="BV729" i="1"/>
  <c r="BU729" i="1"/>
  <c r="BT729" i="1"/>
  <c r="BS729" i="1"/>
  <c r="BZ728" i="1"/>
  <c r="CA728" i="1" s="1"/>
  <c r="BY728" i="1"/>
  <c r="BX728" i="1"/>
  <c r="BW728" i="1"/>
  <c r="BV728" i="1"/>
  <c r="BU728" i="1"/>
  <c r="BT728" i="1"/>
  <c r="BS728" i="1"/>
  <c r="BZ727" i="1"/>
  <c r="CA727" i="1" s="1"/>
  <c r="BY727" i="1"/>
  <c r="BX727" i="1"/>
  <c r="BW727" i="1"/>
  <c r="BV727" i="1"/>
  <c r="BU727" i="1"/>
  <c r="BT727" i="1"/>
  <c r="BS727" i="1"/>
  <c r="BZ726" i="1"/>
  <c r="CA726" i="1" s="1"/>
  <c r="BY726" i="1"/>
  <c r="BX726" i="1"/>
  <c r="BW726" i="1"/>
  <c r="BV726" i="1"/>
  <c r="BU726" i="1"/>
  <c r="BT726" i="1"/>
  <c r="BS726" i="1"/>
  <c r="BZ725" i="1"/>
  <c r="CA725" i="1" s="1"/>
  <c r="BY725" i="1"/>
  <c r="BX725" i="1"/>
  <c r="BW725" i="1"/>
  <c r="BV725" i="1"/>
  <c r="BU725" i="1"/>
  <c r="BT725" i="1"/>
  <c r="BS725" i="1"/>
  <c r="BZ724" i="1"/>
  <c r="CA724" i="1" s="1"/>
  <c r="BY724" i="1"/>
  <c r="BX724" i="1"/>
  <c r="BW724" i="1"/>
  <c r="BV724" i="1"/>
  <c r="BU724" i="1"/>
  <c r="BT724" i="1"/>
  <c r="BS724" i="1"/>
  <c r="BZ723" i="1"/>
  <c r="CA723" i="1" s="1"/>
  <c r="BY723" i="1"/>
  <c r="BX723" i="1"/>
  <c r="BW723" i="1"/>
  <c r="BV723" i="1"/>
  <c r="BU723" i="1"/>
  <c r="BT723" i="1"/>
  <c r="BS723" i="1"/>
  <c r="BZ722" i="1"/>
  <c r="CA722" i="1" s="1"/>
  <c r="BY722" i="1"/>
  <c r="BX722" i="1"/>
  <c r="BW722" i="1"/>
  <c r="BV722" i="1"/>
  <c r="BU722" i="1"/>
  <c r="BT722" i="1"/>
  <c r="BS722" i="1"/>
  <c r="BZ721" i="1"/>
  <c r="CA721" i="1" s="1"/>
  <c r="BY721" i="1"/>
  <c r="BX721" i="1"/>
  <c r="BW721" i="1"/>
  <c r="BV721" i="1"/>
  <c r="BU721" i="1"/>
  <c r="BT721" i="1"/>
  <c r="BS721" i="1"/>
  <c r="BZ720" i="1"/>
  <c r="CA720" i="1" s="1"/>
  <c r="BY720" i="1"/>
  <c r="BX720" i="1"/>
  <c r="BW720" i="1"/>
  <c r="BV720" i="1"/>
  <c r="BU720" i="1"/>
  <c r="BT720" i="1"/>
  <c r="BS720" i="1"/>
  <c r="BZ719" i="1"/>
  <c r="CA719" i="1" s="1"/>
  <c r="BY719" i="1"/>
  <c r="BX719" i="1"/>
  <c r="BW719" i="1"/>
  <c r="BV719" i="1"/>
  <c r="BU719" i="1"/>
  <c r="BT719" i="1"/>
  <c r="BS719" i="1"/>
  <c r="BZ718" i="1"/>
  <c r="CA718" i="1" s="1"/>
  <c r="BY718" i="1"/>
  <c r="BX718" i="1"/>
  <c r="BW718" i="1"/>
  <c r="BV718" i="1"/>
  <c r="BU718" i="1"/>
  <c r="BT718" i="1"/>
  <c r="BS718" i="1"/>
  <c r="BZ717" i="1"/>
  <c r="CA717" i="1" s="1"/>
  <c r="BY717" i="1"/>
  <c r="BX717" i="1"/>
  <c r="BW717" i="1"/>
  <c r="BV717" i="1"/>
  <c r="BU717" i="1"/>
  <c r="BT717" i="1"/>
  <c r="BS717" i="1"/>
  <c r="BZ716" i="1"/>
  <c r="CA716" i="1" s="1"/>
  <c r="BY716" i="1"/>
  <c r="BX716" i="1"/>
  <c r="BW716" i="1"/>
  <c r="BV716" i="1"/>
  <c r="BU716" i="1"/>
  <c r="BT716" i="1"/>
  <c r="BS716" i="1"/>
  <c r="BZ715" i="1"/>
  <c r="CA715" i="1" s="1"/>
  <c r="BY715" i="1"/>
  <c r="BX715" i="1"/>
  <c r="BW715" i="1"/>
  <c r="BV715" i="1"/>
  <c r="BU715" i="1"/>
  <c r="BT715" i="1"/>
  <c r="BS715" i="1"/>
  <c r="BZ714" i="1"/>
  <c r="CA714" i="1" s="1"/>
  <c r="BY714" i="1"/>
  <c r="BX714" i="1"/>
  <c r="BW714" i="1"/>
  <c r="BV714" i="1"/>
  <c r="BU714" i="1"/>
  <c r="BT714" i="1"/>
  <c r="BS714" i="1"/>
  <c r="BZ713" i="1"/>
  <c r="CA713" i="1" s="1"/>
  <c r="BY713" i="1"/>
  <c r="BX713" i="1"/>
  <c r="BW713" i="1"/>
  <c r="BV713" i="1"/>
  <c r="BU713" i="1"/>
  <c r="BT713" i="1"/>
  <c r="BS713" i="1"/>
  <c r="BZ712" i="1"/>
  <c r="CA712" i="1" s="1"/>
  <c r="BY712" i="1"/>
  <c r="BX712" i="1"/>
  <c r="BW712" i="1"/>
  <c r="BV712" i="1"/>
  <c r="BU712" i="1"/>
  <c r="BT712" i="1"/>
  <c r="BS712" i="1"/>
  <c r="BZ711" i="1"/>
  <c r="CA711" i="1" s="1"/>
  <c r="BY711" i="1"/>
  <c r="BX711" i="1"/>
  <c r="BW711" i="1"/>
  <c r="BV711" i="1"/>
  <c r="BU711" i="1"/>
  <c r="BT711" i="1"/>
  <c r="BS711" i="1"/>
  <c r="BZ710" i="1"/>
  <c r="CA710" i="1" s="1"/>
  <c r="BY710" i="1"/>
  <c r="BX710" i="1"/>
  <c r="BW710" i="1"/>
  <c r="BV710" i="1"/>
  <c r="BU710" i="1"/>
  <c r="BT710" i="1"/>
  <c r="BS710" i="1"/>
  <c r="BZ709" i="1"/>
  <c r="CA709" i="1" s="1"/>
  <c r="BY709" i="1"/>
  <c r="BX709" i="1"/>
  <c r="BW709" i="1"/>
  <c r="BV709" i="1"/>
  <c r="BU709" i="1"/>
  <c r="BT709" i="1"/>
  <c r="BS709" i="1"/>
  <c r="BZ708" i="1"/>
  <c r="CA708" i="1" s="1"/>
  <c r="BY708" i="1"/>
  <c r="BX708" i="1"/>
  <c r="BW708" i="1"/>
  <c r="BV708" i="1"/>
  <c r="BU708" i="1"/>
  <c r="BT708" i="1"/>
  <c r="BS708" i="1"/>
  <c r="BZ707" i="1"/>
  <c r="CA707" i="1" s="1"/>
  <c r="BY707" i="1"/>
  <c r="BX707" i="1"/>
  <c r="BW707" i="1"/>
  <c r="BV707" i="1"/>
  <c r="BU707" i="1"/>
  <c r="BT707" i="1"/>
  <c r="BS707" i="1"/>
  <c r="BZ706" i="1"/>
  <c r="CA706" i="1" s="1"/>
  <c r="BY706" i="1"/>
  <c r="BX706" i="1"/>
  <c r="BW706" i="1"/>
  <c r="BV706" i="1"/>
  <c r="BU706" i="1"/>
  <c r="BT706" i="1"/>
  <c r="BS706" i="1"/>
  <c r="BZ705" i="1"/>
  <c r="CA705" i="1" s="1"/>
  <c r="BY705" i="1"/>
  <c r="BX705" i="1"/>
  <c r="BW705" i="1"/>
  <c r="BV705" i="1"/>
  <c r="BU705" i="1"/>
  <c r="BT705" i="1"/>
  <c r="BS705" i="1"/>
  <c r="BZ704" i="1"/>
  <c r="CA704" i="1" s="1"/>
  <c r="BY704" i="1"/>
  <c r="BX704" i="1"/>
  <c r="BW704" i="1"/>
  <c r="BV704" i="1"/>
  <c r="BU704" i="1"/>
  <c r="BT704" i="1"/>
  <c r="BS704" i="1"/>
  <c r="BZ703" i="1"/>
  <c r="CA703" i="1" s="1"/>
  <c r="BY703" i="1"/>
  <c r="BX703" i="1"/>
  <c r="BW703" i="1"/>
  <c r="BV703" i="1"/>
  <c r="BU703" i="1"/>
  <c r="BT703" i="1"/>
  <c r="BS703" i="1"/>
  <c r="BZ702" i="1"/>
  <c r="CA702" i="1" s="1"/>
  <c r="BY702" i="1"/>
  <c r="BX702" i="1"/>
  <c r="BW702" i="1"/>
  <c r="BV702" i="1"/>
  <c r="BU702" i="1"/>
  <c r="BT702" i="1"/>
  <c r="BS702" i="1"/>
  <c r="BZ701" i="1"/>
  <c r="CA701" i="1" s="1"/>
  <c r="BY701" i="1"/>
  <c r="BX701" i="1"/>
  <c r="BW701" i="1"/>
  <c r="BV701" i="1"/>
  <c r="BU701" i="1"/>
  <c r="BT701" i="1"/>
  <c r="BS701" i="1"/>
  <c r="BZ700" i="1"/>
  <c r="CA700" i="1" s="1"/>
  <c r="BY700" i="1"/>
  <c r="BX700" i="1"/>
  <c r="BW700" i="1"/>
  <c r="BV700" i="1"/>
  <c r="BU700" i="1"/>
  <c r="BT700" i="1"/>
  <c r="BS700" i="1"/>
  <c r="BZ699" i="1"/>
  <c r="CA699" i="1" s="1"/>
  <c r="BY699" i="1"/>
  <c r="BX699" i="1"/>
  <c r="BW699" i="1"/>
  <c r="BV699" i="1"/>
  <c r="BU699" i="1"/>
  <c r="BT699" i="1"/>
  <c r="BS699" i="1"/>
  <c r="BZ698" i="1"/>
  <c r="CA698" i="1" s="1"/>
  <c r="BY698" i="1"/>
  <c r="BX698" i="1"/>
  <c r="BW698" i="1"/>
  <c r="BV698" i="1"/>
  <c r="BU698" i="1"/>
  <c r="BT698" i="1"/>
  <c r="BS698" i="1"/>
  <c r="BZ697" i="1"/>
  <c r="CA697" i="1" s="1"/>
  <c r="BY697" i="1"/>
  <c r="BX697" i="1"/>
  <c r="BW697" i="1"/>
  <c r="BV697" i="1"/>
  <c r="BU697" i="1"/>
  <c r="BT697" i="1"/>
  <c r="BS697" i="1"/>
  <c r="BZ696" i="1"/>
  <c r="CA696" i="1" s="1"/>
  <c r="BY696" i="1"/>
  <c r="BX696" i="1"/>
  <c r="BW696" i="1"/>
  <c r="BV696" i="1"/>
  <c r="BU696" i="1"/>
  <c r="BT696" i="1"/>
  <c r="BS696" i="1"/>
  <c r="BZ695" i="1"/>
  <c r="CA695" i="1" s="1"/>
  <c r="BY695" i="1"/>
  <c r="BX695" i="1"/>
  <c r="BW695" i="1"/>
  <c r="BV695" i="1"/>
  <c r="BU695" i="1"/>
  <c r="BT695" i="1"/>
  <c r="BS695" i="1"/>
  <c r="BZ694" i="1"/>
  <c r="CA694" i="1" s="1"/>
  <c r="BY694" i="1"/>
  <c r="BX694" i="1"/>
  <c r="BW694" i="1"/>
  <c r="BV694" i="1"/>
  <c r="BU694" i="1"/>
  <c r="BT694" i="1"/>
  <c r="BS694" i="1"/>
  <c r="BZ693" i="1"/>
  <c r="CA693" i="1" s="1"/>
  <c r="BY693" i="1"/>
  <c r="BX693" i="1"/>
  <c r="BW693" i="1"/>
  <c r="BV693" i="1"/>
  <c r="BU693" i="1"/>
  <c r="BT693" i="1"/>
  <c r="BS693" i="1"/>
  <c r="BZ692" i="1"/>
  <c r="CA692" i="1" s="1"/>
  <c r="BY692" i="1"/>
  <c r="BX692" i="1"/>
  <c r="BW692" i="1"/>
  <c r="BV692" i="1"/>
  <c r="BU692" i="1"/>
  <c r="BT692" i="1"/>
  <c r="BS692" i="1"/>
  <c r="BZ691" i="1"/>
  <c r="CA691" i="1" s="1"/>
  <c r="BY691" i="1"/>
  <c r="BX691" i="1"/>
  <c r="BW691" i="1"/>
  <c r="BV691" i="1"/>
  <c r="BU691" i="1"/>
  <c r="BT691" i="1"/>
  <c r="BS691" i="1"/>
  <c r="BZ690" i="1"/>
  <c r="CA690" i="1" s="1"/>
  <c r="BY690" i="1"/>
  <c r="BX690" i="1"/>
  <c r="BW690" i="1"/>
  <c r="BV690" i="1"/>
  <c r="BU690" i="1"/>
  <c r="BT690" i="1"/>
  <c r="BS690" i="1"/>
  <c r="BZ689" i="1"/>
  <c r="CA689" i="1" s="1"/>
  <c r="BY689" i="1"/>
  <c r="BX689" i="1"/>
  <c r="BW689" i="1"/>
  <c r="BV689" i="1"/>
  <c r="BU689" i="1"/>
  <c r="BT689" i="1"/>
  <c r="BS689" i="1"/>
  <c r="BZ688" i="1"/>
  <c r="CA688" i="1" s="1"/>
  <c r="BY688" i="1"/>
  <c r="BX688" i="1"/>
  <c r="BW688" i="1"/>
  <c r="BV688" i="1"/>
  <c r="BU688" i="1"/>
  <c r="BT688" i="1"/>
  <c r="BS688" i="1"/>
  <c r="BZ687" i="1"/>
  <c r="CA687" i="1" s="1"/>
  <c r="BY687" i="1"/>
  <c r="BX687" i="1"/>
  <c r="BW687" i="1"/>
  <c r="BV687" i="1"/>
  <c r="BU687" i="1"/>
  <c r="BT687" i="1"/>
  <c r="BS687" i="1"/>
  <c r="BZ686" i="1"/>
  <c r="CA686" i="1" s="1"/>
  <c r="BY686" i="1"/>
  <c r="BX686" i="1"/>
  <c r="BW686" i="1"/>
  <c r="BV686" i="1"/>
  <c r="BU686" i="1"/>
  <c r="BT686" i="1"/>
  <c r="BS686" i="1"/>
  <c r="BZ685" i="1"/>
  <c r="CA685" i="1" s="1"/>
  <c r="BY685" i="1"/>
  <c r="BX685" i="1"/>
  <c r="BW685" i="1"/>
  <c r="BV685" i="1"/>
  <c r="BU685" i="1"/>
  <c r="BT685" i="1"/>
  <c r="BS685" i="1"/>
  <c r="BZ684" i="1"/>
  <c r="CA684" i="1" s="1"/>
  <c r="BY684" i="1"/>
  <c r="BX684" i="1"/>
  <c r="BW684" i="1"/>
  <c r="BV684" i="1"/>
  <c r="BU684" i="1"/>
  <c r="BT684" i="1"/>
  <c r="BS684" i="1"/>
  <c r="BZ683" i="1"/>
  <c r="CA683" i="1" s="1"/>
  <c r="BY683" i="1"/>
  <c r="BX683" i="1"/>
  <c r="BW683" i="1"/>
  <c r="BV683" i="1"/>
  <c r="BU683" i="1"/>
  <c r="BT683" i="1"/>
  <c r="BS683" i="1"/>
  <c r="BZ682" i="1"/>
  <c r="CA682" i="1" s="1"/>
  <c r="BY682" i="1"/>
  <c r="BX682" i="1"/>
  <c r="BW682" i="1"/>
  <c r="BV682" i="1"/>
  <c r="BU682" i="1"/>
  <c r="BT682" i="1"/>
  <c r="BS682" i="1"/>
  <c r="BZ681" i="1"/>
  <c r="CA681" i="1" s="1"/>
  <c r="BY681" i="1"/>
  <c r="BX681" i="1"/>
  <c r="BW681" i="1"/>
  <c r="BV681" i="1"/>
  <c r="BU681" i="1"/>
  <c r="BT681" i="1"/>
  <c r="BS681" i="1"/>
  <c r="BZ680" i="1"/>
  <c r="CA680" i="1" s="1"/>
  <c r="BY680" i="1"/>
  <c r="BX680" i="1"/>
  <c r="BW680" i="1"/>
  <c r="BV680" i="1"/>
  <c r="BU680" i="1"/>
  <c r="BT680" i="1"/>
  <c r="BS680" i="1"/>
  <c r="BZ679" i="1"/>
  <c r="CA679" i="1" s="1"/>
  <c r="BY679" i="1"/>
  <c r="BX679" i="1"/>
  <c r="BW679" i="1"/>
  <c r="BV679" i="1"/>
  <c r="BU679" i="1"/>
  <c r="BT679" i="1"/>
  <c r="BS679" i="1"/>
  <c r="BZ678" i="1"/>
  <c r="CA678" i="1" s="1"/>
  <c r="BY678" i="1"/>
  <c r="BX678" i="1"/>
  <c r="BW678" i="1"/>
  <c r="BV678" i="1"/>
  <c r="BU678" i="1"/>
  <c r="BT678" i="1"/>
  <c r="BS678" i="1"/>
  <c r="BZ677" i="1"/>
  <c r="CA677" i="1" s="1"/>
  <c r="BY677" i="1"/>
  <c r="BX677" i="1"/>
  <c r="BW677" i="1"/>
  <c r="BV677" i="1"/>
  <c r="BU677" i="1"/>
  <c r="BT677" i="1"/>
  <c r="BS677" i="1"/>
  <c r="BZ676" i="1"/>
  <c r="CA676" i="1" s="1"/>
  <c r="BY676" i="1"/>
  <c r="BX676" i="1"/>
  <c r="BW676" i="1"/>
  <c r="BV676" i="1"/>
  <c r="BU676" i="1"/>
  <c r="BT676" i="1"/>
  <c r="BS676" i="1"/>
  <c r="BZ675" i="1"/>
  <c r="CA675" i="1" s="1"/>
  <c r="BY675" i="1"/>
  <c r="BX675" i="1"/>
  <c r="BW675" i="1"/>
  <c r="BV675" i="1"/>
  <c r="BU675" i="1"/>
  <c r="BT675" i="1"/>
  <c r="BS675" i="1"/>
  <c r="BZ674" i="1"/>
  <c r="CA674" i="1" s="1"/>
  <c r="BY674" i="1"/>
  <c r="BX674" i="1"/>
  <c r="BW674" i="1"/>
  <c r="BV674" i="1"/>
  <c r="BU674" i="1"/>
  <c r="BT674" i="1"/>
  <c r="BS674" i="1"/>
  <c r="BZ673" i="1"/>
  <c r="CA673" i="1" s="1"/>
  <c r="BY673" i="1"/>
  <c r="BX673" i="1"/>
  <c r="BW673" i="1"/>
  <c r="BV673" i="1"/>
  <c r="BU673" i="1"/>
  <c r="BT673" i="1"/>
  <c r="BS673" i="1"/>
  <c r="BZ672" i="1"/>
  <c r="CA672" i="1" s="1"/>
  <c r="BY672" i="1"/>
  <c r="BX672" i="1"/>
  <c r="BW672" i="1"/>
  <c r="BV672" i="1"/>
  <c r="BU672" i="1"/>
  <c r="BT672" i="1"/>
  <c r="BS672" i="1"/>
  <c r="BZ671" i="1"/>
  <c r="CA671" i="1" s="1"/>
  <c r="BY671" i="1"/>
  <c r="BX671" i="1"/>
  <c r="BW671" i="1"/>
  <c r="BV671" i="1"/>
  <c r="BU671" i="1"/>
  <c r="BT671" i="1"/>
  <c r="BS671" i="1"/>
  <c r="BZ670" i="1"/>
  <c r="CA670" i="1" s="1"/>
  <c r="BY670" i="1"/>
  <c r="BX670" i="1"/>
  <c r="BW670" i="1"/>
  <c r="BV670" i="1"/>
  <c r="BU670" i="1"/>
  <c r="BT670" i="1"/>
  <c r="BS670" i="1"/>
  <c r="BZ669" i="1"/>
  <c r="CA669" i="1" s="1"/>
  <c r="BY669" i="1"/>
  <c r="BX669" i="1"/>
  <c r="BW669" i="1"/>
  <c r="BV669" i="1"/>
  <c r="BU669" i="1"/>
  <c r="BT669" i="1"/>
  <c r="BS669" i="1"/>
  <c r="BZ668" i="1"/>
  <c r="CA668" i="1" s="1"/>
  <c r="BY668" i="1"/>
  <c r="BX668" i="1"/>
  <c r="BW668" i="1"/>
  <c r="BV668" i="1"/>
  <c r="BU668" i="1"/>
  <c r="BT668" i="1"/>
  <c r="BS668" i="1"/>
  <c r="BZ667" i="1"/>
  <c r="CA667" i="1" s="1"/>
  <c r="BY667" i="1"/>
  <c r="BX667" i="1"/>
  <c r="BW667" i="1"/>
  <c r="BV667" i="1"/>
  <c r="BU667" i="1"/>
  <c r="BT667" i="1"/>
  <c r="BS667" i="1"/>
  <c r="BZ666" i="1"/>
  <c r="CA666" i="1" s="1"/>
  <c r="BY666" i="1"/>
  <c r="BX666" i="1"/>
  <c r="BW666" i="1"/>
  <c r="BV666" i="1"/>
  <c r="BU666" i="1"/>
  <c r="BT666" i="1"/>
  <c r="BS666" i="1"/>
  <c r="BZ665" i="1"/>
  <c r="CA665" i="1" s="1"/>
  <c r="BY665" i="1"/>
  <c r="BX665" i="1"/>
  <c r="BW665" i="1"/>
  <c r="BV665" i="1"/>
  <c r="BU665" i="1"/>
  <c r="BT665" i="1"/>
  <c r="BS665" i="1"/>
  <c r="BZ664" i="1"/>
  <c r="CA664" i="1" s="1"/>
  <c r="BY664" i="1"/>
  <c r="BX664" i="1"/>
  <c r="BW664" i="1"/>
  <c r="BV664" i="1"/>
  <c r="BU664" i="1"/>
  <c r="BT664" i="1"/>
  <c r="BS664" i="1"/>
  <c r="BZ663" i="1"/>
  <c r="CA663" i="1" s="1"/>
  <c r="BY663" i="1"/>
  <c r="BX663" i="1"/>
  <c r="BW663" i="1"/>
  <c r="BV663" i="1"/>
  <c r="BU663" i="1"/>
  <c r="BT663" i="1"/>
  <c r="BS663" i="1"/>
  <c r="BZ662" i="1"/>
  <c r="CA662" i="1" s="1"/>
  <c r="BY662" i="1"/>
  <c r="BX662" i="1"/>
  <c r="BW662" i="1"/>
  <c r="BV662" i="1"/>
  <c r="BU662" i="1"/>
  <c r="BT662" i="1"/>
  <c r="BS662" i="1"/>
  <c r="BZ661" i="1"/>
  <c r="CA661" i="1" s="1"/>
  <c r="BY661" i="1"/>
  <c r="BX661" i="1"/>
  <c r="BW661" i="1"/>
  <c r="BV661" i="1"/>
  <c r="BU661" i="1"/>
  <c r="BT661" i="1"/>
  <c r="BS661" i="1"/>
  <c r="BZ660" i="1"/>
  <c r="CA660" i="1" s="1"/>
  <c r="BY660" i="1"/>
  <c r="BX660" i="1"/>
  <c r="BW660" i="1"/>
  <c r="BV660" i="1"/>
  <c r="BU660" i="1"/>
  <c r="BT660" i="1"/>
  <c r="BS660" i="1"/>
  <c r="BZ659" i="1"/>
  <c r="CA659" i="1" s="1"/>
  <c r="BY659" i="1"/>
  <c r="BX659" i="1"/>
  <c r="BW659" i="1"/>
  <c r="BV659" i="1"/>
  <c r="BU659" i="1"/>
  <c r="BT659" i="1"/>
  <c r="BS659" i="1"/>
  <c r="BZ658" i="1"/>
  <c r="CA658" i="1" s="1"/>
  <c r="BY658" i="1"/>
  <c r="BX658" i="1"/>
  <c r="BW658" i="1"/>
  <c r="BV658" i="1"/>
  <c r="BU658" i="1"/>
  <c r="BT658" i="1"/>
  <c r="BS658" i="1"/>
  <c r="BZ657" i="1"/>
  <c r="CA657" i="1" s="1"/>
  <c r="BY657" i="1"/>
  <c r="BX657" i="1"/>
  <c r="BW657" i="1"/>
  <c r="BV657" i="1"/>
  <c r="BU657" i="1"/>
  <c r="BT657" i="1"/>
  <c r="BS657" i="1"/>
  <c r="BZ656" i="1"/>
  <c r="CA656" i="1" s="1"/>
  <c r="BY656" i="1"/>
  <c r="BX656" i="1"/>
  <c r="BW656" i="1"/>
  <c r="BV656" i="1"/>
  <c r="BU656" i="1"/>
  <c r="BT656" i="1"/>
  <c r="BS656" i="1"/>
  <c r="BZ655" i="1"/>
  <c r="CA655" i="1" s="1"/>
  <c r="BY655" i="1"/>
  <c r="BX655" i="1"/>
  <c r="BW655" i="1"/>
  <c r="BV655" i="1"/>
  <c r="BU655" i="1"/>
  <c r="BT655" i="1"/>
  <c r="BS655" i="1"/>
  <c r="BZ654" i="1"/>
  <c r="CA654" i="1" s="1"/>
  <c r="BY654" i="1"/>
  <c r="BX654" i="1"/>
  <c r="BW654" i="1"/>
  <c r="BV654" i="1"/>
  <c r="BU654" i="1"/>
  <c r="BT654" i="1"/>
  <c r="BS654" i="1"/>
  <c r="BZ653" i="1"/>
  <c r="CA653" i="1" s="1"/>
  <c r="BY653" i="1"/>
  <c r="BX653" i="1"/>
  <c r="BW653" i="1"/>
  <c r="BV653" i="1"/>
  <c r="BU653" i="1"/>
  <c r="BT653" i="1"/>
  <c r="BS653" i="1"/>
  <c r="BZ652" i="1"/>
  <c r="CA652" i="1" s="1"/>
  <c r="BY652" i="1"/>
  <c r="BX652" i="1"/>
  <c r="BW652" i="1"/>
  <c r="BV652" i="1"/>
  <c r="BU652" i="1"/>
  <c r="BT652" i="1"/>
  <c r="BS652" i="1"/>
  <c r="BZ651" i="1"/>
  <c r="CA651" i="1" s="1"/>
  <c r="BY651" i="1"/>
  <c r="BX651" i="1"/>
  <c r="BW651" i="1"/>
  <c r="BV651" i="1"/>
  <c r="BU651" i="1"/>
  <c r="BT651" i="1"/>
  <c r="BS651" i="1"/>
  <c r="BZ650" i="1"/>
  <c r="CA650" i="1" s="1"/>
  <c r="BY650" i="1"/>
  <c r="BX650" i="1"/>
  <c r="BW650" i="1"/>
  <c r="BV650" i="1"/>
  <c r="BU650" i="1"/>
  <c r="BT650" i="1"/>
  <c r="BS650" i="1"/>
  <c r="BZ649" i="1"/>
  <c r="CA649" i="1" s="1"/>
  <c r="BY649" i="1"/>
  <c r="BX649" i="1"/>
  <c r="BW649" i="1"/>
  <c r="BV649" i="1"/>
  <c r="BU649" i="1"/>
  <c r="BT649" i="1"/>
  <c r="BS649" i="1"/>
  <c r="BZ648" i="1"/>
  <c r="CA648" i="1" s="1"/>
  <c r="BY648" i="1"/>
  <c r="BX648" i="1"/>
  <c r="BW648" i="1"/>
  <c r="BV648" i="1"/>
  <c r="BU648" i="1"/>
  <c r="BT648" i="1"/>
  <c r="BS648" i="1"/>
  <c r="BZ647" i="1"/>
  <c r="CA647" i="1" s="1"/>
  <c r="BY647" i="1"/>
  <c r="BX647" i="1"/>
  <c r="BW647" i="1"/>
  <c r="BV647" i="1"/>
  <c r="BU647" i="1"/>
  <c r="BT647" i="1"/>
  <c r="BS647" i="1"/>
  <c r="BZ646" i="1"/>
  <c r="CA646" i="1" s="1"/>
  <c r="BY646" i="1"/>
  <c r="BX646" i="1"/>
  <c r="BW646" i="1"/>
  <c r="BV646" i="1"/>
  <c r="BU646" i="1"/>
  <c r="BT646" i="1"/>
  <c r="BS646" i="1"/>
  <c r="BZ645" i="1"/>
  <c r="CA645" i="1" s="1"/>
  <c r="BY645" i="1"/>
  <c r="BX645" i="1"/>
  <c r="BW645" i="1"/>
  <c r="BV645" i="1"/>
  <c r="BU645" i="1"/>
  <c r="BT645" i="1"/>
  <c r="BS645" i="1"/>
  <c r="BZ644" i="1"/>
  <c r="CA644" i="1" s="1"/>
  <c r="BY644" i="1"/>
  <c r="BX644" i="1"/>
  <c r="BW644" i="1"/>
  <c r="BV644" i="1"/>
  <c r="BU644" i="1"/>
  <c r="BT644" i="1"/>
  <c r="BS644" i="1"/>
  <c r="BZ643" i="1"/>
  <c r="CA643" i="1" s="1"/>
  <c r="BY643" i="1"/>
  <c r="BX643" i="1"/>
  <c r="BW643" i="1"/>
  <c r="BV643" i="1"/>
  <c r="BU643" i="1"/>
  <c r="BT643" i="1"/>
  <c r="BS643" i="1"/>
  <c r="BZ642" i="1"/>
  <c r="CA642" i="1" s="1"/>
  <c r="BY642" i="1"/>
  <c r="BX642" i="1"/>
  <c r="BW642" i="1"/>
  <c r="BV642" i="1"/>
  <c r="BU642" i="1"/>
  <c r="BT642" i="1"/>
  <c r="BS642" i="1"/>
  <c r="BZ641" i="1"/>
  <c r="CA641" i="1" s="1"/>
  <c r="BY641" i="1"/>
  <c r="BX641" i="1"/>
  <c r="BW641" i="1"/>
  <c r="BV641" i="1"/>
  <c r="BU641" i="1"/>
  <c r="BT641" i="1"/>
  <c r="BS641" i="1"/>
  <c r="BZ640" i="1"/>
  <c r="CA640" i="1" s="1"/>
  <c r="BY640" i="1"/>
  <c r="BX640" i="1"/>
  <c r="BW640" i="1"/>
  <c r="BV640" i="1"/>
  <c r="BU640" i="1"/>
  <c r="BT640" i="1"/>
  <c r="BS640" i="1"/>
  <c r="BZ639" i="1"/>
  <c r="CA639" i="1" s="1"/>
  <c r="BY639" i="1"/>
  <c r="BX639" i="1"/>
  <c r="BW639" i="1"/>
  <c r="BV639" i="1"/>
  <c r="BU639" i="1"/>
  <c r="BT639" i="1"/>
  <c r="BS639" i="1"/>
  <c r="BZ638" i="1"/>
  <c r="CA638" i="1" s="1"/>
  <c r="BY638" i="1"/>
  <c r="BX638" i="1"/>
  <c r="BW638" i="1"/>
  <c r="BV638" i="1"/>
  <c r="BU638" i="1"/>
  <c r="BT638" i="1"/>
  <c r="BS638" i="1"/>
  <c r="BZ637" i="1"/>
  <c r="CA637" i="1" s="1"/>
  <c r="BY637" i="1"/>
  <c r="BX637" i="1"/>
  <c r="BW637" i="1"/>
  <c r="BV637" i="1"/>
  <c r="BU637" i="1"/>
  <c r="BT637" i="1"/>
  <c r="BS637" i="1"/>
  <c r="BZ636" i="1"/>
  <c r="CA636" i="1" s="1"/>
  <c r="BY636" i="1"/>
  <c r="BX636" i="1"/>
  <c r="BW636" i="1"/>
  <c r="BV636" i="1"/>
  <c r="BU636" i="1"/>
  <c r="BT636" i="1"/>
  <c r="BS636" i="1"/>
  <c r="BZ635" i="1"/>
  <c r="CA635" i="1" s="1"/>
  <c r="BY635" i="1"/>
  <c r="BX635" i="1"/>
  <c r="BW635" i="1"/>
  <c r="BV635" i="1"/>
  <c r="BU635" i="1"/>
  <c r="BT635" i="1"/>
  <c r="BS635" i="1"/>
  <c r="BZ634" i="1"/>
  <c r="CA634" i="1" s="1"/>
  <c r="BY634" i="1"/>
  <c r="BX634" i="1"/>
  <c r="BW634" i="1"/>
  <c r="BV634" i="1"/>
  <c r="BU634" i="1"/>
  <c r="BT634" i="1"/>
  <c r="BS634" i="1"/>
  <c r="BZ633" i="1"/>
  <c r="CA633" i="1" s="1"/>
  <c r="BY633" i="1"/>
  <c r="BX633" i="1"/>
  <c r="BW633" i="1"/>
  <c r="BV633" i="1"/>
  <c r="BU633" i="1"/>
  <c r="BT633" i="1"/>
  <c r="BS633" i="1"/>
  <c r="BZ632" i="1"/>
  <c r="CA632" i="1" s="1"/>
  <c r="BY632" i="1"/>
  <c r="BX632" i="1"/>
  <c r="BW632" i="1"/>
  <c r="BV632" i="1"/>
  <c r="BU632" i="1"/>
  <c r="BT632" i="1"/>
  <c r="BS632" i="1"/>
  <c r="BZ631" i="1"/>
  <c r="CA631" i="1" s="1"/>
  <c r="BY631" i="1"/>
  <c r="BX631" i="1"/>
  <c r="BW631" i="1"/>
  <c r="BV631" i="1"/>
  <c r="BU631" i="1"/>
  <c r="BT631" i="1"/>
  <c r="BS631" i="1"/>
  <c r="BZ630" i="1"/>
  <c r="CA630" i="1" s="1"/>
  <c r="BY630" i="1"/>
  <c r="BX630" i="1"/>
  <c r="BW630" i="1"/>
  <c r="BV630" i="1"/>
  <c r="BU630" i="1"/>
  <c r="BT630" i="1"/>
  <c r="BS630" i="1"/>
  <c r="BZ629" i="1"/>
  <c r="CA629" i="1" s="1"/>
  <c r="BY629" i="1"/>
  <c r="BX629" i="1"/>
  <c r="BW629" i="1"/>
  <c r="BV629" i="1"/>
  <c r="BU629" i="1"/>
  <c r="BT629" i="1"/>
  <c r="BS629" i="1"/>
  <c r="BZ628" i="1"/>
  <c r="CA628" i="1" s="1"/>
  <c r="BY628" i="1"/>
  <c r="BX628" i="1"/>
  <c r="BW628" i="1"/>
  <c r="BV628" i="1"/>
  <c r="BU628" i="1"/>
  <c r="BT628" i="1"/>
  <c r="BS628" i="1"/>
  <c r="BZ627" i="1"/>
  <c r="CA627" i="1" s="1"/>
  <c r="BY627" i="1"/>
  <c r="BX627" i="1"/>
  <c r="BW627" i="1"/>
  <c r="BV627" i="1"/>
  <c r="BU627" i="1"/>
  <c r="BT627" i="1"/>
  <c r="BS627" i="1"/>
  <c r="BZ626" i="1"/>
  <c r="CA626" i="1" s="1"/>
  <c r="BY626" i="1"/>
  <c r="BX626" i="1"/>
  <c r="BW626" i="1"/>
  <c r="BV626" i="1"/>
  <c r="BU626" i="1"/>
  <c r="BT626" i="1"/>
  <c r="BS626" i="1"/>
  <c r="BZ625" i="1"/>
  <c r="CA625" i="1" s="1"/>
  <c r="BY625" i="1"/>
  <c r="BX625" i="1"/>
  <c r="BW625" i="1"/>
  <c r="BV625" i="1"/>
  <c r="BU625" i="1"/>
  <c r="BT625" i="1"/>
  <c r="BS625" i="1"/>
  <c r="BZ624" i="1"/>
  <c r="CA624" i="1" s="1"/>
  <c r="BY624" i="1"/>
  <c r="BX624" i="1"/>
  <c r="BW624" i="1"/>
  <c r="BV624" i="1"/>
  <c r="BU624" i="1"/>
  <c r="BT624" i="1"/>
  <c r="BS624" i="1"/>
  <c r="BZ623" i="1"/>
  <c r="CA623" i="1" s="1"/>
  <c r="BY623" i="1"/>
  <c r="BX623" i="1"/>
  <c r="BW623" i="1"/>
  <c r="BV623" i="1"/>
  <c r="BU623" i="1"/>
  <c r="BT623" i="1"/>
  <c r="BS623" i="1"/>
  <c r="BZ622" i="1"/>
  <c r="CA622" i="1" s="1"/>
  <c r="BY622" i="1"/>
  <c r="BX622" i="1"/>
  <c r="BW622" i="1"/>
  <c r="BV622" i="1"/>
  <c r="BU622" i="1"/>
  <c r="BT622" i="1"/>
  <c r="BS622" i="1"/>
  <c r="BZ621" i="1"/>
  <c r="CA621" i="1" s="1"/>
  <c r="BY621" i="1"/>
  <c r="BX621" i="1"/>
  <c r="BW621" i="1"/>
  <c r="BV621" i="1"/>
  <c r="BU621" i="1"/>
  <c r="BT621" i="1"/>
  <c r="BS621" i="1"/>
  <c r="BZ620" i="1"/>
  <c r="CA620" i="1" s="1"/>
  <c r="BY620" i="1"/>
  <c r="BX620" i="1"/>
  <c r="BW620" i="1"/>
  <c r="BV620" i="1"/>
  <c r="BU620" i="1"/>
  <c r="BT620" i="1"/>
  <c r="BS620" i="1"/>
  <c r="BZ619" i="1"/>
  <c r="CA619" i="1" s="1"/>
  <c r="BY619" i="1"/>
  <c r="BX619" i="1"/>
  <c r="BW619" i="1"/>
  <c r="BV619" i="1"/>
  <c r="BU619" i="1"/>
  <c r="BT619" i="1"/>
  <c r="BS619" i="1"/>
  <c r="BZ618" i="1"/>
  <c r="CA618" i="1" s="1"/>
  <c r="BY618" i="1"/>
  <c r="BX618" i="1"/>
  <c r="BW618" i="1"/>
  <c r="BV618" i="1"/>
  <c r="BU618" i="1"/>
  <c r="BT618" i="1"/>
  <c r="BS618" i="1"/>
  <c r="BZ617" i="1"/>
  <c r="CA617" i="1" s="1"/>
  <c r="BY617" i="1"/>
  <c r="BX617" i="1"/>
  <c r="BW617" i="1"/>
  <c r="BV617" i="1"/>
  <c r="BU617" i="1"/>
  <c r="BT617" i="1"/>
  <c r="BS617" i="1"/>
  <c r="BZ616" i="1"/>
  <c r="CA616" i="1" s="1"/>
  <c r="BY616" i="1"/>
  <c r="BX616" i="1"/>
  <c r="BW616" i="1"/>
  <c r="BV616" i="1"/>
  <c r="BU616" i="1"/>
  <c r="BT616" i="1"/>
  <c r="BS616" i="1"/>
  <c r="BZ615" i="1"/>
  <c r="CA615" i="1" s="1"/>
  <c r="BY615" i="1"/>
  <c r="BX615" i="1"/>
  <c r="BW615" i="1"/>
  <c r="BV615" i="1"/>
  <c r="BU615" i="1"/>
  <c r="BT615" i="1"/>
  <c r="BS615" i="1"/>
  <c r="BZ614" i="1"/>
  <c r="CA614" i="1" s="1"/>
  <c r="BY614" i="1"/>
  <c r="BX614" i="1"/>
  <c r="BW614" i="1"/>
  <c r="BV614" i="1"/>
  <c r="BU614" i="1"/>
  <c r="BT614" i="1"/>
  <c r="BS614" i="1"/>
  <c r="BZ613" i="1"/>
  <c r="CA613" i="1" s="1"/>
  <c r="BY613" i="1"/>
  <c r="BX613" i="1"/>
  <c r="BW613" i="1"/>
  <c r="BV613" i="1"/>
  <c r="BU613" i="1"/>
  <c r="BT613" i="1"/>
  <c r="BS613" i="1"/>
  <c r="BZ612" i="1"/>
  <c r="CA612" i="1" s="1"/>
  <c r="BY612" i="1"/>
  <c r="BX612" i="1"/>
  <c r="BW612" i="1"/>
  <c r="BV612" i="1"/>
  <c r="BU612" i="1"/>
  <c r="BT612" i="1"/>
  <c r="BS612" i="1"/>
  <c r="BZ611" i="1"/>
  <c r="CA611" i="1" s="1"/>
  <c r="BY611" i="1"/>
  <c r="BX611" i="1"/>
  <c r="BW611" i="1"/>
  <c r="BV611" i="1"/>
  <c r="BU611" i="1"/>
  <c r="BT611" i="1"/>
  <c r="BS611" i="1"/>
  <c r="BZ610" i="1"/>
  <c r="CA610" i="1" s="1"/>
  <c r="BY610" i="1"/>
  <c r="BX610" i="1"/>
  <c r="BW610" i="1"/>
  <c r="BV610" i="1"/>
  <c r="BU610" i="1"/>
  <c r="BT610" i="1"/>
  <c r="BS610" i="1"/>
  <c r="BZ609" i="1"/>
  <c r="CA609" i="1" s="1"/>
  <c r="BY609" i="1"/>
  <c r="BX609" i="1"/>
  <c r="BW609" i="1"/>
  <c r="BV609" i="1"/>
  <c r="BU609" i="1"/>
  <c r="BT609" i="1"/>
  <c r="BS609" i="1"/>
  <c r="BZ608" i="1"/>
  <c r="CA608" i="1" s="1"/>
  <c r="BY608" i="1"/>
  <c r="BX608" i="1"/>
  <c r="BW608" i="1"/>
  <c r="BV608" i="1"/>
  <c r="BU608" i="1"/>
  <c r="BT608" i="1"/>
  <c r="BS608" i="1"/>
  <c r="BZ607" i="1"/>
  <c r="CA607" i="1" s="1"/>
  <c r="BY607" i="1"/>
  <c r="BX607" i="1"/>
  <c r="BW607" i="1"/>
  <c r="BV607" i="1"/>
  <c r="BU607" i="1"/>
  <c r="BT607" i="1"/>
  <c r="BS607" i="1"/>
  <c r="BZ606" i="1"/>
  <c r="CA606" i="1" s="1"/>
  <c r="BY606" i="1"/>
  <c r="BX606" i="1"/>
  <c r="BW606" i="1"/>
  <c r="BV606" i="1"/>
  <c r="BU606" i="1"/>
  <c r="BT606" i="1"/>
  <c r="BS606" i="1"/>
  <c r="BZ605" i="1"/>
  <c r="CA605" i="1" s="1"/>
  <c r="BY605" i="1"/>
  <c r="BX605" i="1"/>
  <c r="BW605" i="1"/>
  <c r="BV605" i="1"/>
  <c r="BU605" i="1"/>
  <c r="BT605" i="1"/>
  <c r="BS605" i="1"/>
  <c r="BZ604" i="1"/>
  <c r="CA604" i="1" s="1"/>
  <c r="BY604" i="1"/>
  <c r="BX604" i="1"/>
  <c r="BW604" i="1"/>
  <c r="BV604" i="1"/>
  <c r="BU604" i="1"/>
  <c r="BT604" i="1"/>
  <c r="BS604" i="1"/>
  <c r="BZ603" i="1"/>
  <c r="CA603" i="1" s="1"/>
  <c r="BY603" i="1"/>
  <c r="BX603" i="1"/>
  <c r="BW603" i="1"/>
  <c r="BV603" i="1"/>
  <c r="BU603" i="1"/>
  <c r="BT603" i="1"/>
  <c r="BS603" i="1"/>
  <c r="BC603" i="1"/>
  <c r="BZ602" i="1"/>
  <c r="CA602" i="1" s="1"/>
  <c r="BY602" i="1"/>
  <c r="BX602" i="1"/>
  <c r="BW602" i="1"/>
  <c r="BV602" i="1"/>
  <c r="BU602" i="1"/>
  <c r="BT602" i="1"/>
  <c r="BS602" i="1"/>
  <c r="BZ601" i="1"/>
  <c r="CA601" i="1" s="1"/>
  <c r="BY601" i="1"/>
  <c r="BX601" i="1"/>
  <c r="BW601" i="1"/>
  <c r="BV601" i="1"/>
  <c r="BU601" i="1"/>
  <c r="BT601" i="1"/>
  <c r="BS601" i="1"/>
  <c r="BC601" i="1"/>
  <c r="BZ600" i="1"/>
  <c r="CA600" i="1" s="1"/>
  <c r="BY600" i="1"/>
  <c r="BX600" i="1"/>
  <c r="BW600" i="1"/>
  <c r="BV600" i="1"/>
  <c r="BU600" i="1"/>
  <c r="BT600" i="1"/>
  <c r="BS600" i="1"/>
  <c r="BZ599" i="1"/>
  <c r="CA599" i="1" s="1"/>
  <c r="BY599" i="1"/>
  <c r="BX599" i="1"/>
  <c r="BW599" i="1"/>
  <c r="BV599" i="1"/>
  <c r="BU599" i="1"/>
  <c r="BT599" i="1"/>
  <c r="BS599" i="1"/>
  <c r="BC599" i="1"/>
  <c r="BZ598" i="1"/>
  <c r="CA598" i="1" s="1"/>
  <c r="BY598" i="1"/>
  <c r="BX598" i="1"/>
  <c r="BW598" i="1"/>
  <c r="BV598" i="1"/>
  <c r="BU598" i="1"/>
  <c r="BT598" i="1"/>
  <c r="BS598" i="1"/>
  <c r="BZ597" i="1"/>
  <c r="CA597" i="1" s="1"/>
  <c r="BY597" i="1"/>
  <c r="BX597" i="1"/>
  <c r="BW597" i="1"/>
  <c r="BV597" i="1"/>
  <c r="BU597" i="1"/>
  <c r="BT597" i="1"/>
  <c r="BS597" i="1"/>
  <c r="BC597" i="1"/>
  <c r="BZ596" i="1"/>
  <c r="CA596" i="1" s="1"/>
  <c r="BY596" i="1"/>
  <c r="BX596" i="1"/>
  <c r="BW596" i="1"/>
  <c r="BV596" i="1"/>
  <c r="BU596" i="1"/>
  <c r="BT596" i="1"/>
  <c r="BS596" i="1"/>
  <c r="BZ595" i="1"/>
  <c r="CA595" i="1" s="1"/>
  <c r="BY595" i="1"/>
  <c r="BX595" i="1"/>
  <c r="BW595" i="1"/>
  <c r="BV595" i="1"/>
  <c r="BU595" i="1"/>
  <c r="BT595" i="1"/>
  <c r="BS595" i="1"/>
  <c r="BC595" i="1"/>
  <c r="BZ594" i="1"/>
  <c r="CA594" i="1" s="1"/>
  <c r="BY594" i="1"/>
  <c r="BX594" i="1"/>
  <c r="BW594" i="1"/>
  <c r="BV594" i="1"/>
  <c r="BU594" i="1"/>
  <c r="BT594" i="1"/>
  <c r="BS594" i="1"/>
  <c r="BZ593" i="1"/>
  <c r="CA593" i="1" s="1"/>
  <c r="BY593" i="1"/>
  <c r="BX593" i="1"/>
  <c r="BW593" i="1"/>
  <c r="BV593" i="1"/>
  <c r="BU593" i="1"/>
  <c r="BT593" i="1"/>
  <c r="BS593" i="1"/>
  <c r="BC593" i="1"/>
  <c r="BZ592" i="1"/>
  <c r="CA592" i="1" s="1"/>
  <c r="BY592" i="1"/>
  <c r="BX592" i="1"/>
  <c r="BW592" i="1"/>
  <c r="BV592" i="1"/>
  <c r="BU592" i="1"/>
  <c r="BT592" i="1"/>
  <c r="BS592" i="1"/>
  <c r="BZ591" i="1"/>
  <c r="CA591" i="1" s="1"/>
  <c r="BY591" i="1"/>
  <c r="BX591" i="1"/>
  <c r="BW591" i="1"/>
  <c r="BV591" i="1"/>
  <c r="BU591" i="1"/>
  <c r="BT591" i="1"/>
  <c r="BS591" i="1"/>
  <c r="BC591" i="1"/>
  <c r="BZ590" i="1"/>
  <c r="CA590" i="1" s="1"/>
  <c r="BY590" i="1"/>
  <c r="BX590" i="1"/>
  <c r="BW590" i="1"/>
  <c r="BV590" i="1"/>
  <c r="BU590" i="1"/>
  <c r="BT590" i="1"/>
  <c r="BS590" i="1"/>
  <c r="BZ589" i="1"/>
  <c r="CA589" i="1" s="1"/>
  <c r="BY589" i="1"/>
  <c r="BX589" i="1"/>
  <c r="BW589" i="1"/>
  <c r="BV589" i="1"/>
  <c r="BU589" i="1"/>
  <c r="BT589" i="1"/>
  <c r="BS589" i="1"/>
  <c r="BC589" i="1"/>
  <c r="BZ588" i="1"/>
  <c r="CA588" i="1" s="1"/>
  <c r="BY588" i="1"/>
  <c r="BX588" i="1"/>
  <c r="BW588" i="1"/>
  <c r="BV588" i="1"/>
  <c r="BU588" i="1"/>
  <c r="BT588" i="1"/>
  <c r="BS588" i="1"/>
  <c r="BZ587" i="1"/>
  <c r="CA587" i="1" s="1"/>
  <c r="BY587" i="1"/>
  <c r="BX587" i="1"/>
  <c r="BW587" i="1"/>
  <c r="BV587" i="1"/>
  <c r="BU587" i="1"/>
  <c r="BT587" i="1"/>
  <c r="BS587" i="1"/>
  <c r="BC587" i="1"/>
  <c r="BZ586" i="1"/>
  <c r="CA586" i="1" s="1"/>
  <c r="BY586" i="1"/>
  <c r="BX586" i="1"/>
  <c r="BW586" i="1"/>
  <c r="BV586" i="1"/>
  <c r="BU586" i="1"/>
  <c r="BT586" i="1"/>
  <c r="BS586" i="1"/>
  <c r="BZ585" i="1"/>
  <c r="CA585" i="1" s="1"/>
  <c r="BY585" i="1"/>
  <c r="BX585" i="1"/>
  <c r="BW585" i="1"/>
  <c r="BV585" i="1"/>
  <c r="BU585" i="1"/>
  <c r="BT585" i="1"/>
  <c r="BS585" i="1"/>
  <c r="BC585" i="1"/>
  <c r="BZ584" i="1"/>
  <c r="CA584" i="1" s="1"/>
  <c r="BY584" i="1"/>
  <c r="BX584" i="1"/>
  <c r="BW584" i="1"/>
  <c r="BV584" i="1"/>
  <c r="BU584" i="1"/>
  <c r="BT584" i="1"/>
  <c r="BS584" i="1"/>
  <c r="BZ583" i="1"/>
  <c r="CA583" i="1" s="1"/>
  <c r="BY583" i="1"/>
  <c r="BX583" i="1"/>
  <c r="BW583" i="1"/>
  <c r="BV583" i="1"/>
  <c r="BU583" i="1"/>
  <c r="BT583" i="1"/>
  <c r="BS583" i="1"/>
  <c r="BC583" i="1"/>
  <c r="BZ582" i="1"/>
  <c r="CA582" i="1" s="1"/>
  <c r="BY582" i="1"/>
  <c r="BX582" i="1"/>
  <c r="BW582" i="1"/>
  <c r="BV582" i="1"/>
  <c r="BU582" i="1"/>
  <c r="BT582" i="1"/>
  <c r="BS582" i="1"/>
  <c r="BZ581" i="1"/>
  <c r="CA581" i="1" s="1"/>
  <c r="BY581" i="1"/>
  <c r="BX581" i="1"/>
  <c r="BW581" i="1"/>
  <c r="BV581" i="1"/>
  <c r="BU581" i="1"/>
  <c r="BT581" i="1"/>
  <c r="BS581" i="1"/>
  <c r="BC581" i="1"/>
  <c r="BZ580" i="1"/>
  <c r="CA580" i="1" s="1"/>
  <c r="BY580" i="1"/>
  <c r="BX580" i="1"/>
  <c r="BW580" i="1"/>
  <c r="BV580" i="1"/>
  <c r="BU580" i="1"/>
  <c r="BT580" i="1"/>
  <c r="BS580" i="1"/>
  <c r="BZ579" i="1"/>
  <c r="CA579" i="1" s="1"/>
  <c r="BY579" i="1"/>
  <c r="BX579" i="1"/>
  <c r="BW579" i="1"/>
  <c r="BV579" i="1"/>
  <c r="BU579" i="1"/>
  <c r="BT579" i="1"/>
  <c r="BS579" i="1"/>
  <c r="BC579" i="1"/>
  <c r="BZ578" i="1"/>
  <c r="CA578" i="1" s="1"/>
  <c r="BY578" i="1"/>
  <c r="BX578" i="1"/>
  <c r="BW578" i="1"/>
  <c r="BV578" i="1"/>
  <c r="BU578" i="1"/>
  <c r="BT578" i="1"/>
  <c r="BS578" i="1"/>
  <c r="BZ577" i="1"/>
  <c r="CA577" i="1" s="1"/>
  <c r="BY577" i="1"/>
  <c r="BX577" i="1"/>
  <c r="BW577" i="1"/>
  <c r="BV577" i="1"/>
  <c r="BU577" i="1"/>
  <c r="BT577" i="1"/>
  <c r="BS577" i="1"/>
  <c r="BC577" i="1"/>
  <c r="BZ576" i="1"/>
  <c r="CA576" i="1" s="1"/>
  <c r="BY576" i="1"/>
  <c r="BX576" i="1"/>
  <c r="BW576" i="1"/>
  <c r="BV576" i="1"/>
  <c r="BU576" i="1"/>
  <c r="BT576" i="1"/>
  <c r="BS576" i="1"/>
  <c r="BZ575" i="1"/>
  <c r="CA575" i="1" s="1"/>
  <c r="BY575" i="1"/>
  <c r="BX575" i="1"/>
  <c r="BW575" i="1"/>
  <c r="BV575" i="1"/>
  <c r="BU575" i="1"/>
  <c r="BT575" i="1"/>
  <c r="BS575" i="1"/>
  <c r="BC575" i="1"/>
  <c r="BZ574" i="1"/>
  <c r="CA574" i="1" s="1"/>
  <c r="BY574" i="1"/>
  <c r="BX574" i="1"/>
  <c r="BW574" i="1"/>
  <c r="BV574" i="1"/>
  <c r="BU574" i="1"/>
  <c r="BT574" i="1"/>
  <c r="BS574" i="1"/>
  <c r="BZ573" i="1"/>
  <c r="CA573" i="1" s="1"/>
  <c r="BY573" i="1"/>
  <c r="BX573" i="1"/>
  <c r="BW573" i="1"/>
  <c r="BV573" i="1"/>
  <c r="BU573" i="1"/>
  <c r="BT573" i="1"/>
  <c r="BS573" i="1"/>
  <c r="BC573" i="1"/>
  <c r="BZ572" i="1"/>
  <c r="CA572" i="1" s="1"/>
  <c r="BY572" i="1"/>
  <c r="BX572" i="1"/>
  <c r="BW572" i="1"/>
  <c r="BV572" i="1"/>
  <c r="BU572" i="1"/>
  <c r="BT572" i="1"/>
  <c r="BS572" i="1"/>
  <c r="BZ571" i="1"/>
  <c r="CA571" i="1" s="1"/>
  <c r="BY571" i="1"/>
  <c r="BX571" i="1"/>
  <c r="BW571" i="1"/>
  <c r="BV571" i="1"/>
  <c r="BU571" i="1"/>
  <c r="BT571" i="1"/>
  <c r="BS571" i="1"/>
  <c r="BC571" i="1"/>
  <c r="BZ570" i="1"/>
  <c r="CA570" i="1" s="1"/>
  <c r="BY570" i="1"/>
  <c r="BX570" i="1"/>
  <c r="BW570" i="1"/>
  <c r="BV570" i="1"/>
  <c r="BU570" i="1"/>
  <c r="BT570" i="1"/>
  <c r="BS570" i="1"/>
  <c r="BZ569" i="1"/>
  <c r="CA569" i="1" s="1"/>
  <c r="BY569" i="1"/>
  <c r="BX569" i="1"/>
  <c r="BW569" i="1"/>
  <c r="BV569" i="1"/>
  <c r="BU569" i="1"/>
  <c r="BT569" i="1"/>
  <c r="BS569" i="1"/>
  <c r="BC569" i="1"/>
  <c r="BZ568" i="1"/>
  <c r="CA568" i="1" s="1"/>
  <c r="BY568" i="1"/>
  <c r="BX568" i="1"/>
  <c r="BW568" i="1"/>
  <c r="BV568" i="1"/>
  <c r="BU568" i="1"/>
  <c r="BT568" i="1"/>
  <c r="BS568" i="1"/>
  <c r="BZ567" i="1"/>
  <c r="CA567" i="1" s="1"/>
  <c r="BY567" i="1"/>
  <c r="BX567" i="1"/>
  <c r="BW567" i="1"/>
  <c r="BV567" i="1"/>
  <c r="BU567" i="1"/>
  <c r="BT567" i="1"/>
  <c r="BS567" i="1"/>
  <c r="BC567" i="1"/>
  <c r="BZ566" i="1"/>
  <c r="CA566" i="1" s="1"/>
  <c r="BY566" i="1"/>
  <c r="BX566" i="1"/>
  <c r="BW566" i="1"/>
  <c r="BV566" i="1"/>
  <c r="BU566" i="1"/>
  <c r="BT566" i="1"/>
  <c r="BS566" i="1"/>
  <c r="BZ565" i="1"/>
  <c r="CA565" i="1" s="1"/>
  <c r="BY565" i="1"/>
  <c r="BX565" i="1"/>
  <c r="BW565" i="1"/>
  <c r="BV565" i="1"/>
  <c r="BU565" i="1"/>
  <c r="BT565" i="1"/>
  <c r="BS565" i="1"/>
  <c r="BC565" i="1"/>
  <c r="BZ564" i="1"/>
  <c r="CA564" i="1" s="1"/>
  <c r="BY564" i="1"/>
  <c r="BX564" i="1"/>
  <c r="BW564" i="1"/>
  <c r="BV564" i="1"/>
  <c r="BU564" i="1"/>
  <c r="BT564" i="1"/>
  <c r="BS564" i="1"/>
  <c r="BZ563" i="1"/>
  <c r="CA563" i="1" s="1"/>
  <c r="BY563" i="1"/>
  <c r="BX563" i="1"/>
  <c r="BW563" i="1"/>
  <c r="BV563" i="1"/>
  <c r="BU563" i="1"/>
  <c r="BT563" i="1"/>
  <c r="BS563" i="1"/>
  <c r="BC563" i="1"/>
  <c r="BZ562" i="1"/>
  <c r="CA562" i="1" s="1"/>
  <c r="BY562" i="1"/>
  <c r="BX562" i="1"/>
  <c r="BW562" i="1"/>
  <c r="BV562" i="1"/>
  <c r="BU562" i="1"/>
  <c r="BT562" i="1"/>
  <c r="BS562" i="1"/>
  <c r="BZ561" i="1"/>
  <c r="CA561" i="1" s="1"/>
  <c r="BY561" i="1"/>
  <c r="BX561" i="1"/>
  <c r="BW561" i="1"/>
  <c r="BV561" i="1"/>
  <c r="BU561" i="1"/>
  <c r="BT561" i="1"/>
  <c r="BS561" i="1"/>
  <c r="BC561" i="1"/>
  <c r="BZ560" i="1"/>
  <c r="CA560" i="1" s="1"/>
  <c r="BY560" i="1"/>
  <c r="BX560" i="1"/>
  <c r="BW560" i="1"/>
  <c r="BV560" i="1"/>
  <c r="BU560" i="1"/>
  <c r="BT560" i="1"/>
  <c r="BS560" i="1"/>
  <c r="BZ559" i="1"/>
  <c r="CA559" i="1" s="1"/>
  <c r="BY559" i="1"/>
  <c r="BX559" i="1"/>
  <c r="BW559" i="1"/>
  <c r="BV559" i="1"/>
  <c r="BU559" i="1"/>
  <c r="BT559" i="1"/>
  <c r="BS559" i="1"/>
  <c r="BC559" i="1"/>
  <c r="BZ558" i="1"/>
  <c r="CA558" i="1" s="1"/>
  <c r="BY558" i="1"/>
  <c r="BX558" i="1"/>
  <c r="BW558" i="1"/>
  <c r="BV558" i="1"/>
  <c r="BU558" i="1"/>
  <c r="BT558" i="1"/>
  <c r="BS558" i="1"/>
  <c r="BZ557" i="1"/>
  <c r="CA557" i="1" s="1"/>
  <c r="BY557" i="1"/>
  <c r="BX557" i="1"/>
  <c r="BW557" i="1"/>
  <c r="BV557" i="1"/>
  <c r="BU557" i="1"/>
  <c r="BT557" i="1"/>
  <c r="BS557" i="1"/>
  <c r="BC557" i="1"/>
  <c r="CA556" i="1"/>
  <c r="BZ556" i="1"/>
  <c r="BY556" i="1"/>
  <c r="BX556" i="1"/>
  <c r="BW556" i="1"/>
  <c r="BV556" i="1"/>
  <c r="BU556" i="1"/>
  <c r="BT556" i="1"/>
  <c r="BS556" i="1"/>
  <c r="BZ555" i="1"/>
  <c r="CA555" i="1" s="1"/>
  <c r="BY555" i="1"/>
  <c r="BX555" i="1"/>
  <c r="BW555" i="1"/>
  <c r="BV555" i="1"/>
  <c r="BU555" i="1"/>
  <c r="BT555" i="1"/>
  <c r="BS555" i="1"/>
  <c r="BC555" i="1"/>
  <c r="BZ554" i="1"/>
  <c r="CA554" i="1" s="1"/>
  <c r="BY554" i="1"/>
  <c r="BX554" i="1"/>
  <c r="BW554" i="1"/>
  <c r="BV554" i="1"/>
  <c r="BU554" i="1"/>
  <c r="CC554" i="1" s="1"/>
  <c r="BT554" i="1"/>
  <c r="BS554" i="1"/>
  <c r="BA554" i="1"/>
  <c r="BA555" i="1" s="1"/>
  <c r="BA556" i="1" s="1"/>
  <c r="BA557" i="1" s="1"/>
  <c r="BA558" i="1" s="1"/>
  <c r="BA559" i="1" s="1"/>
  <c r="BA560" i="1" s="1"/>
  <c r="BA561" i="1" s="1"/>
  <c r="BA562" i="1" s="1"/>
  <c r="BA563" i="1" s="1"/>
  <c r="BA564" i="1" s="1"/>
  <c r="BA565" i="1" s="1"/>
  <c r="BA566" i="1" s="1"/>
  <c r="BA567" i="1" s="1"/>
  <c r="BA568" i="1" s="1"/>
  <c r="BA569" i="1" s="1"/>
  <c r="BA570" i="1" s="1"/>
  <c r="BA571" i="1" s="1"/>
  <c r="BA572" i="1" s="1"/>
  <c r="BA573" i="1" s="1"/>
  <c r="BA574" i="1" s="1"/>
  <c r="BA575" i="1" s="1"/>
  <c r="BA576" i="1" s="1"/>
  <c r="BA577" i="1" s="1"/>
  <c r="BA578" i="1" s="1"/>
  <c r="BA579" i="1" s="1"/>
  <c r="BA580" i="1" s="1"/>
  <c r="BA581" i="1" s="1"/>
  <c r="BA582" i="1" s="1"/>
  <c r="BA583" i="1" s="1"/>
  <c r="BA584" i="1" s="1"/>
  <c r="BA585" i="1" s="1"/>
  <c r="BA586" i="1" s="1"/>
  <c r="BA587" i="1" s="1"/>
  <c r="BA588" i="1" s="1"/>
  <c r="BA589" i="1" s="1"/>
  <c r="BA590" i="1" s="1"/>
  <c r="BA591" i="1" s="1"/>
  <c r="BA592" i="1" s="1"/>
  <c r="BA593" i="1" s="1"/>
  <c r="BA594" i="1" s="1"/>
  <c r="BA595" i="1" s="1"/>
  <c r="BA596" i="1" s="1"/>
  <c r="BA597" i="1" s="1"/>
  <c r="BA598" i="1" s="1"/>
  <c r="BA599" i="1" s="1"/>
  <c r="BA600" i="1" s="1"/>
  <c r="BA601" i="1" s="1"/>
  <c r="BA602" i="1" s="1"/>
  <c r="BZ553" i="1"/>
  <c r="CA553" i="1" s="1"/>
  <c r="BY553" i="1"/>
  <c r="BX553" i="1"/>
  <c r="BW553" i="1"/>
  <c r="BV553" i="1"/>
  <c r="BU553" i="1"/>
  <c r="BT553" i="1"/>
  <c r="BS553" i="1"/>
  <c r="BC553" i="1"/>
  <c r="BZ552" i="1"/>
  <c r="CA552" i="1" s="1"/>
  <c r="BY552" i="1"/>
  <c r="BX552" i="1"/>
  <c r="BW552" i="1"/>
  <c r="BV552" i="1"/>
  <c r="BU552" i="1"/>
  <c r="BT552" i="1"/>
  <c r="BS552" i="1"/>
  <c r="BC552" i="1"/>
  <c r="BZ551" i="1"/>
  <c r="CA551" i="1" s="1"/>
  <c r="BY551" i="1"/>
  <c r="BX551" i="1"/>
  <c r="BW551" i="1"/>
  <c r="BV551" i="1"/>
  <c r="BU551" i="1"/>
  <c r="BT551" i="1"/>
  <c r="BS551" i="1"/>
  <c r="BC551" i="1"/>
  <c r="BZ550" i="1"/>
  <c r="CA550" i="1" s="1"/>
  <c r="BY550" i="1"/>
  <c r="BX550" i="1"/>
  <c r="BW550" i="1"/>
  <c r="BV550" i="1"/>
  <c r="BU550" i="1"/>
  <c r="BT550" i="1"/>
  <c r="BS550" i="1"/>
  <c r="BC550" i="1"/>
  <c r="BZ549" i="1"/>
  <c r="CA549" i="1" s="1"/>
  <c r="BY549" i="1"/>
  <c r="BX549" i="1"/>
  <c r="BW549" i="1"/>
  <c r="BV549" i="1"/>
  <c r="BU549" i="1"/>
  <c r="BT549" i="1"/>
  <c r="BS549" i="1"/>
  <c r="BC549" i="1"/>
  <c r="BZ548" i="1"/>
  <c r="CA548" i="1" s="1"/>
  <c r="BY548" i="1"/>
  <c r="BX548" i="1"/>
  <c r="BW548" i="1"/>
  <c r="BV548" i="1"/>
  <c r="BU548" i="1"/>
  <c r="BT548" i="1"/>
  <c r="BS548" i="1"/>
  <c r="BC548" i="1"/>
  <c r="BZ547" i="1"/>
  <c r="CA547" i="1" s="1"/>
  <c r="BY547" i="1"/>
  <c r="BX547" i="1"/>
  <c r="BW547" i="1"/>
  <c r="BV547" i="1"/>
  <c r="BU547" i="1"/>
  <c r="BT547" i="1"/>
  <c r="BS547" i="1"/>
  <c r="BC547" i="1"/>
  <c r="BZ546" i="1"/>
  <c r="CA546" i="1" s="1"/>
  <c r="BY546" i="1"/>
  <c r="BX546" i="1"/>
  <c r="BW546" i="1"/>
  <c r="BV546" i="1"/>
  <c r="BU546" i="1"/>
  <c r="BT546" i="1"/>
  <c r="BS546" i="1"/>
  <c r="BC546" i="1"/>
  <c r="BZ545" i="1"/>
  <c r="CA545" i="1" s="1"/>
  <c r="BY545" i="1"/>
  <c r="BX545" i="1"/>
  <c r="BW545" i="1"/>
  <c r="BV545" i="1"/>
  <c r="BU545" i="1"/>
  <c r="BT545" i="1"/>
  <c r="BS545" i="1"/>
  <c r="BC545" i="1"/>
  <c r="BZ544" i="1"/>
  <c r="CA544" i="1" s="1"/>
  <c r="BY544" i="1"/>
  <c r="BX544" i="1"/>
  <c r="BW544" i="1"/>
  <c r="BV544" i="1"/>
  <c r="BU544" i="1"/>
  <c r="BT544" i="1"/>
  <c r="BS544" i="1"/>
  <c r="BC544" i="1"/>
  <c r="BZ543" i="1"/>
  <c r="CA543" i="1" s="1"/>
  <c r="BY543" i="1"/>
  <c r="BX543" i="1"/>
  <c r="BW543" i="1"/>
  <c r="BV543" i="1"/>
  <c r="BU543" i="1"/>
  <c r="BT543" i="1"/>
  <c r="BS543" i="1"/>
  <c r="BC543" i="1"/>
  <c r="BZ542" i="1"/>
  <c r="CA542" i="1" s="1"/>
  <c r="BY542" i="1"/>
  <c r="BX542" i="1"/>
  <c r="BW542" i="1"/>
  <c r="BV542" i="1"/>
  <c r="BU542" i="1"/>
  <c r="BT542" i="1"/>
  <c r="BS542" i="1"/>
  <c r="BC542" i="1"/>
  <c r="BZ541" i="1"/>
  <c r="CA541" i="1" s="1"/>
  <c r="BY541" i="1"/>
  <c r="BX541" i="1"/>
  <c r="BW541" i="1"/>
  <c r="BV541" i="1"/>
  <c r="BU541" i="1"/>
  <c r="BT541" i="1"/>
  <c r="BS541" i="1"/>
  <c r="BC541" i="1"/>
  <c r="BZ540" i="1"/>
  <c r="CA540" i="1" s="1"/>
  <c r="BY540" i="1"/>
  <c r="BX540" i="1"/>
  <c r="BW540" i="1"/>
  <c r="BV540" i="1"/>
  <c r="BU540" i="1"/>
  <c r="BT540" i="1"/>
  <c r="BS540" i="1"/>
  <c r="BC540" i="1"/>
  <c r="BZ539" i="1"/>
  <c r="CA539" i="1" s="1"/>
  <c r="BY539" i="1"/>
  <c r="BX539" i="1"/>
  <c r="BW539" i="1"/>
  <c r="BV539" i="1"/>
  <c r="BU539" i="1"/>
  <c r="BT539" i="1"/>
  <c r="BS539" i="1"/>
  <c r="BC539" i="1"/>
  <c r="BZ538" i="1"/>
  <c r="CA538" i="1" s="1"/>
  <c r="BY538" i="1"/>
  <c r="BX538" i="1"/>
  <c r="BW538" i="1"/>
  <c r="BV538" i="1"/>
  <c r="BU538" i="1"/>
  <c r="BT538" i="1"/>
  <c r="BS538" i="1"/>
  <c r="BC538" i="1"/>
  <c r="BZ537" i="1"/>
  <c r="CA537" i="1" s="1"/>
  <c r="BY537" i="1"/>
  <c r="BX537" i="1"/>
  <c r="BW537" i="1"/>
  <c r="BV537" i="1"/>
  <c r="BU537" i="1"/>
  <c r="BT537" i="1"/>
  <c r="BS537" i="1"/>
  <c r="BC537" i="1"/>
  <c r="CA536" i="1"/>
  <c r="BZ536" i="1"/>
  <c r="BY536" i="1"/>
  <c r="BX536" i="1"/>
  <c r="BW536" i="1"/>
  <c r="BV536" i="1"/>
  <c r="BU536" i="1"/>
  <c r="BT536" i="1"/>
  <c r="BS536" i="1"/>
  <c r="BC536" i="1"/>
  <c r="BZ535" i="1"/>
  <c r="CA535" i="1" s="1"/>
  <c r="BY535" i="1"/>
  <c r="BX535" i="1"/>
  <c r="BW535" i="1"/>
  <c r="BV535" i="1"/>
  <c r="BU535" i="1"/>
  <c r="BT535" i="1"/>
  <c r="BS535" i="1"/>
  <c r="BC535" i="1"/>
  <c r="BZ534" i="1"/>
  <c r="CA534" i="1" s="1"/>
  <c r="BY534" i="1"/>
  <c r="BX534" i="1"/>
  <c r="BW534" i="1"/>
  <c r="BV534" i="1"/>
  <c r="BU534" i="1"/>
  <c r="BT534" i="1"/>
  <c r="BS534" i="1"/>
  <c r="BC534" i="1"/>
  <c r="BZ533" i="1"/>
  <c r="CA533" i="1" s="1"/>
  <c r="BY533" i="1"/>
  <c r="BX533" i="1"/>
  <c r="BW533" i="1"/>
  <c r="BV533" i="1"/>
  <c r="BU533" i="1"/>
  <c r="BT533" i="1"/>
  <c r="BS533" i="1"/>
  <c r="BC533" i="1"/>
  <c r="BZ532" i="1"/>
  <c r="CA532" i="1" s="1"/>
  <c r="BY532" i="1"/>
  <c r="BX532" i="1"/>
  <c r="BW532" i="1"/>
  <c r="BV532" i="1"/>
  <c r="BU532" i="1"/>
  <c r="BT532" i="1"/>
  <c r="BS532" i="1"/>
  <c r="BC532" i="1"/>
  <c r="BZ531" i="1"/>
  <c r="CA531" i="1" s="1"/>
  <c r="BY531" i="1"/>
  <c r="BX531" i="1"/>
  <c r="BW531" i="1"/>
  <c r="BV531" i="1"/>
  <c r="BU531" i="1"/>
  <c r="BT531" i="1"/>
  <c r="BS531" i="1"/>
  <c r="BC531" i="1"/>
  <c r="BZ530" i="1"/>
  <c r="CA530" i="1" s="1"/>
  <c r="BY530" i="1"/>
  <c r="BX530" i="1"/>
  <c r="BW530" i="1"/>
  <c r="BV530" i="1"/>
  <c r="BU530" i="1"/>
  <c r="BT530" i="1"/>
  <c r="BS530" i="1"/>
  <c r="BC530" i="1"/>
  <c r="BZ529" i="1"/>
  <c r="CA529" i="1" s="1"/>
  <c r="BY529" i="1"/>
  <c r="BX529" i="1"/>
  <c r="BW529" i="1"/>
  <c r="BV529" i="1"/>
  <c r="BU529" i="1"/>
  <c r="BT529" i="1"/>
  <c r="BS529" i="1"/>
  <c r="BC529" i="1"/>
  <c r="BZ528" i="1"/>
  <c r="CA528" i="1" s="1"/>
  <c r="BY528" i="1"/>
  <c r="BX528" i="1"/>
  <c r="BW528" i="1"/>
  <c r="BV528" i="1"/>
  <c r="BU528" i="1"/>
  <c r="BT528" i="1"/>
  <c r="BS528" i="1"/>
  <c r="BC528" i="1"/>
  <c r="BZ527" i="1"/>
  <c r="CA527" i="1" s="1"/>
  <c r="BY527" i="1"/>
  <c r="BX527" i="1"/>
  <c r="BW527" i="1"/>
  <c r="BV527" i="1"/>
  <c r="BU527" i="1"/>
  <c r="BT527" i="1"/>
  <c r="BS527" i="1"/>
  <c r="BC527" i="1"/>
  <c r="BZ526" i="1"/>
  <c r="CA526" i="1" s="1"/>
  <c r="BY526" i="1"/>
  <c r="BX526" i="1"/>
  <c r="BW526" i="1"/>
  <c r="BV526" i="1"/>
  <c r="BU526" i="1"/>
  <c r="BT526" i="1"/>
  <c r="BS526" i="1"/>
  <c r="BC526" i="1"/>
  <c r="BZ525" i="1"/>
  <c r="CA525" i="1" s="1"/>
  <c r="BY525" i="1"/>
  <c r="BX525" i="1"/>
  <c r="BW525" i="1"/>
  <c r="BV525" i="1"/>
  <c r="BU525" i="1"/>
  <c r="BT525" i="1"/>
  <c r="BS525" i="1"/>
  <c r="BC525" i="1"/>
  <c r="BZ524" i="1"/>
  <c r="CA524" i="1" s="1"/>
  <c r="BY524" i="1"/>
  <c r="BX524" i="1"/>
  <c r="BW524" i="1"/>
  <c r="BV524" i="1"/>
  <c r="BU524" i="1"/>
  <c r="BT524" i="1"/>
  <c r="BS524" i="1"/>
  <c r="BC524" i="1"/>
  <c r="BZ523" i="1"/>
  <c r="CA523" i="1" s="1"/>
  <c r="BY523" i="1"/>
  <c r="BX523" i="1"/>
  <c r="BW523" i="1"/>
  <c r="BV523" i="1"/>
  <c r="BU523" i="1"/>
  <c r="BT523" i="1"/>
  <c r="BS523" i="1"/>
  <c r="BC523" i="1"/>
  <c r="BZ522" i="1"/>
  <c r="CA522" i="1" s="1"/>
  <c r="BY522" i="1"/>
  <c r="BX522" i="1"/>
  <c r="BW522" i="1"/>
  <c r="BV522" i="1"/>
  <c r="BU522" i="1"/>
  <c r="BT522" i="1"/>
  <c r="BS522" i="1"/>
  <c r="BC522" i="1"/>
  <c r="BZ521" i="1"/>
  <c r="CA521" i="1" s="1"/>
  <c r="BY521" i="1"/>
  <c r="BX521" i="1"/>
  <c r="BW521" i="1"/>
  <c r="BV521" i="1"/>
  <c r="BU521" i="1"/>
  <c r="BT521" i="1"/>
  <c r="BS521" i="1"/>
  <c r="BC521" i="1"/>
  <c r="BZ520" i="1"/>
  <c r="CA520" i="1" s="1"/>
  <c r="BY520" i="1"/>
  <c r="BX520" i="1"/>
  <c r="BW520" i="1"/>
  <c r="BV520" i="1"/>
  <c r="BU520" i="1"/>
  <c r="BT520" i="1"/>
  <c r="BS520" i="1"/>
  <c r="BC520" i="1"/>
  <c r="BZ519" i="1"/>
  <c r="CA519" i="1" s="1"/>
  <c r="BY519" i="1"/>
  <c r="BX519" i="1"/>
  <c r="BW519" i="1"/>
  <c r="BV519" i="1"/>
  <c r="BU519" i="1"/>
  <c r="BT519" i="1"/>
  <c r="BS519" i="1"/>
  <c r="BC519" i="1"/>
  <c r="BZ518" i="1"/>
  <c r="CA518" i="1" s="1"/>
  <c r="BY518" i="1"/>
  <c r="BX518" i="1"/>
  <c r="BW518" i="1"/>
  <c r="BV518" i="1"/>
  <c r="BU518" i="1"/>
  <c r="BT518" i="1"/>
  <c r="BS518" i="1"/>
  <c r="BC518" i="1"/>
  <c r="BZ517" i="1"/>
  <c r="CA517" i="1" s="1"/>
  <c r="BY517" i="1"/>
  <c r="BX517" i="1"/>
  <c r="BW517" i="1"/>
  <c r="BV517" i="1"/>
  <c r="BU517" i="1"/>
  <c r="BT517" i="1"/>
  <c r="BS517" i="1"/>
  <c r="BC517" i="1"/>
  <c r="BZ516" i="1"/>
  <c r="CA516" i="1" s="1"/>
  <c r="BY516" i="1"/>
  <c r="BX516" i="1"/>
  <c r="BW516" i="1"/>
  <c r="BV516" i="1"/>
  <c r="BU516" i="1"/>
  <c r="BT516" i="1"/>
  <c r="BS516" i="1"/>
  <c r="BC516" i="1"/>
  <c r="BZ515" i="1"/>
  <c r="CA515" i="1" s="1"/>
  <c r="BY515" i="1"/>
  <c r="BX515" i="1"/>
  <c r="BW515" i="1"/>
  <c r="BV515" i="1"/>
  <c r="BU515" i="1"/>
  <c r="BT515" i="1"/>
  <c r="BS515" i="1"/>
  <c r="BC515" i="1"/>
  <c r="BZ514" i="1"/>
  <c r="CA514" i="1" s="1"/>
  <c r="BY514" i="1"/>
  <c r="BX514" i="1"/>
  <c r="BW514" i="1"/>
  <c r="BV514" i="1"/>
  <c r="BU514" i="1"/>
  <c r="BT514" i="1"/>
  <c r="BS514" i="1"/>
  <c r="BC514" i="1"/>
  <c r="BZ513" i="1"/>
  <c r="CA513" i="1" s="1"/>
  <c r="BY513" i="1"/>
  <c r="BX513" i="1"/>
  <c r="BW513" i="1"/>
  <c r="BV513" i="1"/>
  <c r="BU513" i="1"/>
  <c r="BT513" i="1"/>
  <c r="BS513" i="1"/>
  <c r="BC513" i="1"/>
  <c r="BZ512" i="1"/>
  <c r="CA512" i="1" s="1"/>
  <c r="BY512" i="1"/>
  <c r="BX512" i="1"/>
  <c r="BW512" i="1"/>
  <c r="BV512" i="1"/>
  <c r="BU512" i="1"/>
  <c r="BT512" i="1"/>
  <c r="BS512" i="1"/>
  <c r="BC512" i="1"/>
  <c r="BZ511" i="1"/>
  <c r="CA511" i="1" s="1"/>
  <c r="BY511" i="1"/>
  <c r="BX511" i="1"/>
  <c r="BW511" i="1"/>
  <c r="BV511" i="1"/>
  <c r="BU511" i="1"/>
  <c r="BT511" i="1"/>
  <c r="BS511" i="1"/>
  <c r="BC511" i="1"/>
  <c r="BZ510" i="1"/>
  <c r="CA510" i="1" s="1"/>
  <c r="BY510" i="1"/>
  <c r="BX510" i="1"/>
  <c r="BW510" i="1"/>
  <c r="BV510" i="1"/>
  <c r="BU510" i="1"/>
  <c r="BT510" i="1"/>
  <c r="BS510" i="1"/>
  <c r="BC510" i="1"/>
  <c r="BZ509" i="1"/>
  <c r="CA509" i="1" s="1"/>
  <c r="BY509" i="1"/>
  <c r="BX509" i="1"/>
  <c r="BW509" i="1"/>
  <c r="BV509" i="1"/>
  <c r="BU509" i="1"/>
  <c r="BT509" i="1"/>
  <c r="BS509" i="1"/>
  <c r="BC509" i="1"/>
  <c r="BZ508" i="1"/>
  <c r="CA508" i="1" s="1"/>
  <c r="BY508" i="1"/>
  <c r="BX508" i="1"/>
  <c r="BW508" i="1"/>
  <c r="BV508" i="1"/>
  <c r="BU508" i="1"/>
  <c r="BT508" i="1"/>
  <c r="BS508" i="1"/>
  <c r="BC508" i="1"/>
  <c r="BZ507" i="1"/>
  <c r="CA507" i="1" s="1"/>
  <c r="BY507" i="1"/>
  <c r="BX507" i="1"/>
  <c r="BW507" i="1"/>
  <c r="BV507" i="1"/>
  <c r="BU507" i="1"/>
  <c r="BT507" i="1"/>
  <c r="BS507" i="1"/>
  <c r="BC507" i="1"/>
  <c r="BZ506" i="1"/>
  <c r="CA506" i="1" s="1"/>
  <c r="BY506" i="1"/>
  <c r="BX506" i="1"/>
  <c r="BW506" i="1"/>
  <c r="BV506" i="1"/>
  <c r="BU506" i="1"/>
  <c r="BT506" i="1"/>
  <c r="BS506" i="1"/>
  <c r="BC506" i="1"/>
  <c r="BZ505" i="1"/>
  <c r="CA505" i="1" s="1"/>
  <c r="BY505" i="1"/>
  <c r="BX505" i="1"/>
  <c r="BW505" i="1"/>
  <c r="BV505" i="1"/>
  <c r="BU505" i="1"/>
  <c r="BT505" i="1"/>
  <c r="BS505" i="1"/>
  <c r="BC505" i="1"/>
  <c r="BZ504" i="1"/>
  <c r="CA504" i="1" s="1"/>
  <c r="BY504" i="1"/>
  <c r="BX504" i="1"/>
  <c r="BW504" i="1"/>
  <c r="BV504" i="1"/>
  <c r="BU504" i="1"/>
  <c r="BT504" i="1"/>
  <c r="BS504" i="1"/>
  <c r="BC504" i="1"/>
  <c r="BA504" i="1"/>
  <c r="BA505" i="1" s="1"/>
  <c r="BA506" i="1" s="1"/>
  <c r="BA507" i="1" s="1"/>
  <c r="BA508" i="1" s="1"/>
  <c r="BA509" i="1" s="1"/>
  <c r="BA510" i="1" s="1"/>
  <c r="BA511" i="1" s="1"/>
  <c r="BA512" i="1" s="1"/>
  <c r="BA513" i="1" s="1"/>
  <c r="BA514" i="1" s="1"/>
  <c r="BA515" i="1" s="1"/>
  <c r="BA516" i="1" s="1"/>
  <c r="BA517" i="1" s="1"/>
  <c r="BA518" i="1" s="1"/>
  <c r="BA519" i="1" s="1"/>
  <c r="BA520" i="1" s="1"/>
  <c r="BA521" i="1" s="1"/>
  <c r="BA522" i="1" s="1"/>
  <c r="BA523" i="1" s="1"/>
  <c r="BA524" i="1" s="1"/>
  <c r="BA525" i="1" s="1"/>
  <c r="BA526" i="1" s="1"/>
  <c r="BA527" i="1" s="1"/>
  <c r="BA528" i="1" s="1"/>
  <c r="BA529" i="1" s="1"/>
  <c r="BA530" i="1" s="1"/>
  <c r="BA531" i="1" s="1"/>
  <c r="BA532" i="1" s="1"/>
  <c r="BA533" i="1" s="1"/>
  <c r="BA534" i="1" s="1"/>
  <c r="BA535" i="1" s="1"/>
  <c r="BA536" i="1" s="1"/>
  <c r="BA537" i="1" s="1"/>
  <c r="BA538" i="1" s="1"/>
  <c r="BA539" i="1" s="1"/>
  <c r="BA540" i="1" s="1"/>
  <c r="BA541" i="1" s="1"/>
  <c r="BA542" i="1" s="1"/>
  <c r="BA543" i="1" s="1"/>
  <c r="BA544" i="1" s="1"/>
  <c r="BA545" i="1" s="1"/>
  <c r="BA546" i="1" s="1"/>
  <c r="BA547" i="1" s="1"/>
  <c r="BA548" i="1" s="1"/>
  <c r="BA549" i="1" s="1"/>
  <c r="BA550" i="1" s="1"/>
  <c r="BA551" i="1" s="1"/>
  <c r="BA552" i="1" s="1"/>
  <c r="BZ503" i="1"/>
  <c r="CA503" i="1" s="1"/>
  <c r="BY503" i="1"/>
  <c r="BX503" i="1"/>
  <c r="BW503" i="1"/>
  <c r="BV503" i="1"/>
  <c r="BU503" i="1"/>
  <c r="BT503" i="1"/>
  <c r="BS503" i="1"/>
  <c r="BC503" i="1"/>
  <c r="BZ502" i="1"/>
  <c r="CA502" i="1" s="1"/>
  <c r="BY502" i="1"/>
  <c r="BX502" i="1"/>
  <c r="BW502" i="1"/>
  <c r="BV502" i="1"/>
  <c r="BU502" i="1"/>
  <c r="BT502" i="1"/>
  <c r="BS502" i="1"/>
  <c r="BC502" i="1"/>
  <c r="BZ501" i="1"/>
  <c r="CA501" i="1" s="1"/>
  <c r="BY501" i="1"/>
  <c r="BX501" i="1"/>
  <c r="BW501" i="1"/>
  <c r="BV501" i="1"/>
  <c r="BU501" i="1"/>
  <c r="BT501" i="1"/>
  <c r="BS501" i="1"/>
  <c r="BZ500" i="1"/>
  <c r="CA500" i="1" s="1"/>
  <c r="BY500" i="1"/>
  <c r="BX500" i="1"/>
  <c r="BW500" i="1"/>
  <c r="BV500" i="1"/>
  <c r="BU500" i="1"/>
  <c r="BT500" i="1"/>
  <c r="BS500" i="1"/>
  <c r="BC500" i="1"/>
  <c r="BZ499" i="1"/>
  <c r="CA499" i="1" s="1"/>
  <c r="BY499" i="1"/>
  <c r="BX499" i="1"/>
  <c r="BW499" i="1"/>
  <c r="BV499" i="1"/>
  <c r="BU499" i="1"/>
  <c r="BT499" i="1"/>
  <c r="BS499" i="1"/>
  <c r="BZ498" i="1"/>
  <c r="CA498" i="1" s="1"/>
  <c r="BY498" i="1"/>
  <c r="BX498" i="1"/>
  <c r="BW498" i="1"/>
  <c r="BV498" i="1"/>
  <c r="BU498" i="1"/>
  <c r="BT498" i="1"/>
  <c r="BS498" i="1"/>
  <c r="BC498" i="1"/>
  <c r="BZ497" i="1"/>
  <c r="CA497" i="1" s="1"/>
  <c r="BY497" i="1"/>
  <c r="BX497" i="1"/>
  <c r="BW497" i="1"/>
  <c r="BV497" i="1"/>
  <c r="BU497" i="1"/>
  <c r="BT497" i="1"/>
  <c r="BS497" i="1"/>
  <c r="BZ496" i="1"/>
  <c r="CA496" i="1" s="1"/>
  <c r="BY496" i="1"/>
  <c r="BX496" i="1"/>
  <c r="BW496" i="1"/>
  <c r="BV496" i="1"/>
  <c r="BU496" i="1"/>
  <c r="BT496" i="1"/>
  <c r="BS496" i="1"/>
  <c r="BC496" i="1"/>
  <c r="BZ495" i="1"/>
  <c r="CA495" i="1" s="1"/>
  <c r="BY495" i="1"/>
  <c r="BX495" i="1"/>
  <c r="BW495" i="1"/>
  <c r="BV495" i="1"/>
  <c r="BU495" i="1"/>
  <c r="BT495" i="1"/>
  <c r="BS495" i="1"/>
  <c r="BC495" i="1"/>
  <c r="BZ494" i="1"/>
  <c r="CA494" i="1" s="1"/>
  <c r="BY494" i="1"/>
  <c r="BX494" i="1"/>
  <c r="BW494" i="1"/>
  <c r="BV494" i="1"/>
  <c r="BU494" i="1"/>
  <c r="BT494" i="1"/>
  <c r="BS494" i="1"/>
  <c r="BZ493" i="1"/>
  <c r="CA493" i="1" s="1"/>
  <c r="BY493" i="1"/>
  <c r="BX493" i="1"/>
  <c r="BW493" i="1"/>
  <c r="BV493" i="1"/>
  <c r="BU493" i="1"/>
  <c r="BT493" i="1"/>
  <c r="BS493" i="1"/>
  <c r="BC493" i="1"/>
  <c r="BZ492" i="1"/>
  <c r="CA492" i="1" s="1"/>
  <c r="BY492" i="1"/>
  <c r="BX492" i="1"/>
  <c r="BW492" i="1"/>
  <c r="BV492" i="1"/>
  <c r="BU492" i="1"/>
  <c r="BT492" i="1"/>
  <c r="BS492" i="1"/>
  <c r="BZ491" i="1"/>
  <c r="CA491" i="1" s="1"/>
  <c r="BY491" i="1"/>
  <c r="BX491" i="1"/>
  <c r="BW491" i="1"/>
  <c r="BV491" i="1"/>
  <c r="BU491" i="1"/>
  <c r="BT491" i="1"/>
  <c r="BS491" i="1"/>
  <c r="BC491" i="1"/>
  <c r="BZ490" i="1"/>
  <c r="CA490" i="1" s="1"/>
  <c r="BY490" i="1"/>
  <c r="BX490" i="1"/>
  <c r="BW490" i="1"/>
  <c r="BV490" i="1"/>
  <c r="BU490" i="1"/>
  <c r="BT490" i="1"/>
  <c r="BS490" i="1"/>
  <c r="BZ489" i="1"/>
  <c r="CA489" i="1" s="1"/>
  <c r="BY489" i="1"/>
  <c r="BX489" i="1"/>
  <c r="BW489" i="1"/>
  <c r="BV489" i="1"/>
  <c r="BU489" i="1"/>
  <c r="BT489" i="1"/>
  <c r="BS489" i="1"/>
  <c r="BC489" i="1"/>
  <c r="BZ488" i="1"/>
  <c r="CA488" i="1" s="1"/>
  <c r="BY488" i="1"/>
  <c r="BX488" i="1"/>
  <c r="BW488" i="1"/>
  <c r="BV488" i="1"/>
  <c r="BU488" i="1"/>
  <c r="BT488" i="1"/>
  <c r="BS488" i="1"/>
  <c r="BZ487" i="1"/>
  <c r="CA487" i="1" s="1"/>
  <c r="BY487" i="1"/>
  <c r="BX487" i="1"/>
  <c r="BW487" i="1"/>
  <c r="BV487" i="1"/>
  <c r="BU487" i="1"/>
  <c r="BT487" i="1"/>
  <c r="BS487" i="1"/>
  <c r="BC487" i="1"/>
  <c r="BZ486" i="1"/>
  <c r="CA486" i="1" s="1"/>
  <c r="BY486" i="1"/>
  <c r="BX486" i="1"/>
  <c r="BW486" i="1"/>
  <c r="BV486" i="1"/>
  <c r="BU486" i="1"/>
  <c r="BT486" i="1"/>
  <c r="BS486" i="1"/>
  <c r="BZ485" i="1"/>
  <c r="CA485" i="1" s="1"/>
  <c r="BY485" i="1"/>
  <c r="BX485" i="1"/>
  <c r="BW485" i="1"/>
  <c r="BV485" i="1"/>
  <c r="BU485" i="1"/>
  <c r="BT485" i="1"/>
  <c r="BS485" i="1"/>
  <c r="BC485" i="1"/>
  <c r="BZ484" i="1"/>
  <c r="CA484" i="1" s="1"/>
  <c r="BY484" i="1"/>
  <c r="BX484" i="1"/>
  <c r="BW484" i="1"/>
  <c r="BV484" i="1"/>
  <c r="BU484" i="1"/>
  <c r="BT484" i="1"/>
  <c r="BS484" i="1"/>
  <c r="BZ483" i="1"/>
  <c r="CA483" i="1" s="1"/>
  <c r="BY483" i="1"/>
  <c r="BX483" i="1"/>
  <c r="BW483" i="1"/>
  <c r="BV483" i="1"/>
  <c r="BU483" i="1"/>
  <c r="BT483" i="1"/>
  <c r="BS483" i="1"/>
  <c r="BC483" i="1"/>
  <c r="BZ482" i="1"/>
  <c r="CA482" i="1" s="1"/>
  <c r="BY482" i="1"/>
  <c r="BX482" i="1"/>
  <c r="BW482" i="1"/>
  <c r="BV482" i="1"/>
  <c r="BU482" i="1"/>
  <c r="BT482" i="1"/>
  <c r="BS482" i="1"/>
  <c r="BZ481" i="1"/>
  <c r="CA481" i="1" s="1"/>
  <c r="BY481" i="1"/>
  <c r="BX481" i="1"/>
  <c r="BW481" i="1"/>
  <c r="BV481" i="1"/>
  <c r="BU481" i="1"/>
  <c r="BT481" i="1"/>
  <c r="BS481" i="1"/>
  <c r="BC481" i="1"/>
  <c r="BZ480" i="1"/>
  <c r="CA480" i="1" s="1"/>
  <c r="BY480" i="1"/>
  <c r="BX480" i="1"/>
  <c r="BW480" i="1"/>
  <c r="BV480" i="1"/>
  <c r="BU480" i="1"/>
  <c r="BT480" i="1"/>
  <c r="BS480" i="1"/>
  <c r="BZ479" i="1"/>
  <c r="CA479" i="1" s="1"/>
  <c r="BY479" i="1"/>
  <c r="BX479" i="1"/>
  <c r="BW479" i="1"/>
  <c r="BV479" i="1"/>
  <c r="BU479" i="1"/>
  <c r="BT479" i="1"/>
  <c r="BS479" i="1"/>
  <c r="BC479" i="1"/>
  <c r="BZ478" i="1"/>
  <c r="CA478" i="1" s="1"/>
  <c r="BY478" i="1"/>
  <c r="BX478" i="1"/>
  <c r="BW478" i="1"/>
  <c r="BV478" i="1"/>
  <c r="BU478" i="1"/>
  <c r="BT478" i="1"/>
  <c r="BS478" i="1"/>
  <c r="BZ477" i="1"/>
  <c r="CA477" i="1" s="1"/>
  <c r="BY477" i="1"/>
  <c r="BX477" i="1"/>
  <c r="BW477" i="1"/>
  <c r="BV477" i="1"/>
  <c r="BU477" i="1"/>
  <c r="BT477" i="1"/>
  <c r="BS477" i="1"/>
  <c r="BZ476" i="1"/>
  <c r="CA476" i="1" s="1"/>
  <c r="BY476" i="1"/>
  <c r="BX476" i="1"/>
  <c r="BW476" i="1"/>
  <c r="BV476" i="1"/>
  <c r="BU476" i="1"/>
  <c r="BT476" i="1"/>
  <c r="BS476" i="1"/>
  <c r="BZ475" i="1"/>
  <c r="CA475" i="1" s="1"/>
  <c r="BY475" i="1"/>
  <c r="BX475" i="1"/>
  <c r="BW475" i="1"/>
  <c r="BV475" i="1"/>
  <c r="BU475" i="1"/>
  <c r="BT475" i="1"/>
  <c r="BS475" i="1"/>
  <c r="BZ474" i="1"/>
  <c r="CA474" i="1" s="1"/>
  <c r="BY474" i="1"/>
  <c r="BX474" i="1"/>
  <c r="BW474" i="1"/>
  <c r="BV474" i="1"/>
  <c r="BU474" i="1"/>
  <c r="BT474" i="1"/>
  <c r="BS474" i="1"/>
  <c r="BC474" i="1"/>
  <c r="BZ473" i="1"/>
  <c r="CA473" i="1" s="1"/>
  <c r="BY473" i="1"/>
  <c r="BX473" i="1"/>
  <c r="BW473" i="1"/>
  <c r="BV473" i="1"/>
  <c r="BU473" i="1"/>
  <c r="BT473" i="1"/>
  <c r="BS473" i="1"/>
  <c r="BZ472" i="1"/>
  <c r="CA472" i="1" s="1"/>
  <c r="BY472" i="1"/>
  <c r="BX472" i="1"/>
  <c r="BW472" i="1"/>
  <c r="BV472" i="1"/>
  <c r="BU472" i="1"/>
  <c r="BT472" i="1"/>
  <c r="BS472" i="1"/>
  <c r="BC472" i="1"/>
  <c r="BZ471" i="1"/>
  <c r="CA471" i="1" s="1"/>
  <c r="BY471" i="1"/>
  <c r="BX471" i="1"/>
  <c r="BW471" i="1"/>
  <c r="BV471" i="1"/>
  <c r="BU471" i="1"/>
  <c r="BT471" i="1"/>
  <c r="BS471" i="1"/>
  <c r="BZ470" i="1"/>
  <c r="CA470" i="1" s="1"/>
  <c r="BY470" i="1"/>
  <c r="BX470" i="1"/>
  <c r="BW470" i="1"/>
  <c r="BV470" i="1"/>
  <c r="BU470" i="1"/>
  <c r="BT470" i="1"/>
  <c r="BS470" i="1"/>
  <c r="BC470" i="1"/>
  <c r="BZ469" i="1"/>
  <c r="CA469" i="1" s="1"/>
  <c r="BY469" i="1"/>
  <c r="BX469" i="1"/>
  <c r="BW469" i="1"/>
  <c r="BV469" i="1"/>
  <c r="BU469" i="1"/>
  <c r="BT469" i="1"/>
  <c r="BS469" i="1"/>
  <c r="BZ468" i="1"/>
  <c r="CA468" i="1" s="1"/>
  <c r="BY468" i="1"/>
  <c r="BX468" i="1"/>
  <c r="BW468" i="1"/>
  <c r="BV468" i="1"/>
  <c r="BU468" i="1"/>
  <c r="BT468" i="1"/>
  <c r="BS468" i="1"/>
  <c r="BC468" i="1"/>
  <c r="BZ467" i="1"/>
  <c r="CA467" i="1" s="1"/>
  <c r="BY467" i="1"/>
  <c r="BX467" i="1"/>
  <c r="BW467" i="1"/>
  <c r="BV467" i="1"/>
  <c r="BU467" i="1"/>
  <c r="BT467" i="1"/>
  <c r="BS467" i="1"/>
  <c r="BZ466" i="1"/>
  <c r="CA466" i="1" s="1"/>
  <c r="BY466" i="1"/>
  <c r="BX466" i="1"/>
  <c r="BW466" i="1"/>
  <c r="BV466" i="1"/>
  <c r="BU466" i="1"/>
  <c r="BT466" i="1"/>
  <c r="BS466" i="1"/>
  <c r="BC466" i="1"/>
  <c r="BZ465" i="1"/>
  <c r="CA465" i="1" s="1"/>
  <c r="BY465" i="1"/>
  <c r="BX465" i="1"/>
  <c r="BW465" i="1"/>
  <c r="BV465" i="1"/>
  <c r="BU465" i="1"/>
  <c r="BT465" i="1"/>
  <c r="BS465" i="1"/>
  <c r="BZ464" i="1"/>
  <c r="CA464" i="1" s="1"/>
  <c r="BY464" i="1"/>
  <c r="BX464" i="1"/>
  <c r="BW464" i="1"/>
  <c r="BV464" i="1"/>
  <c r="BU464" i="1"/>
  <c r="BT464" i="1"/>
  <c r="BS464" i="1"/>
  <c r="BC464" i="1"/>
  <c r="BZ463" i="1"/>
  <c r="CA463" i="1" s="1"/>
  <c r="BY463" i="1"/>
  <c r="BX463" i="1"/>
  <c r="BW463" i="1"/>
  <c r="BV463" i="1"/>
  <c r="BU463" i="1"/>
  <c r="BT463" i="1"/>
  <c r="BS463" i="1"/>
  <c r="BZ462" i="1"/>
  <c r="CA462" i="1" s="1"/>
  <c r="BY462" i="1"/>
  <c r="BX462" i="1"/>
  <c r="BW462" i="1"/>
  <c r="BV462" i="1"/>
  <c r="BU462" i="1"/>
  <c r="BT462" i="1"/>
  <c r="BS462" i="1"/>
  <c r="BC462" i="1"/>
  <c r="BZ461" i="1"/>
  <c r="CA461" i="1" s="1"/>
  <c r="BY461" i="1"/>
  <c r="BX461" i="1"/>
  <c r="BW461" i="1"/>
  <c r="BV461" i="1"/>
  <c r="BU461" i="1"/>
  <c r="BT461" i="1"/>
  <c r="BS461" i="1"/>
  <c r="BZ460" i="1"/>
  <c r="CA460" i="1" s="1"/>
  <c r="BY460" i="1"/>
  <c r="BX460" i="1"/>
  <c r="BW460" i="1"/>
  <c r="BV460" i="1"/>
  <c r="BU460" i="1"/>
  <c r="BT460" i="1"/>
  <c r="BS460" i="1"/>
  <c r="BC460" i="1"/>
  <c r="BZ459" i="1"/>
  <c r="CA459" i="1" s="1"/>
  <c r="BY459" i="1"/>
  <c r="BX459" i="1"/>
  <c r="BW459" i="1"/>
  <c r="BV459" i="1"/>
  <c r="BU459" i="1"/>
  <c r="BT459" i="1"/>
  <c r="BS459" i="1"/>
  <c r="BZ458" i="1"/>
  <c r="CA458" i="1" s="1"/>
  <c r="BY458" i="1"/>
  <c r="BX458" i="1"/>
  <c r="BW458" i="1"/>
  <c r="BV458" i="1"/>
  <c r="BU458" i="1"/>
  <c r="BT458" i="1"/>
  <c r="BS458" i="1"/>
  <c r="BC458" i="1"/>
  <c r="BZ457" i="1"/>
  <c r="CA457" i="1" s="1"/>
  <c r="BY457" i="1"/>
  <c r="BX457" i="1"/>
  <c r="BW457" i="1"/>
  <c r="BV457" i="1"/>
  <c r="BU457" i="1"/>
  <c r="BT457" i="1"/>
  <c r="BS457" i="1"/>
  <c r="BC457" i="1"/>
  <c r="BZ456" i="1"/>
  <c r="CA456" i="1" s="1"/>
  <c r="BY456" i="1"/>
  <c r="BX456" i="1"/>
  <c r="BW456" i="1"/>
  <c r="BV456" i="1"/>
  <c r="BU456" i="1"/>
  <c r="BT456" i="1"/>
  <c r="BS456" i="1"/>
  <c r="BC456" i="1"/>
  <c r="BZ455" i="1"/>
  <c r="CA455" i="1" s="1"/>
  <c r="BY455" i="1"/>
  <c r="BX455" i="1"/>
  <c r="BW455" i="1"/>
  <c r="BV455" i="1"/>
  <c r="BU455" i="1"/>
  <c r="BT455" i="1"/>
  <c r="BS455" i="1"/>
  <c r="BA455" i="1"/>
  <c r="BA456" i="1" s="1"/>
  <c r="BA457" i="1" s="1"/>
  <c r="BA458" i="1" s="1"/>
  <c r="BA459" i="1" s="1"/>
  <c r="BA460" i="1" s="1"/>
  <c r="BA461" i="1" s="1"/>
  <c r="BA462" i="1" s="1"/>
  <c r="BA463" i="1" s="1"/>
  <c r="BA464" i="1" s="1"/>
  <c r="BA465" i="1" s="1"/>
  <c r="BA466" i="1" s="1"/>
  <c r="BA467" i="1" s="1"/>
  <c r="BA468" i="1" s="1"/>
  <c r="BA469" i="1" s="1"/>
  <c r="BA470" i="1" s="1"/>
  <c r="BA471" i="1" s="1"/>
  <c r="BA472" i="1" s="1"/>
  <c r="BA473" i="1" s="1"/>
  <c r="BA474" i="1" s="1"/>
  <c r="BA475" i="1" s="1"/>
  <c r="BA476" i="1" s="1"/>
  <c r="BA477" i="1" s="1"/>
  <c r="BA478" i="1" s="1"/>
  <c r="BA479" i="1" s="1"/>
  <c r="BA480" i="1" s="1"/>
  <c r="BA481" i="1" s="1"/>
  <c r="BA482" i="1" s="1"/>
  <c r="BA483" i="1" s="1"/>
  <c r="BA484" i="1" s="1"/>
  <c r="BA485" i="1" s="1"/>
  <c r="BA486" i="1" s="1"/>
  <c r="BA487" i="1" s="1"/>
  <c r="BA488" i="1" s="1"/>
  <c r="BA489" i="1" s="1"/>
  <c r="BA490" i="1" s="1"/>
  <c r="BA491" i="1" s="1"/>
  <c r="BA492" i="1" s="1"/>
  <c r="BA493" i="1" s="1"/>
  <c r="BA494" i="1" s="1"/>
  <c r="BA495" i="1" s="1"/>
  <c r="BA496" i="1" s="1"/>
  <c r="BA497" i="1" s="1"/>
  <c r="BA498" i="1" s="1"/>
  <c r="BA499" i="1" s="1"/>
  <c r="BA500" i="1" s="1"/>
  <c r="BA501" i="1" s="1"/>
  <c r="BA502" i="1" s="1"/>
  <c r="BC455" i="1"/>
  <c r="BZ454" i="1"/>
  <c r="CA454" i="1" s="1"/>
  <c r="BY454" i="1"/>
  <c r="BX454" i="1"/>
  <c r="BW454" i="1"/>
  <c r="BV454" i="1"/>
  <c r="BU454" i="1"/>
  <c r="BT454" i="1"/>
  <c r="BS454" i="1"/>
  <c r="BA454" i="1"/>
  <c r="BC454" i="1"/>
  <c r="BZ453" i="1"/>
  <c r="CA453" i="1" s="1"/>
  <c r="BY453" i="1"/>
  <c r="BX453" i="1"/>
  <c r="BW453" i="1"/>
  <c r="BV453" i="1"/>
  <c r="BU453" i="1"/>
  <c r="BT453" i="1"/>
  <c r="BS453" i="1"/>
  <c r="BC453" i="1"/>
  <c r="BZ452" i="1"/>
  <c r="CA452" i="1" s="1"/>
  <c r="BY452" i="1"/>
  <c r="BX452" i="1"/>
  <c r="BW452" i="1"/>
  <c r="BV452" i="1"/>
  <c r="BU452" i="1"/>
  <c r="BT452" i="1"/>
  <c r="BS452" i="1"/>
  <c r="BZ451" i="1"/>
  <c r="CA451" i="1" s="1"/>
  <c r="BY451" i="1"/>
  <c r="BX451" i="1"/>
  <c r="BW451" i="1"/>
  <c r="BV451" i="1"/>
  <c r="BU451" i="1"/>
  <c r="BT451" i="1"/>
  <c r="BS451" i="1"/>
  <c r="BC451" i="1"/>
  <c r="BZ450" i="1"/>
  <c r="CA450" i="1" s="1"/>
  <c r="BY450" i="1"/>
  <c r="BX450" i="1"/>
  <c r="BW450" i="1"/>
  <c r="BV450" i="1"/>
  <c r="BU450" i="1"/>
  <c r="BT450" i="1"/>
  <c r="BS450" i="1"/>
  <c r="BZ449" i="1"/>
  <c r="CA449" i="1" s="1"/>
  <c r="BY449" i="1"/>
  <c r="BX449" i="1"/>
  <c r="BW449" i="1"/>
  <c r="BV449" i="1"/>
  <c r="BU449" i="1"/>
  <c r="BT449" i="1"/>
  <c r="BS449" i="1"/>
  <c r="BC449" i="1"/>
  <c r="BZ448" i="1"/>
  <c r="CA448" i="1" s="1"/>
  <c r="BY448" i="1"/>
  <c r="BX448" i="1"/>
  <c r="BW448" i="1"/>
  <c r="BV448" i="1"/>
  <c r="BU448" i="1"/>
  <c r="BT448" i="1"/>
  <c r="BS448" i="1"/>
  <c r="BZ447" i="1"/>
  <c r="CA447" i="1" s="1"/>
  <c r="BY447" i="1"/>
  <c r="BX447" i="1"/>
  <c r="BW447" i="1"/>
  <c r="BV447" i="1"/>
  <c r="BU447" i="1"/>
  <c r="BT447" i="1"/>
  <c r="BS447" i="1"/>
  <c r="BC447" i="1"/>
  <c r="BZ446" i="1"/>
  <c r="CA446" i="1" s="1"/>
  <c r="BY446" i="1"/>
  <c r="BX446" i="1"/>
  <c r="BW446" i="1"/>
  <c r="BV446" i="1"/>
  <c r="BU446" i="1"/>
  <c r="BT446" i="1"/>
  <c r="BS446" i="1"/>
  <c r="BZ445" i="1"/>
  <c r="CA445" i="1" s="1"/>
  <c r="BY445" i="1"/>
  <c r="BX445" i="1"/>
  <c r="BW445" i="1"/>
  <c r="BV445" i="1"/>
  <c r="BU445" i="1"/>
  <c r="BT445" i="1"/>
  <c r="BS445" i="1"/>
  <c r="BC445" i="1"/>
  <c r="BZ444" i="1"/>
  <c r="CA444" i="1" s="1"/>
  <c r="BY444" i="1"/>
  <c r="BX444" i="1"/>
  <c r="BW444" i="1"/>
  <c r="BV444" i="1"/>
  <c r="BU444" i="1"/>
  <c r="BT444" i="1"/>
  <c r="BS444" i="1"/>
  <c r="BZ443" i="1"/>
  <c r="CA443" i="1" s="1"/>
  <c r="BY443" i="1"/>
  <c r="BX443" i="1"/>
  <c r="BW443" i="1"/>
  <c r="BV443" i="1"/>
  <c r="BU443" i="1"/>
  <c r="BT443" i="1"/>
  <c r="BS443" i="1"/>
  <c r="BC443" i="1"/>
  <c r="BZ442" i="1"/>
  <c r="CA442" i="1" s="1"/>
  <c r="BY442" i="1"/>
  <c r="BX442" i="1"/>
  <c r="BW442" i="1"/>
  <c r="BV442" i="1"/>
  <c r="BU442" i="1"/>
  <c r="BT442" i="1"/>
  <c r="BS442" i="1"/>
  <c r="BZ441" i="1"/>
  <c r="CA441" i="1" s="1"/>
  <c r="BY441" i="1"/>
  <c r="BX441" i="1"/>
  <c r="BW441" i="1"/>
  <c r="BV441" i="1"/>
  <c r="BU441" i="1"/>
  <c r="BT441" i="1"/>
  <c r="BS441" i="1"/>
  <c r="BC441" i="1"/>
  <c r="BZ440" i="1"/>
  <c r="CA440" i="1" s="1"/>
  <c r="BY440" i="1"/>
  <c r="BX440" i="1"/>
  <c r="BW440" i="1"/>
  <c r="BV440" i="1"/>
  <c r="BU440" i="1"/>
  <c r="BT440" i="1"/>
  <c r="BS440" i="1"/>
  <c r="BZ439" i="1"/>
  <c r="CA439" i="1" s="1"/>
  <c r="BY439" i="1"/>
  <c r="BX439" i="1"/>
  <c r="BW439" i="1"/>
  <c r="BV439" i="1"/>
  <c r="BU439" i="1"/>
  <c r="BT439" i="1"/>
  <c r="BS439" i="1"/>
  <c r="BC439" i="1"/>
  <c r="BZ438" i="1"/>
  <c r="CA438" i="1" s="1"/>
  <c r="BY438" i="1"/>
  <c r="BX438" i="1"/>
  <c r="BW438" i="1"/>
  <c r="BV438" i="1"/>
  <c r="BU438" i="1"/>
  <c r="BT438" i="1"/>
  <c r="BS438" i="1"/>
  <c r="BZ437" i="1"/>
  <c r="CA437" i="1" s="1"/>
  <c r="BY437" i="1"/>
  <c r="BX437" i="1"/>
  <c r="BW437" i="1"/>
  <c r="BV437" i="1"/>
  <c r="BU437" i="1"/>
  <c r="BT437" i="1"/>
  <c r="BS437" i="1"/>
  <c r="BC437" i="1"/>
  <c r="BZ436" i="1"/>
  <c r="CA436" i="1" s="1"/>
  <c r="BY436" i="1"/>
  <c r="BX436" i="1"/>
  <c r="BW436" i="1"/>
  <c r="BV436" i="1"/>
  <c r="BU436" i="1"/>
  <c r="BT436" i="1"/>
  <c r="BS436" i="1"/>
  <c r="BZ435" i="1"/>
  <c r="CA435" i="1" s="1"/>
  <c r="BY435" i="1"/>
  <c r="BX435" i="1"/>
  <c r="BW435" i="1"/>
  <c r="BV435" i="1"/>
  <c r="BU435" i="1"/>
  <c r="BT435" i="1"/>
  <c r="BS435" i="1"/>
  <c r="BC435" i="1"/>
  <c r="BZ434" i="1"/>
  <c r="CA434" i="1" s="1"/>
  <c r="BY434" i="1"/>
  <c r="BX434" i="1"/>
  <c r="BW434" i="1"/>
  <c r="BV434" i="1"/>
  <c r="BU434" i="1"/>
  <c r="BT434" i="1"/>
  <c r="BS434" i="1"/>
  <c r="BZ433" i="1"/>
  <c r="CA433" i="1" s="1"/>
  <c r="BY433" i="1"/>
  <c r="BX433" i="1"/>
  <c r="BW433" i="1"/>
  <c r="BV433" i="1"/>
  <c r="BU433" i="1"/>
  <c r="BT433" i="1"/>
  <c r="BS433" i="1"/>
  <c r="BC433" i="1"/>
  <c r="BZ432" i="1"/>
  <c r="CA432" i="1" s="1"/>
  <c r="BY432" i="1"/>
  <c r="BX432" i="1"/>
  <c r="BW432" i="1"/>
  <c r="BV432" i="1"/>
  <c r="BU432" i="1"/>
  <c r="BT432" i="1"/>
  <c r="BS432" i="1"/>
  <c r="BZ431" i="1"/>
  <c r="CA431" i="1" s="1"/>
  <c r="BY431" i="1"/>
  <c r="BX431" i="1"/>
  <c r="BW431" i="1"/>
  <c r="BV431" i="1"/>
  <c r="BU431" i="1"/>
  <c r="BT431" i="1"/>
  <c r="BS431" i="1"/>
  <c r="BC431" i="1"/>
  <c r="BZ430" i="1"/>
  <c r="CA430" i="1" s="1"/>
  <c r="BY430" i="1"/>
  <c r="BX430" i="1"/>
  <c r="BW430" i="1"/>
  <c r="BV430" i="1"/>
  <c r="BU430" i="1"/>
  <c r="BT430" i="1"/>
  <c r="BS430" i="1"/>
  <c r="BZ429" i="1"/>
  <c r="CA429" i="1" s="1"/>
  <c r="BY429" i="1"/>
  <c r="BX429" i="1"/>
  <c r="BW429" i="1"/>
  <c r="BV429" i="1"/>
  <c r="BU429" i="1"/>
  <c r="BT429" i="1"/>
  <c r="BS429" i="1"/>
  <c r="BC429" i="1"/>
  <c r="BZ428" i="1"/>
  <c r="CA428" i="1" s="1"/>
  <c r="BY428" i="1"/>
  <c r="BX428" i="1"/>
  <c r="BW428" i="1"/>
  <c r="BV428" i="1"/>
  <c r="BU428" i="1"/>
  <c r="BT428" i="1"/>
  <c r="BS428" i="1"/>
  <c r="BZ427" i="1"/>
  <c r="CA427" i="1" s="1"/>
  <c r="BY427" i="1"/>
  <c r="BX427" i="1"/>
  <c r="BW427" i="1"/>
  <c r="BV427" i="1"/>
  <c r="BU427" i="1"/>
  <c r="BT427" i="1"/>
  <c r="BS427" i="1"/>
  <c r="BC427" i="1"/>
  <c r="BZ426" i="1"/>
  <c r="CA426" i="1" s="1"/>
  <c r="BY426" i="1"/>
  <c r="BX426" i="1"/>
  <c r="BW426" i="1"/>
  <c r="BV426" i="1"/>
  <c r="BU426" i="1"/>
  <c r="BT426" i="1"/>
  <c r="BS426" i="1"/>
  <c r="BZ425" i="1"/>
  <c r="CA425" i="1" s="1"/>
  <c r="BY425" i="1"/>
  <c r="BX425" i="1"/>
  <c r="BW425" i="1"/>
  <c r="BV425" i="1"/>
  <c r="BU425" i="1"/>
  <c r="BT425" i="1"/>
  <c r="BS425" i="1"/>
  <c r="BC425" i="1"/>
  <c r="BZ424" i="1"/>
  <c r="CA424" i="1" s="1"/>
  <c r="BY424" i="1"/>
  <c r="BX424" i="1"/>
  <c r="BW424" i="1"/>
  <c r="BV424" i="1"/>
  <c r="BU424" i="1"/>
  <c r="BT424" i="1"/>
  <c r="BS424" i="1"/>
  <c r="BZ423" i="1"/>
  <c r="CA423" i="1" s="1"/>
  <c r="BY423" i="1"/>
  <c r="BX423" i="1"/>
  <c r="BW423" i="1"/>
  <c r="BV423" i="1"/>
  <c r="BU423" i="1"/>
  <c r="BT423" i="1"/>
  <c r="BS423" i="1"/>
  <c r="BC423" i="1"/>
  <c r="BZ422" i="1"/>
  <c r="CA422" i="1" s="1"/>
  <c r="BY422" i="1"/>
  <c r="BX422" i="1"/>
  <c r="BW422" i="1"/>
  <c r="BV422" i="1"/>
  <c r="BU422" i="1"/>
  <c r="BT422" i="1"/>
  <c r="BS422" i="1"/>
  <c r="BZ421" i="1"/>
  <c r="CA421" i="1" s="1"/>
  <c r="BY421" i="1"/>
  <c r="BX421" i="1"/>
  <c r="BW421" i="1"/>
  <c r="BV421" i="1"/>
  <c r="BU421" i="1"/>
  <c r="BT421" i="1"/>
  <c r="BS421" i="1"/>
  <c r="BC421" i="1"/>
  <c r="BZ420" i="1"/>
  <c r="CA420" i="1" s="1"/>
  <c r="BY420" i="1"/>
  <c r="BX420" i="1"/>
  <c r="BW420" i="1"/>
  <c r="BV420" i="1"/>
  <c r="BU420" i="1"/>
  <c r="BT420" i="1"/>
  <c r="BS420" i="1"/>
  <c r="BZ419" i="1"/>
  <c r="CA419" i="1" s="1"/>
  <c r="BY419" i="1"/>
  <c r="BX419" i="1"/>
  <c r="BW419" i="1"/>
  <c r="BV419" i="1"/>
  <c r="BU419" i="1"/>
  <c r="BT419" i="1"/>
  <c r="BS419" i="1"/>
  <c r="BC419" i="1"/>
  <c r="BZ418" i="1"/>
  <c r="CA418" i="1" s="1"/>
  <c r="BY418" i="1"/>
  <c r="BX418" i="1"/>
  <c r="BW418" i="1"/>
  <c r="BV418" i="1"/>
  <c r="BU418" i="1"/>
  <c r="BT418" i="1"/>
  <c r="BS418" i="1"/>
  <c r="BZ417" i="1"/>
  <c r="CA417" i="1" s="1"/>
  <c r="BY417" i="1"/>
  <c r="BX417" i="1"/>
  <c r="BW417" i="1"/>
  <c r="BV417" i="1"/>
  <c r="BU417" i="1"/>
  <c r="BT417" i="1"/>
  <c r="BS417" i="1"/>
  <c r="BC417" i="1"/>
  <c r="BZ416" i="1"/>
  <c r="CA416" i="1" s="1"/>
  <c r="BY416" i="1"/>
  <c r="BX416" i="1"/>
  <c r="BW416" i="1"/>
  <c r="BV416" i="1"/>
  <c r="BU416" i="1"/>
  <c r="BT416" i="1"/>
  <c r="BS416" i="1"/>
  <c r="BZ415" i="1"/>
  <c r="CA415" i="1" s="1"/>
  <c r="BY415" i="1"/>
  <c r="BX415" i="1"/>
  <c r="BW415" i="1"/>
  <c r="BV415" i="1"/>
  <c r="BU415" i="1"/>
  <c r="BT415" i="1"/>
  <c r="BS415" i="1"/>
  <c r="BC415" i="1"/>
  <c r="BZ414" i="1"/>
  <c r="CA414" i="1" s="1"/>
  <c r="BY414" i="1"/>
  <c r="BX414" i="1"/>
  <c r="BW414" i="1"/>
  <c r="BV414" i="1"/>
  <c r="BU414" i="1"/>
  <c r="BT414" i="1"/>
  <c r="BS414" i="1"/>
  <c r="BZ413" i="1"/>
  <c r="CA413" i="1" s="1"/>
  <c r="BY413" i="1"/>
  <c r="BX413" i="1"/>
  <c r="BW413" i="1"/>
  <c r="BV413" i="1"/>
  <c r="BU413" i="1"/>
  <c r="BT413" i="1"/>
  <c r="BS413" i="1"/>
  <c r="BC413" i="1"/>
  <c r="BZ412" i="1"/>
  <c r="CA412" i="1" s="1"/>
  <c r="BY412" i="1"/>
  <c r="BX412" i="1"/>
  <c r="BW412" i="1"/>
  <c r="BV412" i="1"/>
  <c r="BU412" i="1"/>
  <c r="BT412" i="1"/>
  <c r="BS412" i="1"/>
  <c r="BC412" i="1"/>
  <c r="BZ411" i="1"/>
  <c r="CA411" i="1" s="1"/>
  <c r="BY411" i="1"/>
  <c r="BX411" i="1"/>
  <c r="BW411" i="1"/>
  <c r="BV411" i="1"/>
  <c r="BU411" i="1"/>
  <c r="BT411" i="1"/>
  <c r="BS411" i="1"/>
  <c r="BC411" i="1"/>
  <c r="BZ410" i="1"/>
  <c r="CA410" i="1" s="1"/>
  <c r="BY410" i="1"/>
  <c r="BX410" i="1"/>
  <c r="BW410" i="1"/>
  <c r="BV410" i="1"/>
  <c r="BU410" i="1"/>
  <c r="BT410" i="1"/>
  <c r="BS410" i="1"/>
  <c r="BC410" i="1"/>
  <c r="BZ409" i="1"/>
  <c r="CA409" i="1" s="1"/>
  <c r="BY409" i="1"/>
  <c r="BX409" i="1"/>
  <c r="BW409" i="1"/>
  <c r="BV409" i="1"/>
  <c r="BU409" i="1"/>
  <c r="BT409" i="1"/>
  <c r="BS409" i="1"/>
  <c r="BC409" i="1"/>
  <c r="BZ408" i="1"/>
  <c r="CA408" i="1" s="1"/>
  <c r="BY408" i="1"/>
  <c r="BX408" i="1"/>
  <c r="BW408" i="1"/>
  <c r="BV408" i="1"/>
  <c r="BU408" i="1"/>
  <c r="BT408" i="1"/>
  <c r="BS408" i="1"/>
  <c r="BC408" i="1"/>
  <c r="BZ407" i="1"/>
  <c r="CA407" i="1" s="1"/>
  <c r="BY407" i="1"/>
  <c r="BX407" i="1"/>
  <c r="BW407" i="1"/>
  <c r="BV407" i="1"/>
  <c r="BU407" i="1"/>
  <c r="BT407" i="1"/>
  <c r="BS407" i="1"/>
  <c r="BC407" i="1"/>
  <c r="BZ406" i="1"/>
  <c r="CA406" i="1" s="1"/>
  <c r="BY406" i="1"/>
  <c r="BX406" i="1"/>
  <c r="BW406" i="1"/>
  <c r="BV406" i="1"/>
  <c r="BU406" i="1"/>
  <c r="BT406" i="1"/>
  <c r="BS406" i="1"/>
  <c r="BC406" i="1"/>
  <c r="BZ405" i="1"/>
  <c r="CA405" i="1" s="1"/>
  <c r="BY405" i="1"/>
  <c r="BX405" i="1"/>
  <c r="BW405" i="1"/>
  <c r="BV405" i="1"/>
  <c r="BU405" i="1"/>
  <c r="BT405" i="1"/>
  <c r="BS405" i="1"/>
  <c r="BC405" i="1"/>
  <c r="BZ404" i="1"/>
  <c r="CA404" i="1" s="1"/>
  <c r="BY404" i="1"/>
  <c r="BX404" i="1"/>
  <c r="BW404" i="1"/>
  <c r="BV404" i="1"/>
  <c r="BU404" i="1"/>
  <c r="BT404" i="1"/>
  <c r="BS404" i="1"/>
  <c r="BC404" i="1"/>
  <c r="BZ403" i="1"/>
  <c r="CA403" i="1" s="1"/>
  <c r="BY403" i="1"/>
  <c r="BX403" i="1"/>
  <c r="BW403" i="1"/>
  <c r="BV403" i="1"/>
  <c r="BU403" i="1"/>
  <c r="BT403" i="1"/>
  <c r="BS403" i="1"/>
  <c r="BC403" i="1"/>
  <c r="BZ402" i="1"/>
  <c r="CA402" i="1" s="1"/>
  <c r="BY402" i="1"/>
  <c r="BX402" i="1"/>
  <c r="BW402" i="1"/>
  <c r="BV402" i="1"/>
  <c r="BU402" i="1"/>
  <c r="BT402" i="1"/>
  <c r="BS402" i="1"/>
  <c r="BC402" i="1"/>
  <c r="BZ401" i="1"/>
  <c r="CA401" i="1" s="1"/>
  <c r="BY401" i="1"/>
  <c r="BX401" i="1"/>
  <c r="BW401" i="1"/>
  <c r="BV401" i="1"/>
  <c r="BU401" i="1"/>
  <c r="BT401" i="1"/>
  <c r="BS401" i="1"/>
  <c r="BC401" i="1"/>
  <c r="BZ400" i="1"/>
  <c r="CA400" i="1" s="1"/>
  <c r="BY400" i="1"/>
  <c r="BX400" i="1"/>
  <c r="BW400" i="1"/>
  <c r="BV400" i="1"/>
  <c r="BU400" i="1"/>
  <c r="BT400" i="1"/>
  <c r="BS400" i="1"/>
  <c r="BC400" i="1"/>
  <c r="BZ399" i="1"/>
  <c r="CA399" i="1" s="1"/>
  <c r="BY399" i="1"/>
  <c r="BX399" i="1"/>
  <c r="BW399" i="1"/>
  <c r="BV399" i="1"/>
  <c r="BU399" i="1"/>
  <c r="BT399" i="1"/>
  <c r="BS399" i="1"/>
  <c r="BC399" i="1"/>
  <c r="BZ398" i="1"/>
  <c r="CA398" i="1" s="1"/>
  <c r="BY398" i="1"/>
  <c r="BX398" i="1"/>
  <c r="BW398" i="1"/>
  <c r="BV398" i="1"/>
  <c r="BU398" i="1"/>
  <c r="BT398" i="1"/>
  <c r="BS398" i="1"/>
  <c r="BC398" i="1"/>
  <c r="BZ397" i="1"/>
  <c r="CA397" i="1" s="1"/>
  <c r="BY397" i="1"/>
  <c r="BX397" i="1"/>
  <c r="BW397" i="1"/>
  <c r="BV397" i="1"/>
  <c r="BU397" i="1"/>
  <c r="BT397" i="1"/>
  <c r="BS397" i="1"/>
  <c r="BC397" i="1"/>
  <c r="BZ396" i="1"/>
  <c r="CA396" i="1" s="1"/>
  <c r="BY396" i="1"/>
  <c r="BX396" i="1"/>
  <c r="BW396" i="1"/>
  <c r="BV396" i="1"/>
  <c r="BU396" i="1"/>
  <c r="BT396" i="1"/>
  <c r="BS396" i="1"/>
  <c r="BC396" i="1"/>
  <c r="BZ395" i="1"/>
  <c r="CA395" i="1" s="1"/>
  <c r="BY395" i="1"/>
  <c r="BX395" i="1"/>
  <c r="BW395" i="1"/>
  <c r="BV395" i="1"/>
  <c r="BU395" i="1"/>
  <c r="BT395" i="1"/>
  <c r="BS395" i="1"/>
  <c r="BC395" i="1"/>
  <c r="BZ394" i="1"/>
  <c r="CA394" i="1" s="1"/>
  <c r="BY394" i="1"/>
  <c r="BX394" i="1"/>
  <c r="BW394" i="1"/>
  <c r="BV394" i="1"/>
  <c r="BU394" i="1"/>
  <c r="BT394" i="1"/>
  <c r="BS394" i="1"/>
  <c r="BC394" i="1"/>
  <c r="BZ393" i="1"/>
  <c r="CA393" i="1" s="1"/>
  <c r="CB393" i="1" s="1"/>
  <c r="BY393" i="1"/>
  <c r="BX393" i="1"/>
  <c r="BW393" i="1"/>
  <c r="BV393" i="1"/>
  <c r="BU393" i="1"/>
  <c r="BT393" i="1"/>
  <c r="BS393" i="1"/>
  <c r="BC393" i="1"/>
  <c r="BZ392" i="1"/>
  <c r="CA392" i="1" s="1"/>
  <c r="BY392" i="1"/>
  <c r="BX392" i="1"/>
  <c r="BW392" i="1"/>
  <c r="BV392" i="1"/>
  <c r="BU392" i="1"/>
  <c r="BT392" i="1"/>
  <c r="BS392" i="1"/>
  <c r="BC392" i="1"/>
  <c r="BZ391" i="1"/>
  <c r="CA391" i="1" s="1"/>
  <c r="BY391" i="1"/>
  <c r="BX391" i="1"/>
  <c r="BW391" i="1"/>
  <c r="BV391" i="1"/>
  <c r="BU391" i="1"/>
  <c r="BT391" i="1"/>
  <c r="BS391" i="1"/>
  <c r="BC391" i="1"/>
  <c r="BZ390" i="1"/>
  <c r="CA390" i="1" s="1"/>
  <c r="BY390" i="1"/>
  <c r="BX390" i="1"/>
  <c r="BW390" i="1"/>
  <c r="BV390" i="1"/>
  <c r="BU390" i="1"/>
  <c r="BT390" i="1"/>
  <c r="BS390" i="1"/>
  <c r="BC390" i="1"/>
  <c r="CA389" i="1"/>
  <c r="BZ389" i="1"/>
  <c r="BY389" i="1"/>
  <c r="BX389" i="1"/>
  <c r="BW389" i="1"/>
  <c r="BV389" i="1"/>
  <c r="BU389" i="1"/>
  <c r="BT389" i="1"/>
  <c r="BS389" i="1"/>
  <c r="BC389" i="1"/>
  <c r="BZ388" i="1"/>
  <c r="CA388" i="1" s="1"/>
  <c r="BY388" i="1"/>
  <c r="BX388" i="1"/>
  <c r="BW388" i="1"/>
  <c r="BV388" i="1"/>
  <c r="BU388" i="1"/>
  <c r="BT388" i="1"/>
  <c r="BS388" i="1"/>
  <c r="BC388" i="1"/>
  <c r="BZ387" i="1"/>
  <c r="CA387" i="1" s="1"/>
  <c r="BY387" i="1"/>
  <c r="BX387" i="1"/>
  <c r="BW387" i="1"/>
  <c r="BV387" i="1"/>
  <c r="BU387" i="1"/>
  <c r="BT387" i="1"/>
  <c r="BS387" i="1"/>
  <c r="BC387" i="1"/>
  <c r="BZ386" i="1"/>
  <c r="CA386" i="1" s="1"/>
  <c r="BY386" i="1"/>
  <c r="BX386" i="1"/>
  <c r="BW386" i="1"/>
  <c r="BV386" i="1"/>
  <c r="BU386" i="1"/>
  <c r="BT386" i="1"/>
  <c r="BS386" i="1"/>
  <c r="BC386" i="1"/>
  <c r="BZ385" i="1"/>
  <c r="CA385" i="1" s="1"/>
  <c r="BY385" i="1"/>
  <c r="BX385" i="1"/>
  <c r="BW385" i="1"/>
  <c r="BV385" i="1"/>
  <c r="BU385" i="1"/>
  <c r="BT385" i="1"/>
  <c r="BS385" i="1"/>
  <c r="BC385" i="1"/>
  <c r="BZ384" i="1"/>
  <c r="CA384" i="1" s="1"/>
  <c r="BY384" i="1"/>
  <c r="BX384" i="1"/>
  <c r="BW384" i="1"/>
  <c r="BV384" i="1"/>
  <c r="BU384" i="1"/>
  <c r="BT384" i="1"/>
  <c r="BS384" i="1"/>
  <c r="BC384" i="1"/>
  <c r="BZ383" i="1"/>
  <c r="CA383" i="1" s="1"/>
  <c r="BY383" i="1"/>
  <c r="BX383" i="1"/>
  <c r="BW383" i="1"/>
  <c r="BV383" i="1"/>
  <c r="BU383" i="1"/>
  <c r="BT383" i="1"/>
  <c r="BS383" i="1"/>
  <c r="BC383" i="1"/>
  <c r="BZ382" i="1"/>
  <c r="CA382" i="1" s="1"/>
  <c r="BY382" i="1"/>
  <c r="BX382" i="1"/>
  <c r="BW382" i="1"/>
  <c r="BV382" i="1"/>
  <c r="BU382" i="1"/>
  <c r="BT382" i="1"/>
  <c r="BS382" i="1"/>
  <c r="BC382" i="1"/>
  <c r="BZ381" i="1"/>
  <c r="CA381" i="1" s="1"/>
  <c r="BY381" i="1"/>
  <c r="BX381" i="1"/>
  <c r="BW381" i="1"/>
  <c r="BV381" i="1"/>
  <c r="BU381" i="1"/>
  <c r="BT381" i="1"/>
  <c r="BS381" i="1"/>
  <c r="BC381" i="1"/>
  <c r="BZ380" i="1"/>
  <c r="CA380" i="1" s="1"/>
  <c r="BY380" i="1"/>
  <c r="BX380" i="1"/>
  <c r="BW380" i="1"/>
  <c r="BV380" i="1"/>
  <c r="BU380" i="1"/>
  <c r="BT380" i="1"/>
  <c r="BS380" i="1"/>
  <c r="BC380" i="1"/>
  <c r="BZ379" i="1"/>
  <c r="CA379" i="1" s="1"/>
  <c r="BY379" i="1"/>
  <c r="BX379" i="1"/>
  <c r="BW379" i="1"/>
  <c r="BV379" i="1"/>
  <c r="BU379" i="1"/>
  <c r="BT379" i="1"/>
  <c r="BS379" i="1"/>
  <c r="BC379" i="1"/>
  <c r="BZ378" i="1"/>
  <c r="CA378" i="1" s="1"/>
  <c r="BY378" i="1"/>
  <c r="BX378" i="1"/>
  <c r="BW378" i="1"/>
  <c r="BV378" i="1"/>
  <c r="BU378" i="1"/>
  <c r="BT378" i="1"/>
  <c r="BS378" i="1"/>
  <c r="BC378" i="1"/>
  <c r="BZ377" i="1"/>
  <c r="CA377" i="1" s="1"/>
  <c r="BY377" i="1"/>
  <c r="BX377" i="1"/>
  <c r="BW377" i="1"/>
  <c r="BV377" i="1"/>
  <c r="BU377" i="1"/>
  <c r="BT377" i="1"/>
  <c r="BS377" i="1"/>
  <c r="BC377" i="1"/>
  <c r="BZ376" i="1"/>
  <c r="CA376" i="1" s="1"/>
  <c r="BY376" i="1"/>
  <c r="BX376" i="1"/>
  <c r="BW376" i="1"/>
  <c r="BV376" i="1"/>
  <c r="BU376" i="1"/>
  <c r="BT376" i="1"/>
  <c r="BS376" i="1"/>
  <c r="BC376" i="1"/>
  <c r="BZ375" i="1"/>
  <c r="CA375" i="1" s="1"/>
  <c r="BY375" i="1"/>
  <c r="BX375" i="1"/>
  <c r="BW375" i="1"/>
  <c r="BV375" i="1"/>
  <c r="BU375" i="1"/>
  <c r="BT375" i="1"/>
  <c r="BS375" i="1"/>
  <c r="BC375" i="1"/>
  <c r="BZ374" i="1"/>
  <c r="CA374" i="1" s="1"/>
  <c r="BY374" i="1"/>
  <c r="BX374" i="1"/>
  <c r="BW374" i="1"/>
  <c r="BV374" i="1"/>
  <c r="BU374" i="1"/>
  <c r="BT374" i="1"/>
  <c r="BS374" i="1"/>
  <c r="BC374" i="1"/>
  <c r="BZ373" i="1"/>
  <c r="CA373" i="1" s="1"/>
  <c r="BY373" i="1"/>
  <c r="BX373" i="1"/>
  <c r="BW373" i="1"/>
  <c r="BV373" i="1"/>
  <c r="BU373" i="1"/>
  <c r="BT373" i="1"/>
  <c r="BS373" i="1"/>
  <c r="BC373" i="1"/>
  <c r="BZ372" i="1"/>
  <c r="CA372" i="1" s="1"/>
  <c r="BY372" i="1"/>
  <c r="BX372" i="1"/>
  <c r="BW372" i="1"/>
  <c r="BV372" i="1"/>
  <c r="BU372" i="1"/>
  <c r="BT372" i="1"/>
  <c r="BS372" i="1"/>
  <c r="BC372" i="1"/>
  <c r="BZ371" i="1"/>
  <c r="CA371" i="1" s="1"/>
  <c r="BY371" i="1"/>
  <c r="BX371" i="1"/>
  <c r="BW371" i="1"/>
  <c r="BV371" i="1"/>
  <c r="BU371" i="1"/>
  <c r="BT371" i="1"/>
  <c r="BS371" i="1"/>
  <c r="BC371" i="1"/>
  <c r="BZ370" i="1"/>
  <c r="CA370" i="1" s="1"/>
  <c r="BY370" i="1"/>
  <c r="BX370" i="1"/>
  <c r="BW370" i="1"/>
  <c r="BV370" i="1"/>
  <c r="BU370" i="1"/>
  <c r="BT370" i="1"/>
  <c r="BS370" i="1"/>
  <c r="BC370" i="1"/>
  <c r="BZ369" i="1"/>
  <c r="CA369" i="1" s="1"/>
  <c r="BY369" i="1"/>
  <c r="BX369" i="1"/>
  <c r="BW369" i="1"/>
  <c r="BV369" i="1"/>
  <c r="BU369" i="1"/>
  <c r="BT369" i="1"/>
  <c r="BS369" i="1"/>
  <c r="BC369" i="1"/>
  <c r="BZ368" i="1"/>
  <c r="CA368" i="1" s="1"/>
  <c r="BY368" i="1"/>
  <c r="BX368" i="1"/>
  <c r="BW368" i="1"/>
  <c r="BV368" i="1"/>
  <c r="BU368" i="1"/>
  <c r="BT368" i="1"/>
  <c r="BS368" i="1"/>
  <c r="BC368" i="1"/>
  <c r="BZ367" i="1"/>
  <c r="CA367" i="1" s="1"/>
  <c r="BY367" i="1"/>
  <c r="BX367" i="1"/>
  <c r="BW367" i="1"/>
  <c r="BV367" i="1"/>
  <c r="BU367" i="1"/>
  <c r="BT367" i="1"/>
  <c r="BS367" i="1"/>
  <c r="BC367" i="1"/>
  <c r="BZ366" i="1"/>
  <c r="CA366" i="1" s="1"/>
  <c r="BY366" i="1"/>
  <c r="BX366" i="1"/>
  <c r="BW366" i="1"/>
  <c r="BV366" i="1"/>
  <c r="BU366" i="1"/>
  <c r="BT366" i="1"/>
  <c r="BS366" i="1"/>
  <c r="BC366" i="1"/>
  <c r="BZ365" i="1"/>
  <c r="CA365" i="1" s="1"/>
  <c r="BY365" i="1"/>
  <c r="BX365" i="1"/>
  <c r="BW365" i="1"/>
  <c r="BV365" i="1"/>
  <c r="BU365" i="1"/>
  <c r="BT365" i="1"/>
  <c r="BS365" i="1"/>
  <c r="BC365" i="1"/>
  <c r="BZ364" i="1"/>
  <c r="CA364" i="1" s="1"/>
  <c r="BY364" i="1"/>
  <c r="BX364" i="1"/>
  <c r="BW364" i="1"/>
  <c r="BV364" i="1"/>
  <c r="BU364" i="1"/>
  <c r="BT364" i="1"/>
  <c r="BS364" i="1"/>
  <c r="BC364" i="1"/>
  <c r="BZ363" i="1"/>
  <c r="CA363" i="1" s="1"/>
  <c r="BY363" i="1"/>
  <c r="BX363" i="1"/>
  <c r="BW363" i="1"/>
  <c r="BV363" i="1"/>
  <c r="BU363" i="1"/>
  <c r="BT363" i="1"/>
  <c r="BS363" i="1"/>
  <c r="BC363" i="1"/>
  <c r="BZ362" i="1"/>
  <c r="CA362" i="1" s="1"/>
  <c r="BY362" i="1"/>
  <c r="BX362" i="1"/>
  <c r="BW362" i="1"/>
  <c r="BV362" i="1"/>
  <c r="BU362" i="1"/>
  <c r="BT362" i="1"/>
  <c r="BS362" i="1"/>
  <c r="BC362" i="1"/>
  <c r="BZ361" i="1"/>
  <c r="CA361" i="1" s="1"/>
  <c r="BY361" i="1"/>
  <c r="BX361" i="1"/>
  <c r="BW361" i="1"/>
  <c r="BV361" i="1"/>
  <c r="BU361" i="1"/>
  <c r="BT361" i="1"/>
  <c r="BS361" i="1"/>
  <c r="BC361" i="1"/>
  <c r="BZ360" i="1"/>
  <c r="CA360" i="1" s="1"/>
  <c r="BY360" i="1"/>
  <c r="BX360" i="1"/>
  <c r="BW360" i="1"/>
  <c r="BV360" i="1"/>
  <c r="BU360" i="1"/>
  <c r="BT360" i="1"/>
  <c r="BS360" i="1"/>
  <c r="BC360" i="1"/>
  <c r="BZ359" i="1"/>
  <c r="CA359" i="1" s="1"/>
  <c r="BY359" i="1"/>
  <c r="BX359" i="1"/>
  <c r="BW359" i="1"/>
  <c r="BV359" i="1"/>
  <c r="BU359" i="1"/>
  <c r="BT359" i="1"/>
  <c r="BS359" i="1"/>
  <c r="BC359" i="1"/>
  <c r="BZ358" i="1"/>
  <c r="CA358" i="1" s="1"/>
  <c r="BY358" i="1"/>
  <c r="BX358" i="1"/>
  <c r="BW358" i="1"/>
  <c r="BV358" i="1"/>
  <c r="BU358" i="1"/>
  <c r="BT358" i="1"/>
  <c r="BS358" i="1"/>
  <c r="BC358" i="1"/>
  <c r="BZ357" i="1"/>
  <c r="CA357" i="1" s="1"/>
  <c r="BY357" i="1"/>
  <c r="BX357" i="1"/>
  <c r="BW357" i="1"/>
  <c r="BV357" i="1"/>
  <c r="BU357" i="1"/>
  <c r="BT357" i="1"/>
  <c r="BS357" i="1"/>
  <c r="BC357" i="1"/>
  <c r="BZ356" i="1"/>
  <c r="CA356" i="1" s="1"/>
  <c r="BY356" i="1"/>
  <c r="BX356" i="1"/>
  <c r="BW356" i="1"/>
  <c r="BV356" i="1"/>
  <c r="BU356" i="1"/>
  <c r="BT356" i="1"/>
  <c r="BS356" i="1"/>
  <c r="BC356" i="1"/>
  <c r="BZ355" i="1"/>
  <c r="CA355" i="1" s="1"/>
  <c r="BY355" i="1"/>
  <c r="BX355" i="1"/>
  <c r="BW355" i="1"/>
  <c r="BV355" i="1"/>
  <c r="BU355" i="1"/>
  <c r="BT355" i="1"/>
  <c r="BS355" i="1"/>
  <c r="BC355" i="1"/>
  <c r="BZ354" i="1"/>
  <c r="CA354" i="1" s="1"/>
  <c r="BY354" i="1"/>
  <c r="BX354" i="1"/>
  <c r="BW354" i="1"/>
  <c r="BV354" i="1"/>
  <c r="BU354" i="1"/>
  <c r="BT354" i="1"/>
  <c r="BS354" i="1"/>
  <c r="BC354" i="1"/>
  <c r="BA354" i="1"/>
  <c r="BA355" i="1" s="1"/>
  <c r="BA356" i="1" s="1"/>
  <c r="BA357" i="1" s="1"/>
  <c r="BA358" i="1" s="1"/>
  <c r="BA359" i="1" s="1"/>
  <c r="BA360" i="1" s="1"/>
  <c r="BA361" i="1" s="1"/>
  <c r="BA362" i="1" s="1"/>
  <c r="BA363" i="1" s="1"/>
  <c r="BA364" i="1" s="1"/>
  <c r="BA365" i="1" s="1"/>
  <c r="BA366" i="1" s="1"/>
  <c r="BA367" i="1" s="1"/>
  <c r="BA368" i="1" s="1"/>
  <c r="BA369" i="1" s="1"/>
  <c r="BA370" i="1" s="1"/>
  <c r="BA371" i="1" s="1"/>
  <c r="BA372" i="1" s="1"/>
  <c r="BA373" i="1" s="1"/>
  <c r="BA374" i="1" s="1"/>
  <c r="BA375" i="1" s="1"/>
  <c r="BA376" i="1" s="1"/>
  <c r="BA377" i="1" s="1"/>
  <c r="BA378" i="1" s="1"/>
  <c r="BA379" i="1" s="1"/>
  <c r="BA380" i="1" s="1"/>
  <c r="BA381" i="1" s="1"/>
  <c r="BA382" i="1" s="1"/>
  <c r="BA383" i="1" s="1"/>
  <c r="BA384" i="1" s="1"/>
  <c r="BA385" i="1" s="1"/>
  <c r="BA386" i="1" s="1"/>
  <c r="BA387" i="1" s="1"/>
  <c r="BA388" i="1" s="1"/>
  <c r="BA389" i="1" s="1"/>
  <c r="BA390" i="1" s="1"/>
  <c r="BA391" i="1" s="1"/>
  <c r="BA392" i="1" s="1"/>
  <c r="BA393" i="1" s="1"/>
  <c r="BA394" i="1" s="1"/>
  <c r="BA395" i="1" s="1"/>
  <c r="BA396" i="1" s="1"/>
  <c r="BA397" i="1" s="1"/>
  <c r="BA398" i="1" s="1"/>
  <c r="BA399" i="1" s="1"/>
  <c r="BA400" i="1" s="1"/>
  <c r="BA401" i="1" s="1"/>
  <c r="BA402" i="1" s="1"/>
  <c r="BA403" i="1" s="1"/>
  <c r="BA404" i="1" s="1"/>
  <c r="BA405" i="1" s="1"/>
  <c r="BA406" i="1" s="1"/>
  <c r="BA407" i="1" s="1"/>
  <c r="BA408" i="1" s="1"/>
  <c r="BA409" i="1" s="1"/>
  <c r="BA410" i="1" s="1"/>
  <c r="BA411" i="1" s="1"/>
  <c r="BA412" i="1" s="1"/>
  <c r="BA413" i="1" s="1"/>
  <c r="BA414" i="1" s="1"/>
  <c r="BA415" i="1" s="1"/>
  <c r="BA416" i="1" s="1"/>
  <c r="BA417" i="1" s="1"/>
  <c r="BA418" i="1" s="1"/>
  <c r="BA419" i="1" s="1"/>
  <c r="BA420" i="1" s="1"/>
  <c r="BA421" i="1" s="1"/>
  <c r="BA422" i="1" s="1"/>
  <c r="BA423" i="1" s="1"/>
  <c r="BA424" i="1" s="1"/>
  <c r="BA425" i="1" s="1"/>
  <c r="BA426" i="1" s="1"/>
  <c r="BA427" i="1" s="1"/>
  <c r="BA428" i="1" s="1"/>
  <c r="BA429" i="1" s="1"/>
  <c r="BA430" i="1" s="1"/>
  <c r="BA431" i="1" s="1"/>
  <c r="BA432" i="1" s="1"/>
  <c r="BA433" i="1" s="1"/>
  <c r="BA434" i="1" s="1"/>
  <c r="BA435" i="1" s="1"/>
  <c r="BA436" i="1" s="1"/>
  <c r="BA437" i="1" s="1"/>
  <c r="BA438" i="1" s="1"/>
  <c r="BA439" i="1" s="1"/>
  <c r="BA440" i="1" s="1"/>
  <c r="BA441" i="1" s="1"/>
  <c r="BA442" i="1" s="1"/>
  <c r="BA443" i="1" s="1"/>
  <c r="BA444" i="1" s="1"/>
  <c r="BA445" i="1" s="1"/>
  <c r="BA446" i="1" s="1"/>
  <c r="BA447" i="1" s="1"/>
  <c r="BA448" i="1" s="1"/>
  <c r="BA449" i="1" s="1"/>
  <c r="BA450" i="1" s="1"/>
  <c r="BA451" i="1" s="1"/>
  <c r="BA452" i="1" s="1"/>
  <c r="BZ353" i="1"/>
  <c r="CA353" i="1" s="1"/>
  <c r="BY353" i="1"/>
  <c r="BX353" i="1"/>
  <c r="BW353" i="1"/>
  <c r="BV353" i="1"/>
  <c r="BU353" i="1"/>
  <c r="BT353" i="1"/>
  <c r="BS353" i="1"/>
  <c r="BC353" i="1"/>
  <c r="BZ352" i="1"/>
  <c r="CA352" i="1" s="1"/>
  <c r="BY352" i="1"/>
  <c r="BX352" i="1"/>
  <c r="BW352" i="1"/>
  <c r="BV352" i="1"/>
  <c r="BU352" i="1"/>
  <c r="BT352" i="1"/>
  <c r="BS352" i="1"/>
  <c r="BZ351" i="1"/>
  <c r="CA351" i="1" s="1"/>
  <c r="BY351" i="1"/>
  <c r="BX351" i="1"/>
  <c r="BW351" i="1"/>
  <c r="BV351" i="1"/>
  <c r="BU351" i="1"/>
  <c r="BT351" i="1"/>
  <c r="BS351" i="1"/>
  <c r="BC351" i="1"/>
  <c r="BZ350" i="1"/>
  <c r="CA350" i="1" s="1"/>
  <c r="BY350" i="1"/>
  <c r="BX350" i="1"/>
  <c r="BW350" i="1"/>
  <c r="BV350" i="1"/>
  <c r="BU350" i="1"/>
  <c r="BT350" i="1"/>
  <c r="BS350" i="1"/>
  <c r="BZ349" i="1"/>
  <c r="CA349" i="1" s="1"/>
  <c r="BY349" i="1"/>
  <c r="BX349" i="1"/>
  <c r="BW349" i="1"/>
  <c r="BV349" i="1"/>
  <c r="BU349" i="1"/>
  <c r="BT349" i="1"/>
  <c r="BS349" i="1"/>
  <c r="BC349" i="1"/>
  <c r="BZ348" i="1"/>
  <c r="CA348" i="1" s="1"/>
  <c r="BY348" i="1"/>
  <c r="BX348" i="1"/>
  <c r="BW348" i="1"/>
  <c r="BV348" i="1"/>
  <c r="BU348" i="1"/>
  <c r="BT348" i="1"/>
  <c r="BS348" i="1"/>
  <c r="BZ347" i="1"/>
  <c r="CA347" i="1" s="1"/>
  <c r="BY347" i="1"/>
  <c r="BX347" i="1"/>
  <c r="BW347" i="1"/>
  <c r="BV347" i="1"/>
  <c r="BU347" i="1"/>
  <c r="BT347" i="1"/>
  <c r="BS347" i="1"/>
  <c r="BC347" i="1"/>
  <c r="BZ346" i="1"/>
  <c r="CA346" i="1" s="1"/>
  <c r="BY346" i="1"/>
  <c r="BX346" i="1"/>
  <c r="BW346" i="1"/>
  <c r="BV346" i="1"/>
  <c r="BU346" i="1"/>
  <c r="BT346" i="1"/>
  <c r="BS346" i="1"/>
  <c r="BZ345" i="1"/>
  <c r="CA345" i="1" s="1"/>
  <c r="BY345" i="1"/>
  <c r="BX345" i="1"/>
  <c r="BW345" i="1"/>
  <c r="BV345" i="1"/>
  <c r="BU345" i="1"/>
  <c r="BT345" i="1"/>
  <c r="BS345" i="1"/>
  <c r="BC345" i="1"/>
  <c r="BZ344" i="1"/>
  <c r="CA344" i="1" s="1"/>
  <c r="BY344" i="1"/>
  <c r="BX344" i="1"/>
  <c r="BW344" i="1"/>
  <c r="BV344" i="1"/>
  <c r="BU344" i="1"/>
  <c r="BT344" i="1"/>
  <c r="BS344" i="1"/>
  <c r="BZ343" i="1"/>
  <c r="CA343" i="1" s="1"/>
  <c r="BY343" i="1"/>
  <c r="BX343" i="1"/>
  <c r="BW343" i="1"/>
  <c r="BV343" i="1"/>
  <c r="BU343" i="1"/>
  <c r="BT343" i="1"/>
  <c r="BS343" i="1"/>
  <c r="BC343" i="1"/>
  <c r="BZ342" i="1"/>
  <c r="CA342" i="1" s="1"/>
  <c r="BY342" i="1"/>
  <c r="BX342" i="1"/>
  <c r="BW342" i="1"/>
  <c r="BV342" i="1"/>
  <c r="BU342" i="1"/>
  <c r="BT342" i="1"/>
  <c r="BS342" i="1"/>
  <c r="BZ341" i="1"/>
  <c r="CA341" i="1" s="1"/>
  <c r="BY341" i="1"/>
  <c r="BX341" i="1"/>
  <c r="BW341" i="1"/>
  <c r="BV341" i="1"/>
  <c r="BU341" i="1"/>
  <c r="BT341" i="1"/>
  <c r="BS341" i="1"/>
  <c r="BC341" i="1"/>
  <c r="BZ340" i="1"/>
  <c r="CA340" i="1" s="1"/>
  <c r="BY340" i="1"/>
  <c r="BX340" i="1"/>
  <c r="BW340" i="1"/>
  <c r="BV340" i="1"/>
  <c r="BU340" i="1"/>
  <c r="BT340" i="1"/>
  <c r="BS340" i="1"/>
  <c r="BZ339" i="1"/>
  <c r="CA339" i="1" s="1"/>
  <c r="BY339" i="1"/>
  <c r="BX339" i="1"/>
  <c r="BW339" i="1"/>
  <c r="BV339" i="1"/>
  <c r="BU339" i="1"/>
  <c r="BT339" i="1"/>
  <c r="BS339" i="1"/>
  <c r="BC339" i="1"/>
  <c r="BZ338" i="1"/>
  <c r="CA338" i="1" s="1"/>
  <c r="BY338" i="1"/>
  <c r="BX338" i="1"/>
  <c r="BW338" i="1"/>
  <c r="BV338" i="1"/>
  <c r="BU338" i="1"/>
  <c r="BT338" i="1"/>
  <c r="BS338" i="1"/>
  <c r="BZ337" i="1"/>
  <c r="CA337" i="1" s="1"/>
  <c r="BY337" i="1"/>
  <c r="BX337" i="1"/>
  <c r="BW337" i="1"/>
  <c r="BV337" i="1"/>
  <c r="BU337" i="1"/>
  <c r="BT337" i="1"/>
  <c r="BS337" i="1"/>
  <c r="BC337" i="1"/>
  <c r="BZ336" i="1"/>
  <c r="CA336" i="1" s="1"/>
  <c r="BY336" i="1"/>
  <c r="BX336" i="1"/>
  <c r="BW336" i="1"/>
  <c r="BV336" i="1"/>
  <c r="BU336" i="1"/>
  <c r="BT336" i="1"/>
  <c r="BS336" i="1"/>
  <c r="BZ335" i="1"/>
  <c r="CA335" i="1" s="1"/>
  <c r="BY335" i="1"/>
  <c r="BX335" i="1"/>
  <c r="BW335" i="1"/>
  <c r="BV335" i="1"/>
  <c r="BU335" i="1"/>
  <c r="BT335" i="1"/>
  <c r="BS335" i="1"/>
  <c r="BC335" i="1"/>
  <c r="BZ334" i="1"/>
  <c r="CA334" i="1" s="1"/>
  <c r="BY334" i="1"/>
  <c r="BX334" i="1"/>
  <c r="BW334" i="1"/>
  <c r="BV334" i="1"/>
  <c r="BU334" i="1"/>
  <c r="BT334" i="1"/>
  <c r="BS334" i="1"/>
  <c r="BZ333" i="1"/>
  <c r="CA333" i="1" s="1"/>
  <c r="BY333" i="1"/>
  <c r="BX333" i="1"/>
  <c r="BW333" i="1"/>
  <c r="BV333" i="1"/>
  <c r="BU333" i="1"/>
  <c r="BT333" i="1"/>
  <c r="BS333" i="1"/>
  <c r="BC333" i="1"/>
  <c r="BZ332" i="1"/>
  <c r="CA332" i="1" s="1"/>
  <c r="BY332" i="1"/>
  <c r="BX332" i="1"/>
  <c r="BW332" i="1"/>
  <c r="BV332" i="1"/>
  <c r="BU332" i="1"/>
  <c r="BT332" i="1"/>
  <c r="BS332" i="1"/>
  <c r="BZ331" i="1"/>
  <c r="CA331" i="1" s="1"/>
  <c r="BY331" i="1"/>
  <c r="BX331" i="1"/>
  <c r="BW331" i="1"/>
  <c r="BV331" i="1"/>
  <c r="BU331" i="1"/>
  <c r="BT331" i="1"/>
  <c r="BS331" i="1"/>
  <c r="BC331" i="1"/>
  <c r="BZ330" i="1"/>
  <c r="CA330" i="1" s="1"/>
  <c r="BY330" i="1"/>
  <c r="BX330" i="1"/>
  <c r="BW330" i="1"/>
  <c r="BV330" i="1"/>
  <c r="BU330" i="1"/>
  <c r="BT330" i="1"/>
  <c r="BS330" i="1"/>
  <c r="BZ329" i="1"/>
  <c r="CA329" i="1" s="1"/>
  <c r="BY329" i="1"/>
  <c r="BX329" i="1"/>
  <c r="BW329" i="1"/>
  <c r="BV329" i="1"/>
  <c r="BU329" i="1"/>
  <c r="BT329" i="1"/>
  <c r="BS329" i="1"/>
  <c r="BC329" i="1"/>
  <c r="BZ328" i="1"/>
  <c r="CA328" i="1" s="1"/>
  <c r="BY328" i="1"/>
  <c r="BX328" i="1"/>
  <c r="BW328" i="1"/>
  <c r="BV328" i="1"/>
  <c r="BU328" i="1"/>
  <c r="BT328" i="1"/>
  <c r="BS328" i="1"/>
  <c r="BZ327" i="1"/>
  <c r="CA327" i="1" s="1"/>
  <c r="BY327" i="1"/>
  <c r="BX327" i="1"/>
  <c r="BW327" i="1"/>
  <c r="BV327" i="1"/>
  <c r="BU327" i="1"/>
  <c r="BT327" i="1"/>
  <c r="BS327" i="1"/>
  <c r="BC327" i="1"/>
  <c r="BZ326" i="1"/>
  <c r="CA326" i="1" s="1"/>
  <c r="BY326" i="1"/>
  <c r="BX326" i="1"/>
  <c r="BW326" i="1"/>
  <c r="BV326" i="1"/>
  <c r="BU326" i="1"/>
  <c r="BT326" i="1"/>
  <c r="BS326" i="1"/>
  <c r="BZ325" i="1"/>
  <c r="CA325" i="1" s="1"/>
  <c r="BY325" i="1"/>
  <c r="BX325" i="1"/>
  <c r="BW325" i="1"/>
  <c r="BV325" i="1"/>
  <c r="BU325" i="1"/>
  <c r="BT325" i="1"/>
  <c r="BS325" i="1"/>
  <c r="BC325" i="1"/>
  <c r="BZ324" i="1"/>
  <c r="CA324" i="1" s="1"/>
  <c r="BY324" i="1"/>
  <c r="BX324" i="1"/>
  <c r="BW324" i="1"/>
  <c r="BV324" i="1"/>
  <c r="BU324" i="1"/>
  <c r="BT324" i="1"/>
  <c r="BS324" i="1"/>
  <c r="BZ323" i="1"/>
  <c r="CA323" i="1" s="1"/>
  <c r="BY323" i="1"/>
  <c r="BX323" i="1"/>
  <c r="BW323" i="1"/>
  <c r="BV323" i="1"/>
  <c r="BU323" i="1"/>
  <c r="BT323" i="1"/>
  <c r="BS323" i="1"/>
  <c r="BC323" i="1"/>
  <c r="BZ322" i="1"/>
  <c r="CA322" i="1" s="1"/>
  <c r="BY322" i="1"/>
  <c r="BX322" i="1"/>
  <c r="BW322" i="1"/>
  <c r="BV322" i="1"/>
  <c r="BU322" i="1"/>
  <c r="BT322" i="1"/>
  <c r="BS322" i="1"/>
  <c r="BZ321" i="1"/>
  <c r="CA321" i="1" s="1"/>
  <c r="BY321" i="1"/>
  <c r="BX321" i="1"/>
  <c r="BW321" i="1"/>
  <c r="BV321" i="1"/>
  <c r="BU321" i="1"/>
  <c r="BT321" i="1"/>
  <c r="BS321" i="1"/>
  <c r="BC321" i="1"/>
  <c r="CA320" i="1"/>
  <c r="BZ320" i="1"/>
  <c r="BY320" i="1"/>
  <c r="BX320" i="1"/>
  <c r="BW320" i="1"/>
  <c r="BV320" i="1"/>
  <c r="BU320" i="1"/>
  <c r="BT320" i="1"/>
  <c r="BS320" i="1"/>
  <c r="BZ319" i="1"/>
  <c r="CA319" i="1" s="1"/>
  <c r="BY319" i="1"/>
  <c r="BX319" i="1"/>
  <c r="BW319" i="1"/>
  <c r="BV319" i="1"/>
  <c r="BU319" i="1"/>
  <c r="BT319" i="1"/>
  <c r="BS319" i="1"/>
  <c r="BC319" i="1"/>
  <c r="BZ318" i="1"/>
  <c r="CA318" i="1" s="1"/>
  <c r="BY318" i="1"/>
  <c r="BX318" i="1"/>
  <c r="BW318" i="1"/>
  <c r="BV318" i="1"/>
  <c r="BU318" i="1"/>
  <c r="BT318" i="1"/>
  <c r="BS318" i="1"/>
  <c r="BZ317" i="1"/>
  <c r="CA317" i="1" s="1"/>
  <c r="BY317" i="1"/>
  <c r="BX317" i="1"/>
  <c r="BW317" i="1"/>
  <c r="BV317" i="1"/>
  <c r="BU317" i="1"/>
  <c r="BT317" i="1"/>
  <c r="BS317" i="1"/>
  <c r="BC317" i="1"/>
  <c r="BZ316" i="1"/>
  <c r="CA316" i="1" s="1"/>
  <c r="BY316" i="1"/>
  <c r="BX316" i="1"/>
  <c r="BW316" i="1"/>
  <c r="BV316" i="1"/>
  <c r="BU316" i="1"/>
  <c r="BT316" i="1"/>
  <c r="BS316" i="1"/>
  <c r="BZ315" i="1"/>
  <c r="CA315" i="1" s="1"/>
  <c r="BY315" i="1"/>
  <c r="BX315" i="1"/>
  <c r="BW315" i="1"/>
  <c r="BV315" i="1"/>
  <c r="BU315" i="1"/>
  <c r="BT315" i="1"/>
  <c r="BS315" i="1"/>
  <c r="BC315" i="1"/>
  <c r="BZ314" i="1"/>
  <c r="CA314" i="1" s="1"/>
  <c r="BY314" i="1"/>
  <c r="BX314" i="1"/>
  <c r="BW314" i="1"/>
  <c r="BV314" i="1"/>
  <c r="BU314" i="1"/>
  <c r="BT314" i="1"/>
  <c r="BS314" i="1"/>
  <c r="BZ313" i="1"/>
  <c r="CA313" i="1" s="1"/>
  <c r="BY313" i="1"/>
  <c r="BX313" i="1"/>
  <c r="BW313" i="1"/>
  <c r="BV313" i="1"/>
  <c r="BU313" i="1"/>
  <c r="BT313" i="1"/>
  <c r="BS313" i="1"/>
  <c r="BC313" i="1"/>
  <c r="BZ312" i="1"/>
  <c r="CA312" i="1" s="1"/>
  <c r="BY312" i="1"/>
  <c r="BX312" i="1"/>
  <c r="BW312" i="1"/>
  <c r="BV312" i="1"/>
  <c r="BU312" i="1"/>
  <c r="BT312" i="1"/>
  <c r="BS312" i="1"/>
  <c r="BZ311" i="1"/>
  <c r="CA311" i="1" s="1"/>
  <c r="BY311" i="1"/>
  <c r="BX311" i="1"/>
  <c r="BW311" i="1"/>
  <c r="BV311" i="1"/>
  <c r="BU311" i="1"/>
  <c r="BT311" i="1"/>
  <c r="BS311" i="1"/>
  <c r="BC311" i="1"/>
  <c r="BZ310" i="1"/>
  <c r="CA310" i="1" s="1"/>
  <c r="BY310" i="1"/>
  <c r="BX310" i="1"/>
  <c r="BW310" i="1"/>
  <c r="BV310" i="1"/>
  <c r="BU310" i="1"/>
  <c r="BT310" i="1"/>
  <c r="BS310" i="1"/>
  <c r="BZ309" i="1"/>
  <c r="CA309" i="1" s="1"/>
  <c r="BY309" i="1"/>
  <c r="BX309" i="1"/>
  <c r="BW309" i="1"/>
  <c r="BV309" i="1"/>
  <c r="BU309" i="1"/>
  <c r="BT309" i="1"/>
  <c r="BS309" i="1"/>
  <c r="BC309" i="1"/>
  <c r="BZ308" i="1"/>
  <c r="CA308" i="1" s="1"/>
  <c r="BY308" i="1"/>
  <c r="BX308" i="1"/>
  <c r="BW308" i="1"/>
  <c r="BV308" i="1"/>
  <c r="BU308" i="1"/>
  <c r="BT308" i="1"/>
  <c r="BS308" i="1"/>
  <c r="BC308" i="1"/>
  <c r="BZ307" i="1"/>
  <c r="CA307" i="1" s="1"/>
  <c r="BY307" i="1"/>
  <c r="BX307" i="1"/>
  <c r="BW307" i="1"/>
  <c r="BV307" i="1"/>
  <c r="BU307" i="1"/>
  <c r="BT307" i="1"/>
  <c r="BS307" i="1"/>
  <c r="BC307" i="1"/>
  <c r="BZ306" i="1"/>
  <c r="CA306" i="1" s="1"/>
  <c r="BY306" i="1"/>
  <c r="BX306" i="1"/>
  <c r="BW306" i="1"/>
  <c r="BV306" i="1"/>
  <c r="BU306" i="1"/>
  <c r="BT306" i="1"/>
  <c r="BS306" i="1"/>
  <c r="BZ305" i="1"/>
  <c r="CA305" i="1" s="1"/>
  <c r="BY305" i="1"/>
  <c r="BX305" i="1"/>
  <c r="BW305" i="1"/>
  <c r="BV305" i="1"/>
  <c r="BU305" i="1"/>
  <c r="BT305" i="1"/>
  <c r="BS305" i="1"/>
  <c r="BC305" i="1"/>
  <c r="BZ304" i="1"/>
  <c r="CA304" i="1" s="1"/>
  <c r="BY304" i="1"/>
  <c r="BX304" i="1"/>
  <c r="BW304" i="1"/>
  <c r="BV304" i="1"/>
  <c r="BU304" i="1"/>
  <c r="BT304" i="1"/>
  <c r="BS304" i="1"/>
  <c r="BC304" i="1"/>
  <c r="BZ303" i="1"/>
  <c r="CA303" i="1" s="1"/>
  <c r="BY303" i="1"/>
  <c r="BX303" i="1"/>
  <c r="BW303" i="1"/>
  <c r="BV303" i="1"/>
  <c r="BU303" i="1"/>
  <c r="BT303" i="1"/>
  <c r="BS303" i="1"/>
  <c r="BC303" i="1"/>
  <c r="BZ302" i="1"/>
  <c r="CA302" i="1" s="1"/>
  <c r="BY302" i="1"/>
  <c r="BX302" i="1"/>
  <c r="BW302" i="1"/>
  <c r="BV302" i="1"/>
  <c r="BU302" i="1"/>
  <c r="BT302" i="1"/>
  <c r="BS302" i="1"/>
  <c r="BC302" i="1"/>
  <c r="BZ301" i="1"/>
  <c r="CA301" i="1" s="1"/>
  <c r="BY301" i="1"/>
  <c r="BX301" i="1"/>
  <c r="BW301" i="1"/>
  <c r="BV301" i="1"/>
  <c r="BU301" i="1"/>
  <c r="BT301" i="1"/>
  <c r="BS301" i="1"/>
  <c r="BC301" i="1"/>
  <c r="BZ300" i="1"/>
  <c r="CA300" i="1" s="1"/>
  <c r="BY300" i="1"/>
  <c r="BX300" i="1"/>
  <c r="BW300" i="1"/>
  <c r="BV300" i="1"/>
  <c r="BU300" i="1"/>
  <c r="BT300" i="1"/>
  <c r="BS300" i="1"/>
  <c r="BC300" i="1"/>
  <c r="BZ299" i="1"/>
  <c r="CA299" i="1" s="1"/>
  <c r="BY299" i="1"/>
  <c r="BX299" i="1"/>
  <c r="BW299" i="1"/>
  <c r="BV299" i="1"/>
  <c r="BU299" i="1"/>
  <c r="BT299" i="1"/>
  <c r="BS299" i="1"/>
  <c r="BC299" i="1"/>
  <c r="BZ298" i="1"/>
  <c r="CA298" i="1" s="1"/>
  <c r="BY298" i="1"/>
  <c r="BX298" i="1"/>
  <c r="BW298" i="1"/>
  <c r="BV298" i="1"/>
  <c r="BU298" i="1"/>
  <c r="BT298" i="1"/>
  <c r="BS298" i="1"/>
  <c r="BC298" i="1"/>
  <c r="BZ297" i="1"/>
  <c r="CA297" i="1" s="1"/>
  <c r="BY297" i="1"/>
  <c r="BX297" i="1"/>
  <c r="BW297" i="1"/>
  <c r="BV297" i="1"/>
  <c r="BU297" i="1"/>
  <c r="BT297" i="1"/>
  <c r="BS297" i="1"/>
  <c r="BC297" i="1"/>
  <c r="BZ296" i="1"/>
  <c r="CA296" i="1" s="1"/>
  <c r="BY296" i="1"/>
  <c r="BX296" i="1"/>
  <c r="BW296" i="1"/>
  <c r="BV296" i="1"/>
  <c r="BU296" i="1"/>
  <c r="BT296" i="1"/>
  <c r="BS296" i="1"/>
  <c r="BC296" i="1"/>
  <c r="BZ295" i="1"/>
  <c r="CA295" i="1" s="1"/>
  <c r="BY295" i="1"/>
  <c r="BX295" i="1"/>
  <c r="BW295" i="1"/>
  <c r="BV295" i="1"/>
  <c r="BU295" i="1"/>
  <c r="BT295" i="1"/>
  <c r="BS295" i="1"/>
  <c r="BC295" i="1"/>
  <c r="BZ294" i="1"/>
  <c r="CA294" i="1" s="1"/>
  <c r="BY294" i="1"/>
  <c r="BX294" i="1"/>
  <c r="BW294" i="1"/>
  <c r="BV294" i="1"/>
  <c r="BU294" i="1"/>
  <c r="BT294" i="1"/>
  <c r="BS294" i="1"/>
  <c r="BC294" i="1"/>
  <c r="BZ293" i="1"/>
  <c r="CA293" i="1" s="1"/>
  <c r="BY293" i="1"/>
  <c r="BX293" i="1"/>
  <c r="BW293" i="1"/>
  <c r="BV293" i="1"/>
  <c r="BU293" i="1"/>
  <c r="BT293" i="1"/>
  <c r="BS293" i="1"/>
  <c r="BC293" i="1"/>
  <c r="BZ292" i="1"/>
  <c r="CA292" i="1" s="1"/>
  <c r="BY292" i="1"/>
  <c r="BX292" i="1"/>
  <c r="BW292" i="1"/>
  <c r="BV292" i="1"/>
  <c r="BU292" i="1"/>
  <c r="BT292" i="1"/>
  <c r="BS292" i="1"/>
  <c r="BC292" i="1"/>
  <c r="BZ291" i="1"/>
  <c r="CA291" i="1" s="1"/>
  <c r="BY291" i="1"/>
  <c r="BX291" i="1"/>
  <c r="BW291" i="1"/>
  <c r="BV291" i="1"/>
  <c r="BU291" i="1"/>
  <c r="BT291" i="1"/>
  <c r="BS291" i="1"/>
  <c r="BC291" i="1"/>
  <c r="BZ290" i="1"/>
  <c r="CA290" i="1" s="1"/>
  <c r="BY290" i="1"/>
  <c r="BX290" i="1"/>
  <c r="BW290" i="1"/>
  <c r="BV290" i="1"/>
  <c r="BU290" i="1"/>
  <c r="BT290" i="1"/>
  <c r="BS290" i="1"/>
  <c r="BC290" i="1"/>
  <c r="BZ289" i="1"/>
  <c r="CA289" i="1" s="1"/>
  <c r="BY289" i="1"/>
  <c r="BX289" i="1"/>
  <c r="BW289" i="1"/>
  <c r="BV289" i="1"/>
  <c r="BU289" i="1"/>
  <c r="BT289" i="1"/>
  <c r="BS289" i="1"/>
  <c r="BC289" i="1"/>
  <c r="BZ288" i="1"/>
  <c r="CA288" i="1" s="1"/>
  <c r="BY288" i="1"/>
  <c r="BX288" i="1"/>
  <c r="BW288" i="1"/>
  <c r="BV288" i="1"/>
  <c r="BU288" i="1"/>
  <c r="BT288" i="1"/>
  <c r="BS288" i="1"/>
  <c r="BC288" i="1"/>
  <c r="BZ287" i="1"/>
  <c r="CA287" i="1" s="1"/>
  <c r="BY287" i="1"/>
  <c r="BX287" i="1"/>
  <c r="BW287" i="1"/>
  <c r="BV287" i="1"/>
  <c r="BU287" i="1"/>
  <c r="BT287" i="1"/>
  <c r="BS287" i="1"/>
  <c r="BC287" i="1"/>
  <c r="BZ286" i="1"/>
  <c r="CA286" i="1" s="1"/>
  <c r="BY286" i="1"/>
  <c r="BX286" i="1"/>
  <c r="BW286" i="1"/>
  <c r="BV286" i="1"/>
  <c r="BU286" i="1"/>
  <c r="BT286" i="1"/>
  <c r="BS286" i="1"/>
  <c r="BC286" i="1"/>
  <c r="BZ285" i="1"/>
  <c r="CA285" i="1" s="1"/>
  <c r="BY285" i="1"/>
  <c r="BX285" i="1"/>
  <c r="BW285" i="1"/>
  <c r="BV285" i="1"/>
  <c r="BU285" i="1"/>
  <c r="BT285" i="1"/>
  <c r="BS285" i="1"/>
  <c r="BC285" i="1"/>
  <c r="BZ284" i="1"/>
  <c r="CA284" i="1" s="1"/>
  <c r="BY284" i="1"/>
  <c r="BX284" i="1"/>
  <c r="BW284" i="1"/>
  <c r="BV284" i="1"/>
  <c r="BU284" i="1"/>
  <c r="BT284" i="1"/>
  <c r="BS284" i="1"/>
  <c r="BC284" i="1"/>
  <c r="BZ283" i="1"/>
  <c r="CA283" i="1" s="1"/>
  <c r="BY283" i="1"/>
  <c r="BX283" i="1"/>
  <c r="BW283" i="1"/>
  <c r="BV283" i="1"/>
  <c r="BU283" i="1"/>
  <c r="BT283" i="1"/>
  <c r="BS283" i="1"/>
  <c r="BC283" i="1"/>
  <c r="BZ282" i="1"/>
  <c r="CA282" i="1" s="1"/>
  <c r="BY282" i="1"/>
  <c r="BX282" i="1"/>
  <c r="BW282" i="1"/>
  <c r="BV282" i="1"/>
  <c r="BU282" i="1"/>
  <c r="BT282" i="1"/>
  <c r="BS282" i="1"/>
  <c r="BC282" i="1"/>
  <c r="BZ281" i="1"/>
  <c r="CA281" i="1" s="1"/>
  <c r="BY281" i="1"/>
  <c r="BX281" i="1"/>
  <c r="BW281" i="1"/>
  <c r="BV281" i="1"/>
  <c r="BU281" i="1"/>
  <c r="BT281" i="1"/>
  <c r="BS281" i="1"/>
  <c r="BC281" i="1"/>
  <c r="BZ280" i="1"/>
  <c r="CA280" i="1" s="1"/>
  <c r="BY280" i="1"/>
  <c r="BX280" i="1"/>
  <c r="BW280" i="1"/>
  <c r="BV280" i="1"/>
  <c r="BU280" i="1"/>
  <c r="BT280" i="1"/>
  <c r="BS280" i="1"/>
  <c r="BC280" i="1"/>
  <c r="BZ279" i="1"/>
  <c r="CA279" i="1" s="1"/>
  <c r="BY279" i="1"/>
  <c r="BX279" i="1"/>
  <c r="BW279" i="1"/>
  <c r="BV279" i="1"/>
  <c r="BU279" i="1"/>
  <c r="BT279" i="1"/>
  <c r="BS279" i="1"/>
  <c r="BC279" i="1"/>
  <c r="BZ278" i="1"/>
  <c r="CA278" i="1" s="1"/>
  <c r="BY278" i="1"/>
  <c r="BX278" i="1"/>
  <c r="BW278" i="1"/>
  <c r="BV278" i="1"/>
  <c r="BU278" i="1"/>
  <c r="BT278" i="1"/>
  <c r="BS278" i="1"/>
  <c r="BC278" i="1"/>
  <c r="BZ277" i="1"/>
  <c r="CA277" i="1" s="1"/>
  <c r="BY277" i="1"/>
  <c r="BX277" i="1"/>
  <c r="BW277" i="1"/>
  <c r="BV277" i="1"/>
  <c r="BU277" i="1"/>
  <c r="BT277" i="1"/>
  <c r="BS277" i="1"/>
  <c r="BC277" i="1"/>
  <c r="BZ276" i="1"/>
  <c r="CA276" i="1" s="1"/>
  <c r="BY276" i="1"/>
  <c r="BX276" i="1"/>
  <c r="BW276" i="1"/>
  <c r="BV276" i="1"/>
  <c r="BU276" i="1"/>
  <c r="BT276" i="1"/>
  <c r="BS276" i="1"/>
  <c r="BC276" i="1"/>
  <c r="BZ275" i="1"/>
  <c r="CA275" i="1" s="1"/>
  <c r="BY275" i="1"/>
  <c r="BX275" i="1"/>
  <c r="BW275" i="1"/>
  <c r="BV275" i="1"/>
  <c r="BU275" i="1"/>
  <c r="BT275" i="1"/>
  <c r="BS275" i="1"/>
  <c r="BC275" i="1"/>
  <c r="BZ274" i="1"/>
  <c r="CA274" i="1" s="1"/>
  <c r="BY274" i="1"/>
  <c r="BX274" i="1"/>
  <c r="BW274" i="1"/>
  <c r="BV274" i="1"/>
  <c r="BU274" i="1"/>
  <c r="BT274" i="1"/>
  <c r="BS274" i="1"/>
  <c r="BZ273" i="1"/>
  <c r="CA273" i="1" s="1"/>
  <c r="BY273" i="1"/>
  <c r="BX273" i="1"/>
  <c r="BW273" i="1"/>
  <c r="BV273" i="1"/>
  <c r="BU273" i="1"/>
  <c r="BT273" i="1"/>
  <c r="BS273" i="1"/>
  <c r="BC273" i="1"/>
  <c r="BZ272" i="1"/>
  <c r="CA272" i="1" s="1"/>
  <c r="BY272" i="1"/>
  <c r="BX272" i="1"/>
  <c r="BW272" i="1"/>
  <c r="BV272" i="1"/>
  <c r="BU272" i="1"/>
  <c r="BT272" i="1"/>
  <c r="BS272" i="1"/>
  <c r="BZ271" i="1"/>
  <c r="CA271" i="1" s="1"/>
  <c r="BY271" i="1"/>
  <c r="BX271" i="1"/>
  <c r="BW271" i="1"/>
  <c r="BV271" i="1"/>
  <c r="BU271" i="1"/>
  <c r="BT271" i="1"/>
  <c r="BS271" i="1"/>
  <c r="BC271" i="1"/>
  <c r="BZ270" i="1"/>
  <c r="CA270" i="1" s="1"/>
  <c r="BY270" i="1"/>
  <c r="BX270" i="1"/>
  <c r="BW270" i="1"/>
  <c r="BV270" i="1"/>
  <c r="BU270" i="1"/>
  <c r="BT270" i="1"/>
  <c r="BS270" i="1"/>
  <c r="BZ269" i="1"/>
  <c r="CA269" i="1" s="1"/>
  <c r="BY269" i="1"/>
  <c r="BX269" i="1"/>
  <c r="BW269" i="1"/>
  <c r="BV269" i="1"/>
  <c r="BU269" i="1"/>
  <c r="BT269" i="1"/>
  <c r="BS269" i="1"/>
  <c r="BC269" i="1"/>
  <c r="BZ268" i="1"/>
  <c r="CA268" i="1" s="1"/>
  <c r="BY268" i="1"/>
  <c r="BX268" i="1"/>
  <c r="BW268" i="1"/>
  <c r="BV268" i="1"/>
  <c r="BU268" i="1"/>
  <c r="BT268" i="1"/>
  <c r="BS268" i="1"/>
  <c r="BZ267" i="1"/>
  <c r="CA267" i="1" s="1"/>
  <c r="BY267" i="1"/>
  <c r="BX267" i="1"/>
  <c r="BW267" i="1"/>
  <c r="BV267" i="1"/>
  <c r="BU267" i="1"/>
  <c r="BT267" i="1"/>
  <c r="BS267" i="1"/>
  <c r="BC267" i="1"/>
  <c r="BZ266" i="1"/>
  <c r="CA266" i="1" s="1"/>
  <c r="BY266" i="1"/>
  <c r="BX266" i="1"/>
  <c r="BW266" i="1"/>
  <c r="BV266" i="1"/>
  <c r="BU266" i="1"/>
  <c r="BT266" i="1"/>
  <c r="BS266" i="1"/>
  <c r="BZ265" i="1"/>
  <c r="CA265" i="1" s="1"/>
  <c r="BY265" i="1"/>
  <c r="BX265" i="1"/>
  <c r="BW265" i="1"/>
  <c r="BV265" i="1"/>
  <c r="BU265" i="1"/>
  <c r="BT265" i="1"/>
  <c r="BS265" i="1"/>
  <c r="BC265" i="1"/>
  <c r="BZ264" i="1"/>
  <c r="CA264" i="1" s="1"/>
  <c r="BY264" i="1"/>
  <c r="BX264" i="1"/>
  <c r="BW264" i="1"/>
  <c r="BV264" i="1"/>
  <c r="BU264" i="1"/>
  <c r="BT264" i="1"/>
  <c r="BS264" i="1"/>
  <c r="BZ263" i="1"/>
  <c r="CA263" i="1" s="1"/>
  <c r="BY263" i="1"/>
  <c r="BX263" i="1"/>
  <c r="BW263" i="1"/>
  <c r="BV263" i="1"/>
  <c r="BU263" i="1"/>
  <c r="BT263" i="1"/>
  <c r="BS263" i="1"/>
  <c r="BC263" i="1"/>
  <c r="BZ262" i="1"/>
  <c r="CA262" i="1" s="1"/>
  <c r="BY262" i="1"/>
  <c r="BX262" i="1"/>
  <c r="BW262" i="1"/>
  <c r="BV262" i="1"/>
  <c r="BU262" i="1"/>
  <c r="BT262" i="1"/>
  <c r="BS262" i="1"/>
  <c r="BZ261" i="1"/>
  <c r="CA261" i="1" s="1"/>
  <c r="BY261" i="1"/>
  <c r="BX261" i="1"/>
  <c r="BW261" i="1"/>
  <c r="BV261" i="1"/>
  <c r="BU261" i="1"/>
  <c r="BT261" i="1"/>
  <c r="BS261" i="1"/>
  <c r="BC261" i="1"/>
  <c r="BZ260" i="1"/>
  <c r="CA260" i="1" s="1"/>
  <c r="BY260" i="1"/>
  <c r="BX260" i="1"/>
  <c r="BW260" i="1"/>
  <c r="BV260" i="1"/>
  <c r="BU260" i="1"/>
  <c r="BT260" i="1"/>
  <c r="BS260" i="1"/>
  <c r="BZ259" i="1"/>
  <c r="CA259" i="1" s="1"/>
  <c r="BY259" i="1"/>
  <c r="BX259" i="1"/>
  <c r="BW259" i="1"/>
  <c r="BV259" i="1"/>
  <c r="BU259" i="1"/>
  <c r="BT259" i="1"/>
  <c r="BS259" i="1"/>
  <c r="BC259" i="1"/>
  <c r="BZ258" i="1"/>
  <c r="CA258" i="1" s="1"/>
  <c r="BY258" i="1"/>
  <c r="BX258" i="1"/>
  <c r="BW258" i="1"/>
  <c r="BV258" i="1"/>
  <c r="BU258" i="1"/>
  <c r="BT258" i="1"/>
  <c r="BS258" i="1"/>
  <c r="BZ257" i="1"/>
  <c r="CA257" i="1" s="1"/>
  <c r="BY257" i="1"/>
  <c r="BX257" i="1"/>
  <c r="BW257" i="1"/>
  <c r="BV257" i="1"/>
  <c r="BU257" i="1"/>
  <c r="BT257" i="1"/>
  <c r="BS257" i="1"/>
  <c r="BC257" i="1"/>
  <c r="BZ256" i="1"/>
  <c r="CA256" i="1" s="1"/>
  <c r="BY256" i="1"/>
  <c r="BX256" i="1"/>
  <c r="BW256" i="1"/>
  <c r="BV256" i="1"/>
  <c r="BU256" i="1"/>
  <c r="BT256" i="1"/>
  <c r="BS256" i="1"/>
  <c r="BZ255" i="1"/>
  <c r="CA255" i="1" s="1"/>
  <c r="BY255" i="1"/>
  <c r="BX255" i="1"/>
  <c r="BW255" i="1"/>
  <c r="BV255" i="1"/>
  <c r="BU255" i="1"/>
  <c r="BT255" i="1"/>
  <c r="BS255" i="1"/>
  <c r="BC255" i="1"/>
  <c r="BZ254" i="1"/>
  <c r="CA254" i="1" s="1"/>
  <c r="BY254" i="1"/>
  <c r="BX254" i="1"/>
  <c r="BW254" i="1"/>
  <c r="BV254" i="1"/>
  <c r="BU254" i="1"/>
  <c r="BT254" i="1"/>
  <c r="BS254" i="1"/>
  <c r="BC254" i="1"/>
  <c r="BA254" i="1"/>
  <c r="BA255" i="1" s="1"/>
  <c r="BA256" i="1" s="1"/>
  <c r="BA257" i="1" s="1"/>
  <c r="BA258" i="1" s="1"/>
  <c r="BA259" i="1" s="1"/>
  <c r="BA260" i="1" s="1"/>
  <c r="BA261" i="1" s="1"/>
  <c r="BA262" i="1" s="1"/>
  <c r="BA263" i="1" s="1"/>
  <c r="BA264" i="1" s="1"/>
  <c r="BA265" i="1" s="1"/>
  <c r="BA266" i="1" s="1"/>
  <c r="BA267" i="1" s="1"/>
  <c r="BA268" i="1" s="1"/>
  <c r="BA269" i="1" s="1"/>
  <c r="BA270" i="1" s="1"/>
  <c r="BA271" i="1" s="1"/>
  <c r="BA272" i="1" s="1"/>
  <c r="BA273" i="1" s="1"/>
  <c r="BA274" i="1" s="1"/>
  <c r="BA275" i="1" s="1"/>
  <c r="BA276" i="1" s="1"/>
  <c r="BA277" i="1" s="1"/>
  <c r="BA278" i="1" s="1"/>
  <c r="BA279" i="1" s="1"/>
  <c r="BA280" i="1" s="1"/>
  <c r="BA281" i="1" s="1"/>
  <c r="BA282" i="1" s="1"/>
  <c r="BA283" i="1" s="1"/>
  <c r="BA284" i="1" s="1"/>
  <c r="BA285" i="1" s="1"/>
  <c r="BA286" i="1" s="1"/>
  <c r="BA287" i="1" s="1"/>
  <c r="BA288" i="1" s="1"/>
  <c r="BA289" i="1" s="1"/>
  <c r="BA290" i="1" s="1"/>
  <c r="BA291" i="1" s="1"/>
  <c r="BA292" i="1" s="1"/>
  <c r="BA293" i="1" s="1"/>
  <c r="BA294" i="1" s="1"/>
  <c r="BA295" i="1" s="1"/>
  <c r="BA296" i="1" s="1"/>
  <c r="BA297" i="1" s="1"/>
  <c r="BA298" i="1" s="1"/>
  <c r="BA299" i="1" s="1"/>
  <c r="BA300" i="1" s="1"/>
  <c r="BA301" i="1" s="1"/>
  <c r="BA302" i="1" s="1"/>
  <c r="BA303" i="1" s="1"/>
  <c r="BA304" i="1" s="1"/>
  <c r="BA305" i="1" s="1"/>
  <c r="BA306" i="1" s="1"/>
  <c r="BA307" i="1" s="1"/>
  <c r="BA308" i="1" s="1"/>
  <c r="BA309" i="1" s="1"/>
  <c r="BA310" i="1" s="1"/>
  <c r="BA311" i="1" s="1"/>
  <c r="BA312" i="1" s="1"/>
  <c r="BA313" i="1" s="1"/>
  <c r="BA314" i="1" s="1"/>
  <c r="BA315" i="1" s="1"/>
  <c r="BA316" i="1" s="1"/>
  <c r="BA317" i="1" s="1"/>
  <c r="BA318" i="1" s="1"/>
  <c r="BA319" i="1" s="1"/>
  <c r="BA320" i="1" s="1"/>
  <c r="BA321" i="1" s="1"/>
  <c r="BA322" i="1" s="1"/>
  <c r="BA323" i="1" s="1"/>
  <c r="BA324" i="1" s="1"/>
  <c r="BA325" i="1" s="1"/>
  <c r="BA326" i="1" s="1"/>
  <c r="BA327" i="1" s="1"/>
  <c r="BA328" i="1" s="1"/>
  <c r="BA329" i="1" s="1"/>
  <c r="BA330" i="1" s="1"/>
  <c r="BA331" i="1" s="1"/>
  <c r="BA332" i="1" s="1"/>
  <c r="BA333" i="1" s="1"/>
  <c r="BA334" i="1" s="1"/>
  <c r="BA335" i="1" s="1"/>
  <c r="BA336" i="1" s="1"/>
  <c r="BA337" i="1" s="1"/>
  <c r="BA338" i="1" s="1"/>
  <c r="BA339" i="1" s="1"/>
  <c r="BA340" i="1" s="1"/>
  <c r="BA341" i="1" s="1"/>
  <c r="BA342" i="1" s="1"/>
  <c r="BA343" i="1" s="1"/>
  <c r="BA344" i="1" s="1"/>
  <c r="BA345" i="1" s="1"/>
  <c r="BA346" i="1" s="1"/>
  <c r="BA347" i="1" s="1"/>
  <c r="BA348" i="1" s="1"/>
  <c r="BA349" i="1" s="1"/>
  <c r="BA350" i="1" s="1"/>
  <c r="BA351" i="1" s="1"/>
  <c r="BA352" i="1" s="1"/>
  <c r="BZ253" i="1"/>
  <c r="CA253" i="1" s="1"/>
  <c r="BY253" i="1"/>
  <c r="BX253" i="1"/>
  <c r="BW253" i="1"/>
  <c r="BV253" i="1"/>
  <c r="BU253" i="1"/>
  <c r="BT253" i="1"/>
  <c r="BS253" i="1"/>
  <c r="BZ252" i="1"/>
  <c r="CA252" i="1" s="1"/>
  <c r="BY252" i="1"/>
  <c r="BX252" i="1"/>
  <c r="BW252" i="1"/>
  <c r="BV252" i="1"/>
  <c r="BU252" i="1"/>
  <c r="BT252" i="1"/>
  <c r="BS252" i="1"/>
  <c r="BC252" i="1"/>
  <c r="BZ251" i="1"/>
  <c r="CA251" i="1" s="1"/>
  <c r="BY251" i="1"/>
  <c r="BX251" i="1"/>
  <c r="BW251" i="1"/>
  <c r="BV251" i="1"/>
  <c r="BU251" i="1"/>
  <c r="BT251" i="1"/>
  <c r="BS251" i="1"/>
  <c r="BZ250" i="1"/>
  <c r="CA250" i="1" s="1"/>
  <c r="BY250" i="1"/>
  <c r="BX250" i="1"/>
  <c r="BW250" i="1"/>
  <c r="BV250" i="1"/>
  <c r="BU250" i="1"/>
  <c r="BT250" i="1"/>
  <c r="BS250" i="1"/>
  <c r="BC250" i="1"/>
  <c r="BZ249" i="1"/>
  <c r="CA249" i="1" s="1"/>
  <c r="BY249" i="1"/>
  <c r="BX249" i="1"/>
  <c r="BW249" i="1"/>
  <c r="BV249" i="1"/>
  <c r="BU249" i="1"/>
  <c r="BT249" i="1"/>
  <c r="BS249" i="1"/>
  <c r="BZ248" i="1"/>
  <c r="CA248" i="1" s="1"/>
  <c r="BY248" i="1"/>
  <c r="BX248" i="1"/>
  <c r="BW248" i="1"/>
  <c r="BV248" i="1"/>
  <c r="BU248" i="1"/>
  <c r="BT248" i="1"/>
  <c r="BS248" i="1"/>
  <c r="BC248" i="1"/>
  <c r="BZ247" i="1"/>
  <c r="CA247" i="1" s="1"/>
  <c r="BY247" i="1"/>
  <c r="BX247" i="1"/>
  <c r="BW247" i="1"/>
  <c r="BV247" i="1"/>
  <c r="BU247" i="1"/>
  <c r="BT247" i="1"/>
  <c r="BS247" i="1"/>
  <c r="BZ246" i="1"/>
  <c r="CA246" i="1" s="1"/>
  <c r="BY246" i="1"/>
  <c r="BX246" i="1"/>
  <c r="BW246" i="1"/>
  <c r="BV246" i="1"/>
  <c r="BU246" i="1"/>
  <c r="BT246" i="1"/>
  <c r="BS246" i="1"/>
  <c r="BC246" i="1"/>
  <c r="BZ245" i="1"/>
  <c r="CA245" i="1" s="1"/>
  <c r="BY245" i="1"/>
  <c r="BX245" i="1"/>
  <c r="BW245" i="1"/>
  <c r="BV245" i="1"/>
  <c r="BU245" i="1"/>
  <c r="BT245" i="1"/>
  <c r="BS245" i="1"/>
  <c r="BZ244" i="1"/>
  <c r="CA244" i="1" s="1"/>
  <c r="BY244" i="1"/>
  <c r="BX244" i="1"/>
  <c r="BW244" i="1"/>
  <c r="BV244" i="1"/>
  <c r="BU244" i="1"/>
  <c r="BT244" i="1"/>
  <c r="BS244" i="1"/>
  <c r="BC244" i="1"/>
  <c r="BZ243" i="1"/>
  <c r="CA243" i="1" s="1"/>
  <c r="BY243" i="1"/>
  <c r="BX243" i="1"/>
  <c r="BW243" i="1"/>
  <c r="BV243" i="1"/>
  <c r="BU243" i="1"/>
  <c r="BT243" i="1"/>
  <c r="BS243" i="1"/>
  <c r="BZ242" i="1"/>
  <c r="CA242" i="1" s="1"/>
  <c r="BY242" i="1"/>
  <c r="BX242" i="1"/>
  <c r="BW242" i="1"/>
  <c r="BV242" i="1"/>
  <c r="BU242" i="1"/>
  <c r="BT242" i="1"/>
  <c r="BS242" i="1"/>
  <c r="BC242" i="1"/>
  <c r="BZ241" i="1"/>
  <c r="CA241" i="1" s="1"/>
  <c r="BY241" i="1"/>
  <c r="BX241" i="1"/>
  <c r="BW241" i="1"/>
  <c r="BV241" i="1"/>
  <c r="BU241" i="1"/>
  <c r="BT241" i="1"/>
  <c r="BS241" i="1"/>
  <c r="BZ240" i="1"/>
  <c r="CA240" i="1" s="1"/>
  <c r="BY240" i="1"/>
  <c r="BX240" i="1"/>
  <c r="BW240" i="1"/>
  <c r="BV240" i="1"/>
  <c r="BU240" i="1"/>
  <c r="BT240" i="1"/>
  <c r="BS240" i="1"/>
  <c r="BC240" i="1"/>
  <c r="BZ239" i="1"/>
  <c r="CA239" i="1" s="1"/>
  <c r="BY239" i="1"/>
  <c r="BX239" i="1"/>
  <c r="BW239" i="1"/>
  <c r="BV239" i="1"/>
  <c r="BU239" i="1"/>
  <c r="BT239" i="1"/>
  <c r="BS239" i="1"/>
  <c r="BZ238" i="1"/>
  <c r="CA238" i="1" s="1"/>
  <c r="BY238" i="1"/>
  <c r="BX238" i="1"/>
  <c r="BW238" i="1"/>
  <c r="BV238" i="1"/>
  <c r="BU238" i="1"/>
  <c r="BT238" i="1"/>
  <c r="BS238" i="1"/>
  <c r="BC238" i="1"/>
  <c r="BZ237" i="1"/>
  <c r="CA237" i="1" s="1"/>
  <c r="BY237" i="1"/>
  <c r="BX237" i="1"/>
  <c r="BW237" i="1"/>
  <c r="BV237" i="1"/>
  <c r="BU237" i="1"/>
  <c r="BT237" i="1"/>
  <c r="BS237" i="1"/>
  <c r="BZ236" i="1"/>
  <c r="CA236" i="1" s="1"/>
  <c r="BY236" i="1"/>
  <c r="BX236" i="1"/>
  <c r="BW236" i="1"/>
  <c r="BV236" i="1"/>
  <c r="BU236" i="1"/>
  <c r="BT236" i="1"/>
  <c r="BS236" i="1"/>
  <c r="BC236" i="1"/>
  <c r="BZ235" i="1"/>
  <c r="CA235" i="1" s="1"/>
  <c r="BY235" i="1"/>
  <c r="BX235" i="1"/>
  <c r="BW235" i="1"/>
  <c r="BV235" i="1"/>
  <c r="BU235" i="1"/>
  <c r="BT235" i="1"/>
  <c r="BS235" i="1"/>
  <c r="EG234" i="1"/>
  <c r="BZ234" i="1"/>
  <c r="CA234" i="1" s="1"/>
  <c r="BY234" i="1"/>
  <c r="BX234" i="1"/>
  <c r="BW234" i="1"/>
  <c r="BV234" i="1"/>
  <c r="BU234" i="1"/>
  <c r="BT234" i="1"/>
  <c r="BS234" i="1"/>
  <c r="EG233" i="1"/>
  <c r="BZ233" i="1"/>
  <c r="CA233" i="1" s="1"/>
  <c r="BY233" i="1"/>
  <c r="BX233" i="1"/>
  <c r="BW233" i="1"/>
  <c r="BV233" i="1"/>
  <c r="BU233" i="1"/>
  <c r="BT233" i="1"/>
  <c r="BS233" i="1"/>
  <c r="BC233" i="1"/>
  <c r="EG232" i="1"/>
  <c r="BZ232" i="1"/>
  <c r="CA232" i="1" s="1"/>
  <c r="BY232" i="1"/>
  <c r="BX232" i="1"/>
  <c r="BW232" i="1"/>
  <c r="BV232" i="1"/>
  <c r="BU232" i="1"/>
  <c r="BT232" i="1"/>
  <c r="BS232" i="1"/>
  <c r="BC232" i="1"/>
  <c r="EG231" i="1"/>
  <c r="BZ231" i="1"/>
  <c r="CA231" i="1" s="1"/>
  <c r="BY231" i="1"/>
  <c r="BX231" i="1"/>
  <c r="BW231" i="1"/>
  <c r="BV231" i="1"/>
  <c r="BU231" i="1"/>
  <c r="BT231" i="1"/>
  <c r="BS231" i="1"/>
  <c r="EG230" i="1"/>
  <c r="BZ230" i="1"/>
  <c r="CA230" i="1" s="1"/>
  <c r="BY230" i="1"/>
  <c r="BX230" i="1"/>
  <c r="BW230" i="1"/>
  <c r="BV230" i="1"/>
  <c r="BU230" i="1"/>
  <c r="BT230" i="1"/>
  <c r="BS230" i="1"/>
  <c r="EG229" i="1"/>
  <c r="BZ229" i="1"/>
  <c r="CA229" i="1" s="1"/>
  <c r="BY229" i="1"/>
  <c r="BX229" i="1"/>
  <c r="BW229" i="1"/>
  <c r="BV229" i="1"/>
  <c r="BU229" i="1"/>
  <c r="BT229" i="1"/>
  <c r="BS229" i="1"/>
  <c r="BC229" i="1"/>
  <c r="EG228" i="1"/>
  <c r="BZ228" i="1"/>
  <c r="CA228" i="1" s="1"/>
  <c r="BY228" i="1"/>
  <c r="BX228" i="1"/>
  <c r="BW228" i="1"/>
  <c r="BV228" i="1"/>
  <c r="BU228" i="1"/>
  <c r="BT228" i="1"/>
  <c r="BS228" i="1"/>
  <c r="BC228" i="1"/>
  <c r="EG227" i="1"/>
  <c r="BZ227" i="1"/>
  <c r="CA227" i="1" s="1"/>
  <c r="BY227" i="1"/>
  <c r="BX227" i="1"/>
  <c r="BW227" i="1"/>
  <c r="BV227" i="1"/>
  <c r="BU227" i="1"/>
  <c r="BT227" i="1"/>
  <c r="BS227" i="1"/>
  <c r="EG226" i="1"/>
  <c r="BZ226" i="1"/>
  <c r="CA226" i="1" s="1"/>
  <c r="BY226" i="1"/>
  <c r="BX226" i="1"/>
  <c r="BW226" i="1"/>
  <c r="BV226" i="1"/>
  <c r="BU226" i="1"/>
  <c r="BT226" i="1"/>
  <c r="BS226" i="1"/>
  <c r="EG225" i="1"/>
  <c r="BZ225" i="1"/>
  <c r="CA225" i="1" s="1"/>
  <c r="BY225" i="1"/>
  <c r="BX225" i="1"/>
  <c r="BW225" i="1"/>
  <c r="BV225" i="1"/>
  <c r="BU225" i="1"/>
  <c r="BT225" i="1"/>
  <c r="BS225" i="1"/>
  <c r="BC225" i="1"/>
  <c r="EG224" i="1"/>
  <c r="BZ224" i="1"/>
  <c r="CA224" i="1" s="1"/>
  <c r="BY224" i="1"/>
  <c r="BX224" i="1"/>
  <c r="BW224" i="1"/>
  <c r="BV224" i="1"/>
  <c r="BU224" i="1"/>
  <c r="BT224" i="1"/>
  <c r="BS224" i="1"/>
  <c r="BC224" i="1"/>
  <c r="EG223" i="1"/>
  <c r="BZ223" i="1"/>
  <c r="CA223" i="1" s="1"/>
  <c r="BY223" i="1"/>
  <c r="BX223" i="1"/>
  <c r="BW223" i="1"/>
  <c r="BV223" i="1"/>
  <c r="BU223" i="1"/>
  <c r="BT223" i="1"/>
  <c r="BS223" i="1"/>
  <c r="EG222" i="1"/>
  <c r="BZ222" i="1"/>
  <c r="CA222" i="1" s="1"/>
  <c r="BY222" i="1"/>
  <c r="BX222" i="1"/>
  <c r="BW222" i="1"/>
  <c r="BV222" i="1"/>
  <c r="BU222" i="1"/>
  <c r="BT222" i="1"/>
  <c r="BS222" i="1"/>
  <c r="EG221" i="1"/>
  <c r="BZ221" i="1"/>
  <c r="CA221" i="1" s="1"/>
  <c r="BY221" i="1"/>
  <c r="BX221" i="1"/>
  <c r="BW221" i="1"/>
  <c r="BV221" i="1"/>
  <c r="BU221" i="1"/>
  <c r="BT221" i="1"/>
  <c r="BS221" i="1"/>
  <c r="BC221" i="1"/>
  <c r="EG220" i="1"/>
  <c r="BZ220" i="1"/>
  <c r="CA220" i="1" s="1"/>
  <c r="BY220" i="1"/>
  <c r="BX220" i="1"/>
  <c r="BW220" i="1"/>
  <c r="BV220" i="1"/>
  <c r="BU220" i="1"/>
  <c r="BT220" i="1"/>
  <c r="BS220" i="1"/>
  <c r="BC220" i="1"/>
  <c r="EG219" i="1"/>
  <c r="BZ219" i="1"/>
  <c r="CA219" i="1" s="1"/>
  <c r="BY219" i="1"/>
  <c r="BX219" i="1"/>
  <c r="BW219" i="1"/>
  <c r="BV219" i="1"/>
  <c r="BU219" i="1"/>
  <c r="BT219" i="1"/>
  <c r="BS219" i="1"/>
  <c r="EG218" i="1"/>
  <c r="BZ218" i="1"/>
  <c r="CA218" i="1" s="1"/>
  <c r="BY218" i="1"/>
  <c r="BX218" i="1"/>
  <c r="BW218" i="1"/>
  <c r="BV218" i="1"/>
  <c r="BU218" i="1"/>
  <c r="BT218" i="1"/>
  <c r="BS218" i="1"/>
  <c r="EG217" i="1"/>
  <c r="BZ217" i="1"/>
  <c r="CA217" i="1" s="1"/>
  <c r="BY217" i="1"/>
  <c r="BX217" i="1"/>
  <c r="BW217" i="1"/>
  <c r="BV217" i="1"/>
  <c r="BU217" i="1"/>
  <c r="BT217" i="1"/>
  <c r="BS217" i="1"/>
  <c r="BC217" i="1"/>
  <c r="EG216" i="1"/>
  <c r="BZ216" i="1"/>
  <c r="CA216" i="1" s="1"/>
  <c r="BY216" i="1"/>
  <c r="BX216" i="1"/>
  <c r="BW216" i="1"/>
  <c r="BV216" i="1"/>
  <c r="BU216" i="1"/>
  <c r="BT216" i="1"/>
  <c r="BS216" i="1"/>
  <c r="BC216" i="1"/>
  <c r="EG215" i="1"/>
  <c r="BZ215" i="1"/>
  <c r="CA215" i="1" s="1"/>
  <c r="BY215" i="1"/>
  <c r="BX215" i="1"/>
  <c r="BW215" i="1"/>
  <c r="BV215" i="1"/>
  <c r="BU215" i="1"/>
  <c r="BT215" i="1"/>
  <c r="BS215" i="1"/>
  <c r="EG214" i="1"/>
  <c r="BZ214" i="1"/>
  <c r="CA214" i="1" s="1"/>
  <c r="BY214" i="1"/>
  <c r="BX214" i="1"/>
  <c r="BW214" i="1"/>
  <c r="BV214" i="1"/>
  <c r="BU214" i="1"/>
  <c r="BT214" i="1"/>
  <c r="BS214" i="1"/>
  <c r="EG213" i="1"/>
  <c r="BZ213" i="1"/>
  <c r="CA213" i="1" s="1"/>
  <c r="BY213" i="1"/>
  <c r="BX213" i="1"/>
  <c r="BW213" i="1"/>
  <c r="BV213" i="1"/>
  <c r="BU213" i="1"/>
  <c r="BT213" i="1"/>
  <c r="BS213" i="1"/>
  <c r="BC213" i="1"/>
  <c r="EG212" i="1"/>
  <c r="BZ212" i="1"/>
  <c r="CA212" i="1" s="1"/>
  <c r="BY212" i="1"/>
  <c r="BX212" i="1"/>
  <c r="BW212" i="1"/>
  <c r="BV212" i="1"/>
  <c r="BU212" i="1"/>
  <c r="BT212" i="1"/>
  <c r="BS212" i="1"/>
  <c r="BC212" i="1"/>
  <c r="EG211" i="1"/>
  <c r="BZ211" i="1"/>
  <c r="CA211" i="1" s="1"/>
  <c r="BY211" i="1"/>
  <c r="BX211" i="1"/>
  <c r="BW211" i="1"/>
  <c r="BV211" i="1"/>
  <c r="BU211" i="1"/>
  <c r="BT211" i="1"/>
  <c r="BS211" i="1"/>
  <c r="EG210" i="1"/>
  <c r="BZ210" i="1"/>
  <c r="CA210" i="1" s="1"/>
  <c r="BY210" i="1"/>
  <c r="BX210" i="1"/>
  <c r="BW210" i="1"/>
  <c r="BV210" i="1"/>
  <c r="BU210" i="1"/>
  <c r="BT210" i="1"/>
  <c r="BS210" i="1"/>
  <c r="EG209" i="1"/>
  <c r="BZ209" i="1"/>
  <c r="CA209" i="1" s="1"/>
  <c r="BY209" i="1"/>
  <c r="BX209" i="1"/>
  <c r="BW209" i="1"/>
  <c r="BV209" i="1"/>
  <c r="BU209" i="1"/>
  <c r="BT209" i="1"/>
  <c r="BS209" i="1"/>
  <c r="BC209" i="1"/>
  <c r="EG208" i="1"/>
  <c r="BZ208" i="1"/>
  <c r="CA208" i="1" s="1"/>
  <c r="BY208" i="1"/>
  <c r="BX208" i="1"/>
  <c r="BW208" i="1"/>
  <c r="BV208" i="1"/>
  <c r="BU208" i="1"/>
  <c r="BT208" i="1"/>
  <c r="BS208" i="1"/>
  <c r="BC208" i="1"/>
  <c r="EG207" i="1"/>
  <c r="BZ207" i="1"/>
  <c r="CA207" i="1" s="1"/>
  <c r="BY207" i="1"/>
  <c r="BX207" i="1"/>
  <c r="BW207" i="1"/>
  <c r="BV207" i="1"/>
  <c r="BU207" i="1"/>
  <c r="BT207" i="1"/>
  <c r="BS207" i="1"/>
  <c r="EG206" i="1"/>
  <c r="BZ206" i="1"/>
  <c r="CA206" i="1" s="1"/>
  <c r="BY206" i="1"/>
  <c r="BX206" i="1"/>
  <c r="BW206" i="1"/>
  <c r="BV206" i="1"/>
  <c r="BU206" i="1"/>
  <c r="BT206" i="1"/>
  <c r="BS206" i="1"/>
  <c r="EG205" i="1"/>
  <c r="BZ205" i="1"/>
  <c r="CA205" i="1" s="1"/>
  <c r="BY205" i="1"/>
  <c r="BX205" i="1"/>
  <c r="BW205" i="1"/>
  <c r="BV205" i="1"/>
  <c r="BU205" i="1"/>
  <c r="BT205" i="1"/>
  <c r="BS205" i="1"/>
  <c r="BC205" i="1"/>
  <c r="EG204" i="1"/>
  <c r="BZ204" i="1"/>
  <c r="CA204" i="1" s="1"/>
  <c r="BY204" i="1"/>
  <c r="BX204" i="1"/>
  <c r="BW204" i="1"/>
  <c r="BV204" i="1"/>
  <c r="BU204" i="1"/>
  <c r="BT204" i="1"/>
  <c r="BS204" i="1"/>
  <c r="BC204" i="1"/>
  <c r="EG203" i="1"/>
  <c r="BZ203" i="1"/>
  <c r="CA203" i="1" s="1"/>
  <c r="BY203" i="1"/>
  <c r="BX203" i="1"/>
  <c r="BW203" i="1"/>
  <c r="BV203" i="1"/>
  <c r="BU203" i="1"/>
  <c r="BT203" i="1"/>
  <c r="BS203" i="1"/>
  <c r="BC203" i="1"/>
  <c r="EG202" i="1"/>
  <c r="BZ202" i="1"/>
  <c r="CA202" i="1" s="1"/>
  <c r="BY202" i="1"/>
  <c r="BX202" i="1"/>
  <c r="BW202" i="1"/>
  <c r="BV202" i="1"/>
  <c r="BU202" i="1"/>
  <c r="BT202" i="1"/>
  <c r="BS202" i="1"/>
  <c r="BZ201" i="1"/>
  <c r="CA201" i="1" s="1"/>
  <c r="BY201" i="1"/>
  <c r="BX201" i="1"/>
  <c r="BW201" i="1"/>
  <c r="BV201" i="1"/>
  <c r="BU201" i="1"/>
  <c r="BT201" i="1"/>
  <c r="BS201" i="1"/>
  <c r="BC201" i="1"/>
  <c r="BZ200" i="1"/>
  <c r="CA200" i="1" s="1"/>
  <c r="BY200" i="1"/>
  <c r="BX200" i="1"/>
  <c r="BW200" i="1"/>
  <c r="BV200" i="1"/>
  <c r="BU200" i="1"/>
  <c r="BT200" i="1"/>
  <c r="BS200" i="1"/>
  <c r="BC200" i="1"/>
  <c r="BZ199" i="1"/>
  <c r="CA199" i="1" s="1"/>
  <c r="BY199" i="1"/>
  <c r="BX199" i="1"/>
  <c r="BW199" i="1"/>
  <c r="BV199" i="1"/>
  <c r="BU199" i="1"/>
  <c r="BT199" i="1"/>
  <c r="BS199" i="1"/>
  <c r="BC199" i="1"/>
  <c r="BZ198" i="1"/>
  <c r="CA198" i="1" s="1"/>
  <c r="BY198" i="1"/>
  <c r="BX198" i="1"/>
  <c r="BW198" i="1"/>
  <c r="BV198" i="1"/>
  <c r="BU198" i="1"/>
  <c r="BT198" i="1"/>
  <c r="BS198" i="1"/>
  <c r="BC198" i="1"/>
  <c r="BZ197" i="1"/>
  <c r="CA197" i="1" s="1"/>
  <c r="BY197" i="1"/>
  <c r="BX197" i="1"/>
  <c r="BW197" i="1"/>
  <c r="BV197" i="1"/>
  <c r="BU197" i="1"/>
  <c r="BT197" i="1"/>
  <c r="BS197" i="1"/>
  <c r="BC197" i="1"/>
  <c r="BZ196" i="1"/>
  <c r="CA196" i="1" s="1"/>
  <c r="BY196" i="1"/>
  <c r="BX196" i="1"/>
  <c r="BW196" i="1"/>
  <c r="BV196" i="1"/>
  <c r="BU196" i="1"/>
  <c r="BT196" i="1"/>
  <c r="BS196" i="1"/>
  <c r="BC196" i="1"/>
  <c r="BZ195" i="1"/>
  <c r="CA195" i="1" s="1"/>
  <c r="BY195" i="1"/>
  <c r="BX195" i="1"/>
  <c r="BW195" i="1"/>
  <c r="BV195" i="1"/>
  <c r="BU195" i="1"/>
  <c r="BT195" i="1"/>
  <c r="BS195" i="1"/>
  <c r="BC195" i="1"/>
  <c r="BZ194" i="1"/>
  <c r="CA194" i="1" s="1"/>
  <c r="BY194" i="1"/>
  <c r="BX194" i="1"/>
  <c r="BW194" i="1"/>
  <c r="BV194" i="1"/>
  <c r="BU194" i="1"/>
  <c r="BT194" i="1"/>
  <c r="BS194" i="1"/>
  <c r="BC194" i="1"/>
  <c r="BZ193" i="1"/>
  <c r="CA193" i="1" s="1"/>
  <c r="BY193" i="1"/>
  <c r="BX193" i="1"/>
  <c r="BW193" i="1"/>
  <c r="BV193" i="1"/>
  <c r="BU193" i="1"/>
  <c r="BT193" i="1"/>
  <c r="BS193" i="1"/>
  <c r="BC193" i="1"/>
  <c r="BZ192" i="1"/>
  <c r="CA192" i="1" s="1"/>
  <c r="BY192" i="1"/>
  <c r="BX192" i="1"/>
  <c r="BW192" i="1"/>
  <c r="BV192" i="1"/>
  <c r="BU192" i="1"/>
  <c r="BT192" i="1"/>
  <c r="BS192" i="1"/>
  <c r="BC192" i="1"/>
  <c r="BZ191" i="1"/>
  <c r="CA191" i="1" s="1"/>
  <c r="BY191" i="1"/>
  <c r="BX191" i="1"/>
  <c r="BW191" i="1"/>
  <c r="BV191" i="1"/>
  <c r="BU191" i="1"/>
  <c r="BT191" i="1"/>
  <c r="BS191" i="1"/>
  <c r="BC191" i="1"/>
  <c r="BZ190" i="1"/>
  <c r="CA190" i="1" s="1"/>
  <c r="BY190" i="1"/>
  <c r="BX190" i="1"/>
  <c r="BW190" i="1"/>
  <c r="BV190" i="1"/>
  <c r="BU190" i="1"/>
  <c r="BT190" i="1"/>
  <c r="BS190" i="1"/>
  <c r="BC190" i="1"/>
  <c r="BZ189" i="1"/>
  <c r="CA189" i="1" s="1"/>
  <c r="BY189" i="1"/>
  <c r="BX189" i="1"/>
  <c r="BW189" i="1"/>
  <c r="BV189" i="1"/>
  <c r="BU189" i="1"/>
  <c r="BT189" i="1"/>
  <c r="BS189" i="1"/>
  <c r="BC189" i="1"/>
  <c r="BZ188" i="1"/>
  <c r="CA188" i="1" s="1"/>
  <c r="BY188" i="1"/>
  <c r="BX188" i="1"/>
  <c r="BW188" i="1"/>
  <c r="BV188" i="1"/>
  <c r="BU188" i="1"/>
  <c r="BT188" i="1"/>
  <c r="BS188" i="1"/>
  <c r="BC188" i="1"/>
  <c r="BZ187" i="1"/>
  <c r="CA187" i="1" s="1"/>
  <c r="BY187" i="1"/>
  <c r="BX187" i="1"/>
  <c r="BW187" i="1"/>
  <c r="BV187" i="1"/>
  <c r="BU187" i="1"/>
  <c r="BT187" i="1"/>
  <c r="BS187" i="1"/>
  <c r="BC187" i="1"/>
  <c r="BZ186" i="1"/>
  <c r="CA186" i="1" s="1"/>
  <c r="BY186" i="1"/>
  <c r="BX186" i="1"/>
  <c r="BW186" i="1"/>
  <c r="BV186" i="1"/>
  <c r="BU186" i="1"/>
  <c r="BT186" i="1"/>
  <c r="BS186" i="1"/>
  <c r="BC186" i="1"/>
  <c r="BZ185" i="1"/>
  <c r="CA185" i="1" s="1"/>
  <c r="BY185" i="1"/>
  <c r="BX185" i="1"/>
  <c r="BW185" i="1"/>
  <c r="BV185" i="1"/>
  <c r="BU185" i="1"/>
  <c r="BT185" i="1"/>
  <c r="BS185" i="1"/>
  <c r="BC185" i="1"/>
  <c r="BZ184" i="1"/>
  <c r="CA184" i="1" s="1"/>
  <c r="BY184" i="1"/>
  <c r="BX184" i="1"/>
  <c r="BW184" i="1"/>
  <c r="BV184" i="1"/>
  <c r="BU184" i="1"/>
  <c r="BT184" i="1"/>
  <c r="BS184" i="1"/>
  <c r="BC184" i="1"/>
  <c r="BZ183" i="1"/>
  <c r="CA183" i="1" s="1"/>
  <c r="BY183" i="1"/>
  <c r="BX183" i="1"/>
  <c r="BW183" i="1"/>
  <c r="BV183" i="1"/>
  <c r="BU183" i="1"/>
  <c r="BT183" i="1"/>
  <c r="BS183" i="1"/>
  <c r="BC183" i="1"/>
  <c r="BZ182" i="1"/>
  <c r="CA182" i="1" s="1"/>
  <c r="BY182" i="1"/>
  <c r="BX182" i="1"/>
  <c r="BW182" i="1"/>
  <c r="BV182" i="1"/>
  <c r="BU182" i="1"/>
  <c r="BT182" i="1"/>
  <c r="BS182" i="1"/>
  <c r="BC182" i="1"/>
  <c r="BZ181" i="1"/>
  <c r="CA181" i="1" s="1"/>
  <c r="BY181" i="1"/>
  <c r="BX181" i="1"/>
  <c r="BW181" i="1"/>
  <c r="BV181" i="1"/>
  <c r="BU181" i="1"/>
  <c r="BT181" i="1"/>
  <c r="BS181" i="1"/>
  <c r="BC181" i="1"/>
  <c r="BZ180" i="1"/>
  <c r="CA180" i="1" s="1"/>
  <c r="BY180" i="1"/>
  <c r="BX180" i="1"/>
  <c r="BW180" i="1"/>
  <c r="BV180" i="1"/>
  <c r="BU180" i="1"/>
  <c r="BT180" i="1"/>
  <c r="BS180" i="1"/>
  <c r="BC180" i="1"/>
  <c r="BZ179" i="1"/>
  <c r="CA179" i="1" s="1"/>
  <c r="BY179" i="1"/>
  <c r="BX179" i="1"/>
  <c r="BW179" i="1"/>
  <c r="BV179" i="1"/>
  <c r="BU179" i="1"/>
  <c r="BT179" i="1"/>
  <c r="BS179" i="1"/>
  <c r="BC179" i="1"/>
  <c r="BZ178" i="1"/>
  <c r="CA178" i="1" s="1"/>
  <c r="BY178" i="1"/>
  <c r="BX178" i="1"/>
  <c r="BW178" i="1"/>
  <c r="BV178" i="1"/>
  <c r="BU178" i="1"/>
  <c r="BT178" i="1"/>
  <c r="BS178" i="1"/>
  <c r="BC178" i="1"/>
  <c r="BZ177" i="1"/>
  <c r="CA177" i="1" s="1"/>
  <c r="BY177" i="1"/>
  <c r="BX177" i="1"/>
  <c r="BW177" i="1"/>
  <c r="BV177" i="1"/>
  <c r="BU177" i="1"/>
  <c r="BT177" i="1"/>
  <c r="BS177" i="1"/>
  <c r="BC177" i="1"/>
  <c r="BZ176" i="1"/>
  <c r="CA176" i="1" s="1"/>
  <c r="BY176" i="1"/>
  <c r="BX176" i="1"/>
  <c r="BW176" i="1"/>
  <c r="BV176" i="1"/>
  <c r="BU176" i="1"/>
  <c r="BT176" i="1"/>
  <c r="BS176" i="1"/>
  <c r="BC176" i="1"/>
  <c r="BZ175" i="1"/>
  <c r="CA175" i="1" s="1"/>
  <c r="BY175" i="1"/>
  <c r="BX175" i="1"/>
  <c r="BW175" i="1"/>
  <c r="BV175" i="1"/>
  <c r="BU175" i="1"/>
  <c r="BT175" i="1"/>
  <c r="BS175" i="1"/>
  <c r="BC175" i="1"/>
  <c r="BZ174" i="1"/>
  <c r="CA174" i="1" s="1"/>
  <c r="BY174" i="1"/>
  <c r="BX174" i="1"/>
  <c r="BW174" i="1"/>
  <c r="BV174" i="1"/>
  <c r="BU174" i="1"/>
  <c r="BT174" i="1"/>
  <c r="BS174" i="1"/>
  <c r="BC174" i="1"/>
  <c r="BZ173" i="1"/>
  <c r="CA173" i="1" s="1"/>
  <c r="BY173" i="1"/>
  <c r="BX173" i="1"/>
  <c r="BW173" i="1"/>
  <c r="BV173" i="1"/>
  <c r="BU173" i="1"/>
  <c r="BT173" i="1"/>
  <c r="BS173" i="1"/>
  <c r="BC173" i="1"/>
  <c r="BZ172" i="1"/>
  <c r="CA172" i="1" s="1"/>
  <c r="BY172" i="1"/>
  <c r="BX172" i="1"/>
  <c r="BW172" i="1"/>
  <c r="BV172" i="1"/>
  <c r="BU172" i="1"/>
  <c r="BT172" i="1"/>
  <c r="BS172" i="1"/>
  <c r="BC172" i="1"/>
  <c r="BZ171" i="1"/>
  <c r="CA171" i="1" s="1"/>
  <c r="BY171" i="1"/>
  <c r="BX171" i="1"/>
  <c r="BW171" i="1"/>
  <c r="BV171" i="1"/>
  <c r="BU171" i="1"/>
  <c r="BT171" i="1"/>
  <c r="BS171" i="1"/>
  <c r="BC171" i="1"/>
  <c r="BZ170" i="1"/>
  <c r="CA170" i="1" s="1"/>
  <c r="BY170" i="1"/>
  <c r="BX170" i="1"/>
  <c r="BW170" i="1"/>
  <c r="BV170" i="1"/>
  <c r="BU170" i="1"/>
  <c r="BT170" i="1"/>
  <c r="BS170" i="1"/>
  <c r="BC170" i="1"/>
  <c r="BZ169" i="1"/>
  <c r="CA169" i="1" s="1"/>
  <c r="BY169" i="1"/>
  <c r="BX169" i="1"/>
  <c r="BW169" i="1"/>
  <c r="BV169" i="1"/>
  <c r="BU169" i="1"/>
  <c r="BT169" i="1"/>
  <c r="BS169" i="1"/>
  <c r="BC169" i="1"/>
  <c r="BZ168" i="1"/>
  <c r="CA168" i="1" s="1"/>
  <c r="BY168" i="1"/>
  <c r="BX168" i="1"/>
  <c r="BW168" i="1"/>
  <c r="BV168" i="1"/>
  <c r="BU168" i="1"/>
  <c r="BT168" i="1"/>
  <c r="BS168" i="1"/>
  <c r="BC168" i="1"/>
  <c r="BZ167" i="1"/>
  <c r="CA167" i="1" s="1"/>
  <c r="BY167" i="1"/>
  <c r="BX167" i="1"/>
  <c r="BW167" i="1"/>
  <c r="BV167" i="1"/>
  <c r="BU167" i="1"/>
  <c r="BT167" i="1"/>
  <c r="BS167" i="1"/>
  <c r="BC167" i="1"/>
  <c r="BZ166" i="1"/>
  <c r="CA166" i="1" s="1"/>
  <c r="BY166" i="1"/>
  <c r="BX166" i="1"/>
  <c r="BW166" i="1"/>
  <c r="BV166" i="1"/>
  <c r="BU166" i="1"/>
  <c r="BT166" i="1"/>
  <c r="BS166" i="1"/>
  <c r="BC166" i="1"/>
  <c r="BZ165" i="1"/>
  <c r="CA165" i="1" s="1"/>
  <c r="BY165" i="1"/>
  <c r="BX165" i="1"/>
  <c r="BW165" i="1"/>
  <c r="BV165" i="1"/>
  <c r="BU165" i="1"/>
  <c r="BT165" i="1"/>
  <c r="BS165" i="1"/>
  <c r="BC165" i="1"/>
  <c r="BZ164" i="1"/>
  <c r="CA164" i="1" s="1"/>
  <c r="BY164" i="1"/>
  <c r="BX164" i="1"/>
  <c r="BW164" i="1"/>
  <c r="BV164" i="1"/>
  <c r="BU164" i="1"/>
  <c r="BT164" i="1"/>
  <c r="BS164" i="1"/>
  <c r="BC164" i="1"/>
  <c r="BZ163" i="1"/>
  <c r="CA163" i="1" s="1"/>
  <c r="BY163" i="1"/>
  <c r="BX163" i="1"/>
  <c r="BW163" i="1"/>
  <c r="BV163" i="1"/>
  <c r="BU163" i="1"/>
  <c r="BT163" i="1"/>
  <c r="BS163" i="1"/>
  <c r="BC163" i="1"/>
  <c r="AS163" i="1"/>
  <c r="BZ162" i="1"/>
  <c r="CA162" i="1" s="1"/>
  <c r="BY162" i="1"/>
  <c r="BX162" i="1"/>
  <c r="BW162" i="1"/>
  <c r="BV162" i="1"/>
  <c r="BU162" i="1"/>
  <c r="BT162" i="1"/>
  <c r="BS162" i="1"/>
  <c r="AS162" i="1"/>
  <c r="BC162" i="1"/>
  <c r="BZ161" i="1"/>
  <c r="CA161" i="1" s="1"/>
  <c r="BY161" i="1"/>
  <c r="BX161" i="1"/>
  <c r="BW161" i="1"/>
  <c r="BV161" i="1"/>
  <c r="BU161" i="1"/>
  <c r="BT161" i="1"/>
  <c r="BS161" i="1"/>
  <c r="AS161" i="1"/>
  <c r="BC161" i="1"/>
  <c r="BZ160" i="1"/>
  <c r="CA160" i="1" s="1"/>
  <c r="BY160" i="1"/>
  <c r="BX160" i="1"/>
  <c r="BW160" i="1"/>
  <c r="BV160" i="1"/>
  <c r="BU160" i="1"/>
  <c r="BT160" i="1"/>
  <c r="BS160" i="1"/>
  <c r="AS160" i="1"/>
  <c r="BC160" i="1"/>
  <c r="BZ159" i="1"/>
  <c r="CA159" i="1" s="1"/>
  <c r="BY159" i="1"/>
  <c r="BX159" i="1"/>
  <c r="BW159" i="1"/>
  <c r="BV159" i="1"/>
  <c r="BU159" i="1"/>
  <c r="BT159" i="1"/>
  <c r="BS159" i="1"/>
  <c r="AS159" i="1"/>
  <c r="BZ158" i="1"/>
  <c r="CA158" i="1" s="1"/>
  <c r="BY158" i="1"/>
  <c r="BX158" i="1"/>
  <c r="BW158" i="1"/>
  <c r="BV158" i="1"/>
  <c r="BU158" i="1"/>
  <c r="BT158" i="1"/>
  <c r="BS158" i="1"/>
  <c r="AS158" i="1"/>
  <c r="BC158" i="1"/>
  <c r="BZ157" i="1"/>
  <c r="CA157" i="1" s="1"/>
  <c r="BY157" i="1"/>
  <c r="BX157" i="1"/>
  <c r="BW157" i="1"/>
  <c r="BV157" i="1"/>
  <c r="BU157" i="1"/>
  <c r="BT157" i="1"/>
  <c r="BS157" i="1"/>
  <c r="BC157" i="1"/>
  <c r="AS157" i="1"/>
  <c r="BZ156" i="1"/>
  <c r="CA156" i="1" s="1"/>
  <c r="BY156" i="1"/>
  <c r="BX156" i="1"/>
  <c r="BW156" i="1"/>
  <c r="BV156" i="1"/>
  <c r="BU156" i="1"/>
  <c r="BT156" i="1"/>
  <c r="BS156" i="1"/>
  <c r="AS156" i="1"/>
  <c r="BC156" i="1"/>
  <c r="BZ155" i="1"/>
  <c r="CA155" i="1" s="1"/>
  <c r="BY155" i="1"/>
  <c r="BX155" i="1"/>
  <c r="BW155" i="1"/>
  <c r="BV155" i="1"/>
  <c r="BU155" i="1"/>
  <c r="BT155" i="1"/>
  <c r="BS155" i="1"/>
  <c r="AS155" i="1"/>
  <c r="BZ154" i="1"/>
  <c r="CA154" i="1" s="1"/>
  <c r="BY154" i="1"/>
  <c r="BX154" i="1"/>
  <c r="BW154" i="1"/>
  <c r="BV154" i="1"/>
  <c r="BU154" i="1"/>
  <c r="BT154" i="1"/>
  <c r="BS154" i="1"/>
  <c r="BA154" i="1"/>
  <c r="BA155" i="1" s="1"/>
  <c r="BA156" i="1" s="1"/>
  <c r="BA157" i="1" s="1"/>
  <c r="BA158" i="1" s="1"/>
  <c r="BA159" i="1" s="1"/>
  <c r="BA160" i="1" s="1"/>
  <c r="BA161" i="1" s="1"/>
  <c r="BA162" i="1" s="1"/>
  <c r="BA163" i="1" s="1"/>
  <c r="BA164" i="1" s="1"/>
  <c r="BA165" i="1" s="1"/>
  <c r="BA166" i="1" s="1"/>
  <c r="BA167" i="1" s="1"/>
  <c r="BA168" i="1" s="1"/>
  <c r="BA169" i="1" s="1"/>
  <c r="BA170" i="1" s="1"/>
  <c r="BA171" i="1" s="1"/>
  <c r="BA172" i="1" s="1"/>
  <c r="BA173" i="1" s="1"/>
  <c r="BA174" i="1" s="1"/>
  <c r="BA175" i="1" s="1"/>
  <c r="BA176" i="1" s="1"/>
  <c r="BA177" i="1" s="1"/>
  <c r="BA178" i="1" s="1"/>
  <c r="BA179" i="1" s="1"/>
  <c r="BA180" i="1" s="1"/>
  <c r="BA181" i="1" s="1"/>
  <c r="BA182" i="1" s="1"/>
  <c r="BA183" i="1" s="1"/>
  <c r="BA184" i="1" s="1"/>
  <c r="BA185" i="1" s="1"/>
  <c r="BA186" i="1" s="1"/>
  <c r="BA187" i="1" s="1"/>
  <c r="BA188" i="1" s="1"/>
  <c r="BA189" i="1" s="1"/>
  <c r="BA190" i="1" s="1"/>
  <c r="BA191" i="1" s="1"/>
  <c r="BA192" i="1" s="1"/>
  <c r="BA193" i="1" s="1"/>
  <c r="BA194" i="1" s="1"/>
  <c r="BA195" i="1" s="1"/>
  <c r="BA196" i="1" s="1"/>
  <c r="BA197" i="1" s="1"/>
  <c r="BA198" i="1" s="1"/>
  <c r="BA199" i="1" s="1"/>
  <c r="BA200" i="1" s="1"/>
  <c r="BA201" i="1" s="1"/>
  <c r="BA202" i="1" s="1"/>
  <c r="BA203" i="1" s="1"/>
  <c r="BA204" i="1" s="1"/>
  <c r="BA205" i="1" s="1"/>
  <c r="BA206" i="1" s="1"/>
  <c r="BA207" i="1" s="1"/>
  <c r="BA208" i="1" s="1"/>
  <c r="BA209" i="1" s="1"/>
  <c r="BA210" i="1" s="1"/>
  <c r="BA211" i="1" s="1"/>
  <c r="BA212" i="1" s="1"/>
  <c r="BA213" i="1" s="1"/>
  <c r="BA214" i="1" s="1"/>
  <c r="BA215" i="1" s="1"/>
  <c r="BA216" i="1" s="1"/>
  <c r="BA217" i="1" s="1"/>
  <c r="BA218" i="1" s="1"/>
  <c r="BA219" i="1" s="1"/>
  <c r="BA220" i="1" s="1"/>
  <c r="BA221" i="1" s="1"/>
  <c r="BA222" i="1" s="1"/>
  <c r="BA223" i="1" s="1"/>
  <c r="BA224" i="1" s="1"/>
  <c r="BA225" i="1" s="1"/>
  <c r="BA226" i="1" s="1"/>
  <c r="BA227" i="1" s="1"/>
  <c r="BA228" i="1" s="1"/>
  <c r="BA229" i="1" s="1"/>
  <c r="BA230" i="1" s="1"/>
  <c r="BA231" i="1" s="1"/>
  <c r="BA232" i="1" s="1"/>
  <c r="BA233" i="1" s="1"/>
  <c r="BA234" i="1" s="1"/>
  <c r="BA235" i="1" s="1"/>
  <c r="BA236" i="1" s="1"/>
  <c r="BA237" i="1" s="1"/>
  <c r="BA238" i="1" s="1"/>
  <c r="BA239" i="1" s="1"/>
  <c r="BA240" i="1" s="1"/>
  <c r="BA241" i="1" s="1"/>
  <c r="BA242" i="1" s="1"/>
  <c r="BA243" i="1" s="1"/>
  <c r="BA244" i="1" s="1"/>
  <c r="BA245" i="1" s="1"/>
  <c r="BA246" i="1" s="1"/>
  <c r="BA247" i="1" s="1"/>
  <c r="BA248" i="1" s="1"/>
  <c r="BA249" i="1" s="1"/>
  <c r="BA250" i="1" s="1"/>
  <c r="BA251" i="1" s="1"/>
  <c r="BA252" i="1" s="1"/>
  <c r="AS154" i="1"/>
  <c r="BC154" i="1"/>
  <c r="BZ153" i="1"/>
  <c r="CA153" i="1" s="1"/>
  <c r="BY153" i="1"/>
  <c r="BX153" i="1"/>
  <c r="BW153" i="1"/>
  <c r="BV153" i="1"/>
  <c r="BU153" i="1"/>
  <c r="BT153" i="1"/>
  <c r="BS153" i="1"/>
  <c r="AS153" i="1"/>
  <c r="BC153" i="1"/>
  <c r="BZ152" i="1"/>
  <c r="CA152" i="1" s="1"/>
  <c r="BY152" i="1"/>
  <c r="BX152" i="1"/>
  <c r="BW152" i="1"/>
  <c r="BV152" i="1"/>
  <c r="BU152" i="1"/>
  <c r="BT152" i="1"/>
  <c r="BS152" i="1"/>
  <c r="BC152" i="1"/>
  <c r="AS152" i="1"/>
  <c r="BZ151" i="1"/>
  <c r="CA151" i="1" s="1"/>
  <c r="BY151" i="1"/>
  <c r="BX151" i="1"/>
  <c r="BW151" i="1"/>
  <c r="BV151" i="1"/>
  <c r="BU151" i="1"/>
  <c r="BT151" i="1"/>
  <c r="BS151" i="1"/>
  <c r="AS151" i="1"/>
  <c r="BC151" i="1"/>
  <c r="BZ150" i="1"/>
  <c r="CA150" i="1" s="1"/>
  <c r="BY150" i="1"/>
  <c r="BX150" i="1"/>
  <c r="BW150" i="1"/>
  <c r="BV150" i="1"/>
  <c r="BU150" i="1"/>
  <c r="BT150" i="1"/>
  <c r="BS150" i="1"/>
  <c r="BA150" i="1"/>
  <c r="BA151" i="1" s="1"/>
  <c r="BA152" i="1" s="1"/>
  <c r="AS150" i="1"/>
  <c r="BC150" i="1"/>
  <c r="BZ149" i="1"/>
  <c r="CA149" i="1" s="1"/>
  <c r="BY149" i="1"/>
  <c r="BX149" i="1"/>
  <c r="BW149" i="1"/>
  <c r="BV149" i="1"/>
  <c r="BU149" i="1"/>
  <c r="BT149" i="1"/>
  <c r="BS149" i="1"/>
  <c r="AS149" i="1"/>
  <c r="BC149" i="1"/>
  <c r="BZ148" i="1"/>
  <c r="CA148" i="1" s="1"/>
  <c r="BY148" i="1"/>
  <c r="BX148" i="1"/>
  <c r="BW148" i="1"/>
  <c r="BV148" i="1"/>
  <c r="BU148" i="1"/>
  <c r="BT148" i="1"/>
  <c r="BS148" i="1"/>
  <c r="AS148" i="1"/>
  <c r="BC148" i="1"/>
  <c r="BZ147" i="1"/>
  <c r="CA147" i="1" s="1"/>
  <c r="BY147" i="1"/>
  <c r="BX147" i="1"/>
  <c r="BW147" i="1"/>
  <c r="BV147" i="1"/>
  <c r="BU147" i="1"/>
  <c r="BT147" i="1"/>
  <c r="BS147" i="1"/>
  <c r="AS147" i="1"/>
  <c r="BZ146" i="1"/>
  <c r="CA146" i="1" s="1"/>
  <c r="BY146" i="1"/>
  <c r="BX146" i="1"/>
  <c r="BW146" i="1"/>
  <c r="BV146" i="1"/>
  <c r="BU146" i="1"/>
  <c r="BT146" i="1"/>
  <c r="BS146" i="1"/>
  <c r="AS146" i="1"/>
  <c r="BC146" i="1"/>
  <c r="BZ145" i="1"/>
  <c r="CA145" i="1" s="1"/>
  <c r="BY145" i="1"/>
  <c r="BX145" i="1"/>
  <c r="BW145" i="1"/>
  <c r="BV145" i="1"/>
  <c r="BU145" i="1"/>
  <c r="CC145" i="1" s="1"/>
  <c r="BT145" i="1"/>
  <c r="BS145" i="1"/>
  <c r="AS145" i="1"/>
  <c r="BC145" i="1"/>
  <c r="BZ144" i="1"/>
  <c r="CA144" i="1" s="1"/>
  <c r="BY144" i="1"/>
  <c r="BX144" i="1"/>
  <c r="BW144" i="1"/>
  <c r="BV144" i="1"/>
  <c r="BU144" i="1"/>
  <c r="BT144" i="1"/>
  <c r="BS144" i="1"/>
  <c r="AS144" i="1"/>
  <c r="BC144" i="1"/>
  <c r="BZ143" i="1"/>
  <c r="CA143" i="1" s="1"/>
  <c r="BY143" i="1"/>
  <c r="BX143" i="1"/>
  <c r="BW143" i="1"/>
  <c r="BV143" i="1"/>
  <c r="BU143" i="1"/>
  <c r="BT143" i="1"/>
  <c r="BS143" i="1"/>
  <c r="BC143" i="1"/>
  <c r="AS143" i="1"/>
  <c r="BZ142" i="1"/>
  <c r="CA142" i="1" s="1"/>
  <c r="BY142" i="1"/>
  <c r="BX142" i="1"/>
  <c r="BW142" i="1"/>
  <c r="BV142" i="1"/>
  <c r="BU142" i="1"/>
  <c r="BT142" i="1"/>
  <c r="BS142" i="1"/>
  <c r="AS142" i="1"/>
  <c r="BC142" i="1"/>
  <c r="BZ141" i="1"/>
  <c r="CA141" i="1" s="1"/>
  <c r="BY141" i="1"/>
  <c r="BX141" i="1"/>
  <c r="BW141" i="1"/>
  <c r="BV141" i="1"/>
  <c r="BU141" i="1"/>
  <c r="BT141" i="1"/>
  <c r="BS141" i="1"/>
  <c r="AS141" i="1"/>
  <c r="BC141" i="1"/>
  <c r="BZ140" i="1"/>
  <c r="CA140" i="1" s="1"/>
  <c r="BY140" i="1"/>
  <c r="BX140" i="1"/>
  <c r="BW140" i="1"/>
  <c r="BV140" i="1"/>
  <c r="BU140" i="1"/>
  <c r="BT140" i="1"/>
  <c r="BS140" i="1"/>
  <c r="AS140" i="1"/>
  <c r="BC140" i="1"/>
  <c r="BZ139" i="1"/>
  <c r="CA139" i="1" s="1"/>
  <c r="BY139" i="1"/>
  <c r="BX139" i="1"/>
  <c r="BW139" i="1"/>
  <c r="BV139" i="1"/>
  <c r="BU139" i="1"/>
  <c r="BT139" i="1"/>
  <c r="BS139" i="1"/>
  <c r="AS139" i="1"/>
  <c r="BZ138" i="1"/>
  <c r="CA138" i="1" s="1"/>
  <c r="BY138" i="1"/>
  <c r="BX138" i="1"/>
  <c r="BW138" i="1"/>
  <c r="BV138" i="1"/>
  <c r="BU138" i="1"/>
  <c r="BT138" i="1"/>
  <c r="BS138" i="1"/>
  <c r="BC138" i="1"/>
  <c r="AS138" i="1"/>
  <c r="BZ137" i="1"/>
  <c r="CA137" i="1" s="1"/>
  <c r="BY137" i="1"/>
  <c r="BX137" i="1"/>
  <c r="BW137" i="1"/>
  <c r="BV137" i="1"/>
  <c r="BU137" i="1"/>
  <c r="BT137" i="1"/>
  <c r="BS137" i="1"/>
  <c r="AS137" i="1"/>
  <c r="BC137" i="1"/>
  <c r="BZ136" i="1"/>
  <c r="CA136" i="1" s="1"/>
  <c r="BY136" i="1"/>
  <c r="BX136" i="1"/>
  <c r="BW136" i="1"/>
  <c r="BV136" i="1"/>
  <c r="BU136" i="1"/>
  <c r="BT136" i="1"/>
  <c r="BS136" i="1"/>
  <c r="AS136" i="1"/>
  <c r="BC136" i="1"/>
  <c r="BZ135" i="1"/>
  <c r="CA135" i="1" s="1"/>
  <c r="BY135" i="1"/>
  <c r="BX135" i="1"/>
  <c r="BW135" i="1"/>
  <c r="BV135" i="1"/>
  <c r="BU135" i="1"/>
  <c r="BT135" i="1"/>
  <c r="BS135" i="1"/>
  <c r="BC135" i="1"/>
  <c r="AS135" i="1"/>
  <c r="BZ134" i="1"/>
  <c r="CA134" i="1" s="1"/>
  <c r="BY134" i="1"/>
  <c r="BX134" i="1"/>
  <c r="BW134" i="1"/>
  <c r="BV134" i="1"/>
  <c r="BU134" i="1"/>
  <c r="BT134" i="1"/>
  <c r="BS134" i="1"/>
  <c r="AS134" i="1"/>
  <c r="BC134" i="1"/>
  <c r="BZ133" i="1"/>
  <c r="CA133" i="1" s="1"/>
  <c r="BY133" i="1"/>
  <c r="BX133" i="1"/>
  <c r="BW133" i="1"/>
  <c r="BV133" i="1"/>
  <c r="BU133" i="1"/>
  <c r="BT133" i="1"/>
  <c r="BS133" i="1"/>
  <c r="AS133" i="1"/>
  <c r="BC133" i="1"/>
  <c r="BZ132" i="1"/>
  <c r="CA132" i="1" s="1"/>
  <c r="BY132" i="1"/>
  <c r="BX132" i="1"/>
  <c r="BW132" i="1"/>
  <c r="BV132" i="1"/>
  <c r="BU132" i="1"/>
  <c r="BT132" i="1"/>
  <c r="BS132" i="1"/>
  <c r="AS132" i="1"/>
  <c r="BC132" i="1"/>
  <c r="BZ131" i="1"/>
  <c r="CA131" i="1" s="1"/>
  <c r="BY131" i="1"/>
  <c r="BX131" i="1"/>
  <c r="BW131" i="1"/>
  <c r="BV131" i="1"/>
  <c r="BU131" i="1"/>
  <c r="BT131" i="1"/>
  <c r="BS131" i="1"/>
  <c r="AS131" i="1"/>
  <c r="BC131" i="1"/>
  <c r="BZ130" i="1"/>
  <c r="CA130" i="1" s="1"/>
  <c r="BY130" i="1"/>
  <c r="BX130" i="1"/>
  <c r="BW130" i="1"/>
  <c r="BV130" i="1"/>
  <c r="BU130" i="1"/>
  <c r="BT130" i="1"/>
  <c r="BS130" i="1"/>
  <c r="AS130" i="1"/>
  <c r="BC130" i="1"/>
  <c r="BZ129" i="1"/>
  <c r="CA129" i="1" s="1"/>
  <c r="BY129" i="1"/>
  <c r="BX129" i="1"/>
  <c r="BW129" i="1"/>
  <c r="BV129" i="1"/>
  <c r="BU129" i="1"/>
  <c r="BT129" i="1"/>
  <c r="BS129" i="1"/>
  <c r="AS129" i="1"/>
  <c r="BZ128" i="1"/>
  <c r="CA128" i="1" s="1"/>
  <c r="BY128" i="1"/>
  <c r="BX128" i="1"/>
  <c r="BW128" i="1"/>
  <c r="BV128" i="1"/>
  <c r="BU128" i="1"/>
  <c r="BT128" i="1"/>
  <c r="BS128" i="1"/>
  <c r="BC128" i="1"/>
  <c r="AS128" i="1"/>
  <c r="BZ127" i="1"/>
  <c r="CA127" i="1" s="1"/>
  <c r="BY127" i="1"/>
  <c r="BX127" i="1"/>
  <c r="BW127" i="1"/>
  <c r="BV127" i="1"/>
  <c r="BU127" i="1"/>
  <c r="BT127" i="1"/>
  <c r="BS127" i="1"/>
  <c r="AS127" i="1"/>
  <c r="BC127" i="1"/>
  <c r="BZ126" i="1"/>
  <c r="CA126" i="1" s="1"/>
  <c r="BY126" i="1"/>
  <c r="BX126" i="1"/>
  <c r="BW126" i="1"/>
  <c r="BV126" i="1"/>
  <c r="BU126" i="1"/>
  <c r="BT126" i="1"/>
  <c r="BS126" i="1"/>
  <c r="AS126" i="1"/>
  <c r="BC126" i="1"/>
  <c r="BZ125" i="1"/>
  <c r="CA125" i="1" s="1"/>
  <c r="BY125" i="1"/>
  <c r="BX125" i="1"/>
  <c r="BW125" i="1"/>
  <c r="BV125" i="1"/>
  <c r="BU125" i="1"/>
  <c r="BT125" i="1"/>
  <c r="BS125" i="1"/>
  <c r="AS125" i="1"/>
  <c r="BC125" i="1"/>
  <c r="BZ124" i="1"/>
  <c r="CA124" i="1" s="1"/>
  <c r="BY124" i="1"/>
  <c r="BX124" i="1"/>
  <c r="BW124" i="1"/>
  <c r="BV124" i="1"/>
  <c r="BU124" i="1"/>
  <c r="BT124" i="1"/>
  <c r="BS124" i="1"/>
  <c r="AS124" i="1"/>
  <c r="BC124" i="1"/>
  <c r="BZ123" i="1"/>
  <c r="CA123" i="1" s="1"/>
  <c r="BY123" i="1"/>
  <c r="BX123" i="1"/>
  <c r="BW123" i="1"/>
  <c r="BV123" i="1"/>
  <c r="BU123" i="1"/>
  <c r="BT123" i="1"/>
  <c r="BS123" i="1"/>
  <c r="AS123" i="1"/>
  <c r="BZ122" i="1"/>
  <c r="CA122" i="1" s="1"/>
  <c r="BY122" i="1"/>
  <c r="BX122" i="1"/>
  <c r="BW122" i="1"/>
  <c r="BV122" i="1"/>
  <c r="BU122" i="1"/>
  <c r="BT122" i="1"/>
  <c r="BS122" i="1"/>
  <c r="AS122" i="1"/>
  <c r="BC122" i="1"/>
  <c r="BZ121" i="1"/>
  <c r="CA121" i="1" s="1"/>
  <c r="BY121" i="1"/>
  <c r="BX121" i="1"/>
  <c r="BW121" i="1"/>
  <c r="BV121" i="1"/>
  <c r="BU121" i="1"/>
  <c r="BT121" i="1"/>
  <c r="BS121" i="1"/>
  <c r="AS121" i="1"/>
  <c r="BC121" i="1"/>
  <c r="BZ120" i="1"/>
  <c r="CA120" i="1" s="1"/>
  <c r="BY120" i="1"/>
  <c r="BX120" i="1"/>
  <c r="BW120" i="1"/>
  <c r="BV120" i="1"/>
  <c r="BU120" i="1"/>
  <c r="BT120" i="1"/>
  <c r="BS120" i="1"/>
  <c r="AS120" i="1"/>
  <c r="BC120" i="1"/>
  <c r="BZ119" i="1"/>
  <c r="CA119" i="1" s="1"/>
  <c r="BY119" i="1"/>
  <c r="BX119" i="1"/>
  <c r="BW119" i="1"/>
  <c r="BV119" i="1"/>
  <c r="BU119" i="1"/>
  <c r="BT119" i="1"/>
  <c r="BS119" i="1"/>
  <c r="BC119" i="1"/>
  <c r="AS119" i="1"/>
  <c r="BZ118" i="1"/>
  <c r="CA118" i="1" s="1"/>
  <c r="BY118" i="1"/>
  <c r="BX118" i="1"/>
  <c r="BW118" i="1"/>
  <c r="BV118" i="1"/>
  <c r="BU118" i="1"/>
  <c r="BT118" i="1"/>
  <c r="BS118" i="1"/>
  <c r="AS118" i="1"/>
  <c r="BC118" i="1"/>
  <c r="BZ117" i="1"/>
  <c r="CA117" i="1" s="1"/>
  <c r="BY117" i="1"/>
  <c r="BX117" i="1"/>
  <c r="BW117" i="1"/>
  <c r="BV117" i="1"/>
  <c r="BU117" i="1"/>
  <c r="BT117" i="1"/>
  <c r="BS117" i="1"/>
  <c r="AS117" i="1"/>
  <c r="BZ116" i="1"/>
  <c r="CA116" i="1" s="1"/>
  <c r="BY116" i="1"/>
  <c r="BX116" i="1"/>
  <c r="BW116" i="1"/>
  <c r="BV116" i="1"/>
  <c r="BU116" i="1"/>
  <c r="BT116" i="1"/>
  <c r="BS116" i="1"/>
  <c r="AS116" i="1"/>
  <c r="BC116" i="1"/>
  <c r="BZ115" i="1"/>
  <c r="CA115" i="1" s="1"/>
  <c r="BY115" i="1"/>
  <c r="BX115" i="1"/>
  <c r="BW115" i="1"/>
  <c r="BV115" i="1"/>
  <c r="BU115" i="1"/>
  <c r="BT115" i="1"/>
  <c r="BS115" i="1"/>
  <c r="AS115" i="1"/>
  <c r="BC115" i="1"/>
  <c r="BZ114" i="1"/>
  <c r="CA114" i="1" s="1"/>
  <c r="BY114" i="1"/>
  <c r="BX114" i="1"/>
  <c r="BW114" i="1"/>
  <c r="BV114" i="1"/>
  <c r="BU114" i="1"/>
  <c r="BT114" i="1"/>
  <c r="BS114" i="1"/>
  <c r="BC114" i="1"/>
  <c r="AS114" i="1"/>
  <c r="BZ113" i="1"/>
  <c r="CA113" i="1" s="1"/>
  <c r="BY113" i="1"/>
  <c r="BX113" i="1"/>
  <c r="BW113" i="1"/>
  <c r="BV113" i="1"/>
  <c r="BU113" i="1"/>
  <c r="BT113" i="1"/>
  <c r="BS113" i="1"/>
  <c r="AS113" i="1"/>
  <c r="BC113" i="1"/>
  <c r="BZ112" i="1"/>
  <c r="CA112" i="1" s="1"/>
  <c r="BY112" i="1"/>
  <c r="BX112" i="1"/>
  <c r="BW112" i="1"/>
  <c r="BV112" i="1"/>
  <c r="BU112" i="1"/>
  <c r="BT112" i="1"/>
  <c r="BS112" i="1"/>
  <c r="AS112" i="1"/>
  <c r="BZ111" i="1"/>
  <c r="CA111" i="1" s="1"/>
  <c r="BY111" i="1"/>
  <c r="BX111" i="1"/>
  <c r="BW111" i="1"/>
  <c r="BV111" i="1"/>
  <c r="BU111" i="1"/>
  <c r="BT111" i="1"/>
  <c r="BS111" i="1"/>
  <c r="AS111" i="1"/>
  <c r="BZ110" i="1"/>
  <c r="CA110" i="1" s="1"/>
  <c r="BY110" i="1"/>
  <c r="BX110" i="1"/>
  <c r="BW110" i="1"/>
  <c r="BV110" i="1"/>
  <c r="BU110" i="1"/>
  <c r="BT110" i="1"/>
  <c r="BS110" i="1"/>
  <c r="AS110" i="1"/>
  <c r="BC110" i="1"/>
  <c r="BZ109" i="1"/>
  <c r="CA109" i="1" s="1"/>
  <c r="BY109" i="1"/>
  <c r="BX109" i="1"/>
  <c r="BW109" i="1"/>
  <c r="BV109" i="1"/>
  <c r="BU109" i="1"/>
  <c r="BT109" i="1"/>
  <c r="BS109" i="1"/>
  <c r="AS109" i="1"/>
  <c r="BC109" i="1"/>
  <c r="BZ108" i="1"/>
  <c r="CA108" i="1" s="1"/>
  <c r="BY108" i="1"/>
  <c r="BX108" i="1"/>
  <c r="BW108" i="1"/>
  <c r="BV108" i="1"/>
  <c r="BU108" i="1"/>
  <c r="BT108" i="1"/>
  <c r="BS108" i="1"/>
  <c r="AS108" i="1"/>
  <c r="BC108" i="1"/>
  <c r="BZ107" i="1"/>
  <c r="CA107" i="1" s="1"/>
  <c r="BY107" i="1"/>
  <c r="BX107" i="1"/>
  <c r="BW107" i="1"/>
  <c r="BV107" i="1"/>
  <c r="BU107" i="1"/>
  <c r="BT107" i="1"/>
  <c r="BS107" i="1"/>
  <c r="AS107" i="1"/>
  <c r="BC107" i="1"/>
  <c r="BZ106" i="1"/>
  <c r="CA106" i="1" s="1"/>
  <c r="BY106" i="1"/>
  <c r="BX106" i="1"/>
  <c r="BW106" i="1"/>
  <c r="BV106" i="1"/>
  <c r="BU106" i="1"/>
  <c r="BT106" i="1"/>
  <c r="BS106" i="1"/>
  <c r="AS106" i="1"/>
  <c r="BZ105" i="1"/>
  <c r="CA105" i="1" s="1"/>
  <c r="BY105" i="1"/>
  <c r="BX105" i="1"/>
  <c r="BW105" i="1"/>
  <c r="BV105" i="1"/>
  <c r="BU105" i="1"/>
  <c r="BT105" i="1"/>
  <c r="BS105" i="1"/>
  <c r="AS105" i="1"/>
  <c r="BZ104" i="1"/>
  <c r="CA104" i="1" s="1"/>
  <c r="BY104" i="1"/>
  <c r="BX104" i="1"/>
  <c r="BW104" i="1"/>
  <c r="BV104" i="1"/>
  <c r="BU104" i="1"/>
  <c r="BT104" i="1"/>
  <c r="BS104" i="1"/>
  <c r="AS104" i="1"/>
  <c r="BC104" i="1"/>
  <c r="BZ103" i="1"/>
  <c r="CA103" i="1" s="1"/>
  <c r="BY103" i="1"/>
  <c r="BX103" i="1"/>
  <c r="BW103" i="1"/>
  <c r="BV103" i="1"/>
  <c r="BU103" i="1"/>
  <c r="BT103" i="1"/>
  <c r="BS103" i="1"/>
  <c r="AS103" i="1"/>
  <c r="BC103" i="1"/>
  <c r="BZ102" i="1"/>
  <c r="CA102" i="1" s="1"/>
  <c r="BY102" i="1"/>
  <c r="BX102" i="1"/>
  <c r="BW102" i="1"/>
  <c r="BV102" i="1"/>
  <c r="BU102" i="1"/>
  <c r="BT102" i="1"/>
  <c r="BS102" i="1"/>
  <c r="AS102" i="1"/>
  <c r="BZ101" i="1"/>
  <c r="CA101" i="1" s="1"/>
  <c r="BY101" i="1"/>
  <c r="BX101" i="1"/>
  <c r="BW101" i="1"/>
  <c r="BV101" i="1"/>
  <c r="BU101" i="1"/>
  <c r="BT101" i="1"/>
  <c r="BS101" i="1"/>
  <c r="AS101" i="1"/>
  <c r="BZ100" i="1"/>
  <c r="CA100" i="1" s="1"/>
  <c r="BY100" i="1"/>
  <c r="BX100" i="1"/>
  <c r="BW100" i="1"/>
  <c r="BV100" i="1"/>
  <c r="BU100" i="1"/>
  <c r="BT100" i="1"/>
  <c r="BS100" i="1"/>
  <c r="AS100" i="1"/>
  <c r="BZ99" i="1"/>
  <c r="CA99" i="1" s="1"/>
  <c r="BY99" i="1"/>
  <c r="BX99" i="1"/>
  <c r="BW99" i="1"/>
  <c r="BV99" i="1"/>
  <c r="BU99" i="1"/>
  <c r="BT99" i="1"/>
  <c r="BS99" i="1"/>
  <c r="AS99" i="1"/>
  <c r="BC99" i="1"/>
  <c r="BZ98" i="1"/>
  <c r="CA98" i="1" s="1"/>
  <c r="BY98" i="1"/>
  <c r="BX98" i="1"/>
  <c r="BW98" i="1"/>
  <c r="BV98" i="1"/>
  <c r="BU98" i="1"/>
  <c r="BT98" i="1"/>
  <c r="BS98" i="1"/>
  <c r="AS98" i="1"/>
  <c r="BC98" i="1"/>
  <c r="BZ97" i="1"/>
  <c r="CA97" i="1" s="1"/>
  <c r="BY97" i="1"/>
  <c r="BX97" i="1"/>
  <c r="BW97" i="1"/>
  <c r="BV97" i="1"/>
  <c r="BU97" i="1"/>
  <c r="BT97" i="1"/>
  <c r="BS97" i="1"/>
  <c r="BC97" i="1"/>
  <c r="AS97" i="1"/>
  <c r="BZ96" i="1"/>
  <c r="CA96" i="1" s="1"/>
  <c r="BY96" i="1"/>
  <c r="BX96" i="1"/>
  <c r="BW96" i="1"/>
  <c r="BV96" i="1"/>
  <c r="BU96" i="1"/>
  <c r="BT96" i="1"/>
  <c r="BS96" i="1"/>
  <c r="AS96" i="1"/>
  <c r="BC96" i="1"/>
  <c r="BZ95" i="1"/>
  <c r="CA95" i="1" s="1"/>
  <c r="BY95" i="1"/>
  <c r="BX95" i="1"/>
  <c r="BW95" i="1"/>
  <c r="BV95" i="1"/>
  <c r="BU95" i="1"/>
  <c r="BT95" i="1"/>
  <c r="BS95" i="1"/>
  <c r="AS95" i="1"/>
  <c r="BC95" i="1"/>
  <c r="BZ94" i="1"/>
  <c r="CA94" i="1" s="1"/>
  <c r="BY94" i="1"/>
  <c r="BX94" i="1"/>
  <c r="BW94" i="1"/>
  <c r="BV94" i="1"/>
  <c r="BU94" i="1"/>
  <c r="BT94" i="1"/>
  <c r="BS94" i="1"/>
  <c r="AS94" i="1"/>
  <c r="BC94" i="1"/>
  <c r="BZ93" i="1"/>
  <c r="CA93" i="1" s="1"/>
  <c r="BY93" i="1"/>
  <c r="BX93" i="1"/>
  <c r="BW93" i="1"/>
  <c r="BV93" i="1"/>
  <c r="BU93" i="1"/>
  <c r="BT93" i="1"/>
  <c r="BS93" i="1"/>
  <c r="AS93" i="1"/>
  <c r="BC93" i="1"/>
  <c r="BZ92" i="1"/>
  <c r="CA92" i="1" s="1"/>
  <c r="BY92" i="1"/>
  <c r="BX92" i="1"/>
  <c r="BW92" i="1"/>
  <c r="BV92" i="1"/>
  <c r="BU92" i="1"/>
  <c r="BT92" i="1"/>
  <c r="BS92" i="1"/>
  <c r="AS92" i="1"/>
  <c r="BZ91" i="1"/>
  <c r="CA91" i="1" s="1"/>
  <c r="BY91" i="1"/>
  <c r="BX91" i="1"/>
  <c r="BW91" i="1"/>
  <c r="BV91" i="1"/>
  <c r="BU91" i="1"/>
  <c r="BT91" i="1"/>
  <c r="BS91" i="1"/>
  <c r="AS91" i="1"/>
  <c r="BZ90" i="1"/>
  <c r="CA90" i="1" s="1"/>
  <c r="BY90" i="1"/>
  <c r="BX90" i="1"/>
  <c r="BW90" i="1"/>
  <c r="BV90" i="1"/>
  <c r="BU90" i="1"/>
  <c r="BT90" i="1"/>
  <c r="BS90" i="1"/>
  <c r="AS90" i="1"/>
  <c r="BC90" i="1"/>
  <c r="BZ89" i="1"/>
  <c r="CA89" i="1" s="1"/>
  <c r="BY89" i="1"/>
  <c r="BX89" i="1"/>
  <c r="BW89" i="1"/>
  <c r="BV89" i="1"/>
  <c r="BU89" i="1"/>
  <c r="BT89" i="1"/>
  <c r="BS89" i="1"/>
  <c r="AS89" i="1"/>
  <c r="BC89" i="1"/>
  <c r="BZ88" i="1"/>
  <c r="CA88" i="1" s="1"/>
  <c r="BY88" i="1"/>
  <c r="BX88" i="1"/>
  <c r="BW88" i="1"/>
  <c r="BV88" i="1"/>
  <c r="BU88" i="1"/>
  <c r="BT88" i="1"/>
  <c r="BS88" i="1"/>
  <c r="AS88" i="1"/>
  <c r="BC88" i="1"/>
  <c r="BZ87" i="1"/>
  <c r="CA87" i="1" s="1"/>
  <c r="BY87" i="1"/>
  <c r="BX87" i="1"/>
  <c r="BW87" i="1"/>
  <c r="BV87" i="1"/>
  <c r="BU87" i="1"/>
  <c r="BT87" i="1"/>
  <c r="BS87" i="1"/>
  <c r="AS87" i="1"/>
  <c r="BC87" i="1"/>
  <c r="BZ86" i="1"/>
  <c r="CA86" i="1" s="1"/>
  <c r="BY86" i="1"/>
  <c r="BX86" i="1"/>
  <c r="BW86" i="1"/>
  <c r="BV86" i="1"/>
  <c r="BU86" i="1"/>
  <c r="BT86" i="1"/>
  <c r="BS86" i="1"/>
  <c r="AS86" i="1"/>
  <c r="BC86" i="1"/>
  <c r="BZ85" i="1"/>
  <c r="CA85" i="1" s="1"/>
  <c r="BY85" i="1"/>
  <c r="BX85" i="1"/>
  <c r="BW85" i="1"/>
  <c r="BV85" i="1"/>
  <c r="BU85" i="1"/>
  <c r="BT85" i="1"/>
  <c r="BS85" i="1"/>
  <c r="AS85" i="1"/>
  <c r="BZ84" i="1"/>
  <c r="CA84" i="1" s="1"/>
  <c r="BY84" i="1"/>
  <c r="BX84" i="1"/>
  <c r="BW84" i="1"/>
  <c r="BV84" i="1"/>
  <c r="BU84" i="1"/>
  <c r="BT84" i="1"/>
  <c r="BS84" i="1"/>
  <c r="BA84" i="1"/>
  <c r="BA85" i="1" s="1"/>
  <c r="BA86" i="1" s="1"/>
  <c r="BA87" i="1" s="1"/>
  <c r="BA88" i="1" s="1"/>
  <c r="BA89" i="1" s="1"/>
  <c r="BA90" i="1" s="1"/>
  <c r="BA91" i="1" s="1"/>
  <c r="BA92" i="1" s="1"/>
  <c r="BA93" i="1" s="1"/>
  <c r="BA94" i="1" s="1"/>
  <c r="BA95" i="1" s="1"/>
  <c r="BA96" i="1" s="1"/>
  <c r="BA97" i="1" s="1"/>
  <c r="BA98" i="1" s="1"/>
  <c r="BA99" i="1" s="1"/>
  <c r="BA100" i="1" s="1"/>
  <c r="BA101" i="1" s="1"/>
  <c r="BA102" i="1" s="1"/>
  <c r="BA103" i="1" s="1"/>
  <c r="BA104" i="1" s="1"/>
  <c r="BA105" i="1" s="1"/>
  <c r="BA106" i="1" s="1"/>
  <c r="BA107" i="1" s="1"/>
  <c r="BA108" i="1" s="1"/>
  <c r="BA109" i="1" s="1"/>
  <c r="BA110" i="1" s="1"/>
  <c r="BA111" i="1" s="1"/>
  <c r="BA112" i="1" s="1"/>
  <c r="BA113" i="1" s="1"/>
  <c r="BA114" i="1" s="1"/>
  <c r="BA115" i="1" s="1"/>
  <c r="BA116" i="1" s="1"/>
  <c r="BA117" i="1" s="1"/>
  <c r="BA118" i="1" s="1"/>
  <c r="BA119" i="1" s="1"/>
  <c r="BA120" i="1" s="1"/>
  <c r="BA121" i="1" s="1"/>
  <c r="BA122" i="1" s="1"/>
  <c r="BA123" i="1" s="1"/>
  <c r="BA124" i="1" s="1"/>
  <c r="BA125" i="1" s="1"/>
  <c r="BA126" i="1" s="1"/>
  <c r="BA127" i="1" s="1"/>
  <c r="BA128" i="1" s="1"/>
  <c r="BA129" i="1" s="1"/>
  <c r="BA130" i="1" s="1"/>
  <c r="BA131" i="1" s="1"/>
  <c r="BA132" i="1" s="1"/>
  <c r="BA133" i="1" s="1"/>
  <c r="BA134" i="1" s="1"/>
  <c r="BA135" i="1" s="1"/>
  <c r="BA136" i="1" s="1"/>
  <c r="BA137" i="1" s="1"/>
  <c r="BA138" i="1" s="1"/>
  <c r="BA139" i="1" s="1"/>
  <c r="BA140" i="1" s="1"/>
  <c r="BA141" i="1" s="1"/>
  <c r="BA142" i="1" s="1"/>
  <c r="BA143" i="1" s="1"/>
  <c r="BA144" i="1" s="1"/>
  <c r="BA145" i="1" s="1"/>
  <c r="BA146" i="1" s="1"/>
  <c r="AS84" i="1"/>
  <c r="BZ83" i="1"/>
  <c r="CA83" i="1" s="1"/>
  <c r="BY83" i="1"/>
  <c r="BX83" i="1"/>
  <c r="BW83" i="1"/>
  <c r="BV83" i="1"/>
  <c r="BU83" i="1"/>
  <c r="BT83" i="1"/>
  <c r="BS83" i="1"/>
  <c r="BC83" i="1"/>
  <c r="AS83" i="1"/>
  <c r="BZ82" i="1"/>
  <c r="CA82" i="1" s="1"/>
  <c r="BY82" i="1"/>
  <c r="BX82" i="1"/>
  <c r="BW82" i="1"/>
  <c r="BV82" i="1"/>
  <c r="BU82" i="1"/>
  <c r="BT82" i="1"/>
  <c r="BS82" i="1"/>
  <c r="AS82" i="1"/>
  <c r="BZ81" i="1"/>
  <c r="CA81" i="1" s="1"/>
  <c r="BY81" i="1"/>
  <c r="BX81" i="1"/>
  <c r="BW81" i="1"/>
  <c r="BV81" i="1"/>
  <c r="BU81" i="1"/>
  <c r="BT81" i="1"/>
  <c r="BS81" i="1"/>
  <c r="AS81" i="1"/>
  <c r="BZ80" i="1"/>
  <c r="CA80" i="1" s="1"/>
  <c r="BY80" i="1"/>
  <c r="BX80" i="1"/>
  <c r="BW80" i="1"/>
  <c r="BV80" i="1"/>
  <c r="BU80" i="1"/>
  <c r="BT80" i="1"/>
  <c r="BS80" i="1"/>
  <c r="AS80" i="1"/>
  <c r="BZ79" i="1"/>
  <c r="CA79" i="1" s="1"/>
  <c r="BY79" i="1"/>
  <c r="BX79" i="1"/>
  <c r="BW79" i="1"/>
  <c r="BV79" i="1"/>
  <c r="BU79" i="1"/>
  <c r="BT79" i="1"/>
  <c r="BS79" i="1"/>
  <c r="AS79" i="1"/>
  <c r="BZ78" i="1"/>
  <c r="CA78" i="1" s="1"/>
  <c r="BY78" i="1"/>
  <c r="BX78" i="1"/>
  <c r="BW78" i="1"/>
  <c r="BV78" i="1"/>
  <c r="BU78" i="1"/>
  <c r="BT78" i="1"/>
  <c r="BS78" i="1"/>
  <c r="AS78" i="1"/>
  <c r="BZ77" i="1"/>
  <c r="CA77" i="1" s="1"/>
  <c r="BY77" i="1"/>
  <c r="BX77" i="1"/>
  <c r="BW77" i="1"/>
  <c r="BV77" i="1"/>
  <c r="BU77" i="1"/>
  <c r="BT77" i="1"/>
  <c r="BS77" i="1"/>
  <c r="AS77" i="1"/>
  <c r="BZ76" i="1"/>
  <c r="CA76" i="1" s="1"/>
  <c r="BY76" i="1"/>
  <c r="BX76" i="1"/>
  <c r="BW76" i="1"/>
  <c r="BV76" i="1"/>
  <c r="BU76" i="1"/>
  <c r="BT76" i="1"/>
  <c r="BS76" i="1"/>
  <c r="AS76" i="1"/>
  <c r="BZ75" i="1"/>
  <c r="CA75" i="1" s="1"/>
  <c r="BY75" i="1"/>
  <c r="BX75" i="1"/>
  <c r="BW75" i="1"/>
  <c r="BV75" i="1"/>
  <c r="BU75" i="1"/>
  <c r="BT75" i="1"/>
  <c r="BS75" i="1"/>
  <c r="AS75" i="1"/>
  <c r="BZ74" i="1"/>
  <c r="CA74" i="1" s="1"/>
  <c r="BY74" i="1"/>
  <c r="BX74" i="1"/>
  <c r="BW74" i="1"/>
  <c r="BV74" i="1"/>
  <c r="BU74" i="1"/>
  <c r="BT74" i="1"/>
  <c r="BS74" i="1"/>
  <c r="AS74" i="1"/>
  <c r="BZ73" i="1"/>
  <c r="CA73" i="1" s="1"/>
  <c r="BY73" i="1"/>
  <c r="BX73" i="1"/>
  <c r="BW73" i="1"/>
  <c r="BV73" i="1"/>
  <c r="BU73" i="1"/>
  <c r="BT73" i="1"/>
  <c r="BS73" i="1"/>
  <c r="AS73" i="1"/>
  <c r="BZ72" i="1"/>
  <c r="CA72" i="1" s="1"/>
  <c r="BY72" i="1"/>
  <c r="BX72" i="1"/>
  <c r="BW72" i="1"/>
  <c r="BV72" i="1"/>
  <c r="BU72" i="1"/>
  <c r="BT72" i="1"/>
  <c r="BS72" i="1"/>
  <c r="AS72" i="1"/>
  <c r="BZ71" i="1"/>
  <c r="CA71" i="1" s="1"/>
  <c r="BY71" i="1"/>
  <c r="BX71" i="1"/>
  <c r="BW71" i="1"/>
  <c r="BV71" i="1"/>
  <c r="BU71" i="1"/>
  <c r="BT71" i="1"/>
  <c r="BS71" i="1"/>
  <c r="AS71" i="1"/>
  <c r="BZ70" i="1"/>
  <c r="CA70" i="1" s="1"/>
  <c r="BY70" i="1"/>
  <c r="BX70" i="1"/>
  <c r="BW70" i="1"/>
  <c r="BV70" i="1"/>
  <c r="BU70" i="1"/>
  <c r="BT70" i="1"/>
  <c r="BS70" i="1"/>
  <c r="AS70" i="1"/>
  <c r="BZ69" i="1"/>
  <c r="CA69" i="1" s="1"/>
  <c r="BY69" i="1"/>
  <c r="BX69" i="1"/>
  <c r="BW69" i="1"/>
  <c r="BV69" i="1"/>
  <c r="BU69" i="1"/>
  <c r="BT69" i="1"/>
  <c r="BS69" i="1"/>
  <c r="AS69" i="1"/>
  <c r="BZ68" i="1"/>
  <c r="CA68" i="1" s="1"/>
  <c r="BY68" i="1"/>
  <c r="BX68" i="1"/>
  <c r="BW68" i="1"/>
  <c r="BV68" i="1"/>
  <c r="BU68" i="1"/>
  <c r="BT68" i="1"/>
  <c r="BS68" i="1"/>
  <c r="AS68" i="1"/>
  <c r="BC68" i="1"/>
  <c r="BZ67" i="1"/>
  <c r="CA67" i="1" s="1"/>
  <c r="BY67" i="1"/>
  <c r="BX67" i="1"/>
  <c r="BW67" i="1"/>
  <c r="BV67" i="1"/>
  <c r="BU67" i="1"/>
  <c r="BT67" i="1"/>
  <c r="BS67" i="1"/>
  <c r="AS67" i="1"/>
  <c r="BZ66" i="1"/>
  <c r="CA66" i="1" s="1"/>
  <c r="BY66" i="1"/>
  <c r="BX66" i="1"/>
  <c r="BW66" i="1"/>
  <c r="BV66" i="1"/>
  <c r="BU66" i="1"/>
  <c r="BT66" i="1"/>
  <c r="BS66" i="1"/>
  <c r="AS66" i="1"/>
  <c r="BZ65" i="1"/>
  <c r="CA65" i="1" s="1"/>
  <c r="BY65" i="1"/>
  <c r="BX65" i="1"/>
  <c r="BW65" i="1"/>
  <c r="BV65" i="1"/>
  <c r="BU65" i="1"/>
  <c r="BT65" i="1"/>
  <c r="BS65" i="1"/>
  <c r="AS65" i="1"/>
  <c r="BZ64" i="1"/>
  <c r="CA64" i="1" s="1"/>
  <c r="BY64" i="1"/>
  <c r="BX64" i="1"/>
  <c r="BW64" i="1"/>
  <c r="BV64" i="1"/>
  <c r="BU64" i="1"/>
  <c r="BT64" i="1"/>
  <c r="BS64" i="1"/>
  <c r="AS64" i="1"/>
  <c r="BC64" i="1"/>
  <c r="BZ63" i="1"/>
  <c r="CA63" i="1" s="1"/>
  <c r="BY63" i="1"/>
  <c r="BX63" i="1"/>
  <c r="BW63" i="1"/>
  <c r="BV63" i="1"/>
  <c r="BU63" i="1"/>
  <c r="BT63" i="1"/>
  <c r="BS63" i="1"/>
  <c r="AS63" i="1"/>
  <c r="BZ62" i="1"/>
  <c r="CA62" i="1" s="1"/>
  <c r="BY62" i="1"/>
  <c r="BX62" i="1"/>
  <c r="BW62" i="1"/>
  <c r="BV62" i="1"/>
  <c r="BU62" i="1"/>
  <c r="BT62" i="1"/>
  <c r="BS62" i="1"/>
  <c r="AS62" i="1"/>
  <c r="BC62" i="1"/>
  <c r="BZ61" i="1"/>
  <c r="CA61" i="1" s="1"/>
  <c r="BY61" i="1"/>
  <c r="BX61" i="1"/>
  <c r="BW61" i="1"/>
  <c r="BV61" i="1"/>
  <c r="BU61" i="1"/>
  <c r="BT61" i="1"/>
  <c r="BS61" i="1"/>
  <c r="AS61" i="1"/>
  <c r="BZ60" i="1"/>
  <c r="CA60" i="1" s="1"/>
  <c r="BY60" i="1"/>
  <c r="BX60" i="1"/>
  <c r="BW60" i="1"/>
  <c r="BV60" i="1"/>
  <c r="BU60" i="1"/>
  <c r="BT60" i="1"/>
  <c r="BS60" i="1"/>
  <c r="AS60" i="1"/>
  <c r="BZ59" i="1"/>
  <c r="CA59" i="1" s="1"/>
  <c r="BY59" i="1"/>
  <c r="BX59" i="1"/>
  <c r="BW59" i="1"/>
  <c r="BV59" i="1"/>
  <c r="BU59" i="1"/>
  <c r="CC59" i="1" s="1"/>
  <c r="BT59" i="1"/>
  <c r="BS59" i="1"/>
  <c r="AS59" i="1"/>
  <c r="BZ58" i="1"/>
  <c r="CA58" i="1" s="1"/>
  <c r="BY58" i="1"/>
  <c r="BX58" i="1"/>
  <c r="BW58" i="1"/>
  <c r="BV58" i="1"/>
  <c r="BU58" i="1"/>
  <c r="BT58" i="1"/>
  <c r="BS58" i="1"/>
  <c r="AS58" i="1"/>
  <c r="BZ57" i="1"/>
  <c r="CA57" i="1" s="1"/>
  <c r="BY57" i="1"/>
  <c r="BX57" i="1"/>
  <c r="BW57" i="1"/>
  <c r="BV57" i="1"/>
  <c r="BU57" i="1"/>
  <c r="BT57" i="1"/>
  <c r="BS57" i="1"/>
  <c r="AS57" i="1"/>
  <c r="BZ56" i="1"/>
  <c r="CA56" i="1" s="1"/>
  <c r="BY56" i="1"/>
  <c r="BX56" i="1"/>
  <c r="BW56" i="1"/>
  <c r="BV56" i="1"/>
  <c r="BU56" i="1"/>
  <c r="BT56" i="1"/>
  <c r="BS56" i="1"/>
  <c r="AS56" i="1"/>
  <c r="BZ55" i="1"/>
  <c r="CA55" i="1" s="1"/>
  <c r="BY55" i="1"/>
  <c r="BX55" i="1"/>
  <c r="BW55" i="1"/>
  <c r="BV55" i="1"/>
  <c r="BU55" i="1"/>
  <c r="BT55" i="1"/>
  <c r="BS55" i="1"/>
  <c r="AS55" i="1"/>
  <c r="BZ54" i="1"/>
  <c r="CA54" i="1" s="1"/>
  <c r="BY54" i="1"/>
  <c r="BX54" i="1"/>
  <c r="BW54" i="1"/>
  <c r="BV54" i="1"/>
  <c r="BU54" i="1"/>
  <c r="BT54" i="1"/>
  <c r="BS54" i="1"/>
  <c r="AS54" i="1"/>
  <c r="BC54" i="1"/>
  <c r="BZ53" i="1"/>
  <c r="CA53" i="1" s="1"/>
  <c r="BY53" i="1"/>
  <c r="BX53" i="1"/>
  <c r="BW53" i="1"/>
  <c r="BV53" i="1"/>
  <c r="BU53" i="1"/>
  <c r="BT53" i="1"/>
  <c r="BS53" i="1"/>
  <c r="AS53" i="1"/>
  <c r="BZ52" i="1"/>
  <c r="CA52" i="1" s="1"/>
  <c r="BY52" i="1"/>
  <c r="BX52" i="1"/>
  <c r="BW52" i="1"/>
  <c r="BV52" i="1"/>
  <c r="BU52" i="1"/>
  <c r="BT52" i="1"/>
  <c r="BS52" i="1"/>
  <c r="AS52" i="1"/>
  <c r="BZ51" i="1"/>
  <c r="CA51" i="1" s="1"/>
  <c r="BY51" i="1"/>
  <c r="BX51" i="1"/>
  <c r="BW51" i="1"/>
  <c r="BV51" i="1"/>
  <c r="BU51" i="1"/>
  <c r="BT51" i="1"/>
  <c r="BS51" i="1"/>
  <c r="AS51" i="1"/>
  <c r="BZ50" i="1"/>
  <c r="CA50" i="1" s="1"/>
  <c r="BY50" i="1"/>
  <c r="BX50" i="1"/>
  <c r="BW50" i="1"/>
  <c r="BV50" i="1"/>
  <c r="BU50" i="1"/>
  <c r="BT50" i="1"/>
  <c r="BS50" i="1"/>
  <c r="AS50" i="1"/>
  <c r="BZ49" i="1"/>
  <c r="CA49" i="1" s="1"/>
  <c r="BY49" i="1"/>
  <c r="BX49" i="1"/>
  <c r="BW49" i="1"/>
  <c r="BV49" i="1"/>
  <c r="BU49" i="1"/>
  <c r="BT49" i="1"/>
  <c r="BS49" i="1"/>
  <c r="AS49" i="1"/>
  <c r="BC49" i="1"/>
  <c r="BZ48" i="1"/>
  <c r="CA48" i="1" s="1"/>
  <c r="BY48" i="1"/>
  <c r="BX48" i="1"/>
  <c r="BW48" i="1"/>
  <c r="BV48" i="1"/>
  <c r="BU48" i="1"/>
  <c r="BT48" i="1"/>
  <c r="BS48" i="1"/>
  <c r="AS48" i="1"/>
  <c r="BZ47" i="1"/>
  <c r="CA47" i="1" s="1"/>
  <c r="BY47" i="1"/>
  <c r="BX47" i="1"/>
  <c r="BW47" i="1"/>
  <c r="BV47" i="1"/>
  <c r="BU47" i="1"/>
  <c r="BT47" i="1"/>
  <c r="BS47" i="1"/>
  <c r="AS47" i="1"/>
  <c r="BC47" i="1"/>
  <c r="BZ46" i="1"/>
  <c r="CA46" i="1" s="1"/>
  <c r="BY46" i="1"/>
  <c r="BX46" i="1"/>
  <c r="BW46" i="1"/>
  <c r="BV46" i="1"/>
  <c r="BU46" i="1"/>
  <c r="BT46" i="1"/>
  <c r="BS46" i="1"/>
  <c r="AS46" i="1"/>
  <c r="BZ45" i="1"/>
  <c r="CA45" i="1" s="1"/>
  <c r="BY45" i="1"/>
  <c r="BX45" i="1"/>
  <c r="BW45" i="1"/>
  <c r="BV45" i="1"/>
  <c r="BU45" i="1"/>
  <c r="BT45" i="1"/>
  <c r="BS45" i="1"/>
  <c r="AS45" i="1"/>
  <c r="BC45" i="1"/>
  <c r="BZ44" i="1"/>
  <c r="CA44" i="1" s="1"/>
  <c r="BY44" i="1"/>
  <c r="BX44" i="1"/>
  <c r="BW44" i="1"/>
  <c r="BV44" i="1"/>
  <c r="BU44" i="1"/>
  <c r="BT44" i="1"/>
  <c r="BS44" i="1"/>
  <c r="BA44" i="1"/>
  <c r="BA45" i="1" s="1"/>
  <c r="BA46" i="1" s="1"/>
  <c r="BA47" i="1" s="1"/>
  <c r="BA48" i="1" s="1"/>
  <c r="BA49" i="1" s="1"/>
  <c r="BA50" i="1" s="1"/>
  <c r="BA51" i="1" s="1"/>
  <c r="BA52" i="1" s="1"/>
  <c r="BA53" i="1" s="1"/>
  <c r="BA54" i="1" s="1"/>
  <c r="BA55" i="1" s="1"/>
  <c r="BA56" i="1" s="1"/>
  <c r="BA57" i="1" s="1"/>
  <c r="BA58" i="1" s="1"/>
  <c r="BA59" i="1" s="1"/>
  <c r="BA60" i="1" s="1"/>
  <c r="BA61" i="1" s="1"/>
  <c r="BA62" i="1" s="1"/>
  <c r="BA63" i="1" s="1"/>
  <c r="BA64" i="1" s="1"/>
  <c r="BA65" i="1" s="1"/>
  <c r="BA66" i="1" s="1"/>
  <c r="BA67" i="1" s="1"/>
  <c r="BA68" i="1" s="1"/>
  <c r="BA69" i="1" s="1"/>
  <c r="BA70" i="1" s="1"/>
  <c r="BA71" i="1" s="1"/>
  <c r="BA72" i="1" s="1"/>
  <c r="BA73" i="1" s="1"/>
  <c r="BA74" i="1" s="1"/>
  <c r="BA75" i="1" s="1"/>
  <c r="BA76" i="1" s="1"/>
  <c r="BA77" i="1" s="1"/>
  <c r="BA78" i="1" s="1"/>
  <c r="BA79" i="1" s="1"/>
  <c r="BA80" i="1" s="1"/>
  <c r="BA81" i="1" s="1"/>
  <c r="BA82" i="1" s="1"/>
  <c r="AS44" i="1"/>
  <c r="BZ43" i="1"/>
  <c r="CA43" i="1" s="1"/>
  <c r="BY43" i="1"/>
  <c r="BX43" i="1"/>
  <c r="BW43" i="1"/>
  <c r="BV43" i="1"/>
  <c r="BU43" i="1"/>
  <c r="BT43" i="1"/>
  <c r="BS43" i="1"/>
  <c r="AS43" i="1"/>
  <c r="BC43" i="1"/>
  <c r="BZ42" i="1"/>
  <c r="CA42" i="1" s="1"/>
  <c r="BY42" i="1"/>
  <c r="BX42" i="1"/>
  <c r="BW42" i="1"/>
  <c r="BV42" i="1"/>
  <c r="BU42" i="1"/>
  <c r="BT42" i="1"/>
  <c r="BS42" i="1"/>
  <c r="AS42" i="1"/>
  <c r="BZ41" i="1"/>
  <c r="CA41" i="1" s="1"/>
  <c r="BY41" i="1"/>
  <c r="BX41" i="1"/>
  <c r="BW41" i="1"/>
  <c r="BV41" i="1"/>
  <c r="BU41" i="1"/>
  <c r="BT41" i="1"/>
  <c r="BS41" i="1"/>
  <c r="AS41" i="1"/>
  <c r="BZ40" i="1"/>
  <c r="CA40" i="1" s="1"/>
  <c r="BY40" i="1"/>
  <c r="BX40" i="1"/>
  <c r="BW40" i="1"/>
  <c r="BV40" i="1"/>
  <c r="BU40" i="1"/>
  <c r="BT40" i="1"/>
  <c r="BS40" i="1"/>
  <c r="AS40" i="1"/>
  <c r="BZ39" i="1"/>
  <c r="CA39" i="1" s="1"/>
  <c r="BY39" i="1"/>
  <c r="BX39" i="1"/>
  <c r="BW39" i="1"/>
  <c r="BV39" i="1"/>
  <c r="BU39" i="1"/>
  <c r="BT39" i="1"/>
  <c r="BS39" i="1"/>
  <c r="AS39" i="1"/>
  <c r="BZ38" i="1"/>
  <c r="CA38" i="1" s="1"/>
  <c r="BY38" i="1"/>
  <c r="BX38" i="1"/>
  <c r="BW38" i="1"/>
  <c r="BV38" i="1"/>
  <c r="BU38" i="1"/>
  <c r="BT38" i="1"/>
  <c r="BS38" i="1"/>
  <c r="AS38" i="1"/>
  <c r="BZ37" i="1"/>
  <c r="CA37" i="1" s="1"/>
  <c r="BY37" i="1"/>
  <c r="BX37" i="1"/>
  <c r="BW37" i="1"/>
  <c r="BV37" i="1"/>
  <c r="BU37" i="1"/>
  <c r="BT37" i="1"/>
  <c r="BS37" i="1"/>
  <c r="AS37" i="1"/>
  <c r="BC37" i="1"/>
  <c r="EG36" i="1"/>
  <c r="BZ36" i="1"/>
  <c r="CA36" i="1" s="1"/>
  <c r="BY36" i="1"/>
  <c r="BX36" i="1"/>
  <c r="BW36" i="1"/>
  <c r="BV36" i="1"/>
  <c r="BU36" i="1"/>
  <c r="BT36" i="1"/>
  <c r="BS36" i="1"/>
  <c r="AS36" i="1"/>
  <c r="EG35" i="1"/>
  <c r="BZ35" i="1"/>
  <c r="CA35" i="1" s="1"/>
  <c r="BY35" i="1"/>
  <c r="BX35" i="1"/>
  <c r="BW35" i="1"/>
  <c r="BV35" i="1"/>
  <c r="BU35" i="1"/>
  <c r="BT35" i="1"/>
  <c r="BS35" i="1"/>
  <c r="AS35" i="1"/>
  <c r="EG34" i="1"/>
  <c r="BZ34" i="1"/>
  <c r="CA34" i="1" s="1"/>
  <c r="BY34" i="1"/>
  <c r="BX34" i="1"/>
  <c r="BW34" i="1"/>
  <c r="BV34" i="1"/>
  <c r="BU34" i="1"/>
  <c r="BT34" i="1"/>
  <c r="BS34" i="1"/>
  <c r="AS34" i="1"/>
  <c r="BC34" i="1"/>
  <c r="EG33" i="1"/>
  <c r="BZ33" i="1"/>
  <c r="CA33" i="1" s="1"/>
  <c r="BY33" i="1"/>
  <c r="BX33" i="1"/>
  <c r="BW33" i="1"/>
  <c r="BV33" i="1"/>
  <c r="BU33" i="1"/>
  <c r="BT33" i="1"/>
  <c r="BS33" i="1"/>
  <c r="AS33" i="1"/>
  <c r="EG32" i="1"/>
  <c r="BZ32" i="1"/>
  <c r="CA32" i="1" s="1"/>
  <c r="BY32" i="1"/>
  <c r="BX32" i="1"/>
  <c r="BW32" i="1"/>
  <c r="BV32" i="1"/>
  <c r="BU32" i="1"/>
  <c r="BT32" i="1"/>
  <c r="BS32" i="1"/>
  <c r="AS32" i="1"/>
  <c r="EG31" i="1"/>
  <c r="BZ31" i="1"/>
  <c r="CA31" i="1" s="1"/>
  <c r="BY31" i="1"/>
  <c r="BX31" i="1"/>
  <c r="BW31" i="1"/>
  <c r="BV31" i="1"/>
  <c r="BU31" i="1"/>
  <c r="BT31" i="1"/>
  <c r="BS31" i="1"/>
  <c r="AS31" i="1"/>
  <c r="EG30" i="1"/>
  <c r="BZ30" i="1"/>
  <c r="CA30" i="1" s="1"/>
  <c r="BY30" i="1"/>
  <c r="BX30" i="1"/>
  <c r="BW30" i="1"/>
  <c r="BV30" i="1"/>
  <c r="BU30" i="1"/>
  <c r="BT30" i="1"/>
  <c r="BS30" i="1"/>
  <c r="AS30" i="1"/>
  <c r="EG29" i="1"/>
  <c r="BZ29" i="1"/>
  <c r="CA29" i="1" s="1"/>
  <c r="BY29" i="1"/>
  <c r="BX29" i="1"/>
  <c r="BW29" i="1"/>
  <c r="BV29" i="1"/>
  <c r="BU29" i="1"/>
  <c r="BT29" i="1"/>
  <c r="BS29" i="1"/>
  <c r="AS29" i="1"/>
  <c r="EG28" i="1"/>
  <c r="BZ28" i="1"/>
  <c r="CA28" i="1" s="1"/>
  <c r="BY28" i="1"/>
  <c r="BX28" i="1"/>
  <c r="BW28" i="1"/>
  <c r="BV28" i="1"/>
  <c r="BU28" i="1"/>
  <c r="BT28" i="1"/>
  <c r="BS28" i="1"/>
  <c r="AS28" i="1"/>
  <c r="EG27" i="1"/>
  <c r="BZ27" i="1"/>
  <c r="CA27" i="1" s="1"/>
  <c r="BY27" i="1"/>
  <c r="BX27" i="1"/>
  <c r="BW27" i="1"/>
  <c r="BV27" i="1"/>
  <c r="BU27" i="1"/>
  <c r="BT27" i="1"/>
  <c r="BS27" i="1"/>
  <c r="AS27" i="1"/>
  <c r="EG26" i="1"/>
  <c r="BZ26" i="1"/>
  <c r="CA26" i="1" s="1"/>
  <c r="BY26" i="1"/>
  <c r="BX26" i="1"/>
  <c r="BW26" i="1"/>
  <c r="BV26" i="1"/>
  <c r="BU26" i="1"/>
  <c r="BT26" i="1"/>
  <c r="BS26" i="1"/>
  <c r="AS26" i="1"/>
  <c r="BC26" i="1"/>
  <c r="EG25" i="1"/>
  <c r="BZ25" i="1"/>
  <c r="CA25" i="1" s="1"/>
  <c r="BY25" i="1"/>
  <c r="BX25" i="1"/>
  <c r="BW25" i="1"/>
  <c r="BV25" i="1"/>
  <c r="BU25" i="1"/>
  <c r="BT25" i="1"/>
  <c r="BS25" i="1"/>
  <c r="AS25" i="1"/>
  <c r="BC25" i="1"/>
  <c r="EG24" i="1"/>
  <c r="BZ24" i="1"/>
  <c r="CA24" i="1" s="1"/>
  <c r="BY24" i="1"/>
  <c r="BX24" i="1"/>
  <c r="BW24" i="1"/>
  <c r="BV24" i="1"/>
  <c r="BU24" i="1"/>
  <c r="BT24" i="1"/>
  <c r="BS24" i="1"/>
  <c r="AS24" i="1"/>
  <c r="EG23" i="1"/>
  <c r="BZ23" i="1"/>
  <c r="CA23" i="1" s="1"/>
  <c r="BY23" i="1"/>
  <c r="BX23" i="1"/>
  <c r="BW23" i="1"/>
  <c r="BV23" i="1"/>
  <c r="BU23" i="1"/>
  <c r="BT23" i="1"/>
  <c r="BS23" i="1"/>
  <c r="AS23" i="1"/>
  <c r="EG22" i="1"/>
  <c r="BZ22" i="1"/>
  <c r="CA22" i="1" s="1"/>
  <c r="BY22" i="1"/>
  <c r="BX22" i="1"/>
  <c r="BW22" i="1"/>
  <c r="BV22" i="1"/>
  <c r="BU22" i="1"/>
  <c r="BT22" i="1"/>
  <c r="BS22" i="1"/>
  <c r="AS22" i="1"/>
  <c r="BC22" i="1"/>
  <c r="EG21" i="1"/>
  <c r="BZ21" i="1"/>
  <c r="CA21" i="1" s="1"/>
  <c r="BY21" i="1"/>
  <c r="BX21" i="1"/>
  <c r="BW21" i="1"/>
  <c r="BV21" i="1"/>
  <c r="BU21" i="1"/>
  <c r="BT21" i="1"/>
  <c r="BS21" i="1"/>
  <c r="AS21" i="1"/>
  <c r="BC21" i="1"/>
  <c r="EG20" i="1"/>
  <c r="BZ20" i="1"/>
  <c r="CA20" i="1" s="1"/>
  <c r="BY20" i="1"/>
  <c r="BX20" i="1"/>
  <c r="BW20" i="1"/>
  <c r="BV20" i="1"/>
  <c r="BU20" i="1"/>
  <c r="BT20" i="1"/>
  <c r="BS20" i="1"/>
  <c r="AS20" i="1"/>
  <c r="EG19" i="1"/>
  <c r="BZ19" i="1"/>
  <c r="CA19" i="1" s="1"/>
  <c r="BY19" i="1"/>
  <c r="BX19" i="1"/>
  <c r="BW19" i="1"/>
  <c r="BV19" i="1"/>
  <c r="BU19" i="1"/>
  <c r="BT19" i="1"/>
  <c r="BS19" i="1"/>
  <c r="AS19" i="1"/>
  <c r="EG18" i="1"/>
  <c r="BZ18" i="1"/>
  <c r="CA18" i="1" s="1"/>
  <c r="BY18" i="1"/>
  <c r="BX18" i="1"/>
  <c r="BW18" i="1"/>
  <c r="BV18" i="1"/>
  <c r="BU18" i="1"/>
  <c r="BT18" i="1"/>
  <c r="BS18" i="1"/>
  <c r="AS18" i="1"/>
  <c r="BC18" i="1"/>
  <c r="EG17" i="1"/>
  <c r="BZ17" i="1"/>
  <c r="CA17" i="1" s="1"/>
  <c r="BY17" i="1"/>
  <c r="BX17" i="1"/>
  <c r="BW17" i="1"/>
  <c r="BV17" i="1"/>
  <c r="BU17" i="1"/>
  <c r="BT17" i="1"/>
  <c r="BS17" i="1"/>
  <c r="AS17" i="1"/>
  <c r="EG16" i="1"/>
  <c r="BZ16" i="1"/>
  <c r="CA16" i="1" s="1"/>
  <c r="BY16" i="1"/>
  <c r="BX16" i="1"/>
  <c r="BW16" i="1"/>
  <c r="BV16" i="1"/>
  <c r="BU16" i="1"/>
  <c r="BT16" i="1"/>
  <c r="BS16" i="1"/>
  <c r="AS16" i="1"/>
  <c r="EG15" i="1"/>
  <c r="BZ15" i="1"/>
  <c r="CA15" i="1" s="1"/>
  <c r="BY15" i="1"/>
  <c r="BX15" i="1"/>
  <c r="BW15" i="1"/>
  <c r="BV15" i="1"/>
  <c r="BU15" i="1"/>
  <c r="BT15" i="1"/>
  <c r="BS15" i="1"/>
  <c r="AS15" i="1"/>
  <c r="EG14" i="1"/>
  <c r="BZ14" i="1"/>
  <c r="CA14" i="1" s="1"/>
  <c r="BY14" i="1"/>
  <c r="BX14" i="1"/>
  <c r="BW14" i="1"/>
  <c r="BV14" i="1"/>
  <c r="BU14" i="1"/>
  <c r="BT14" i="1"/>
  <c r="BS14" i="1"/>
  <c r="AS14" i="1"/>
  <c r="BC14" i="1"/>
  <c r="EG13" i="1"/>
  <c r="BZ13" i="1"/>
  <c r="CA13" i="1" s="1"/>
  <c r="BY13" i="1"/>
  <c r="BX13" i="1"/>
  <c r="BW13" i="1"/>
  <c r="BV13" i="1"/>
  <c r="BU13" i="1"/>
  <c r="BT13" i="1"/>
  <c r="BS13" i="1"/>
  <c r="AS13" i="1"/>
  <c r="EG12" i="1"/>
  <c r="BZ12" i="1"/>
  <c r="CA12" i="1" s="1"/>
  <c r="BY12" i="1"/>
  <c r="BX12" i="1"/>
  <c r="BW12" i="1"/>
  <c r="BV12" i="1"/>
  <c r="BU12" i="1"/>
  <c r="BT12" i="1"/>
  <c r="BS12" i="1"/>
  <c r="AS12" i="1"/>
  <c r="BC12" i="1"/>
  <c r="EG11" i="1"/>
  <c r="BZ11" i="1"/>
  <c r="CA11" i="1" s="1"/>
  <c r="BY11" i="1"/>
  <c r="BX11" i="1"/>
  <c r="BW11" i="1"/>
  <c r="BV11" i="1"/>
  <c r="BU11" i="1"/>
  <c r="BT11" i="1"/>
  <c r="BS11" i="1"/>
  <c r="AS11" i="1"/>
  <c r="EG10" i="1"/>
  <c r="CL10" i="1"/>
  <c r="BZ10" i="1"/>
  <c r="CA10" i="1" s="1"/>
  <c r="BY10" i="1"/>
  <c r="BX10" i="1"/>
  <c r="BW10" i="1"/>
  <c r="BV10" i="1"/>
  <c r="BU10" i="1"/>
  <c r="BT10" i="1"/>
  <c r="BS10" i="1"/>
  <c r="AS10" i="1"/>
  <c r="EG9" i="1"/>
  <c r="CL9" i="1"/>
  <c r="BZ9" i="1"/>
  <c r="CA9" i="1" s="1"/>
  <c r="BY9" i="1"/>
  <c r="BX9" i="1"/>
  <c r="BW9" i="1"/>
  <c r="BV9" i="1"/>
  <c r="BU9" i="1"/>
  <c r="BT9" i="1"/>
  <c r="BS9" i="1"/>
  <c r="AS9" i="1"/>
  <c r="EG8" i="1"/>
  <c r="BZ8" i="1"/>
  <c r="CA8" i="1" s="1"/>
  <c r="BY8" i="1"/>
  <c r="BX8" i="1"/>
  <c r="BW8" i="1"/>
  <c r="BV8" i="1"/>
  <c r="BU8" i="1"/>
  <c r="BT8" i="1"/>
  <c r="BS8" i="1"/>
  <c r="AS8" i="1"/>
  <c r="BC8" i="1"/>
  <c r="EG7" i="1"/>
  <c r="CL7" i="1"/>
  <c r="CK7" i="1"/>
  <c r="BZ7" i="1"/>
  <c r="CA7" i="1" s="1"/>
  <c r="BY7" i="1"/>
  <c r="BX7" i="1"/>
  <c r="BW7" i="1"/>
  <c r="BV7" i="1"/>
  <c r="BU7" i="1"/>
  <c r="BT7" i="1"/>
  <c r="BS7" i="1"/>
  <c r="AS7" i="1"/>
  <c r="EG6" i="1"/>
  <c r="BZ6" i="1"/>
  <c r="CA6" i="1" s="1"/>
  <c r="BY6" i="1"/>
  <c r="BX6" i="1"/>
  <c r="BW6" i="1"/>
  <c r="BV6" i="1"/>
  <c r="BU6" i="1"/>
  <c r="BT6" i="1"/>
  <c r="BS6" i="1"/>
  <c r="AS6" i="1"/>
  <c r="EG5" i="1"/>
  <c r="BZ5" i="1"/>
  <c r="CA5" i="1" s="1"/>
  <c r="BY5" i="1"/>
  <c r="BX5" i="1"/>
  <c r="BW5" i="1"/>
  <c r="BV5" i="1"/>
  <c r="BU5" i="1"/>
  <c r="BT5" i="1"/>
  <c r="BS5" i="1"/>
  <c r="BA5" i="1"/>
  <c r="BA6" i="1" s="1"/>
  <c r="BA7" i="1" s="1"/>
  <c r="BA8" i="1" s="1"/>
  <c r="BA9" i="1" s="1"/>
  <c r="BA10" i="1" s="1"/>
  <c r="BA11" i="1" s="1"/>
  <c r="BA12" i="1" s="1"/>
  <c r="BA13" i="1" s="1"/>
  <c r="BA14" i="1" s="1"/>
  <c r="BA15" i="1" s="1"/>
  <c r="BA16" i="1" s="1"/>
  <c r="BA17" i="1" s="1"/>
  <c r="BA18" i="1" s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A40" i="1" s="1"/>
  <c r="BA41" i="1" s="1"/>
  <c r="BA42" i="1" s="1"/>
  <c r="AS5" i="1"/>
  <c r="AH5" i="1"/>
  <c r="AD5" i="1"/>
  <c r="BC5" i="1"/>
  <c r="EG4" i="1"/>
  <c r="BZ4" i="1"/>
  <c r="CA4" i="1" s="1"/>
  <c r="BY4" i="1"/>
  <c r="BX4" i="1"/>
  <c r="BW4" i="1"/>
  <c r="BV4" i="1"/>
  <c r="BU4" i="1"/>
  <c r="BT4" i="1"/>
  <c r="BS4" i="1"/>
  <c r="AS4" i="1"/>
  <c r="BC4" i="1"/>
  <c r="DC2" i="1"/>
  <c r="Z1" i="1"/>
  <c r="AG78" i="1" s="1"/>
  <c r="R1" i="1"/>
  <c r="CB55" i="1" l="1"/>
  <c r="CB506" i="1"/>
  <c r="CB510" i="1"/>
  <c r="CB613" i="1"/>
  <c r="AG7" i="1"/>
  <c r="AG21" i="1"/>
  <c r="AG56" i="1"/>
  <c r="CB232" i="1"/>
  <c r="CB407" i="1"/>
  <c r="CB411" i="1"/>
  <c r="CB759" i="1"/>
  <c r="CB777" i="1"/>
  <c r="CB779" i="1"/>
  <c r="CB781" i="1"/>
  <c r="CB783" i="1"/>
  <c r="CB47" i="1"/>
  <c r="CB17" i="1"/>
  <c r="CB33" i="1"/>
  <c r="CC102" i="1"/>
  <c r="CB243" i="1"/>
  <c r="CC437" i="1"/>
  <c r="CB53" i="1"/>
  <c r="CB104" i="1"/>
  <c r="CC557" i="1"/>
  <c r="CC826" i="1"/>
  <c r="CC851" i="1"/>
  <c r="CC79" i="1"/>
  <c r="CC121" i="1"/>
  <c r="CB138" i="1"/>
  <c r="CB202" i="1"/>
  <c r="CB727" i="1"/>
  <c r="CB359" i="1"/>
  <c r="CB363" i="1"/>
  <c r="CB438" i="1"/>
  <c r="CC486" i="1"/>
  <c r="CC572" i="1"/>
  <c r="CB45" i="1"/>
  <c r="CB69" i="1"/>
  <c r="CC482" i="1"/>
  <c r="CB540" i="1"/>
  <c r="CB708" i="1"/>
  <c r="CB741" i="1"/>
  <c r="CB744" i="1"/>
  <c r="AD4" i="1"/>
  <c r="CM7" i="1"/>
  <c r="AG8" i="1"/>
  <c r="AE34" i="1"/>
  <c r="AD35" i="1"/>
  <c r="AH35" i="1"/>
  <c r="AC36" i="1"/>
  <c r="CB63" i="1"/>
  <c r="AG70" i="1"/>
  <c r="AF70" i="1"/>
  <c r="AE75" i="1"/>
  <c r="AD79" i="1"/>
  <c r="AH79" i="1"/>
  <c r="CB88" i="1"/>
  <c r="CC350" i="1"/>
  <c r="AR7" i="1"/>
  <c r="AF8" i="1"/>
  <c r="AH11" i="1"/>
  <c r="AC12" i="1"/>
  <c r="AD13" i="1"/>
  <c r="AF32" i="1"/>
  <c r="AR39" i="1"/>
  <c r="AG39" i="1"/>
  <c r="AE40" i="1"/>
  <c r="AD83" i="1"/>
  <c r="AD90" i="1"/>
  <c r="AH4" i="1"/>
  <c r="AE15" i="1"/>
  <c r="CB15" i="1"/>
  <c r="AG17" i="1"/>
  <c r="AF5" i="1"/>
  <c r="AD6" i="1"/>
  <c r="AH6" i="1"/>
  <c r="CC6" i="1"/>
  <c r="AC7" i="1"/>
  <c r="CC7" i="1"/>
  <c r="AD14" i="1"/>
  <c r="AH14" i="1"/>
  <c r="AC17" i="1"/>
  <c r="AE19" i="1"/>
  <c r="AF21" i="1"/>
  <c r="AD22" i="1"/>
  <c r="AH22" i="1"/>
  <c r="AD26" i="1"/>
  <c r="AG33" i="1"/>
  <c r="AC48" i="1"/>
  <c r="AG51" i="1"/>
  <c r="AG52" i="1"/>
  <c r="AF56" i="1"/>
  <c r="AG74" i="1"/>
  <c r="AF74" i="1"/>
  <c r="AE95" i="1"/>
  <c r="CB130" i="1"/>
  <c r="CB146" i="1"/>
  <c r="CB377" i="1"/>
  <c r="AG4" i="1"/>
  <c r="AH8" i="1"/>
  <c r="AD11" i="1"/>
  <c r="AH13" i="1"/>
  <c r="AG80" i="1"/>
  <c r="AF4" i="1"/>
  <c r="AG5" i="1"/>
  <c r="AE6" i="1"/>
  <c r="AF7" i="1"/>
  <c r="BC7" i="1"/>
  <c r="AG9" i="1"/>
  <c r="AE10" i="1"/>
  <c r="AE12" i="1"/>
  <c r="AR12" i="1"/>
  <c r="AG13" i="1"/>
  <c r="AG24" i="1"/>
  <c r="AR60" i="1"/>
  <c r="AC62" i="1"/>
  <c r="AF62" i="1"/>
  <c r="AH84" i="1"/>
  <c r="AF85" i="1"/>
  <c r="CB504" i="1"/>
  <c r="CB522" i="1"/>
  <c r="CB526" i="1"/>
  <c r="CB670" i="1"/>
  <c r="CB775" i="1"/>
  <c r="CB831" i="1"/>
  <c r="CB874" i="1"/>
  <c r="CC915" i="1"/>
  <c r="CB926" i="1"/>
  <c r="CB949" i="1"/>
  <c r="CC952" i="1"/>
  <c r="CC956" i="1"/>
  <c r="CC975" i="1"/>
  <c r="CC976" i="1"/>
  <c r="CC981" i="1"/>
  <c r="CC983" i="1"/>
  <c r="CC203" i="1"/>
  <c r="CB238" i="1"/>
  <c r="CB375" i="1"/>
  <c r="CB379" i="1"/>
  <c r="CB409" i="1"/>
  <c r="CC421" i="1"/>
  <c r="CB422" i="1"/>
  <c r="CC484" i="1"/>
  <c r="CB508" i="1"/>
  <c r="CB538" i="1"/>
  <c r="CB542" i="1"/>
  <c r="CB608" i="1"/>
  <c r="CB733" i="1"/>
  <c r="CB751" i="1"/>
  <c r="CB752" i="1"/>
  <c r="CC842" i="1"/>
  <c r="CB847" i="1"/>
  <c r="CB871" i="1"/>
  <c r="CC908" i="1"/>
  <c r="AE18" i="1"/>
  <c r="AD25" i="1"/>
  <c r="AH25" i="1"/>
  <c r="AC28" i="1"/>
  <c r="CB37" i="1"/>
  <c r="CB41" i="1"/>
  <c r="AG47" i="1"/>
  <c r="AE57" i="1"/>
  <c r="AE60" i="1"/>
  <c r="AD61" i="1"/>
  <c r="CB61" i="1"/>
  <c r="CC95" i="1"/>
  <c r="CB96" i="1"/>
  <c r="CC113" i="1"/>
  <c r="CB126" i="1"/>
  <c r="CB142" i="1"/>
  <c r="CB154" i="1"/>
  <c r="CC214" i="1"/>
  <c r="CB234" i="1"/>
  <c r="CB246" i="1"/>
  <c r="CC248" i="1"/>
  <c r="CC352" i="1"/>
  <c r="CB361" i="1"/>
  <c r="CB391" i="1"/>
  <c r="CB395" i="1"/>
  <c r="CB467" i="1"/>
  <c r="CB471" i="1"/>
  <c r="CB497" i="1"/>
  <c r="CB524" i="1"/>
  <c r="CC561" i="1"/>
  <c r="CC562" i="1"/>
  <c r="CC588" i="1"/>
  <c r="CB616" i="1"/>
  <c r="CC617" i="1"/>
  <c r="CC641" i="1"/>
  <c r="CC643" i="1"/>
  <c r="CC645" i="1"/>
  <c r="CC647" i="1"/>
  <c r="CC649" i="1"/>
  <c r="CC651" i="1"/>
  <c r="CB660" i="1"/>
  <c r="CB662" i="1"/>
  <c r="CC732" i="1"/>
  <c r="CC764" i="1"/>
  <c r="CC768" i="1"/>
  <c r="CB769" i="1"/>
  <c r="CB791" i="1"/>
  <c r="CC805" i="1"/>
  <c r="CB817" i="1"/>
  <c r="CB879" i="1"/>
  <c r="CB941" i="1"/>
  <c r="CC968" i="1"/>
  <c r="AG34" i="1"/>
  <c r="AG43" i="1"/>
  <c r="AE44" i="1"/>
  <c r="AE45" i="1"/>
  <c r="AD54" i="1"/>
  <c r="AH54" i="1"/>
  <c r="AH55" i="1"/>
  <c r="AD59" i="1"/>
  <c r="AH67" i="1"/>
  <c r="AF67" i="1"/>
  <c r="AF78" i="1"/>
  <c r="AE89" i="1"/>
  <c r="AR13" i="1"/>
  <c r="AC13" i="1"/>
  <c r="AR33" i="1"/>
  <c r="AC33" i="1"/>
  <c r="AR52" i="1"/>
  <c r="AC52" i="1"/>
  <c r="BC52" i="1"/>
  <c r="AR80" i="1"/>
  <c r="AC80" i="1"/>
  <c r="BC80" i="1"/>
  <c r="AC4" i="1"/>
  <c r="AR24" i="1"/>
  <c r="AC24" i="1"/>
  <c r="AF123" i="1"/>
  <c r="AF117" i="1"/>
  <c r="AF111" i="1"/>
  <c r="AC108" i="1"/>
  <c r="AF105" i="1"/>
  <c r="AD104" i="1"/>
  <c r="AE103" i="1"/>
  <c r="AF101" i="1"/>
  <c r="AD98" i="1"/>
  <c r="AE97" i="1"/>
  <c r="AC96" i="1"/>
  <c r="AD94" i="1"/>
  <c r="AE93" i="1"/>
  <c r="AF91" i="1"/>
  <c r="AC90" i="1"/>
  <c r="AC86" i="1"/>
  <c r="AE85" i="1"/>
  <c r="AD81" i="1"/>
  <c r="AD77" i="1"/>
  <c r="AD75" i="1"/>
  <c r="AD73" i="1"/>
  <c r="AD71" i="1"/>
  <c r="AE69" i="1"/>
  <c r="AE67" i="1"/>
  <c r="AE65" i="1"/>
  <c r="AD57" i="1"/>
  <c r="AD53" i="1"/>
  <c r="AD49" i="1"/>
  <c r="AE46" i="1"/>
  <c r="AD45" i="1"/>
  <c r="AE42" i="1"/>
  <c r="AD40" i="1"/>
  <c r="AE38" i="1"/>
  <c r="AE35" i="1"/>
  <c r="AD33" i="1"/>
  <c r="AD30" i="1"/>
  <c r="AF28" i="1"/>
  <c r="AE27" i="1"/>
  <c r="AE26" i="1"/>
  <c r="AC25" i="1"/>
  <c r="AC22" i="1"/>
  <c r="AD18" i="1"/>
  <c r="AF125" i="1"/>
  <c r="AF121" i="1"/>
  <c r="AF115" i="1"/>
  <c r="AD112" i="1"/>
  <c r="AE111" i="1"/>
  <c r="AF109" i="1"/>
  <c r="AD106" i="1"/>
  <c r="AE105" i="1"/>
  <c r="AC104" i="1"/>
  <c r="AD102" i="1"/>
  <c r="AE101" i="1"/>
  <c r="AF99" i="1"/>
  <c r="AC98" i="1"/>
  <c r="AC94" i="1"/>
  <c r="AD92" i="1"/>
  <c r="AE91" i="1"/>
  <c r="AF87" i="1"/>
  <c r="AF80" i="1"/>
  <c r="AC78" i="1"/>
  <c r="AC76" i="1"/>
  <c r="AC74" i="1"/>
  <c r="AC72" i="1"/>
  <c r="AC70" i="1"/>
  <c r="AD69" i="1"/>
  <c r="AF68" i="1"/>
  <c r="AD67" i="1"/>
  <c r="AF66" i="1"/>
  <c r="AD65" i="1"/>
  <c r="AF64" i="1"/>
  <c r="AE63" i="1"/>
  <c r="AG62" i="1"/>
  <c r="AC56" i="1"/>
  <c r="AE55" i="1"/>
  <c r="AG54" i="1"/>
  <c r="AF52" i="1"/>
  <c r="AE51" i="1"/>
  <c r="AF48" i="1"/>
  <c r="AE47" i="1"/>
  <c r="AC46" i="1"/>
  <c r="AD43" i="1"/>
  <c r="AC41" i="1"/>
  <c r="AD39" i="1"/>
  <c r="AH122" i="1"/>
  <c r="AH116" i="1"/>
  <c r="AF113" i="1"/>
  <c r="AC112" i="1"/>
  <c r="AD110" i="1"/>
  <c r="AE109" i="1"/>
  <c r="AR108" i="1"/>
  <c r="AG108" i="1"/>
  <c r="AF107" i="1"/>
  <c r="AC106" i="1"/>
  <c r="AH104" i="1"/>
  <c r="AC102" i="1"/>
  <c r="AD100" i="1"/>
  <c r="AE99" i="1"/>
  <c r="AH98" i="1"/>
  <c r="AR96" i="1"/>
  <c r="AG96" i="1"/>
  <c r="AF95" i="1"/>
  <c r="AH94" i="1"/>
  <c r="AC92" i="1"/>
  <c r="AR90" i="1"/>
  <c r="AG90" i="1"/>
  <c r="AF89" i="1"/>
  <c r="AD88" i="1"/>
  <c r="AE87" i="1"/>
  <c r="AR86" i="1"/>
  <c r="AG86" i="1"/>
  <c r="AD84" i="1"/>
  <c r="AE83" i="1"/>
  <c r="AH81" i="1"/>
  <c r="AE79" i="1"/>
  <c r="AH77" i="1"/>
  <c r="AH75" i="1"/>
  <c r="AH73" i="1"/>
  <c r="AH71" i="1"/>
  <c r="AD63" i="1"/>
  <c r="AR62" i="1"/>
  <c r="AE61" i="1"/>
  <c r="AE59" i="1"/>
  <c r="AH57" i="1"/>
  <c r="AD55" i="1"/>
  <c r="AR54" i="1"/>
  <c r="AH53" i="1"/>
  <c r="AD51" i="1"/>
  <c r="AH49" i="1"/>
  <c r="AE48" i="1"/>
  <c r="AD47" i="1"/>
  <c r="AH45" i="1"/>
  <c r="AF44" i="1"/>
  <c r="AC43" i="1"/>
  <c r="AH40" i="1"/>
  <c r="AC39" i="1"/>
  <c r="AD34" i="1"/>
  <c r="AH33" i="1"/>
  <c r="AH30" i="1"/>
  <c r="AR25" i="1"/>
  <c r="AG25" i="1"/>
  <c r="AF24" i="1"/>
  <c r="AD126" i="1"/>
  <c r="AD116" i="1"/>
  <c r="AH106" i="1"/>
  <c r="AR104" i="1"/>
  <c r="AR98" i="1"/>
  <c r="AF93" i="1"/>
  <c r="AF82" i="1"/>
  <c r="AG76" i="1"/>
  <c r="AG72" i="1"/>
  <c r="AH69" i="1"/>
  <c r="AH65" i="1"/>
  <c r="AF58" i="1"/>
  <c r="AC54" i="1"/>
  <c r="AF50" i="1"/>
  <c r="AF42" i="1"/>
  <c r="AF38" i="1"/>
  <c r="AF29" i="1"/>
  <c r="AC21" i="1"/>
  <c r="AG14" i="1"/>
  <c r="AF12" i="1"/>
  <c r="AE11" i="1"/>
  <c r="AD122" i="1"/>
  <c r="AF119" i="1"/>
  <c r="AH112" i="1"/>
  <c r="AD108" i="1"/>
  <c r="AF103" i="1"/>
  <c r="AF97" i="1"/>
  <c r="AH92" i="1"/>
  <c r="AR82" i="1"/>
  <c r="AF60" i="1"/>
  <c r="AR58" i="1"/>
  <c r="AR50" i="1"/>
  <c r="AG41" i="1"/>
  <c r="AG36" i="1"/>
  <c r="AR29" i="1"/>
  <c r="AR28" i="1"/>
  <c r="AH26" i="1"/>
  <c r="AR22" i="1"/>
  <c r="AG22" i="1"/>
  <c r="AH19" i="1"/>
  <c r="AH18" i="1"/>
  <c r="AR14" i="1"/>
  <c r="AH102" i="1"/>
  <c r="AG94" i="1"/>
  <c r="AC88" i="1"/>
  <c r="AH124" i="1"/>
  <c r="AH114" i="1"/>
  <c r="AE107" i="1"/>
  <c r="AG104" i="1"/>
  <c r="AG98" i="1"/>
  <c r="AR94" i="1"/>
  <c r="AE77" i="1"/>
  <c r="AE73" i="1"/>
  <c r="AF46" i="1"/>
  <c r="AH43" i="1"/>
  <c r="AH39" i="1"/>
  <c r="AR21" i="1"/>
  <c r="AF20" i="1"/>
  <c r="AC16" i="1"/>
  <c r="AF13" i="1"/>
  <c r="AD8" i="1"/>
  <c r="AE4" i="1"/>
  <c r="CB4" i="1"/>
  <c r="AE5" i="1"/>
  <c r="AR5" i="1"/>
  <c r="AG6" i="1"/>
  <c r="AD7" i="1"/>
  <c r="AH7" i="1"/>
  <c r="AE8" i="1"/>
  <c r="AE9" i="1"/>
  <c r="AD10" i="1"/>
  <c r="AH10" i="1"/>
  <c r="BC13" i="1"/>
  <c r="AC14" i="1"/>
  <c r="AF16" i="1"/>
  <c r="AD17" i="1"/>
  <c r="AR20" i="1"/>
  <c r="AC20" i="1"/>
  <c r="BC20" i="1"/>
  <c r="AG20" i="1"/>
  <c r="AE23" i="1"/>
  <c r="AH27" i="1"/>
  <c r="AF27" i="1"/>
  <c r="BC30" i="1"/>
  <c r="AR30" i="1"/>
  <c r="AC30" i="1"/>
  <c r="AG30" i="1"/>
  <c r="BC33" i="1"/>
  <c r="AF37" i="1"/>
  <c r="AE49" i="1"/>
  <c r="AE53" i="1"/>
  <c r="AE71" i="1"/>
  <c r="AE81" i="1"/>
  <c r="AD86" i="1"/>
  <c r="AD96" i="1"/>
  <c r="AF6" i="1"/>
  <c r="AE7" i="1"/>
  <c r="AF10" i="1"/>
  <c r="AF11" i="1"/>
  <c r="AG12" i="1"/>
  <c r="AD15" i="1"/>
  <c r="AH15" i="1"/>
  <c r="AE16" i="1"/>
  <c r="AE17" i="1"/>
  <c r="AR17" i="1"/>
  <c r="AE21" i="1"/>
  <c r="AD23" i="1"/>
  <c r="AH23" i="1"/>
  <c r="AG28" i="1"/>
  <c r="BC28" i="1"/>
  <c r="AC29" i="1"/>
  <c r="AG29" i="1"/>
  <c r="BC29" i="1"/>
  <c r="AG31" i="1"/>
  <c r="AD36" i="1"/>
  <c r="AH36" i="1"/>
  <c r="AE37" i="1"/>
  <c r="AF39" i="1"/>
  <c r="AF43" i="1"/>
  <c r="AC50" i="1"/>
  <c r="AG50" i="1"/>
  <c r="AG55" i="1"/>
  <c r="AC58" i="1"/>
  <c r="AG58" i="1"/>
  <c r="AR66" i="1"/>
  <c r="AC66" i="1"/>
  <c r="AG66" i="1"/>
  <c r="AR72" i="1"/>
  <c r="AR76" i="1"/>
  <c r="AC82" i="1"/>
  <c r="AG82" i="1"/>
  <c r="AR84" i="1"/>
  <c r="BC84" i="1"/>
  <c r="AG84" i="1"/>
  <c r="AE94" i="1"/>
  <c r="AR100" i="1"/>
  <c r="AG100" i="1"/>
  <c r="AR106" i="1"/>
  <c r="AG106" i="1"/>
  <c r="AH108" i="1"/>
  <c r="AD109" i="1"/>
  <c r="AH109" i="1"/>
  <c r="AC110" i="1"/>
  <c r="CB112" i="1"/>
  <c r="AF114" i="1"/>
  <c r="AF124" i="1"/>
  <c r="AH86" i="1"/>
  <c r="AD87" i="1"/>
  <c r="AH87" i="1"/>
  <c r="AH100" i="1"/>
  <c r="AR101" i="1"/>
  <c r="BC101" i="1"/>
  <c r="AG101" i="1"/>
  <c r="AF102" i="1"/>
  <c r="AR110" i="1"/>
  <c r="AG110" i="1"/>
  <c r="AR117" i="1"/>
  <c r="BC117" i="1"/>
  <c r="AG117" i="1"/>
  <c r="AD120" i="1"/>
  <c r="AH120" i="1"/>
  <c r="AE122" i="1"/>
  <c r="AD123" i="1"/>
  <c r="AH123" i="1"/>
  <c r="CB573" i="1"/>
  <c r="AE14" i="1"/>
  <c r="BC17" i="1"/>
  <c r="AF18" i="1"/>
  <c r="AF19" i="1"/>
  <c r="AD20" i="1"/>
  <c r="AH20" i="1"/>
  <c r="AE22" i="1"/>
  <c r="AF23" i="1"/>
  <c r="CB23" i="1"/>
  <c r="AF26" i="1"/>
  <c r="AE28" i="1"/>
  <c r="AE29" i="1"/>
  <c r="AE31" i="1"/>
  <c r="AH34" i="1"/>
  <c r="AF36" i="1"/>
  <c r="AR37" i="1"/>
  <c r="AC37" i="1"/>
  <c r="AG37" i="1"/>
  <c r="AF41" i="1"/>
  <c r="AH47" i="1"/>
  <c r="AE50" i="1"/>
  <c r="AH51" i="1"/>
  <c r="AR56" i="1"/>
  <c r="AE58" i="1"/>
  <c r="AH61" i="1"/>
  <c r="AG63" i="1"/>
  <c r="AR64" i="1"/>
  <c r="AC64" i="1"/>
  <c r="AG64" i="1"/>
  <c r="AR68" i="1"/>
  <c r="AC68" i="1"/>
  <c r="AG68" i="1"/>
  <c r="AR70" i="1"/>
  <c r="AR74" i="1"/>
  <c r="AR78" i="1"/>
  <c r="AE82" i="1"/>
  <c r="AR88" i="1"/>
  <c r="AG88" i="1"/>
  <c r="AH90" i="1"/>
  <c r="AR91" i="1"/>
  <c r="BC91" i="1"/>
  <c r="AG91" i="1"/>
  <c r="AF92" i="1"/>
  <c r="AH96" i="1"/>
  <c r="AR102" i="1"/>
  <c r="AG102" i="1"/>
  <c r="AH110" i="1"/>
  <c r="AR111" i="1"/>
  <c r="BC111" i="1"/>
  <c r="AG111" i="1"/>
  <c r="AF112" i="1"/>
  <c r="AD114" i="1"/>
  <c r="AE116" i="1"/>
  <c r="AD118" i="1"/>
  <c r="AH118" i="1"/>
  <c r="AD121" i="1"/>
  <c r="AH121" i="1"/>
  <c r="AD124" i="1"/>
  <c r="AR139" i="1"/>
  <c r="BC139" i="1"/>
  <c r="AG139" i="1"/>
  <c r="AF160" i="1"/>
  <c r="CC166" i="1"/>
  <c r="CB166" i="1"/>
  <c r="CC170" i="1"/>
  <c r="CB170" i="1"/>
  <c r="CC178" i="1"/>
  <c r="CB178" i="1"/>
  <c r="CC186" i="1"/>
  <c r="CB186" i="1"/>
  <c r="CC194" i="1"/>
  <c r="CB194" i="1"/>
  <c r="CB435" i="1"/>
  <c r="CC454" i="1"/>
  <c r="CC463" i="1"/>
  <c r="CB463" i="1"/>
  <c r="AD9" i="1"/>
  <c r="AH9" i="1"/>
  <c r="AE13" i="1"/>
  <c r="AG15" i="1"/>
  <c r="AD16" i="1"/>
  <c r="AH16" i="1"/>
  <c r="AH17" i="1"/>
  <c r="AG18" i="1"/>
  <c r="AG19" i="1"/>
  <c r="CC20" i="1"/>
  <c r="AD21" i="1"/>
  <c r="AH21" i="1"/>
  <c r="AF22" i="1"/>
  <c r="AE24" i="1"/>
  <c r="AF25" i="1"/>
  <c r="AD27" i="1"/>
  <c r="AE30" i="1"/>
  <c r="AD32" i="1"/>
  <c r="AH32" i="1"/>
  <c r="AE33" i="1"/>
  <c r="AF35" i="1"/>
  <c r="AR36" i="1"/>
  <c r="AR41" i="1"/>
  <c r="AD48" i="1"/>
  <c r="AH48" i="1"/>
  <c r="AF54" i="1"/>
  <c r="AH59" i="1"/>
  <c r="AC60" i="1"/>
  <c r="AG60" i="1"/>
  <c r="AD62" i="1"/>
  <c r="AH62" i="1"/>
  <c r="AH63" i="1"/>
  <c r="AF65" i="1"/>
  <c r="BC66" i="1"/>
  <c r="AF69" i="1"/>
  <c r="AF72" i="1"/>
  <c r="AF76" i="1"/>
  <c r="AH83" i="1"/>
  <c r="AC84" i="1"/>
  <c r="AH88" i="1"/>
  <c r="AR92" i="1"/>
  <c r="AG92" i="1"/>
  <c r="AE98" i="1"/>
  <c r="AD99" i="1"/>
  <c r="AH99" i="1"/>
  <c r="AC100" i="1"/>
  <c r="BC100" i="1"/>
  <c r="AE104" i="1"/>
  <c r="AR105" i="1"/>
  <c r="BC105" i="1"/>
  <c r="AG105" i="1"/>
  <c r="AF106" i="1"/>
  <c r="AR112" i="1"/>
  <c r="AG112" i="1"/>
  <c r="AD115" i="1"/>
  <c r="AH115" i="1"/>
  <c r="AD125" i="1"/>
  <c r="AH125" i="1"/>
  <c r="AR129" i="1"/>
  <c r="BC129" i="1"/>
  <c r="AG129" i="1"/>
  <c r="AE25" i="1"/>
  <c r="AG26" i="1"/>
  <c r="AG27" i="1"/>
  <c r="AD28" i="1"/>
  <c r="AH28" i="1"/>
  <c r="AF30" i="1"/>
  <c r="AF31" i="1"/>
  <c r="CB31" i="1"/>
  <c r="AR32" i="1"/>
  <c r="AG32" i="1"/>
  <c r="AF33" i="1"/>
  <c r="AG35" i="1"/>
  <c r="BC36" i="1"/>
  <c r="AD37" i="1"/>
  <c r="AH37" i="1"/>
  <c r="AG38" i="1"/>
  <c r="BC39" i="1"/>
  <c r="AF40" i="1"/>
  <c r="BC41" i="1"/>
  <c r="AG42" i="1"/>
  <c r="AF45" i="1"/>
  <c r="AR46" i="1"/>
  <c r="AG46" i="1"/>
  <c r="AF49" i="1"/>
  <c r="AD52" i="1"/>
  <c r="AH52" i="1"/>
  <c r="AF53" i="1"/>
  <c r="AE54" i="1"/>
  <c r="BC56" i="1"/>
  <c r="AF57" i="1"/>
  <c r="AE62" i="1"/>
  <c r="AD64" i="1"/>
  <c r="AH64" i="1"/>
  <c r="AG65" i="1"/>
  <c r="AD66" i="1"/>
  <c r="AH66" i="1"/>
  <c r="AG67" i="1"/>
  <c r="AD68" i="1"/>
  <c r="AH68" i="1"/>
  <c r="AG69" i="1"/>
  <c r="BC70" i="1"/>
  <c r="AF71" i="1"/>
  <c r="BC72" i="1"/>
  <c r="AF73" i="1"/>
  <c r="BC74" i="1"/>
  <c r="AF75" i="1"/>
  <c r="BC76" i="1"/>
  <c r="AF77" i="1"/>
  <c r="BC78" i="1"/>
  <c r="AD80" i="1"/>
  <c r="AH80" i="1"/>
  <c r="AF81" i="1"/>
  <c r="CC83" i="1"/>
  <c r="CB84" i="1"/>
  <c r="AR85" i="1"/>
  <c r="AG85" i="1"/>
  <c r="BC85" i="1"/>
  <c r="AE86" i="1"/>
  <c r="CC87" i="1"/>
  <c r="AE90" i="1"/>
  <c r="AD91" i="1"/>
  <c r="AH91" i="1"/>
  <c r="BC92" i="1"/>
  <c r="AR93" i="1"/>
  <c r="AG93" i="1"/>
  <c r="AF94" i="1"/>
  <c r="CC94" i="1"/>
  <c r="AE96" i="1"/>
  <c r="AR97" i="1"/>
  <c r="AG97" i="1"/>
  <c r="AF98" i="1"/>
  <c r="AD101" i="1"/>
  <c r="AH101" i="1"/>
  <c r="BC102" i="1"/>
  <c r="AR103" i="1"/>
  <c r="AG103" i="1"/>
  <c r="AF104" i="1"/>
  <c r="AD105" i="1"/>
  <c r="AH105" i="1"/>
  <c r="BC106" i="1"/>
  <c r="AE108" i="1"/>
  <c r="AD111" i="1"/>
  <c r="AH111" i="1"/>
  <c r="BC112" i="1"/>
  <c r="AF116" i="1"/>
  <c r="AD117" i="1"/>
  <c r="AH117" i="1"/>
  <c r="AE118" i="1"/>
  <c r="AR119" i="1"/>
  <c r="AG119" i="1"/>
  <c r="AF122" i="1"/>
  <c r="CB122" i="1"/>
  <c r="AE128" i="1"/>
  <c r="AD129" i="1"/>
  <c r="AH129" i="1"/>
  <c r="AE138" i="1"/>
  <c r="AD139" i="1"/>
  <c r="AH139" i="1"/>
  <c r="AR159" i="1"/>
  <c r="BC159" i="1"/>
  <c r="AG159" i="1"/>
  <c r="CC176" i="1"/>
  <c r="CB176" i="1"/>
  <c r="CC184" i="1"/>
  <c r="CB184" i="1"/>
  <c r="CC192" i="1"/>
  <c r="CB192" i="1"/>
  <c r="CC200" i="1"/>
  <c r="CB200" i="1"/>
  <c r="AD38" i="1"/>
  <c r="AH38" i="1"/>
  <c r="CB38" i="1"/>
  <c r="AG40" i="1"/>
  <c r="AD41" i="1"/>
  <c r="AH41" i="1"/>
  <c r="AD42" i="1"/>
  <c r="AH42" i="1"/>
  <c r="CB42" i="1"/>
  <c r="AR44" i="1"/>
  <c r="AG44" i="1"/>
  <c r="AG45" i="1"/>
  <c r="AD46" i="1"/>
  <c r="AH46" i="1"/>
  <c r="AG49" i="1"/>
  <c r="BC50" i="1"/>
  <c r="AE52" i="1"/>
  <c r="AG53" i="1"/>
  <c r="AD56" i="1"/>
  <c r="AH56" i="1"/>
  <c r="AG57" i="1"/>
  <c r="BC58" i="1"/>
  <c r="AF59" i="1"/>
  <c r="BC60" i="1"/>
  <c r="AF61" i="1"/>
  <c r="AE64" i="1"/>
  <c r="CC65" i="1"/>
  <c r="AE66" i="1"/>
  <c r="AE68" i="1"/>
  <c r="AD70" i="1"/>
  <c r="AH70" i="1"/>
  <c r="AG71" i="1"/>
  <c r="AD72" i="1"/>
  <c r="AH72" i="1"/>
  <c r="AG73" i="1"/>
  <c r="AD74" i="1"/>
  <c r="AH74" i="1"/>
  <c r="AG75" i="1"/>
  <c r="AD76" i="1"/>
  <c r="AH76" i="1"/>
  <c r="AG77" i="1"/>
  <c r="AD78" i="1"/>
  <c r="AH78" i="1"/>
  <c r="AF79" i="1"/>
  <c r="AE80" i="1"/>
  <c r="AG81" i="1"/>
  <c r="BC82" i="1"/>
  <c r="AF83" i="1"/>
  <c r="AE84" i="1"/>
  <c r="AD85" i="1"/>
  <c r="AH85" i="1"/>
  <c r="AF86" i="1"/>
  <c r="CC86" i="1"/>
  <c r="AE88" i="1"/>
  <c r="AR89" i="1"/>
  <c r="AG89" i="1"/>
  <c r="AF90" i="1"/>
  <c r="AD93" i="1"/>
  <c r="AH93" i="1"/>
  <c r="AR95" i="1"/>
  <c r="AG95" i="1"/>
  <c r="AF96" i="1"/>
  <c r="AD97" i="1"/>
  <c r="AH97" i="1"/>
  <c r="AE100" i="1"/>
  <c r="AD103" i="1"/>
  <c r="AH103" i="1"/>
  <c r="AR107" i="1"/>
  <c r="AG107" i="1"/>
  <c r="AF108" i="1"/>
  <c r="AE110" i="1"/>
  <c r="CC111" i="1"/>
  <c r="AR113" i="1"/>
  <c r="AG113" i="1"/>
  <c r="AF118" i="1"/>
  <c r="CB118" i="1"/>
  <c r="AD119" i="1"/>
  <c r="AH119" i="1"/>
  <c r="AE120" i="1"/>
  <c r="AH126" i="1"/>
  <c r="AR127" i="1"/>
  <c r="AG127" i="1"/>
  <c r="AF128" i="1"/>
  <c r="AE134" i="1"/>
  <c r="AD135" i="1"/>
  <c r="AH135" i="1"/>
  <c r="AR137" i="1"/>
  <c r="AG137" i="1"/>
  <c r="AF138" i="1"/>
  <c r="AE144" i="1"/>
  <c r="AD145" i="1"/>
  <c r="AH145" i="1"/>
  <c r="CC164" i="1"/>
  <c r="CB164" i="1"/>
  <c r="CC168" i="1"/>
  <c r="CB168" i="1"/>
  <c r="CC174" i="1"/>
  <c r="CB174" i="1"/>
  <c r="CC182" i="1"/>
  <c r="CB182" i="1"/>
  <c r="CC190" i="1"/>
  <c r="CB190" i="1"/>
  <c r="CC198" i="1"/>
  <c r="CB198" i="1"/>
  <c r="CB419" i="1"/>
  <c r="CB757" i="1"/>
  <c r="AF9" i="1"/>
  <c r="AG10" i="1"/>
  <c r="AG11" i="1"/>
  <c r="AD12" i="1"/>
  <c r="AH12" i="1"/>
  <c r="AF14" i="1"/>
  <c r="AF15" i="1"/>
  <c r="AR16" i="1"/>
  <c r="AG16" i="1"/>
  <c r="AF17" i="1"/>
  <c r="AD19" i="1"/>
  <c r="AE20" i="1"/>
  <c r="AG23" i="1"/>
  <c r="AD24" i="1"/>
  <c r="AH24" i="1"/>
  <c r="AD29" i="1"/>
  <c r="AH29" i="1"/>
  <c r="AD31" i="1"/>
  <c r="AH31" i="1"/>
  <c r="AC32" i="1"/>
  <c r="AE32" i="1"/>
  <c r="AF34" i="1"/>
  <c r="AE36" i="1"/>
  <c r="AE39" i="1"/>
  <c r="CC40" i="1"/>
  <c r="AE41" i="1"/>
  <c r="AE43" i="1"/>
  <c r="AR43" i="1"/>
  <c r="AC44" i="1"/>
  <c r="AD44" i="1"/>
  <c r="AH44" i="1"/>
  <c r="AF47" i="1"/>
  <c r="AR48" i="1"/>
  <c r="AG48" i="1"/>
  <c r="AD50" i="1"/>
  <c r="AH50" i="1"/>
  <c r="AF51" i="1"/>
  <c r="AF55" i="1"/>
  <c r="AE56" i="1"/>
  <c r="AD58" i="1"/>
  <c r="AH58" i="1"/>
  <c r="AG59" i="1"/>
  <c r="AD60" i="1"/>
  <c r="AH60" i="1"/>
  <c r="AG61" i="1"/>
  <c r="AF63" i="1"/>
  <c r="AE70" i="1"/>
  <c r="CC71" i="1"/>
  <c r="AE72" i="1"/>
  <c r="CB73" i="1"/>
  <c r="AE74" i="1"/>
  <c r="AE76" i="1"/>
  <c r="CB77" i="1"/>
  <c r="AE78" i="1"/>
  <c r="AG79" i="1"/>
  <c r="AD82" i="1"/>
  <c r="AH82" i="1"/>
  <c r="AG83" i="1"/>
  <c r="AF84" i="1"/>
  <c r="AR87" i="1"/>
  <c r="AG87" i="1"/>
  <c r="AF88" i="1"/>
  <c r="AD89" i="1"/>
  <c r="AH89" i="1"/>
  <c r="AE92" i="1"/>
  <c r="AD95" i="1"/>
  <c r="AH95" i="1"/>
  <c r="AR99" i="1"/>
  <c r="AG99" i="1"/>
  <c r="AF100" i="1"/>
  <c r="AE102" i="1"/>
  <c r="CC103" i="1"/>
  <c r="AE106" i="1"/>
  <c r="AD107" i="1"/>
  <c r="AH107" i="1"/>
  <c r="AR109" i="1"/>
  <c r="AG109" i="1"/>
  <c r="AF110" i="1"/>
  <c r="CC110" i="1"/>
  <c r="AE112" i="1"/>
  <c r="AD113" i="1"/>
  <c r="AH113" i="1"/>
  <c r="AE114" i="1"/>
  <c r="AR115" i="1"/>
  <c r="AG115" i="1"/>
  <c r="AF120" i="1"/>
  <c r="AR121" i="1"/>
  <c r="AG121" i="1"/>
  <c r="AR123" i="1"/>
  <c r="BC123" i="1"/>
  <c r="AG123" i="1"/>
  <c r="AE124" i="1"/>
  <c r="AR125" i="1"/>
  <c r="AG125" i="1"/>
  <c r="AE126" i="1"/>
  <c r="AF130" i="1"/>
  <c r="AD131" i="1"/>
  <c r="AH131" i="1"/>
  <c r="AR133" i="1"/>
  <c r="AG133" i="1"/>
  <c r="AF134" i="1"/>
  <c r="CB134" i="1"/>
  <c r="AF140" i="1"/>
  <c r="CB140" i="1"/>
  <c r="CC141" i="1"/>
  <c r="AD152" i="1"/>
  <c r="AH152" i="1"/>
  <c r="AG153" i="1"/>
  <c r="AD161" i="1"/>
  <c r="AH161" i="1"/>
  <c r="CC172" i="1"/>
  <c r="CB172" i="1"/>
  <c r="CC180" i="1"/>
  <c r="CB180" i="1"/>
  <c r="CC188" i="1"/>
  <c r="CB188" i="1"/>
  <c r="CC196" i="1"/>
  <c r="CB196" i="1"/>
  <c r="CC835" i="1"/>
  <c r="AE142" i="1"/>
  <c r="AR143" i="1"/>
  <c r="AG143" i="1"/>
  <c r="AF144" i="1"/>
  <c r="CB144" i="1"/>
  <c r="AE149" i="1"/>
  <c r="AD150" i="1"/>
  <c r="AH150" i="1"/>
  <c r="AF151" i="1"/>
  <c r="AE152" i="1"/>
  <c r="AE158" i="1"/>
  <c r="AD159" i="1"/>
  <c r="AH159" i="1"/>
  <c r="AR163" i="1"/>
  <c r="AG163" i="1"/>
  <c r="CB210" i="1"/>
  <c r="CB242" i="1"/>
  <c r="CC244" i="1"/>
  <c r="CB314" i="1"/>
  <c r="CB318" i="1"/>
  <c r="CB330" i="1"/>
  <c r="CB334" i="1"/>
  <c r="CB346" i="1"/>
  <c r="CB355" i="1"/>
  <c r="CB369" i="1"/>
  <c r="CB383" i="1"/>
  <c r="CB387" i="1"/>
  <c r="CB401" i="1"/>
  <c r="CC417" i="1"/>
  <c r="CB418" i="1"/>
  <c r="CC433" i="1"/>
  <c r="CB434" i="1"/>
  <c r="CB455" i="1"/>
  <c r="CC490" i="1"/>
  <c r="CC494" i="1"/>
  <c r="CC503" i="1"/>
  <c r="CB514" i="1"/>
  <c r="CB518" i="1"/>
  <c r="CB532" i="1"/>
  <c r="CB546" i="1"/>
  <c r="CB550" i="1"/>
  <c r="CB569" i="1"/>
  <c r="CB570" i="1"/>
  <c r="CB589" i="1"/>
  <c r="CB590" i="1"/>
  <c r="CC609" i="1"/>
  <c r="CB615" i="1"/>
  <c r="CB685" i="1"/>
  <c r="CB686" i="1"/>
  <c r="CB687" i="1"/>
  <c r="CB688" i="1"/>
  <c r="CB689" i="1"/>
  <c r="CB690" i="1"/>
  <c r="CB691" i="1"/>
  <c r="CB692" i="1"/>
  <c r="CB693" i="1"/>
  <c r="CB694" i="1"/>
  <c r="CB695" i="1"/>
  <c r="CB696" i="1"/>
  <c r="CB697" i="1"/>
  <c r="CB698" i="1"/>
  <c r="CB699" i="1"/>
  <c r="CB700" i="1"/>
  <c r="CB701" i="1"/>
  <c r="CB702" i="1"/>
  <c r="CB703" i="1"/>
  <c r="CB704" i="1"/>
  <c r="CB706" i="1"/>
  <c r="CB737" i="1"/>
  <c r="CC738" i="1"/>
  <c r="CB739" i="1"/>
  <c r="CC753" i="1"/>
  <c r="CB785" i="1"/>
  <c r="CB787" i="1"/>
  <c r="CB789" i="1"/>
  <c r="CB855" i="1"/>
  <c r="CB860" i="1"/>
  <c r="CC872" i="1"/>
  <c r="CB882" i="1"/>
  <c r="CC889" i="1"/>
  <c r="CB890" i="1"/>
  <c r="CB897" i="1"/>
  <c r="CB902" i="1"/>
  <c r="CC917" i="1"/>
  <c r="CB918" i="1"/>
  <c r="CB939" i="1"/>
  <c r="CB944" i="1"/>
  <c r="CB959" i="1"/>
  <c r="CB977" i="1"/>
  <c r="CB128" i="1"/>
  <c r="CC129" i="1"/>
  <c r="AE132" i="1"/>
  <c r="AD133" i="1"/>
  <c r="AH133" i="1"/>
  <c r="AE136" i="1"/>
  <c r="AD137" i="1"/>
  <c r="AH137" i="1"/>
  <c r="AR141" i="1"/>
  <c r="AG141" i="1"/>
  <c r="AF142" i="1"/>
  <c r="AD143" i="1"/>
  <c r="AH143" i="1"/>
  <c r="AE146" i="1"/>
  <c r="AR147" i="1"/>
  <c r="AG147" i="1"/>
  <c r="AF148" i="1"/>
  <c r="AF149" i="1"/>
  <c r="AE150" i="1"/>
  <c r="AG151" i="1"/>
  <c r="AE154" i="1"/>
  <c r="AR155" i="1"/>
  <c r="AG155" i="1"/>
  <c r="BC155" i="1"/>
  <c r="AE156" i="1"/>
  <c r="AR157" i="1"/>
  <c r="AG157" i="1"/>
  <c r="AF158" i="1"/>
  <c r="AE162" i="1"/>
  <c r="AD163" i="1"/>
  <c r="AH163" i="1"/>
  <c r="CC221" i="1"/>
  <c r="CC228" i="1"/>
  <c r="CC230" i="1"/>
  <c r="CB235" i="1"/>
  <c r="CC240" i="1"/>
  <c r="CB251" i="1"/>
  <c r="CB259" i="1"/>
  <c r="CB260" i="1"/>
  <c r="CB267" i="1"/>
  <c r="CB268" i="1"/>
  <c r="CB275" i="1"/>
  <c r="CC276" i="1"/>
  <c r="CB279" i="1"/>
  <c r="CC280" i="1"/>
  <c r="CB283" i="1"/>
  <c r="CC284" i="1"/>
  <c r="CB287" i="1"/>
  <c r="CC288" i="1"/>
  <c r="CB291" i="1"/>
  <c r="CC292" i="1"/>
  <c r="CB295" i="1"/>
  <c r="CC296" i="1"/>
  <c r="CB299" i="1"/>
  <c r="CC300" i="1"/>
  <c r="CB303" i="1"/>
  <c r="CC304" i="1"/>
  <c r="CB414" i="1"/>
  <c r="CB430" i="1"/>
  <c r="CB446" i="1"/>
  <c r="CB469" i="1"/>
  <c r="CC470" i="1"/>
  <c r="CC471" i="1"/>
  <c r="CB577" i="1"/>
  <c r="CB585" i="1"/>
  <c r="CB607" i="1"/>
  <c r="CB639" i="1"/>
  <c r="CC674" i="1"/>
  <c r="CB684" i="1"/>
  <c r="CB710" i="1"/>
  <c r="CB712" i="1"/>
  <c r="CB714" i="1"/>
  <c r="CB716" i="1"/>
  <c r="CB718" i="1"/>
  <c r="CB723" i="1"/>
  <c r="CB732" i="1"/>
  <c r="CB743" i="1"/>
  <c r="CB793" i="1"/>
  <c r="CB795" i="1"/>
  <c r="CB797" i="1"/>
  <c r="CB799" i="1"/>
  <c r="CB803" i="1"/>
  <c r="CB807" i="1"/>
  <c r="CB811" i="1"/>
  <c r="CB815" i="1"/>
  <c r="CB819" i="1"/>
  <c r="CB828" i="1"/>
  <c r="CB839" i="1"/>
  <c r="CB844" i="1"/>
  <c r="CB852" i="1"/>
  <c r="CC884" i="1"/>
  <c r="CB898" i="1"/>
  <c r="CB901" i="1"/>
  <c r="CB929" i="1"/>
  <c r="CC931" i="1"/>
  <c r="CC933" i="1"/>
  <c r="CB935" i="1"/>
  <c r="CB951" i="1"/>
  <c r="CC962" i="1"/>
  <c r="CB963" i="1"/>
  <c r="CB979" i="1"/>
  <c r="AF126" i="1"/>
  <c r="AD127" i="1"/>
  <c r="AH127" i="1"/>
  <c r="AE130" i="1"/>
  <c r="AR131" i="1"/>
  <c r="AG131" i="1"/>
  <c r="AF132" i="1"/>
  <c r="CB132" i="1"/>
  <c r="CC133" i="1"/>
  <c r="AR135" i="1"/>
  <c r="AG135" i="1"/>
  <c r="AF136" i="1"/>
  <c r="CB136" i="1"/>
  <c r="CC137" i="1"/>
  <c r="AE140" i="1"/>
  <c r="AD141" i="1"/>
  <c r="AH141" i="1"/>
  <c r="AR145" i="1"/>
  <c r="AG145" i="1"/>
  <c r="AF146" i="1"/>
  <c r="AD147" i="1"/>
  <c r="AH147" i="1"/>
  <c r="AG148" i="1"/>
  <c r="AF153" i="1"/>
  <c r="AF154" i="1"/>
  <c r="AD155" i="1"/>
  <c r="AH155" i="1"/>
  <c r="AF156" i="1"/>
  <c r="AD157" i="1"/>
  <c r="AH157" i="1"/>
  <c r="AE160" i="1"/>
  <c r="AR161" i="1"/>
  <c r="AG161" i="1"/>
  <c r="AF162" i="1"/>
  <c r="CB201" i="1"/>
  <c r="CB218" i="1"/>
  <c r="CC224" i="1"/>
  <c r="CC226" i="1"/>
  <c r="CC233" i="1"/>
  <c r="CC236" i="1"/>
  <c r="CB250" i="1"/>
  <c r="CC252" i="1"/>
  <c r="CC255" i="1"/>
  <c r="CC256" i="1"/>
  <c r="CC263" i="1"/>
  <c r="CC264" i="1"/>
  <c r="CC271" i="1"/>
  <c r="CC272" i="1"/>
  <c r="CC309" i="1"/>
  <c r="CB310" i="1"/>
  <c r="CB322" i="1"/>
  <c r="CB326" i="1"/>
  <c r="CB338" i="1"/>
  <c r="CB342" i="1"/>
  <c r="CB367" i="1"/>
  <c r="CB371" i="1"/>
  <c r="CB385" i="1"/>
  <c r="CB399" i="1"/>
  <c r="CB403" i="1"/>
  <c r="CC425" i="1"/>
  <c r="CB426" i="1"/>
  <c r="CB429" i="1"/>
  <c r="CB441" i="1"/>
  <c r="CB449" i="1"/>
  <c r="CC450" i="1"/>
  <c r="CC456" i="1"/>
  <c r="CB457" i="1"/>
  <c r="CC478" i="1"/>
  <c r="CC492" i="1"/>
  <c r="CB516" i="1"/>
  <c r="CB530" i="1"/>
  <c r="CB534" i="1"/>
  <c r="CB565" i="1"/>
  <c r="CB593" i="1"/>
  <c r="CB594" i="1"/>
  <c r="CC595" i="1"/>
  <c r="CC596" i="1"/>
  <c r="CB601" i="1"/>
  <c r="CB602" i="1"/>
  <c r="CC603" i="1"/>
  <c r="CB636" i="1"/>
  <c r="CB638" i="1"/>
  <c r="CC672" i="1"/>
  <c r="CB731" i="1"/>
  <c r="CB748" i="1"/>
  <c r="CB755" i="1"/>
  <c r="CC760" i="1"/>
  <c r="CC770" i="1"/>
  <c r="CB771" i="1"/>
  <c r="CB773" i="1"/>
  <c r="CB800" i="1"/>
  <c r="CB802" i="1"/>
  <c r="CB820" i="1"/>
  <c r="CB824" i="1"/>
  <c r="CB836" i="1"/>
  <c r="CC858" i="1"/>
  <c r="CB863" i="1"/>
  <c r="CC867" i="1"/>
  <c r="CB870" i="1"/>
  <c r="CB893" i="1"/>
  <c r="CB900" i="1"/>
  <c r="CB907" i="1"/>
  <c r="CB921" i="1"/>
  <c r="CC966" i="1"/>
  <c r="CC967" i="1"/>
  <c r="CB971" i="1"/>
  <c r="CB978" i="1"/>
  <c r="CB16" i="1"/>
  <c r="CB25" i="1"/>
  <c r="CC28" i="1"/>
  <c r="CB43" i="1"/>
  <c r="CC45" i="1"/>
  <c r="CC47" i="1"/>
  <c r="CC63" i="1"/>
  <c r="CC69" i="1"/>
  <c r="CB82" i="1"/>
  <c r="CC92" i="1"/>
  <c r="CB92" i="1"/>
  <c r="CC100" i="1"/>
  <c r="CB100" i="1"/>
  <c r="CC108" i="1"/>
  <c r="CB108" i="1"/>
  <c r="CB120" i="1"/>
  <c r="CB312" i="1"/>
  <c r="CB328" i="1"/>
  <c r="CB344" i="1"/>
  <c r="CB365" i="1"/>
  <c r="CB397" i="1"/>
  <c r="CC473" i="1"/>
  <c r="CB473" i="1"/>
  <c r="CB520" i="1"/>
  <c r="CC584" i="1"/>
  <c r="CB584" i="1"/>
  <c r="CC10" i="1"/>
  <c r="CB10" i="1"/>
  <c r="CC116" i="1"/>
  <c r="CB116" i="1"/>
  <c r="CB160" i="1"/>
  <c r="CC213" i="1"/>
  <c r="CB213" i="1"/>
  <c r="CB357" i="1"/>
  <c r="CB389" i="1"/>
  <c r="CC488" i="1"/>
  <c r="CC501" i="1"/>
  <c r="CB512" i="1"/>
  <c r="CB544" i="1"/>
  <c r="CC749" i="1"/>
  <c r="CB749" i="1"/>
  <c r="CC761" i="1"/>
  <c r="CB761" i="1"/>
  <c r="CB878" i="1"/>
  <c r="CB5" i="1"/>
  <c r="CB13" i="1"/>
  <c r="CB24" i="1"/>
  <c r="CB34" i="1"/>
  <c r="CC36" i="1"/>
  <c r="CC61" i="1"/>
  <c r="CB65" i="1"/>
  <c r="CB71" i="1"/>
  <c r="CC75" i="1"/>
  <c r="CC77" i="1"/>
  <c r="CB86" i="1"/>
  <c r="CB94" i="1"/>
  <c r="CB102" i="1"/>
  <c r="CB110" i="1"/>
  <c r="CB114" i="1"/>
  <c r="CC124" i="1"/>
  <c r="CB124" i="1"/>
  <c r="CC158" i="1"/>
  <c r="CB158" i="1"/>
  <c r="CB219" i="1"/>
  <c r="CC219" i="1"/>
  <c r="CB353" i="1"/>
  <c r="CB373" i="1"/>
  <c r="CB405" i="1"/>
  <c r="CB528" i="1"/>
  <c r="CB29" i="1"/>
  <c r="CC9" i="1"/>
  <c r="CC12" i="1"/>
  <c r="CB21" i="1"/>
  <c r="CB32" i="1"/>
  <c r="CB39" i="1"/>
  <c r="CB49" i="1"/>
  <c r="CC67" i="1"/>
  <c r="CC73" i="1"/>
  <c r="CC81" i="1"/>
  <c r="CB90" i="1"/>
  <c r="CB98" i="1"/>
  <c r="CB106" i="1"/>
  <c r="CB156" i="1"/>
  <c r="CC162" i="1"/>
  <c r="CB162" i="1"/>
  <c r="CC217" i="1"/>
  <c r="CB217" i="1"/>
  <c r="CB320" i="1"/>
  <c r="CB336" i="1"/>
  <c r="CB381" i="1"/>
  <c r="CB413" i="1"/>
  <c r="CB423" i="1"/>
  <c r="CC442" i="1"/>
  <c r="CB442" i="1"/>
  <c r="CB459" i="1"/>
  <c r="CC465" i="1"/>
  <c r="CB465" i="1"/>
  <c r="CC480" i="1"/>
  <c r="CB536" i="1"/>
  <c r="CC126" i="1"/>
  <c r="CC130" i="1"/>
  <c r="CC134" i="1"/>
  <c r="CC138" i="1"/>
  <c r="CC142" i="1"/>
  <c r="CC146" i="1"/>
  <c r="CB231" i="1"/>
  <c r="CC231" i="1"/>
  <c r="CB254" i="1"/>
  <c r="CB262" i="1"/>
  <c r="CB270" i="1"/>
  <c r="CB734" i="1"/>
  <c r="CC734" i="1"/>
  <c r="CC765" i="1"/>
  <c r="CB765" i="1"/>
  <c r="CB14" i="1"/>
  <c r="CC18" i="1"/>
  <c r="CB22" i="1"/>
  <c r="CC26" i="1"/>
  <c r="CB30" i="1"/>
  <c r="CC35" i="1"/>
  <c r="CC38" i="1"/>
  <c r="CC42" i="1"/>
  <c r="CC43" i="1"/>
  <c r="CC46" i="1"/>
  <c r="CC49" i="1"/>
  <c r="CC51" i="1"/>
  <c r="CC53" i="1"/>
  <c r="CC55" i="1"/>
  <c r="CC57" i="1"/>
  <c r="CB78" i="1"/>
  <c r="CB79" i="1"/>
  <c r="CC88" i="1"/>
  <c r="CC89" i="1"/>
  <c r="CC96" i="1"/>
  <c r="CC97" i="1"/>
  <c r="CC104" i="1"/>
  <c r="CC105" i="1"/>
  <c r="CC112" i="1"/>
  <c r="CC115" i="1"/>
  <c r="CC120" i="1"/>
  <c r="CC123" i="1"/>
  <c r="CB147" i="1"/>
  <c r="CC149" i="1"/>
  <c r="CC153" i="1"/>
  <c r="CC156" i="1"/>
  <c r="CC160" i="1"/>
  <c r="CC206" i="1"/>
  <c r="CB206" i="1"/>
  <c r="CC220" i="1"/>
  <c r="CB224" i="1"/>
  <c r="CB226" i="1"/>
  <c r="CB227" i="1"/>
  <c r="CC227" i="1"/>
  <c r="CC229" i="1"/>
  <c r="CB415" i="1"/>
  <c r="CB421" i="1"/>
  <c r="CB431" i="1"/>
  <c r="CB437" i="1"/>
  <c r="CB476" i="1"/>
  <c r="CC476" i="1"/>
  <c r="CC574" i="1"/>
  <c r="CB574" i="1"/>
  <c r="CC118" i="1"/>
  <c r="CC151" i="1"/>
  <c r="CB152" i="1"/>
  <c r="CB228" i="1"/>
  <c r="CB230" i="1"/>
  <c r="CB261" i="1"/>
  <c r="CB269" i="1"/>
  <c r="CB425" i="1"/>
  <c r="CC499" i="1"/>
  <c r="CB499" i="1"/>
  <c r="CC580" i="1"/>
  <c r="CB580" i="1"/>
  <c r="CB740" i="1"/>
  <c r="CC740" i="1"/>
  <c r="CC5" i="1"/>
  <c r="CC8" i="1"/>
  <c r="CC11" i="1"/>
  <c r="CC15" i="1"/>
  <c r="CC19" i="1"/>
  <c r="CC23" i="1"/>
  <c r="CC27" i="1"/>
  <c r="CC31" i="1"/>
  <c r="CC34" i="1"/>
  <c r="CB81" i="1"/>
  <c r="CC84" i="1"/>
  <c r="CC90" i="1"/>
  <c r="CC98" i="1"/>
  <c r="CC106" i="1"/>
  <c r="CC114" i="1"/>
  <c r="CC122" i="1"/>
  <c r="CC128" i="1"/>
  <c r="CC132" i="1"/>
  <c r="CC136" i="1"/>
  <c r="CC140" i="1"/>
  <c r="CC144" i="1"/>
  <c r="CB150" i="1"/>
  <c r="CC154" i="1"/>
  <c r="CB203" i="1"/>
  <c r="CB204" i="1"/>
  <c r="CC209" i="1"/>
  <c r="CB209" i="1"/>
  <c r="CB214" i="1"/>
  <c r="CC218" i="1"/>
  <c r="CB220" i="1"/>
  <c r="CB222" i="1"/>
  <c r="CB223" i="1"/>
  <c r="CC223" i="1"/>
  <c r="CC225" i="1"/>
  <c r="CC232" i="1"/>
  <c r="CB233" i="1"/>
  <c r="CB236" i="1"/>
  <c r="CC238" i="1"/>
  <c r="CB240" i="1"/>
  <c r="CC242" i="1"/>
  <c r="CB244" i="1"/>
  <c r="CC246" i="1"/>
  <c r="CB248" i="1"/>
  <c r="CC250" i="1"/>
  <c r="CB253" i="1"/>
  <c r="CB257" i="1"/>
  <c r="CB258" i="1"/>
  <c r="CB265" i="1"/>
  <c r="CB266" i="1"/>
  <c r="CB273" i="1"/>
  <c r="CB274" i="1"/>
  <c r="CB278" i="1"/>
  <c r="CB282" i="1"/>
  <c r="CB286" i="1"/>
  <c r="CB290" i="1"/>
  <c r="CB294" i="1"/>
  <c r="CB298" i="1"/>
  <c r="CB302" i="1"/>
  <c r="CC307" i="1"/>
  <c r="CC308" i="1"/>
  <c r="CB308" i="1"/>
  <c r="CC316" i="1"/>
  <c r="CB316" i="1"/>
  <c r="CC324" i="1"/>
  <c r="CB324" i="1"/>
  <c r="CC332" i="1"/>
  <c r="CB332" i="1"/>
  <c r="CC340" i="1"/>
  <c r="CB340" i="1"/>
  <c r="CB348" i="1"/>
  <c r="CB417" i="1"/>
  <c r="CB427" i="1"/>
  <c r="CC429" i="1"/>
  <c r="CB433" i="1"/>
  <c r="CB445" i="1"/>
  <c r="CC446" i="1"/>
  <c r="CB450" i="1"/>
  <c r="CC496" i="1"/>
  <c r="CC497" i="1"/>
  <c r="CB547" i="1"/>
  <c r="CB551" i="1"/>
  <c r="CB563" i="1"/>
  <c r="CC566" i="1"/>
  <c r="CB566" i="1"/>
  <c r="CC670" i="1"/>
  <c r="CB276" i="1"/>
  <c r="CB280" i="1"/>
  <c r="CB284" i="1"/>
  <c r="CB288" i="1"/>
  <c r="CB292" i="1"/>
  <c r="CB296" i="1"/>
  <c r="CB300" i="1"/>
  <c r="CB304" i="1"/>
  <c r="CC305" i="1"/>
  <c r="CC306" i="1"/>
  <c r="CC312" i="1"/>
  <c r="CC320" i="1"/>
  <c r="CC328" i="1"/>
  <c r="CC336" i="1"/>
  <c r="CC344" i="1"/>
  <c r="CC349" i="1"/>
  <c r="CC353" i="1"/>
  <c r="CB380" i="1"/>
  <c r="CB384" i="1"/>
  <c r="CB388" i="1"/>
  <c r="CB392" i="1"/>
  <c r="CB396" i="1"/>
  <c r="CB400" i="1"/>
  <c r="CB404" i="1"/>
  <c r="CB408" i="1"/>
  <c r="CB412" i="1"/>
  <c r="CC415" i="1"/>
  <c r="CC419" i="1"/>
  <c r="CC423" i="1"/>
  <c r="CC427" i="1"/>
  <c r="CC431" i="1"/>
  <c r="CC435" i="1"/>
  <c r="CC440" i="1"/>
  <c r="CC444" i="1"/>
  <c r="CC448" i="1"/>
  <c r="CC452" i="1"/>
  <c r="CB461" i="1"/>
  <c r="CC468" i="1"/>
  <c r="CC469" i="1"/>
  <c r="CC477" i="1"/>
  <c r="CC479" i="1"/>
  <c r="CC481" i="1"/>
  <c r="CC483" i="1"/>
  <c r="CC485" i="1"/>
  <c r="CC487" i="1"/>
  <c r="CC489" i="1"/>
  <c r="CC491" i="1"/>
  <c r="CC493" i="1"/>
  <c r="CC495" i="1"/>
  <c r="CC504" i="1"/>
  <c r="CC505" i="1"/>
  <c r="CC507" i="1"/>
  <c r="CC513" i="1"/>
  <c r="CC515" i="1"/>
  <c r="CC519" i="1"/>
  <c r="CC523" i="1"/>
  <c r="CC527" i="1"/>
  <c r="CC531" i="1"/>
  <c r="CC535" i="1"/>
  <c r="CC539" i="1"/>
  <c r="CC543" i="1"/>
  <c r="CB548" i="1"/>
  <c r="CB552" i="1"/>
  <c r="CC553" i="1"/>
  <c r="CC556" i="1"/>
  <c r="CC568" i="1"/>
  <c r="CB571" i="1"/>
  <c r="CC576" i="1"/>
  <c r="CB591" i="1"/>
  <c r="CB592" i="1"/>
  <c r="CB599" i="1"/>
  <c r="CB600" i="1"/>
  <c r="CB605" i="1"/>
  <c r="CB640" i="1"/>
  <c r="CC664" i="1"/>
  <c r="CB664" i="1"/>
  <c r="CC745" i="1"/>
  <c r="CB745" i="1"/>
  <c r="CB763" i="1"/>
  <c r="CC202" i="1"/>
  <c r="CB205" i="1"/>
  <c r="CB207" i="1"/>
  <c r="CC210" i="1"/>
  <c r="CB237" i="1"/>
  <c r="CB245" i="1"/>
  <c r="CC253" i="1"/>
  <c r="CB255" i="1"/>
  <c r="CB256" i="1"/>
  <c r="CC257" i="1"/>
  <c r="CC258" i="1"/>
  <c r="CB263" i="1"/>
  <c r="CB264" i="1"/>
  <c r="CC265" i="1"/>
  <c r="CC266" i="1"/>
  <c r="CB271" i="1"/>
  <c r="CB272" i="1"/>
  <c r="CC273" i="1"/>
  <c r="CC274" i="1"/>
  <c r="CB277" i="1"/>
  <c r="CC278" i="1"/>
  <c r="CB281" i="1"/>
  <c r="CC282" i="1"/>
  <c r="CB285" i="1"/>
  <c r="CC286" i="1"/>
  <c r="CB289" i="1"/>
  <c r="CC290" i="1"/>
  <c r="CB293" i="1"/>
  <c r="CC294" i="1"/>
  <c r="CB297" i="1"/>
  <c r="CC298" i="1"/>
  <c r="CB301" i="1"/>
  <c r="CC302" i="1"/>
  <c r="CB305" i="1"/>
  <c r="CB306" i="1"/>
  <c r="CC310" i="1"/>
  <c r="CC318" i="1"/>
  <c r="CC326" i="1"/>
  <c r="CC334" i="1"/>
  <c r="CC342" i="1"/>
  <c r="CC347" i="1"/>
  <c r="CB350" i="1"/>
  <c r="CB352" i="1"/>
  <c r="CC355" i="1"/>
  <c r="CC357" i="1"/>
  <c r="CC359" i="1"/>
  <c r="CC361" i="1"/>
  <c r="CC363" i="1"/>
  <c r="CC365" i="1"/>
  <c r="CC367" i="1"/>
  <c r="CC369" i="1"/>
  <c r="CC371" i="1"/>
  <c r="CC373" i="1"/>
  <c r="CC375" i="1"/>
  <c r="CC377" i="1"/>
  <c r="CC379" i="1"/>
  <c r="CC381" i="1"/>
  <c r="CC383" i="1"/>
  <c r="CC385" i="1"/>
  <c r="CC387" i="1"/>
  <c r="CC389" i="1"/>
  <c r="CC391" i="1"/>
  <c r="CC393" i="1"/>
  <c r="CC395" i="1"/>
  <c r="CC397" i="1"/>
  <c r="CC399" i="1"/>
  <c r="CC401" i="1"/>
  <c r="CC403" i="1"/>
  <c r="CC405" i="1"/>
  <c r="CC407" i="1"/>
  <c r="CC409" i="1"/>
  <c r="CC411" i="1"/>
  <c r="CC413" i="1"/>
  <c r="CB439" i="1"/>
  <c r="CB443" i="1"/>
  <c r="CB447" i="1"/>
  <c r="CB451" i="1"/>
  <c r="CB453" i="1"/>
  <c r="CC459" i="1"/>
  <c r="CC467" i="1"/>
  <c r="CC475" i="1"/>
  <c r="CB478" i="1"/>
  <c r="CB480" i="1"/>
  <c r="CB482" i="1"/>
  <c r="CB484" i="1"/>
  <c r="CB486" i="1"/>
  <c r="CB488" i="1"/>
  <c r="CB490" i="1"/>
  <c r="CB492" i="1"/>
  <c r="CB494" i="1"/>
  <c r="CB501" i="1"/>
  <c r="CC506" i="1"/>
  <c r="CC508" i="1"/>
  <c r="CC510" i="1"/>
  <c r="CC512" i="1"/>
  <c r="CC514" i="1"/>
  <c r="CC516" i="1"/>
  <c r="CC518" i="1"/>
  <c r="CC520" i="1"/>
  <c r="CC522" i="1"/>
  <c r="CC524" i="1"/>
  <c r="CC526" i="1"/>
  <c r="CC528" i="1"/>
  <c r="CC530" i="1"/>
  <c r="CC532" i="1"/>
  <c r="CC534" i="1"/>
  <c r="CC536" i="1"/>
  <c r="CC538" i="1"/>
  <c r="CC540" i="1"/>
  <c r="CC542" i="1"/>
  <c r="CB543" i="1"/>
  <c r="CC544" i="1"/>
  <c r="CB545" i="1"/>
  <c r="CB549" i="1"/>
  <c r="CC559" i="1"/>
  <c r="CC560" i="1"/>
  <c r="CB581" i="1"/>
  <c r="CB588" i="1"/>
  <c r="CC730" i="1"/>
  <c r="CB730" i="1"/>
  <c r="CB747" i="1"/>
  <c r="CB767" i="1"/>
  <c r="CC832" i="1"/>
  <c r="CB832" i="1"/>
  <c r="CB925" i="1"/>
  <c r="CC936" i="1"/>
  <c r="CB936" i="1"/>
  <c r="CB948" i="1"/>
  <c r="CC948" i="1"/>
  <c r="CC611" i="1"/>
  <c r="CC629" i="1"/>
  <c r="CC631" i="1"/>
  <c r="CC633" i="1"/>
  <c r="CC635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C654" i="1"/>
  <c r="CB655" i="1"/>
  <c r="CC656" i="1"/>
  <c r="CB657" i="1"/>
  <c r="CC658" i="1"/>
  <c r="CB659" i="1"/>
  <c r="CC660" i="1"/>
  <c r="CB661" i="1"/>
  <c r="CC662" i="1"/>
  <c r="CB663" i="1"/>
  <c r="CB671" i="1"/>
  <c r="CB674" i="1"/>
  <c r="CB707" i="1"/>
  <c r="CC708" i="1"/>
  <c r="CB711" i="1"/>
  <c r="CC712" i="1"/>
  <c r="CB715" i="1"/>
  <c r="CC716" i="1"/>
  <c r="CB719" i="1"/>
  <c r="CC720" i="1"/>
  <c r="CC724" i="1"/>
  <c r="CC728" i="1"/>
  <c r="CB736" i="1"/>
  <c r="CB754" i="1"/>
  <c r="CC755" i="1"/>
  <c r="CB760" i="1"/>
  <c r="CB764" i="1"/>
  <c r="CC808" i="1"/>
  <c r="CB808" i="1"/>
  <c r="CC812" i="1"/>
  <c r="CB812" i="1"/>
  <c r="CC816" i="1"/>
  <c r="CB816" i="1"/>
  <c r="CC848" i="1"/>
  <c r="CB848" i="1"/>
  <c r="CB851" i="1"/>
  <c r="CC864" i="1"/>
  <c r="CB864" i="1"/>
  <c r="CC886" i="1"/>
  <c r="CB886" i="1"/>
  <c r="CC914" i="1"/>
  <c r="CB914" i="1"/>
  <c r="CC940" i="1"/>
  <c r="CB940" i="1"/>
  <c r="CC947" i="1"/>
  <c r="CB947" i="1"/>
  <c r="CC555" i="1"/>
  <c r="CC558" i="1"/>
  <c r="CC564" i="1"/>
  <c r="CB567" i="1"/>
  <c r="CC570" i="1"/>
  <c r="CB575" i="1"/>
  <c r="CC578" i="1"/>
  <c r="CC582" i="1"/>
  <c r="CC586" i="1"/>
  <c r="CC589" i="1"/>
  <c r="CB595" i="1"/>
  <c r="CB596" i="1"/>
  <c r="CC597" i="1"/>
  <c r="CC598" i="1"/>
  <c r="CC605" i="1"/>
  <c r="CB609" i="1"/>
  <c r="CC613" i="1"/>
  <c r="CB617" i="1"/>
  <c r="CB619" i="1"/>
  <c r="CC620" i="1"/>
  <c r="CB621" i="1"/>
  <c r="CC622" i="1"/>
  <c r="CB623" i="1"/>
  <c r="CC624" i="1"/>
  <c r="CB625" i="1"/>
  <c r="CC626" i="1"/>
  <c r="CB627" i="1"/>
  <c r="CC628" i="1"/>
  <c r="CB629" i="1"/>
  <c r="CB630" i="1"/>
  <c r="CB631" i="1"/>
  <c r="CB632" i="1"/>
  <c r="CB633" i="1"/>
  <c r="CB634" i="1"/>
  <c r="CB635" i="1"/>
  <c r="CC637" i="1"/>
  <c r="CB666" i="1"/>
  <c r="CC668" i="1"/>
  <c r="CC676" i="1"/>
  <c r="CC677" i="1"/>
  <c r="CC679" i="1"/>
  <c r="CC681" i="1"/>
  <c r="CC683" i="1"/>
  <c r="CB721" i="1"/>
  <c r="CB725" i="1"/>
  <c r="CB729" i="1"/>
  <c r="CB735" i="1"/>
  <c r="CB746" i="1"/>
  <c r="CC747" i="1"/>
  <c r="CB750" i="1"/>
  <c r="CC751" i="1"/>
  <c r="CB753" i="1"/>
  <c r="CB756" i="1"/>
  <c r="CC757" i="1"/>
  <c r="CC762" i="1"/>
  <c r="CC763" i="1"/>
  <c r="CB766" i="1"/>
  <c r="CC767" i="1"/>
  <c r="CB827" i="1"/>
  <c r="CB840" i="1"/>
  <c r="CB856" i="1"/>
  <c r="CC930" i="1"/>
  <c r="CB930" i="1"/>
  <c r="CB955" i="1"/>
  <c r="CC974" i="1"/>
  <c r="CB974" i="1"/>
  <c r="CC979" i="1"/>
  <c r="CB982" i="1"/>
  <c r="CB597" i="1"/>
  <c r="CB598" i="1"/>
  <c r="CB603" i="1"/>
  <c r="CB606" i="1"/>
  <c r="CC607" i="1"/>
  <c r="CB611" i="1"/>
  <c r="CB614" i="1"/>
  <c r="CC615" i="1"/>
  <c r="CB637" i="1"/>
  <c r="CC639" i="1"/>
  <c r="CC666" i="1"/>
  <c r="CB667" i="1"/>
  <c r="CB675" i="1"/>
  <c r="CB677" i="1"/>
  <c r="CB678" i="1"/>
  <c r="CB679" i="1"/>
  <c r="CB680" i="1"/>
  <c r="CB681" i="1"/>
  <c r="CB682" i="1"/>
  <c r="CB683" i="1"/>
  <c r="CC698" i="1"/>
  <c r="CC700" i="1"/>
  <c r="CC702" i="1"/>
  <c r="CC704" i="1"/>
  <c r="CC706" i="1"/>
  <c r="CC710" i="1"/>
  <c r="CC714" i="1"/>
  <c r="CC718" i="1"/>
  <c r="CC722" i="1"/>
  <c r="CC726" i="1"/>
  <c r="CC739" i="1"/>
  <c r="CC759" i="1"/>
  <c r="CB762" i="1"/>
  <c r="CB809" i="1"/>
  <c r="CC809" i="1"/>
  <c r="CB813" i="1"/>
  <c r="CC813" i="1"/>
  <c r="CB843" i="1"/>
  <c r="CB859" i="1"/>
  <c r="CB875" i="1"/>
  <c r="CB894" i="1"/>
  <c r="CC906" i="1"/>
  <c r="CB906" i="1"/>
  <c r="CC911" i="1"/>
  <c r="CB922" i="1"/>
  <c r="CB937" i="1"/>
  <c r="CC937" i="1"/>
  <c r="CB967" i="1"/>
  <c r="CC775" i="1"/>
  <c r="CC779" i="1"/>
  <c r="CC783" i="1"/>
  <c r="CC787" i="1"/>
  <c r="CC791" i="1"/>
  <c r="CC795" i="1"/>
  <c r="CC800" i="1"/>
  <c r="CC804" i="1"/>
  <c r="CC807" i="1"/>
  <c r="CC822" i="1"/>
  <c r="CC828" i="1"/>
  <c r="CC829" i="1"/>
  <c r="CC831" i="1"/>
  <c r="CC838" i="1"/>
  <c r="CC844" i="1"/>
  <c r="CC845" i="1"/>
  <c r="CC847" i="1"/>
  <c r="CC854" i="1"/>
  <c r="CC860" i="1"/>
  <c r="CC861" i="1"/>
  <c r="CC863" i="1"/>
  <c r="CC879" i="1"/>
  <c r="CB880" i="1"/>
  <c r="CC892" i="1"/>
  <c r="CC896" i="1"/>
  <c r="CC907" i="1"/>
  <c r="CB911" i="1"/>
  <c r="CC926" i="1"/>
  <c r="CC927" i="1"/>
  <c r="CC929" i="1"/>
  <c r="CC951" i="1"/>
  <c r="CB952" i="1"/>
  <c r="CB953" i="1"/>
  <c r="CC802" i="1"/>
  <c r="CC824" i="1"/>
  <c r="CC825" i="1"/>
  <c r="CC827" i="1"/>
  <c r="CC834" i="1"/>
  <c r="CB835" i="1"/>
  <c r="CC840" i="1"/>
  <c r="CC841" i="1"/>
  <c r="CC843" i="1"/>
  <c r="CC850" i="1"/>
  <c r="CC856" i="1"/>
  <c r="CC857" i="1"/>
  <c r="CC859" i="1"/>
  <c r="CC866" i="1"/>
  <c r="CB867" i="1"/>
  <c r="CC871" i="1"/>
  <c r="CB872" i="1"/>
  <c r="CC875" i="1"/>
  <c r="CB876" i="1"/>
  <c r="CC882" i="1"/>
  <c r="CB883" i="1"/>
  <c r="CC885" i="1"/>
  <c r="CB889" i="1"/>
  <c r="CC894" i="1"/>
  <c r="CB895" i="1"/>
  <c r="CC898" i="1"/>
  <c r="CC899" i="1"/>
  <c r="CC903" i="1"/>
  <c r="CB910" i="1"/>
  <c r="CC916" i="1"/>
  <c r="CB917" i="1"/>
  <c r="CC922" i="1"/>
  <c r="CC925" i="1"/>
  <c r="CC932" i="1"/>
  <c r="CB943" i="1"/>
  <c r="CC955" i="1"/>
  <c r="CB956" i="1"/>
  <c r="CB957" i="1"/>
  <c r="CB961" i="1"/>
  <c r="CB970" i="1"/>
  <c r="CB772" i="1"/>
  <c r="CC773" i="1"/>
  <c r="CC777" i="1"/>
  <c r="CC781" i="1"/>
  <c r="CC785" i="1"/>
  <c r="CC789" i="1"/>
  <c r="CC793" i="1"/>
  <c r="CC797" i="1"/>
  <c r="CB801" i="1"/>
  <c r="CC820" i="1"/>
  <c r="CB821" i="1"/>
  <c r="CC823" i="1"/>
  <c r="CC830" i="1"/>
  <c r="CC836" i="1"/>
  <c r="CC839" i="1"/>
  <c r="CC846" i="1"/>
  <c r="CC852" i="1"/>
  <c r="CC855" i="1"/>
  <c r="CC862" i="1"/>
  <c r="CC868" i="1"/>
  <c r="CC870" i="1"/>
  <c r="CB885" i="1"/>
  <c r="CC890" i="1"/>
  <c r="CB891" i="1"/>
  <c r="CC893" i="1"/>
  <c r="CC897" i="1"/>
  <c r="CC902" i="1"/>
  <c r="CB905" i="1"/>
  <c r="CB908" i="1"/>
  <c r="CB909" i="1"/>
  <c r="CB912" i="1"/>
  <c r="CC918" i="1"/>
  <c r="CC921" i="1"/>
  <c r="CC928" i="1"/>
  <c r="CC944" i="1"/>
  <c r="CB945" i="1"/>
  <c r="CC959" i="1"/>
  <c r="CC960" i="1"/>
  <c r="CC963" i="1"/>
  <c r="CC964" i="1"/>
  <c r="CB965" i="1"/>
  <c r="CB969" i="1"/>
  <c r="CC982" i="1"/>
  <c r="CC48" i="1"/>
  <c r="CC44" i="1"/>
  <c r="AR6" i="1"/>
  <c r="AC6" i="1"/>
  <c r="CC22" i="1"/>
  <c r="CC30" i="1"/>
  <c r="AR4" i="1"/>
  <c r="AC5" i="1"/>
  <c r="E5" i="1" s="1"/>
  <c r="CB6" i="1"/>
  <c r="CB7" i="1"/>
  <c r="AR8" i="1"/>
  <c r="CB8" i="1"/>
  <c r="AR9" i="1"/>
  <c r="AC9" i="1"/>
  <c r="BC9" i="1"/>
  <c r="AR11" i="1"/>
  <c r="AC11" i="1"/>
  <c r="BC11" i="1"/>
  <c r="CC13" i="1"/>
  <c r="BC16" i="1"/>
  <c r="AR18" i="1"/>
  <c r="CB18" i="1"/>
  <c r="AR19" i="1"/>
  <c r="AC19" i="1"/>
  <c r="E19" i="1" s="1"/>
  <c r="BC19" i="1"/>
  <c r="CC21" i="1"/>
  <c r="BC24" i="1"/>
  <c r="AR26" i="1"/>
  <c r="CB26" i="1"/>
  <c r="AR27" i="1"/>
  <c r="AC27" i="1"/>
  <c r="BC27" i="1"/>
  <c r="CC29" i="1"/>
  <c r="BC32" i="1"/>
  <c r="AR34" i="1"/>
  <c r="AR35" i="1"/>
  <c r="AC35" i="1"/>
  <c r="BC35" i="1"/>
  <c r="CC37" i="1"/>
  <c r="AR40" i="1"/>
  <c r="AC40" i="1"/>
  <c r="BC40" i="1"/>
  <c r="CC41" i="1"/>
  <c r="BC44" i="1"/>
  <c r="AR45" i="1"/>
  <c r="BC46" i="1"/>
  <c r="AR47" i="1"/>
  <c r="BC48" i="1"/>
  <c r="AR49" i="1"/>
  <c r="BC51" i="1"/>
  <c r="AR51" i="1"/>
  <c r="AC51" i="1"/>
  <c r="CB52" i="1"/>
  <c r="BC59" i="1"/>
  <c r="AR59" i="1"/>
  <c r="AC59" i="1"/>
  <c r="CB60" i="1"/>
  <c r="BC67" i="1"/>
  <c r="AR67" i="1"/>
  <c r="AC67" i="1"/>
  <c r="CB68" i="1"/>
  <c r="BC75" i="1"/>
  <c r="AR75" i="1"/>
  <c r="AC75" i="1"/>
  <c r="CB76" i="1"/>
  <c r="CB80" i="1"/>
  <c r="CC155" i="1"/>
  <c r="CC159" i="1"/>
  <c r="CC163" i="1"/>
  <c r="CC167" i="1"/>
  <c r="CC171" i="1"/>
  <c r="CC175" i="1"/>
  <c r="CC179" i="1"/>
  <c r="CC183" i="1"/>
  <c r="CC187" i="1"/>
  <c r="CC191" i="1"/>
  <c r="CC195" i="1"/>
  <c r="CC199" i="1"/>
  <c r="CC14" i="1"/>
  <c r="CC4" i="1"/>
  <c r="AC8" i="1"/>
  <c r="CB9" i="1"/>
  <c r="CB11" i="1"/>
  <c r="CB12" i="1"/>
  <c r="AC18" i="1"/>
  <c r="CB19" i="1"/>
  <c r="CB20" i="1"/>
  <c r="AC26" i="1"/>
  <c r="CB27" i="1"/>
  <c r="CB28" i="1"/>
  <c r="AC34" i="1"/>
  <c r="CB35" i="1"/>
  <c r="CB36" i="1"/>
  <c r="CB40" i="1"/>
  <c r="AC45" i="1"/>
  <c r="AC47" i="1"/>
  <c r="E47" i="1" s="1"/>
  <c r="AC49" i="1"/>
  <c r="CB50" i="1"/>
  <c r="CB51" i="1"/>
  <c r="BC57" i="1"/>
  <c r="AR57" i="1"/>
  <c r="AC57" i="1"/>
  <c r="CB58" i="1"/>
  <c r="CB59" i="1"/>
  <c r="BC65" i="1"/>
  <c r="AR65" i="1"/>
  <c r="AC65" i="1"/>
  <c r="CB66" i="1"/>
  <c r="CB67" i="1"/>
  <c r="BC73" i="1"/>
  <c r="AR73" i="1"/>
  <c r="AC73" i="1"/>
  <c r="CB74" i="1"/>
  <c r="CB75" i="1"/>
  <c r="BC79" i="1"/>
  <c r="AR79" i="1"/>
  <c r="AC79" i="1"/>
  <c r="AR83" i="1"/>
  <c r="AC83" i="1"/>
  <c r="CC91" i="1"/>
  <c r="CC99" i="1"/>
  <c r="CC107" i="1"/>
  <c r="CC117" i="1"/>
  <c r="CC125" i="1"/>
  <c r="CC127" i="1"/>
  <c r="CC131" i="1"/>
  <c r="CC135" i="1"/>
  <c r="CC139" i="1"/>
  <c r="CC143" i="1"/>
  <c r="CC148" i="1"/>
  <c r="AR10" i="1"/>
  <c r="AC10" i="1"/>
  <c r="BC10" i="1"/>
  <c r="AR15" i="1"/>
  <c r="AC15" i="1"/>
  <c r="BC15" i="1"/>
  <c r="CC16" i="1"/>
  <c r="CC17" i="1"/>
  <c r="AR23" i="1"/>
  <c r="AC23" i="1"/>
  <c r="BC23" i="1"/>
  <c r="CC24" i="1"/>
  <c r="CC25" i="1"/>
  <c r="AR31" i="1"/>
  <c r="AC31" i="1"/>
  <c r="BC31" i="1"/>
  <c r="CC32" i="1"/>
  <c r="CC33" i="1"/>
  <c r="AR38" i="1"/>
  <c r="AC38" i="1"/>
  <c r="BC38" i="1"/>
  <c r="CC39" i="1"/>
  <c r="AR42" i="1"/>
  <c r="AC42" i="1"/>
  <c r="BC42" i="1"/>
  <c r="BC55" i="1"/>
  <c r="AR55" i="1"/>
  <c r="AC55" i="1"/>
  <c r="CB56" i="1"/>
  <c r="CB57" i="1"/>
  <c r="BC63" i="1"/>
  <c r="AR63" i="1"/>
  <c r="AC63" i="1"/>
  <c r="CB64" i="1"/>
  <c r="BC71" i="1"/>
  <c r="AR71" i="1"/>
  <c r="AC71" i="1"/>
  <c r="CB72" i="1"/>
  <c r="CC85" i="1"/>
  <c r="CC93" i="1"/>
  <c r="CC101" i="1"/>
  <c r="CC109" i="1"/>
  <c r="CC119" i="1"/>
  <c r="CC157" i="1"/>
  <c r="CC161" i="1"/>
  <c r="CC165" i="1"/>
  <c r="CC169" i="1"/>
  <c r="CC173" i="1"/>
  <c r="CC177" i="1"/>
  <c r="CC181" i="1"/>
  <c r="CC185" i="1"/>
  <c r="CC189" i="1"/>
  <c r="CC193" i="1"/>
  <c r="CC197" i="1"/>
  <c r="BC6" i="1"/>
  <c r="CB44" i="1"/>
  <c r="CB46" i="1"/>
  <c r="CB48" i="1"/>
  <c r="BC53" i="1"/>
  <c r="AR53" i="1"/>
  <c r="AC53" i="1"/>
  <c r="CB54" i="1"/>
  <c r="BC61" i="1"/>
  <c r="AR61" i="1"/>
  <c r="AC61" i="1"/>
  <c r="CB62" i="1"/>
  <c r="BC69" i="1"/>
  <c r="AR69" i="1"/>
  <c r="AC69" i="1"/>
  <c r="CB70" i="1"/>
  <c r="BC77" i="1"/>
  <c r="AR77" i="1"/>
  <c r="AC77" i="1"/>
  <c r="BC81" i="1"/>
  <c r="AR81" i="1"/>
  <c r="AC81" i="1"/>
  <c r="CC50" i="1"/>
  <c r="CC52" i="1"/>
  <c r="CC54" i="1"/>
  <c r="CC56" i="1"/>
  <c r="CC58" i="1"/>
  <c r="CC60" i="1"/>
  <c r="CC62" i="1"/>
  <c r="CC64" i="1"/>
  <c r="CC66" i="1"/>
  <c r="CC68" i="1"/>
  <c r="CC70" i="1"/>
  <c r="CC72" i="1"/>
  <c r="CC74" i="1"/>
  <c r="CC76" i="1"/>
  <c r="CC78" i="1"/>
  <c r="CC80" i="1"/>
  <c r="CC82" i="1"/>
  <c r="CB83" i="1"/>
  <c r="CB85" i="1"/>
  <c r="CB87" i="1"/>
  <c r="CB89" i="1"/>
  <c r="CB91" i="1"/>
  <c r="CB93" i="1"/>
  <c r="CB95" i="1"/>
  <c r="CB97" i="1"/>
  <c r="CB99" i="1"/>
  <c r="CB101" i="1"/>
  <c r="CB103" i="1"/>
  <c r="CB105" i="1"/>
  <c r="CB107" i="1"/>
  <c r="CB109" i="1"/>
  <c r="CB111" i="1"/>
  <c r="CB113" i="1"/>
  <c r="CB115" i="1"/>
  <c r="CB117" i="1"/>
  <c r="CB119" i="1"/>
  <c r="CB121" i="1"/>
  <c r="CB123" i="1"/>
  <c r="CB125" i="1"/>
  <c r="CB127" i="1"/>
  <c r="CB129" i="1"/>
  <c r="CB131" i="1"/>
  <c r="CB133" i="1"/>
  <c r="CB135" i="1"/>
  <c r="CB137" i="1"/>
  <c r="CB139" i="1"/>
  <c r="CB141" i="1"/>
  <c r="CB143" i="1"/>
  <c r="CB145" i="1"/>
  <c r="CC147" i="1"/>
  <c r="AC148" i="1"/>
  <c r="AR148" i="1"/>
  <c r="CB148" i="1"/>
  <c r="CC150" i="1"/>
  <c r="AC151" i="1"/>
  <c r="AR151" i="1"/>
  <c r="CC152" i="1"/>
  <c r="AC153" i="1"/>
  <c r="AR153" i="1"/>
  <c r="CB153" i="1"/>
  <c r="CB155" i="1"/>
  <c r="CB157" i="1"/>
  <c r="CB159" i="1"/>
  <c r="CB161" i="1"/>
  <c r="CB163" i="1"/>
  <c r="CB165" i="1"/>
  <c r="CB167" i="1"/>
  <c r="CB169" i="1"/>
  <c r="CB171" i="1"/>
  <c r="CB173" i="1"/>
  <c r="CB175" i="1"/>
  <c r="CB177" i="1"/>
  <c r="CB179" i="1"/>
  <c r="CB181" i="1"/>
  <c r="CB183" i="1"/>
  <c r="CB185" i="1"/>
  <c r="CB187" i="1"/>
  <c r="CB189" i="1"/>
  <c r="CB191" i="1"/>
  <c r="CB193" i="1"/>
  <c r="CB195" i="1"/>
  <c r="CB197" i="1"/>
  <c r="CB199" i="1"/>
  <c r="CC205" i="1"/>
  <c r="CB221" i="1"/>
  <c r="CB225" i="1"/>
  <c r="CB229" i="1"/>
  <c r="CB239" i="1"/>
  <c r="CB247" i="1"/>
  <c r="CC259" i="1"/>
  <c r="CC260" i="1"/>
  <c r="CC267" i="1"/>
  <c r="CC268" i="1"/>
  <c r="CC275" i="1"/>
  <c r="CC277" i="1"/>
  <c r="CC279" i="1"/>
  <c r="CC281" i="1"/>
  <c r="CC283" i="1"/>
  <c r="CC285" i="1"/>
  <c r="CC287" i="1"/>
  <c r="CC289" i="1"/>
  <c r="CC291" i="1"/>
  <c r="CC293" i="1"/>
  <c r="CC295" i="1"/>
  <c r="CC297" i="1"/>
  <c r="CC299" i="1"/>
  <c r="CC301" i="1"/>
  <c r="CC303" i="1"/>
  <c r="AE113" i="1"/>
  <c r="AC114" i="1"/>
  <c r="AG114" i="1"/>
  <c r="AR114" i="1"/>
  <c r="AE115" i="1"/>
  <c r="AC116" i="1"/>
  <c r="AG116" i="1"/>
  <c r="AR116" i="1"/>
  <c r="AE117" i="1"/>
  <c r="AC118" i="1"/>
  <c r="AG118" i="1"/>
  <c r="AR118" i="1"/>
  <c r="AE119" i="1"/>
  <c r="AC120" i="1"/>
  <c r="AG120" i="1"/>
  <c r="AR120" i="1"/>
  <c r="AE121" i="1"/>
  <c r="AC122" i="1"/>
  <c r="AG122" i="1"/>
  <c r="AR122" i="1"/>
  <c r="AE123" i="1"/>
  <c r="AC124" i="1"/>
  <c r="AG124" i="1"/>
  <c r="AR124" i="1"/>
  <c r="AE125" i="1"/>
  <c r="AC126" i="1"/>
  <c r="AG126" i="1"/>
  <c r="AR126" i="1"/>
  <c r="AE127" i="1"/>
  <c r="AC128" i="1"/>
  <c r="AG128" i="1"/>
  <c r="AR128" i="1"/>
  <c r="AE129" i="1"/>
  <c r="AC130" i="1"/>
  <c r="AG130" i="1"/>
  <c r="AR130" i="1"/>
  <c r="AE131" i="1"/>
  <c r="AC132" i="1"/>
  <c r="AG132" i="1"/>
  <c r="AR132" i="1"/>
  <c r="AE133" i="1"/>
  <c r="AC134" i="1"/>
  <c r="AG134" i="1"/>
  <c r="AR134" i="1"/>
  <c r="AE135" i="1"/>
  <c r="AC136" i="1"/>
  <c r="AG136" i="1"/>
  <c r="AR136" i="1"/>
  <c r="AE137" i="1"/>
  <c r="AC138" i="1"/>
  <c r="AG138" i="1"/>
  <c r="AR138" i="1"/>
  <c r="AE139" i="1"/>
  <c r="AC140" i="1"/>
  <c r="AG140" i="1"/>
  <c r="AR140" i="1"/>
  <c r="AE141" i="1"/>
  <c r="AC142" i="1"/>
  <c r="AG142" i="1"/>
  <c r="AR142" i="1"/>
  <c r="AE143" i="1"/>
  <c r="AC144" i="1"/>
  <c r="AG144" i="1"/>
  <c r="AR144" i="1"/>
  <c r="AE145" i="1"/>
  <c r="AC146" i="1"/>
  <c r="AG146" i="1"/>
  <c r="AR146" i="1"/>
  <c r="AE147" i="1"/>
  <c r="BC147" i="1"/>
  <c r="AD148" i="1"/>
  <c r="AH148" i="1"/>
  <c r="AC149" i="1"/>
  <c r="AG149" i="1"/>
  <c r="AR149" i="1"/>
  <c r="CB149" i="1"/>
  <c r="AF150" i="1"/>
  <c r="AD151" i="1"/>
  <c r="AH151" i="1"/>
  <c r="CB151" i="1"/>
  <c r="AF152" i="1"/>
  <c r="AD153" i="1"/>
  <c r="AH153" i="1"/>
  <c r="AC154" i="1"/>
  <c r="AG154" i="1"/>
  <c r="AR154" i="1"/>
  <c r="AE155" i="1"/>
  <c r="AC156" i="1"/>
  <c r="AG156" i="1"/>
  <c r="AR156" i="1"/>
  <c r="AE157" i="1"/>
  <c r="AC158" i="1"/>
  <c r="AG158" i="1"/>
  <c r="AR158" i="1"/>
  <c r="AE159" i="1"/>
  <c r="AC160" i="1"/>
  <c r="AG160" i="1"/>
  <c r="AR160" i="1"/>
  <c r="AE161" i="1"/>
  <c r="AC162" i="1"/>
  <c r="AG162" i="1"/>
  <c r="AR162" i="1"/>
  <c r="AE163" i="1"/>
  <c r="BC202" i="1"/>
  <c r="CC204" i="1"/>
  <c r="CB208" i="1"/>
  <c r="CB211" i="1"/>
  <c r="CB212" i="1"/>
  <c r="CB215" i="1"/>
  <c r="CB216" i="1"/>
  <c r="BC219" i="1"/>
  <c r="CC222" i="1"/>
  <c r="BC223" i="1"/>
  <c r="BC227" i="1"/>
  <c r="BC231" i="1"/>
  <c r="AF127" i="1"/>
  <c r="AD128" i="1"/>
  <c r="AH128" i="1"/>
  <c r="AF129" i="1"/>
  <c r="AD130" i="1"/>
  <c r="AH130" i="1"/>
  <c r="AF131" i="1"/>
  <c r="AD132" i="1"/>
  <c r="AH132" i="1"/>
  <c r="AF133" i="1"/>
  <c r="AD134" i="1"/>
  <c r="AH134" i="1"/>
  <c r="AF135" i="1"/>
  <c r="AD136" i="1"/>
  <c r="AH136" i="1"/>
  <c r="AF137" i="1"/>
  <c r="AD138" i="1"/>
  <c r="AH138" i="1"/>
  <c r="AF139" i="1"/>
  <c r="AD140" i="1"/>
  <c r="AH140" i="1"/>
  <c r="AF141" i="1"/>
  <c r="AD142" i="1"/>
  <c r="AH142" i="1"/>
  <c r="AF143" i="1"/>
  <c r="AD144" i="1"/>
  <c r="AH144" i="1"/>
  <c r="AF145" i="1"/>
  <c r="AD146" i="1"/>
  <c r="AH146" i="1"/>
  <c r="AF147" i="1"/>
  <c r="AE148" i="1"/>
  <c r="AD149" i="1"/>
  <c r="AH149" i="1"/>
  <c r="AC150" i="1"/>
  <c r="AG150" i="1"/>
  <c r="AR150" i="1"/>
  <c r="AE151" i="1"/>
  <c r="AC152" i="1"/>
  <c r="AG152" i="1"/>
  <c r="AR152" i="1"/>
  <c r="AE153" i="1"/>
  <c r="AD154" i="1"/>
  <c r="AH154" i="1"/>
  <c r="AF155" i="1"/>
  <c r="AD156" i="1"/>
  <c r="AH156" i="1"/>
  <c r="AF157" i="1"/>
  <c r="AD158" i="1"/>
  <c r="AH158" i="1"/>
  <c r="AF159" i="1"/>
  <c r="AD160" i="1"/>
  <c r="AH160" i="1"/>
  <c r="AF161" i="1"/>
  <c r="AD162" i="1"/>
  <c r="AH162" i="1"/>
  <c r="AF163" i="1"/>
  <c r="BC206" i="1"/>
  <c r="BC207" i="1"/>
  <c r="BC210" i="1"/>
  <c r="BC211" i="1"/>
  <c r="BC214" i="1"/>
  <c r="BC215" i="1"/>
  <c r="BC218" i="1"/>
  <c r="AC85" i="1"/>
  <c r="AC87" i="1"/>
  <c r="AC89" i="1"/>
  <c r="AC91" i="1"/>
  <c r="E91" i="1" s="1"/>
  <c r="AC93" i="1"/>
  <c r="AC95" i="1"/>
  <c r="AC97" i="1"/>
  <c r="AC99" i="1"/>
  <c r="AC101" i="1"/>
  <c r="AC103" i="1"/>
  <c r="AC105" i="1"/>
  <c r="AC107" i="1"/>
  <c r="E107" i="1" s="1"/>
  <c r="AC109" i="1"/>
  <c r="AC111" i="1"/>
  <c r="AC113" i="1"/>
  <c r="AC115" i="1"/>
  <c r="AC117" i="1"/>
  <c r="AC119" i="1"/>
  <c r="AC121" i="1"/>
  <c r="E121" i="1" s="1"/>
  <c r="AC123" i="1"/>
  <c r="AC125" i="1"/>
  <c r="AC127" i="1"/>
  <c r="AC129" i="1"/>
  <c r="AC131" i="1"/>
  <c r="AC133" i="1"/>
  <c r="AC135" i="1"/>
  <c r="AC137" i="1"/>
  <c r="AC139" i="1"/>
  <c r="AC141" i="1"/>
  <c r="AC143" i="1"/>
  <c r="AC145" i="1"/>
  <c r="AC147" i="1"/>
  <c r="AC155" i="1"/>
  <c r="AC157" i="1"/>
  <c r="AC159" i="1"/>
  <c r="AC161" i="1"/>
  <c r="AC163" i="1"/>
  <c r="CC201" i="1"/>
  <c r="CC207" i="1"/>
  <c r="CC208" i="1"/>
  <c r="CC211" i="1"/>
  <c r="CC212" i="1"/>
  <c r="CC215" i="1"/>
  <c r="CC216" i="1"/>
  <c r="CC234" i="1"/>
  <c r="CB241" i="1"/>
  <c r="CB249" i="1"/>
  <c r="CC254" i="1"/>
  <c r="CC261" i="1"/>
  <c r="CC262" i="1"/>
  <c r="CC269" i="1"/>
  <c r="CC270" i="1"/>
  <c r="CC235" i="1"/>
  <c r="CC237" i="1"/>
  <c r="CC239" i="1"/>
  <c r="CC241" i="1"/>
  <c r="CC243" i="1"/>
  <c r="CC245" i="1"/>
  <c r="CC247" i="1"/>
  <c r="CC249" i="1"/>
  <c r="CC251" i="1"/>
  <c r="BC253" i="1"/>
  <c r="BC310" i="1"/>
  <c r="CC311" i="1"/>
  <c r="CC314" i="1"/>
  <c r="BC318" i="1"/>
  <c r="CC319" i="1"/>
  <c r="CC322" i="1"/>
  <c r="BC326" i="1"/>
  <c r="CC327" i="1"/>
  <c r="CC330" i="1"/>
  <c r="BC334" i="1"/>
  <c r="CC335" i="1"/>
  <c r="CC338" i="1"/>
  <c r="BC342" i="1"/>
  <c r="CC343" i="1"/>
  <c r="CC346" i="1"/>
  <c r="BC352" i="1"/>
  <c r="BC235" i="1"/>
  <c r="BC237" i="1"/>
  <c r="BC239" i="1"/>
  <c r="BC241" i="1"/>
  <c r="BC243" i="1"/>
  <c r="BC245" i="1"/>
  <c r="BC247" i="1"/>
  <c r="BC249" i="1"/>
  <c r="BC251" i="1"/>
  <c r="CB252" i="1"/>
  <c r="BC316" i="1"/>
  <c r="CC317" i="1"/>
  <c r="BC324" i="1"/>
  <c r="CC325" i="1"/>
  <c r="BC332" i="1"/>
  <c r="CC333" i="1"/>
  <c r="BC340" i="1"/>
  <c r="CC341" i="1"/>
  <c r="BC350" i="1"/>
  <c r="CB354" i="1"/>
  <c r="CB356" i="1"/>
  <c r="CB360" i="1"/>
  <c r="CB364" i="1"/>
  <c r="CB368" i="1"/>
  <c r="CB372" i="1"/>
  <c r="CB376" i="1"/>
  <c r="CB382" i="1"/>
  <c r="CB390" i="1"/>
  <c r="CB398" i="1"/>
  <c r="CB406" i="1"/>
  <c r="CB420" i="1"/>
  <c r="CB428" i="1"/>
  <c r="CB436" i="1"/>
  <c r="BC222" i="1"/>
  <c r="BC226" i="1"/>
  <c r="BC230" i="1"/>
  <c r="BC234" i="1"/>
  <c r="BC256" i="1"/>
  <c r="BC258" i="1"/>
  <c r="BC260" i="1"/>
  <c r="BC262" i="1"/>
  <c r="BC264" i="1"/>
  <c r="BC266" i="1"/>
  <c r="BC268" i="1"/>
  <c r="BC270" i="1"/>
  <c r="BC272" i="1"/>
  <c r="BC274" i="1"/>
  <c r="BC306" i="1"/>
  <c r="BC314" i="1"/>
  <c r="CC315" i="1"/>
  <c r="BC322" i="1"/>
  <c r="CC323" i="1"/>
  <c r="BC330" i="1"/>
  <c r="CC331" i="1"/>
  <c r="BC338" i="1"/>
  <c r="CC339" i="1"/>
  <c r="BC346" i="1"/>
  <c r="BC348" i="1"/>
  <c r="CB307" i="1"/>
  <c r="CB309" i="1"/>
  <c r="BC312" i="1"/>
  <c r="CC313" i="1"/>
  <c r="BC320" i="1"/>
  <c r="CC321" i="1"/>
  <c r="BC328" i="1"/>
  <c r="CC329" i="1"/>
  <c r="BC336" i="1"/>
  <c r="CC337" i="1"/>
  <c r="BC344" i="1"/>
  <c r="CC345" i="1"/>
  <c r="CC348" i="1"/>
  <c r="CC351" i="1"/>
  <c r="CB358" i="1"/>
  <c r="CB362" i="1"/>
  <c r="CB366" i="1"/>
  <c r="CB370" i="1"/>
  <c r="CB374" i="1"/>
  <c r="CB378" i="1"/>
  <c r="CB386" i="1"/>
  <c r="CB394" i="1"/>
  <c r="CB402" i="1"/>
  <c r="CB410" i="1"/>
  <c r="CB416" i="1"/>
  <c r="CB424" i="1"/>
  <c r="CB432" i="1"/>
  <c r="CC354" i="1"/>
  <c r="CC356" i="1"/>
  <c r="CC358" i="1"/>
  <c r="CC360" i="1"/>
  <c r="CC362" i="1"/>
  <c r="CC364" i="1"/>
  <c r="CC366" i="1"/>
  <c r="CC368" i="1"/>
  <c r="CC370" i="1"/>
  <c r="CC372" i="1"/>
  <c r="CC374" i="1"/>
  <c r="CC376" i="1"/>
  <c r="CC378" i="1"/>
  <c r="CC380" i="1"/>
  <c r="CC382" i="1"/>
  <c r="CC384" i="1"/>
  <c r="CC386" i="1"/>
  <c r="CC388" i="1"/>
  <c r="CC390" i="1"/>
  <c r="CC392" i="1"/>
  <c r="CC394" i="1"/>
  <c r="CC396" i="1"/>
  <c r="CC398" i="1"/>
  <c r="CC400" i="1"/>
  <c r="CC402" i="1"/>
  <c r="CC404" i="1"/>
  <c r="CC406" i="1"/>
  <c r="CC408" i="1"/>
  <c r="CC410" i="1"/>
  <c r="CC412" i="1"/>
  <c r="CC414" i="1"/>
  <c r="CC416" i="1"/>
  <c r="CC418" i="1"/>
  <c r="CC420" i="1"/>
  <c r="CC422" i="1"/>
  <c r="CC424" i="1"/>
  <c r="CC426" i="1"/>
  <c r="CC428" i="1"/>
  <c r="CC430" i="1"/>
  <c r="CC432" i="1"/>
  <c r="CC434" i="1"/>
  <c r="CC436" i="1"/>
  <c r="CC438" i="1"/>
  <c r="CC453" i="1"/>
  <c r="CC455" i="1"/>
  <c r="CC457" i="1"/>
  <c r="CC458" i="1"/>
  <c r="CC461" i="1"/>
  <c r="BC465" i="1"/>
  <c r="CC466" i="1"/>
  <c r="CC472" i="1"/>
  <c r="CC474" i="1"/>
  <c r="BC475" i="1"/>
  <c r="BC414" i="1"/>
  <c r="BC416" i="1"/>
  <c r="BC418" i="1"/>
  <c r="BC420" i="1"/>
  <c r="BC422" i="1"/>
  <c r="BC424" i="1"/>
  <c r="BC426" i="1"/>
  <c r="BC428" i="1"/>
  <c r="BC430" i="1"/>
  <c r="BC432" i="1"/>
  <c r="BC434" i="1"/>
  <c r="BC436" i="1"/>
  <c r="BC438" i="1"/>
  <c r="BC440" i="1"/>
  <c r="CC441" i="1"/>
  <c r="BC444" i="1"/>
  <c r="CC445" i="1"/>
  <c r="BC448" i="1"/>
  <c r="CC449" i="1"/>
  <c r="BC452" i="1"/>
  <c r="BC463" i="1"/>
  <c r="CC464" i="1"/>
  <c r="CB311" i="1"/>
  <c r="CB313" i="1"/>
  <c r="CB315" i="1"/>
  <c r="CB317" i="1"/>
  <c r="CB319" i="1"/>
  <c r="CB321" i="1"/>
  <c r="CB323" i="1"/>
  <c r="CB325" i="1"/>
  <c r="CB327" i="1"/>
  <c r="CB329" i="1"/>
  <c r="CB331" i="1"/>
  <c r="CB333" i="1"/>
  <c r="CB335" i="1"/>
  <c r="CB337" i="1"/>
  <c r="CB339" i="1"/>
  <c r="CB341" i="1"/>
  <c r="CB343" i="1"/>
  <c r="CB345" i="1"/>
  <c r="CB347" i="1"/>
  <c r="CB349" i="1"/>
  <c r="CB351" i="1"/>
  <c r="CB440" i="1"/>
  <c r="CB444" i="1"/>
  <c r="CB448" i="1"/>
  <c r="CB452" i="1"/>
  <c r="CB454" i="1"/>
  <c r="CB456" i="1"/>
  <c r="BC461" i="1"/>
  <c r="CC462" i="1"/>
  <c r="CC439" i="1"/>
  <c r="BC442" i="1"/>
  <c r="CC443" i="1"/>
  <c r="BC446" i="1"/>
  <c r="CC447" i="1"/>
  <c r="BC450" i="1"/>
  <c r="CC451" i="1"/>
  <c r="BC459" i="1"/>
  <c r="CC460" i="1"/>
  <c r="BC467" i="1"/>
  <c r="BC477" i="1"/>
  <c r="BC497" i="1"/>
  <c r="CC498" i="1"/>
  <c r="BC501" i="1"/>
  <c r="CB458" i="1"/>
  <c r="CB460" i="1"/>
  <c r="CB462" i="1"/>
  <c r="CB464" i="1"/>
  <c r="CB466" i="1"/>
  <c r="CB468" i="1"/>
  <c r="BC469" i="1"/>
  <c r="CB470" i="1"/>
  <c r="BC471" i="1"/>
  <c r="CB472" i="1"/>
  <c r="BC473" i="1"/>
  <c r="CB474" i="1"/>
  <c r="CB475" i="1"/>
  <c r="BC476" i="1"/>
  <c r="CB477" i="1"/>
  <c r="BC478" i="1"/>
  <c r="CB479" i="1"/>
  <c r="BC480" i="1"/>
  <c r="CB481" i="1"/>
  <c r="BC482" i="1"/>
  <c r="CB483" i="1"/>
  <c r="BC484" i="1"/>
  <c r="CB485" i="1"/>
  <c r="BC486" i="1"/>
  <c r="CB487" i="1"/>
  <c r="BC488" i="1"/>
  <c r="CB489" i="1"/>
  <c r="BC490" i="1"/>
  <c r="CB491" i="1"/>
  <c r="BC492" i="1"/>
  <c r="CB493" i="1"/>
  <c r="BC494" i="1"/>
  <c r="CB495" i="1"/>
  <c r="CC502" i="1"/>
  <c r="CC509" i="1"/>
  <c r="CC517" i="1"/>
  <c r="CC521" i="1"/>
  <c r="CC525" i="1"/>
  <c r="CC529" i="1"/>
  <c r="CC533" i="1"/>
  <c r="CC537" i="1"/>
  <c r="CC541" i="1"/>
  <c r="CC545" i="1"/>
  <c r="CC546" i="1"/>
  <c r="CC547" i="1"/>
  <c r="CC548" i="1"/>
  <c r="CC549" i="1"/>
  <c r="CC550" i="1"/>
  <c r="CC551" i="1"/>
  <c r="CC552" i="1"/>
  <c r="BC499" i="1"/>
  <c r="CC500" i="1"/>
  <c r="CC511" i="1"/>
  <c r="CB496" i="1"/>
  <c r="CB498" i="1"/>
  <c r="CB500" i="1"/>
  <c r="CB502" i="1"/>
  <c r="CB553" i="1"/>
  <c r="BC554" i="1"/>
  <c r="CB555" i="1"/>
  <c r="BC556" i="1"/>
  <c r="CB557" i="1"/>
  <c r="BC558" i="1"/>
  <c r="CB559" i="1"/>
  <c r="BC560" i="1"/>
  <c r="CB561" i="1"/>
  <c r="BC562" i="1"/>
  <c r="BC564" i="1"/>
  <c r="CC565" i="1"/>
  <c r="BC568" i="1"/>
  <c r="CC569" i="1"/>
  <c r="BC572" i="1"/>
  <c r="CC573" i="1"/>
  <c r="BC576" i="1"/>
  <c r="CC579" i="1"/>
  <c r="CC583" i="1"/>
  <c r="CC587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531" i="1"/>
  <c r="CB533" i="1"/>
  <c r="CB535" i="1"/>
  <c r="CB537" i="1"/>
  <c r="CB539" i="1"/>
  <c r="CB541" i="1"/>
  <c r="CB564" i="1"/>
  <c r="CB568" i="1"/>
  <c r="CB572" i="1"/>
  <c r="CB576" i="1"/>
  <c r="BC578" i="1"/>
  <c r="CB578" i="1"/>
  <c r="BC582" i="1"/>
  <c r="CB582" i="1"/>
  <c r="BC586" i="1"/>
  <c r="CB586" i="1"/>
  <c r="CC590" i="1"/>
  <c r="CC593" i="1"/>
  <c r="CC594" i="1"/>
  <c r="CC601" i="1"/>
  <c r="CC602" i="1"/>
  <c r="CB610" i="1"/>
  <c r="CB618" i="1"/>
  <c r="CB554" i="1"/>
  <c r="CB556" i="1"/>
  <c r="CB558" i="1"/>
  <c r="CB560" i="1"/>
  <c r="CB562" i="1"/>
  <c r="CC563" i="1"/>
  <c r="BC566" i="1"/>
  <c r="CC567" i="1"/>
  <c r="BC570" i="1"/>
  <c r="CC571" i="1"/>
  <c r="BC574" i="1"/>
  <c r="CC575" i="1"/>
  <c r="CC577" i="1"/>
  <c r="CB579" i="1"/>
  <c r="CC581" i="1"/>
  <c r="CB583" i="1"/>
  <c r="CC585" i="1"/>
  <c r="CB587" i="1"/>
  <c r="CC591" i="1"/>
  <c r="CC592" i="1"/>
  <c r="CC599" i="1"/>
  <c r="CC600" i="1"/>
  <c r="CB604" i="1"/>
  <c r="CB612" i="1"/>
  <c r="BC580" i="1"/>
  <c r="BC584" i="1"/>
  <c r="BC588" i="1"/>
  <c r="CC604" i="1"/>
  <c r="CC606" i="1"/>
  <c r="CC608" i="1"/>
  <c r="CC610" i="1"/>
  <c r="CC612" i="1"/>
  <c r="CC614" i="1"/>
  <c r="CC616" i="1"/>
  <c r="CC618" i="1"/>
  <c r="CC642" i="1"/>
  <c r="CC644" i="1"/>
  <c r="CC646" i="1"/>
  <c r="CC648" i="1"/>
  <c r="CC650" i="1"/>
  <c r="CC652" i="1"/>
  <c r="CC619" i="1"/>
  <c r="CB620" i="1"/>
  <c r="CC621" i="1"/>
  <c r="CB622" i="1"/>
  <c r="CC623" i="1"/>
  <c r="CB624" i="1"/>
  <c r="CC625" i="1"/>
  <c r="CB626" i="1"/>
  <c r="CC627" i="1"/>
  <c r="CB628" i="1"/>
  <c r="BC590" i="1"/>
  <c r="BC592" i="1"/>
  <c r="BC594" i="1"/>
  <c r="BC596" i="1"/>
  <c r="BC598" i="1"/>
  <c r="BC600" i="1"/>
  <c r="BC602" i="1"/>
  <c r="CC630" i="1"/>
  <c r="CC632" i="1"/>
  <c r="CC634" i="1"/>
  <c r="CC636" i="1"/>
  <c r="CC638" i="1"/>
  <c r="CC640" i="1"/>
  <c r="CC665" i="1"/>
  <c r="CB669" i="1"/>
  <c r="CB672" i="1"/>
  <c r="CC673" i="1"/>
  <c r="CC653" i="1"/>
  <c r="CB654" i="1"/>
  <c r="CC655" i="1"/>
  <c r="CB656" i="1"/>
  <c r="CC657" i="1"/>
  <c r="CB658" i="1"/>
  <c r="CC659" i="1"/>
  <c r="CC661" i="1"/>
  <c r="CC663" i="1"/>
  <c r="CC667" i="1"/>
  <c r="CC675" i="1"/>
  <c r="CC678" i="1"/>
  <c r="CC680" i="1"/>
  <c r="CC682" i="1"/>
  <c r="CC684" i="1"/>
  <c r="CB665" i="1"/>
  <c r="CB668" i="1"/>
  <c r="CC669" i="1"/>
  <c r="CB673" i="1"/>
  <c r="CB676" i="1"/>
  <c r="CC686" i="1"/>
  <c r="CC688" i="1"/>
  <c r="CC690" i="1"/>
  <c r="CC692" i="1"/>
  <c r="CC694" i="1"/>
  <c r="CC696" i="1"/>
  <c r="CC671" i="1"/>
  <c r="CC685" i="1"/>
  <c r="CC687" i="1"/>
  <c r="CC689" i="1"/>
  <c r="CC691" i="1"/>
  <c r="CC693" i="1"/>
  <c r="CC695" i="1"/>
  <c r="CC697" i="1"/>
  <c r="CC699" i="1"/>
  <c r="CC701" i="1"/>
  <c r="CC703" i="1"/>
  <c r="CB705" i="1"/>
  <c r="CB709" i="1"/>
  <c r="CB713" i="1"/>
  <c r="CB717" i="1"/>
  <c r="CC705" i="1"/>
  <c r="CC707" i="1"/>
  <c r="CC709" i="1"/>
  <c r="CC711" i="1"/>
  <c r="CC713" i="1"/>
  <c r="CC715" i="1"/>
  <c r="CC717" i="1"/>
  <c r="CC719" i="1"/>
  <c r="CC721" i="1"/>
  <c r="CC723" i="1"/>
  <c r="CC725" i="1"/>
  <c r="CC727" i="1"/>
  <c r="CC729" i="1"/>
  <c r="CC735" i="1"/>
  <c r="CC736" i="1"/>
  <c r="CC743" i="1"/>
  <c r="CB720" i="1"/>
  <c r="CB722" i="1"/>
  <c r="CB724" i="1"/>
  <c r="CB726" i="1"/>
  <c r="CB728" i="1"/>
  <c r="CC731" i="1"/>
  <c r="CC733" i="1"/>
  <c r="CC737" i="1"/>
  <c r="CB742" i="1"/>
  <c r="CB738" i="1"/>
  <c r="CC741" i="1"/>
  <c r="CC742" i="1"/>
  <c r="CB758" i="1"/>
  <c r="CC744" i="1"/>
  <c r="CC746" i="1"/>
  <c r="CC748" i="1"/>
  <c r="CC750" i="1"/>
  <c r="CC752" i="1"/>
  <c r="CC754" i="1"/>
  <c r="CC756" i="1"/>
  <c r="CC758" i="1"/>
  <c r="CC769" i="1"/>
  <c r="CC778" i="1"/>
  <c r="CC782" i="1"/>
  <c r="CC786" i="1"/>
  <c r="CC790" i="1"/>
  <c r="CC794" i="1"/>
  <c r="CC798" i="1"/>
  <c r="CB768" i="1"/>
  <c r="CC771" i="1"/>
  <c r="CC772" i="1"/>
  <c r="CC774" i="1"/>
  <c r="CC766" i="1"/>
  <c r="CB770" i="1"/>
  <c r="CC776" i="1"/>
  <c r="CC780" i="1"/>
  <c r="CC784" i="1"/>
  <c r="CC788" i="1"/>
  <c r="CC792" i="1"/>
  <c r="CC796" i="1"/>
  <c r="CB774" i="1"/>
  <c r="CB776" i="1"/>
  <c r="CB778" i="1"/>
  <c r="CB780" i="1"/>
  <c r="CB782" i="1"/>
  <c r="CB784" i="1"/>
  <c r="CB786" i="1"/>
  <c r="CB788" i="1"/>
  <c r="CB790" i="1"/>
  <c r="CB792" i="1"/>
  <c r="CB794" i="1"/>
  <c r="CB796" i="1"/>
  <c r="CB798" i="1"/>
  <c r="CC806" i="1"/>
  <c r="CC819" i="1"/>
  <c r="CC821" i="1"/>
  <c r="CB823" i="1"/>
  <c r="CC833" i="1"/>
  <c r="CC849" i="1"/>
  <c r="CC865" i="1"/>
  <c r="CC815" i="1"/>
  <c r="CC817" i="1"/>
  <c r="CC818" i="1"/>
  <c r="CC799" i="1"/>
  <c r="CC801" i="1"/>
  <c r="CC803" i="1"/>
  <c r="CB804" i="1"/>
  <c r="CB805" i="1"/>
  <c r="CC811" i="1"/>
  <c r="CC814" i="1"/>
  <c r="CC810" i="1"/>
  <c r="CC837" i="1"/>
  <c r="CC853" i="1"/>
  <c r="CB806" i="1"/>
  <c r="CB810" i="1"/>
  <c r="CB814" i="1"/>
  <c r="CB818" i="1"/>
  <c r="CB822" i="1"/>
  <c r="CB826" i="1"/>
  <c r="CB830" i="1"/>
  <c r="CB834" i="1"/>
  <c r="CB838" i="1"/>
  <c r="CB842" i="1"/>
  <c r="CB846" i="1"/>
  <c r="CB850" i="1"/>
  <c r="CB854" i="1"/>
  <c r="CB858" i="1"/>
  <c r="CB862" i="1"/>
  <c r="CB866" i="1"/>
  <c r="CB868" i="1"/>
  <c r="CC874" i="1"/>
  <c r="CC876" i="1"/>
  <c r="CC877" i="1"/>
  <c r="CB825" i="1"/>
  <c r="CB829" i="1"/>
  <c r="CB833" i="1"/>
  <c r="CB837" i="1"/>
  <c r="CB841" i="1"/>
  <c r="CB845" i="1"/>
  <c r="CB849" i="1"/>
  <c r="CB853" i="1"/>
  <c r="CB857" i="1"/>
  <c r="CB861" i="1"/>
  <c r="CB865" i="1"/>
  <c r="CC873" i="1"/>
  <c r="CC869" i="1"/>
  <c r="CC904" i="1"/>
  <c r="CC878" i="1"/>
  <c r="CC880" i="1"/>
  <c r="CC881" i="1"/>
  <c r="CB887" i="1"/>
  <c r="CC888" i="1"/>
  <c r="CC883" i="1"/>
  <c r="CC887" i="1"/>
  <c r="CC891" i="1"/>
  <c r="CC895" i="1"/>
  <c r="CC905" i="1"/>
  <c r="CB869" i="1"/>
  <c r="CB873" i="1"/>
  <c r="CB877" i="1"/>
  <c r="CB881" i="1"/>
  <c r="CC901" i="1"/>
  <c r="CB903" i="1"/>
  <c r="CC912" i="1"/>
  <c r="CC913" i="1"/>
  <c r="CB884" i="1"/>
  <c r="CB888" i="1"/>
  <c r="CB892" i="1"/>
  <c r="CB896" i="1"/>
  <c r="CB899" i="1"/>
  <c r="CC910" i="1"/>
  <c r="CC923" i="1"/>
  <c r="CC924" i="1"/>
  <c r="CC934" i="1"/>
  <c r="CC900" i="1"/>
  <c r="CB904" i="1"/>
  <c r="CC909" i="1"/>
  <c r="CB913" i="1"/>
  <c r="CB915" i="1"/>
  <c r="CC919" i="1"/>
  <c r="CC920" i="1"/>
  <c r="CB916" i="1"/>
  <c r="CB920" i="1"/>
  <c r="CB924" i="1"/>
  <c r="CB928" i="1"/>
  <c r="CB932" i="1"/>
  <c r="CB933" i="1"/>
  <c r="CC939" i="1"/>
  <c r="CC941" i="1"/>
  <c r="CC942" i="1"/>
  <c r="CC950" i="1"/>
  <c r="CB919" i="1"/>
  <c r="CB923" i="1"/>
  <c r="CB927" i="1"/>
  <c r="CB931" i="1"/>
  <c r="CC938" i="1"/>
  <c r="CC954" i="1"/>
  <c r="CB934" i="1"/>
  <c r="CC958" i="1"/>
  <c r="CC935" i="1"/>
  <c r="CC943" i="1"/>
  <c r="CC945" i="1"/>
  <c r="CC946" i="1"/>
  <c r="CC949" i="1"/>
  <c r="CC953" i="1"/>
  <c r="CC957" i="1"/>
  <c r="CB960" i="1"/>
  <c r="CC961" i="1"/>
  <c r="CC965" i="1"/>
  <c r="CB966" i="1"/>
  <c r="CC969" i="1"/>
  <c r="CB972" i="1"/>
  <c r="CB973" i="1"/>
  <c r="CC977" i="1"/>
  <c r="CB980" i="1"/>
  <c r="CB938" i="1"/>
  <c r="CB942" i="1"/>
  <c r="CB946" i="1"/>
  <c r="CB950" i="1"/>
  <c r="CB954" i="1"/>
  <c r="CB958" i="1"/>
  <c r="CB962" i="1"/>
  <c r="CB968" i="1"/>
  <c r="CC972" i="1"/>
  <c r="CC973" i="1"/>
  <c r="CB975" i="1"/>
  <c r="CB976" i="1"/>
  <c r="CB964" i="1"/>
  <c r="CC970" i="1"/>
  <c r="CC978" i="1"/>
  <c r="CB981" i="1"/>
  <c r="CB983" i="1"/>
  <c r="CC980" i="1"/>
  <c r="E123" i="1" l="1"/>
  <c r="E8" i="1"/>
  <c r="E11" i="1"/>
  <c r="E137" i="1"/>
  <c r="E97" i="1"/>
  <c r="E89" i="1"/>
  <c r="E152" i="1"/>
  <c r="E150" i="1"/>
  <c r="E126" i="1"/>
  <c r="E124" i="1"/>
  <c r="E122" i="1"/>
  <c r="E120" i="1"/>
  <c r="E118" i="1"/>
  <c r="E116" i="1"/>
  <c r="E114" i="1"/>
  <c r="E23" i="1"/>
  <c r="E10" i="1"/>
  <c r="E73" i="1"/>
  <c r="E26" i="1"/>
  <c r="E75" i="1"/>
  <c r="E67" i="1"/>
  <c r="E59" i="1"/>
  <c r="E51" i="1"/>
  <c r="E6" i="1"/>
  <c r="E159" i="1"/>
  <c r="E113" i="1"/>
  <c r="E157" i="1"/>
  <c r="E119" i="1"/>
  <c r="E111" i="1"/>
  <c r="E53" i="1"/>
  <c r="E71" i="1"/>
  <c r="E83" i="1"/>
  <c r="E145" i="1"/>
  <c r="E129" i="1"/>
  <c r="E105" i="1"/>
  <c r="E117" i="1"/>
  <c r="E146" i="1"/>
  <c r="E140" i="1"/>
  <c r="E138" i="1"/>
  <c r="E132" i="1"/>
  <c r="E130" i="1"/>
  <c r="E44" i="1"/>
  <c r="E37" i="1"/>
  <c r="E112" i="1"/>
  <c r="E94" i="1"/>
  <c r="E25" i="1"/>
  <c r="E24" i="1"/>
  <c r="E135" i="1"/>
  <c r="E127" i="1"/>
  <c r="E142" i="1"/>
  <c r="E136" i="1"/>
  <c r="E153" i="1"/>
  <c r="E66" i="1"/>
  <c r="E30" i="1"/>
  <c r="E14" i="1"/>
  <c r="E21" i="1"/>
  <c r="E72" i="1"/>
  <c r="E86" i="1"/>
  <c r="E143" i="1"/>
  <c r="E95" i="1"/>
  <c r="E149" i="1"/>
  <c r="E77" i="1"/>
  <c r="E69" i="1"/>
  <c r="E61" i="1"/>
  <c r="E63" i="1"/>
  <c r="E15" i="1"/>
  <c r="E65" i="1"/>
  <c r="E45" i="1"/>
  <c r="E34" i="1"/>
  <c r="E27" i="1"/>
  <c r="E32" i="1"/>
  <c r="E60" i="1"/>
  <c r="E64" i="1"/>
  <c r="E88" i="1"/>
  <c r="E54" i="1"/>
  <c r="E41" i="1"/>
  <c r="E74" i="1"/>
  <c r="E98" i="1"/>
  <c r="E104" i="1"/>
  <c r="E90" i="1"/>
  <c r="E96" i="1"/>
  <c r="E33" i="1"/>
  <c r="E28" i="1"/>
  <c r="E17" i="1"/>
  <c r="E7" i="1"/>
  <c r="E12" i="1"/>
  <c r="E36" i="1"/>
  <c r="E82" i="1"/>
  <c r="E20" i="1"/>
  <c r="E92" i="1"/>
  <c r="E108" i="1"/>
  <c r="E80" i="1"/>
  <c r="E103" i="1"/>
  <c r="E87" i="1"/>
  <c r="E163" i="1"/>
  <c r="E155" i="1"/>
  <c r="E141" i="1"/>
  <c r="E133" i="1"/>
  <c r="E125" i="1"/>
  <c r="E109" i="1"/>
  <c r="E101" i="1"/>
  <c r="E93" i="1"/>
  <c r="E85" i="1"/>
  <c r="E162" i="1"/>
  <c r="E160" i="1"/>
  <c r="E158" i="1"/>
  <c r="E156" i="1"/>
  <c r="E154" i="1"/>
  <c r="E81" i="1"/>
  <c r="E55" i="1"/>
  <c r="E42" i="1"/>
  <c r="E38" i="1"/>
  <c r="E57" i="1"/>
  <c r="E9" i="1"/>
  <c r="E84" i="1"/>
  <c r="E68" i="1"/>
  <c r="E50" i="1"/>
  <c r="E43" i="1"/>
  <c r="E106" i="1"/>
  <c r="E56" i="1"/>
  <c r="E76" i="1"/>
  <c r="E48" i="1"/>
  <c r="E144" i="1"/>
  <c r="E134" i="1"/>
  <c r="E128" i="1"/>
  <c r="E39" i="1"/>
  <c r="E102" i="1"/>
  <c r="E161" i="1"/>
  <c r="E147" i="1"/>
  <c r="E139" i="1"/>
  <c r="E131" i="1"/>
  <c r="E115" i="1"/>
  <c r="E99" i="1"/>
  <c r="E151" i="1"/>
  <c r="E148" i="1"/>
  <c r="E31" i="1"/>
  <c r="E79" i="1"/>
  <c r="E49" i="1"/>
  <c r="E18" i="1"/>
  <c r="E40" i="1"/>
  <c r="E35" i="1"/>
  <c r="E100" i="1"/>
  <c r="E110" i="1"/>
  <c r="E58" i="1"/>
  <c r="E29" i="1"/>
  <c r="E16" i="1"/>
  <c r="E46" i="1"/>
  <c r="E70" i="1"/>
  <c r="E78" i="1"/>
  <c r="E22" i="1"/>
  <c r="E52" i="1"/>
  <c r="E13" i="1"/>
  <c r="E62" i="1"/>
  <c r="E4" i="1"/>
</calcChain>
</file>

<file path=xl/sharedStrings.xml><?xml version="1.0" encoding="utf-8"?>
<sst xmlns="http://schemas.openxmlformats.org/spreadsheetml/2006/main" count="2795" uniqueCount="462">
  <si>
    <t>id</t>
  </si>
  <si>
    <t>map_id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</si>
  <si>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oss_id</t>
    </r>
  </si>
  <si>
    <t>boss_star</t>
  </si>
  <si>
    <t>boss_level</t>
  </si>
  <si>
    <t>reference_power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</si>
  <si>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</si>
  <si>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</si>
  <si>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</si>
  <si>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</si>
  <si>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</si>
  <si>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t>forbidden_camp</t>
  </si>
  <si>
    <t>forbidden_classes</t>
  </si>
  <si>
    <r>
      <rPr>
        <sz val="11"/>
        <color indexed="8"/>
        <rFont val="宋体"/>
        <family val="3"/>
        <charset val="134"/>
      </rPr>
      <t>int32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</si>
  <si>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</si>
  <si>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</si>
  <si>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</si>
  <si>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r>
      <rPr>
        <sz val="11"/>
        <color indexed="8"/>
        <rFont val="宋体"/>
        <family val="3"/>
        <charset val="134"/>
      </rPr>
      <t>ID</t>
    </r>
  </si>
  <si>
    <t>地图ID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</si>
  <si>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OSSID</t>
    </r>
  </si>
  <si>
    <t>BOSS星级</t>
  </si>
  <si>
    <t>BOSS等级</t>
  </si>
  <si>
    <t>参考战力</t>
  </si>
  <si>
    <t>奖励物品类型</t>
  </si>
  <si>
    <t>奖励物品参数</t>
  </si>
  <si>
    <t>奖励物品数量</t>
  </si>
  <si>
    <t>禁用阵营</t>
  </si>
  <si>
    <t>禁用职业</t>
  </si>
  <si>
    <t>0,0</t>
  </si>
  <si>
    <t>24000,12000</t>
  </si>
  <si>
    <t>30000,15000</t>
  </si>
  <si>
    <t>36000,18000</t>
  </si>
  <si>
    <t>42000,21000</t>
  </si>
  <si>
    <t>48000,24000</t>
  </si>
  <si>
    <t>1,3</t>
    <phoneticPr fontId="8" type="noConversion"/>
  </si>
  <si>
    <t>12000,6000</t>
  </si>
  <si>
    <t>fighting = (hp * (1 / 26 + reduce_damage / 10) + atk * (1 / atk_speed + crit * 1.5 + dodge + crit_damage + hit + def_break))</t>
  </si>
  <si>
    <t>战力</t>
  </si>
  <si>
    <t>怪1</t>
  </si>
  <si>
    <t>怪2</t>
  </si>
  <si>
    <t>怪3</t>
  </si>
  <si>
    <t>怪4</t>
  </si>
  <si>
    <t>怪5</t>
  </si>
  <si>
    <t>怪6</t>
  </si>
  <si>
    <t>怪1星级</t>
  </si>
  <si>
    <t>怪2星级</t>
  </si>
  <si>
    <t>怪3星级</t>
  </si>
  <si>
    <t>怪4星级</t>
  </si>
  <si>
    <t>怪5星级</t>
  </si>
  <si>
    <t>怪6星级</t>
  </si>
  <si>
    <t>怪1LV</t>
  </si>
  <si>
    <t>怪2LV</t>
  </si>
  <si>
    <t>怪3LV</t>
  </si>
  <si>
    <t>怪4LV</t>
  </si>
  <si>
    <t>怪5LV</t>
  </si>
  <si>
    <t>怪6LV</t>
  </si>
  <si>
    <t>怪1战力</t>
  </si>
  <si>
    <t>怪2战力</t>
  </si>
  <si>
    <t>怪3战力</t>
  </si>
  <si>
    <t>怪4战力</t>
  </si>
  <si>
    <t>怪5战力</t>
  </si>
  <si>
    <t>怪6战力</t>
  </si>
  <si>
    <t>玩家星级</t>
    <phoneticPr fontId="8" type="noConversion"/>
  </si>
  <si>
    <t>战斗等级</t>
    <phoneticPr fontId="8" type="noConversion"/>
  </si>
  <si>
    <t>预期星级</t>
  </si>
  <si>
    <t>预期等级</t>
  </si>
  <si>
    <t>升星加成</t>
  </si>
  <si>
    <t>ID</t>
  </si>
  <si>
    <t>攻击力</t>
  </si>
  <si>
    <t>攻击成长</t>
  </si>
  <si>
    <t>血量</t>
  </si>
  <si>
    <t>血量成长</t>
  </si>
  <si>
    <t>护甲</t>
  </si>
  <si>
    <t>护甲成长</t>
  </si>
  <si>
    <t>攻速</t>
  </si>
  <si>
    <t>职业</t>
  </si>
  <si>
    <t>职业基础免伤</t>
  </si>
  <si>
    <t>基础战力</t>
  </si>
  <si>
    <t>战力成长</t>
  </si>
  <si>
    <t>阶段免伤率</t>
  </si>
  <si>
    <t>职业免伤</t>
  </si>
  <si>
    <t>验证1</t>
  </si>
  <si>
    <t>验证2</t>
  </si>
  <si>
    <t>验证3</t>
  </si>
  <si>
    <t>验证4</t>
  </si>
  <si>
    <t>验证5</t>
  </si>
  <si>
    <t>验证6</t>
  </si>
  <si>
    <r>
      <rPr>
        <sz val="11"/>
        <color indexed="8"/>
        <rFont val="宋体"/>
        <family val="3"/>
        <charset val="134"/>
      </rPr>
      <t>怪1</t>
    </r>
    <r>
      <rPr>
        <sz val="11"/>
        <color indexed="8"/>
        <rFont val="宋体"/>
        <family val="3"/>
        <charset val="134"/>
      </rPr>
      <t>ID</t>
    </r>
  </si>
  <si>
    <r>
      <rPr>
        <sz val="11"/>
        <color indexed="8"/>
        <rFont val="宋体"/>
        <family val="3"/>
        <charset val="134"/>
      </rPr>
      <t>怪2ID</t>
    </r>
  </si>
  <si>
    <r>
      <rPr>
        <sz val="11"/>
        <color indexed="8"/>
        <rFont val="宋体"/>
        <family val="3"/>
        <charset val="134"/>
      </rPr>
      <t>怪3ID</t>
    </r>
  </si>
  <si>
    <r>
      <rPr>
        <sz val="11"/>
        <color indexed="8"/>
        <rFont val="宋体"/>
        <family val="3"/>
        <charset val="134"/>
      </rPr>
      <t>怪4ID</t>
    </r>
  </si>
  <si>
    <r>
      <rPr>
        <sz val="11"/>
        <color indexed="8"/>
        <rFont val="宋体"/>
        <family val="3"/>
        <charset val="134"/>
      </rPr>
      <t>怪5ID</t>
    </r>
  </si>
  <si>
    <r>
      <rPr>
        <sz val="11"/>
        <color indexed="8"/>
        <rFont val="宋体"/>
        <family val="3"/>
        <charset val="134"/>
      </rPr>
      <t>怪6ID</t>
    </r>
  </si>
  <si>
    <t>初始星级1</t>
  </si>
  <si>
    <t>初始星级2</t>
  </si>
  <si>
    <t>初始星级3</t>
  </si>
  <si>
    <t>初始星级4</t>
  </si>
  <si>
    <t>初始星级5</t>
  </si>
  <si>
    <t>初始星级6</t>
  </si>
  <si>
    <t>怪名称1</t>
  </si>
  <si>
    <t>怪名称2</t>
  </si>
  <si>
    <t>怪名称3</t>
  </si>
  <si>
    <t>怪名称4</t>
  </si>
  <si>
    <t>怪名称5</t>
  </si>
  <si>
    <t>怪名称6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</si>
  <si>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D</t>
    </r>
  </si>
  <si>
    <t>名称</t>
  </si>
  <si>
    <t>近1，远2</t>
    <phoneticPr fontId="8" type="noConversion"/>
  </si>
  <si>
    <r>
      <rPr>
        <sz val="11"/>
        <color indexed="8"/>
        <rFont val="宋体"/>
        <family val="3"/>
        <charset val="134"/>
      </rPr>
      <t>技能I</t>
    </r>
    <r>
      <rPr>
        <sz val="11"/>
        <color indexed="8"/>
        <rFont val="宋体"/>
        <family val="3"/>
        <charset val="134"/>
      </rPr>
      <t>D</t>
    </r>
  </si>
  <si>
    <t>职业id</t>
  </si>
  <si>
    <t>免伤率</t>
  </si>
  <si>
    <t>基础攻击</t>
  </si>
  <si>
    <t>基础防御</t>
  </si>
  <si>
    <t>水剑士</t>
  </si>
  <si>
    <t>木盗贼</t>
  </si>
  <si>
    <t>火海盗</t>
  </si>
  <si>
    <t>火巫师</t>
  </si>
  <si>
    <t>水维京</t>
  </si>
  <si>
    <t>对距离最远的1名敌人造成252%攻击伤害，并有25%几率使目标冰冻，持续2秒。</t>
  </si>
  <si>
    <t>木刀客</t>
  </si>
  <si>
    <t>火骑兵</t>
  </si>
  <si>
    <t>火忍者</t>
  </si>
  <si>
    <t>对随机3名敌人造成99%攻击伤害，并有15%几率使目标眩晕，持续1秒。</t>
  </si>
  <si>
    <t>水魔法师</t>
  </si>
  <si>
    <t>木女巫</t>
  </si>
  <si>
    <t>水火枪手</t>
    <phoneticPr fontId="10" type="noConversion"/>
  </si>
  <si>
    <t>对随机4名敌人造成82%攻击伤害，并有10%几率使目标眩晕，持续1秒。</t>
  </si>
  <si>
    <t>木猎人</t>
  </si>
  <si>
    <t>火骑兵</t>
    <phoneticPr fontId="10" type="noConversion"/>
  </si>
  <si>
    <t>对距离最远的1名敌人造成322%攻击伤害，并有40%几率使目标冰冻，持续2秒。</t>
  </si>
  <si>
    <t>水火枪手</t>
  </si>
  <si>
    <t>火海盗</t>
    <phoneticPr fontId="10" type="noConversion"/>
  </si>
  <si>
    <t>对随机4名敌人造成81%攻击伤害，并有20%几率使目标冰冻，持续1秒。</t>
  </si>
  <si>
    <t>火修女</t>
    <phoneticPr fontId="10" type="noConversion"/>
  </si>
  <si>
    <t>对随机3名敌人造成111%攻击伤害，并有30%几率使目标攻击力降低15%，持续3秒。</t>
  </si>
  <si>
    <t>木刀客</t>
    <phoneticPr fontId="10" type="noConversion"/>
  </si>
  <si>
    <t>对随机3名敌人造成91%攻击伤害，并有15%几率使目标沉默，持续2秒。</t>
  </si>
  <si>
    <t>水魔法师</t>
    <phoneticPr fontId="10" type="noConversion"/>
  </si>
  <si>
    <t>对距离最近的2名敌人造成139%攻击伤害，并有30%几率使目标石化，持续2秒。</t>
  </si>
  <si>
    <t>木女巫</t>
    <phoneticPr fontId="10" type="noConversion"/>
  </si>
  <si>
    <t>对距离最远的3名敌人造成73%攻击伤害，并有25%几率使目标冰冻，持续2秒。</t>
  </si>
  <si>
    <t>木猎人</t>
    <phoneticPr fontId="10" type="noConversion"/>
  </si>
  <si>
    <t>对随机1名敌人造成107%攻击伤害。</t>
  </si>
  <si>
    <t>木熊猫</t>
    <phoneticPr fontId="10" type="noConversion"/>
  </si>
  <si>
    <t>对随机2名敌人造成173%攻击伤害，并嘲讽目标，使对方强制攻击自己。</t>
  </si>
  <si>
    <t>水学者</t>
    <phoneticPr fontId="10" type="noConversion"/>
  </si>
  <si>
    <t>对距离最远的1名敌人造成350%攻击伤害。</t>
  </si>
  <si>
    <t>火忍者</t>
    <phoneticPr fontId="10" type="noConversion"/>
  </si>
  <si>
    <t>对随机2名敌人造成161%攻击伤害，并有100%几率使目标燃烧，每秒造成20%攻击伤害，持续3秒。</t>
  </si>
  <si>
    <t>木盗贼</t>
    <phoneticPr fontId="10" type="noConversion"/>
  </si>
  <si>
    <t>对随机3名敌人造成81%攻击伤害，并有50%几率使目标燃烧，每秒造成60%攻击伤害，持续2秒。</t>
  </si>
  <si>
    <t>火巫师</t>
    <phoneticPr fontId="10" type="noConversion"/>
  </si>
  <si>
    <t>对随机2名敌人造成91%攻击伤害，并有100%几率使目标燃烧，每秒造成30%攻击伤害，持续3秒。</t>
  </si>
  <si>
    <t>对距离最近的2名敌人造成192%攻击伤害。</t>
  </si>
  <si>
    <t>对血最少的1名敌人造成431%攻击伤害。</t>
  </si>
  <si>
    <t>对距离最远的2名敌人造成106%攻击伤害，并使2名友军恢复100%攻击等量的生命。</t>
  </si>
  <si>
    <t>对随机1名敌人造成200%攻击伤害，并有100%几率使目标流血，每秒造成40%攻击伤害，持续3秒。</t>
  </si>
  <si>
    <t>对随机1名敌人造成215%攻击伤害，并有100%几率使目标流血，每秒造成40%攻击伤害，持续3秒。</t>
  </si>
  <si>
    <t>对随机2名敌人造成121%攻击伤害，并有100%几率使目标攻击力降低20%，持续3秒。</t>
  </si>
  <si>
    <t>对随机2名敌人造成161%攻击伤害，并有100%几率使目标流血，每秒造成20%攻击伤害，持续3秒。</t>
  </si>
  <si>
    <t>对随机3名敌人造成123%攻击伤害，并有100%几率使目标命中率降低20%，持续3秒。</t>
  </si>
  <si>
    <t>对距离最远的2名敌人造成147%攻击伤害，并有30%几率使目标眩晕，持续1秒。</t>
  </si>
  <si>
    <t>对随机3名敌人造成112%攻击伤害，并有50%几率使目标燃烧，每秒造成20%攻击伤害，持续2秒。</t>
  </si>
  <si>
    <t>对随机3名敌人造成121%攻击伤害，并有50%几率使目标防御力降低20%，持续3秒。</t>
  </si>
  <si>
    <t>治疗血量最少的2名友军，每秒恢复116%攻击等量的生命，并有100%几率使目标防御力提高30%，持续3秒。</t>
  </si>
  <si>
    <t>对随机3名敌人造成96%攻击伤害，并有15%几率使目标沉默，持续2秒。</t>
  </si>
  <si>
    <t>治疗血量最少的3名友军，每秒恢复45%攻击等量的生命。</t>
  </si>
  <si>
    <t>治疗4名友军，恢复96%攻击等量的生命。</t>
  </si>
  <si>
    <t>对随机1名敌人造成351%攻击伤害，并有100%几率使目标眩晕，持续1秒。</t>
  </si>
  <si>
    <t>对距离最远的1名敌人造成248%攻击伤害，并有100%几率使目标中毒，每秒造成55%攻击伤害，持续3秒。</t>
  </si>
  <si>
    <t>对随机4名敌人造成42%攻击伤害，并有100%几率使目标中毒，每秒造成20%攻击伤害，持续3秒。</t>
  </si>
  <si>
    <t>对距离最近的1名敌人造成320%攻击伤害。</t>
  </si>
  <si>
    <t>对随机3名敌人造成124%攻击伤害。</t>
  </si>
  <si>
    <t>对距离最远的1名敌人造成431%攻击伤害。</t>
  </si>
  <si>
    <t>对随机3名敌人造成141%攻击伤害。</t>
  </si>
  <si>
    <t>对随机2名敌人造成181%攻击伤害。</t>
  </si>
  <si>
    <t>对随机3名敌人造成132%攻击伤害。</t>
  </si>
  <si>
    <t>对距离最近的2名敌人造成221%攻击伤害。</t>
  </si>
  <si>
    <t>治疗血量最少的2名友军，恢复206%攻击等量的生命。</t>
  </si>
  <si>
    <t>对随机1名敌人造成160%攻击伤害。</t>
  </si>
  <si>
    <t>对随机3名敌人造成151%攻击伤害。</t>
  </si>
  <si>
    <t>对随机1名敌人造成373%攻击伤害。</t>
  </si>
  <si>
    <t>对距离最远的2名敌人造成206%攻击伤害。</t>
  </si>
  <si>
    <t>对随机2名敌人造成166%攻击伤害。</t>
  </si>
  <si>
    <t>对随机1名敌人造成335%攻击伤害，并嘲讽目标，使对方强制攻击自己。</t>
  </si>
  <si>
    <t>对随机2名敌人造成221%攻击伤害。</t>
  </si>
  <si>
    <t>对距离最远的2名敌人造成181%攻击伤害。</t>
  </si>
  <si>
    <t>对随机3名敌人造成137%攻击伤害。</t>
  </si>
  <si>
    <t>治疗血量最少的3名友军，恢复147%攻击等量的生命。</t>
  </si>
  <si>
    <t>治疗血量最少的3名友军，恢复124%攻击等量的生命。</t>
  </si>
  <si>
    <t>对随机1名敌人造成419%攻击伤害。</t>
  </si>
  <si>
    <t>对距离最远的1名敌人造成413%攻击伤害。</t>
  </si>
  <si>
    <t>对随机4名敌人造成102%攻击伤害。</t>
  </si>
  <si>
    <t>条件1</t>
  </si>
  <si>
    <t>不是5的倍数关且关卡为单数</t>
  </si>
  <si>
    <t>远</t>
  </si>
  <si>
    <t>近</t>
  </si>
  <si>
    <t>不是5的倍数关且关卡为双数</t>
  </si>
  <si>
    <t>条件2</t>
  </si>
  <si>
    <t>是5的倍数关且大关为单数</t>
  </si>
  <si>
    <t>是10的倍数关且大关为单数</t>
  </si>
  <si>
    <t>是5的倍数关且大关为双数</t>
  </si>
  <si>
    <t>是10的倍数关且大关为双数</t>
  </si>
  <si>
    <t>特殊条件</t>
  </si>
  <si>
    <t>是5的倍数，判断阵营</t>
  </si>
  <si>
    <t>水刀客</t>
  </si>
  <si>
    <t>水骑兵</t>
  </si>
  <si>
    <t>水女巫</t>
  </si>
  <si>
    <t>水海盗</t>
  </si>
  <si>
    <t>水修女</t>
  </si>
  <si>
    <t>火刀客</t>
  </si>
  <si>
    <t>火维京</t>
  </si>
  <si>
    <t>火剑士</t>
  </si>
  <si>
    <t>火魔法师</t>
  </si>
  <si>
    <t>火女巫</t>
  </si>
  <si>
    <t>火火枪手</t>
  </si>
  <si>
    <t>火修女</t>
  </si>
  <si>
    <t>木骑兵</t>
  </si>
  <si>
    <t>木剑士</t>
  </si>
  <si>
    <t>木海盗</t>
  </si>
  <si>
    <t>木维京</t>
  </si>
  <si>
    <t>暗猎人</t>
  </si>
  <si>
    <t>暗巫师</t>
  </si>
  <si>
    <t>木魔法师</t>
  </si>
  <si>
    <t>暗武士</t>
  </si>
  <si>
    <t>暗维京</t>
  </si>
  <si>
    <t>光猎人</t>
  </si>
  <si>
    <t>木火枪手</t>
  </si>
  <si>
    <t>木修女</t>
  </si>
  <si>
    <t>光骑兵</t>
    <phoneticPr fontId="8" type="noConversion"/>
  </si>
  <si>
    <t>光盗贼</t>
    <phoneticPr fontId="8" type="noConversion"/>
  </si>
  <si>
    <t>光武僧</t>
  </si>
  <si>
    <t>光学者</t>
  </si>
  <si>
    <t>暗维京</t>
    <phoneticPr fontId="8" type="noConversion"/>
  </si>
  <si>
    <t>暗盗贼</t>
  </si>
  <si>
    <t>暗猎人</t>
    <phoneticPr fontId="8" type="noConversion"/>
  </si>
  <si>
    <t>光骑兵</t>
  </si>
  <si>
    <t>光盗贼</t>
  </si>
  <si>
    <t>水兽人战士</t>
  </si>
  <si>
    <t>水兽人法师</t>
  </si>
  <si>
    <t>水骷髅战士</t>
  </si>
  <si>
    <t>水骷髅法师</t>
  </si>
  <si>
    <t>水史莱姆</t>
  </si>
  <si>
    <t>水熊</t>
  </si>
  <si>
    <t>水鹰人战士</t>
  </si>
  <si>
    <t>水鹰人法师</t>
  </si>
  <si>
    <t>水恶魔战士</t>
  </si>
  <si>
    <t>水恶魔法师</t>
  </si>
  <si>
    <t>水树人</t>
  </si>
  <si>
    <t>水狼人</t>
  </si>
  <si>
    <t>火兽人战士</t>
  </si>
  <si>
    <t>火兽人法师</t>
  </si>
  <si>
    <t>火骷髅战士</t>
  </si>
  <si>
    <t>火骷髅法师</t>
  </si>
  <si>
    <t>火史莱姆</t>
  </si>
  <si>
    <t>火熊</t>
  </si>
  <si>
    <t>火鹰人战士</t>
  </si>
  <si>
    <t>火鹰人法师</t>
  </si>
  <si>
    <t>火恶魔战士</t>
  </si>
  <si>
    <t>火恶魔法师</t>
  </si>
  <si>
    <t>火树人</t>
  </si>
  <si>
    <t>火狼人</t>
  </si>
  <si>
    <t>木兽人战士</t>
  </si>
  <si>
    <t>木兽人法师</t>
  </si>
  <si>
    <t>木骷髅战士</t>
  </si>
  <si>
    <t>木骷髅法师</t>
  </si>
  <si>
    <t>木史莱姆</t>
  </si>
  <si>
    <t>木熊</t>
  </si>
  <si>
    <t>木鹰人战士</t>
  </si>
  <si>
    <t>木鹰人法师</t>
  </si>
  <si>
    <t>木恶魔战士</t>
  </si>
  <si>
    <t>木恶魔法师</t>
  </si>
  <si>
    <t>木树人</t>
  </si>
  <si>
    <t>木狼人</t>
  </si>
  <si>
    <t>光兽人战士</t>
  </si>
  <si>
    <t>光兽人法师</t>
  </si>
  <si>
    <t>光骷髅战士</t>
  </si>
  <si>
    <t>光骷髅法师</t>
  </si>
  <si>
    <t>光史莱姆</t>
  </si>
  <si>
    <t>光熊</t>
  </si>
  <si>
    <t>光鹰人战士</t>
  </si>
  <si>
    <t>光鹰人法师</t>
  </si>
  <si>
    <t>光恶魔战士</t>
  </si>
  <si>
    <t>光恶魔法师</t>
  </si>
  <si>
    <t>光树人</t>
  </si>
  <si>
    <t>光狼人</t>
  </si>
  <si>
    <t>暗兽人战士</t>
  </si>
  <si>
    <t>暗兽人法师</t>
  </si>
  <si>
    <t>暗骷髅战士</t>
  </si>
  <si>
    <t>暗骷髅法师</t>
  </si>
  <si>
    <t>暗史莱姆</t>
  </si>
  <si>
    <t>暗熊</t>
  </si>
  <si>
    <t>暗鹰人战士</t>
  </si>
  <si>
    <t>暗鹰人法师</t>
  </si>
  <si>
    <t>暗恶魔战士</t>
  </si>
  <si>
    <t>暗恶魔法师</t>
  </si>
  <si>
    <t>暗树人</t>
  </si>
  <si>
    <t>暗狼人</t>
  </si>
  <si>
    <t>水黑骑士</t>
  </si>
  <si>
    <t>火黑骑士</t>
  </si>
  <si>
    <t>木黑骑士</t>
  </si>
  <si>
    <t>光黑骑士</t>
  </si>
  <si>
    <t>暗黑骑士</t>
  </si>
  <si>
    <t>水狼骑兵</t>
  </si>
  <si>
    <t>火狼骑兵</t>
  </si>
  <si>
    <t>木狼骑兵</t>
  </si>
  <si>
    <t>光狼骑兵</t>
  </si>
  <si>
    <t>暗狼骑兵</t>
  </si>
  <si>
    <t>水龙王</t>
  </si>
  <si>
    <t>火龙王</t>
  </si>
  <si>
    <t>木龙王</t>
  </si>
  <si>
    <t>光龙王</t>
  </si>
  <si>
    <t>暗龙王</t>
  </si>
  <si>
    <t>水学者</t>
  </si>
  <si>
    <t>星</t>
    <phoneticPr fontId="8" type="noConversion"/>
  </si>
  <si>
    <t>初始星</t>
    <phoneticPr fontId="8" type="noConversion"/>
  </si>
  <si>
    <t>7500,3750</t>
  </si>
  <si>
    <t>9000,4500</t>
  </si>
  <si>
    <t>10500,5250</t>
  </si>
  <si>
    <t>13500,6750</t>
  </si>
  <si>
    <t>15000,7500</t>
  </si>
  <si>
    <t>15750,7875</t>
  </si>
  <si>
    <t>16500,8250</t>
  </si>
  <si>
    <t>17250,8625</t>
  </si>
  <si>
    <t>18000,9000</t>
  </si>
  <si>
    <t>18750,9375</t>
  </si>
  <si>
    <t>19500,9750</t>
  </si>
  <si>
    <t>20250,10125</t>
  </si>
  <si>
    <t>21000,10500</t>
  </si>
  <si>
    <t>21750,10875</t>
  </si>
  <si>
    <t>22500,11250</t>
  </si>
  <si>
    <t>23250,11625</t>
  </si>
  <si>
    <t>24750,12375</t>
  </si>
  <si>
    <t>25500,12750</t>
  </si>
  <si>
    <t>26250,13125</t>
  </si>
  <si>
    <t>27000,13500</t>
  </si>
  <si>
    <t>27750,13875</t>
  </si>
  <si>
    <t>28500,14250</t>
  </si>
  <si>
    <t>29250,14625</t>
  </si>
  <si>
    <t>30750,15375</t>
  </si>
  <si>
    <t>31500,15750</t>
  </si>
  <si>
    <t>32250,16125</t>
  </si>
  <si>
    <t>33000,16500</t>
  </si>
  <si>
    <t>33750,16875</t>
  </si>
  <si>
    <t>34500,17250</t>
  </si>
  <si>
    <t>35250,17625</t>
  </si>
  <si>
    <t>36750,18375</t>
  </si>
  <si>
    <t>37500,18750</t>
  </si>
  <si>
    <t>38250,19125</t>
  </si>
  <si>
    <t>39000,19500</t>
  </si>
  <si>
    <t>39750,19875</t>
  </si>
  <si>
    <t>40500,20250</t>
  </si>
  <si>
    <t>41250,20625</t>
  </si>
  <si>
    <t>42750,21375</t>
  </si>
  <si>
    <t>43500,21750</t>
  </si>
  <si>
    <t>44250,22125</t>
  </si>
  <si>
    <t>45000,22500</t>
  </si>
  <si>
    <t>45750,22875</t>
  </si>
  <si>
    <t>46500,23250</t>
  </si>
  <si>
    <t>47250,23625</t>
  </si>
  <si>
    <t>48750,24375</t>
  </si>
  <si>
    <t>49500,24750</t>
  </si>
  <si>
    <t>50100,25050</t>
  </si>
  <si>
    <t>50700,25350</t>
  </si>
  <si>
    <t>51300,25650</t>
  </si>
  <si>
    <t>51900,25950</t>
  </si>
  <si>
    <t>52500,26250</t>
  </si>
  <si>
    <t>53100,26550</t>
  </si>
  <si>
    <t>53700,26850</t>
  </si>
  <si>
    <t>54300,27150</t>
  </si>
  <si>
    <t>54900,27450</t>
  </si>
  <si>
    <t>55500,27750</t>
  </si>
  <si>
    <t>56100,28050</t>
  </si>
  <si>
    <t>56700,28350</t>
  </si>
  <si>
    <t>57300,28650</t>
  </si>
  <si>
    <t>57900,28950</t>
  </si>
  <si>
    <t>58500,29250</t>
  </si>
  <si>
    <t>59100,29550</t>
  </si>
  <si>
    <t>59700,29850</t>
  </si>
  <si>
    <t>60300,30150</t>
  </si>
  <si>
    <t>60900,30450</t>
  </si>
  <si>
    <t>61500,30750</t>
  </si>
  <si>
    <t>62100,31050</t>
  </si>
  <si>
    <t>62700,31350</t>
  </si>
  <si>
    <t>63300,31650</t>
  </si>
  <si>
    <t>63900,31950</t>
  </si>
  <si>
    <t>64500,32250</t>
  </si>
  <si>
    <t>65100,32550</t>
  </si>
  <si>
    <t>65700,32850</t>
  </si>
  <si>
    <t>66300,33150</t>
  </si>
  <si>
    <t>66900,33450</t>
  </si>
  <si>
    <t>67500,33750</t>
  </si>
  <si>
    <t>68100,34050</t>
  </si>
  <si>
    <t>68700,34350</t>
  </si>
  <si>
    <t>69300,34650</t>
  </si>
  <si>
    <t>69900,34950</t>
  </si>
  <si>
    <t>70500,35250</t>
  </si>
  <si>
    <t>71100,35550</t>
  </si>
  <si>
    <t>71700,35850</t>
  </si>
  <si>
    <t>72300,36150</t>
  </si>
  <si>
    <t>72900,36450</t>
  </si>
  <si>
    <t>73500,36750</t>
  </si>
  <si>
    <t>74100,37050</t>
  </si>
  <si>
    <t>74700,37350</t>
  </si>
  <si>
    <t>75300,37650</t>
  </si>
  <si>
    <t>75900,37950</t>
  </si>
  <si>
    <t>76500,38250</t>
  </si>
  <si>
    <t>77100,38550</t>
  </si>
  <si>
    <t>77700,38850</t>
  </si>
  <si>
    <t>78300,39150</t>
  </si>
  <si>
    <t>78900,39450</t>
  </si>
  <si>
    <t>79500,39750</t>
  </si>
  <si>
    <t>80100,40050</t>
  </si>
  <si>
    <t>80700,40350</t>
  </si>
  <si>
    <t>81300,40650</t>
  </si>
  <si>
    <t>81900,40950</t>
  </si>
  <si>
    <t>82500,41250</t>
  </si>
  <si>
    <t>83100,41550</t>
  </si>
  <si>
    <t>83700,41850</t>
  </si>
  <si>
    <t>84300,42150</t>
  </si>
  <si>
    <t>84900,42450</t>
  </si>
  <si>
    <t>85500,42750</t>
  </si>
  <si>
    <t>86100,43050</t>
  </si>
  <si>
    <t>86700,43350</t>
  </si>
  <si>
    <t>87300,43650</t>
  </si>
  <si>
    <t>87900,43950</t>
  </si>
  <si>
    <t>88500,44250</t>
  </si>
  <si>
    <t>89100,44550</t>
  </si>
  <si>
    <t>89700,44850</t>
  </si>
  <si>
    <t>90300,45150</t>
  </si>
  <si>
    <t>90900,45450</t>
  </si>
  <si>
    <t>91500,45750</t>
  </si>
  <si>
    <t>92100,46050</t>
  </si>
  <si>
    <t>92700,46350</t>
  </si>
  <si>
    <t>93300,46650</t>
  </si>
  <si>
    <t>93900,46950</t>
  </si>
  <si>
    <t>94500,47250</t>
  </si>
  <si>
    <t>95100,47550</t>
  </si>
  <si>
    <t>95700,47850</t>
  </si>
  <si>
    <t>96300,48150</t>
  </si>
  <si>
    <t>96900,48450</t>
  </si>
  <si>
    <t>97500,48750</t>
  </si>
  <si>
    <t>98100,49050</t>
  </si>
  <si>
    <t>98700,49350</t>
  </si>
  <si>
    <t>99300,49650</t>
  </si>
  <si>
    <t>99900,49950</t>
  </si>
  <si>
    <t>100500,50250</t>
  </si>
  <si>
    <t>101100,50550</t>
  </si>
  <si>
    <t>101700,50850</t>
  </si>
  <si>
    <t>102300,51150</t>
  </si>
  <si>
    <t>102900,51450</t>
  </si>
  <si>
    <t>103500,51750</t>
  </si>
  <si>
    <t>104100,52050</t>
  </si>
  <si>
    <t>104700,52350</t>
  </si>
  <si>
    <t>105300,52650</t>
  </si>
  <si>
    <t>105900,52950</t>
  </si>
  <si>
    <t>106500,53250</t>
  </si>
  <si>
    <t>107100,53550</t>
  </si>
  <si>
    <t>107700,53850</t>
  </si>
  <si>
    <t>108300,54150</t>
  </si>
  <si>
    <t>108900,54450</t>
  </si>
  <si>
    <t>109500,54750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</si>
</sst>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indexed="8"/>
      <name val="宋体"/>
      <charset val="134"/>
    </font>
    <font>
      <sz val="11"/>
      <color theme="1"/>
      <name val="Helvetica Neue"/>
      <family val="2"/>
      <scheme val="minor"/>
    </font>
    <font>
      <sz val="11"/>
      <color theme="1"/>
      <name val="Helvetica Neue"/>
      <family val="2"/>
      <scheme val="minor"/>
    </font>
    <font>
      <b/>
      <sz val="11"/>
      <color rgb="FFFA7D00"/>
      <name val="Helvetica Neue"/>
      <family val="2"/>
      <scheme val="minor"/>
    </font>
    <font>
      <b/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rgb="FF000000"/>
      <name val="Helvetica Neue"/>
      <family val="2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Helvetica Neue"/>
      <family val="3"/>
      <charset val="134"/>
      <scheme val="minor"/>
    </font>
    <font>
      <sz val="9"/>
      <name val="Helvetica Neue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4" tint="0.7999511703848384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 applyNumberFormat="0" applyFill="0" applyBorder="0" applyProtection="0">
      <alignment vertical="center"/>
    </xf>
    <xf numFmtId="0" fontId="3" fillId="2" borderId="3" applyNumberFormat="0" applyAlignment="0" applyProtection="0">
      <alignment vertical="center"/>
    </xf>
  </cellStyleXfs>
  <cellXfs count="54">
    <xf numFmtId="0" fontId="0" fillId="0" borderId="0" xfId="0" applyFont="1" applyAlignment="1">
      <alignment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right" vertical="center"/>
    </xf>
    <xf numFmtId="49" fontId="0" fillId="0" borderId="0" xfId="0" applyNumberFormat="1" applyFont="1" applyAlignment="1">
      <alignment horizontal="left" vertical="center"/>
    </xf>
    <xf numFmtId="49" fontId="0" fillId="0" borderId="2" xfId="0" applyNumberFormat="1" applyFont="1" applyBorder="1" applyAlignment="1">
      <alignment vertical="center"/>
    </xf>
    <xf numFmtId="0" fontId="2" fillId="0" borderId="0" xfId="0" applyNumberFormat="1" applyFont="1" applyFill="1" applyBorder="1" applyAlignment="1" applyProtection="1">
      <alignment horizontal="left" vertical="center"/>
    </xf>
    <xf numFmtId="0" fontId="0" fillId="0" borderId="0" xfId="0">
      <alignment vertical="center"/>
    </xf>
    <xf numFmtId="0" fontId="3" fillId="2" borderId="3" xfId="1" applyNumberFormat="1" applyAlignment="1">
      <alignment vertical="center"/>
    </xf>
    <xf numFmtId="0" fontId="0" fillId="0" borderId="0" xfId="0" applyAlignment="1"/>
    <xf numFmtId="0" fontId="3" fillId="2" borderId="3" xfId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5" fillId="0" borderId="0" xfId="0" applyFont="1" applyFill="1">
      <alignment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NumberFormat="1">
      <alignment vertical="center"/>
    </xf>
    <xf numFmtId="0" fontId="6" fillId="6" borderId="0" xfId="0" applyFont="1" applyFill="1" applyAlignment="1">
      <alignment vertical="center" wrapText="1"/>
    </xf>
    <xf numFmtId="3" fontId="0" fillId="0" borderId="0" xfId="0" applyNumberFormat="1" applyFont="1" applyAlignment="1">
      <alignment vertical="center"/>
    </xf>
    <xf numFmtId="0" fontId="6" fillId="7" borderId="0" xfId="0" applyFont="1" applyFill="1" applyAlignment="1">
      <alignment vertical="center" wrapText="1"/>
    </xf>
    <xf numFmtId="0" fontId="0" fillId="8" borderId="0" xfId="0" applyFill="1">
      <alignment vertical="center"/>
    </xf>
    <xf numFmtId="0" fontId="0" fillId="6" borderId="0" xfId="0" applyFill="1">
      <alignment vertical="center"/>
    </xf>
    <xf numFmtId="0" fontId="0" fillId="9" borderId="0" xfId="0" applyFill="1">
      <alignment vertical="center"/>
    </xf>
    <xf numFmtId="0" fontId="7" fillId="0" borderId="0" xfId="0" applyNumberFormat="1" applyFont="1" applyAlignment="1">
      <alignment vertical="center"/>
    </xf>
    <xf numFmtId="0" fontId="0" fillId="0" borderId="1" xfId="0" applyNumberFormat="1" applyBorder="1">
      <alignment vertical="center"/>
    </xf>
    <xf numFmtId="0" fontId="7" fillId="0" borderId="0" xfId="0" applyNumberFormat="1" applyFont="1">
      <alignment vertical="center"/>
    </xf>
    <xf numFmtId="0" fontId="7" fillId="0" borderId="1" xfId="0" applyNumberFormat="1" applyFont="1" applyBorder="1">
      <alignment vertical="center"/>
    </xf>
    <xf numFmtId="0" fontId="1" fillId="0" borderId="0" xfId="0" applyFont="1">
      <alignment vertical="center"/>
    </xf>
    <xf numFmtId="0" fontId="1" fillId="0" borderId="0" xfId="0" applyFont="1" applyAlignment="1"/>
    <xf numFmtId="0" fontId="7" fillId="0" borderId="0" xfId="0" applyFont="1">
      <alignment vertical="center"/>
    </xf>
    <xf numFmtId="0" fontId="1" fillId="0" borderId="1" xfId="0" applyFont="1" applyBorder="1" applyAlignment="1"/>
    <xf numFmtId="0" fontId="1" fillId="4" borderId="0" xfId="0" applyFont="1" applyFill="1">
      <alignment vertical="center"/>
    </xf>
    <xf numFmtId="0" fontId="1" fillId="0" borderId="0" xfId="0" applyFont="1" applyFill="1">
      <alignment vertical="center"/>
    </xf>
    <xf numFmtId="0" fontId="7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9" fillId="4" borderId="0" xfId="0" applyFont="1" applyFill="1">
      <alignment vertical="center"/>
    </xf>
    <xf numFmtId="0" fontId="7" fillId="0" borderId="0" xfId="0" applyFont="1" applyFill="1">
      <alignment vertical="center"/>
    </xf>
    <xf numFmtId="0" fontId="0" fillId="0" borderId="0" xfId="0" applyNumberFormat="1" applyFill="1" applyBorder="1">
      <alignment vertical="center"/>
    </xf>
    <xf numFmtId="0" fontId="1" fillId="5" borderId="0" xfId="0" applyFont="1" applyFill="1">
      <alignment vertical="center"/>
    </xf>
    <xf numFmtId="0" fontId="1" fillId="10" borderId="0" xfId="0" applyFont="1" applyFill="1">
      <alignment vertical="center"/>
    </xf>
    <xf numFmtId="0" fontId="1" fillId="11" borderId="0" xfId="0" applyFont="1" applyFill="1">
      <alignment vertical="center"/>
    </xf>
    <xf numFmtId="0" fontId="6" fillId="11" borderId="0" xfId="0" applyFont="1" applyFill="1" applyAlignment="1">
      <alignment vertical="center" wrapText="1"/>
    </xf>
    <xf numFmtId="0" fontId="5" fillId="11" borderId="0" xfId="0" applyFont="1" applyFill="1">
      <alignment vertical="center"/>
    </xf>
    <xf numFmtId="0" fontId="1" fillId="6" borderId="0" xfId="0" applyFont="1" applyFill="1">
      <alignment vertical="center"/>
    </xf>
    <xf numFmtId="0" fontId="1" fillId="12" borderId="0" xfId="0" applyFont="1" applyFill="1">
      <alignment vertical="center"/>
    </xf>
    <xf numFmtId="0" fontId="6" fillId="12" borderId="0" xfId="0" applyFont="1" applyFill="1" applyAlignment="1">
      <alignment vertical="center" wrapText="1"/>
    </xf>
    <xf numFmtId="0" fontId="1" fillId="7" borderId="0" xfId="0" applyFont="1" applyFill="1">
      <alignment vertical="center"/>
    </xf>
    <xf numFmtId="0" fontId="1" fillId="13" borderId="0" xfId="0" applyFont="1" applyFill="1">
      <alignment vertical="center"/>
    </xf>
    <xf numFmtId="0" fontId="0" fillId="13" borderId="0" xfId="0" applyFill="1">
      <alignment vertical="center"/>
    </xf>
    <xf numFmtId="0" fontId="1" fillId="8" borderId="0" xfId="0" applyFont="1" applyFill="1">
      <alignment vertical="center"/>
    </xf>
    <xf numFmtId="0" fontId="1" fillId="9" borderId="0" xfId="0" applyFont="1" applyFill="1">
      <alignment vertical="center"/>
    </xf>
    <xf numFmtId="0" fontId="9" fillId="0" borderId="0" xfId="0" applyFont="1" applyFill="1">
      <alignment vertical="center"/>
    </xf>
    <xf numFmtId="0" fontId="7" fillId="0" borderId="0" xfId="0" applyFont="1" applyAlignment="1">
      <alignment vertical="center"/>
    </xf>
    <xf numFmtId="0" fontId="0" fillId="0" borderId="0" xfId="0" applyNumberFormat="1" applyFont="1" applyAlignment="1">
      <alignment horizontal="right" vertical="center"/>
    </xf>
  </cellXfs>
  <cellStyles count="2">
    <cellStyle name="常规" xfId="0" builtinId="0"/>
    <cellStyle name="计算" xfId="1" builtinId="22"/>
  </cellStyles>
  <dxfs count="1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4"/>
      </font>
      <fill>
        <patternFill patternType="solid">
          <bgColor theme="4" tint="0.39991454817346722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7030A0"/>
      </font>
      <fill>
        <patternFill patternType="solid">
          <bgColor rgb="FFCC3399"/>
        </patternFill>
      </fill>
    </dxf>
    <dxf>
      <font>
        <color theme="0" tint="-0.499984740745262"/>
      </font>
      <fill>
        <patternFill patternType="solid">
          <bgColor theme="6" tint="0.59996337778862885"/>
        </patternFill>
      </fill>
    </dxf>
    <dxf>
      <font>
        <color rgb="FF7030A0"/>
      </font>
      <fill>
        <patternFill patternType="solid">
          <bgColor rgb="FFCC99FF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99FF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s"/>
    </sheetNames>
    <sheetDataSet>
      <sheetData sheetId="0">
        <row r="4">
          <cell r="D4">
            <v>2</v>
          </cell>
          <cell r="K4">
            <v>1.8</v>
          </cell>
          <cell r="N4">
            <v>103.68</v>
          </cell>
          <cell r="O4">
            <v>10.37</v>
          </cell>
          <cell r="P4">
            <v>1280</v>
          </cell>
          <cell r="Q4">
            <v>128</v>
          </cell>
          <cell r="R4">
            <v>20.74</v>
          </cell>
          <cell r="S4">
            <v>2.0699999999999998</v>
          </cell>
        </row>
        <row r="5">
          <cell r="D5">
            <v>3</v>
          </cell>
          <cell r="K5">
            <v>1.2</v>
          </cell>
          <cell r="N5">
            <v>69.12</v>
          </cell>
          <cell r="O5">
            <v>6.91</v>
          </cell>
          <cell r="P5">
            <v>1280</v>
          </cell>
          <cell r="Q5">
            <v>128</v>
          </cell>
          <cell r="R5">
            <v>13.82</v>
          </cell>
          <cell r="S5">
            <v>1.38</v>
          </cell>
        </row>
        <row r="6">
          <cell r="D6">
            <v>5</v>
          </cell>
          <cell r="K6">
            <v>1.4000000000000001</v>
          </cell>
          <cell r="N6">
            <v>125.44</v>
          </cell>
          <cell r="O6">
            <v>12.54</v>
          </cell>
          <cell r="P6">
            <v>822.86</v>
          </cell>
          <cell r="Q6">
            <v>82.29</v>
          </cell>
          <cell r="R6">
            <v>15.68</v>
          </cell>
          <cell r="S6">
            <v>1.57</v>
          </cell>
        </row>
        <row r="7">
          <cell r="D7">
            <v>2</v>
          </cell>
          <cell r="K7">
            <v>1.8</v>
          </cell>
          <cell r="N7">
            <v>92.16</v>
          </cell>
          <cell r="O7">
            <v>9.2200000000000006</v>
          </cell>
          <cell r="P7">
            <v>1440</v>
          </cell>
          <cell r="Q7">
            <v>144</v>
          </cell>
          <cell r="R7">
            <v>30.72</v>
          </cell>
          <cell r="S7">
            <v>3.07</v>
          </cell>
        </row>
        <row r="8">
          <cell r="D8">
            <v>5</v>
          </cell>
          <cell r="K8">
            <v>1.5</v>
          </cell>
          <cell r="N8">
            <v>134.4</v>
          </cell>
          <cell r="O8">
            <v>13.44</v>
          </cell>
          <cell r="P8">
            <v>822.86</v>
          </cell>
          <cell r="Q8">
            <v>82.29</v>
          </cell>
          <cell r="R8">
            <v>16.8</v>
          </cell>
          <cell r="S8">
            <v>1.68</v>
          </cell>
        </row>
        <row r="9">
          <cell r="D9">
            <v>6</v>
          </cell>
          <cell r="K9">
            <v>1.5</v>
          </cell>
          <cell r="N9">
            <v>148.80000000000001</v>
          </cell>
          <cell r="O9">
            <v>14.88</v>
          </cell>
          <cell r="P9">
            <v>743.23</v>
          </cell>
          <cell r="Q9">
            <v>74.319999999999993</v>
          </cell>
          <cell r="R9">
            <v>14.88</v>
          </cell>
          <cell r="S9">
            <v>1.49</v>
          </cell>
        </row>
        <row r="10">
          <cell r="D10">
            <v>2</v>
          </cell>
          <cell r="K10">
            <v>1.5</v>
          </cell>
          <cell r="N10">
            <v>96</v>
          </cell>
          <cell r="O10">
            <v>9.6</v>
          </cell>
          <cell r="P10">
            <v>1152</v>
          </cell>
          <cell r="Q10">
            <v>115.2</v>
          </cell>
          <cell r="R10">
            <v>24</v>
          </cell>
          <cell r="S10">
            <v>2.4</v>
          </cell>
        </row>
        <row r="11">
          <cell r="D11">
            <v>4</v>
          </cell>
          <cell r="K11">
            <v>1.6</v>
          </cell>
          <cell r="N11">
            <v>122.88</v>
          </cell>
          <cell r="O11">
            <v>12.29</v>
          </cell>
          <cell r="P11">
            <v>960</v>
          </cell>
          <cell r="Q11">
            <v>96</v>
          </cell>
          <cell r="R11">
            <v>17.55</v>
          </cell>
          <cell r="S11">
            <v>1.76</v>
          </cell>
        </row>
        <row r="12">
          <cell r="D12">
            <v>4</v>
          </cell>
          <cell r="K12">
            <v>1.5</v>
          </cell>
          <cell r="N12">
            <v>115.2</v>
          </cell>
          <cell r="O12">
            <v>11.52</v>
          </cell>
          <cell r="P12">
            <v>960</v>
          </cell>
          <cell r="Q12">
            <v>96</v>
          </cell>
          <cell r="R12">
            <v>16.46</v>
          </cell>
          <cell r="S12">
            <v>1.65</v>
          </cell>
        </row>
        <row r="13">
          <cell r="D13">
            <v>5</v>
          </cell>
          <cell r="K13">
            <v>1.6</v>
          </cell>
          <cell r="N13">
            <v>143.36000000000001</v>
          </cell>
          <cell r="O13">
            <v>14.34</v>
          </cell>
          <cell r="P13">
            <v>822.86</v>
          </cell>
          <cell r="Q13">
            <v>82.29</v>
          </cell>
          <cell r="R13">
            <v>17.920000000000002</v>
          </cell>
          <cell r="S13">
            <v>1.79</v>
          </cell>
        </row>
        <row r="14">
          <cell r="D14">
            <v>6</v>
          </cell>
          <cell r="K14">
            <v>1.4000000000000001</v>
          </cell>
          <cell r="N14">
            <v>138.88</v>
          </cell>
          <cell r="O14">
            <v>13.89</v>
          </cell>
          <cell r="P14">
            <v>743.23</v>
          </cell>
          <cell r="Q14">
            <v>74.319999999999993</v>
          </cell>
          <cell r="R14">
            <v>13.89</v>
          </cell>
          <cell r="S14">
            <v>1.39</v>
          </cell>
        </row>
        <row r="15">
          <cell r="D15">
            <v>6</v>
          </cell>
          <cell r="K15">
            <v>1.8</v>
          </cell>
          <cell r="N15">
            <v>178.56</v>
          </cell>
          <cell r="O15">
            <v>17.86</v>
          </cell>
          <cell r="P15">
            <v>743.23</v>
          </cell>
          <cell r="Q15">
            <v>74.319999999999993</v>
          </cell>
          <cell r="R15">
            <v>17.86</v>
          </cell>
          <cell r="S15">
            <v>1.79</v>
          </cell>
        </row>
        <row r="16">
          <cell r="D16">
            <v>3</v>
          </cell>
          <cell r="K16">
            <v>1.3</v>
          </cell>
          <cell r="N16">
            <v>74.88</v>
          </cell>
          <cell r="O16">
            <v>7.49</v>
          </cell>
          <cell r="P16">
            <v>1280</v>
          </cell>
          <cell r="Q16">
            <v>128</v>
          </cell>
          <cell r="R16">
            <v>14.98</v>
          </cell>
          <cell r="S16">
            <v>1.5</v>
          </cell>
        </row>
        <row r="17">
          <cell r="D17">
            <v>3</v>
          </cell>
          <cell r="K17">
            <v>1.4000000000000001</v>
          </cell>
          <cell r="N17">
            <v>80.64</v>
          </cell>
          <cell r="O17">
            <v>8.06</v>
          </cell>
          <cell r="P17">
            <v>1280</v>
          </cell>
          <cell r="Q17">
            <v>128</v>
          </cell>
          <cell r="R17">
            <v>16.13</v>
          </cell>
          <cell r="S17">
            <v>1.61</v>
          </cell>
        </row>
        <row r="18">
          <cell r="D18">
            <v>4</v>
          </cell>
          <cell r="K18">
            <v>1.4000000000000001</v>
          </cell>
          <cell r="N18">
            <v>107.52</v>
          </cell>
          <cell r="O18">
            <v>10.75</v>
          </cell>
          <cell r="P18">
            <v>960</v>
          </cell>
          <cell r="Q18">
            <v>96</v>
          </cell>
          <cell r="R18">
            <v>15.36</v>
          </cell>
          <cell r="S18">
            <v>1.54</v>
          </cell>
        </row>
        <row r="19">
          <cell r="D19">
            <v>2</v>
          </cell>
          <cell r="K19">
            <v>1.8</v>
          </cell>
          <cell r="N19">
            <v>120.96</v>
          </cell>
          <cell r="O19">
            <v>12.1</v>
          </cell>
          <cell r="P19">
            <v>1493.33</v>
          </cell>
          <cell r="Q19">
            <v>149.33000000000001</v>
          </cell>
          <cell r="R19">
            <v>24.19</v>
          </cell>
          <cell r="S19">
            <v>2.42</v>
          </cell>
        </row>
        <row r="20">
          <cell r="D20">
            <v>3</v>
          </cell>
          <cell r="K20">
            <v>1.2</v>
          </cell>
          <cell r="N20">
            <v>80.64</v>
          </cell>
          <cell r="O20">
            <v>8.06</v>
          </cell>
          <cell r="P20">
            <v>1493.33</v>
          </cell>
          <cell r="Q20">
            <v>149.33000000000001</v>
          </cell>
          <cell r="R20">
            <v>16.13</v>
          </cell>
          <cell r="S20">
            <v>1.61</v>
          </cell>
        </row>
        <row r="21">
          <cell r="D21">
            <v>5</v>
          </cell>
          <cell r="K21">
            <v>1.4000000000000001</v>
          </cell>
          <cell r="N21">
            <v>146.35</v>
          </cell>
          <cell r="O21">
            <v>14.63</v>
          </cell>
          <cell r="P21">
            <v>960</v>
          </cell>
          <cell r="Q21">
            <v>96</v>
          </cell>
          <cell r="R21">
            <v>18.29</v>
          </cell>
          <cell r="S21">
            <v>1.83</v>
          </cell>
        </row>
        <row r="22">
          <cell r="D22">
            <v>2</v>
          </cell>
          <cell r="K22">
            <v>1.8</v>
          </cell>
          <cell r="N22">
            <v>107.52</v>
          </cell>
          <cell r="O22">
            <v>10.75</v>
          </cell>
          <cell r="P22">
            <v>1680</v>
          </cell>
          <cell r="Q22">
            <v>168</v>
          </cell>
          <cell r="R22">
            <v>35.840000000000003</v>
          </cell>
          <cell r="S22">
            <v>3.58</v>
          </cell>
        </row>
        <row r="23">
          <cell r="D23">
            <v>5</v>
          </cell>
          <cell r="K23">
            <v>1.5</v>
          </cell>
          <cell r="N23">
            <v>156.80000000000001</v>
          </cell>
          <cell r="O23">
            <v>15.68</v>
          </cell>
          <cell r="P23">
            <v>960</v>
          </cell>
          <cell r="Q23">
            <v>96</v>
          </cell>
          <cell r="R23">
            <v>19.600000000000001</v>
          </cell>
          <cell r="S23">
            <v>1.96</v>
          </cell>
        </row>
        <row r="24">
          <cell r="D24">
            <v>6</v>
          </cell>
          <cell r="K24">
            <v>1.5</v>
          </cell>
          <cell r="N24">
            <v>173.6</v>
          </cell>
          <cell r="O24">
            <v>17.36</v>
          </cell>
          <cell r="P24">
            <v>867.1</v>
          </cell>
          <cell r="Q24">
            <v>86.71</v>
          </cell>
          <cell r="R24">
            <v>17.36</v>
          </cell>
          <cell r="S24">
            <v>1.74</v>
          </cell>
        </row>
        <row r="25">
          <cell r="D25">
            <v>2</v>
          </cell>
          <cell r="K25">
            <v>1.5</v>
          </cell>
          <cell r="N25">
            <v>112</v>
          </cell>
          <cell r="O25">
            <v>11.2</v>
          </cell>
          <cell r="P25">
            <v>1344</v>
          </cell>
          <cell r="Q25">
            <v>134.4</v>
          </cell>
          <cell r="R25">
            <v>28</v>
          </cell>
          <cell r="S25">
            <v>2.8</v>
          </cell>
        </row>
        <row r="26">
          <cell r="D26">
            <v>4</v>
          </cell>
          <cell r="K26">
            <v>1.6</v>
          </cell>
          <cell r="N26">
            <v>143.36000000000001</v>
          </cell>
          <cell r="O26">
            <v>14.34</v>
          </cell>
          <cell r="P26">
            <v>1120</v>
          </cell>
          <cell r="Q26">
            <v>112</v>
          </cell>
          <cell r="R26">
            <v>20.48</v>
          </cell>
          <cell r="S26">
            <v>2.0499999999999998</v>
          </cell>
        </row>
        <row r="27">
          <cell r="D27">
            <v>4</v>
          </cell>
          <cell r="K27">
            <v>1.5</v>
          </cell>
          <cell r="N27">
            <v>134.4</v>
          </cell>
          <cell r="O27">
            <v>13.44</v>
          </cell>
          <cell r="P27">
            <v>1120</v>
          </cell>
          <cell r="Q27">
            <v>112</v>
          </cell>
          <cell r="R27">
            <v>19.2</v>
          </cell>
          <cell r="S27">
            <v>1.92</v>
          </cell>
        </row>
        <row r="28">
          <cell r="D28">
            <v>5</v>
          </cell>
          <cell r="K28">
            <v>1.6</v>
          </cell>
          <cell r="N28">
            <v>167.25</v>
          </cell>
          <cell r="O28">
            <v>16.73</v>
          </cell>
          <cell r="P28">
            <v>960</v>
          </cell>
          <cell r="Q28">
            <v>96</v>
          </cell>
          <cell r="R28">
            <v>20.91</v>
          </cell>
          <cell r="S28">
            <v>2.09</v>
          </cell>
        </row>
        <row r="29">
          <cell r="D29">
            <v>6</v>
          </cell>
          <cell r="K29">
            <v>1.4000000000000001</v>
          </cell>
          <cell r="N29">
            <v>162.03</v>
          </cell>
          <cell r="O29">
            <v>16.2</v>
          </cell>
          <cell r="P29">
            <v>867.1</v>
          </cell>
          <cell r="Q29">
            <v>86.71</v>
          </cell>
          <cell r="R29">
            <v>16.2</v>
          </cell>
          <cell r="S29">
            <v>1.62</v>
          </cell>
        </row>
        <row r="30">
          <cell r="D30">
            <v>6</v>
          </cell>
          <cell r="K30">
            <v>1.8</v>
          </cell>
          <cell r="N30">
            <v>208.32</v>
          </cell>
          <cell r="O30">
            <v>20.83</v>
          </cell>
          <cell r="P30">
            <v>867.1</v>
          </cell>
          <cell r="Q30">
            <v>86.71</v>
          </cell>
          <cell r="R30">
            <v>20.83</v>
          </cell>
          <cell r="S30">
            <v>2.08</v>
          </cell>
        </row>
        <row r="31">
          <cell r="D31">
            <v>3</v>
          </cell>
          <cell r="K31">
            <v>1.3</v>
          </cell>
          <cell r="N31">
            <v>87.36</v>
          </cell>
          <cell r="O31">
            <v>8.74</v>
          </cell>
          <cell r="P31">
            <v>1493.33</v>
          </cell>
          <cell r="Q31">
            <v>149.33000000000001</v>
          </cell>
          <cell r="R31">
            <v>17.47</v>
          </cell>
          <cell r="S31">
            <v>1.75</v>
          </cell>
        </row>
        <row r="32">
          <cell r="D32">
            <v>3</v>
          </cell>
          <cell r="K32">
            <v>1.4000000000000001</v>
          </cell>
          <cell r="N32">
            <v>94.08</v>
          </cell>
          <cell r="O32">
            <v>9.41</v>
          </cell>
          <cell r="P32">
            <v>1493.33</v>
          </cell>
          <cell r="Q32">
            <v>149.33000000000001</v>
          </cell>
          <cell r="R32">
            <v>18.82</v>
          </cell>
          <cell r="S32">
            <v>1.88</v>
          </cell>
        </row>
        <row r="33">
          <cell r="D33">
            <v>4</v>
          </cell>
          <cell r="K33">
            <v>1.4000000000000001</v>
          </cell>
          <cell r="N33">
            <v>125.44</v>
          </cell>
          <cell r="O33">
            <v>12.54</v>
          </cell>
          <cell r="P33">
            <v>1120</v>
          </cell>
          <cell r="Q33">
            <v>112</v>
          </cell>
          <cell r="R33">
            <v>17.920000000000002</v>
          </cell>
          <cell r="S33">
            <v>1.79</v>
          </cell>
        </row>
        <row r="34">
          <cell r="D34">
            <v>2</v>
          </cell>
          <cell r="K34">
            <v>1.8</v>
          </cell>
          <cell r="N34">
            <v>138.24</v>
          </cell>
          <cell r="O34">
            <v>13.82</v>
          </cell>
          <cell r="P34">
            <v>1706.67</v>
          </cell>
          <cell r="Q34">
            <v>170.67</v>
          </cell>
          <cell r="R34">
            <v>27.65</v>
          </cell>
          <cell r="S34">
            <v>2.76</v>
          </cell>
        </row>
        <row r="35">
          <cell r="D35">
            <v>3</v>
          </cell>
          <cell r="K35">
            <v>1.2</v>
          </cell>
          <cell r="N35">
            <v>92.16</v>
          </cell>
          <cell r="O35">
            <v>9.2200000000000006</v>
          </cell>
          <cell r="P35">
            <v>1706.67</v>
          </cell>
          <cell r="Q35">
            <v>170.67</v>
          </cell>
          <cell r="R35">
            <v>18.43</v>
          </cell>
          <cell r="S35">
            <v>1.84</v>
          </cell>
        </row>
        <row r="36">
          <cell r="D36">
            <v>5</v>
          </cell>
          <cell r="K36">
            <v>1.4000000000000001</v>
          </cell>
          <cell r="N36">
            <v>167.25</v>
          </cell>
          <cell r="O36">
            <v>16.73</v>
          </cell>
          <cell r="P36">
            <v>1097.1400000000001</v>
          </cell>
          <cell r="Q36">
            <v>109.71</v>
          </cell>
          <cell r="R36">
            <v>20.91</v>
          </cell>
          <cell r="S36">
            <v>2.09</v>
          </cell>
        </row>
        <row r="37">
          <cell r="D37">
            <v>2</v>
          </cell>
          <cell r="K37">
            <v>1.8</v>
          </cell>
          <cell r="N37">
            <v>122.88</v>
          </cell>
          <cell r="O37">
            <v>12.29</v>
          </cell>
          <cell r="P37">
            <v>1920</v>
          </cell>
          <cell r="Q37">
            <v>192</v>
          </cell>
          <cell r="R37">
            <v>40.96</v>
          </cell>
          <cell r="S37">
            <v>4.0999999999999996</v>
          </cell>
        </row>
        <row r="38">
          <cell r="D38">
            <v>5</v>
          </cell>
          <cell r="K38">
            <v>1.5</v>
          </cell>
          <cell r="N38">
            <v>179.2</v>
          </cell>
          <cell r="O38">
            <v>17.920000000000002</v>
          </cell>
          <cell r="P38">
            <v>1097.1400000000001</v>
          </cell>
          <cell r="Q38">
            <v>109.71</v>
          </cell>
          <cell r="R38">
            <v>22.4</v>
          </cell>
          <cell r="S38">
            <v>2.2400000000000002</v>
          </cell>
        </row>
        <row r="39">
          <cell r="D39">
            <v>6</v>
          </cell>
          <cell r="K39">
            <v>1.5</v>
          </cell>
          <cell r="N39">
            <v>198.4</v>
          </cell>
          <cell r="O39">
            <v>19.84</v>
          </cell>
          <cell r="P39">
            <v>990.97</v>
          </cell>
          <cell r="Q39">
            <v>99.1</v>
          </cell>
          <cell r="R39">
            <v>19.84</v>
          </cell>
          <cell r="S39">
            <v>1.98</v>
          </cell>
        </row>
        <row r="40">
          <cell r="D40">
            <v>2</v>
          </cell>
          <cell r="K40">
            <v>1.5</v>
          </cell>
          <cell r="N40">
            <v>128</v>
          </cell>
          <cell r="O40">
            <v>12.8</v>
          </cell>
          <cell r="P40">
            <v>1536</v>
          </cell>
          <cell r="Q40">
            <v>153.6</v>
          </cell>
          <cell r="R40">
            <v>32</v>
          </cell>
          <cell r="S40">
            <v>3.2</v>
          </cell>
        </row>
        <row r="41">
          <cell r="D41">
            <v>4</v>
          </cell>
          <cell r="K41">
            <v>1.6</v>
          </cell>
          <cell r="N41">
            <v>163.84</v>
          </cell>
          <cell r="O41">
            <v>16.38</v>
          </cell>
          <cell r="P41">
            <v>1280</v>
          </cell>
          <cell r="Q41">
            <v>128</v>
          </cell>
          <cell r="R41">
            <v>23.41</v>
          </cell>
          <cell r="S41">
            <v>2.34</v>
          </cell>
        </row>
        <row r="42">
          <cell r="D42">
            <v>4</v>
          </cell>
          <cell r="K42">
            <v>1.5</v>
          </cell>
          <cell r="N42">
            <v>153.6</v>
          </cell>
          <cell r="O42">
            <v>15.36</v>
          </cell>
          <cell r="P42">
            <v>1280</v>
          </cell>
          <cell r="Q42">
            <v>128</v>
          </cell>
          <cell r="R42">
            <v>21.94</v>
          </cell>
          <cell r="S42">
            <v>2.19</v>
          </cell>
        </row>
        <row r="43">
          <cell r="D43">
            <v>5</v>
          </cell>
          <cell r="K43">
            <v>1.6</v>
          </cell>
          <cell r="N43">
            <v>191.15</v>
          </cell>
          <cell r="O43">
            <v>19.11</v>
          </cell>
          <cell r="P43">
            <v>1097.1400000000001</v>
          </cell>
          <cell r="Q43">
            <v>109.71</v>
          </cell>
          <cell r="R43">
            <v>23.89</v>
          </cell>
          <cell r="S43">
            <v>2.39</v>
          </cell>
        </row>
        <row r="44">
          <cell r="D44">
            <v>6</v>
          </cell>
          <cell r="K44">
            <v>1.4000000000000001</v>
          </cell>
          <cell r="N44">
            <v>185.17</v>
          </cell>
          <cell r="O44">
            <v>18.52</v>
          </cell>
          <cell r="P44">
            <v>990.97</v>
          </cell>
          <cell r="Q44">
            <v>99.1</v>
          </cell>
          <cell r="R44">
            <v>18.52</v>
          </cell>
          <cell r="S44">
            <v>1.85</v>
          </cell>
        </row>
        <row r="45">
          <cell r="D45">
            <v>6</v>
          </cell>
          <cell r="K45">
            <v>1.8</v>
          </cell>
          <cell r="N45">
            <v>238.08</v>
          </cell>
          <cell r="O45">
            <v>23.81</v>
          </cell>
          <cell r="P45">
            <v>990.97</v>
          </cell>
          <cell r="Q45">
            <v>99.1</v>
          </cell>
          <cell r="R45">
            <v>23.81</v>
          </cell>
          <cell r="S45">
            <v>2.38</v>
          </cell>
        </row>
        <row r="46">
          <cell r="D46">
            <v>3</v>
          </cell>
          <cell r="K46">
            <v>1.3</v>
          </cell>
          <cell r="N46">
            <v>99.84</v>
          </cell>
          <cell r="O46">
            <v>9.98</v>
          </cell>
          <cell r="P46">
            <v>1706.67</v>
          </cell>
          <cell r="Q46">
            <v>170.67</v>
          </cell>
          <cell r="R46">
            <v>19.97</v>
          </cell>
          <cell r="S46">
            <v>2</v>
          </cell>
        </row>
        <row r="47">
          <cell r="D47">
            <v>3</v>
          </cell>
          <cell r="K47">
            <v>1.4000000000000001</v>
          </cell>
          <cell r="N47">
            <v>107.52</v>
          </cell>
          <cell r="O47">
            <v>10.75</v>
          </cell>
          <cell r="P47">
            <v>1706.67</v>
          </cell>
          <cell r="Q47">
            <v>170.67</v>
          </cell>
          <cell r="R47">
            <v>21.5</v>
          </cell>
          <cell r="S47">
            <v>2.15</v>
          </cell>
        </row>
        <row r="48">
          <cell r="D48">
            <v>4</v>
          </cell>
          <cell r="K48">
            <v>1.4000000000000001</v>
          </cell>
          <cell r="N48">
            <v>143.36000000000001</v>
          </cell>
          <cell r="O48">
            <v>14.34</v>
          </cell>
          <cell r="P48">
            <v>1280</v>
          </cell>
          <cell r="Q48">
            <v>128</v>
          </cell>
          <cell r="R48">
            <v>20.48</v>
          </cell>
          <cell r="S48">
            <v>2.0499999999999998</v>
          </cell>
        </row>
        <row r="49">
          <cell r="D49">
            <v>2</v>
          </cell>
          <cell r="K49">
            <v>1.8</v>
          </cell>
          <cell r="N49">
            <v>155.52000000000001</v>
          </cell>
          <cell r="O49">
            <v>15.55</v>
          </cell>
          <cell r="P49">
            <v>1920</v>
          </cell>
          <cell r="Q49">
            <v>192</v>
          </cell>
          <cell r="R49">
            <v>31.1</v>
          </cell>
          <cell r="S49">
            <v>3.11</v>
          </cell>
        </row>
        <row r="50">
          <cell r="D50">
            <v>3</v>
          </cell>
          <cell r="K50">
            <v>1.2</v>
          </cell>
          <cell r="N50">
            <v>103.68</v>
          </cell>
          <cell r="O50">
            <v>10.37</v>
          </cell>
          <cell r="P50">
            <v>1920</v>
          </cell>
          <cell r="Q50">
            <v>192</v>
          </cell>
          <cell r="R50">
            <v>20.74</v>
          </cell>
          <cell r="S50">
            <v>2.0699999999999998</v>
          </cell>
        </row>
        <row r="51">
          <cell r="D51">
            <v>5</v>
          </cell>
          <cell r="K51">
            <v>1.4000000000000001</v>
          </cell>
          <cell r="N51">
            <v>188.16</v>
          </cell>
          <cell r="O51">
            <v>18.82</v>
          </cell>
          <cell r="P51">
            <v>1234.29</v>
          </cell>
          <cell r="Q51">
            <v>123.43</v>
          </cell>
          <cell r="R51">
            <v>23.52</v>
          </cell>
          <cell r="S51">
            <v>2.35</v>
          </cell>
        </row>
        <row r="52">
          <cell r="D52">
            <v>2</v>
          </cell>
          <cell r="K52">
            <v>1.8</v>
          </cell>
          <cell r="N52">
            <v>138.24</v>
          </cell>
          <cell r="O52">
            <v>13.82</v>
          </cell>
          <cell r="P52">
            <v>2160</v>
          </cell>
          <cell r="Q52">
            <v>216</v>
          </cell>
          <cell r="R52">
            <v>46.08</v>
          </cell>
          <cell r="S52">
            <v>4.6100000000000003</v>
          </cell>
        </row>
        <row r="53">
          <cell r="D53">
            <v>5</v>
          </cell>
          <cell r="K53">
            <v>1.5</v>
          </cell>
          <cell r="N53">
            <v>201.6</v>
          </cell>
          <cell r="O53">
            <v>20.16</v>
          </cell>
          <cell r="P53">
            <v>1234.29</v>
          </cell>
          <cell r="Q53">
            <v>123.43</v>
          </cell>
          <cell r="R53">
            <v>25.2</v>
          </cell>
          <cell r="S53">
            <v>2.52</v>
          </cell>
        </row>
        <row r="54">
          <cell r="D54">
            <v>6</v>
          </cell>
          <cell r="K54">
            <v>1.5</v>
          </cell>
          <cell r="N54">
            <v>223.2</v>
          </cell>
          <cell r="O54">
            <v>22.32</v>
          </cell>
          <cell r="P54">
            <v>1114.8399999999999</v>
          </cell>
          <cell r="Q54">
            <v>111.48</v>
          </cell>
          <cell r="R54">
            <v>22.32</v>
          </cell>
          <cell r="S54">
            <v>2.23</v>
          </cell>
        </row>
        <row r="55">
          <cell r="D55">
            <v>2</v>
          </cell>
          <cell r="K55">
            <v>1.5</v>
          </cell>
          <cell r="N55">
            <v>144</v>
          </cell>
          <cell r="O55">
            <v>14.4</v>
          </cell>
          <cell r="P55">
            <v>1728</v>
          </cell>
          <cell r="Q55">
            <v>172.8</v>
          </cell>
          <cell r="R55">
            <v>36</v>
          </cell>
          <cell r="S55">
            <v>3.6</v>
          </cell>
        </row>
        <row r="56">
          <cell r="D56">
            <v>4</v>
          </cell>
          <cell r="K56">
            <v>1.6</v>
          </cell>
          <cell r="N56">
            <v>184.32</v>
          </cell>
          <cell r="O56">
            <v>18.43</v>
          </cell>
          <cell r="P56">
            <v>1440</v>
          </cell>
          <cell r="Q56">
            <v>144</v>
          </cell>
          <cell r="R56">
            <v>26.33</v>
          </cell>
          <cell r="S56">
            <v>2.63</v>
          </cell>
        </row>
        <row r="57">
          <cell r="D57">
            <v>4</v>
          </cell>
          <cell r="K57">
            <v>1.5</v>
          </cell>
          <cell r="N57">
            <v>172.8</v>
          </cell>
          <cell r="O57">
            <v>17.28</v>
          </cell>
          <cell r="P57">
            <v>1440</v>
          </cell>
          <cell r="Q57">
            <v>144</v>
          </cell>
          <cell r="R57">
            <v>24.69</v>
          </cell>
          <cell r="S57">
            <v>2.4700000000000002</v>
          </cell>
        </row>
        <row r="58">
          <cell r="D58">
            <v>5</v>
          </cell>
          <cell r="K58">
            <v>1.6</v>
          </cell>
          <cell r="N58">
            <v>215.04</v>
          </cell>
          <cell r="O58">
            <v>21.5</v>
          </cell>
          <cell r="P58">
            <v>1234.29</v>
          </cell>
          <cell r="Q58">
            <v>123.43</v>
          </cell>
          <cell r="R58">
            <v>26.88</v>
          </cell>
          <cell r="S58">
            <v>2.69</v>
          </cell>
        </row>
        <row r="59">
          <cell r="D59">
            <v>6</v>
          </cell>
          <cell r="K59">
            <v>1.4000000000000001</v>
          </cell>
          <cell r="N59">
            <v>208.32</v>
          </cell>
          <cell r="O59">
            <v>20.83</v>
          </cell>
          <cell r="P59">
            <v>1114.8399999999999</v>
          </cell>
          <cell r="Q59">
            <v>111.48</v>
          </cell>
          <cell r="R59">
            <v>20.83</v>
          </cell>
          <cell r="S59">
            <v>2.08</v>
          </cell>
        </row>
        <row r="60">
          <cell r="D60">
            <v>6</v>
          </cell>
          <cell r="K60">
            <v>1.8</v>
          </cell>
          <cell r="N60">
            <v>267.83999999999997</v>
          </cell>
          <cell r="O60">
            <v>26.78</v>
          </cell>
          <cell r="P60">
            <v>1114.8399999999999</v>
          </cell>
          <cell r="Q60">
            <v>111.48</v>
          </cell>
          <cell r="R60">
            <v>26.78</v>
          </cell>
          <cell r="S60">
            <v>2.68</v>
          </cell>
        </row>
        <row r="61">
          <cell r="D61">
            <v>3</v>
          </cell>
          <cell r="K61">
            <v>1.3</v>
          </cell>
          <cell r="N61">
            <v>112.32</v>
          </cell>
          <cell r="O61">
            <v>11.23</v>
          </cell>
          <cell r="P61">
            <v>1920</v>
          </cell>
          <cell r="Q61">
            <v>192</v>
          </cell>
          <cell r="R61">
            <v>22.46</v>
          </cell>
          <cell r="S61">
            <v>2.25</v>
          </cell>
        </row>
        <row r="62">
          <cell r="D62">
            <v>3</v>
          </cell>
          <cell r="K62">
            <v>1.4000000000000001</v>
          </cell>
          <cell r="N62">
            <v>120.96</v>
          </cell>
          <cell r="O62">
            <v>12.1</v>
          </cell>
          <cell r="P62">
            <v>1920</v>
          </cell>
          <cell r="Q62">
            <v>192</v>
          </cell>
          <cell r="R62">
            <v>24.19</v>
          </cell>
          <cell r="S62">
            <v>2.42</v>
          </cell>
        </row>
        <row r="63">
          <cell r="D63">
            <v>4</v>
          </cell>
          <cell r="K63">
            <v>1.4000000000000001</v>
          </cell>
          <cell r="N63">
            <v>161.28</v>
          </cell>
          <cell r="O63">
            <v>16.13</v>
          </cell>
          <cell r="P63">
            <v>1440</v>
          </cell>
          <cell r="Q63">
            <v>144</v>
          </cell>
          <cell r="R63">
            <v>23.04</v>
          </cell>
          <cell r="S63">
            <v>2.2999999999999998</v>
          </cell>
        </row>
        <row r="64">
          <cell r="D64">
            <v>2</v>
          </cell>
          <cell r="K64">
            <v>1.8</v>
          </cell>
          <cell r="N64">
            <v>172.8</v>
          </cell>
          <cell r="O64">
            <v>17.28</v>
          </cell>
          <cell r="P64">
            <v>2133.33</v>
          </cell>
          <cell r="Q64">
            <v>213.33</v>
          </cell>
          <cell r="R64">
            <v>34.56</v>
          </cell>
          <cell r="S64">
            <v>3.46</v>
          </cell>
        </row>
        <row r="65">
          <cell r="D65">
            <v>3</v>
          </cell>
          <cell r="K65">
            <v>1.2</v>
          </cell>
          <cell r="N65">
            <v>115.2</v>
          </cell>
          <cell r="O65">
            <v>11.52</v>
          </cell>
          <cell r="P65">
            <v>2133.33</v>
          </cell>
          <cell r="Q65">
            <v>213.33</v>
          </cell>
          <cell r="R65">
            <v>23.04</v>
          </cell>
          <cell r="S65">
            <v>2.2999999999999998</v>
          </cell>
        </row>
        <row r="66">
          <cell r="D66">
            <v>5</v>
          </cell>
          <cell r="K66">
            <v>1.4000000000000001</v>
          </cell>
          <cell r="N66">
            <v>209.07</v>
          </cell>
          <cell r="O66">
            <v>20.91</v>
          </cell>
          <cell r="P66">
            <v>1371.43</v>
          </cell>
          <cell r="Q66">
            <v>137.13999999999999</v>
          </cell>
          <cell r="R66">
            <v>26.13</v>
          </cell>
          <cell r="S66">
            <v>2.61</v>
          </cell>
        </row>
        <row r="67">
          <cell r="D67">
            <v>2</v>
          </cell>
          <cell r="K67">
            <v>1.8</v>
          </cell>
          <cell r="N67">
            <v>153.6</v>
          </cell>
          <cell r="O67">
            <v>15.36</v>
          </cell>
          <cell r="P67">
            <v>2400</v>
          </cell>
          <cell r="Q67">
            <v>240</v>
          </cell>
          <cell r="R67">
            <v>51.2</v>
          </cell>
          <cell r="S67">
            <v>5.12</v>
          </cell>
        </row>
        <row r="68">
          <cell r="D68">
            <v>5</v>
          </cell>
          <cell r="K68">
            <v>1.5</v>
          </cell>
          <cell r="N68">
            <v>224</v>
          </cell>
          <cell r="O68">
            <v>22.4</v>
          </cell>
          <cell r="P68">
            <v>1371.43</v>
          </cell>
          <cell r="Q68">
            <v>137.13999999999999</v>
          </cell>
          <cell r="R68">
            <v>28</v>
          </cell>
          <cell r="S68">
            <v>2.8</v>
          </cell>
        </row>
        <row r="69">
          <cell r="D69">
            <v>6</v>
          </cell>
          <cell r="K69">
            <v>1.5</v>
          </cell>
          <cell r="N69">
            <v>248</v>
          </cell>
          <cell r="O69">
            <v>24.8</v>
          </cell>
          <cell r="P69">
            <v>1238.71</v>
          </cell>
          <cell r="Q69">
            <v>123.87</v>
          </cell>
          <cell r="R69">
            <v>24.8</v>
          </cell>
          <cell r="S69">
            <v>2.48</v>
          </cell>
        </row>
        <row r="70">
          <cell r="D70">
            <v>2</v>
          </cell>
          <cell r="K70">
            <v>1.5</v>
          </cell>
          <cell r="N70">
            <v>160</v>
          </cell>
          <cell r="O70">
            <v>16</v>
          </cell>
          <cell r="P70">
            <v>1920</v>
          </cell>
          <cell r="Q70">
            <v>192</v>
          </cell>
          <cell r="R70">
            <v>40</v>
          </cell>
          <cell r="S70">
            <v>4</v>
          </cell>
        </row>
        <row r="71">
          <cell r="D71">
            <v>4</v>
          </cell>
          <cell r="K71">
            <v>1.6</v>
          </cell>
          <cell r="N71">
            <v>204.8</v>
          </cell>
          <cell r="O71">
            <v>20.48</v>
          </cell>
          <cell r="P71">
            <v>1600</v>
          </cell>
          <cell r="Q71">
            <v>160</v>
          </cell>
          <cell r="R71">
            <v>29.26</v>
          </cell>
          <cell r="S71">
            <v>2.93</v>
          </cell>
        </row>
        <row r="72">
          <cell r="D72">
            <v>4</v>
          </cell>
          <cell r="K72">
            <v>1.5</v>
          </cell>
          <cell r="N72">
            <v>192</v>
          </cell>
          <cell r="O72">
            <v>19.2</v>
          </cell>
          <cell r="P72">
            <v>1600</v>
          </cell>
          <cell r="Q72">
            <v>160</v>
          </cell>
          <cell r="R72">
            <v>27.43</v>
          </cell>
          <cell r="S72">
            <v>2.74</v>
          </cell>
        </row>
        <row r="73">
          <cell r="D73">
            <v>5</v>
          </cell>
          <cell r="K73">
            <v>1.6</v>
          </cell>
          <cell r="N73">
            <v>238.93</v>
          </cell>
          <cell r="O73">
            <v>23.89</v>
          </cell>
          <cell r="P73">
            <v>1371.43</v>
          </cell>
          <cell r="Q73">
            <v>137.13999999999999</v>
          </cell>
          <cell r="R73">
            <v>29.87</v>
          </cell>
          <cell r="S73">
            <v>2.99</v>
          </cell>
        </row>
        <row r="74">
          <cell r="D74">
            <v>6</v>
          </cell>
          <cell r="K74">
            <v>1.4000000000000001</v>
          </cell>
          <cell r="N74">
            <v>231.47</v>
          </cell>
          <cell r="O74">
            <v>23.15</v>
          </cell>
          <cell r="P74">
            <v>1238.71</v>
          </cell>
          <cell r="Q74">
            <v>123.87</v>
          </cell>
          <cell r="R74">
            <v>23.15</v>
          </cell>
          <cell r="S74">
            <v>2.31</v>
          </cell>
        </row>
        <row r="75">
          <cell r="D75">
            <v>6</v>
          </cell>
          <cell r="K75">
            <v>1.8</v>
          </cell>
          <cell r="N75">
            <v>297.60000000000002</v>
          </cell>
          <cell r="O75">
            <v>29.76</v>
          </cell>
          <cell r="P75">
            <v>1238.71</v>
          </cell>
          <cell r="Q75">
            <v>123.87</v>
          </cell>
          <cell r="R75">
            <v>29.76</v>
          </cell>
          <cell r="S75">
            <v>2.98</v>
          </cell>
        </row>
        <row r="76">
          <cell r="D76">
            <v>3</v>
          </cell>
          <cell r="K76">
            <v>1.3</v>
          </cell>
          <cell r="N76">
            <v>124.8</v>
          </cell>
          <cell r="O76">
            <v>12.48</v>
          </cell>
          <cell r="P76">
            <v>2133.33</v>
          </cell>
          <cell r="Q76">
            <v>213.33</v>
          </cell>
          <cell r="R76">
            <v>24.96</v>
          </cell>
          <cell r="S76">
            <v>2.5</v>
          </cell>
        </row>
        <row r="77">
          <cell r="D77">
            <v>3</v>
          </cell>
          <cell r="K77">
            <v>1.4000000000000001</v>
          </cell>
          <cell r="N77">
            <v>134.4</v>
          </cell>
          <cell r="O77">
            <v>13.44</v>
          </cell>
          <cell r="P77">
            <v>2133.33</v>
          </cell>
          <cell r="Q77">
            <v>213.33</v>
          </cell>
          <cell r="R77">
            <v>26.88</v>
          </cell>
          <cell r="S77">
            <v>2.69</v>
          </cell>
        </row>
        <row r="78">
          <cell r="D78">
            <v>4</v>
          </cell>
          <cell r="K78">
            <v>1.4000000000000001</v>
          </cell>
          <cell r="N78">
            <v>179.2</v>
          </cell>
          <cell r="O78">
            <v>17.920000000000002</v>
          </cell>
          <cell r="P78">
            <v>1600</v>
          </cell>
          <cell r="Q78">
            <v>160</v>
          </cell>
          <cell r="R78">
            <v>25.6</v>
          </cell>
          <cell r="S78">
            <v>2.56</v>
          </cell>
        </row>
        <row r="79">
          <cell r="D79">
            <v>2</v>
          </cell>
          <cell r="K79">
            <v>1.8</v>
          </cell>
          <cell r="N79">
            <v>190.08</v>
          </cell>
          <cell r="O79">
            <v>19.010000000000002</v>
          </cell>
          <cell r="P79">
            <v>2346.67</v>
          </cell>
          <cell r="Q79">
            <v>234.67</v>
          </cell>
          <cell r="R79">
            <v>38.020000000000003</v>
          </cell>
          <cell r="S79">
            <v>3.8</v>
          </cell>
        </row>
        <row r="80">
          <cell r="D80">
            <v>3</v>
          </cell>
          <cell r="K80">
            <v>1.2</v>
          </cell>
          <cell r="N80">
            <v>126.72</v>
          </cell>
          <cell r="O80">
            <v>12.67</v>
          </cell>
          <cell r="P80">
            <v>2346.67</v>
          </cell>
          <cell r="Q80">
            <v>234.67</v>
          </cell>
          <cell r="R80">
            <v>25.34</v>
          </cell>
          <cell r="S80">
            <v>2.5299999999999998</v>
          </cell>
        </row>
        <row r="81">
          <cell r="D81">
            <v>5</v>
          </cell>
          <cell r="K81">
            <v>1.4000000000000001</v>
          </cell>
          <cell r="N81">
            <v>229.97</v>
          </cell>
          <cell r="O81">
            <v>23</v>
          </cell>
          <cell r="P81">
            <v>1508.57</v>
          </cell>
          <cell r="Q81">
            <v>150.86000000000001</v>
          </cell>
          <cell r="R81">
            <v>28.75</v>
          </cell>
          <cell r="S81">
            <v>2.87</v>
          </cell>
        </row>
        <row r="82">
          <cell r="D82">
            <v>2</v>
          </cell>
          <cell r="K82">
            <v>1.8</v>
          </cell>
          <cell r="N82">
            <v>168.96</v>
          </cell>
          <cell r="O82">
            <v>16.899999999999999</v>
          </cell>
          <cell r="P82">
            <v>2640</v>
          </cell>
          <cell r="Q82">
            <v>264</v>
          </cell>
          <cell r="R82">
            <v>56.32</v>
          </cell>
          <cell r="S82">
            <v>5.63</v>
          </cell>
        </row>
        <row r="83">
          <cell r="D83">
            <v>5</v>
          </cell>
          <cell r="K83">
            <v>1.5</v>
          </cell>
          <cell r="N83">
            <v>246.4</v>
          </cell>
          <cell r="O83">
            <v>24.64</v>
          </cell>
          <cell r="P83">
            <v>1508.57</v>
          </cell>
          <cell r="Q83">
            <v>150.86000000000001</v>
          </cell>
          <cell r="R83">
            <v>30.8</v>
          </cell>
          <cell r="S83">
            <v>3.08</v>
          </cell>
        </row>
        <row r="84">
          <cell r="D84">
            <v>6</v>
          </cell>
          <cell r="K84">
            <v>1.5</v>
          </cell>
          <cell r="N84">
            <v>272.8</v>
          </cell>
          <cell r="O84">
            <v>27.28</v>
          </cell>
          <cell r="P84">
            <v>1362.58</v>
          </cell>
          <cell r="Q84">
            <v>136.26</v>
          </cell>
          <cell r="R84">
            <v>27.28</v>
          </cell>
          <cell r="S84">
            <v>2.73</v>
          </cell>
        </row>
        <row r="85">
          <cell r="D85">
            <v>2</v>
          </cell>
          <cell r="K85">
            <v>1.5</v>
          </cell>
          <cell r="N85">
            <v>176</v>
          </cell>
          <cell r="O85">
            <v>17.600000000000001</v>
          </cell>
          <cell r="P85">
            <v>2112</v>
          </cell>
          <cell r="Q85">
            <v>211.2</v>
          </cell>
          <cell r="R85">
            <v>44</v>
          </cell>
          <cell r="S85">
            <v>4.4000000000000004</v>
          </cell>
        </row>
        <row r="86">
          <cell r="D86">
            <v>4</v>
          </cell>
          <cell r="K86">
            <v>1.6</v>
          </cell>
          <cell r="N86">
            <v>225.28</v>
          </cell>
          <cell r="O86">
            <v>22.53</v>
          </cell>
          <cell r="P86">
            <v>1760</v>
          </cell>
          <cell r="Q86">
            <v>176</v>
          </cell>
          <cell r="R86">
            <v>32.18</v>
          </cell>
          <cell r="S86">
            <v>3.22</v>
          </cell>
        </row>
        <row r="87">
          <cell r="D87">
            <v>4</v>
          </cell>
          <cell r="K87">
            <v>1.5</v>
          </cell>
          <cell r="N87">
            <v>211.2</v>
          </cell>
          <cell r="O87">
            <v>21.12</v>
          </cell>
          <cell r="P87">
            <v>1760</v>
          </cell>
          <cell r="Q87">
            <v>176</v>
          </cell>
          <cell r="R87">
            <v>30.17</v>
          </cell>
          <cell r="S87">
            <v>3.02</v>
          </cell>
        </row>
        <row r="88">
          <cell r="D88">
            <v>5</v>
          </cell>
          <cell r="K88">
            <v>1.6</v>
          </cell>
          <cell r="N88">
            <v>262.83</v>
          </cell>
          <cell r="O88">
            <v>26.28</v>
          </cell>
          <cell r="P88">
            <v>1508.57</v>
          </cell>
          <cell r="Q88">
            <v>150.86000000000001</v>
          </cell>
          <cell r="R88">
            <v>32.85</v>
          </cell>
          <cell r="S88">
            <v>3.29</v>
          </cell>
        </row>
        <row r="89">
          <cell r="D89">
            <v>6</v>
          </cell>
          <cell r="K89">
            <v>1.4000000000000001</v>
          </cell>
          <cell r="N89">
            <v>254.61</v>
          </cell>
          <cell r="O89">
            <v>25.46</v>
          </cell>
          <cell r="P89">
            <v>1362.58</v>
          </cell>
          <cell r="Q89">
            <v>136.26</v>
          </cell>
          <cell r="R89">
            <v>25.46</v>
          </cell>
          <cell r="S89">
            <v>2.5499999999999998</v>
          </cell>
        </row>
        <row r="90">
          <cell r="D90">
            <v>6</v>
          </cell>
          <cell r="K90">
            <v>1.8</v>
          </cell>
          <cell r="N90">
            <v>327.36</v>
          </cell>
          <cell r="O90">
            <v>32.74</v>
          </cell>
          <cell r="P90">
            <v>1362.58</v>
          </cell>
          <cell r="Q90">
            <v>136.26</v>
          </cell>
          <cell r="R90">
            <v>32.74</v>
          </cell>
          <cell r="S90">
            <v>3.27</v>
          </cell>
        </row>
        <row r="91">
          <cell r="D91">
            <v>3</v>
          </cell>
          <cell r="K91">
            <v>1.3</v>
          </cell>
          <cell r="N91">
            <v>137.28</v>
          </cell>
          <cell r="O91">
            <v>13.73</v>
          </cell>
          <cell r="P91">
            <v>2346.67</v>
          </cell>
          <cell r="Q91">
            <v>234.67</v>
          </cell>
          <cell r="R91">
            <v>27.46</v>
          </cell>
          <cell r="S91">
            <v>2.75</v>
          </cell>
        </row>
        <row r="92">
          <cell r="D92">
            <v>3</v>
          </cell>
          <cell r="K92">
            <v>1.4000000000000001</v>
          </cell>
          <cell r="N92">
            <v>147.84</v>
          </cell>
          <cell r="O92">
            <v>14.78</v>
          </cell>
          <cell r="P92">
            <v>2346.67</v>
          </cell>
          <cell r="Q92">
            <v>234.67</v>
          </cell>
          <cell r="R92">
            <v>29.57</v>
          </cell>
          <cell r="S92">
            <v>2.96</v>
          </cell>
        </row>
        <row r="93">
          <cell r="D93">
            <v>4</v>
          </cell>
          <cell r="K93">
            <v>1.4000000000000001</v>
          </cell>
          <cell r="N93">
            <v>197.12</v>
          </cell>
          <cell r="O93">
            <v>19.71</v>
          </cell>
          <cell r="P93">
            <v>1760</v>
          </cell>
          <cell r="Q93">
            <v>176</v>
          </cell>
          <cell r="R93">
            <v>28.16</v>
          </cell>
          <cell r="S93">
            <v>2.82</v>
          </cell>
        </row>
        <row r="94">
          <cell r="D94">
            <v>2</v>
          </cell>
          <cell r="K94">
            <v>1.5</v>
          </cell>
          <cell r="N94">
            <v>128</v>
          </cell>
          <cell r="O94">
            <v>12.8</v>
          </cell>
          <cell r="P94">
            <v>1536</v>
          </cell>
          <cell r="Q94">
            <v>153.6</v>
          </cell>
          <cell r="R94">
            <v>32</v>
          </cell>
          <cell r="S94">
            <v>3.2</v>
          </cell>
        </row>
        <row r="95">
          <cell r="D95">
            <v>2</v>
          </cell>
          <cell r="K95">
            <v>1.8</v>
          </cell>
          <cell r="N95">
            <v>122.88</v>
          </cell>
          <cell r="O95">
            <v>12.29</v>
          </cell>
          <cell r="P95">
            <v>1920</v>
          </cell>
          <cell r="Q95">
            <v>192</v>
          </cell>
          <cell r="R95">
            <v>40.96</v>
          </cell>
          <cell r="S95">
            <v>4.0999999999999996</v>
          </cell>
        </row>
        <row r="96">
          <cell r="D96">
            <v>2</v>
          </cell>
          <cell r="K96">
            <v>1.8</v>
          </cell>
          <cell r="N96">
            <v>138.24</v>
          </cell>
          <cell r="O96">
            <v>13.82</v>
          </cell>
          <cell r="P96">
            <v>1706.67</v>
          </cell>
          <cell r="Q96">
            <v>170.67</v>
          </cell>
          <cell r="R96">
            <v>27.65</v>
          </cell>
          <cell r="S96">
            <v>2.76</v>
          </cell>
        </row>
        <row r="97">
          <cell r="D97">
            <v>3</v>
          </cell>
          <cell r="K97">
            <v>1.2</v>
          </cell>
          <cell r="N97">
            <v>92.16</v>
          </cell>
          <cell r="O97">
            <v>9.2200000000000006</v>
          </cell>
          <cell r="P97">
            <v>1706.67</v>
          </cell>
          <cell r="Q97">
            <v>170.67</v>
          </cell>
          <cell r="R97">
            <v>18.43</v>
          </cell>
          <cell r="S97">
            <v>1.84</v>
          </cell>
        </row>
        <row r="98">
          <cell r="D98">
            <v>4</v>
          </cell>
          <cell r="K98">
            <v>1.6</v>
          </cell>
          <cell r="N98">
            <v>163.84</v>
          </cell>
          <cell r="O98">
            <v>16.38</v>
          </cell>
          <cell r="P98">
            <v>1280</v>
          </cell>
          <cell r="Q98">
            <v>128</v>
          </cell>
          <cell r="R98">
            <v>23.41</v>
          </cell>
          <cell r="S98">
            <v>2.34</v>
          </cell>
        </row>
        <row r="99">
          <cell r="D99">
            <v>4</v>
          </cell>
          <cell r="K99">
            <v>1.5</v>
          </cell>
          <cell r="N99">
            <v>153.6</v>
          </cell>
          <cell r="O99">
            <v>15.36</v>
          </cell>
          <cell r="P99">
            <v>1280</v>
          </cell>
          <cell r="Q99">
            <v>128</v>
          </cell>
          <cell r="R99">
            <v>21.94</v>
          </cell>
          <cell r="S99">
            <v>2.19</v>
          </cell>
        </row>
        <row r="100">
          <cell r="D100">
            <v>5</v>
          </cell>
          <cell r="K100">
            <v>1.5</v>
          </cell>
          <cell r="N100">
            <v>179.2</v>
          </cell>
          <cell r="O100">
            <v>17.920000000000002</v>
          </cell>
          <cell r="P100">
            <v>1097.1400000000001</v>
          </cell>
          <cell r="Q100">
            <v>109.71</v>
          </cell>
          <cell r="R100">
            <v>22.4</v>
          </cell>
          <cell r="S100">
            <v>2.2400000000000002</v>
          </cell>
        </row>
        <row r="101">
          <cell r="D101">
            <v>5</v>
          </cell>
          <cell r="K101">
            <v>1.4000000000000001</v>
          </cell>
          <cell r="N101">
            <v>167.25</v>
          </cell>
          <cell r="O101">
            <v>16.73</v>
          </cell>
          <cell r="P101">
            <v>1097.1400000000001</v>
          </cell>
          <cell r="Q101">
            <v>109.71</v>
          </cell>
          <cell r="R101">
            <v>20.91</v>
          </cell>
          <cell r="S101">
            <v>2.09</v>
          </cell>
        </row>
        <row r="102">
          <cell r="D102">
            <v>6</v>
          </cell>
          <cell r="K102">
            <v>1.5</v>
          </cell>
          <cell r="N102">
            <v>198.4</v>
          </cell>
          <cell r="O102">
            <v>19.84</v>
          </cell>
          <cell r="P102">
            <v>990.97</v>
          </cell>
          <cell r="Q102">
            <v>99.1</v>
          </cell>
          <cell r="R102">
            <v>19.84</v>
          </cell>
          <cell r="S102">
            <v>1.98</v>
          </cell>
        </row>
        <row r="103">
          <cell r="D103">
            <v>2</v>
          </cell>
          <cell r="K103">
            <v>1.5</v>
          </cell>
          <cell r="N103">
            <v>128</v>
          </cell>
          <cell r="O103">
            <v>12.8</v>
          </cell>
          <cell r="P103">
            <v>1536</v>
          </cell>
          <cell r="Q103">
            <v>153.6</v>
          </cell>
          <cell r="R103">
            <v>32</v>
          </cell>
          <cell r="S103">
            <v>3.2</v>
          </cell>
        </row>
        <row r="104">
          <cell r="D104">
            <v>2</v>
          </cell>
          <cell r="K104">
            <v>1.8</v>
          </cell>
          <cell r="N104">
            <v>122.88</v>
          </cell>
          <cell r="O104">
            <v>12.29</v>
          </cell>
          <cell r="P104">
            <v>1920</v>
          </cell>
          <cell r="Q104">
            <v>192</v>
          </cell>
          <cell r="R104">
            <v>40.96</v>
          </cell>
          <cell r="S104">
            <v>4.0999999999999996</v>
          </cell>
        </row>
        <row r="105">
          <cell r="D105">
            <v>2</v>
          </cell>
          <cell r="K105">
            <v>1.8</v>
          </cell>
          <cell r="N105">
            <v>138.24</v>
          </cell>
          <cell r="O105">
            <v>13.82</v>
          </cell>
          <cell r="P105">
            <v>1706.67</v>
          </cell>
          <cell r="Q105">
            <v>170.67</v>
          </cell>
          <cell r="R105">
            <v>27.65</v>
          </cell>
          <cell r="S105">
            <v>2.76</v>
          </cell>
        </row>
        <row r="106">
          <cell r="D106">
            <v>3</v>
          </cell>
          <cell r="K106">
            <v>1.2</v>
          </cell>
          <cell r="N106">
            <v>92.16</v>
          </cell>
          <cell r="O106">
            <v>9.2200000000000006</v>
          </cell>
          <cell r="P106">
            <v>1706.67</v>
          </cell>
          <cell r="Q106">
            <v>170.67</v>
          </cell>
          <cell r="R106">
            <v>18.43</v>
          </cell>
          <cell r="S106">
            <v>1.84</v>
          </cell>
        </row>
        <row r="107">
          <cell r="D107">
            <v>4</v>
          </cell>
          <cell r="K107">
            <v>1.6</v>
          </cell>
          <cell r="N107">
            <v>163.84</v>
          </cell>
          <cell r="O107">
            <v>16.38</v>
          </cell>
          <cell r="P107">
            <v>1280</v>
          </cell>
          <cell r="Q107">
            <v>128</v>
          </cell>
          <cell r="R107">
            <v>23.41</v>
          </cell>
          <cell r="S107">
            <v>2.34</v>
          </cell>
        </row>
        <row r="108">
          <cell r="D108">
            <v>4</v>
          </cell>
          <cell r="K108">
            <v>1.5</v>
          </cell>
          <cell r="N108">
            <v>153.6</v>
          </cell>
          <cell r="O108">
            <v>15.36</v>
          </cell>
          <cell r="P108">
            <v>1280</v>
          </cell>
          <cell r="Q108">
            <v>128</v>
          </cell>
          <cell r="R108">
            <v>21.94</v>
          </cell>
          <cell r="S108">
            <v>2.19</v>
          </cell>
        </row>
        <row r="109">
          <cell r="D109">
            <v>5</v>
          </cell>
          <cell r="K109">
            <v>1.5</v>
          </cell>
          <cell r="N109">
            <v>179.2</v>
          </cell>
          <cell r="O109">
            <v>17.920000000000002</v>
          </cell>
          <cell r="P109">
            <v>1097.1400000000001</v>
          </cell>
          <cell r="Q109">
            <v>109.71</v>
          </cell>
          <cell r="R109">
            <v>22.4</v>
          </cell>
          <cell r="S109">
            <v>2.2400000000000002</v>
          </cell>
        </row>
        <row r="110">
          <cell r="D110">
            <v>5</v>
          </cell>
          <cell r="K110">
            <v>1.4000000000000001</v>
          </cell>
          <cell r="N110">
            <v>167.25</v>
          </cell>
          <cell r="O110">
            <v>16.73</v>
          </cell>
          <cell r="P110">
            <v>1097.1400000000001</v>
          </cell>
          <cell r="Q110">
            <v>109.71</v>
          </cell>
          <cell r="R110">
            <v>20.91</v>
          </cell>
          <cell r="S110">
            <v>2.09</v>
          </cell>
        </row>
        <row r="111">
          <cell r="D111">
            <v>6</v>
          </cell>
          <cell r="K111">
            <v>1.5</v>
          </cell>
          <cell r="N111">
            <v>198.4</v>
          </cell>
          <cell r="O111">
            <v>19.84</v>
          </cell>
          <cell r="P111">
            <v>990.97</v>
          </cell>
          <cell r="Q111">
            <v>99.1</v>
          </cell>
          <cell r="R111">
            <v>19.84</v>
          </cell>
          <cell r="S111">
            <v>1.98</v>
          </cell>
        </row>
        <row r="112">
          <cell r="D112">
            <v>2</v>
          </cell>
          <cell r="K112">
            <v>1.5</v>
          </cell>
          <cell r="N112">
            <v>128</v>
          </cell>
          <cell r="O112">
            <v>12.8</v>
          </cell>
          <cell r="P112">
            <v>1536</v>
          </cell>
          <cell r="Q112">
            <v>153.6</v>
          </cell>
          <cell r="R112">
            <v>32</v>
          </cell>
          <cell r="S112">
            <v>3.2</v>
          </cell>
        </row>
        <row r="113">
          <cell r="D113">
            <v>2</v>
          </cell>
          <cell r="K113">
            <v>1.8</v>
          </cell>
          <cell r="N113">
            <v>122.88</v>
          </cell>
          <cell r="O113">
            <v>12.29</v>
          </cell>
          <cell r="P113">
            <v>1920</v>
          </cell>
          <cell r="Q113">
            <v>192</v>
          </cell>
          <cell r="R113">
            <v>40.96</v>
          </cell>
          <cell r="S113">
            <v>4.0999999999999996</v>
          </cell>
        </row>
        <row r="114">
          <cell r="D114">
            <v>2</v>
          </cell>
          <cell r="K114">
            <v>1.8</v>
          </cell>
          <cell r="N114">
            <v>138.24</v>
          </cell>
          <cell r="O114">
            <v>13.82</v>
          </cell>
          <cell r="P114">
            <v>1706.67</v>
          </cell>
          <cell r="Q114">
            <v>170.67</v>
          </cell>
          <cell r="R114">
            <v>27.65</v>
          </cell>
          <cell r="S114">
            <v>2.76</v>
          </cell>
        </row>
        <row r="115">
          <cell r="D115">
            <v>3</v>
          </cell>
          <cell r="K115">
            <v>1.2</v>
          </cell>
          <cell r="N115">
            <v>92.16</v>
          </cell>
          <cell r="O115">
            <v>9.2200000000000006</v>
          </cell>
          <cell r="P115">
            <v>1706.67</v>
          </cell>
          <cell r="Q115">
            <v>170.67</v>
          </cell>
          <cell r="R115">
            <v>18.43</v>
          </cell>
          <cell r="S115">
            <v>1.84</v>
          </cell>
        </row>
        <row r="116">
          <cell r="D116">
            <v>4</v>
          </cell>
          <cell r="K116">
            <v>1.6</v>
          </cell>
          <cell r="N116">
            <v>163.84</v>
          </cell>
          <cell r="O116">
            <v>16.38</v>
          </cell>
          <cell r="P116">
            <v>1280</v>
          </cell>
          <cell r="Q116">
            <v>128</v>
          </cell>
          <cell r="R116">
            <v>23.41</v>
          </cell>
          <cell r="S116">
            <v>2.34</v>
          </cell>
        </row>
        <row r="117">
          <cell r="D117">
            <v>4</v>
          </cell>
          <cell r="K117">
            <v>1.5</v>
          </cell>
          <cell r="N117">
            <v>153.6</v>
          </cell>
          <cell r="O117">
            <v>15.36</v>
          </cell>
          <cell r="P117">
            <v>1280</v>
          </cell>
          <cell r="Q117">
            <v>128</v>
          </cell>
          <cell r="R117">
            <v>21.94</v>
          </cell>
          <cell r="S117">
            <v>2.19</v>
          </cell>
        </row>
        <row r="118">
          <cell r="D118">
            <v>5</v>
          </cell>
          <cell r="K118">
            <v>1.5</v>
          </cell>
          <cell r="N118">
            <v>179.2</v>
          </cell>
          <cell r="O118">
            <v>17.920000000000002</v>
          </cell>
          <cell r="P118">
            <v>1097.1400000000001</v>
          </cell>
          <cell r="Q118">
            <v>109.71</v>
          </cell>
          <cell r="R118">
            <v>22.4</v>
          </cell>
          <cell r="S118">
            <v>2.2400000000000002</v>
          </cell>
        </row>
        <row r="119">
          <cell r="D119">
            <v>5</v>
          </cell>
          <cell r="K119">
            <v>1.4000000000000001</v>
          </cell>
          <cell r="N119">
            <v>167.25</v>
          </cell>
          <cell r="O119">
            <v>16.73</v>
          </cell>
          <cell r="P119">
            <v>1097.1400000000001</v>
          </cell>
          <cell r="Q119">
            <v>109.71</v>
          </cell>
          <cell r="R119">
            <v>20.91</v>
          </cell>
          <cell r="S119">
            <v>2.09</v>
          </cell>
        </row>
        <row r="120">
          <cell r="D120">
            <v>6</v>
          </cell>
          <cell r="K120">
            <v>1.5</v>
          </cell>
          <cell r="N120">
            <v>198.4</v>
          </cell>
          <cell r="O120">
            <v>19.84</v>
          </cell>
          <cell r="P120">
            <v>990.97</v>
          </cell>
          <cell r="Q120">
            <v>99.1</v>
          </cell>
          <cell r="R120">
            <v>19.84</v>
          </cell>
          <cell r="S120">
            <v>1.98</v>
          </cell>
        </row>
        <row r="121">
          <cell r="D121">
            <v>2</v>
          </cell>
          <cell r="K121">
            <v>1.8</v>
          </cell>
          <cell r="N121">
            <v>122.88</v>
          </cell>
          <cell r="O121">
            <v>12.29</v>
          </cell>
          <cell r="P121">
            <v>1920</v>
          </cell>
          <cell r="Q121">
            <v>192</v>
          </cell>
          <cell r="R121">
            <v>40.96</v>
          </cell>
          <cell r="S121">
            <v>4.0999999999999996</v>
          </cell>
        </row>
        <row r="122">
          <cell r="D122">
            <v>3</v>
          </cell>
          <cell r="K122">
            <v>1.4000000000000001</v>
          </cell>
          <cell r="N122">
            <v>107.52</v>
          </cell>
          <cell r="O122">
            <v>10.75</v>
          </cell>
          <cell r="P122">
            <v>1706.67</v>
          </cell>
          <cell r="Q122">
            <v>170.67</v>
          </cell>
          <cell r="R122">
            <v>21.5</v>
          </cell>
          <cell r="S122">
            <v>2.15</v>
          </cell>
        </row>
        <row r="123">
          <cell r="D123">
            <v>5</v>
          </cell>
          <cell r="K123">
            <v>1.6</v>
          </cell>
          <cell r="N123">
            <v>191.15</v>
          </cell>
          <cell r="O123">
            <v>19.11</v>
          </cell>
          <cell r="P123">
            <v>1097.1400000000001</v>
          </cell>
          <cell r="Q123">
            <v>109.71</v>
          </cell>
          <cell r="R123">
            <v>23.89</v>
          </cell>
          <cell r="S123">
            <v>2.39</v>
          </cell>
        </row>
        <row r="124">
          <cell r="D124">
            <v>6</v>
          </cell>
          <cell r="K124">
            <v>1.4000000000000001</v>
          </cell>
          <cell r="N124">
            <v>185.17</v>
          </cell>
          <cell r="O124">
            <v>18.52</v>
          </cell>
          <cell r="P124">
            <v>990.97</v>
          </cell>
          <cell r="Q124">
            <v>99.1</v>
          </cell>
          <cell r="R124">
            <v>18.52</v>
          </cell>
          <cell r="S124">
            <v>1.85</v>
          </cell>
        </row>
        <row r="125">
          <cell r="D125">
            <v>6</v>
          </cell>
          <cell r="K125">
            <v>1.8</v>
          </cell>
          <cell r="N125">
            <v>238.08</v>
          </cell>
          <cell r="O125">
            <v>23.81</v>
          </cell>
          <cell r="P125">
            <v>990.97</v>
          </cell>
          <cell r="Q125">
            <v>99.1</v>
          </cell>
          <cell r="R125">
            <v>23.81</v>
          </cell>
          <cell r="S125">
            <v>2.38</v>
          </cell>
        </row>
        <row r="126">
          <cell r="D126">
            <v>2</v>
          </cell>
          <cell r="K126">
            <v>1.8</v>
          </cell>
          <cell r="N126">
            <v>138.24</v>
          </cell>
          <cell r="O126">
            <v>13.82</v>
          </cell>
          <cell r="P126">
            <v>1706.67</v>
          </cell>
          <cell r="Q126">
            <v>170.67</v>
          </cell>
          <cell r="R126">
            <v>27.65</v>
          </cell>
          <cell r="S126">
            <v>2.76</v>
          </cell>
        </row>
        <row r="127">
          <cell r="D127">
            <v>3</v>
          </cell>
          <cell r="K127">
            <v>1.3</v>
          </cell>
          <cell r="N127">
            <v>99.84</v>
          </cell>
          <cell r="O127">
            <v>9.98</v>
          </cell>
          <cell r="P127">
            <v>1706.67</v>
          </cell>
          <cell r="Q127">
            <v>170.67</v>
          </cell>
          <cell r="R127">
            <v>19.97</v>
          </cell>
          <cell r="S127">
            <v>2</v>
          </cell>
        </row>
        <row r="128">
          <cell r="D128">
            <v>3</v>
          </cell>
          <cell r="K128">
            <v>1.4000000000000001</v>
          </cell>
          <cell r="N128">
            <v>107.52</v>
          </cell>
          <cell r="O128">
            <v>10.75</v>
          </cell>
          <cell r="P128">
            <v>1706.67</v>
          </cell>
          <cell r="Q128">
            <v>170.67</v>
          </cell>
          <cell r="R128">
            <v>21.5</v>
          </cell>
          <cell r="S128">
            <v>2.15</v>
          </cell>
        </row>
        <row r="129">
          <cell r="D129">
            <v>4</v>
          </cell>
          <cell r="K129">
            <v>1.4000000000000001</v>
          </cell>
          <cell r="N129">
            <v>143.36000000000001</v>
          </cell>
          <cell r="O129">
            <v>14.34</v>
          </cell>
          <cell r="P129">
            <v>1280</v>
          </cell>
          <cell r="Q129">
            <v>128</v>
          </cell>
          <cell r="R129">
            <v>20.48</v>
          </cell>
          <cell r="S129">
            <v>2.0499999999999998</v>
          </cell>
        </row>
        <row r="130">
          <cell r="D130">
            <v>5</v>
          </cell>
          <cell r="K130">
            <v>1.6</v>
          </cell>
          <cell r="N130">
            <v>191.15</v>
          </cell>
          <cell r="O130">
            <v>19.11</v>
          </cell>
          <cell r="P130">
            <v>1097.1400000000001</v>
          </cell>
          <cell r="Q130">
            <v>109.71</v>
          </cell>
          <cell r="R130">
            <v>23.89</v>
          </cell>
          <cell r="S130">
            <v>2.39</v>
          </cell>
        </row>
        <row r="131">
          <cell r="D131">
            <v>2</v>
          </cell>
          <cell r="K131">
            <v>1.5</v>
          </cell>
          <cell r="N131">
            <v>144</v>
          </cell>
          <cell r="O131">
            <v>14.4</v>
          </cell>
          <cell r="P131">
            <v>1728</v>
          </cell>
          <cell r="Q131">
            <v>172.8</v>
          </cell>
          <cell r="R131">
            <v>36</v>
          </cell>
          <cell r="S131">
            <v>3.6</v>
          </cell>
        </row>
        <row r="132">
          <cell r="D132">
            <v>2</v>
          </cell>
          <cell r="K132">
            <v>1.8</v>
          </cell>
          <cell r="N132">
            <v>138.24</v>
          </cell>
          <cell r="O132">
            <v>13.82</v>
          </cell>
          <cell r="P132">
            <v>2160</v>
          </cell>
          <cell r="Q132">
            <v>216</v>
          </cell>
          <cell r="R132">
            <v>46.08</v>
          </cell>
          <cell r="S132">
            <v>4.6100000000000003</v>
          </cell>
        </row>
        <row r="133">
          <cell r="D133">
            <v>2</v>
          </cell>
          <cell r="K133">
            <v>1.8</v>
          </cell>
          <cell r="N133">
            <v>155.52000000000001</v>
          </cell>
          <cell r="O133">
            <v>15.55</v>
          </cell>
          <cell r="P133">
            <v>1920</v>
          </cell>
          <cell r="Q133">
            <v>192</v>
          </cell>
          <cell r="R133">
            <v>31.1</v>
          </cell>
          <cell r="S133">
            <v>3.11</v>
          </cell>
        </row>
        <row r="134">
          <cell r="D134">
            <v>3</v>
          </cell>
          <cell r="K134">
            <v>1.2</v>
          </cell>
          <cell r="N134">
            <v>103.68</v>
          </cell>
          <cell r="O134">
            <v>10.37</v>
          </cell>
          <cell r="P134">
            <v>1920</v>
          </cell>
          <cell r="Q134">
            <v>192</v>
          </cell>
          <cell r="R134">
            <v>20.74</v>
          </cell>
          <cell r="S134">
            <v>2.0699999999999998</v>
          </cell>
        </row>
        <row r="135">
          <cell r="D135">
            <v>4</v>
          </cell>
          <cell r="K135">
            <v>1.6</v>
          </cell>
          <cell r="N135">
            <v>184.32</v>
          </cell>
          <cell r="O135">
            <v>18.43</v>
          </cell>
          <cell r="P135">
            <v>1440</v>
          </cell>
          <cell r="Q135">
            <v>144</v>
          </cell>
          <cell r="R135">
            <v>26.33</v>
          </cell>
          <cell r="S135">
            <v>2.63</v>
          </cell>
        </row>
        <row r="136">
          <cell r="D136">
            <v>4</v>
          </cell>
          <cell r="K136">
            <v>1.5</v>
          </cell>
          <cell r="N136">
            <v>172.8</v>
          </cell>
          <cell r="O136">
            <v>17.28</v>
          </cell>
          <cell r="P136">
            <v>1440</v>
          </cell>
          <cell r="Q136">
            <v>144</v>
          </cell>
          <cell r="R136">
            <v>24.69</v>
          </cell>
          <cell r="S136">
            <v>2.4700000000000002</v>
          </cell>
        </row>
        <row r="137">
          <cell r="D137">
            <v>5</v>
          </cell>
          <cell r="K137">
            <v>1.5</v>
          </cell>
          <cell r="N137">
            <v>201.6</v>
          </cell>
          <cell r="O137">
            <v>20.16</v>
          </cell>
          <cell r="P137">
            <v>1234.29</v>
          </cell>
          <cell r="Q137">
            <v>123.43</v>
          </cell>
          <cell r="R137">
            <v>25.2</v>
          </cell>
          <cell r="S137">
            <v>2.52</v>
          </cell>
        </row>
        <row r="138">
          <cell r="D138">
            <v>5</v>
          </cell>
          <cell r="K138">
            <v>1.4000000000000001</v>
          </cell>
          <cell r="N138">
            <v>188.16</v>
          </cell>
          <cell r="O138">
            <v>18.82</v>
          </cell>
          <cell r="P138">
            <v>1234.29</v>
          </cell>
          <cell r="Q138">
            <v>123.43</v>
          </cell>
          <cell r="R138">
            <v>23.52</v>
          </cell>
          <cell r="S138">
            <v>2.35</v>
          </cell>
        </row>
        <row r="139">
          <cell r="D139">
            <v>6</v>
          </cell>
          <cell r="K139">
            <v>1.5</v>
          </cell>
          <cell r="N139">
            <v>223.2</v>
          </cell>
          <cell r="O139">
            <v>22.32</v>
          </cell>
          <cell r="P139">
            <v>1114.8399999999999</v>
          </cell>
          <cell r="Q139">
            <v>111.48</v>
          </cell>
          <cell r="R139">
            <v>22.32</v>
          </cell>
          <cell r="S139">
            <v>2.23</v>
          </cell>
        </row>
        <row r="140">
          <cell r="D140">
            <v>2</v>
          </cell>
          <cell r="K140">
            <v>1.5</v>
          </cell>
          <cell r="N140">
            <v>144</v>
          </cell>
          <cell r="O140">
            <v>14.4</v>
          </cell>
          <cell r="P140">
            <v>1728</v>
          </cell>
          <cell r="Q140">
            <v>172.8</v>
          </cell>
          <cell r="R140">
            <v>36</v>
          </cell>
          <cell r="S140">
            <v>3.6</v>
          </cell>
        </row>
        <row r="141">
          <cell r="D141">
            <v>2</v>
          </cell>
          <cell r="K141">
            <v>1.8</v>
          </cell>
          <cell r="N141">
            <v>138.24</v>
          </cell>
          <cell r="O141">
            <v>13.82</v>
          </cell>
          <cell r="P141">
            <v>2160</v>
          </cell>
          <cell r="Q141">
            <v>216</v>
          </cell>
          <cell r="R141">
            <v>46.08</v>
          </cell>
          <cell r="S141">
            <v>4.6100000000000003</v>
          </cell>
        </row>
        <row r="142">
          <cell r="D142">
            <v>2</v>
          </cell>
          <cell r="K142">
            <v>1.8</v>
          </cell>
          <cell r="N142">
            <v>155.52000000000001</v>
          </cell>
          <cell r="O142">
            <v>15.55</v>
          </cell>
          <cell r="P142">
            <v>1920</v>
          </cell>
          <cell r="Q142">
            <v>192</v>
          </cell>
          <cell r="R142">
            <v>31.1</v>
          </cell>
          <cell r="S142">
            <v>3.11</v>
          </cell>
        </row>
        <row r="143">
          <cell r="D143">
            <v>3</v>
          </cell>
          <cell r="K143">
            <v>1.2</v>
          </cell>
          <cell r="N143">
            <v>103.68</v>
          </cell>
          <cell r="O143">
            <v>10.37</v>
          </cell>
          <cell r="P143">
            <v>1920</v>
          </cell>
          <cell r="Q143">
            <v>192</v>
          </cell>
          <cell r="R143">
            <v>20.74</v>
          </cell>
          <cell r="S143">
            <v>2.0699999999999998</v>
          </cell>
        </row>
        <row r="144">
          <cell r="D144">
            <v>4</v>
          </cell>
          <cell r="K144">
            <v>1.6</v>
          </cell>
          <cell r="N144">
            <v>184.32</v>
          </cell>
          <cell r="O144">
            <v>18.43</v>
          </cell>
          <cell r="P144">
            <v>1440</v>
          </cell>
          <cell r="Q144">
            <v>144</v>
          </cell>
          <cell r="R144">
            <v>26.33</v>
          </cell>
          <cell r="S144">
            <v>2.63</v>
          </cell>
        </row>
        <row r="145">
          <cell r="D145">
            <v>4</v>
          </cell>
          <cell r="K145">
            <v>1.5</v>
          </cell>
          <cell r="N145">
            <v>172.8</v>
          </cell>
          <cell r="O145">
            <v>17.28</v>
          </cell>
          <cell r="P145">
            <v>1440</v>
          </cell>
          <cell r="Q145">
            <v>144</v>
          </cell>
          <cell r="R145">
            <v>24.69</v>
          </cell>
          <cell r="S145">
            <v>2.4700000000000002</v>
          </cell>
        </row>
        <row r="146">
          <cell r="D146">
            <v>5</v>
          </cell>
          <cell r="K146">
            <v>1.5</v>
          </cell>
          <cell r="N146">
            <v>201.6</v>
          </cell>
          <cell r="O146">
            <v>20.16</v>
          </cell>
          <cell r="P146">
            <v>1234.29</v>
          </cell>
          <cell r="Q146">
            <v>123.43</v>
          </cell>
          <cell r="R146">
            <v>25.2</v>
          </cell>
          <cell r="S146">
            <v>2.52</v>
          </cell>
        </row>
        <row r="147">
          <cell r="D147">
            <v>5</v>
          </cell>
          <cell r="K147">
            <v>1.4000000000000001</v>
          </cell>
          <cell r="N147">
            <v>188.16</v>
          </cell>
          <cell r="O147">
            <v>18.82</v>
          </cell>
          <cell r="P147">
            <v>1234.29</v>
          </cell>
          <cell r="Q147">
            <v>123.43</v>
          </cell>
          <cell r="R147">
            <v>23.52</v>
          </cell>
          <cell r="S147">
            <v>2.35</v>
          </cell>
        </row>
        <row r="148">
          <cell r="D148">
            <v>6</v>
          </cell>
          <cell r="K148">
            <v>1.5</v>
          </cell>
          <cell r="N148">
            <v>223.2</v>
          </cell>
          <cell r="O148">
            <v>22.32</v>
          </cell>
          <cell r="P148">
            <v>1114.8399999999999</v>
          </cell>
          <cell r="Q148">
            <v>111.48</v>
          </cell>
          <cell r="R148">
            <v>22.32</v>
          </cell>
          <cell r="S148">
            <v>2.23</v>
          </cell>
        </row>
        <row r="149">
          <cell r="D149">
            <v>2</v>
          </cell>
          <cell r="K149">
            <v>1.5</v>
          </cell>
          <cell r="N149">
            <v>144</v>
          </cell>
          <cell r="O149">
            <v>14.4</v>
          </cell>
          <cell r="P149">
            <v>1728</v>
          </cell>
          <cell r="Q149">
            <v>172.8</v>
          </cell>
          <cell r="R149">
            <v>36</v>
          </cell>
          <cell r="S149">
            <v>3.6</v>
          </cell>
        </row>
        <row r="150">
          <cell r="D150">
            <v>2</v>
          </cell>
          <cell r="K150">
            <v>1.8</v>
          </cell>
          <cell r="N150">
            <v>138.24</v>
          </cell>
          <cell r="O150">
            <v>13.82</v>
          </cell>
          <cell r="P150">
            <v>2160</v>
          </cell>
          <cell r="Q150">
            <v>216</v>
          </cell>
          <cell r="R150">
            <v>46.08</v>
          </cell>
          <cell r="S150">
            <v>4.6100000000000003</v>
          </cell>
        </row>
        <row r="151">
          <cell r="D151">
            <v>2</v>
          </cell>
          <cell r="K151">
            <v>1.8</v>
          </cell>
          <cell r="N151">
            <v>155.52000000000001</v>
          </cell>
          <cell r="O151">
            <v>15.55</v>
          </cell>
          <cell r="P151">
            <v>1920</v>
          </cell>
          <cell r="Q151">
            <v>192</v>
          </cell>
          <cell r="R151">
            <v>31.1</v>
          </cell>
          <cell r="S151">
            <v>3.11</v>
          </cell>
        </row>
        <row r="152">
          <cell r="D152">
            <v>3</v>
          </cell>
          <cell r="K152">
            <v>1.2</v>
          </cell>
          <cell r="N152">
            <v>103.68</v>
          </cell>
          <cell r="O152">
            <v>10.37</v>
          </cell>
          <cell r="P152">
            <v>1920</v>
          </cell>
          <cell r="Q152">
            <v>192</v>
          </cell>
          <cell r="R152">
            <v>20.74</v>
          </cell>
          <cell r="S152">
            <v>2.0699999999999998</v>
          </cell>
        </row>
        <row r="153">
          <cell r="D153">
            <v>4</v>
          </cell>
          <cell r="K153">
            <v>1.6</v>
          </cell>
          <cell r="N153">
            <v>184.32</v>
          </cell>
          <cell r="O153">
            <v>18.43</v>
          </cell>
          <cell r="P153">
            <v>1440</v>
          </cell>
          <cell r="Q153">
            <v>144</v>
          </cell>
          <cell r="R153">
            <v>26.33</v>
          </cell>
          <cell r="S153">
            <v>2.63</v>
          </cell>
        </row>
        <row r="154">
          <cell r="D154">
            <v>4</v>
          </cell>
          <cell r="K154">
            <v>1.5</v>
          </cell>
          <cell r="N154">
            <v>172.8</v>
          </cell>
          <cell r="O154">
            <v>17.28</v>
          </cell>
          <cell r="P154">
            <v>1440</v>
          </cell>
          <cell r="Q154">
            <v>144</v>
          </cell>
          <cell r="R154">
            <v>24.69</v>
          </cell>
          <cell r="S154">
            <v>2.4700000000000002</v>
          </cell>
        </row>
        <row r="155">
          <cell r="D155">
            <v>5</v>
          </cell>
          <cell r="K155">
            <v>1.5</v>
          </cell>
          <cell r="N155">
            <v>201.6</v>
          </cell>
          <cell r="O155">
            <v>20.16</v>
          </cell>
          <cell r="P155">
            <v>1234.29</v>
          </cell>
          <cell r="Q155">
            <v>123.43</v>
          </cell>
          <cell r="R155">
            <v>25.2</v>
          </cell>
          <cell r="S155">
            <v>2.52</v>
          </cell>
        </row>
        <row r="156">
          <cell r="D156">
            <v>5</v>
          </cell>
          <cell r="K156">
            <v>1.4000000000000001</v>
          </cell>
          <cell r="N156">
            <v>188.16</v>
          </cell>
          <cell r="O156">
            <v>18.82</v>
          </cell>
          <cell r="P156">
            <v>1234.29</v>
          </cell>
          <cell r="Q156">
            <v>123.43</v>
          </cell>
          <cell r="R156">
            <v>23.52</v>
          </cell>
          <cell r="S156">
            <v>2.35</v>
          </cell>
        </row>
        <row r="157">
          <cell r="D157">
            <v>6</v>
          </cell>
          <cell r="K157">
            <v>1.5</v>
          </cell>
          <cell r="N157">
            <v>223.2</v>
          </cell>
          <cell r="O157">
            <v>22.32</v>
          </cell>
          <cell r="P157">
            <v>1114.8399999999999</v>
          </cell>
          <cell r="Q157">
            <v>111.48</v>
          </cell>
          <cell r="R157">
            <v>22.32</v>
          </cell>
          <cell r="S157">
            <v>2.23</v>
          </cell>
        </row>
        <row r="158">
          <cell r="D158">
            <v>2</v>
          </cell>
          <cell r="K158">
            <v>1.8</v>
          </cell>
          <cell r="N158">
            <v>138.24</v>
          </cell>
          <cell r="O158">
            <v>13.82</v>
          </cell>
          <cell r="P158">
            <v>2160</v>
          </cell>
          <cell r="Q158">
            <v>216</v>
          </cell>
          <cell r="R158">
            <v>46.08</v>
          </cell>
          <cell r="S158">
            <v>4.6100000000000003</v>
          </cell>
        </row>
        <row r="159">
          <cell r="D159">
            <v>3</v>
          </cell>
          <cell r="K159">
            <v>1.4000000000000001</v>
          </cell>
          <cell r="N159">
            <v>120.96</v>
          </cell>
          <cell r="O159">
            <v>12.1</v>
          </cell>
          <cell r="P159">
            <v>1920</v>
          </cell>
          <cell r="Q159">
            <v>192</v>
          </cell>
          <cell r="R159">
            <v>24.19</v>
          </cell>
          <cell r="S159">
            <v>2.42</v>
          </cell>
        </row>
        <row r="160">
          <cell r="D160">
            <v>5</v>
          </cell>
          <cell r="K160">
            <v>1.6</v>
          </cell>
          <cell r="N160">
            <v>215.04</v>
          </cell>
          <cell r="O160">
            <v>21.5</v>
          </cell>
          <cell r="P160">
            <v>1234.29</v>
          </cell>
          <cell r="Q160">
            <v>123.43</v>
          </cell>
          <cell r="R160">
            <v>26.88</v>
          </cell>
          <cell r="S160">
            <v>2.69</v>
          </cell>
        </row>
        <row r="161">
          <cell r="D161">
            <v>6</v>
          </cell>
          <cell r="K161">
            <v>1.4000000000000001</v>
          </cell>
          <cell r="N161">
            <v>208.32</v>
          </cell>
          <cell r="O161">
            <v>20.83</v>
          </cell>
          <cell r="P161">
            <v>1114.8399999999999</v>
          </cell>
          <cell r="Q161">
            <v>111.48</v>
          </cell>
          <cell r="R161">
            <v>20.83</v>
          </cell>
          <cell r="S161">
            <v>2.08</v>
          </cell>
        </row>
        <row r="162">
          <cell r="D162">
            <v>6</v>
          </cell>
          <cell r="K162">
            <v>1.8</v>
          </cell>
          <cell r="N162">
            <v>267.83999999999997</v>
          </cell>
          <cell r="O162">
            <v>26.78</v>
          </cell>
          <cell r="P162">
            <v>1114.8399999999999</v>
          </cell>
          <cell r="Q162">
            <v>111.48</v>
          </cell>
          <cell r="R162">
            <v>26.78</v>
          </cell>
          <cell r="S162">
            <v>2.68</v>
          </cell>
        </row>
        <row r="163">
          <cell r="D163">
            <v>2</v>
          </cell>
          <cell r="K163">
            <v>1.8</v>
          </cell>
          <cell r="N163">
            <v>155.52000000000001</v>
          </cell>
          <cell r="O163">
            <v>15.55</v>
          </cell>
          <cell r="P163">
            <v>1920</v>
          </cell>
          <cell r="Q163">
            <v>192</v>
          </cell>
          <cell r="R163">
            <v>31.1</v>
          </cell>
          <cell r="S163">
            <v>3.11</v>
          </cell>
        </row>
        <row r="164">
          <cell r="D164">
            <v>3</v>
          </cell>
          <cell r="K164">
            <v>1.3</v>
          </cell>
          <cell r="N164">
            <v>112.32</v>
          </cell>
          <cell r="O164">
            <v>11.23</v>
          </cell>
          <cell r="P164">
            <v>1920</v>
          </cell>
          <cell r="Q164">
            <v>192</v>
          </cell>
          <cell r="R164">
            <v>22.46</v>
          </cell>
          <cell r="S164">
            <v>2.25</v>
          </cell>
        </row>
        <row r="165">
          <cell r="D165">
            <v>3</v>
          </cell>
          <cell r="K165">
            <v>1.4000000000000001</v>
          </cell>
          <cell r="N165">
            <v>120.96</v>
          </cell>
          <cell r="O165">
            <v>12.1</v>
          </cell>
          <cell r="P165">
            <v>1920</v>
          </cell>
          <cell r="Q165">
            <v>192</v>
          </cell>
          <cell r="R165">
            <v>24.19</v>
          </cell>
          <cell r="S165">
            <v>2.42</v>
          </cell>
        </row>
        <row r="166">
          <cell r="D166">
            <v>4</v>
          </cell>
          <cell r="K166">
            <v>1.4000000000000001</v>
          </cell>
          <cell r="N166">
            <v>161.28</v>
          </cell>
          <cell r="O166">
            <v>16.13</v>
          </cell>
          <cell r="P166">
            <v>1440</v>
          </cell>
          <cell r="Q166">
            <v>144</v>
          </cell>
          <cell r="R166">
            <v>23.04</v>
          </cell>
          <cell r="S166">
            <v>2.2999999999999998</v>
          </cell>
        </row>
        <row r="167">
          <cell r="D167">
            <v>5</v>
          </cell>
          <cell r="K167">
            <v>1.6</v>
          </cell>
          <cell r="N167">
            <v>215.04</v>
          </cell>
          <cell r="O167">
            <v>21.5</v>
          </cell>
          <cell r="P167">
            <v>1234.29</v>
          </cell>
          <cell r="Q167">
            <v>123.43</v>
          </cell>
          <cell r="R167">
            <v>26.88</v>
          </cell>
          <cell r="S167">
            <v>2.69</v>
          </cell>
        </row>
        <row r="168">
          <cell r="D168">
            <v>2</v>
          </cell>
          <cell r="K168">
            <v>1.5</v>
          </cell>
          <cell r="N168">
            <v>160</v>
          </cell>
          <cell r="O168">
            <v>16</v>
          </cell>
          <cell r="P168">
            <v>1920</v>
          </cell>
          <cell r="Q168">
            <v>192</v>
          </cell>
          <cell r="R168">
            <v>40</v>
          </cell>
          <cell r="S168">
            <v>4</v>
          </cell>
        </row>
        <row r="169">
          <cell r="D169">
            <v>2</v>
          </cell>
          <cell r="K169">
            <v>1.8</v>
          </cell>
          <cell r="N169">
            <v>153.6</v>
          </cell>
          <cell r="O169">
            <v>15.36</v>
          </cell>
          <cell r="P169">
            <v>2400</v>
          </cell>
          <cell r="Q169">
            <v>240</v>
          </cell>
          <cell r="R169">
            <v>51.2</v>
          </cell>
          <cell r="S169">
            <v>5.12</v>
          </cell>
        </row>
        <row r="170">
          <cell r="D170">
            <v>2</v>
          </cell>
          <cell r="K170">
            <v>1.8</v>
          </cell>
          <cell r="N170">
            <v>172.8</v>
          </cell>
          <cell r="O170">
            <v>17.28</v>
          </cell>
          <cell r="P170">
            <v>2133.33</v>
          </cell>
          <cell r="Q170">
            <v>213.33</v>
          </cell>
          <cell r="R170">
            <v>34.56</v>
          </cell>
          <cell r="S170">
            <v>3.46</v>
          </cell>
        </row>
        <row r="171">
          <cell r="D171">
            <v>3</v>
          </cell>
          <cell r="K171">
            <v>1.2</v>
          </cell>
          <cell r="N171">
            <v>115.2</v>
          </cell>
          <cell r="O171">
            <v>11.52</v>
          </cell>
          <cell r="P171">
            <v>2133.33</v>
          </cell>
          <cell r="Q171">
            <v>213.33</v>
          </cell>
          <cell r="R171">
            <v>23.04</v>
          </cell>
          <cell r="S171">
            <v>2.2999999999999998</v>
          </cell>
        </row>
        <row r="172">
          <cell r="D172">
            <v>4</v>
          </cell>
          <cell r="K172">
            <v>1.6</v>
          </cell>
          <cell r="N172">
            <v>204.8</v>
          </cell>
          <cell r="O172">
            <v>20.48</v>
          </cell>
          <cell r="P172">
            <v>1600</v>
          </cell>
          <cell r="Q172">
            <v>160</v>
          </cell>
          <cell r="R172">
            <v>29.26</v>
          </cell>
          <cell r="S172">
            <v>2.93</v>
          </cell>
        </row>
        <row r="173">
          <cell r="D173">
            <v>4</v>
          </cell>
          <cell r="K173">
            <v>1.5</v>
          </cell>
          <cell r="N173">
            <v>192</v>
          </cell>
          <cell r="O173">
            <v>19.2</v>
          </cell>
          <cell r="P173">
            <v>1600</v>
          </cell>
          <cell r="Q173">
            <v>160</v>
          </cell>
          <cell r="R173">
            <v>27.43</v>
          </cell>
          <cell r="S173">
            <v>2.74</v>
          </cell>
        </row>
        <row r="174">
          <cell r="D174">
            <v>5</v>
          </cell>
          <cell r="K174">
            <v>1.5</v>
          </cell>
          <cell r="N174">
            <v>224</v>
          </cell>
          <cell r="O174">
            <v>22.4</v>
          </cell>
          <cell r="P174">
            <v>1371.43</v>
          </cell>
          <cell r="Q174">
            <v>137.13999999999999</v>
          </cell>
          <cell r="R174">
            <v>28</v>
          </cell>
          <cell r="S174">
            <v>2.8</v>
          </cell>
        </row>
        <row r="175">
          <cell r="D175">
            <v>5</v>
          </cell>
          <cell r="K175">
            <v>1.4000000000000001</v>
          </cell>
          <cell r="N175">
            <v>209.07</v>
          </cell>
          <cell r="O175">
            <v>20.91</v>
          </cell>
          <cell r="P175">
            <v>1371.43</v>
          </cell>
          <cell r="Q175">
            <v>137.13999999999999</v>
          </cell>
          <cell r="R175">
            <v>26.13</v>
          </cell>
          <cell r="S175">
            <v>2.61</v>
          </cell>
        </row>
        <row r="176">
          <cell r="D176">
            <v>6</v>
          </cell>
          <cell r="K176">
            <v>1.5</v>
          </cell>
          <cell r="N176">
            <v>248</v>
          </cell>
          <cell r="O176">
            <v>24.8</v>
          </cell>
          <cell r="P176">
            <v>1238.71</v>
          </cell>
          <cell r="Q176">
            <v>123.87</v>
          </cell>
          <cell r="R176">
            <v>24.8</v>
          </cell>
          <cell r="S176">
            <v>2.48</v>
          </cell>
        </row>
        <row r="177">
          <cell r="D177">
            <v>2</v>
          </cell>
          <cell r="K177">
            <v>1.5</v>
          </cell>
          <cell r="N177">
            <v>160</v>
          </cell>
          <cell r="O177">
            <v>16</v>
          </cell>
          <cell r="P177">
            <v>1920</v>
          </cell>
          <cell r="Q177">
            <v>192</v>
          </cell>
          <cell r="R177">
            <v>40</v>
          </cell>
          <cell r="S177">
            <v>4</v>
          </cell>
        </row>
        <row r="178">
          <cell r="D178">
            <v>2</v>
          </cell>
          <cell r="K178">
            <v>1.8</v>
          </cell>
          <cell r="N178">
            <v>153.6</v>
          </cell>
          <cell r="O178">
            <v>15.36</v>
          </cell>
          <cell r="P178">
            <v>2400</v>
          </cell>
          <cell r="Q178">
            <v>240</v>
          </cell>
          <cell r="R178">
            <v>51.2</v>
          </cell>
          <cell r="S178">
            <v>5.12</v>
          </cell>
        </row>
        <row r="179">
          <cell r="D179">
            <v>2</v>
          </cell>
          <cell r="K179">
            <v>1.8</v>
          </cell>
          <cell r="N179">
            <v>172.8</v>
          </cell>
          <cell r="O179">
            <v>17.28</v>
          </cell>
          <cell r="P179">
            <v>2133.33</v>
          </cell>
          <cell r="Q179">
            <v>213.33</v>
          </cell>
          <cell r="R179">
            <v>34.56</v>
          </cell>
          <cell r="S179">
            <v>3.46</v>
          </cell>
        </row>
        <row r="180">
          <cell r="D180">
            <v>3</v>
          </cell>
          <cell r="K180">
            <v>1.2</v>
          </cell>
          <cell r="N180">
            <v>115.2</v>
          </cell>
          <cell r="O180">
            <v>11.52</v>
          </cell>
          <cell r="P180">
            <v>2133.33</v>
          </cell>
          <cell r="Q180">
            <v>213.33</v>
          </cell>
          <cell r="R180">
            <v>23.04</v>
          </cell>
          <cell r="S180">
            <v>2.2999999999999998</v>
          </cell>
        </row>
        <row r="181">
          <cell r="D181">
            <v>4</v>
          </cell>
          <cell r="K181">
            <v>1.6</v>
          </cell>
          <cell r="N181">
            <v>204.8</v>
          </cell>
          <cell r="O181">
            <v>20.48</v>
          </cell>
          <cell r="P181">
            <v>1600</v>
          </cell>
          <cell r="Q181">
            <v>160</v>
          </cell>
          <cell r="R181">
            <v>29.26</v>
          </cell>
          <cell r="S181">
            <v>2.93</v>
          </cell>
        </row>
        <row r="182">
          <cell r="D182">
            <v>4</v>
          </cell>
          <cell r="K182">
            <v>1.5</v>
          </cell>
          <cell r="N182">
            <v>192</v>
          </cell>
          <cell r="O182">
            <v>19.2</v>
          </cell>
          <cell r="P182">
            <v>1600</v>
          </cell>
          <cell r="Q182">
            <v>160</v>
          </cell>
          <cell r="R182">
            <v>27.43</v>
          </cell>
          <cell r="S182">
            <v>2.74</v>
          </cell>
        </row>
        <row r="183">
          <cell r="D183">
            <v>5</v>
          </cell>
          <cell r="K183">
            <v>1.5</v>
          </cell>
          <cell r="N183">
            <v>224</v>
          </cell>
          <cell r="O183">
            <v>22.4</v>
          </cell>
          <cell r="P183">
            <v>1371.43</v>
          </cell>
          <cell r="Q183">
            <v>137.13999999999999</v>
          </cell>
          <cell r="R183">
            <v>28</v>
          </cell>
          <cell r="S183">
            <v>2.8</v>
          </cell>
        </row>
        <row r="184">
          <cell r="D184">
            <v>5</v>
          </cell>
          <cell r="K184">
            <v>1.4000000000000001</v>
          </cell>
          <cell r="N184">
            <v>209.07</v>
          </cell>
          <cell r="O184">
            <v>20.91</v>
          </cell>
          <cell r="P184">
            <v>1371.43</v>
          </cell>
          <cell r="Q184">
            <v>137.13999999999999</v>
          </cell>
          <cell r="R184">
            <v>26.13</v>
          </cell>
          <cell r="S184">
            <v>2.61</v>
          </cell>
        </row>
        <row r="185">
          <cell r="D185">
            <v>6</v>
          </cell>
          <cell r="K185">
            <v>1.5</v>
          </cell>
          <cell r="N185">
            <v>248</v>
          </cell>
          <cell r="O185">
            <v>24.8</v>
          </cell>
          <cell r="P185">
            <v>1238.71</v>
          </cell>
          <cell r="Q185">
            <v>123.87</v>
          </cell>
          <cell r="R185">
            <v>24.8</v>
          </cell>
          <cell r="S185">
            <v>2.48</v>
          </cell>
        </row>
        <row r="186">
          <cell r="D186">
            <v>2</v>
          </cell>
          <cell r="K186">
            <v>1.5</v>
          </cell>
          <cell r="N186">
            <v>160</v>
          </cell>
          <cell r="O186">
            <v>16</v>
          </cell>
          <cell r="P186">
            <v>1920</v>
          </cell>
          <cell r="Q186">
            <v>192</v>
          </cell>
          <cell r="R186">
            <v>40</v>
          </cell>
          <cell r="S186">
            <v>4</v>
          </cell>
        </row>
        <row r="187">
          <cell r="D187">
            <v>2</v>
          </cell>
          <cell r="K187">
            <v>1.8</v>
          </cell>
          <cell r="N187">
            <v>153.6</v>
          </cell>
          <cell r="O187">
            <v>15.36</v>
          </cell>
          <cell r="P187">
            <v>2400</v>
          </cell>
          <cell r="Q187">
            <v>240</v>
          </cell>
          <cell r="R187">
            <v>51.2</v>
          </cell>
          <cell r="S187">
            <v>5.12</v>
          </cell>
        </row>
        <row r="188">
          <cell r="D188">
            <v>2</v>
          </cell>
          <cell r="K188">
            <v>1.8</v>
          </cell>
          <cell r="N188">
            <v>172.8</v>
          </cell>
          <cell r="O188">
            <v>17.28</v>
          </cell>
          <cell r="P188">
            <v>2133.33</v>
          </cell>
          <cell r="Q188">
            <v>213.33</v>
          </cell>
          <cell r="R188">
            <v>34.56</v>
          </cell>
          <cell r="S188">
            <v>3.46</v>
          </cell>
        </row>
        <row r="189">
          <cell r="D189">
            <v>3</v>
          </cell>
          <cell r="K189">
            <v>1.2</v>
          </cell>
          <cell r="N189">
            <v>115.2</v>
          </cell>
          <cell r="O189">
            <v>11.52</v>
          </cell>
          <cell r="P189">
            <v>2133.33</v>
          </cell>
          <cell r="Q189">
            <v>213.33</v>
          </cell>
          <cell r="R189">
            <v>23.04</v>
          </cell>
          <cell r="S189">
            <v>2.2999999999999998</v>
          </cell>
        </row>
        <row r="190">
          <cell r="D190">
            <v>4</v>
          </cell>
          <cell r="K190">
            <v>1.6</v>
          </cell>
          <cell r="N190">
            <v>204.8</v>
          </cell>
          <cell r="O190">
            <v>20.48</v>
          </cell>
          <cell r="P190">
            <v>1600</v>
          </cell>
          <cell r="Q190">
            <v>160</v>
          </cell>
          <cell r="R190">
            <v>29.26</v>
          </cell>
          <cell r="S190">
            <v>2.93</v>
          </cell>
        </row>
        <row r="191">
          <cell r="D191">
            <v>4</v>
          </cell>
          <cell r="K191">
            <v>1.5</v>
          </cell>
          <cell r="N191">
            <v>192</v>
          </cell>
          <cell r="O191">
            <v>19.2</v>
          </cell>
          <cell r="P191">
            <v>1600</v>
          </cell>
          <cell r="Q191">
            <v>160</v>
          </cell>
          <cell r="R191">
            <v>27.43</v>
          </cell>
          <cell r="S191">
            <v>2.74</v>
          </cell>
        </row>
        <row r="192">
          <cell r="D192">
            <v>5</v>
          </cell>
          <cell r="K192">
            <v>1.5</v>
          </cell>
          <cell r="N192">
            <v>224</v>
          </cell>
          <cell r="O192">
            <v>22.4</v>
          </cell>
          <cell r="P192">
            <v>1371.43</v>
          </cell>
          <cell r="Q192">
            <v>137.13999999999999</v>
          </cell>
          <cell r="R192">
            <v>28</v>
          </cell>
          <cell r="S192">
            <v>2.8</v>
          </cell>
        </row>
        <row r="193">
          <cell r="D193">
            <v>5</v>
          </cell>
          <cell r="K193">
            <v>1.4000000000000001</v>
          </cell>
          <cell r="N193">
            <v>209.07</v>
          </cell>
          <cell r="O193">
            <v>20.91</v>
          </cell>
          <cell r="P193">
            <v>1371.43</v>
          </cell>
          <cell r="Q193">
            <v>137.13999999999999</v>
          </cell>
          <cell r="R193">
            <v>26.13</v>
          </cell>
          <cell r="S193">
            <v>2.61</v>
          </cell>
        </row>
        <row r="194">
          <cell r="D194">
            <v>6</v>
          </cell>
          <cell r="K194">
            <v>1.5</v>
          </cell>
          <cell r="N194">
            <v>248</v>
          </cell>
          <cell r="O194">
            <v>24.8</v>
          </cell>
          <cell r="P194">
            <v>1238.71</v>
          </cell>
          <cell r="Q194">
            <v>123.87</v>
          </cell>
          <cell r="R194">
            <v>24.8</v>
          </cell>
          <cell r="S194">
            <v>2.48</v>
          </cell>
        </row>
        <row r="195">
          <cell r="D195">
            <v>2</v>
          </cell>
          <cell r="K195">
            <v>1.8</v>
          </cell>
          <cell r="N195">
            <v>153.6</v>
          </cell>
          <cell r="O195">
            <v>15.36</v>
          </cell>
          <cell r="P195">
            <v>2400</v>
          </cell>
          <cell r="Q195">
            <v>240</v>
          </cell>
          <cell r="R195">
            <v>51.2</v>
          </cell>
          <cell r="S195">
            <v>5.12</v>
          </cell>
        </row>
        <row r="196">
          <cell r="D196">
            <v>3</v>
          </cell>
          <cell r="K196">
            <v>1.4000000000000001</v>
          </cell>
          <cell r="N196">
            <v>134.4</v>
          </cell>
          <cell r="O196">
            <v>13.44</v>
          </cell>
          <cell r="P196">
            <v>2133.33</v>
          </cell>
          <cell r="Q196">
            <v>213.33</v>
          </cell>
          <cell r="R196">
            <v>26.88</v>
          </cell>
          <cell r="S196">
            <v>2.69</v>
          </cell>
        </row>
        <row r="197">
          <cell r="D197">
            <v>5</v>
          </cell>
          <cell r="K197">
            <v>1.6</v>
          </cell>
          <cell r="N197">
            <v>238.93</v>
          </cell>
          <cell r="O197">
            <v>23.89</v>
          </cell>
          <cell r="P197">
            <v>1371.43</v>
          </cell>
          <cell r="Q197">
            <v>137.13999999999999</v>
          </cell>
          <cell r="R197">
            <v>29.87</v>
          </cell>
          <cell r="S197">
            <v>2.99</v>
          </cell>
        </row>
        <row r="198">
          <cell r="D198">
            <v>6</v>
          </cell>
          <cell r="K198">
            <v>1.4000000000000001</v>
          </cell>
          <cell r="N198">
            <v>231.47</v>
          </cell>
          <cell r="O198">
            <v>23.15</v>
          </cell>
          <cell r="P198">
            <v>1238.71</v>
          </cell>
          <cell r="Q198">
            <v>123.87</v>
          </cell>
          <cell r="R198">
            <v>23.15</v>
          </cell>
          <cell r="S198">
            <v>2.31</v>
          </cell>
        </row>
        <row r="199">
          <cell r="D199">
            <v>6</v>
          </cell>
          <cell r="K199">
            <v>1.8</v>
          </cell>
          <cell r="N199">
            <v>297.60000000000002</v>
          </cell>
          <cell r="O199">
            <v>29.76</v>
          </cell>
          <cell r="P199">
            <v>1238.71</v>
          </cell>
          <cell r="Q199">
            <v>123.87</v>
          </cell>
          <cell r="R199">
            <v>29.76</v>
          </cell>
          <cell r="S199">
            <v>2.98</v>
          </cell>
        </row>
        <row r="200">
          <cell r="D200">
            <v>2</v>
          </cell>
          <cell r="K200">
            <v>1.8</v>
          </cell>
          <cell r="N200">
            <v>172.8</v>
          </cell>
          <cell r="O200">
            <v>17.28</v>
          </cell>
          <cell r="P200">
            <v>2133.33</v>
          </cell>
          <cell r="Q200">
            <v>213.33</v>
          </cell>
          <cell r="R200">
            <v>34.56</v>
          </cell>
          <cell r="S200">
            <v>3.46</v>
          </cell>
        </row>
        <row r="201">
          <cell r="D201">
            <v>3</v>
          </cell>
          <cell r="K201">
            <v>1.3</v>
          </cell>
          <cell r="N201">
            <v>124.8</v>
          </cell>
          <cell r="O201">
            <v>12.48</v>
          </cell>
          <cell r="P201">
            <v>2133.33</v>
          </cell>
          <cell r="Q201">
            <v>213.33</v>
          </cell>
          <cell r="R201">
            <v>24.96</v>
          </cell>
          <cell r="S201">
            <v>2.5</v>
          </cell>
        </row>
        <row r="202">
          <cell r="D202">
            <v>3</v>
          </cell>
          <cell r="K202">
            <v>1.4000000000000001</v>
          </cell>
          <cell r="N202">
            <v>134.4</v>
          </cell>
          <cell r="O202">
            <v>13.44</v>
          </cell>
          <cell r="P202">
            <v>2133.33</v>
          </cell>
          <cell r="Q202">
            <v>213.33</v>
          </cell>
          <cell r="R202">
            <v>26.88</v>
          </cell>
          <cell r="S202">
            <v>2.69</v>
          </cell>
        </row>
        <row r="203">
          <cell r="D203">
            <v>4</v>
          </cell>
          <cell r="K203">
            <v>1.4000000000000001</v>
          </cell>
          <cell r="N203">
            <v>179.2</v>
          </cell>
          <cell r="O203">
            <v>17.920000000000002</v>
          </cell>
          <cell r="P203">
            <v>1600</v>
          </cell>
          <cell r="Q203">
            <v>160</v>
          </cell>
          <cell r="R203">
            <v>25.6</v>
          </cell>
          <cell r="S203">
            <v>2.56</v>
          </cell>
        </row>
        <row r="204">
          <cell r="D204">
            <v>5</v>
          </cell>
          <cell r="K204">
            <v>1.6</v>
          </cell>
          <cell r="N204">
            <v>238.93</v>
          </cell>
          <cell r="O204">
            <v>23.89</v>
          </cell>
          <cell r="P204">
            <v>1371.43</v>
          </cell>
          <cell r="Q204">
            <v>137.13999999999999</v>
          </cell>
          <cell r="R204">
            <v>29.87</v>
          </cell>
          <cell r="S204">
            <v>2.99</v>
          </cell>
        </row>
        <row r="205">
          <cell r="D205">
            <v>2</v>
          </cell>
          <cell r="K205">
            <v>1.5</v>
          </cell>
          <cell r="N205">
            <v>176</v>
          </cell>
          <cell r="O205">
            <v>17.600000000000001</v>
          </cell>
          <cell r="P205">
            <v>2112</v>
          </cell>
          <cell r="Q205">
            <v>211.2</v>
          </cell>
          <cell r="R205">
            <v>44</v>
          </cell>
          <cell r="S205">
            <v>4.4000000000000004</v>
          </cell>
        </row>
        <row r="206">
          <cell r="D206">
            <v>2</v>
          </cell>
          <cell r="K206">
            <v>1.8</v>
          </cell>
          <cell r="N206">
            <v>168.96</v>
          </cell>
          <cell r="O206">
            <v>16.899999999999999</v>
          </cell>
          <cell r="P206">
            <v>2640</v>
          </cell>
          <cell r="Q206">
            <v>264</v>
          </cell>
          <cell r="R206">
            <v>56.32</v>
          </cell>
          <cell r="S206">
            <v>5.63</v>
          </cell>
        </row>
        <row r="207">
          <cell r="D207">
            <v>2</v>
          </cell>
          <cell r="K207">
            <v>1.8</v>
          </cell>
          <cell r="N207">
            <v>190.08</v>
          </cell>
          <cell r="O207">
            <v>19.010000000000002</v>
          </cell>
          <cell r="P207">
            <v>2346.67</v>
          </cell>
          <cell r="Q207">
            <v>234.67</v>
          </cell>
          <cell r="R207">
            <v>38.020000000000003</v>
          </cell>
          <cell r="S207">
            <v>3.8</v>
          </cell>
        </row>
        <row r="208">
          <cell r="D208">
            <v>3</v>
          </cell>
          <cell r="K208">
            <v>1.2</v>
          </cell>
          <cell r="N208">
            <v>126.72</v>
          </cell>
          <cell r="O208">
            <v>12.67</v>
          </cell>
          <cell r="P208">
            <v>2346.67</v>
          </cell>
          <cell r="Q208">
            <v>234.67</v>
          </cell>
          <cell r="R208">
            <v>25.34</v>
          </cell>
          <cell r="S208">
            <v>2.5299999999999998</v>
          </cell>
        </row>
        <row r="209">
          <cell r="D209">
            <v>4</v>
          </cell>
          <cell r="K209">
            <v>1.6</v>
          </cell>
          <cell r="N209">
            <v>225.28</v>
          </cell>
          <cell r="O209">
            <v>22.53</v>
          </cell>
          <cell r="P209">
            <v>1760</v>
          </cell>
          <cell r="Q209">
            <v>176</v>
          </cell>
          <cell r="R209">
            <v>32.18</v>
          </cell>
          <cell r="S209">
            <v>3.22</v>
          </cell>
        </row>
        <row r="210">
          <cell r="D210">
            <v>4</v>
          </cell>
          <cell r="K210">
            <v>1.5</v>
          </cell>
          <cell r="N210">
            <v>211.2</v>
          </cell>
          <cell r="O210">
            <v>21.12</v>
          </cell>
          <cell r="P210">
            <v>1760</v>
          </cell>
          <cell r="Q210">
            <v>176</v>
          </cell>
          <cell r="R210">
            <v>30.17</v>
          </cell>
          <cell r="S210">
            <v>3.02</v>
          </cell>
        </row>
        <row r="211">
          <cell r="D211">
            <v>5</v>
          </cell>
          <cell r="K211">
            <v>1.5</v>
          </cell>
          <cell r="N211">
            <v>246.4</v>
          </cell>
          <cell r="O211">
            <v>24.64</v>
          </cell>
          <cell r="P211">
            <v>1508.57</v>
          </cell>
          <cell r="Q211">
            <v>150.86000000000001</v>
          </cell>
          <cell r="R211">
            <v>30.8</v>
          </cell>
          <cell r="S211">
            <v>3.08</v>
          </cell>
        </row>
        <row r="212">
          <cell r="D212">
            <v>5</v>
          </cell>
          <cell r="K212">
            <v>1.4000000000000001</v>
          </cell>
          <cell r="N212">
            <v>229.97</v>
          </cell>
          <cell r="O212">
            <v>23</v>
          </cell>
          <cell r="P212">
            <v>1508.57</v>
          </cell>
          <cell r="Q212">
            <v>150.86000000000001</v>
          </cell>
          <cell r="R212">
            <v>28.75</v>
          </cell>
          <cell r="S212">
            <v>2.87</v>
          </cell>
        </row>
        <row r="213">
          <cell r="D213">
            <v>6</v>
          </cell>
          <cell r="K213">
            <v>1.5</v>
          </cell>
          <cell r="N213">
            <v>272.8</v>
          </cell>
          <cell r="O213">
            <v>27.28</v>
          </cell>
          <cell r="P213">
            <v>1362.58</v>
          </cell>
          <cell r="Q213">
            <v>136.26</v>
          </cell>
          <cell r="R213">
            <v>27.28</v>
          </cell>
          <cell r="S213">
            <v>2.73</v>
          </cell>
        </row>
        <row r="214">
          <cell r="D214">
            <v>2</v>
          </cell>
          <cell r="K214">
            <v>1.5</v>
          </cell>
          <cell r="N214">
            <v>176</v>
          </cell>
          <cell r="O214">
            <v>17.600000000000001</v>
          </cell>
          <cell r="P214">
            <v>2112</v>
          </cell>
          <cell r="Q214">
            <v>211.2</v>
          </cell>
          <cell r="R214">
            <v>44</v>
          </cell>
          <cell r="S214">
            <v>4.4000000000000004</v>
          </cell>
        </row>
        <row r="215">
          <cell r="D215">
            <v>2</v>
          </cell>
          <cell r="K215">
            <v>1.8</v>
          </cell>
          <cell r="N215">
            <v>168.96</v>
          </cell>
          <cell r="O215">
            <v>16.899999999999999</v>
          </cell>
          <cell r="P215">
            <v>2640</v>
          </cell>
          <cell r="Q215">
            <v>264</v>
          </cell>
          <cell r="R215">
            <v>56.32</v>
          </cell>
          <cell r="S215">
            <v>5.63</v>
          </cell>
        </row>
        <row r="216">
          <cell r="D216">
            <v>2</v>
          </cell>
          <cell r="K216">
            <v>1.8</v>
          </cell>
          <cell r="N216">
            <v>190.08</v>
          </cell>
          <cell r="O216">
            <v>19.010000000000002</v>
          </cell>
          <cell r="P216">
            <v>2346.67</v>
          </cell>
          <cell r="Q216">
            <v>234.67</v>
          </cell>
          <cell r="R216">
            <v>38.020000000000003</v>
          </cell>
          <cell r="S216">
            <v>3.8</v>
          </cell>
        </row>
        <row r="217">
          <cell r="D217">
            <v>3</v>
          </cell>
          <cell r="K217">
            <v>1.2</v>
          </cell>
          <cell r="N217">
            <v>126.72</v>
          </cell>
          <cell r="O217">
            <v>12.67</v>
          </cell>
          <cell r="P217">
            <v>2346.67</v>
          </cell>
          <cell r="Q217">
            <v>234.67</v>
          </cell>
          <cell r="R217">
            <v>25.34</v>
          </cell>
          <cell r="S217">
            <v>2.5299999999999998</v>
          </cell>
        </row>
        <row r="218">
          <cell r="D218">
            <v>4</v>
          </cell>
          <cell r="K218">
            <v>1.6</v>
          </cell>
          <cell r="N218">
            <v>225.28</v>
          </cell>
          <cell r="O218">
            <v>22.53</v>
          </cell>
          <cell r="P218">
            <v>1760</v>
          </cell>
          <cell r="Q218">
            <v>176</v>
          </cell>
          <cell r="R218">
            <v>32.18</v>
          </cell>
          <cell r="S218">
            <v>3.22</v>
          </cell>
        </row>
        <row r="219">
          <cell r="D219">
            <v>4</v>
          </cell>
          <cell r="K219">
            <v>1.5</v>
          </cell>
          <cell r="N219">
            <v>211.2</v>
          </cell>
          <cell r="O219">
            <v>21.12</v>
          </cell>
          <cell r="P219">
            <v>1760</v>
          </cell>
          <cell r="Q219">
            <v>176</v>
          </cell>
          <cell r="R219">
            <v>30.17</v>
          </cell>
          <cell r="S219">
            <v>3.02</v>
          </cell>
        </row>
        <row r="220">
          <cell r="D220">
            <v>5</v>
          </cell>
          <cell r="K220">
            <v>1.5</v>
          </cell>
          <cell r="N220">
            <v>246.4</v>
          </cell>
          <cell r="O220">
            <v>24.64</v>
          </cell>
          <cell r="P220">
            <v>1508.57</v>
          </cell>
          <cell r="Q220">
            <v>150.86000000000001</v>
          </cell>
          <cell r="R220">
            <v>30.8</v>
          </cell>
          <cell r="S220">
            <v>3.08</v>
          </cell>
        </row>
        <row r="221">
          <cell r="D221">
            <v>5</v>
          </cell>
          <cell r="K221">
            <v>1.4000000000000001</v>
          </cell>
          <cell r="N221">
            <v>229.97</v>
          </cell>
          <cell r="O221">
            <v>23</v>
          </cell>
          <cell r="P221">
            <v>1508.57</v>
          </cell>
          <cell r="Q221">
            <v>150.86000000000001</v>
          </cell>
          <cell r="R221">
            <v>28.75</v>
          </cell>
          <cell r="S221">
            <v>2.87</v>
          </cell>
        </row>
        <row r="222">
          <cell r="D222">
            <v>6</v>
          </cell>
          <cell r="K222">
            <v>1.5</v>
          </cell>
          <cell r="N222">
            <v>272.8</v>
          </cell>
          <cell r="O222">
            <v>27.28</v>
          </cell>
          <cell r="P222">
            <v>1362.58</v>
          </cell>
          <cell r="Q222">
            <v>136.26</v>
          </cell>
          <cell r="R222">
            <v>27.28</v>
          </cell>
          <cell r="S222">
            <v>2.73</v>
          </cell>
        </row>
        <row r="223">
          <cell r="D223">
            <v>2</v>
          </cell>
          <cell r="K223">
            <v>1.5</v>
          </cell>
          <cell r="N223">
            <v>176</v>
          </cell>
          <cell r="O223">
            <v>17.600000000000001</v>
          </cell>
          <cell r="P223">
            <v>2112</v>
          </cell>
          <cell r="Q223">
            <v>211.2</v>
          </cell>
          <cell r="R223">
            <v>44</v>
          </cell>
          <cell r="S223">
            <v>4.4000000000000004</v>
          </cell>
        </row>
        <row r="224">
          <cell r="D224">
            <v>2</v>
          </cell>
          <cell r="K224">
            <v>1.8</v>
          </cell>
          <cell r="N224">
            <v>168.96</v>
          </cell>
          <cell r="O224">
            <v>16.899999999999999</v>
          </cell>
          <cell r="P224">
            <v>2640</v>
          </cell>
          <cell r="Q224">
            <v>264</v>
          </cell>
          <cell r="R224">
            <v>56.32</v>
          </cell>
          <cell r="S224">
            <v>5.63</v>
          </cell>
        </row>
        <row r="225">
          <cell r="D225">
            <v>2</v>
          </cell>
          <cell r="K225">
            <v>1.8</v>
          </cell>
          <cell r="N225">
            <v>190.08</v>
          </cell>
          <cell r="O225">
            <v>19.010000000000002</v>
          </cell>
          <cell r="P225">
            <v>2346.67</v>
          </cell>
          <cell r="Q225">
            <v>234.67</v>
          </cell>
          <cell r="R225">
            <v>38.020000000000003</v>
          </cell>
          <cell r="S225">
            <v>3.8</v>
          </cell>
        </row>
        <row r="226">
          <cell r="D226">
            <v>3</v>
          </cell>
          <cell r="K226">
            <v>1.2</v>
          </cell>
          <cell r="N226">
            <v>126.72</v>
          </cell>
          <cell r="O226">
            <v>12.67</v>
          </cell>
          <cell r="P226">
            <v>2346.67</v>
          </cell>
          <cell r="Q226">
            <v>234.67</v>
          </cell>
          <cell r="R226">
            <v>25.34</v>
          </cell>
          <cell r="S226">
            <v>2.5299999999999998</v>
          </cell>
        </row>
        <row r="227">
          <cell r="D227">
            <v>4</v>
          </cell>
          <cell r="K227">
            <v>1.6</v>
          </cell>
          <cell r="N227">
            <v>225.28</v>
          </cell>
          <cell r="O227">
            <v>22.53</v>
          </cell>
          <cell r="P227">
            <v>1760</v>
          </cell>
          <cell r="Q227">
            <v>176</v>
          </cell>
          <cell r="R227">
            <v>32.18</v>
          </cell>
          <cell r="S227">
            <v>3.22</v>
          </cell>
        </row>
        <row r="228">
          <cell r="D228">
            <v>4</v>
          </cell>
          <cell r="K228">
            <v>1.5</v>
          </cell>
          <cell r="N228">
            <v>211.2</v>
          </cell>
          <cell r="O228">
            <v>21.12</v>
          </cell>
          <cell r="P228">
            <v>1760</v>
          </cell>
          <cell r="Q228">
            <v>176</v>
          </cell>
          <cell r="R228">
            <v>30.17</v>
          </cell>
          <cell r="S228">
            <v>3.02</v>
          </cell>
        </row>
        <row r="229">
          <cell r="D229">
            <v>5</v>
          </cell>
          <cell r="K229">
            <v>1.5</v>
          </cell>
          <cell r="N229">
            <v>246.4</v>
          </cell>
          <cell r="O229">
            <v>24.64</v>
          </cell>
          <cell r="P229">
            <v>1508.57</v>
          </cell>
          <cell r="Q229">
            <v>150.86000000000001</v>
          </cell>
          <cell r="R229">
            <v>30.8</v>
          </cell>
          <cell r="S229">
            <v>3.08</v>
          </cell>
        </row>
        <row r="230">
          <cell r="D230">
            <v>5</v>
          </cell>
          <cell r="K230">
            <v>1.4000000000000001</v>
          </cell>
          <cell r="N230">
            <v>229.97</v>
          </cell>
          <cell r="O230">
            <v>23</v>
          </cell>
          <cell r="P230">
            <v>1508.57</v>
          </cell>
          <cell r="Q230">
            <v>150.86000000000001</v>
          </cell>
          <cell r="R230">
            <v>28.75</v>
          </cell>
          <cell r="S230">
            <v>2.87</v>
          </cell>
        </row>
        <row r="231">
          <cell r="D231">
            <v>6</v>
          </cell>
          <cell r="K231">
            <v>1.5</v>
          </cell>
          <cell r="N231">
            <v>272.8</v>
          </cell>
          <cell r="O231">
            <v>27.28</v>
          </cell>
          <cell r="P231">
            <v>1362.58</v>
          </cell>
          <cell r="Q231">
            <v>136.26</v>
          </cell>
          <cell r="R231">
            <v>27.28</v>
          </cell>
          <cell r="S231">
            <v>2.73</v>
          </cell>
        </row>
        <row r="232">
          <cell r="D232">
            <v>2</v>
          </cell>
          <cell r="K232">
            <v>1.8</v>
          </cell>
          <cell r="N232">
            <v>168.96</v>
          </cell>
          <cell r="O232">
            <v>16.899999999999999</v>
          </cell>
          <cell r="P232">
            <v>2640</v>
          </cell>
          <cell r="Q232">
            <v>264</v>
          </cell>
          <cell r="R232">
            <v>56.32</v>
          </cell>
          <cell r="S232">
            <v>5.63</v>
          </cell>
        </row>
        <row r="233">
          <cell r="D233">
            <v>3</v>
          </cell>
          <cell r="K233">
            <v>1.4000000000000001</v>
          </cell>
          <cell r="N233">
            <v>147.84</v>
          </cell>
          <cell r="O233">
            <v>14.78</v>
          </cell>
          <cell r="P233">
            <v>2346.67</v>
          </cell>
          <cell r="Q233">
            <v>234.67</v>
          </cell>
          <cell r="R233">
            <v>29.57</v>
          </cell>
          <cell r="S233">
            <v>2.96</v>
          </cell>
        </row>
        <row r="234">
          <cell r="D234">
            <v>5</v>
          </cell>
          <cell r="K234">
            <v>1.6</v>
          </cell>
          <cell r="N234">
            <v>262.83</v>
          </cell>
          <cell r="O234">
            <v>26.28</v>
          </cell>
          <cell r="P234">
            <v>1508.57</v>
          </cell>
          <cell r="Q234">
            <v>150.86000000000001</v>
          </cell>
          <cell r="R234">
            <v>32.85</v>
          </cell>
          <cell r="S234">
            <v>3.29</v>
          </cell>
        </row>
        <row r="235">
          <cell r="D235">
            <v>6</v>
          </cell>
          <cell r="K235">
            <v>1.4000000000000001</v>
          </cell>
          <cell r="N235">
            <v>254.61</v>
          </cell>
          <cell r="O235">
            <v>25.46</v>
          </cell>
          <cell r="P235">
            <v>1362.58</v>
          </cell>
          <cell r="Q235">
            <v>136.26</v>
          </cell>
          <cell r="R235">
            <v>25.46</v>
          </cell>
          <cell r="S235">
            <v>2.5499999999999998</v>
          </cell>
        </row>
        <row r="236">
          <cell r="D236">
            <v>6</v>
          </cell>
          <cell r="K236">
            <v>1.8</v>
          </cell>
          <cell r="N236">
            <v>327.36</v>
          </cell>
          <cell r="O236">
            <v>32.74</v>
          </cell>
          <cell r="P236">
            <v>1362.58</v>
          </cell>
          <cell r="Q236">
            <v>136.26</v>
          </cell>
          <cell r="R236">
            <v>32.74</v>
          </cell>
          <cell r="S236">
            <v>3.27</v>
          </cell>
        </row>
        <row r="237">
          <cell r="D237">
            <v>2</v>
          </cell>
          <cell r="K237">
            <v>1.8</v>
          </cell>
          <cell r="N237">
            <v>190.08</v>
          </cell>
          <cell r="O237">
            <v>19.010000000000002</v>
          </cell>
          <cell r="P237">
            <v>2346.67</v>
          </cell>
          <cell r="Q237">
            <v>234.67</v>
          </cell>
          <cell r="R237">
            <v>38.020000000000003</v>
          </cell>
          <cell r="S237">
            <v>3.8</v>
          </cell>
        </row>
        <row r="238">
          <cell r="D238">
            <v>3</v>
          </cell>
          <cell r="K238">
            <v>1.3</v>
          </cell>
          <cell r="N238">
            <v>137.28</v>
          </cell>
          <cell r="O238">
            <v>13.73</v>
          </cell>
          <cell r="P238">
            <v>2346.67</v>
          </cell>
          <cell r="Q238">
            <v>234.67</v>
          </cell>
          <cell r="R238">
            <v>27.46</v>
          </cell>
          <cell r="S238">
            <v>2.75</v>
          </cell>
        </row>
        <row r="239">
          <cell r="D239">
            <v>3</v>
          </cell>
          <cell r="K239">
            <v>1.4000000000000001</v>
          </cell>
          <cell r="N239">
            <v>147.84</v>
          </cell>
          <cell r="O239">
            <v>14.78</v>
          </cell>
          <cell r="P239">
            <v>2346.67</v>
          </cell>
          <cell r="Q239">
            <v>234.67</v>
          </cell>
          <cell r="R239">
            <v>29.57</v>
          </cell>
          <cell r="S239">
            <v>2.96</v>
          </cell>
        </row>
        <row r="240">
          <cell r="D240">
            <v>4</v>
          </cell>
          <cell r="K240">
            <v>1.4000000000000001</v>
          </cell>
          <cell r="N240">
            <v>197.12</v>
          </cell>
          <cell r="O240">
            <v>19.71</v>
          </cell>
          <cell r="P240">
            <v>1760</v>
          </cell>
          <cell r="Q240">
            <v>176</v>
          </cell>
          <cell r="R240">
            <v>28.16</v>
          </cell>
          <cell r="S240">
            <v>2.82</v>
          </cell>
        </row>
        <row r="241">
          <cell r="D241">
            <v>5</v>
          </cell>
          <cell r="K241">
            <v>1.6</v>
          </cell>
          <cell r="N241">
            <v>262.83</v>
          </cell>
          <cell r="O241">
            <v>26.28</v>
          </cell>
          <cell r="P241">
            <v>1508.57</v>
          </cell>
          <cell r="Q241">
            <v>150.86000000000001</v>
          </cell>
          <cell r="R241">
            <v>32.85</v>
          </cell>
          <cell r="S241">
            <v>3.29</v>
          </cell>
        </row>
        <row r="242">
          <cell r="D242">
            <v>2</v>
          </cell>
          <cell r="K242">
            <v>1.5</v>
          </cell>
          <cell r="N242">
            <v>192</v>
          </cell>
          <cell r="O242">
            <v>19.2</v>
          </cell>
          <cell r="P242">
            <v>2304</v>
          </cell>
          <cell r="Q242">
            <v>230.4</v>
          </cell>
          <cell r="R242">
            <v>48</v>
          </cell>
          <cell r="S242">
            <v>4.8</v>
          </cell>
        </row>
        <row r="243">
          <cell r="D243">
            <v>2</v>
          </cell>
          <cell r="K243">
            <v>1.8</v>
          </cell>
          <cell r="N243">
            <v>184.32</v>
          </cell>
          <cell r="O243">
            <v>18.43</v>
          </cell>
          <cell r="P243">
            <v>2880</v>
          </cell>
          <cell r="Q243">
            <v>288</v>
          </cell>
          <cell r="R243">
            <v>61.44</v>
          </cell>
          <cell r="S243">
            <v>6.14</v>
          </cell>
        </row>
        <row r="244">
          <cell r="D244">
            <v>2</v>
          </cell>
          <cell r="K244">
            <v>1.8</v>
          </cell>
          <cell r="N244">
            <v>207.36</v>
          </cell>
          <cell r="O244">
            <v>20.74</v>
          </cell>
          <cell r="P244">
            <v>2560</v>
          </cell>
          <cell r="Q244">
            <v>256</v>
          </cell>
          <cell r="R244">
            <v>41.47</v>
          </cell>
          <cell r="S244">
            <v>4.1500000000000004</v>
          </cell>
        </row>
        <row r="245">
          <cell r="D245">
            <v>3</v>
          </cell>
          <cell r="K245">
            <v>1.2</v>
          </cell>
          <cell r="N245">
            <v>138.24</v>
          </cell>
          <cell r="O245">
            <v>13.82</v>
          </cell>
          <cell r="P245">
            <v>2560</v>
          </cell>
          <cell r="Q245">
            <v>256</v>
          </cell>
          <cell r="R245">
            <v>27.65</v>
          </cell>
          <cell r="S245">
            <v>2.76</v>
          </cell>
        </row>
        <row r="246">
          <cell r="D246">
            <v>4</v>
          </cell>
          <cell r="K246">
            <v>1.6</v>
          </cell>
          <cell r="N246">
            <v>245.76</v>
          </cell>
          <cell r="O246">
            <v>24.58</v>
          </cell>
          <cell r="P246">
            <v>1920</v>
          </cell>
          <cell r="Q246">
            <v>192</v>
          </cell>
          <cell r="R246">
            <v>35.11</v>
          </cell>
          <cell r="S246">
            <v>3.51</v>
          </cell>
        </row>
        <row r="247">
          <cell r="D247">
            <v>4</v>
          </cell>
          <cell r="K247">
            <v>1.5</v>
          </cell>
          <cell r="N247">
            <v>230.4</v>
          </cell>
          <cell r="O247">
            <v>23.04</v>
          </cell>
          <cell r="P247">
            <v>1920</v>
          </cell>
          <cell r="Q247">
            <v>192</v>
          </cell>
          <cell r="R247">
            <v>32.909999999999997</v>
          </cell>
          <cell r="S247">
            <v>3.29</v>
          </cell>
        </row>
        <row r="248">
          <cell r="D248">
            <v>5</v>
          </cell>
          <cell r="K248">
            <v>1.5</v>
          </cell>
          <cell r="N248">
            <v>268.8</v>
          </cell>
          <cell r="O248">
            <v>26.88</v>
          </cell>
          <cell r="P248">
            <v>1645.71</v>
          </cell>
          <cell r="Q248">
            <v>164.57</v>
          </cell>
          <cell r="R248">
            <v>33.6</v>
          </cell>
          <cell r="S248">
            <v>3.36</v>
          </cell>
        </row>
        <row r="249">
          <cell r="D249">
            <v>5</v>
          </cell>
          <cell r="K249">
            <v>1.4000000000000001</v>
          </cell>
          <cell r="N249">
            <v>250.88</v>
          </cell>
          <cell r="O249">
            <v>25.09</v>
          </cell>
          <cell r="P249">
            <v>1645.71</v>
          </cell>
          <cell r="Q249">
            <v>164.57</v>
          </cell>
          <cell r="R249">
            <v>31.36</v>
          </cell>
          <cell r="S249">
            <v>3.14</v>
          </cell>
        </row>
        <row r="250">
          <cell r="D250">
            <v>6</v>
          </cell>
          <cell r="K250">
            <v>1.5</v>
          </cell>
          <cell r="N250">
            <v>297.60000000000002</v>
          </cell>
          <cell r="O250">
            <v>29.76</v>
          </cell>
          <cell r="P250">
            <v>1486.45</v>
          </cell>
          <cell r="Q250">
            <v>148.65</v>
          </cell>
          <cell r="R250">
            <v>29.76</v>
          </cell>
          <cell r="S250">
            <v>2.98</v>
          </cell>
        </row>
        <row r="251">
          <cell r="D251">
            <v>2</v>
          </cell>
          <cell r="K251">
            <v>1.5</v>
          </cell>
          <cell r="N251">
            <v>192</v>
          </cell>
          <cell r="O251">
            <v>19.2</v>
          </cell>
          <cell r="P251">
            <v>2304</v>
          </cell>
          <cell r="Q251">
            <v>230.4</v>
          </cell>
          <cell r="R251">
            <v>48</v>
          </cell>
          <cell r="S251">
            <v>4.8</v>
          </cell>
        </row>
        <row r="252">
          <cell r="D252">
            <v>2</v>
          </cell>
          <cell r="K252">
            <v>1.8</v>
          </cell>
          <cell r="N252">
            <v>184.32</v>
          </cell>
          <cell r="O252">
            <v>18.43</v>
          </cell>
          <cell r="P252">
            <v>2880</v>
          </cell>
          <cell r="Q252">
            <v>288</v>
          </cell>
          <cell r="R252">
            <v>61.44</v>
          </cell>
          <cell r="S252">
            <v>6.14</v>
          </cell>
        </row>
        <row r="253">
          <cell r="D253">
            <v>2</v>
          </cell>
          <cell r="K253">
            <v>1.8</v>
          </cell>
          <cell r="N253">
            <v>207.36</v>
          </cell>
          <cell r="O253">
            <v>20.74</v>
          </cell>
          <cell r="P253">
            <v>2560</v>
          </cell>
          <cell r="Q253">
            <v>256</v>
          </cell>
          <cell r="R253">
            <v>41.47</v>
          </cell>
          <cell r="S253">
            <v>4.1500000000000004</v>
          </cell>
        </row>
        <row r="254">
          <cell r="D254">
            <v>3</v>
          </cell>
          <cell r="K254">
            <v>1.2</v>
          </cell>
          <cell r="N254">
            <v>138.24</v>
          </cell>
          <cell r="O254">
            <v>13.82</v>
          </cell>
          <cell r="P254">
            <v>2560</v>
          </cell>
          <cell r="Q254">
            <v>256</v>
          </cell>
          <cell r="R254">
            <v>27.65</v>
          </cell>
          <cell r="S254">
            <v>2.76</v>
          </cell>
        </row>
        <row r="255">
          <cell r="D255">
            <v>4</v>
          </cell>
          <cell r="K255">
            <v>1.6</v>
          </cell>
          <cell r="N255">
            <v>245.76</v>
          </cell>
          <cell r="O255">
            <v>24.58</v>
          </cell>
          <cell r="P255">
            <v>1920</v>
          </cell>
          <cell r="Q255">
            <v>192</v>
          </cell>
          <cell r="R255">
            <v>35.11</v>
          </cell>
          <cell r="S255">
            <v>3.51</v>
          </cell>
        </row>
        <row r="256">
          <cell r="D256">
            <v>4</v>
          </cell>
          <cell r="K256">
            <v>1.5</v>
          </cell>
          <cell r="N256">
            <v>230.4</v>
          </cell>
          <cell r="O256">
            <v>23.04</v>
          </cell>
          <cell r="P256">
            <v>1920</v>
          </cell>
          <cell r="Q256">
            <v>192</v>
          </cell>
          <cell r="R256">
            <v>32.909999999999997</v>
          </cell>
          <cell r="S256">
            <v>3.29</v>
          </cell>
        </row>
        <row r="257">
          <cell r="D257">
            <v>5</v>
          </cell>
          <cell r="K257">
            <v>1.5</v>
          </cell>
          <cell r="N257">
            <v>268.8</v>
          </cell>
          <cell r="O257">
            <v>26.88</v>
          </cell>
          <cell r="P257">
            <v>1645.71</v>
          </cell>
          <cell r="Q257">
            <v>164.57</v>
          </cell>
          <cell r="R257">
            <v>33.6</v>
          </cell>
          <cell r="S257">
            <v>3.36</v>
          </cell>
        </row>
        <row r="258">
          <cell r="D258">
            <v>5</v>
          </cell>
          <cell r="K258">
            <v>1.4000000000000001</v>
          </cell>
          <cell r="N258">
            <v>250.88</v>
          </cell>
          <cell r="O258">
            <v>25.09</v>
          </cell>
          <cell r="P258">
            <v>1645.71</v>
          </cell>
          <cell r="Q258">
            <v>164.57</v>
          </cell>
          <cell r="R258">
            <v>31.36</v>
          </cell>
          <cell r="S258">
            <v>3.14</v>
          </cell>
        </row>
        <row r="259">
          <cell r="D259">
            <v>6</v>
          </cell>
          <cell r="K259">
            <v>1.5</v>
          </cell>
          <cell r="N259">
            <v>297.60000000000002</v>
          </cell>
          <cell r="O259">
            <v>29.76</v>
          </cell>
          <cell r="P259">
            <v>1486.45</v>
          </cell>
          <cell r="Q259">
            <v>148.65</v>
          </cell>
          <cell r="R259">
            <v>29.76</v>
          </cell>
          <cell r="S259">
            <v>2.98</v>
          </cell>
        </row>
        <row r="260">
          <cell r="D260">
            <v>2</v>
          </cell>
          <cell r="K260">
            <v>1.5</v>
          </cell>
          <cell r="N260">
            <v>192</v>
          </cell>
          <cell r="O260">
            <v>19.2</v>
          </cell>
          <cell r="P260">
            <v>2304</v>
          </cell>
          <cell r="Q260">
            <v>230.4</v>
          </cell>
          <cell r="R260">
            <v>48</v>
          </cell>
          <cell r="S260">
            <v>4.8</v>
          </cell>
        </row>
        <row r="261">
          <cell r="D261">
            <v>2</v>
          </cell>
          <cell r="K261">
            <v>1.8</v>
          </cell>
          <cell r="N261">
            <v>184.32</v>
          </cell>
          <cell r="O261">
            <v>18.43</v>
          </cell>
          <cell r="P261">
            <v>2880</v>
          </cell>
          <cell r="Q261">
            <v>288</v>
          </cell>
          <cell r="R261">
            <v>61.44</v>
          </cell>
          <cell r="S261">
            <v>6.14</v>
          </cell>
        </row>
        <row r="262">
          <cell r="D262">
            <v>2</v>
          </cell>
          <cell r="K262">
            <v>1.8</v>
          </cell>
          <cell r="N262">
            <v>207.36</v>
          </cell>
          <cell r="O262">
            <v>20.74</v>
          </cell>
          <cell r="P262">
            <v>2560</v>
          </cell>
          <cell r="Q262">
            <v>256</v>
          </cell>
          <cell r="R262">
            <v>41.47</v>
          </cell>
          <cell r="S262">
            <v>4.1500000000000004</v>
          </cell>
        </row>
        <row r="263">
          <cell r="D263">
            <v>3</v>
          </cell>
          <cell r="K263">
            <v>1.2</v>
          </cell>
          <cell r="N263">
            <v>138.24</v>
          </cell>
          <cell r="O263">
            <v>13.82</v>
          </cell>
          <cell r="P263">
            <v>2560</v>
          </cell>
          <cell r="Q263">
            <v>256</v>
          </cell>
          <cell r="R263">
            <v>27.65</v>
          </cell>
          <cell r="S263">
            <v>2.76</v>
          </cell>
        </row>
        <row r="264">
          <cell r="D264">
            <v>4</v>
          </cell>
          <cell r="K264">
            <v>1.6</v>
          </cell>
          <cell r="N264">
            <v>245.76</v>
          </cell>
          <cell r="O264">
            <v>24.58</v>
          </cell>
          <cell r="P264">
            <v>1920</v>
          </cell>
          <cell r="Q264">
            <v>192</v>
          </cell>
          <cell r="R264">
            <v>35.11</v>
          </cell>
          <cell r="S264">
            <v>3.51</v>
          </cell>
        </row>
        <row r="265">
          <cell r="D265">
            <v>4</v>
          </cell>
          <cell r="K265">
            <v>1.5</v>
          </cell>
          <cell r="N265">
            <v>230.4</v>
          </cell>
          <cell r="O265">
            <v>23.04</v>
          </cell>
          <cell r="P265">
            <v>1920</v>
          </cell>
          <cell r="Q265">
            <v>192</v>
          </cell>
          <cell r="R265">
            <v>32.909999999999997</v>
          </cell>
          <cell r="S265">
            <v>3.29</v>
          </cell>
        </row>
        <row r="266">
          <cell r="D266">
            <v>5</v>
          </cell>
          <cell r="K266">
            <v>1.5</v>
          </cell>
          <cell r="N266">
            <v>268.8</v>
          </cell>
          <cell r="O266">
            <v>26.88</v>
          </cell>
          <cell r="P266">
            <v>1645.71</v>
          </cell>
          <cell r="Q266">
            <v>164.57</v>
          </cell>
          <cell r="R266">
            <v>33.6</v>
          </cell>
          <cell r="S266">
            <v>3.36</v>
          </cell>
        </row>
        <row r="267">
          <cell r="D267">
            <v>5</v>
          </cell>
          <cell r="K267">
            <v>1.4000000000000001</v>
          </cell>
          <cell r="N267">
            <v>250.88</v>
          </cell>
          <cell r="O267">
            <v>25.09</v>
          </cell>
          <cell r="P267">
            <v>1645.71</v>
          </cell>
          <cell r="Q267">
            <v>164.57</v>
          </cell>
          <cell r="R267">
            <v>31.36</v>
          </cell>
          <cell r="S267">
            <v>3.14</v>
          </cell>
        </row>
        <row r="268">
          <cell r="D268">
            <v>6</v>
          </cell>
          <cell r="K268">
            <v>1.5</v>
          </cell>
          <cell r="N268">
            <v>297.60000000000002</v>
          </cell>
          <cell r="O268">
            <v>29.76</v>
          </cell>
          <cell r="P268">
            <v>1486.45</v>
          </cell>
          <cell r="Q268">
            <v>148.65</v>
          </cell>
          <cell r="R268">
            <v>29.76</v>
          </cell>
          <cell r="S268">
            <v>2.98</v>
          </cell>
        </row>
        <row r="269">
          <cell r="D269">
            <v>2</v>
          </cell>
          <cell r="K269">
            <v>1.8</v>
          </cell>
          <cell r="N269">
            <v>184.32</v>
          </cell>
          <cell r="O269">
            <v>18.43</v>
          </cell>
          <cell r="P269">
            <v>2880</v>
          </cell>
          <cell r="Q269">
            <v>288</v>
          </cell>
          <cell r="R269">
            <v>61.44</v>
          </cell>
          <cell r="S269">
            <v>6.14</v>
          </cell>
        </row>
        <row r="270">
          <cell r="D270">
            <v>3</v>
          </cell>
          <cell r="K270">
            <v>1.4000000000000001</v>
          </cell>
          <cell r="N270">
            <v>161.28</v>
          </cell>
          <cell r="O270">
            <v>16.13</v>
          </cell>
          <cell r="P270">
            <v>2560</v>
          </cell>
          <cell r="Q270">
            <v>256</v>
          </cell>
          <cell r="R270">
            <v>32.26</v>
          </cell>
          <cell r="S270">
            <v>3.23</v>
          </cell>
        </row>
        <row r="271">
          <cell r="D271">
            <v>5</v>
          </cell>
          <cell r="K271">
            <v>1.6</v>
          </cell>
          <cell r="N271">
            <v>286.72000000000003</v>
          </cell>
          <cell r="O271">
            <v>28.67</v>
          </cell>
          <cell r="P271">
            <v>1645.71</v>
          </cell>
          <cell r="Q271">
            <v>164.57</v>
          </cell>
          <cell r="R271">
            <v>35.840000000000003</v>
          </cell>
          <cell r="S271">
            <v>3.58</v>
          </cell>
        </row>
        <row r="272">
          <cell r="D272">
            <v>6</v>
          </cell>
          <cell r="K272">
            <v>1.4000000000000001</v>
          </cell>
          <cell r="N272">
            <v>277.76</v>
          </cell>
          <cell r="O272">
            <v>27.78</v>
          </cell>
          <cell r="P272">
            <v>1486.45</v>
          </cell>
          <cell r="Q272">
            <v>148.65</v>
          </cell>
          <cell r="R272">
            <v>27.78</v>
          </cell>
          <cell r="S272">
            <v>2.78</v>
          </cell>
        </row>
        <row r="273">
          <cell r="D273">
            <v>6</v>
          </cell>
          <cell r="K273">
            <v>1.8</v>
          </cell>
          <cell r="N273">
            <v>357.12</v>
          </cell>
          <cell r="O273">
            <v>35.71</v>
          </cell>
          <cell r="P273">
            <v>1486.45</v>
          </cell>
          <cell r="Q273">
            <v>148.65</v>
          </cell>
          <cell r="R273">
            <v>35.71</v>
          </cell>
          <cell r="S273">
            <v>3.57</v>
          </cell>
        </row>
        <row r="274">
          <cell r="D274">
            <v>2</v>
          </cell>
          <cell r="K274">
            <v>1.8</v>
          </cell>
          <cell r="N274">
            <v>207.36</v>
          </cell>
          <cell r="O274">
            <v>20.74</v>
          </cell>
          <cell r="P274">
            <v>2560</v>
          </cell>
          <cell r="Q274">
            <v>256</v>
          </cell>
          <cell r="R274">
            <v>41.47</v>
          </cell>
          <cell r="S274">
            <v>4.1500000000000004</v>
          </cell>
        </row>
        <row r="275">
          <cell r="D275">
            <v>3</v>
          </cell>
          <cell r="K275">
            <v>1.3</v>
          </cell>
          <cell r="N275">
            <v>149.76</v>
          </cell>
          <cell r="O275">
            <v>14.98</v>
          </cell>
          <cell r="P275">
            <v>2560</v>
          </cell>
          <cell r="Q275">
            <v>256</v>
          </cell>
          <cell r="R275">
            <v>29.95</v>
          </cell>
          <cell r="S275">
            <v>3</v>
          </cell>
        </row>
        <row r="276">
          <cell r="D276">
            <v>3</v>
          </cell>
          <cell r="K276">
            <v>1.4000000000000001</v>
          </cell>
          <cell r="N276">
            <v>161.28</v>
          </cell>
          <cell r="O276">
            <v>16.13</v>
          </cell>
          <cell r="P276">
            <v>2560</v>
          </cell>
          <cell r="Q276">
            <v>256</v>
          </cell>
          <cell r="R276">
            <v>32.26</v>
          </cell>
          <cell r="S276">
            <v>3.23</v>
          </cell>
        </row>
        <row r="277">
          <cell r="D277">
            <v>4</v>
          </cell>
          <cell r="K277">
            <v>1.4000000000000001</v>
          </cell>
          <cell r="N277">
            <v>215.04</v>
          </cell>
          <cell r="O277">
            <v>21.5</v>
          </cell>
          <cell r="P277">
            <v>1920</v>
          </cell>
          <cell r="Q277">
            <v>192</v>
          </cell>
          <cell r="R277">
            <v>30.72</v>
          </cell>
          <cell r="S277">
            <v>3.07</v>
          </cell>
        </row>
        <row r="278">
          <cell r="D278">
            <v>5</v>
          </cell>
          <cell r="K278">
            <v>1.6</v>
          </cell>
          <cell r="N278">
            <v>286.72000000000003</v>
          </cell>
          <cell r="O278">
            <v>28.67</v>
          </cell>
          <cell r="P278">
            <v>1645.71</v>
          </cell>
          <cell r="Q278">
            <v>164.57</v>
          </cell>
          <cell r="R278">
            <v>35.840000000000003</v>
          </cell>
          <cell r="S278">
            <v>3.58</v>
          </cell>
        </row>
        <row r="279">
          <cell r="D279">
            <v>2</v>
          </cell>
          <cell r="K279">
            <v>1.5</v>
          </cell>
          <cell r="N279">
            <v>208</v>
          </cell>
          <cell r="O279">
            <v>20.8</v>
          </cell>
          <cell r="P279">
            <v>2496</v>
          </cell>
          <cell r="Q279">
            <v>249.6</v>
          </cell>
          <cell r="R279">
            <v>52</v>
          </cell>
          <cell r="S279">
            <v>5.2</v>
          </cell>
        </row>
        <row r="280">
          <cell r="D280">
            <v>2</v>
          </cell>
          <cell r="K280">
            <v>1.8</v>
          </cell>
          <cell r="N280">
            <v>199.68</v>
          </cell>
          <cell r="O280">
            <v>19.97</v>
          </cell>
          <cell r="P280">
            <v>3120</v>
          </cell>
          <cell r="Q280">
            <v>312</v>
          </cell>
          <cell r="R280">
            <v>66.56</v>
          </cell>
          <cell r="S280">
            <v>6.66</v>
          </cell>
        </row>
        <row r="281">
          <cell r="D281">
            <v>2</v>
          </cell>
          <cell r="K281">
            <v>1.8</v>
          </cell>
          <cell r="N281">
            <v>224.64</v>
          </cell>
          <cell r="O281">
            <v>22.46</v>
          </cell>
          <cell r="P281">
            <v>2773.33</v>
          </cell>
          <cell r="Q281">
            <v>277.33</v>
          </cell>
          <cell r="R281">
            <v>44.93</v>
          </cell>
          <cell r="S281">
            <v>4.49</v>
          </cell>
        </row>
        <row r="282">
          <cell r="D282">
            <v>3</v>
          </cell>
          <cell r="K282">
            <v>1.2</v>
          </cell>
          <cell r="N282">
            <v>149.76</v>
          </cell>
          <cell r="O282">
            <v>14.98</v>
          </cell>
          <cell r="P282">
            <v>2773.33</v>
          </cell>
          <cell r="Q282">
            <v>277.33</v>
          </cell>
          <cell r="R282">
            <v>29.95</v>
          </cell>
          <cell r="S282">
            <v>3</v>
          </cell>
        </row>
        <row r="283">
          <cell r="D283">
            <v>4</v>
          </cell>
          <cell r="K283">
            <v>1.6</v>
          </cell>
          <cell r="N283">
            <v>266.24</v>
          </cell>
          <cell r="O283">
            <v>26.62</v>
          </cell>
          <cell r="P283">
            <v>2080</v>
          </cell>
          <cell r="Q283">
            <v>208</v>
          </cell>
          <cell r="R283">
            <v>38.03</v>
          </cell>
          <cell r="S283">
            <v>3.8</v>
          </cell>
        </row>
        <row r="284">
          <cell r="D284">
            <v>4</v>
          </cell>
          <cell r="K284">
            <v>1.5</v>
          </cell>
          <cell r="N284">
            <v>249.6</v>
          </cell>
          <cell r="O284">
            <v>24.96</v>
          </cell>
          <cell r="P284">
            <v>2080</v>
          </cell>
          <cell r="Q284">
            <v>208</v>
          </cell>
          <cell r="R284">
            <v>35.659999999999997</v>
          </cell>
          <cell r="S284">
            <v>3.57</v>
          </cell>
        </row>
        <row r="285">
          <cell r="D285">
            <v>5</v>
          </cell>
          <cell r="K285">
            <v>1.5</v>
          </cell>
          <cell r="N285">
            <v>291.2</v>
          </cell>
          <cell r="O285">
            <v>29.12</v>
          </cell>
          <cell r="P285">
            <v>1782.86</v>
          </cell>
          <cell r="Q285">
            <v>178.29</v>
          </cell>
          <cell r="R285">
            <v>36.4</v>
          </cell>
          <cell r="S285">
            <v>3.64</v>
          </cell>
        </row>
        <row r="286">
          <cell r="D286">
            <v>5</v>
          </cell>
          <cell r="K286">
            <v>1.4000000000000001</v>
          </cell>
          <cell r="N286">
            <v>271.79000000000002</v>
          </cell>
          <cell r="O286">
            <v>27.18</v>
          </cell>
          <cell r="P286">
            <v>1782.86</v>
          </cell>
          <cell r="Q286">
            <v>178.29</v>
          </cell>
          <cell r="R286">
            <v>33.97</v>
          </cell>
          <cell r="S286">
            <v>3.4</v>
          </cell>
        </row>
        <row r="287">
          <cell r="D287">
            <v>6</v>
          </cell>
          <cell r="K287">
            <v>1.5</v>
          </cell>
          <cell r="N287">
            <v>322.39999999999998</v>
          </cell>
          <cell r="O287">
            <v>32.24</v>
          </cell>
          <cell r="P287">
            <v>1610.32</v>
          </cell>
          <cell r="Q287">
            <v>161.03</v>
          </cell>
          <cell r="R287">
            <v>32.24</v>
          </cell>
          <cell r="S287">
            <v>3.22</v>
          </cell>
        </row>
        <row r="288">
          <cell r="D288">
            <v>2</v>
          </cell>
          <cell r="K288">
            <v>1.5</v>
          </cell>
          <cell r="N288">
            <v>208</v>
          </cell>
          <cell r="O288">
            <v>20.8</v>
          </cell>
          <cell r="P288">
            <v>2496</v>
          </cell>
          <cell r="Q288">
            <v>249.6</v>
          </cell>
          <cell r="R288">
            <v>52</v>
          </cell>
          <cell r="S288">
            <v>5.2</v>
          </cell>
        </row>
        <row r="289">
          <cell r="D289">
            <v>2</v>
          </cell>
          <cell r="K289">
            <v>1.8</v>
          </cell>
          <cell r="N289">
            <v>199.68</v>
          </cell>
          <cell r="O289">
            <v>19.97</v>
          </cell>
          <cell r="P289">
            <v>3120</v>
          </cell>
          <cell r="Q289">
            <v>312</v>
          </cell>
          <cell r="R289">
            <v>66.56</v>
          </cell>
          <cell r="S289">
            <v>6.66</v>
          </cell>
        </row>
        <row r="290">
          <cell r="D290">
            <v>2</v>
          </cell>
          <cell r="K290">
            <v>1.8</v>
          </cell>
          <cell r="N290">
            <v>224.64</v>
          </cell>
          <cell r="O290">
            <v>22.46</v>
          </cell>
          <cell r="P290">
            <v>2773.33</v>
          </cell>
          <cell r="Q290">
            <v>277.33</v>
          </cell>
          <cell r="R290">
            <v>44.93</v>
          </cell>
          <cell r="S290">
            <v>4.49</v>
          </cell>
        </row>
        <row r="291">
          <cell r="D291">
            <v>3</v>
          </cell>
          <cell r="K291">
            <v>1.2</v>
          </cell>
          <cell r="N291">
            <v>149.76</v>
          </cell>
          <cell r="O291">
            <v>14.98</v>
          </cell>
          <cell r="P291">
            <v>2773.33</v>
          </cell>
          <cell r="Q291">
            <v>277.33</v>
          </cell>
          <cell r="R291">
            <v>29.95</v>
          </cell>
          <cell r="S291">
            <v>3</v>
          </cell>
        </row>
        <row r="292">
          <cell r="D292">
            <v>4</v>
          </cell>
          <cell r="K292">
            <v>1.6</v>
          </cell>
          <cell r="N292">
            <v>266.24</v>
          </cell>
          <cell r="O292">
            <v>26.62</v>
          </cell>
          <cell r="P292">
            <v>2080</v>
          </cell>
          <cell r="Q292">
            <v>208</v>
          </cell>
          <cell r="R292">
            <v>38.03</v>
          </cell>
          <cell r="S292">
            <v>3.8</v>
          </cell>
        </row>
        <row r="293">
          <cell r="D293">
            <v>4</v>
          </cell>
          <cell r="K293">
            <v>1.5</v>
          </cell>
          <cell r="N293">
            <v>249.6</v>
          </cell>
          <cell r="O293">
            <v>24.96</v>
          </cell>
          <cell r="P293">
            <v>2080</v>
          </cell>
          <cell r="Q293">
            <v>208</v>
          </cell>
          <cell r="R293">
            <v>35.659999999999997</v>
          </cell>
          <cell r="S293">
            <v>3.57</v>
          </cell>
        </row>
        <row r="294">
          <cell r="D294">
            <v>5</v>
          </cell>
          <cell r="K294">
            <v>1.5</v>
          </cell>
          <cell r="N294">
            <v>291.2</v>
          </cell>
          <cell r="O294">
            <v>29.12</v>
          </cell>
          <cell r="P294">
            <v>1782.86</v>
          </cell>
          <cell r="Q294">
            <v>178.29</v>
          </cell>
          <cell r="R294">
            <v>36.4</v>
          </cell>
          <cell r="S294">
            <v>3.64</v>
          </cell>
        </row>
        <row r="295">
          <cell r="D295">
            <v>5</v>
          </cell>
          <cell r="K295">
            <v>1.4000000000000001</v>
          </cell>
          <cell r="N295">
            <v>271.79000000000002</v>
          </cell>
          <cell r="O295">
            <v>27.18</v>
          </cell>
          <cell r="P295">
            <v>1782.86</v>
          </cell>
          <cell r="Q295">
            <v>178.29</v>
          </cell>
          <cell r="R295">
            <v>33.97</v>
          </cell>
          <cell r="S295">
            <v>3.4</v>
          </cell>
        </row>
        <row r="296">
          <cell r="D296">
            <v>6</v>
          </cell>
          <cell r="K296">
            <v>1.5</v>
          </cell>
          <cell r="N296">
            <v>322.39999999999998</v>
          </cell>
          <cell r="O296">
            <v>32.24</v>
          </cell>
          <cell r="P296">
            <v>1610.32</v>
          </cell>
          <cell r="Q296">
            <v>161.03</v>
          </cell>
          <cell r="R296">
            <v>32.24</v>
          </cell>
          <cell r="S296">
            <v>3.22</v>
          </cell>
        </row>
        <row r="297">
          <cell r="D297">
            <v>2</v>
          </cell>
          <cell r="K297">
            <v>1.5</v>
          </cell>
          <cell r="N297">
            <v>208</v>
          </cell>
          <cell r="O297">
            <v>20.8</v>
          </cell>
          <cell r="P297">
            <v>2496</v>
          </cell>
          <cell r="Q297">
            <v>249.6</v>
          </cell>
          <cell r="R297">
            <v>52</v>
          </cell>
          <cell r="S297">
            <v>5.2</v>
          </cell>
        </row>
        <row r="298">
          <cell r="D298">
            <v>2</v>
          </cell>
          <cell r="K298">
            <v>1.8</v>
          </cell>
          <cell r="N298">
            <v>199.68</v>
          </cell>
          <cell r="O298">
            <v>19.97</v>
          </cell>
          <cell r="P298">
            <v>3120</v>
          </cell>
          <cell r="Q298">
            <v>312</v>
          </cell>
          <cell r="R298">
            <v>66.56</v>
          </cell>
          <cell r="S298">
            <v>6.66</v>
          </cell>
        </row>
        <row r="299">
          <cell r="D299">
            <v>2</v>
          </cell>
          <cell r="K299">
            <v>1.8</v>
          </cell>
          <cell r="N299">
            <v>224.64</v>
          </cell>
          <cell r="O299">
            <v>22.46</v>
          </cell>
          <cell r="P299">
            <v>2773.33</v>
          </cell>
          <cell r="Q299">
            <v>277.33</v>
          </cell>
          <cell r="R299">
            <v>44.93</v>
          </cell>
          <cell r="S299">
            <v>4.49</v>
          </cell>
        </row>
        <row r="300">
          <cell r="D300">
            <v>3</v>
          </cell>
          <cell r="K300">
            <v>1.2</v>
          </cell>
          <cell r="N300">
            <v>149.76</v>
          </cell>
          <cell r="O300">
            <v>14.98</v>
          </cell>
          <cell r="P300">
            <v>2773.33</v>
          </cell>
          <cell r="Q300">
            <v>277.33</v>
          </cell>
          <cell r="R300">
            <v>29.95</v>
          </cell>
          <cell r="S300">
            <v>3</v>
          </cell>
        </row>
        <row r="301">
          <cell r="D301">
            <v>4</v>
          </cell>
          <cell r="K301">
            <v>1.6</v>
          </cell>
          <cell r="N301">
            <v>266.24</v>
          </cell>
          <cell r="O301">
            <v>26.62</v>
          </cell>
          <cell r="P301">
            <v>2080</v>
          </cell>
          <cell r="Q301">
            <v>208</v>
          </cell>
          <cell r="R301">
            <v>38.03</v>
          </cell>
          <cell r="S301">
            <v>3.8</v>
          </cell>
        </row>
        <row r="302">
          <cell r="D302">
            <v>4</v>
          </cell>
          <cell r="K302">
            <v>1.5</v>
          </cell>
          <cell r="N302">
            <v>249.6</v>
          </cell>
          <cell r="O302">
            <v>24.96</v>
          </cell>
          <cell r="P302">
            <v>2080</v>
          </cell>
          <cell r="Q302">
            <v>208</v>
          </cell>
          <cell r="R302">
            <v>35.659999999999997</v>
          </cell>
          <cell r="S302">
            <v>3.57</v>
          </cell>
        </row>
        <row r="303">
          <cell r="D303">
            <v>5</v>
          </cell>
          <cell r="K303">
            <v>1.5</v>
          </cell>
          <cell r="N303">
            <v>291.2</v>
          </cell>
          <cell r="O303">
            <v>29.12</v>
          </cell>
          <cell r="P303">
            <v>1782.86</v>
          </cell>
          <cell r="Q303">
            <v>178.29</v>
          </cell>
          <cell r="R303">
            <v>36.4</v>
          </cell>
          <cell r="S303">
            <v>3.64</v>
          </cell>
        </row>
        <row r="304">
          <cell r="D304">
            <v>5</v>
          </cell>
          <cell r="K304">
            <v>1.4000000000000001</v>
          </cell>
          <cell r="N304">
            <v>271.79000000000002</v>
          </cell>
          <cell r="O304">
            <v>27.18</v>
          </cell>
          <cell r="P304">
            <v>1782.86</v>
          </cell>
          <cell r="Q304">
            <v>178.29</v>
          </cell>
          <cell r="R304">
            <v>33.97</v>
          </cell>
          <cell r="S304">
            <v>3.4</v>
          </cell>
        </row>
        <row r="305">
          <cell r="D305">
            <v>6</v>
          </cell>
          <cell r="K305">
            <v>1.5</v>
          </cell>
          <cell r="N305">
            <v>322.39999999999998</v>
          </cell>
          <cell r="O305">
            <v>32.24</v>
          </cell>
          <cell r="P305">
            <v>1610.32</v>
          </cell>
          <cell r="Q305">
            <v>161.03</v>
          </cell>
          <cell r="R305">
            <v>32.24</v>
          </cell>
          <cell r="S305">
            <v>3.22</v>
          </cell>
        </row>
        <row r="306">
          <cell r="D306">
            <v>2</v>
          </cell>
          <cell r="K306">
            <v>1.8</v>
          </cell>
          <cell r="N306">
            <v>199.68</v>
          </cell>
          <cell r="O306">
            <v>19.97</v>
          </cell>
          <cell r="P306">
            <v>3120</v>
          </cell>
          <cell r="Q306">
            <v>312</v>
          </cell>
          <cell r="R306">
            <v>66.56</v>
          </cell>
          <cell r="S306">
            <v>6.66</v>
          </cell>
        </row>
        <row r="307">
          <cell r="D307">
            <v>3</v>
          </cell>
          <cell r="K307">
            <v>1.4000000000000001</v>
          </cell>
          <cell r="N307">
            <v>174.72</v>
          </cell>
          <cell r="O307">
            <v>17.47</v>
          </cell>
          <cell r="P307">
            <v>2773.33</v>
          </cell>
          <cell r="Q307">
            <v>277.33</v>
          </cell>
          <cell r="R307">
            <v>34.94</v>
          </cell>
          <cell r="S307">
            <v>3.49</v>
          </cell>
        </row>
        <row r="308">
          <cell r="D308">
            <v>5</v>
          </cell>
          <cell r="K308">
            <v>1.6</v>
          </cell>
          <cell r="N308">
            <v>310.61</v>
          </cell>
          <cell r="O308">
            <v>31.06</v>
          </cell>
          <cell r="P308">
            <v>1782.86</v>
          </cell>
          <cell r="Q308">
            <v>178.29</v>
          </cell>
          <cell r="R308">
            <v>38.83</v>
          </cell>
          <cell r="S308">
            <v>3.88</v>
          </cell>
        </row>
        <row r="309">
          <cell r="D309">
            <v>6</v>
          </cell>
          <cell r="K309">
            <v>1.4000000000000001</v>
          </cell>
          <cell r="N309">
            <v>300.91000000000003</v>
          </cell>
          <cell r="O309">
            <v>30.09</v>
          </cell>
          <cell r="P309">
            <v>1610.32</v>
          </cell>
          <cell r="Q309">
            <v>161.03</v>
          </cell>
          <cell r="R309">
            <v>30.09</v>
          </cell>
          <cell r="S309">
            <v>3.01</v>
          </cell>
        </row>
        <row r="310">
          <cell r="D310">
            <v>6</v>
          </cell>
          <cell r="K310">
            <v>1.8</v>
          </cell>
          <cell r="N310">
            <v>386.88</v>
          </cell>
          <cell r="O310">
            <v>38.69</v>
          </cell>
          <cell r="P310">
            <v>1610.32</v>
          </cell>
          <cell r="Q310">
            <v>161.03</v>
          </cell>
          <cell r="R310">
            <v>38.69</v>
          </cell>
          <cell r="S310">
            <v>3.87</v>
          </cell>
        </row>
        <row r="311">
          <cell r="D311">
            <v>2</v>
          </cell>
          <cell r="K311">
            <v>1.8</v>
          </cell>
          <cell r="N311">
            <v>224.64</v>
          </cell>
          <cell r="O311">
            <v>22.46</v>
          </cell>
          <cell r="P311">
            <v>2773.33</v>
          </cell>
          <cell r="Q311">
            <v>277.33</v>
          </cell>
          <cell r="R311">
            <v>44.93</v>
          </cell>
          <cell r="S311">
            <v>4.49</v>
          </cell>
        </row>
        <row r="312">
          <cell r="D312">
            <v>3</v>
          </cell>
          <cell r="K312">
            <v>1.3</v>
          </cell>
          <cell r="N312">
            <v>162.24</v>
          </cell>
          <cell r="O312">
            <v>16.22</v>
          </cell>
          <cell r="P312">
            <v>2773.33</v>
          </cell>
          <cell r="Q312">
            <v>277.33</v>
          </cell>
          <cell r="R312">
            <v>32.450000000000003</v>
          </cell>
          <cell r="S312">
            <v>3.24</v>
          </cell>
        </row>
        <row r="313">
          <cell r="D313">
            <v>3</v>
          </cell>
          <cell r="K313">
            <v>1.4000000000000001</v>
          </cell>
          <cell r="N313">
            <v>174.72</v>
          </cell>
          <cell r="O313">
            <v>17.47</v>
          </cell>
          <cell r="P313">
            <v>2773.33</v>
          </cell>
          <cell r="Q313">
            <v>277.33</v>
          </cell>
          <cell r="R313">
            <v>34.94</v>
          </cell>
          <cell r="S313">
            <v>3.49</v>
          </cell>
        </row>
        <row r="314">
          <cell r="D314">
            <v>4</v>
          </cell>
          <cell r="K314">
            <v>1.4000000000000001</v>
          </cell>
          <cell r="N314">
            <v>232.96</v>
          </cell>
          <cell r="O314">
            <v>23.3</v>
          </cell>
          <cell r="P314">
            <v>2080</v>
          </cell>
          <cell r="Q314">
            <v>208</v>
          </cell>
          <cell r="R314">
            <v>33.28</v>
          </cell>
          <cell r="S314">
            <v>3.33</v>
          </cell>
        </row>
        <row r="315">
          <cell r="D315">
            <v>5</v>
          </cell>
          <cell r="K315">
            <v>1.6</v>
          </cell>
          <cell r="N315">
            <v>310.61</v>
          </cell>
          <cell r="O315">
            <v>31.06</v>
          </cell>
          <cell r="P315">
            <v>1782.86</v>
          </cell>
          <cell r="Q315">
            <v>178.29</v>
          </cell>
          <cell r="R315">
            <v>38.83</v>
          </cell>
          <cell r="S315">
            <v>3.88</v>
          </cell>
        </row>
        <row r="316">
          <cell r="D316">
            <v>2</v>
          </cell>
          <cell r="K316">
            <v>1.5</v>
          </cell>
          <cell r="N316">
            <v>224</v>
          </cell>
          <cell r="O316">
            <v>22.4</v>
          </cell>
          <cell r="P316">
            <v>2688</v>
          </cell>
          <cell r="Q316">
            <v>268.8</v>
          </cell>
          <cell r="R316">
            <v>56</v>
          </cell>
          <cell r="S316">
            <v>5.6</v>
          </cell>
        </row>
        <row r="317">
          <cell r="D317">
            <v>2</v>
          </cell>
          <cell r="K317">
            <v>1.8</v>
          </cell>
          <cell r="N317">
            <v>215.04</v>
          </cell>
          <cell r="O317">
            <v>21.5</v>
          </cell>
          <cell r="P317">
            <v>3360</v>
          </cell>
          <cell r="Q317">
            <v>336</v>
          </cell>
          <cell r="R317">
            <v>71.680000000000007</v>
          </cell>
          <cell r="S317">
            <v>7.17</v>
          </cell>
        </row>
        <row r="318">
          <cell r="D318">
            <v>2</v>
          </cell>
          <cell r="K318">
            <v>1.8</v>
          </cell>
          <cell r="N318">
            <v>241.92</v>
          </cell>
          <cell r="O318">
            <v>24.19</v>
          </cell>
          <cell r="P318">
            <v>2986.67</v>
          </cell>
          <cell r="Q318">
            <v>298.67</v>
          </cell>
          <cell r="R318">
            <v>48.38</v>
          </cell>
          <cell r="S318">
            <v>4.84</v>
          </cell>
        </row>
        <row r="319">
          <cell r="D319">
            <v>3</v>
          </cell>
          <cell r="K319">
            <v>1.2</v>
          </cell>
          <cell r="N319">
            <v>161.28</v>
          </cell>
          <cell r="O319">
            <v>16.13</v>
          </cell>
          <cell r="P319">
            <v>2986.67</v>
          </cell>
          <cell r="Q319">
            <v>298.67</v>
          </cell>
          <cell r="R319">
            <v>32.26</v>
          </cell>
          <cell r="S319">
            <v>3.23</v>
          </cell>
        </row>
        <row r="320">
          <cell r="D320">
            <v>4</v>
          </cell>
          <cell r="K320">
            <v>1.6</v>
          </cell>
          <cell r="N320">
            <v>286.72000000000003</v>
          </cell>
          <cell r="O320">
            <v>28.67</v>
          </cell>
          <cell r="P320">
            <v>2240</v>
          </cell>
          <cell r="Q320">
            <v>224</v>
          </cell>
          <cell r="R320">
            <v>40.96</v>
          </cell>
          <cell r="S320">
            <v>4.0999999999999996</v>
          </cell>
        </row>
        <row r="321">
          <cell r="D321">
            <v>4</v>
          </cell>
          <cell r="K321">
            <v>1.5</v>
          </cell>
          <cell r="N321">
            <v>268.8</v>
          </cell>
          <cell r="O321">
            <v>26.88</v>
          </cell>
          <cell r="P321">
            <v>2240</v>
          </cell>
          <cell r="Q321">
            <v>224</v>
          </cell>
          <cell r="R321">
            <v>38.4</v>
          </cell>
          <cell r="S321">
            <v>3.84</v>
          </cell>
        </row>
        <row r="322">
          <cell r="D322">
            <v>5</v>
          </cell>
          <cell r="K322">
            <v>1.5</v>
          </cell>
          <cell r="N322">
            <v>313.60000000000002</v>
          </cell>
          <cell r="O322">
            <v>31.36</v>
          </cell>
          <cell r="P322">
            <v>1920</v>
          </cell>
          <cell r="Q322">
            <v>192</v>
          </cell>
          <cell r="R322">
            <v>39.200000000000003</v>
          </cell>
          <cell r="S322">
            <v>3.92</v>
          </cell>
        </row>
        <row r="323">
          <cell r="D323">
            <v>5</v>
          </cell>
          <cell r="K323">
            <v>1.4000000000000001</v>
          </cell>
          <cell r="N323">
            <v>292.69</v>
          </cell>
          <cell r="O323">
            <v>29.27</v>
          </cell>
          <cell r="P323">
            <v>1920</v>
          </cell>
          <cell r="Q323">
            <v>192</v>
          </cell>
          <cell r="R323">
            <v>36.590000000000003</v>
          </cell>
          <cell r="S323">
            <v>3.66</v>
          </cell>
        </row>
        <row r="324">
          <cell r="D324">
            <v>6</v>
          </cell>
          <cell r="K324">
            <v>1.5</v>
          </cell>
          <cell r="N324">
            <v>347.2</v>
          </cell>
          <cell r="O324">
            <v>34.72</v>
          </cell>
          <cell r="P324">
            <v>1734.19</v>
          </cell>
          <cell r="Q324">
            <v>173.42</v>
          </cell>
          <cell r="R324">
            <v>34.72</v>
          </cell>
          <cell r="S324">
            <v>3.47</v>
          </cell>
        </row>
        <row r="325">
          <cell r="D325">
            <v>2</v>
          </cell>
          <cell r="K325">
            <v>1.5</v>
          </cell>
          <cell r="N325">
            <v>224</v>
          </cell>
          <cell r="O325">
            <v>22.4</v>
          </cell>
          <cell r="P325">
            <v>2688</v>
          </cell>
          <cell r="Q325">
            <v>268.8</v>
          </cell>
          <cell r="R325">
            <v>56</v>
          </cell>
          <cell r="S325">
            <v>5.6</v>
          </cell>
        </row>
        <row r="326">
          <cell r="D326">
            <v>2</v>
          </cell>
          <cell r="K326">
            <v>1.8</v>
          </cell>
          <cell r="N326">
            <v>215.04</v>
          </cell>
          <cell r="O326">
            <v>21.5</v>
          </cell>
          <cell r="P326">
            <v>3360</v>
          </cell>
          <cell r="Q326">
            <v>336</v>
          </cell>
          <cell r="R326">
            <v>71.680000000000007</v>
          </cell>
          <cell r="S326">
            <v>7.17</v>
          </cell>
        </row>
        <row r="327">
          <cell r="D327">
            <v>2</v>
          </cell>
          <cell r="K327">
            <v>1.8</v>
          </cell>
          <cell r="N327">
            <v>241.92</v>
          </cell>
          <cell r="O327">
            <v>24.19</v>
          </cell>
          <cell r="P327">
            <v>2986.67</v>
          </cell>
          <cell r="Q327">
            <v>298.67</v>
          </cell>
          <cell r="R327">
            <v>48.38</v>
          </cell>
          <cell r="S327">
            <v>4.84</v>
          </cell>
        </row>
        <row r="328">
          <cell r="D328">
            <v>3</v>
          </cell>
          <cell r="K328">
            <v>1.2</v>
          </cell>
          <cell r="N328">
            <v>161.28</v>
          </cell>
          <cell r="O328">
            <v>16.13</v>
          </cell>
          <cell r="P328">
            <v>2986.67</v>
          </cell>
          <cell r="Q328">
            <v>298.67</v>
          </cell>
          <cell r="R328">
            <v>32.26</v>
          </cell>
          <cell r="S328">
            <v>3.23</v>
          </cell>
        </row>
        <row r="329">
          <cell r="D329">
            <v>4</v>
          </cell>
          <cell r="K329">
            <v>1.6</v>
          </cell>
          <cell r="N329">
            <v>286.72000000000003</v>
          </cell>
          <cell r="O329">
            <v>28.67</v>
          </cell>
          <cell r="P329">
            <v>2240</v>
          </cell>
          <cell r="Q329">
            <v>224</v>
          </cell>
          <cell r="R329">
            <v>40.96</v>
          </cell>
          <cell r="S329">
            <v>4.0999999999999996</v>
          </cell>
        </row>
        <row r="330">
          <cell r="D330">
            <v>4</v>
          </cell>
          <cell r="K330">
            <v>1.5</v>
          </cell>
          <cell r="N330">
            <v>268.8</v>
          </cell>
          <cell r="O330">
            <v>26.88</v>
          </cell>
          <cell r="P330">
            <v>2240</v>
          </cell>
          <cell r="Q330">
            <v>224</v>
          </cell>
          <cell r="R330">
            <v>38.4</v>
          </cell>
          <cell r="S330">
            <v>3.84</v>
          </cell>
        </row>
        <row r="331">
          <cell r="D331">
            <v>5</v>
          </cell>
          <cell r="K331">
            <v>1.5</v>
          </cell>
          <cell r="N331">
            <v>313.60000000000002</v>
          </cell>
          <cell r="O331">
            <v>31.36</v>
          </cell>
          <cell r="P331">
            <v>1920</v>
          </cell>
          <cell r="Q331">
            <v>192</v>
          </cell>
          <cell r="R331">
            <v>39.200000000000003</v>
          </cell>
          <cell r="S331">
            <v>3.92</v>
          </cell>
        </row>
        <row r="332">
          <cell r="D332">
            <v>5</v>
          </cell>
          <cell r="K332">
            <v>1.4000000000000001</v>
          </cell>
          <cell r="N332">
            <v>292.69</v>
          </cell>
          <cell r="O332">
            <v>29.27</v>
          </cell>
          <cell r="P332">
            <v>1920</v>
          </cell>
          <cell r="Q332">
            <v>192</v>
          </cell>
          <cell r="R332">
            <v>36.590000000000003</v>
          </cell>
          <cell r="S332">
            <v>3.66</v>
          </cell>
        </row>
        <row r="333">
          <cell r="D333">
            <v>6</v>
          </cell>
          <cell r="K333">
            <v>1.5</v>
          </cell>
          <cell r="N333">
            <v>347.2</v>
          </cell>
          <cell r="O333">
            <v>34.72</v>
          </cell>
          <cell r="P333">
            <v>1734.19</v>
          </cell>
          <cell r="Q333">
            <v>173.42</v>
          </cell>
          <cell r="R333">
            <v>34.72</v>
          </cell>
          <cell r="S333">
            <v>3.47</v>
          </cell>
        </row>
        <row r="334">
          <cell r="D334">
            <v>2</v>
          </cell>
          <cell r="K334">
            <v>1.5</v>
          </cell>
          <cell r="N334">
            <v>224</v>
          </cell>
          <cell r="O334">
            <v>22.4</v>
          </cell>
          <cell r="P334">
            <v>2688</v>
          </cell>
          <cell r="Q334">
            <v>268.8</v>
          </cell>
          <cell r="R334">
            <v>56</v>
          </cell>
          <cell r="S334">
            <v>5.6</v>
          </cell>
        </row>
        <row r="335">
          <cell r="D335">
            <v>2</v>
          </cell>
          <cell r="K335">
            <v>1.8</v>
          </cell>
          <cell r="N335">
            <v>215.04</v>
          </cell>
          <cell r="O335">
            <v>21.5</v>
          </cell>
          <cell r="P335">
            <v>3360</v>
          </cell>
          <cell r="Q335">
            <v>336</v>
          </cell>
          <cell r="R335">
            <v>71.680000000000007</v>
          </cell>
          <cell r="S335">
            <v>7.17</v>
          </cell>
        </row>
        <row r="336">
          <cell r="D336">
            <v>2</v>
          </cell>
          <cell r="K336">
            <v>1.8</v>
          </cell>
          <cell r="N336">
            <v>241.92</v>
          </cell>
          <cell r="O336">
            <v>24.19</v>
          </cell>
          <cell r="P336">
            <v>2986.67</v>
          </cell>
          <cell r="Q336">
            <v>298.67</v>
          </cell>
          <cell r="R336">
            <v>48.38</v>
          </cell>
          <cell r="S336">
            <v>4.84</v>
          </cell>
        </row>
        <row r="337">
          <cell r="D337">
            <v>3</v>
          </cell>
          <cell r="K337">
            <v>1.2</v>
          </cell>
          <cell r="N337">
            <v>161.28</v>
          </cell>
          <cell r="O337">
            <v>16.13</v>
          </cell>
          <cell r="P337">
            <v>2986.67</v>
          </cell>
          <cell r="Q337">
            <v>298.67</v>
          </cell>
          <cell r="R337">
            <v>32.26</v>
          </cell>
          <cell r="S337">
            <v>3.23</v>
          </cell>
        </row>
        <row r="338">
          <cell r="D338">
            <v>4</v>
          </cell>
          <cell r="K338">
            <v>1.6</v>
          </cell>
          <cell r="N338">
            <v>286.72000000000003</v>
          </cell>
          <cell r="O338">
            <v>28.67</v>
          </cell>
          <cell r="P338">
            <v>2240</v>
          </cell>
          <cell r="Q338">
            <v>224</v>
          </cell>
          <cell r="R338">
            <v>40.96</v>
          </cell>
          <cell r="S338">
            <v>4.0999999999999996</v>
          </cell>
        </row>
        <row r="339">
          <cell r="D339">
            <v>4</v>
          </cell>
          <cell r="K339">
            <v>1.5</v>
          </cell>
          <cell r="N339">
            <v>268.8</v>
          </cell>
          <cell r="O339">
            <v>26.88</v>
          </cell>
          <cell r="P339">
            <v>2240</v>
          </cell>
          <cell r="Q339">
            <v>224</v>
          </cell>
          <cell r="R339">
            <v>38.4</v>
          </cell>
          <cell r="S339">
            <v>3.84</v>
          </cell>
        </row>
        <row r="340">
          <cell r="D340">
            <v>5</v>
          </cell>
          <cell r="K340">
            <v>1.5</v>
          </cell>
          <cell r="N340">
            <v>313.60000000000002</v>
          </cell>
          <cell r="O340">
            <v>31.36</v>
          </cell>
          <cell r="P340">
            <v>1920</v>
          </cell>
          <cell r="Q340">
            <v>192</v>
          </cell>
          <cell r="R340">
            <v>39.200000000000003</v>
          </cell>
          <cell r="S340">
            <v>3.92</v>
          </cell>
        </row>
        <row r="341">
          <cell r="D341">
            <v>5</v>
          </cell>
          <cell r="K341">
            <v>1.4000000000000001</v>
          </cell>
          <cell r="N341">
            <v>292.69</v>
          </cell>
          <cell r="O341">
            <v>29.27</v>
          </cell>
          <cell r="P341">
            <v>1920</v>
          </cell>
          <cell r="Q341">
            <v>192</v>
          </cell>
          <cell r="R341">
            <v>36.590000000000003</v>
          </cell>
          <cell r="S341">
            <v>3.66</v>
          </cell>
        </row>
        <row r="342">
          <cell r="D342">
            <v>6</v>
          </cell>
          <cell r="K342">
            <v>1.5</v>
          </cell>
          <cell r="N342">
            <v>347.2</v>
          </cell>
          <cell r="O342">
            <v>34.72</v>
          </cell>
          <cell r="P342">
            <v>1734.19</v>
          </cell>
          <cell r="Q342">
            <v>173.42</v>
          </cell>
          <cell r="R342">
            <v>34.72</v>
          </cell>
          <cell r="S342">
            <v>3.47</v>
          </cell>
        </row>
        <row r="343">
          <cell r="D343">
            <v>2</v>
          </cell>
          <cell r="K343">
            <v>1.8</v>
          </cell>
          <cell r="N343">
            <v>215.04</v>
          </cell>
          <cell r="O343">
            <v>21.5</v>
          </cell>
          <cell r="P343">
            <v>3360</v>
          </cell>
          <cell r="Q343">
            <v>336</v>
          </cell>
          <cell r="R343">
            <v>71.680000000000007</v>
          </cell>
          <cell r="S343">
            <v>7.17</v>
          </cell>
        </row>
        <row r="344">
          <cell r="D344">
            <v>3</v>
          </cell>
          <cell r="K344">
            <v>1.4000000000000001</v>
          </cell>
          <cell r="N344">
            <v>188.16</v>
          </cell>
          <cell r="O344">
            <v>18.82</v>
          </cell>
          <cell r="P344">
            <v>2986.67</v>
          </cell>
          <cell r="Q344">
            <v>298.67</v>
          </cell>
          <cell r="R344">
            <v>37.630000000000003</v>
          </cell>
          <cell r="S344">
            <v>3.76</v>
          </cell>
        </row>
        <row r="345">
          <cell r="D345">
            <v>5</v>
          </cell>
          <cell r="K345">
            <v>1.6</v>
          </cell>
          <cell r="N345">
            <v>334.51</v>
          </cell>
          <cell r="O345">
            <v>33.450000000000003</v>
          </cell>
          <cell r="P345">
            <v>1920</v>
          </cell>
          <cell r="Q345">
            <v>192</v>
          </cell>
          <cell r="R345">
            <v>41.81</v>
          </cell>
          <cell r="S345">
            <v>4.18</v>
          </cell>
        </row>
        <row r="346">
          <cell r="D346">
            <v>6</v>
          </cell>
          <cell r="K346">
            <v>1.4000000000000001</v>
          </cell>
          <cell r="N346">
            <v>324.05</v>
          </cell>
          <cell r="O346">
            <v>32.409999999999997</v>
          </cell>
          <cell r="P346">
            <v>1734.19</v>
          </cell>
          <cell r="Q346">
            <v>173.42</v>
          </cell>
          <cell r="R346">
            <v>32.409999999999997</v>
          </cell>
          <cell r="S346">
            <v>3.24</v>
          </cell>
        </row>
        <row r="347">
          <cell r="D347">
            <v>6</v>
          </cell>
          <cell r="K347">
            <v>1.8</v>
          </cell>
          <cell r="N347">
            <v>416.64</v>
          </cell>
          <cell r="O347">
            <v>41.66</v>
          </cell>
          <cell r="P347">
            <v>1734.19</v>
          </cell>
          <cell r="Q347">
            <v>173.42</v>
          </cell>
          <cell r="R347">
            <v>41.66</v>
          </cell>
          <cell r="S347">
            <v>4.17</v>
          </cell>
        </row>
        <row r="348">
          <cell r="D348">
            <v>2</v>
          </cell>
          <cell r="K348">
            <v>1.8</v>
          </cell>
          <cell r="N348">
            <v>241.92</v>
          </cell>
          <cell r="O348">
            <v>24.19</v>
          </cell>
          <cell r="P348">
            <v>2986.67</v>
          </cell>
          <cell r="Q348">
            <v>298.67</v>
          </cell>
          <cell r="R348">
            <v>48.38</v>
          </cell>
          <cell r="S348">
            <v>4.84</v>
          </cell>
        </row>
        <row r="349">
          <cell r="D349">
            <v>3</v>
          </cell>
          <cell r="K349">
            <v>1.3</v>
          </cell>
          <cell r="N349">
            <v>174.72</v>
          </cell>
          <cell r="O349">
            <v>17.47</v>
          </cell>
          <cell r="P349">
            <v>2986.67</v>
          </cell>
          <cell r="Q349">
            <v>298.67</v>
          </cell>
          <cell r="R349">
            <v>34.94</v>
          </cell>
          <cell r="S349">
            <v>3.49</v>
          </cell>
        </row>
        <row r="350">
          <cell r="D350">
            <v>3</v>
          </cell>
          <cell r="K350">
            <v>1.4000000000000001</v>
          </cell>
          <cell r="N350">
            <v>188.16</v>
          </cell>
          <cell r="O350">
            <v>18.82</v>
          </cell>
          <cell r="P350">
            <v>2986.67</v>
          </cell>
          <cell r="Q350">
            <v>298.67</v>
          </cell>
          <cell r="R350">
            <v>37.630000000000003</v>
          </cell>
          <cell r="S350">
            <v>3.76</v>
          </cell>
        </row>
        <row r="351">
          <cell r="D351">
            <v>4</v>
          </cell>
          <cell r="K351">
            <v>1.4000000000000001</v>
          </cell>
          <cell r="N351">
            <v>250.88</v>
          </cell>
          <cell r="O351">
            <v>25.09</v>
          </cell>
          <cell r="P351">
            <v>2240</v>
          </cell>
          <cell r="Q351">
            <v>224</v>
          </cell>
          <cell r="R351">
            <v>35.840000000000003</v>
          </cell>
          <cell r="S351">
            <v>3.58</v>
          </cell>
        </row>
        <row r="352">
          <cell r="D352">
            <v>5</v>
          </cell>
          <cell r="K352">
            <v>1.6</v>
          </cell>
          <cell r="N352">
            <v>334.51</v>
          </cell>
          <cell r="O352">
            <v>33.450000000000003</v>
          </cell>
          <cell r="P352">
            <v>1920</v>
          </cell>
          <cell r="Q352">
            <v>192</v>
          </cell>
          <cell r="R352">
            <v>41.81</v>
          </cell>
          <cell r="S352">
            <v>4.18</v>
          </cell>
        </row>
        <row r="353">
          <cell r="D353">
            <v>2</v>
          </cell>
          <cell r="K353">
            <v>1.5</v>
          </cell>
          <cell r="N353">
            <v>240</v>
          </cell>
          <cell r="O353">
            <v>24</v>
          </cell>
          <cell r="P353">
            <v>2880</v>
          </cell>
          <cell r="Q353">
            <v>288</v>
          </cell>
          <cell r="R353">
            <v>60</v>
          </cell>
          <cell r="S353">
            <v>6</v>
          </cell>
        </row>
        <row r="354">
          <cell r="D354">
            <v>2</v>
          </cell>
          <cell r="K354">
            <v>1.8</v>
          </cell>
          <cell r="N354">
            <v>230.4</v>
          </cell>
          <cell r="O354">
            <v>23.04</v>
          </cell>
          <cell r="P354">
            <v>3600</v>
          </cell>
          <cell r="Q354">
            <v>360</v>
          </cell>
          <cell r="R354">
            <v>76.8</v>
          </cell>
          <cell r="S354">
            <v>7.68</v>
          </cell>
        </row>
        <row r="355">
          <cell r="D355">
            <v>2</v>
          </cell>
          <cell r="K355">
            <v>1.8</v>
          </cell>
          <cell r="N355">
            <v>259.2</v>
          </cell>
          <cell r="O355">
            <v>25.92</v>
          </cell>
          <cell r="P355">
            <v>3200</v>
          </cell>
          <cell r="Q355">
            <v>320</v>
          </cell>
          <cell r="R355">
            <v>51.84</v>
          </cell>
          <cell r="S355">
            <v>5.18</v>
          </cell>
        </row>
        <row r="356">
          <cell r="D356">
            <v>3</v>
          </cell>
          <cell r="K356">
            <v>1.2</v>
          </cell>
          <cell r="N356">
            <v>172.8</v>
          </cell>
          <cell r="O356">
            <v>17.28</v>
          </cell>
          <cell r="P356">
            <v>3200</v>
          </cell>
          <cell r="Q356">
            <v>320</v>
          </cell>
          <cell r="R356">
            <v>34.56</v>
          </cell>
          <cell r="S356">
            <v>3.46</v>
          </cell>
        </row>
        <row r="357">
          <cell r="D357">
            <v>4</v>
          </cell>
          <cell r="K357">
            <v>1.6</v>
          </cell>
          <cell r="N357">
            <v>307.2</v>
          </cell>
          <cell r="O357">
            <v>30.72</v>
          </cell>
          <cell r="P357">
            <v>2400</v>
          </cell>
          <cell r="Q357">
            <v>240</v>
          </cell>
          <cell r="R357">
            <v>43.89</v>
          </cell>
          <cell r="S357">
            <v>4.3899999999999997</v>
          </cell>
        </row>
        <row r="358">
          <cell r="D358">
            <v>4</v>
          </cell>
          <cell r="K358">
            <v>1.5</v>
          </cell>
          <cell r="N358">
            <v>288</v>
          </cell>
          <cell r="O358">
            <v>28.8</v>
          </cell>
          <cell r="P358">
            <v>2400</v>
          </cell>
          <cell r="Q358">
            <v>240</v>
          </cell>
          <cell r="R358">
            <v>41.14</v>
          </cell>
          <cell r="S358">
            <v>4.1100000000000003</v>
          </cell>
        </row>
        <row r="359">
          <cell r="D359">
            <v>5</v>
          </cell>
          <cell r="K359">
            <v>1.5</v>
          </cell>
          <cell r="N359">
            <v>336</v>
          </cell>
          <cell r="O359">
            <v>33.6</v>
          </cell>
          <cell r="P359">
            <v>2057.14</v>
          </cell>
          <cell r="Q359">
            <v>205.71</v>
          </cell>
          <cell r="R359">
            <v>42</v>
          </cell>
          <cell r="S359">
            <v>4.2</v>
          </cell>
        </row>
        <row r="360">
          <cell r="D360">
            <v>5</v>
          </cell>
          <cell r="K360">
            <v>1.4000000000000001</v>
          </cell>
          <cell r="N360">
            <v>313.60000000000002</v>
          </cell>
          <cell r="O360">
            <v>31.36</v>
          </cell>
          <cell r="P360">
            <v>2057.14</v>
          </cell>
          <cell r="Q360">
            <v>205.71</v>
          </cell>
          <cell r="R360">
            <v>39.200000000000003</v>
          </cell>
          <cell r="S360">
            <v>3.92</v>
          </cell>
        </row>
        <row r="361">
          <cell r="D361">
            <v>6</v>
          </cell>
          <cell r="K361">
            <v>1.5</v>
          </cell>
          <cell r="N361">
            <v>372</v>
          </cell>
          <cell r="O361">
            <v>37.200000000000003</v>
          </cell>
          <cell r="P361">
            <v>1858.06</v>
          </cell>
          <cell r="Q361">
            <v>185.81</v>
          </cell>
          <cell r="R361">
            <v>37.200000000000003</v>
          </cell>
          <cell r="S361">
            <v>3.72</v>
          </cell>
        </row>
        <row r="362">
          <cell r="D362">
            <v>2</v>
          </cell>
          <cell r="K362">
            <v>1.5</v>
          </cell>
          <cell r="N362">
            <v>240</v>
          </cell>
          <cell r="O362">
            <v>24</v>
          </cell>
          <cell r="P362">
            <v>2880</v>
          </cell>
          <cell r="Q362">
            <v>288</v>
          </cell>
          <cell r="R362">
            <v>60</v>
          </cell>
          <cell r="S362">
            <v>6</v>
          </cell>
        </row>
        <row r="363">
          <cell r="D363">
            <v>2</v>
          </cell>
          <cell r="K363">
            <v>1.8</v>
          </cell>
          <cell r="N363">
            <v>230.4</v>
          </cell>
          <cell r="O363">
            <v>23.04</v>
          </cell>
          <cell r="P363">
            <v>3600</v>
          </cell>
          <cell r="Q363">
            <v>360</v>
          </cell>
          <cell r="R363">
            <v>76.8</v>
          </cell>
          <cell r="S363">
            <v>7.68</v>
          </cell>
        </row>
        <row r="364">
          <cell r="D364">
            <v>2</v>
          </cell>
          <cell r="K364">
            <v>1.8</v>
          </cell>
          <cell r="N364">
            <v>259.2</v>
          </cell>
          <cell r="O364">
            <v>25.92</v>
          </cell>
          <cell r="P364">
            <v>3200</v>
          </cell>
          <cell r="Q364">
            <v>320</v>
          </cell>
          <cell r="R364">
            <v>51.84</v>
          </cell>
          <cell r="S364">
            <v>5.18</v>
          </cell>
        </row>
        <row r="365">
          <cell r="D365">
            <v>3</v>
          </cell>
          <cell r="K365">
            <v>1.2</v>
          </cell>
          <cell r="N365">
            <v>172.8</v>
          </cell>
          <cell r="O365">
            <v>17.28</v>
          </cell>
          <cell r="P365">
            <v>3200</v>
          </cell>
          <cell r="Q365">
            <v>320</v>
          </cell>
          <cell r="R365">
            <v>34.56</v>
          </cell>
          <cell r="S365">
            <v>3.46</v>
          </cell>
        </row>
        <row r="366">
          <cell r="D366">
            <v>4</v>
          </cell>
          <cell r="K366">
            <v>1.6</v>
          </cell>
          <cell r="N366">
            <v>307.2</v>
          </cell>
          <cell r="O366">
            <v>30.72</v>
          </cell>
          <cell r="P366">
            <v>2400</v>
          </cell>
          <cell r="Q366">
            <v>240</v>
          </cell>
          <cell r="R366">
            <v>43.89</v>
          </cell>
          <cell r="S366">
            <v>4.3899999999999997</v>
          </cell>
        </row>
        <row r="367">
          <cell r="D367">
            <v>4</v>
          </cell>
          <cell r="K367">
            <v>1.5</v>
          </cell>
          <cell r="N367">
            <v>288</v>
          </cell>
          <cell r="O367">
            <v>28.8</v>
          </cell>
          <cell r="P367">
            <v>2400</v>
          </cell>
          <cell r="Q367">
            <v>240</v>
          </cell>
          <cell r="R367">
            <v>41.14</v>
          </cell>
          <cell r="S367">
            <v>4.1100000000000003</v>
          </cell>
        </row>
        <row r="368">
          <cell r="D368">
            <v>5</v>
          </cell>
          <cell r="K368">
            <v>1.5</v>
          </cell>
          <cell r="N368">
            <v>336</v>
          </cell>
          <cell r="O368">
            <v>33.6</v>
          </cell>
          <cell r="P368">
            <v>2057.14</v>
          </cell>
          <cell r="Q368">
            <v>205.71</v>
          </cell>
          <cell r="R368">
            <v>42</v>
          </cell>
          <cell r="S368">
            <v>4.2</v>
          </cell>
        </row>
        <row r="369">
          <cell r="D369">
            <v>5</v>
          </cell>
          <cell r="K369">
            <v>1.4000000000000001</v>
          </cell>
          <cell r="N369">
            <v>313.60000000000002</v>
          </cell>
          <cell r="O369">
            <v>31.36</v>
          </cell>
          <cell r="P369">
            <v>2057.14</v>
          </cell>
          <cell r="Q369">
            <v>205.71</v>
          </cell>
          <cell r="R369">
            <v>39.200000000000003</v>
          </cell>
          <cell r="S369">
            <v>3.92</v>
          </cell>
        </row>
        <row r="370">
          <cell r="D370">
            <v>6</v>
          </cell>
          <cell r="K370">
            <v>1.5</v>
          </cell>
          <cell r="N370">
            <v>372</v>
          </cell>
          <cell r="O370">
            <v>37.200000000000003</v>
          </cell>
          <cell r="P370">
            <v>1858.06</v>
          </cell>
          <cell r="Q370">
            <v>185.81</v>
          </cell>
          <cell r="R370">
            <v>37.200000000000003</v>
          </cell>
          <cell r="S370">
            <v>3.72</v>
          </cell>
        </row>
        <row r="371">
          <cell r="D371">
            <v>2</v>
          </cell>
          <cell r="K371">
            <v>1.5</v>
          </cell>
          <cell r="N371">
            <v>240</v>
          </cell>
          <cell r="O371">
            <v>24</v>
          </cell>
          <cell r="P371">
            <v>2880</v>
          </cell>
          <cell r="Q371">
            <v>288</v>
          </cell>
          <cell r="R371">
            <v>60</v>
          </cell>
          <cell r="S371">
            <v>6</v>
          </cell>
        </row>
        <row r="372">
          <cell r="D372">
            <v>2</v>
          </cell>
          <cell r="K372">
            <v>1.8</v>
          </cell>
          <cell r="N372">
            <v>230.4</v>
          </cell>
          <cell r="O372">
            <v>23.04</v>
          </cell>
          <cell r="P372">
            <v>3600</v>
          </cell>
          <cell r="Q372">
            <v>360</v>
          </cell>
          <cell r="R372">
            <v>76.8</v>
          </cell>
          <cell r="S372">
            <v>7.68</v>
          </cell>
        </row>
        <row r="373">
          <cell r="D373">
            <v>2</v>
          </cell>
          <cell r="K373">
            <v>1.8</v>
          </cell>
          <cell r="N373">
            <v>259.2</v>
          </cell>
          <cell r="O373">
            <v>25.92</v>
          </cell>
          <cell r="P373">
            <v>3200</v>
          </cell>
          <cell r="Q373">
            <v>320</v>
          </cell>
          <cell r="R373">
            <v>51.84</v>
          </cell>
          <cell r="S373">
            <v>5.18</v>
          </cell>
        </row>
        <row r="374">
          <cell r="D374">
            <v>3</v>
          </cell>
          <cell r="K374">
            <v>1.2</v>
          </cell>
          <cell r="N374">
            <v>172.8</v>
          </cell>
          <cell r="O374">
            <v>17.28</v>
          </cell>
          <cell r="P374">
            <v>3200</v>
          </cell>
          <cell r="Q374">
            <v>320</v>
          </cell>
          <cell r="R374">
            <v>34.56</v>
          </cell>
          <cell r="S374">
            <v>3.46</v>
          </cell>
        </row>
        <row r="375">
          <cell r="D375">
            <v>4</v>
          </cell>
          <cell r="K375">
            <v>1.6</v>
          </cell>
          <cell r="N375">
            <v>307.2</v>
          </cell>
          <cell r="O375">
            <v>30.72</v>
          </cell>
          <cell r="P375">
            <v>2400</v>
          </cell>
          <cell r="Q375">
            <v>240</v>
          </cell>
          <cell r="R375">
            <v>43.89</v>
          </cell>
          <cell r="S375">
            <v>4.3899999999999997</v>
          </cell>
        </row>
        <row r="376">
          <cell r="D376">
            <v>4</v>
          </cell>
          <cell r="K376">
            <v>1.5</v>
          </cell>
          <cell r="N376">
            <v>288</v>
          </cell>
          <cell r="O376">
            <v>28.8</v>
          </cell>
          <cell r="P376">
            <v>2400</v>
          </cell>
          <cell r="Q376">
            <v>240</v>
          </cell>
          <cell r="R376">
            <v>41.14</v>
          </cell>
          <cell r="S376">
            <v>4.1100000000000003</v>
          </cell>
        </row>
        <row r="377">
          <cell r="D377">
            <v>5</v>
          </cell>
          <cell r="K377">
            <v>1.5</v>
          </cell>
          <cell r="N377">
            <v>336</v>
          </cell>
          <cell r="O377">
            <v>33.6</v>
          </cell>
          <cell r="P377">
            <v>2057.14</v>
          </cell>
          <cell r="Q377">
            <v>205.71</v>
          </cell>
          <cell r="R377">
            <v>42</v>
          </cell>
          <cell r="S377">
            <v>4.2</v>
          </cell>
        </row>
        <row r="378">
          <cell r="D378">
            <v>5</v>
          </cell>
          <cell r="K378">
            <v>1.4000000000000001</v>
          </cell>
          <cell r="N378">
            <v>313.60000000000002</v>
          </cell>
          <cell r="O378">
            <v>31.36</v>
          </cell>
          <cell r="P378">
            <v>2057.14</v>
          </cell>
          <cell r="Q378">
            <v>205.71</v>
          </cell>
          <cell r="R378">
            <v>39.200000000000003</v>
          </cell>
          <cell r="S378">
            <v>3.92</v>
          </cell>
        </row>
        <row r="379">
          <cell r="D379">
            <v>6</v>
          </cell>
          <cell r="K379">
            <v>1.5</v>
          </cell>
          <cell r="N379">
            <v>372</v>
          </cell>
          <cell r="O379">
            <v>37.200000000000003</v>
          </cell>
          <cell r="P379">
            <v>1858.06</v>
          </cell>
          <cell r="Q379">
            <v>185.81</v>
          </cell>
          <cell r="R379">
            <v>37.200000000000003</v>
          </cell>
          <cell r="S379">
            <v>3.72</v>
          </cell>
        </row>
        <row r="380">
          <cell r="D380">
            <v>2</v>
          </cell>
          <cell r="K380">
            <v>1.8</v>
          </cell>
          <cell r="N380">
            <v>230.4</v>
          </cell>
          <cell r="O380">
            <v>23.04</v>
          </cell>
          <cell r="P380">
            <v>3600</v>
          </cell>
          <cell r="Q380">
            <v>360</v>
          </cell>
          <cell r="R380">
            <v>76.8</v>
          </cell>
          <cell r="S380">
            <v>7.68</v>
          </cell>
        </row>
        <row r="381">
          <cell r="D381">
            <v>3</v>
          </cell>
          <cell r="K381">
            <v>1.4000000000000001</v>
          </cell>
          <cell r="N381">
            <v>201.6</v>
          </cell>
          <cell r="O381">
            <v>20.16</v>
          </cell>
          <cell r="P381">
            <v>3200</v>
          </cell>
          <cell r="Q381">
            <v>320</v>
          </cell>
          <cell r="R381">
            <v>40.32</v>
          </cell>
          <cell r="S381">
            <v>4.03</v>
          </cell>
        </row>
        <row r="382">
          <cell r="D382">
            <v>5</v>
          </cell>
          <cell r="K382">
            <v>1.6</v>
          </cell>
          <cell r="N382">
            <v>358.4</v>
          </cell>
          <cell r="O382">
            <v>35.840000000000003</v>
          </cell>
          <cell r="P382">
            <v>2057.14</v>
          </cell>
          <cell r="Q382">
            <v>205.71</v>
          </cell>
          <cell r="R382">
            <v>44.8</v>
          </cell>
          <cell r="S382">
            <v>4.4800000000000004</v>
          </cell>
        </row>
        <row r="383">
          <cell r="D383">
            <v>6</v>
          </cell>
          <cell r="K383">
            <v>1.4000000000000001</v>
          </cell>
          <cell r="N383">
            <v>347.2</v>
          </cell>
          <cell r="O383">
            <v>34.72</v>
          </cell>
          <cell r="P383">
            <v>1858.06</v>
          </cell>
          <cell r="Q383">
            <v>185.81</v>
          </cell>
          <cell r="R383">
            <v>34.72</v>
          </cell>
          <cell r="S383">
            <v>3.47</v>
          </cell>
        </row>
        <row r="384">
          <cell r="D384">
            <v>6</v>
          </cell>
          <cell r="K384">
            <v>1.8</v>
          </cell>
          <cell r="N384">
            <v>446.4</v>
          </cell>
          <cell r="O384">
            <v>44.64</v>
          </cell>
          <cell r="P384">
            <v>1858.06</v>
          </cell>
          <cell r="Q384">
            <v>185.81</v>
          </cell>
          <cell r="R384">
            <v>44.64</v>
          </cell>
          <cell r="S384">
            <v>4.46</v>
          </cell>
        </row>
        <row r="385">
          <cell r="D385">
            <v>2</v>
          </cell>
          <cell r="K385">
            <v>1.8</v>
          </cell>
          <cell r="N385">
            <v>259.2</v>
          </cell>
          <cell r="O385">
            <v>25.92</v>
          </cell>
          <cell r="P385">
            <v>3200</v>
          </cell>
          <cell r="Q385">
            <v>320</v>
          </cell>
          <cell r="R385">
            <v>51.84</v>
          </cell>
          <cell r="S385">
            <v>5.18</v>
          </cell>
        </row>
        <row r="386">
          <cell r="D386">
            <v>3</v>
          </cell>
          <cell r="K386">
            <v>1.3</v>
          </cell>
          <cell r="N386">
            <v>187.2</v>
          </cell>
          <cell r="O386">
            <v>18.72</v>
          </cell>
          <cell r="P386">
            <v>3200</v>
          </cell>
          <cell r="Q386">
            <v>320</v>
          </cell>
          <cell r="R386">
            <v>37.44</v>
          </cell>
          <cell r="S386">
            <v>3.74</v>
          </cell>
        </row>
        <row r="387">
          <cell r="D387">
            <v>3</v>
          </cell>
          <cell r="K387">
            <v>1.4000000000000001</v>
          </cell>
          <cell r="N387">
            <v>201.6</v>
          </cell>
          <cell r="O387">
            <v>20.16</v>
          </cell>
          <cell r="P387">
            <v>3200</v>
          </cell>
          <cell r="Q387">
            <v>320</v>
          </cell>
          <cell r="R387">
            <v>40.32</v>
          </cell>
          <cell r="S387">
            <v>4.03</v>
          </cell>
        </row>
        <row r="388">
          <cell r="D388">
            <v>4</v>
          </cell>
          <cell r="K388">
            <v>1.4000000000000001</v>
          </cell>
          <cell r="N388">
            <v>268.8</v>
          </cell>
          <cell r="O388">
            <v>26.88</v>
          </cell>
          <cell r="P388">
            <v>2400</v>
          </cell>
          <cell r="Q388">
            <v>240</v>
          </cell>
          <cell r="R388">
            <v>38.4</v>
          </cell>
          <cell r="S388">
            <v>3.84</v>
          </cell>
        </row>
        <row r="389">
          <cell r="D389">
            <v>5</v>
          </cell>
          <cell r="K389">
            <v>1.6</v>
          </cell>
          <cell r="N389">
            <v>358.4</v>
          </cell>
          <cell r="O389">
            <v>35.840000000000003</v>
          </cell>
          <cell r="P389">
            <v>2057.14</v>
          </cell>
          <cell r="Q389">
            <v>205.71</v>
          </cell>
          <cell r="R389">
            <v>44.8</v>
          </cell>
          <cell r="S389">
            <v>4.4800000000000004</v>
          </cell>
        </row>
        <row r="390">
          <cell r="D390">
            <v>2</v>
          </cell>
          <cell r="K390">
            <v>1.5</v>
          </cell>
          <cell r="N390">
            <v>256</v>
          </cell>
          <cell r="O390">
            <v>25.6</v>
          </cell>
          <cell r="P390">
            <v>3072</v>
          </cell>
          <cell r="Q390">
            <v>307.2</v>
          </cell>
          <cell r="R390">
            <v>64</v>
          </cell>
          <cell r="S390">
            <v>6.4</v>
          </cell>
        </row>
        <row r="391">
          <cell r="D391">
            <v>2</v>
          </cell>
          <cell r="K391">
            <v>1.8</v>
          </cell>
          <cell r="N391">
            <v>245.76</v>
          </cell>
          <cell r="O391">
            <v>24.58</v>
          </cell>
          <cell r="P391">
            <v>3840</v>
          </cell>
          <cell r="Q391">
            <v>384</v>
          </cell>
          <cell r="R391">
            <v>81.92</v>
          </cell>
          <cell r="S391">
            <v>8.19</v>
          </cell>
        </row>
        <row r="392">
          <cell r="D392">
            <v>2</v>
          </cell>
          <cell r="K392">
            <v>1.8</v>
          </cell>
          <cell r="N392">
            <v>276.48</v>
          </cell>
          <cell r="O392">
            <v>27.65</v>
          </cell>
          <cell r="P392">
            <v>3413.33</v>
          </cell>
          <cell r="Q392">
            <v>341.33</v>
          </cell>
          <cell r="R392">
            <v>55.3</v>
          </cell>
          <cell r="S392">
            <v>5.53</v>
          </cell>
        </row>
        <row r="393">
          <cell r="D393">
            <v>3</v>
          </cell>
          <cell r="K393">
            <v>1.2</v>
          </cell>
          <cell r="N393">
            <v>184.32</v>
          </cell>
          <cell r="O393">
            <v>18.43</v>
          </cell>
          <cell r="P393">
            <v>3413.33</v>
          </cell>
          <cell r="Q393">
            <v>341.33</v>
          </cell>
          <cell r="R393">
            <v>36.86</v>
          </cell>
          <cell r="S393">
            <v>3.69</v>
          </cell>
        </row>
        <row r="394">
          <cell r="D394">
            <v>4</v>
          </cell>
          <cell r="K394">
            <v>1.6</v>
          </cell>
          <cell r="N394">
            <v>327.68</v>
          </cell>
          <cell r="O394">
            <v>32.770000000000003</v>
          </cell>
          <cell r="P394">
            <v>2560</v>
          </cell>
          <cell r="Q394">
            <v>256</v>
          </cell>
          <cell r="R394">
            <v>46.81</v>
          </cell>
          <cell r="S394">
            <v>4.68</v>
          </cell>
        </row>
        <row r="395">
          <cell r="D395">
            <v>4</v>
          </cell>
          <cell r="K395">
            <v>1.5</v>
          </cell>
          <cell r="N395">
            <v>307.2</v>
          </cell>
          <cell r="O395">
            <v>30.72</v>
          </cell>
          <cell r="P395">
            <v>2560</v>
          </cell>
          <cell r="Q395">
            <v>256</v>
          </cell>
          <cell r="R395">
            <v>43.89</v>
          </cell>
          <cell r="S395">
            <v>4.3899999999999997</v>
          </cell>
        </row>
        <row r="396">
          <cell r="D396">
            <v>5</v>
          </cell>
          <cell r="K396">
            <v>1.5</v>
          </cell>
          <cell r="N396">
            <v>358.4</v>
          </cell>
          <cell r="O396">
            <v>35.840000000000003</v>
          </cell>
          <cell r="P396">
            <v>2194.29</v>
          </cell>
          <cell r="Q396">
            <v>219.43</v>
          </cell>
          <cell r="R396">
            <v>44.8</v>
          </cell>
          <cell r="S396">
            <v>4.4800000000000004</v>
          </cell>
        </row>
        <row r="397">
          <cell r="D397">
            <v>5</v>
          </cell>
          <cell r="K397">
            <v>1.4000000000000001</v>
          </cell>
          <cell r="N397">
            <v>334.51</v>
          </cell>
          <cell r="O397">
            <v>33.450000000000003</v>
          </cell>
          <cell r="P397">
            <v>2194.29</v>
          </cell>
          <cell r="Q397">
            <v>219.43</v>
          </cell>
          <cell r="R397">
            <v>41.81</v>
          </cell>
          <cell r="S397">
            <v>4.18</v>
          </cell>
        </row>
        <row r="398">
          <cell r="D398">
            <v>6</v>
          </cell>
          <cell r="K398">
            <v>1.5</v>
          </cell>
          <cell r="N398">
            <v>396.8</v>
          </cell>
          <cell r="O398">
            <v>39.68</v>
          </cell>
          <cell r="P398">
            <v>1981.94</v>
          </cell>
          <cell r="Q398">
            <v>198.19</v>
          </cell>
          <cell r="R398">
            <v>39.68</v>
          </cell>
          <cell r="S398">
            <v>3.97</v>
          </cell>
        </row>
        <row r="399">
          <cell r="D399">
            <v>2</v>
          </cell>
          <cell r="K399">
            <v>1.5</v>
          </cell>
          <cell r="N399">
            <v>256</v>
          </cell>
          <cell r="O399">
            <v>25.6</v>
          </cell>
          <cell r="P399">
            <v>3072</v>
          </cell>
          <cell r="Q399">
            <v>307.2</v>
          </cell>
          <cell r="R399">
            <v>64</v>
          </cell>
          <cell r="S399">
            <v>6.4</v>
          </cell>
        </row>
        <row r="400">
          <cell r="D400">
            <v>2</v>
          </cell>
          <cell r="K400">
            <v>1.8</v>
          </cell>
          <cell r="N400">
            <v>245.76</v>
          </cell>
          <cell r="O400">
            <v>24.58</v>
          </cell>
          <cell r="P400">
            <v>3840</v>
          </cell>
          <cell r="Q400">
            <v>384</v>
          </cell>
          <cell r="R400">
            <v>81.92</v>
          </cell>
          <cell r="S400">
            <v>8.19</v>
          </cell>
        </row>
        <row r="401">
          <cell r="D401">
            <v>2</v>
          </cell>
          <cell r="K401">
            <v>1.8</v>
          </cell>
          <cell r="N401">
            <v>276.48</v>
          </cell>
          <cell r="O401">
            <v>27.65</v>
          </cell>
          <cell r="P401">
            <v>3413.33</v>
          </cell>
          <cell r="Q401">
            <v>341.33</v>
          </cell>
          <cell r="R401">
            <v>55.3</v>
          </cell>
          <cell r="S401">
            <v>5.53</v>
          </cell>
        </row>
        <row r="402">
          <cell r="D402">
            <v>3</v>
          </cell>
          <cell r="K402">
            <v>1.2</v>
          </cell>
          <cell r="N402">
            <v>184.32</v>
          </cell>
          <cell r="O402">
            <v>18.43</v>
          </cell>
          <cell r="P402">
            <v>3413.33</v>
          </cell>
          <cell r="Q402">
            <v>341.33</v>
          </cell>
          <cell r="R402">
            <v>36.86</v>
          </cell>
          <cell r="S402">
            <v>3.69</v>
          </cell>
        </row>
        <row r="403">
          <cell r="D403">
            <v>4</v>
          </cell>
          <cell r="K403">
            <v>1.6</v>
          </cell>
          <cell r="N403">
            <v>327.68</v>
          </cell>
          <cell r="O403">
            <v>32.770000000000003</v>
          </cell>
          <cell r="P403">
            <v>2560</v>
          </cell>
          <cell r="Q403">
            <v>256</v>
          </cell>
          <cell r="R403">
            <v>46.81</v>
          </cell>
          <cell r="S403">
            <v>4.68</v>
          </cell>
        </row>
        <row r="404">
          <cell r="D404">
            <v>4</v>
          </cell>
          <cell r="K404">
            <v>1.5</v>
          </cell>
          <cell r="N404">
            <v>307.2</v>
          </cell>
          <cell r="O404">
            <v>30.72</v>
          </cell>
          <cell r="P404">
            <v>2560</v>
          </cell>
          <cell r="Q404">
            <v>256</v>
          </cell>
          <cell r="R404">
            <v>43.89</v>
          </cell>
          <cell r="S404">
            <v>4.3899999999999997</v>
          </cell>
        </row>
        <row r="405">
          <cell r="D405">
            <v>5</v>
          </cell>
          <cell r="K405">
            <v>1.5</v>
          </cell>
          <cell r="N405">
            <v>358.4</v>
          </cell>
          <cell r="O405">
            <v>35.840000000000003</v>
          </cell>
          <cell r="P405">
            <v>2194.29</v>
          </cell>
          <cell r="Q405">
            <v>219.43</v>
          </cell>
          <cell r="R405">
            <v>44.8</v>
          </cell>
          <cell r="S405">
            <v>4.4800000000000004</v>
          </cell>
        </row>
        <row r="406">
          <cell r="D406">
            <v>5</v>
          </cell>
          <cell r="K406">
            <v>1.4000000000000001</v>
          </cell>
          <cell r="N406">
            <v>334.51</v>
          </cell>
          <cell r="O406">
            <v>33.450000000000003</v>
          </cell>
          <cell r="P406">
            <v>2194.29</v>
          </cell>
          <cell r="Q406">
            <v>219.43</v>
          </cell>
          <cell r="R406">
            <v>41.81</v>
          </cell>
          <cell r="S406">
            <v>4.18</v>
          </cell>
        </row>
        <row r="407">
          <cell r="D407">
            <v>6</v>
          </cell>
          <cell r="K407">
            <v>1.5</v>
          </cell>
          <cell r="N407">
            <v>396.8</v>
          </cell>
          <cell r="O407">
            <v>39.68</v>
          </cell>
          <cell r="P407">
            <v>1981.94</v>
          </cell>
          <cell r="Q407">
            <v>198.19</v>
          </cell>
          <cell r="R407">
            <v>39.68</v>
          </cell>
          <cell r="S407">
            <v>3.97</v>
          </cell>
        </row>
        <row r="408">
          <cell r="D408">
            <v>2</v>
          </cell>
          <cell r="K408">
            <v>1.5</v>
          </cell>
          <cell r="N408">
            <v>256</v>
          </cell>
          <cell r="O408">
            <v>25.6</v>
          </cell>
          <cell r="P408">
            <v>3072</v>
          </cell>
          <cell r="Q408">
            <v>307.2</v>
          </cell>
          <cell r="R408">
            <v>64</v>
          </cell>
          <cell r="S408">
            <v>6.4</v>
          </cell>
        </row>
        <row r="409">
          <cell r="D409">
            <v>2</v>
          </cell>
          <cell r="K409">
            <v>1.8</v>
          </cell>
          <cell r="N409">
            <v>245.76</v>
          </cell>
          <cell r="O409">
            <v>24.58</v>
          </cell>
          <cell r="P409">
            <v>3840</v>
          </cell>
          <cell r="Q409">
            <v>384</v>
          </cell>
          <cell r="R409">
            <v>81.92</v>
          </cell>
          <cell r="S409">
            <v>8.19</v>
          </cell>
        </row>
        <row r="410">
          <cell r="D410">
            <v>2</v>
          </cell>
          <cell r="K410">
            <v>1.8</v>
          </cell>
          <cell r="N410">
            <v>276.48</v>
          </cell>
          <cell r="O410">
            <v>27.65</v>
          </cell>
          <cell r="P410">
            <v>3413.33</v>
          </cell>
          <cell r="Q410">
            <v>341.33</v>
          </cell>
          <cell r="R410">
            <v>55.3</v>
          </cell>
          <cell r="S410">
            <v>5.53</v>
          </cell>
        </row>
        <row r="411">
          <cell r="D411">
            <v>3</v>
          </cell>
          <cell r="K411">
            <v>1.2</v>
          </cell>
          <cell r="N411">
            <v>184.32</v>
          </cell>
          <cell r="O411">
            <v>18.43</v>
          </cell>
          <cell r="P411">
            <v>3413.33</v>
          </cell>
          <cell r="Q411">
            <v>341.33</v>
          </cell>
          <cell r="R411">
            <v>36.86</v>
          </cell>
          <cell r="S411">
            <v>3.69</v>
          </cell>
        </row>
        <row r="412">
          <cell r="D412">
            <v>4</v>
          </cell>
          <cell r="K412">
            <v>1.6</v>
          </cell>
          <cell r="N412">
            <v>327.68</v>
          </cell>
          <cell r="O412">
            <v>32.770000000000003</v>
          </cell>
          <cell r="P412">
            <v>2560</v>
          </cell>
          <cell r="Q412">
            <v>256</v>
          </cell>
          <cell r="R412">
            <v>46.81</v>
          </cell>
          <cell r="S412">
            <v>4.68</v>
          </cell>
        </row>
        <row r="413">
          <cell r="D413">
            <v>4</v>
          </cell>
          <cell r="K413">
            <v>1.5</v>
          </cell>
          <cell r="N413">
            <v>307.2</v>
          </cell>
          <cell r="O413">
            <v>30.72</v>
          </cell>
          <cell r="P413">
            <v>2560</v>
          </cell>
          <cell r="Q413">
            <v>256</v>
          </cell>
          <cell r="R413">
            <v>43.89</v>
          </cell>
          <cell r="S413">
            <v>4.3899999999999997</v>
          </cell>
        </row>
        <row r="414">
          <cell r="D414">
            <v>5</v>
          </cell>
          <cell r="K414">
            <v>1.5</v>
          </cell>
          <cell r="N414">
            <v>358.4</v>
          </cell>
          <cell r="O414">
            <v>35.840000000000003</v>
          </cell>
          <cell r="P414">
            <v>2194.29</v>
          </cell>
          <cell r="Q414">
            <v>219.43</v>
          </cell>
          <cell r="R414">
            <v>44.8</v>
          </cell>
          <cell r="S414">
            <v>4.4800000000000004</v>
          </cell>
        </row>
        <row r="415">
          <cell r="D415">
            <v>5</v>
          </cell>
          <cell r="K415">
            <v>1.4000000000000001</v>
          </cell>
          <cell r="N415">
            <v>334.51</v>
          </cell>
          <cell r="O415">
            <v>33.450000000000003</v>
          </cell>
          <cell r="P415">
            <v>2194.29</v>
          </cell>
          <cell r="Q415">
            <v>219.43</v>
          </cell>
          <cell r="R415">
            <v>41.81</v>
          </cell>
          <cell r="S415">
            <v>4.18</v>
          </cell>
        </row>
        <row r="416">
          <cell r="D416">
            <v>6</v>
          </cell>
          <cell r="K416">
            <v>1.5</v>
          </cell>
          <cell r="N416">
            <v>396.8</v>
          </cell>
          <cell r="O416">
            <v>39.68</v>
          </cell>
          <cell r="P416">
            <v>1981.94</v>
          </cell>
          <cell r="Q416">
            <v>198.19</v>
          </cell>
          <cell r="R416">
            <v>39.68</v>
          </cell>
          <cell r="S416">
            <v>3.97</v>
          </cell>
        </row>
        <row r="417">
          <cell r="D417">
            <v>2</v>
          </cell>
          <cell r="K417">
            <v>1.8</v>
          </cell>
          <cell r="N417">
            <v>245.76</v>
          </cell>
          <cell r="O417">
            <v>24.58</v>
          </cell>
          <cell r="P417">
            <v>3840</v>
          </cell>
          <cell r="Q417">
            <v>384</v>
          </cell>
          <cell r="R417">
            <v>81.92</v>
          </cell>
          <cell r="S417">
            <v>8.19</v>
          </cell>
        </row>
        <row r="418">
          <cell r="D418">
            <v>3</v>
          </cell>
          <cell r="K418">
            <v>1.4000000000000001</v>
          </cell>
          <cell r="N418">
            <v>215.04</v>
          </cell>
          <cell r="O418">
            <v>21.5</v>
          </cell>
          <cell r="P418">
            <v>3413.33</v>
          </cell>
          <cell r="Q418">
            <v>341.33</v>
          </cell>
          <cell r="R418">
            <v>43.01</v>
          </cell>
          <cell r="S418">
            <v>4.3</v>
          </cell>
        </row>
        <row r="419">
          <cell r="D419">
            <v>5</v>
          </cell>
          <cell r="K419">
            <v>1.6</v>
          </cell>
          <cell r="N419">
            <v>382.29</v>
          </cell>
          <cell r="O419">
            <v>38.229999999999997</v>
          </cell>
          <cell r="P419">
            <v>2194.29</v>
          </cell>
          <cell r="Q419">
            <v>219.43</v>
          </cell>
          <cell r="R419">
            <v>47.79</v>
          </cell>
          <cell r="S419">
            <v>4.78</v>
          </cell>
        </row>
        <row r="420">
          <cell r="D420">
            <v>6</v>
          </cell>
          <cell r="K420">
            <v>1.4000000000000001</v>
          </cell>
          <cell r="N420">
            <v>370.35</v>
          </cell>
          <cell r="O420">
            <v>37.03</v>
          </cell>
          <cell r="P420">
            <v>1981.94</v>
          </cell>
          <cell r="Q420">
            <v>198.19</v>
          </cell>
          <cell r="R420">
            <v>37.03</v>
          </cell>
          <cell r="S420">
            <v>3.7</v>
          </cell>
        </row>
        <row r="421">
          <cell r="D421">
            <v>6</v>
          </cell>
          <cell r="K421">
            <v>1.8</v>
          </cell>
          <cell r="N421">
            <v>476.16</v>
          </cell>
          <cell r="O421">
            <v>47.62</v>
          </cell>
          <cell r="P421">
            <v>1981.94</v>
          </cell>
          <cell r="Q421">
            <v>198.19</v>
          </cell>
          <cell r="R421">
            <v>47.62</v>
          </cell>
          <cell r="S421">
            <v>4.76</v>
          </cell>
        </row>
        <row r="422">
          <cell r="D422">
            <v>2</v>
          </cell>
          <cell r="K422">
            <v>1.8</v>
          </cell>
          <cell r="N422">
            <v>276.48</v>
          </cell>
          <cell r="O422">
            <v>27.65</v>
          </cell>
          <cell r="P422">
            <v>3413.33</v>
          </cell>
          <cell r="Q422">
            <v>341.33</v>
          </cell>
          <cell r="R422">
            <v>55.3</v>
          </cell>
          <cell r="S422">
            <v>5.53</v>
          </cell>
        </row>
        <row r="423">
          <cell r="D423">
            <v>3</v>
          </cell>
          <cell r="K423">
            <v>1.3</v>
          </cell>
          <cell r="N423">
            <v>199.68</v>
          </cell>
          <cell r="O423">
            <v>19.97</v>
          </cell>
          <cell r="P423">
            <v>3413.33</v>
          </cell>
          <cell r="Q423">
            <v>341.33</v>
          </cell>
          <cell r="R423">
            <v>39.94</v>
          </cell>
          <cell r="S423">
            <v>3.99</v>
          </cell>
        </row>
        <row r="424">
          <cell r="D424">
            <v>3</v>
          </cell>
          <cell r="K424">
            <v>1.4000000000000001</v>
          </cell>
          <cell r="N424">
            <v>215.04</v>
          </cell>
          <cell r="O424">
            <v>21.5</v>
          </cell>
          <cell r="P424">
            <v>3413.33</v>
          </cell>
          <cell r="Q424">
            <v>341.33</v>
          </cell>
          <cell r="R424">
            <v>43.01</v>
          </cell>
          <cell r="S424">
            <v>4.3</v>
          </cell>
        </row>
        <row r="425">
          <cell r="D425">
            <v>4</v>
          </cell>
          <cell r="K425">
            <v>1.4000000000000001</v>
          </cell>
          <cell r="N425">
            <v>286.72000000000003</v>
          </cell>
          <cell r="O425">
            <v>28.67</v>
          </cell>
          <cell r="P425">
            <v>2560</v>
          </cell>
          <cell r="Q425">
            <v>256</v>
          </cell>
          <cell r="R425">
            <v>40.96</v>
          </cell>
          <cell r="S425">
            <v>4.0999999999999996</v>
          </cell>
        </row>
        <row r="426">
          <cell r="D426">
            <v>5</v>
          </cell>
          <cell r="K426">
            <v>1.6</v>
          </cell>
          <cell r="N426">
            <v>382.29</v>
          </cell>
          <cell r="O426">
            <v>38.229999999999997</v>
          </cell>
          <cell r="P426">
            <v>2194.29</v>
          </cell>
          <cell r="Q426">
            <v>219.43</v>
          </cell>
          <cell r="R426">
            <v>47.79</v>
          </cell>
          <cell r="S426">
            <v>4.78</v>
          </cell>
        </row>
        <row r="427">
          <cell r="D427">
            <v>2</v>
          </cell>
          <cell r="K427">
            <v>1.3</v>
          </cell>
          <cell r="N427">
            <v>62.4</v>
          </cell>
          <cell r="O427">
            <v>6.24</v>
          </cell>
          <cell r="P427">
            <v>1066.67</v>
          </cell>
          <cell r="Q427">
            <v>106.67</v>
          </cell>
          <cell r="R427">
            <v>12.48</v>
          </cell>
          <cell r="S427">
            <v>1.25</v>
          </cell>
        </row>
        <row r="428">
          <cell r="D428">
            <v>4</v>
          </cell>
          <cell r="K428">
            <v>1.3</v>
          </cell>
          <cell r="N428">
            <v>83.2</v>
          </cell>
          <cell r="O428">
            <v>8.32</v>
          </cell>
          <cell r="P428">
            <v>800</v>
          </cell>
          <cell r="Q428">
            <v>80</v>
          </cell>
          <cell r="R428">
            <v>8.32</v>
          </cell>
          <cell r="S428">
            <v>0.83</v>
          </cell>
        </row>
        <row r="429">
          <cell r="D429">
            <v>2</v>
          </cell>
          <cell r="K429">
            <v>1.8</v>
          </cell>
          <cell r="N429">
            <v>86.4</v>
          </cell>
          <cell r="O429">
            <v>8.64</v>
          </cell>
          <cell r="P429">
            <v>1066.67</v>
          </cell>
          <cell r="Q429">
            <v>106.67</v>
          </cell>
          <cell r="R429">
            <v>17.28</v>
          </cell>
          <cell r="S429">
            <v>1.73</v>
          </cell>
        </row>
        <row r="430">
          <cell r="D430">
            <v>4</v>
          </cell>
          <cell r="K430">
            <v>1.5</v>
          </cell>
          <cell r="N430">
            <v>100</v>
          </cell>
          <cell r="O430">
            <v>10</v>
          </cell>
          <cell r="P430">
            <v>768</v>
          </cell>
          <cell r="Q430">
            <v>76.8</v>
          </cell>
          <cell r="R430">
            <v>10</v>
          </cell>
          <cell r="S430">
            <v>1</v>
          </cell>
        </row>
        <row r="431">
          <cell r="D431">
            <v>3</v>
          </cell>
          <cell r="K431">
            <v>1.3</v>
          </cell>
          <cell r="N431">
            <v>76.27</v>
          </cell>
          <cell r="O431">
            <v>7.63</v>
          </cell>
          <cell r="P431">
            <v>872.73</v>
          </cell>
          <cell r="Q431">
            <v>87.27</v>
          </cell>
          <cell r="R431">
            <v>9.5299999999999994</v>
          </cell>
          <cell r="S431">
            <v>0.95</v>
          </cell>
        </row>
        <row r="432">
          <cell r="D432">
            <v>5</v>
          </cell>
          <cell r="K432">
            <v>1.8</v>
          </cell>
          <cell r="N432">
            <v>105.6</v>
          </cell>
          <cell r="O432">
            <v>10.56</v>
          </cell>
          <cell r="P432">
            <v>872.73</v>
          </cell>
          <cell r="Q432">
            <v>87.27</v>
          </cell>
          <cell r="R432">
            <v>17.600000000000001</v>
          </cell>
          <cell r="S432">
            <v>1.76</v>
          </cell>
        </row>
        <row r="433">
          <cell r="D433">
            <v>2</v>
          </cell>
          <cell r="K433">
            <v>1.6</v>
          </cell>
          <cell r="N433">
            <v>76.8</v>
          </cell>
          <cell r="O433">
            <v>7.68</v>
          </cell>
          <cell r="P433">
            <v>1066.67</v>
          </cell>
          <cell r="Q433">
            <v>106.67</v>
          </cell>
          <cell r="R433">
            <v>15.36</v>
          </cell>
          <cell r="S433">
            <v>1.54</v>
          </cell>
        </row>
        <row r="434">
          <cell r="D434">
            <v>4</v>
          </cell>
          <cell r="K434">
            <v>1.4000000000000001</v>
          </cell>
          <cell r="N434">
            <v>97.07</v>
          </cell>
          <cell r="O434">
            <v>9.7100000000000009</v>
          </cell>
          <cell r="P434">
            <v>738.46</v>
          </cell>
          <cell r="Q434">
            <v>73.849999999999994</v>
          </cell>
          <cell r="R434">
            <v>9.7100000000000009</v>
          </cell>
          <cell r="S434">
            <v>0.97</v>
          </cell>
        </row>
        <row r="435">
          <cell r="D435">
            <v>2</v>
          </cell>
          <cell r="K435">
            <v>1.4000000000000001</v>
          </cell>
          <cell r="N435">
            <v>67.2</v>
          </cell>
          <cell r="O435">
            <v>6.72</v>
          </cell>
          <cell r="P435">
            <v>1066.67</v>
          </cell>
          <cell r="Q435">
            <v>106.67</v>
          </cell>
          <cell r="R435">
            <v>13.44</v>
          </cell>
          <cell r="S435">
            <v>1.34</v>
          </cell>
        </row>
        <row r="436">
          <cell r="D436">
            <v>4</v>
          </cell>
          <cell r="K436">
            <v>1.6</v>
          </cell>
          <cell r="N436">
            <v>110.93</v>
          </cell>
          <cell r="O436">
            <v>11.09</v>
          </cell>
          <cell r="P436">
            <v>738.46</v>
          </cell>
          <cell r="Q436">
            <v>73.849999999999994</v>
          </cell>
          <cell r="R436">
            <v>11.09</v>
          </cell>
          <cell r="S436">
            <v>1.1100000000000001</v>
          </cell>
        </row>
        <row r="437">
          <cell r="D437">
            <v>5</v>
          </cell>
          <cell r="K437">
            <v>1.6</v>
          </cell>
          <cell r="N437">
            <v>102.4</v>
          </cell>
          <cell r="O437">
            <v>10.24</v>
          </cell>
          <cell r="P437">
            <v>800</v>
          </cell>
          <cell r="Q437">
            <v>80</v>
          </cell>
          <cell r="R437">
            <v>17.07</v>
          </cell>
          <cell r="S437">
            <v>1.71</v>
          </cell>
        </row>
        <row r="438">
          <cell r="D438">
            <v>3</v>
          </cell>
          <cell r="K438">
            <v>1.4000000000000001</v>
          </cell>
          <cell r="N438">
            <v>85.87</v>
          </cell>
          <cell r="O438">
            <v>8.59</v>
          </cell>
          <cell r="P438">
            <v>834.78</v>
          </cell>
          <cell r="Q438">
            <v>83.48</v>
          </cell>
          <cell r="R438">
            <v>10.73</v>
          </cell>
          <cell r="S438">
            <v>1.07</v>
          </cell>
        </row>
        <row r="439">
          <cell r="D439">
            <v>2</v>
          </cell>
          <cell r="K439">
            <v>1.3</v>
          </cell>
          <cell r="N439">
            <v>62.4</v>
          </cell>
          <cell r="O439">
            <v>6.24</v>
          </cell>
          <cell r="P439">
            <v>1066.67</v>
          </cell>
          <cell r="Q439">
            <v>106.67</v>
          </cell>
          <cell r="R439">
            <v>12.48</v>
          </cell>
          <cell r="S439">
            <v>1.25</v>
          </cell>
        </row>
        <row r="440">
          <cell r="D440">
            <v>4</v>
          </cell>
          <cell r="K440">
            <v>1.3</v>
          </cell>
          <cell r="N440">
            <v>83.2</v>
          </cell>
          <cell r="O440">
            <v>8.32</v>
          </cell>
          <cell r="P440">
            <v>800</v>
          </cell>
          <cell r="Q440">
            <v>80</v>
          </cell>
          <cell r="R440">
            <v>8.32</v>
          </cell>
          <cell r="S440">
            <v>0.83</v>
          </cell>
        </row>
        <row r="441">
          <cell r="D441">
            <v>2</v>
          </cell>
          <cell r="K441">
            <v>1.8</v>
          </cell>
          <cell r="N441">
            <v>86.4</v>
          </cell>
          <cell r="O441">
            <v>8.64</v>
          </cell>
          <cell r="P441">
            <v>1066.67</v>
          </cell>
          <cell r="Q441">
            <v>106.67</v>
          </cell>
          <cell r="R441">
            <v>17.28</v>
          </cell>
          <cell r="S441">
            <v>1.73</v>
          </cell>
        </row>
        <row r="442">
          <cell r="D442">
            <v>4</v>
          </cell>
          <cell r="K442">
            <v>1.5</v>
          </cell>
          <cell r="N442">
            <v>100</v>
          </cell>
          <cell r="O442">
            <v>10</v>
          </cell>
          <cell r="P442">
            <v>768</v>
          </cell>
          <cell r="Q442">
            <v>76.8</v>
          </cell>
          <cell r="R442">
            <v>10</v>
          </cell>
          <cell r="S442">
            <v>1</v>
          </cell>
        </row>
        <row r="443">
          <cell r="D443">
            <v>3</v>
          </cell>
          <cell r="K443">
            <v>1.3</v>
          </cell>
          <cell r="N443">
            <v>76.27</v>
          </cell>
          <cell r="O443">
            <v>7.63</v>
          </cell>
          <cell r="P443">
            <v>872.73</v>
          </cell>
          <cell r="Q443">
            <v>87.27</v>
          </cell>
          <cell r="R443">
            <v>9.5299999999999994</v>
          </cell>
          <cell r="S443">
            <v>0.95</v>
          </cell>
        </row>
        <row r="444">
          <cell r="D444">
            <v>5</v>
          </cell>
          <cell r="K444">
            <v>1.8</v>
          </cell>
          <cell r="N444">
            <v>105.6</v>
          </cell>
          <cell r="O444">
            <v>10.56</v>
          </cell>
          <cell r="P444">
            <v>872.73</v>
          </cell>
          <cell r="Q444">
            <v>87.27</v>
          </cell>
          <cell r="R444">
            <v>17.600000000000001</v>
          </cell>
          <cell r="S444">
            <v>1.76</v>
          </cell>
        </row>
        <row r="445">
          <cell r="D445">
            <v>2</v>
          </cell>
          <cell r="K445">
            <v>1.6</v>
          </cell>
          <cell r="N445">
            <v>76.8</v>
          </cell>
          <cell r="O445">
            <v>7.68</v>
          </cell>
          <cell r="P445">
            <v>1066.67</v>
          </cell>
          <cell r="Q445">
            <v>106.67</v>
          </cell>
          <cell r="R445">
            <v>15.36</v>
          </cell>
          <cell r="S445">
            <v>1.54</v>
          </cell>
        </row>
        <row r="446">
          <cell r="D446">
            <v>4</v>
          </cell>
          <cell r="K446">
            <v>1.4000000000000001</v>
          </cell>
          <cell r="N446">
            <v>97.07</v>
          </cell>
          <cell r="O446">
            <v>9.7100000000000009</v>
          </cell>
          <cell r="P446">
            <v>738.46</v>
          </cell>
          <cell r="Q446">
            <v>73.849999999999994</v>
          </cell>
          <cell r="R446">
            <v>9.7100000000000009</v>
          </cell>
          <cell r="S446">
            <v>0.97</v>
          </cell>
        </row>
        <row r="447">
          <cell r="D447">
            <v>2</v>
          </cell>
          <cell r="K447">
            <v>1.4000000000000001</v>
          </cell>
          <cell r="N447">
            <v>67.2</v>
          </cell>
          <cell r="O447">
            <v>6.72</v>
          </cell>
          <cell r="P447">
            <v>1066.67</v>
          </cell>
          <cell r="Q447">
            <v>106.67</v>
          </cell>
          <cell r="R447">
            <v>13.44</v>
          </cell>
          <cell r="S447">
            <v>1.34</v>
          </cell>
        </row>
        <row r="448">
          <cell r="D448">
            <v>4</v>
          </cell>
          <cell r="K448">
            <v>1.6</v>
          </cell>
          <cell r="N448">
            <v>110.93</v>
          </cell>
          <cell r="O448">
            <v>11.09</v>
          </cell>
          <cell r="P448">
            <v>738.46</v>
          </cell>
          <cell r="Q448">
            <v>73.849999999999994</v>
          </cell>
          <cell r="R448">
            <v>11.09</v>
          </cell>
          <cell r="S448">
            <v>1.1100000000000001</v>
          </cell>
        </row>
        <row r="449">
          <cell r="D449">
            <v>5</v>
          </cell>
          <cell r="K449">
            <v>1.6</v>
          </cell>
          <cell r="N449">
            <v>102.4</v>
          </cell>
          <cell r="O449">
            <v>10.24</v>
          </cell>
          <cell r="P449">
            <v>800</v>
          </cell>
          <cell r="Q449">
            <v>80</v>
          </cell>
          <cell r="R449">
            <v>17.07</v>
          </cell>
          <cell r="S449">
            <v>1.71</v>
          </cell>
        </row>
        <row r="450">
          <cell r="D450">
            <v>3</v>
          </cell>
          <cell r="K450">
            <v>1.4000000000000001</v>
          </cell>
          <cell r="N450">
            <v>85.87</v>
          </cell>
          <cell r="O450">
            <v>8.59</v>
          </cell>
          <cell r="P450">
            <v>834.78</v>
          </cell>
          <cell r="Q450">
            <v>83.48</v>
          </cell>
          <cell r="R450">
            <v>10.73</v>
          </cell>
          <cell r="S450">
            <v>1.07</v>
          </cell>
        </row>
        <row r="451">
          <cell r="D451">
            <v>2</v>
          </cell>
          <cell r="K451">
            <v>1.3</v>
          </cell>
          <cell r="N451">
            <v>62.4</v>
          </cell>
          <cell r="O451">
            <v>6.24</v>
          </cell>
          <cell r="P451">
            <v>1066.67</v>
          </cell>
          <cell r="Q451">
            <v>106.67</v>
          </cell>
          <cell r="R451">
            <v>12.48</v>
          </cell>
          <cell r="S451">
            <v>1.25</v>
          </cell>
        </row>
        <row r="452">
          <cell r="D452">
            <v>4</v>
          </cell>
          <cell r="K452">
            <v>1.3</v>
          </cell>
          <cell r="N452">
            <v>83.2</v>
          </cell>
          <cell r="O452">
            <v>8.32</v>
          </cell>
          <cell r="P452">
            <v>800</v>
          </cell>
          <cell r="Q452">
            <v>80</v>
          </cell>
          <cell r="R452">
            <v>8.32</v>
          </cell>
          <cell r="S452">
            <v>0.83</v>
          </cell>
        </row>
        <row r="453">
          <cell r="D453">
            <v>2</v>
          </cell>
          <cell r="K453">
            <v>1.8</v>
          </cell>
          <cell r="N453">
            <v>86.4</v>
          </cell>
          <cell r="O453">
            <v>8.64</v>
          </cell>
          <cell r="P453">
            <v>1066.67</v>
          </cell>
          <cell r="Q453">
            <v>106.67</v>
          </cell>
          <cell r="R453">
            <v>17.28</v>
          </cell>
          <cell r="S453">
            <v>1.73</v>
          </cell>
        </row>
        <row r="454">
          <cell r="D454">
            <v>4</v>
          </cell>
          <cell r="K454">
            <v>1.5</v>
          </cell>
          <cell r="N454">
            <v>100</v>
          </cell>
          <cell r="O454">
            <v>10</v>
          </cell>
          <cell r="P454">
            <v>768</v>
          </cell>
          <cell r="Q454">
            <v>76.8</v>
          </cell>
          <cell r="R454">
            <v>10</v>
          </cell>
          <cell r="S454">
            <v>1</v>
          </cell>
        </row>
        <row r="455">
          <cell r="D455">
            <v>3</v>
          </cell>
          <cell r="K455">
            <v>1.3</v>
          </cell>
          <cell r="N455">
            <v>76.27</v>
          </cell>
          <cell r="O455">
            <v>7.63</v>
          </cell>
          <cell r="P455">
            <v>872.73</v>
          </cell>
          <cell r="Q455">
            <v>87.27</v>
          </cell>
          <cell r="R455">
            <v>9.5299999999999994</v>
          </cell>
          <cell r="S455">
            <v>0.95</v>
          </cell>
        </row>
        <row r="456">
          <cell r="D456">
            <v>5</v>
          </cell>
          <cell r="K456">
            <v>1.8</v>
          </cell>
          <cell r="N456">
            <v>105.6</v>
          </cell>
          <cell r="O456">
            <v>10.56</v>
          </cell>
          <cell r="P456">
            <v>872.73</v>
          </cell>
          <cell r="Q456">
            <v>87.27</v>
          </cell>
          <cell r="R456">
            <v>17.600000000000001</v>
          </cell>
          <cell r="S456">
            <v>1.76</v>
          </cell>
        </row>
        <row r="457">
          <cell r="D457">
            <v>2</v>
          </cell>
          <cell r="K457">
            <v>1.6</v>
          </cell>
          <cell r="N457">
            <v>76.8</v>
          </cell>
          <cell r="O457">
            <v>7.68</v>
          </cell>
          <cell r="P457">
            <v>1066.67</v>
          </cell>
          <cell r="Q457">
            <v>106.67</v>
          </cell>
          <cell r="R457">
            <v>15.36</v>
          </cell>
          <cell r="S457">
            <v>1.54</v>
          </cell>
        </row>
        <row r="458">
          <cell r="D458">
            <v>4</v>
          </cell>
          <cell r="K458">
            <v>1.4000000000000001</v>
          </cell>
          <cell r="N458">
            <v>97.07</v>
          </cell>
          <cell r="O458">
            <v>9.7100000000000009</v>
          </cell>
          <cell r="P458">
            <v>738.46</v>
          </cell>
          <cell r="Q458">
            <v>73.849999999999994</v>
          </cell>
          <cell r="R458">
            <v>9.7100000000000009</v>
          </cell>
          <cell r="S458">
            <v>0.97</v>
          </cell>
        </row>
        <row r="459">
          <cell r="D459">
            <v>2</v>
          </cell>
          <cell r="K459">
            <v>1.4000000000000001</v>
          </cell>
          <cell r="N459">
            <v>67.2</v>
          </cell>
          <cell r="O459">
            <v>6.72</v>
          </cell>
          <cell r="P459">
            <v>1066.67</v>
          </cell>
          <cell r="Q459">
            <v>106.67</v>
          </cell>
          <cell r="R459">
            <v>13.44</v>
          </cell>
          <cell r="S459">
            <v>1.34</v>
          </cell>
        </row>
        <row r="460">
          <cell r="D460">
            <v>4</v>
          </cell>
          <cell r="K460">
            <v>1.6</v>
          </cell>
          <cell r="N460">
            <v>110.93</v>
          </cell>
          <cell r="O460">
            <v>11.09</v>
          </cell>
          <cell r="P460">
            <v>738.46</v>
          </cell>
          <cell r="Q460">
            <v>73.849999999999994</v>
          </cell>
          <cell r="R460">
            <v>11.09</v>
          </cell>
          <cell r="S460">
            <v>1.1100000000000001</v>
          </cell>
        </row>
        <row r="461">
          <cell r="D461">
            <v>5</v>
          </cell>
          <cell r="K461">
            <v>1.6</v>
          </cell>
          <cell r="N461">
            <v>102.4</v>
          </cell>
          <cell r="O461">
            <v>10.24</v>
          </cell>
          <cell r="P461">
            <v>800</v>
          </cell>
          <cell r="Q461">
            <v>80</v>
          </cell>
          <cell r="R461">
            <v>17.07</v>
          </cell>
          <cell r="S461">
            <v>1.71</v>
          </cell>
        </row>
        <row r="462">
          <cell r="D462">
            <v>3</v>
          </cell>
          <cell r="K462">
            <v>1.4000000000000001</v>
          </cell>
          <cell r="N462">
            <v>85.87</v>
          </cell>
          <cell r="O462">
            <v>8.59</v>
          </cell>
          <cell r="P462">
            <v>834.78</v>
          </cell>
          <cell r="Q462">
            <v>83.48</v>
          </cell>
          <cell r="R462">
            <v>10.73</v>
          </cell>
          <cell r="S462">
            <v>1.07</v>
          </cell>
        </row>
        <row r="463">
          <cell r="D463">
            <v>2</v>
          </cell>
          <cell r="K463">
            <v>1.3</v>
          </cell>
          <cell r="N463">
            <v>62.4</v>
          </cell>
          <cell r="O463">
            <v>6.24</v>
          </cell>
          <cell r="P463">
            <v>1066.67</v>
          </cell>
          <cell r="Q463">
            <v>106.67</v>
          </cell>
          <cell r="R463">
            <v>12.48</v>
          </cell>
          <cell r="S463">
            <v>1.25</v>
          </cell>
        </row>
        <row r="464">
          <cell r="D464">
            <v>4</v>
          </cell>
          <cell r="K464">
            <v>1.3</v>
          </cell>
          <cell r="N464">
            <v>83.2</v>
          </cell>
          <cell r="O464">
            <v>8.32</v>
          </cell>
          <cell r="P464">
            <v>800</v>
          </cell>
          <cell r="Q464">
            <v>80</v>
          </cell>
          <cell r="R464">
            <v>8.32</v>
          </cell>
          <cell r="S464">
            <v>0.83</v>
          </cell>
        </row>
        <row r="465">
          <cell r="D465">
            <v>2</v>
          </cell>
          <cell r="K465">
            <v>1.8</v>
          </cell>
          <cell r="N465">
            <v>86.4</v>
          </cell>
          <cell r="O465">
            <v>8.64</v>
          </cell>
          <cell r="P465">
            <v>1066.67</v>
          </cell>
          <cell r="Q465">
            <v>106.67</v>
          </cell>
          <cell r="R465">
            <v>17.28</v>
          </cell>
          <cell r="S465">
            <v>1.73</v>
          </cell>
        </row>
        <row r="466">
          <cell r="D466">
            <v>4</v>
          </cell>
          <cell r="K466">
            <v>1.5</v>
          </cell>
          <cell r="N466">
            <v>100</v>
          </cell>
          <cell r="O466">
            <v>10</v>
          </cell>
          <cell r="P466">
            <v>768</v>
          </cell>
          <cell r="Q466">
            <v>76.8</v>
          </cell>
          <cell r="R466">
            <v>10</v>
          </cell>
          <cell r="S466">
            <v>1</v>
          </cell>
        </row>
        <row r="467">
          <cell r="D467">
            <v>3</v>
          </cell>
          <cell r="K467">
            <v>1.3</v>
          </cell>
          <cell r="N467">
            <v>76.27</v>
          </cell>
          <cell r="O467">
            <v>7.63</v>
          </cell>
          <cell r="P467">
            <v>872.73</v>
          </cell>
          <cell r="Q467">
            <v>87.27</v>
          </cell>
          <cell r="R467">
            <v>9.5299999999999994</v>
          </cell>
          <cell r="S467">
            <v>0.95</v>
          </cell>
        </row>
        <row r="468">
          <cell r="D468">
            <v>5</v>
          </cell>
          <cell r="K468">
            <v>1.8</v>
          </cell>
          <cell r="N468">
            <v>105.6</v>
          </cell>
          <cell r="O468">
            <v>10.56</v>
          </cell>
          <cell r="P468">
            <v>872.73</v>
          </cell>
          <cell r="Q468">
            <v>87.27</v>
          </cell>
          <cell r="R468">
            <v>17.600000000000001</v>
          </cell>
          <cell r="S468">
            <v>1.76</v>
          </cell>
        </row>
        <row r="469">
          <cell r="D469">
            <v>2</v>
          </cell>
          <cell r="K469">
            <v>1.6</v>
          </cell>
          <cell r="N469">
            <v>76.8</v>
          </cell>
          <cell r="O469">
            <v>7.68</v>
          </cell>
          <cell r="P469">
            <v>1066.67</v>
          </cell>
          <cell r="Q469">
            <v>106.67</v>
          </cell>
          <cell r="R469">
            <v>15.36</v>
          </cell>
          <cell r="S469">
            <v>1.54</v>
          </cell>
        </row>
        <row r="470">
          <cell r="D470">
            <v>4</v>
          </cell>
          <cell r="K470">
            <v>1.4000000000000001</v>
          </cell>
          <cell r="N470">
            <v>97.07</v>
          </cell>
          <cell r="O470">
            <v>9.7100000000000009</v>
          </cell>
          <cell r="P470">
            <v>738.46</v>
          </cell>
          <cell r="Q470">
            <v>73.849999999999994</v>
          </cell>
          <cell r="R470">
            <v>9.7100000000000009</v>
          </cell>
          <cell r="S470">
            <v>0.97</v>
          </cell>
        </row>
        <row r="471">
          <cell r="D471">
            <v>2</v>
          </cell>
          <cell r="K471">
            <v>1.4000000000000001</v>
          </cell>
          <cell r="N471">
            <v>67.2</v>
          </cell>
          <cell r="O471">
            <v>6.72</v>
          </cell>
          <cell r="P471">
            <v>1066.67</v>
          </cell>
          <cell r="Q471">
            <v>106.67</v>
          </cell>
          <cell r="R471">
            <v>13.44</v>
          </cell>
          <cell r="S471">
            <v>1.34</v>
          </cell>
        </row>
        <row r="472">
          <cell r="D472">
            <v>4</v>
          </cell>
          <cell r="K472">
            <v>1.6</v>
          </cell>
          <cell r="N472">
            <v>110.93</v>
          </cell>
          <cell r="O472">
            <v>11.09</v>
          </cell>
          <cell r="P472">
            <v>738.46</v>
          </cell>
          <cell r="Q472">
            <v>73.849999999999994</v>
          </cell>
          <cell r="R472">
            <v>11.09</v>
          </cell>
          <cell r="S472">
            <v>1.1100000000000001</v>
          </cell>
        </row>
        <row r="473">
          <cell r="D473">
            <v>5</v>
          </cell>
          <cell r="K473">
            <v>1.6</v>
          </cell>
          <cell r="N473">
            <v>102.4</v>
          </cell>
          <cell r="O473">
            <v>10.24</v>
          </cell>
          <cell r="P473">
            <v>800</v>
          </cell>
          <cell r="Q473">
            <v>80</v>
          </cell>
          <cell r="R473">
            <v>17.07</v>
          </cell>
          <cell r="S473">
            <v>1.71</v>
          </cell>
        </row>
        <row r="474">
          <cell r="D474">
            <v>3</v>
          </cell>
          <cell r="K474">
            <v>1.4000000000000001</v>
          </cell>
          <cell r="N474">
            <v>85.87</v>
          </cell>
          <cell r="O474">
            <v>8.59</v>
          </cell>
          <cell r="P474">
            <v>834.78</v>
          </cell>
          <cell r="Q474">
            <v>83.48</v>
          </cell>
          <cell r="R474">
            <v>10.73</v>
          </cell>
          <cell r="S474">
            <v>1.07</v>
          </cell>
        </row>
        <row r="475">
          <cell r="D475">
            <v>2</v>
          </cell>
          <cell r="K475">
            <v>1.3</v>
          </cell>
          <cell r="N475">
            <v>62.4</v>
          </cell>
          <cell r="O475">
            <v>6.24</v>
          </cell>
          <cell r="P475">
            <v>1066.67</v>
          </cell>
          <cell r="Q475">
            <v>106.67</v>
          </cell>
          <cell r="R475">
            <v>12.48</v>
          </cell>
          <cell r="S475">
            <v>1.25</v>
          </cell>
        </row>
        <row r="476">
          <cell r="D476">
            <v>4</v>
          </cell>
          <cell r="K476">
            <v>1.3</v>
          </cell>
          <cell r="N476">
            <v>83.2</v>
          </cell>
          <cell r="O476">
            <v>8.32</v>
          </cell>
          <cell r="P476">
            <v>800</v>
          </cell>
          <cell r="Q476">
            <v>80</v>
          </cell>
          <cell r="R476">
            <v>8.32</v>
          </cell>
          <cell r="S476">
            <v>0.83</v>
          </cell>
        </row>
        <row r="477">
          <cell r="D477">
            <v>2</v>
          </cell>
          <cell r="K477">
            <v>1.8</v>
          </cell>
          <cell r="N477">
            <v>86.4</v>
          </cell>
          <cell r="O477">
            <v>8.64</v>
          </cell>
          <cell r="P477">
            <v>1066.67</v>
          </cell>
          <cell r="Q477">
            <v>106.67</v>
          </cell>
          <cell r="R477">
            <v>17.28</v>
          </cell>
          <cell r="S477">
            <v>1.73</v>
          </cell>
        </row>
        <row r="478">
          <cell r="D478">
            <v>4</v>
          </cell>
          <cell r="K478">
            <v>1.5</v>
          </cell>
          <cell r="N478">
            <v>100</v>
          </cell>
          <cell r="O478">
            <v>10</v>
          </cell>
          <cell r="P478">
            <v>768</v>
          </cell>
          <cell r="Q478">
            <v>76.8</v>
          </cell>
          <cell r="R478">
            <v>10</v>
          </cell>
          <cell r="S478">
            <v>1</v>
          </cell>
        </row>
        <row r="479">
          <cell r="D479">
            <v>3</v>
          </cell>
          <cell r="K479">
            <v>1.3</v>
          </cell>
          <cell r="N479">
            <v>76.27</v>
          </cell>
          <cell r="O479">
            <v>7.63</v>
          </cell>
          <cell r="P479">
            <v>872.73</v>
          </cell>
          <cell r="Q479">
            <v>87.27</v>
          </cell>
          <cell r="R479">
            <v>9.5299999999999994</v>
          </cell>
          <cell r="S479">
            <v>0.95</v>
          </cell>
        </row>
        <row r="480">
          <cell r="D480">
            <v>5</v>
          </cell>
          <cell r="K480">
            <v>1.8</v>
          </cell>
          <cell r="N480">
            <v>105.6</v>
          </cell>
          <cell r="O480">
            <v>10.56</v>
          </cell>
          <cell r="P480">
            <v>872.73</v>
          </cell>
          <cell r="Q480">
            <v>87.27</v>
          </cell>
          <cell r="R480">
            <v>17.600000000000001</v>
          </cell>
          <cell r="S480">
            <v>1.76</v>
          </cell>
        </row>
        <row r="481">
          <cell r="D481">
            <v>2</v>
          </cell>
          <cell r="K481">
            <v>1.6</v>
          </cell>
          <cell r="N481">
            <v>76.8</v>
          </cell>
          <cell r="O481">
            <v>7.68</v>
          </cell>
          <cell r="P481">
            <v>1066.67</v>
          </cell>
          <cell r="Q481">
            <v>106.67</v>
          </cell>
          <cell r="R481">
            <v>15.36</v>
          </cell>
          <cell r="S481">
            <v>1.54</v>
          </cell>
        </row>
        <row r="482">
          <cell r="D482">
            <v>4</v>
          </cell>
          <cell r="K482">
            <v>1.4000000000000001</v>
          </cell>
          <cell r="N482">
            <v>97.07</v>
          </cell>
          <cell r="O482">
            <v>9.7100000000000009</v>
          </cell>
          <cell r="P482">
            <v>738.46</v>
          </cell>
          <cell r="Q482">
            <v>73.849999999999994</v>
          </cell>
          <cell r="R482">
            <v>9.7100000000000009</v>
          </cell>
          <cell r="S482">
            <v>0.97</v>
          </cell>
        </row>
        <row r="483">
          <cell r="D483">
            <v>2</v>
          </cell>
          <cell r="K483">
            <v>1.4000000000000001</v>
          </cell>
          <cell r="N483">
            <v>67.2</v>
          </cell>
          <cell r="O483">
            <v>6.72</v>
          </cell>
          <cell r="P483">
            <v>1066.67</v>
          </cell>
          <cell r="Q483">
            <v>106.67</v>
          </cell>
          <cell r="R483">
            <v>13.44</v>
          </cell>
          <cell r="S483">
            <v>1.34</v>
          </cell>
        </row>
        <row r="484">
          <cell r="D484">
            <v>4</v>
          </cell>
          <cell r="K484">
            <v>1.6</v>
          </cell>
          <cell r="N484">
            <v>110.93</v>
          </cell>
          <cell r="O484">
            <v>11.09</v>
          </cell>
          <cell r="P484">
            <v>738.46</v>
          </cell>
          <cell r="Q484">
            <v>73.849999999999994</v>
          </cell>
          <cell r="R484">
            <v>11.09</v>
          </cell>
          <cell r="S484">
            <v>1.1100000000000001</v>
          </cell>
        </row>
        <row r="485">
          <cell r="D485">
            <v>5</v>
          </cell>
          <cell r="K485">
            <v>1.6</v>
          </cell>
          <cell r="N485">
            <v>102.4</v>
          </cell>
          <cell r="O485">
            <v>10.24</v>
          </cell>
          <cell r="P485">
            <v>800</v>
          </cell>
          <cell r="Q485">
            <v>80</v>
          </cell>
          <cell r="R485">
            <v>17.07</v>
          </cell>
          <cell r="S485">
            <v>1.71</v>
          </cell>
        </row>
        <row r="486">
          <cell r="D486">
            <v>3</v>
          </cell>
          <cell r="K486">
            <v>1.4000000000000001</v>
          </cell>
          <cell r="N486">
            <v>85.87</v>
          </cell>
          <cell r="O486">
            <v>8.59</v>
          </cell>
          <cell r="P486">
            <v>834.78</v>
          </cell>
          <cell r="Q486">
            <v>83.48</v>
          </cell>
          <cell r="R486">
            <v>10.73</v>
          </cell>
          <cell r="S486">
            <v>1.07</v>
          </cell>
        </row>
        <row r="487">
          <cell r="D487">
            <v>2</v>
          </cell>
          <cell r="K487">
            <v>1.3</v>
          </cell>
          <cell r="N487">
            <v>74.88</v>
          </cell>
          <cell r="O487">
            <v>7.49</v>
          </cell>
          <cell r="P487">
            <v>1280</v>
          </cell>
          <cell r="Q487">
            <v>128</v>
          </cell>
          <cell r="R487">
            <v>14.98</v>
          </cell>
          <cell r="S487">
            <v>1.5</v>
          </cell>
        </row>
        <row r="488">
          <cell r="D488">
            <v>4</v>
          </cell>
          <cell r="K488">
            <v>1.3</v>
          </cell>
          <cell r="N488">
            <v>99.84</v>
          </cell>
          <cell r="O488">
            <v>9.98</v>
          </cell>
          <cell r="P488">
            <v>960</v>
          </cell>
          <cell r="Q488">
            <v>96</v>
          </cell>
          <cell r="R488">
            <v>9.98</v>
          </cell>
          <cell r="S488">
            <v>1</v>
          </cell>
        </row>
        <row r="489">
          <cell r="D489">
            <v>2</v>
          </cell>
          <cell r="K489">
            <v>1.8</v>
          </cell>
          <cell r="N489">
            <v>103.68</v>
          </cell>
          <cell r="O489">
            <v>10.37</v>
          </cell>
          <cell r="P489">
            <v>1280</v>
          </cell>
          <cell r="Q489">
            <v>128</v>
          </cell>
          <cell r="R489">
            <v>20.74</v>
          </cell>
          <cell r="S489">
            <v>2.0699999999999998</v>
          </cell>
        </row>
        <row r="490">
          <cell r="D490">
            <v>4</v>
          </cell>
          <cell r="K490">
            <v>1.5</v>
          </cell>
          <cell r="N490">
            <v>120</v>
          </cell>
          <cell r="O490">
            <v>12</v>
          </cell>
          <cell r="P490">
            <v>921.6</v>
          </cell>
          <cell r="Q490">
            <v>92.16</v>
          </cell>
          <cell r="R490">
            <v>12</v>
          </cell>
          <cell r="S490">
            <v>1.2</v>
          </cell>
        </row>
        <row r="491">
          <cell r="D491">
            <v>3</v>
          </cell>
          <cell r="K491">
            <v>1.3</v>
          </cell>
          <cell r="N491">
            <v>91.52</v>
          </cell>
          <cell r="O491">
            <v>9.15</v>
          </cell>
          <cell r="P491">
            <v>1047.27</v>
          </cell>
          <cell r="Q491">
            <v>104.73</v>
          </cell>
          <cell r="R491">
            <v>11.44</v>
          </cell>
          <cell r="S491">
            <v>1.1399999999999999</v>
          </cell>
        </row>
        <row r="492">
          <cell r="D492">
            <v>5</v>
          </cell>
          <cell r="K492">
            <v>1.8</v>
          </cell>
          <cell r="N492">
            <v>126.72</v>
          </cell>
          <cell r="O492">
            <v>12.67</v>
          </cell>
          <cell r="P492">
            <v>1047.27</v>
          </cell>
          <cell r="Q492">
            <v>104.73</v>
          </cell>
          <cell r="R492">
            <v>21.12</v>
          </cell>
          <cell r="S492">
            <v>2.11</v>
          </cell>
        </row>
        <row r="493">
          <cell r="D493">
            <v>2</v>
          </cell>
          <cell r="K493">
            <v>1.6</v>
          </cell>
          <cell r="N493">
            <v>92.16</v>
          </cell>
          <cell r="O493">
            <v>9.2200000000000006</v>
          </cell>
          <cell r="P493">
            <v>1280</v>
          </cell>
          <cell r="Q493">
            <v>128</v>
          </cell>
          <cell r="R493">
            <v>18.43</v>
          </cell>
          <cell r="S493">
            <v>1.84</v>
          </cell>
        </row>
        <row r="494">
          <cell r="D494">
            <v>4</v>
          </cell>
          <cell r="K494">
            <v>1.4000000000000001</v>
          </cell>
          <cell r="N494">
            <v>116.48</v>
          </cell>
          <cell r="O494">
            <v>11.65</v>
          </cell>
          <cell r="P494">
            <v>886.15</v>
          </cell>
          <cell r="Q494">
            <v>88.62</v>
          </cell>
          <cell r="R494">
            <v>11.65</v>
          </cell>
          <cell r="S494">
            <v>1.1599999999999999</v>
          </cell>
        </row>
        <row r="495">
          <cell r="D495">
            <v>2</v>
          </cell>
          <cell r="K495">
            <v>1.4000000000000001</v>
          </cell>
          <cell r="N495">
            <v>80.64</v>
          </cell>
          <cell r="O495">
            <v>8.06</v>
          </cell>
          <cell r="P495">
            <v>1280</v>
          </cell>
          <cell r="Q495">
            <v>128</v>
          </cell>
          <cell r="R495">
            <v>16.13</v>
          </cell>
          <cell r="S495">
            <v>1.61</v>
          </cell>
        </row>
        <row r="496">
          <cell r="D496">
            <v>4</v>
          </cell>
          <cell r="K496">
            <v>1.6</v>
          </cell>
          <cell r="N496">
            <v>133.12</v>
          </cell>
          <cell r="O496">
            <v>13.31</v>
          </cell>
          <cell r="P496">
            <v>886.15</v>
          </cell>
          <cell r="Q496">
            <v>88.62</v>
          </cell>
          <cell r="R496">
            <v>13.31</v>
          </cell>
          <cell r="S496">
            <v>1.33</v>
          </cell>
        </row>
        <row r="497">
          <cell r="D497">
            <v>5</v>
          </cell>
          <cell r="K497">
            <v>1.6</v>
          </cell>
          <cell r="N497">
            <v>122.88</v>
          </cell>
          <cell r="O497">
            <v>12.29</v>
          </cell>
          <cell r="P497">
            <v>960</v>
          </cell>
          <cell r="Q497">
            <v>96</v>
          </cell>
          <cell r="R497">
            <v>20.48</v>
          </cell>
          <cell r="S497">
            <v>2.0499999999999998</v>
          </cell>
        </row>
        <row r="498">
          <cell r="D498">
            <v>3</v>
          </cell>
          <cell r="K498">
            <v>1.4000000000000001</v>
          </cell>
          <cell r="N498">
            <v>103.04</v>
          </cell>
          <cell r="O498">
            <v>10.3</v>
          </cell>
          <cell r="P498">
            <v>1001.74</v>
          </cell>
          <cell r="Q498">
            <v>100.17</v>
          </cell>
          <cell r="R498">
            <v>12.88</v>
          </cell>
          <cell r="S498">
            <v>1.29</v>
          </cell>
        </row>
        <row r="499">
          <cell r="D499">
            <v>2</v>
          </cell>
          <cell r="K499">
            <v>1.3</v>
          </cell>
          <cell r="N499">
            <v>74.88</v>
          </cell>
          <cell r="O499">
            <v>7.49</v>
          </cell>
          <cell r="P499">
            <v>1280</v>
          </cell>
          <cell r="Q499">
            <v>128</v>
          </cell>
          <cell r="R499">
            <v>14.98</v>
          </cell>
          <cell r="S499">
            <v>1.5</v>
          </cell>
        </row>
        <row r="500">
          <cell r="D500">
            <v>4</v>
          </cell>
          <cell r="K500">
            <v>1.3</v>
          </cell>
          <cell r="N500">
            <v>99.84</v>
          </cell>
          <cell r="O500">
            <v>9.98</v>
          </cell>
          <cell r="P500">
            <v>960</v>
          </cell>
          <cell r="Q500">
            <v>96</v>
          </cell>
          <cell r="R500">
            <v>9.98</v>
          </cell>
          <cell r="S500">
            <v>1</v>
          </cell>
        </row>
        <row r="501">
          <cell r="D501">
            <v>2</v>
          </cell>
          <cell r="K501">
            <v>1.8</v>
          </cell>
          <cell r="N501">
            <v>103.68</v>
          </cell>
          <cell r="O501">
            <v>10.37</v>
          </cell>
          <cell r="P501">
            <v>1280</v>
          </cell>
          <cell r="Q501">
            <v>128</v>
          </cell>
          <cell r="R501">
            <v>20.74</v>
          </cell>
          <cell r="S501">
            <v>2.0699999999999998</v>
          </cell>
        </row>
        <row r="502">
          <cell r="D502">
            <v>4</v>
          </cell>
          <cell r="K502">
            <v>1.5</v>
          </cell>
          <cell r="N502">
            <v>120</v>
          </cell>
          <cell r="O502">
            <v>12</v>
          </cell>
          <cell r="P502">
            <v>921.6</v>
          </cell>
          <cell r="Q502">
            <v>92.16</v>
          </cell>
          <cell r="R502">
            <v>12</v>
          </cell>
          <cell r="S502">
            <v>1.2</v>
          </cell>
        </row>
        <row r="503">
          <cell r="D503">
            <v>3</v>
          </cell>
          <cell r="K503">
            <v>1.3</v>
          </cell>
          <cell r="N503">
            <v>91.52</v>
          </cell>
          <cell r="O503">
            <v>9.15</v>
          </cell>
          <cell r="P503">
            <v>1047.27</v>
          </cell>
          <cell r="Q503">
            <v>104.73</v>
          </cell>
          <cell r="R503">
            <v>11.44</v>
          </cell>
          <cell r="S503">
            <v>1.1399999999999999</v>
          </cell>
        </row>
        <row r="504">
          <cell r="D504">
            <v>5</v>
          </cell>
          <cell r="K504">
            <v>1.8</v>
          </cell>
          <cell r="N504">
            <v>126.72</v>
          </cell>
          <cell r="O504">
            <v>12.67</v>
          </cell>
          <cell r="P504">
            <v>1047.27</v>
          </cell>
          <cell r="Q504">
            <v>104.73</v>
          </cell>
          <cell r="R504">
            <v>21.12</v>
          </cell>
          <cell r="S504">
            <v>2.11</v>
          </cell>
        </row>
        <row r="505">
          <cell r="D505">
            <v>2</v>
          </cell>
          <cell r="K505">
            <v>1.6</v>
          </cell>
          <cell r="N505">
            <v>92.16</v>
          </cell>
          <cell r="O505">
            <v>9.2200000000000006</v>
          </cell>
          <cell r="P505">
            <v>1280</v>
          </cell>
          <cell r="Q505">
            <v>128</v>
          </cell>
          <cell r="R505">
            <v>18.43</v>
          </cell>
          <cell r="S505">
            <v>1.84</v>
          </cell>
        </row>
        <row r="506">
          <cell r="D506">
            <v>4</v>
          </cell>
          <cell r="K506">
            <v>1.4000000000000001</v>
          </cell>
          <cell r="N506">
            <v>116.48</v>
          </cell>
          <cell r="O506">
            <v>11.65</v>
          </cell>
          <cell r="P506">
            <v>886.15</v>
          </cell>
          <cell r="Q506">
            <v>88.62</v>
          </cell>
          <cell r="R506">
            <v>11.65</v>
          </cell>
          <cell r="S506">
            <v>1.1599999999999999</v>
          </cell>
        </row>
        <row r="507">
          <cell r="D507">
            <v>2</v>
          </cell>
          <cell r="K507">
            <v>1.4000000000000001</v>
          </cell>
          <cell r="N507">
            <v>80.64</v>
          </cell>
          <cell r="O507">
            <v>8.06</v>
          </cell>
          <cell r="P507">
            <v>1280</v>
          </cell>
          <cell r="Q507">
            <v>128</v>
          </cell>
          <cell r="R507">
            <v>16.13</v>
          </cell>
          <cell r="S507">
            <v>1.61</v>
          </cell>
        </row>
        <row r="508">
          <cell r="D508">
            <v>4</v>
          </cell>
          <cell r="K508">
            <v>1.6</v>
          </cell>
          <cell r="N508">
            <v>133.12</v>
          </cell>
          <cell r="O508">
            <v>13.31</v>
          </cell>
          <cell r="P508">
            <v>886.15</v>
          </cell>
          <cell r="Q508">
            <v>88.62</v>
          </cell>
          <cell r="R508">
            <v>13.31</v>
          </cell>
          <cell r="S508">
            <v>1.33</v>
          </cell>
        </row>
        <row r="509">
          <cell r="D509">
            <v>5</v>
          </cell>
          <cell r="K509">
            <v>1.6</v>
          </cell>
          <cell r="N509">
            <v>122.88</v>
          </cell>
          <cell r="O509">
            <v>12.29</v>
          </cell>
          <cell r="P509">
            <v>960</v>
          </cell>
          <cell r="Q509">
            <v>96</v>
          </cell>
          <cell r="R509">
            <v>20.48</v>
          </cell>
          <cell r="S509">
            <v>2.0499999999999998</v>
          </cell>
        </row>
        <row r="510">
          <cell r="D510">
            <v>3</v>
          </cell>
          <cell r="K510">
            <v>1.4000000000000001</v>
          </cell>
          <cell r="N510">
            <v>103.04</v>
          </cell>
          <cell r="O510">
            <v>10.3</v>
          </cell>
          <cell r="P510">
            <v>1001.74</v>
          </cell>
          <cell r="Q510">
            <v>100.17</v>
          </cell>
          <cell r="R510">
            <v>12.88</v>
          </cell>
          <cell r="S510">
            <v>1.29</v>
          </cell>
        </row>
        <row r="511">
          <cell r="D511">
            <v>2</v>
          </cell>
          <cell r="K511">
            <v>1.3</v>
          </cell>
          <cell r="N511">
            <v>74.88</v>
          </cell>
          <cell r="O511">
            <v>7.49</v>
          </cell>
          <cell r="P511">
            <v>1280</v>
          </cell>
          <cell r="Q511">
            <v>128</v>
          </cell>
          <cell r="R511">
            <v>14.98</v>
          </cell>
          <cell r="S511">
            <v>1.5</v>
          </cell>
        </row>
        <row r="512">
          <cell r="D512">
            <v>4</v>
          </cell>
          <cell r="K512">
            <v>1.3</v>
          </cell>
          <cell r="N512">
            <v>99.84</v>
          </cell>
          <cell r="O512">
            <v>9.98</v>
          </cell>
          <cell r="P512">
            <v>960</v>
          </cell>
          <cell r="Q512">
            <v>96</v>
          </cell>
          <cell r="R512">
            <v>9.98</v>
          </cell>
          <cell r="S512">
            <v>1</v>
          </cell>
        </row>
        <row r="513">
          <cell r="D513">
            <v>2</v>
          </cell>
          <cell r="K513">
            <v>1.8</v>
          </cell>
          <cell r="N513">
            <v>103.68</v>
          </cell>
          <cell r="O513">
            <v>10.37</v>
          </cell>
          <cell r="P513">
            <v>1280</v>
          </cell>
          <cell r="Q513">
            <v>128</v>
          </cell>
          <cell r="R513">
            <v>20.74</v>
          </cell>
          <cell r="S513">
            <v>2.0699999999999998</v>
          </cell>
        </row>
        <row r="514">
          <cell r="D514">
            <v>4</v>
          </cell>
          <cell r="K514">
            <v>1.5</v>
          </cell>
          <cell r="N514">
            <v>120</v>
          </cell>
          <cell r="O514">
            <v>12</v>
          </cell>
          <cell r="P514">
            <v>921.6</v>
          </cell>
          <cell r="Q514">
            <v>92.16</v>
          </cell>
          <cell r="R514">
            <v>12</v>
          </cell>
          <cell r="S514">
            <v>1.2</v>
          </cell>
        </row>
        <row r="515">
          <cell r="D515">
            <v>3</v>
          </cell>
          <cell r="K515">
            <v>1.3</v>
          </cell>
          <cell r="N515">
            <v>91.52</v>
          </cell>
          <cell r="O515">
            <v>9.15</v>
          </cell>
          <cell r="P515">
            <v>1047.27</v>
          </cell>
          <cell r="Q515">
            <v>104.73</v>
          </cell>
          <cell r="R515">
            <v>11.44</v>
          </cell>
          <cell r="S515">
            <v>1.1399999999999999</v>
          </cell>
        </row>
        <row r="516">
          <cell r="D516">
            <v>5</v>
          </cell>
          <cell r="K516">
            <v>1.8</v>
          </cell>
          <cell r="N516">
            <v>126.72</v>
          </cell>
          <cell r="O516">
            <v>12.67</v>
          </cell>
          <cell r="P516">
            <v>1047.27</v>
          </cell>
          <cell r="Q516">
            <v>104.73</v>
          </cell>
          <cell r="R516">
            <v>21.12</v>
          </cell>
          <cell r="S516">
            <v>2.11</v>
          </cell>
        </row>
        <row r="517">
          <cell r="D517">
            <v>2</v>
          </cell>
          <cell r="K517">
            <v>1.6</v>
          </cell>
          <cell r="N517">
            <v>92.16</v>
          </cell>
          <cell r="O517">
            <v>9.2200000000000006</v>
          </cell>
          <cell r="P517">
            <v>1280</v>
          </cell>
          <cell r="Q517">
            <v>128</v>
          </cell>
          <cell r="R517">
            <v>18.43</v>
          </cell>
          <cell r="S517">
            <v>1.84</v>
          </cell>
        </row>
        <row r="518">
          <cell r="D518">
            <v>4</v>
          </cell>
          <cell r="K518">
            <v>1.4000000000000001</v>
          </cell>
          <cell r="N518">
            <v>116.48</v>
          </cell>
          <cell r="O518">
            <v>11.65</v>
          </cell>
          <cell r="P518">
            <v>886.15</v>
          </cell>
          <cell r="Q518">
            <v>88.62</v>
          </cell>
          <cell r="R518">
            <v>11.65</v>
          </cell>
          <cell r="S518">
            <v>1.1599999999999999</v>
          </cell>
        </row>
        <row r="519">
          <cell r="D519">
            <v>2</v>
          </cell>
          <cell r="K519">
            <v>1.4000000000000001</v>
          </cell>
          <cell r="N519">
            <v>80.64</v>
          </cell>
          <cell r="O519">
            <v>8.06</v>
          </cell>
          <cell r="P519">
            <v>1280</v>
          </cell>
          <cell r="Q519">
            <v>128</v>
          </cell>
          <cell r="R519">
            <v>16.13</v>
          </cell>
          <cell r="S519">
            <v>1.61</v>
          </cell>
        </row>
        <row r="520">
          <cell r="D520">
            <v>4</v>
          </cell>
          <cell r="K520">
            <v>1.6</v>
          </cell>
          <cell r="N520">
            <v>133.12</v>
          </cell>
          <cell r="O520">
            <v>13.31</v>
          </cell>
          <cell r="P520">
            <v>886.15</v>
          </cell>
          <cell r="Q520">
            <v>88.62</v>
          </cell>
          <cell r="R520">
            <v>13.31</v>
          </cell>
          <cell r="S520">
            <v>1.33</v>
          </cell>
        </row>
        <row r="521">
          <cell r="D521">
            <v>5</v>
          </cell>
          <cell r="K521">
            <v>1.6</v>
          </cell>
          <cell r="N521">
            <v>122.88</v>
          </cell>
          <cell r="O521">
            <v>12.29</v>
          </cell>
          <cell r="P521">
            <v>960</v>
          </cell>
          <cell r="Q521">
            <v>96</v>
          </cell>
          <cell r="R521">
            <v>20.48</v>
          </cell>
          <cell r="S521">
            <v>2.0499999999999998</v>
          </cell>
        </row>
        <row r="522">
          <cell r="D522">
            <v>3</v>
          </cell>
          <cell r="K522">
            <v>1.4000000000000001</v>
          </cell>
          <cell r="N522">
            <v>103.04</v>
          </cell>
          <cell r="O522">
            <v>10.3</v>
          </cell>
          <cell r="P522">
            <v>1001.74</v>
          </cell>
          <cell r="Q522">
            <v>100.17</v>
          </cell>
          <cell r="R522">
            <v>12.88</v>
          </cell>
          <cell r="S522">
            <v>1.29</v>
          </cell>
        </row>
        <row r="523">
          <cell r="D523">
            <v>2</v>
          </cell>
          <cell r="K523">
            <v>1.3</v>
          </cell>
          <cell r="N523">
            <v>74.88</v>
          </cell>
          <cell r="O523">
            <v>7.49</v>
          </cell>
          <cell r="P523">
            <v>1280</v>
          </cell>
          <cell r="Q523">
            <v>128</v>
          </cell>
          <cell r="R523">
            <v>14.98</v>
          </cell>
          <cell r="S523">
            <v>1.5</v>
          </cell>
        </row>
        <row r="524">
          <cell r="D524">
            <v>4</v>
          </cell>
          <cell r="K524">
            <v>1.3</v>
          </cell>
          <cell r="N524">
            <v>99.84</v>
          </cell>
          <cell r="O524">
            <v>9.98</v>
          </cell>
          <cell r="P524">
            <v>960</v>
          </cell>
          <cell r="Q524">
            <v>96</v>
          </cell>
          <cell r="R524">
            <v>9.98</v>
          </cell>
          <cell r="S524">
            <v>1</v>
          </cell>
        </row>
        <row r="525">
          <cell r="D525">
            <v>2</v>
          </cell>
          <cell r="K525">
            <v>1.8</v>
          </cell>
          <cell r="N525">
            <v>103.68</v>
          </cell>
          <cell r="O525">
            <v>10.37</v>
          </cell>
          <cell r="P525">
            <v>1280</v>
          </cell>
          <cell r="Q525">
            <v>128</v>
          </cell>
          <cell r="R525">
            <v>20.74</v>
          </cell>
          <cell r="S525">
            <v>2.0699999999999998</v>
          </cell>
        </row>
        <row r="526">
          <cell r="D526">
            <v>4</v>
          </cell>
          <cell r="K526">
            <v>1.5</v>
          </cell>
          <cell r="N526">
            <v>120</v>
          </cell>
          <cell r="O526">
            <v>12</v>
          </cell>
          <cell r="P526">
            <v>921.6</v>
          </cell>
          <cell r="Q526">
            <v>92.16</v>
          </cell>
          <cell r="R526">
            <v>12</v>
          </cell>
          <cell r="S526">
            <v>1.2</v>
          </cell>
        </row>
        <row r="527">
          <cell r="D527">
            <v>3</v>
          </cell>
          <cell r="K527">
            <v>1.3</v>
          </cell>
          <cell r="N527">
            <v>91.52</v>
          </cell>
          <cell r="O527">
            <v>9.15</v>
          </cell>
          <cell r="P527">
            <v>1047.27</v>
          </cell>
          <cell r="Q527">
            <v>104.73</v>
          </cell>
          <cell r="R527">
            <v>11.44</v>
          </cell>
          <cell r="S527">
            <v>1.1399999999999999</v>
          </cell>
        </row>
        <row r="528">
          <cell r="D528">
            <v>5</v>
          </cell>
          <cell r="K528">
            <v>1.8</v>
          </cell>
          <cell r="N528">
            <v>126.72</v>
          </cell>
          <cell r="O528">
            <v>12.67</v>
          </cell>
          <cell r="P528">
            <v>1047.27</v>
          </cell>
          <cell r="Q528">
            <v>104.73</v>
          </cell>
          <cell r="R528">
            <v>21.12</v>
          </cell>
          <cell r="S528">
            <v>2.11</v>
          </cell>
        </row>
        <row r="529">
          <cell r="D529">
            <v>2</v>
          </cell>
          <cell r="K529">
            <v>1.6</v>
          </cell>
          <cell r="N529">
            <v>92.16</v>
          </cell>
          <cell r="O529">
            <v>9.2200000000000006</v>
          </cell>
          <cell r="P529">
            <v>1280</v>
          </cell>
          <cell r="Q529">
            <v>128</v>
          </cell>
          <cell r="R529">
            <v>18.43</v>
          </cell>
          <cell r="S529">
            <v>1.84</v>
          </cell>
        </row>
        <row r="530">
          <cell r="D530">
            <v>4</v>
          </cell>
          <cell r="K530">
            <v>1.4000000000000001</v>
          </cell>
          <cell r="N530">
            <v>116.48</v>
          </cell>
          <cell r="O530">
            <v>11.65</v>
          </cell>
          <cell r="P530">
            <v>886.15</v>
          </cell>
          <cell r="Q530">
            <v>88.62</v>
          </cell>
          <cell r="R530">
            <v>11.65</v>
          </cell>
          <cell r="S530">
            <v>1.1599999999999999</v>
          </cell>
        </row>
        <row r="531">
          <cell r="D531">
            <v>2</v>
          </cell>
          <cell r="K531">
            <v>1.4000000000000001</v>
          </cell>
          <cell r="N531">
            <v>80.64</v>
          </cell>
          <cell r="O531">
            <v>8.06</v>
          </cell>
          <cell r="P531">
            <v>1280</v>
          </cell>
          <cell r="Q531">
            <v>128</v>
          </cell>
          <cell r="R531">
            <v>16.13</v>
          </cell>
          <cell r="S531">
            <v>1.61</v>
          </cell>
        </row>
        <row r="532">
          <cell r="D532">
            <v>4</v>
          </cell>
          <cell r="K532">
            <v>1.6</v>
          </cell>
          <cell r="N532">
            <v>133.12</v>
          </cell>
          <cell r="O532">
            <v>13.31</v>
          </cell>
          <cell r="P532">
            <v>886.15</v>
          </cell>
          <cell r="Q532">
            <v>88.62</v>
          </cell>
          <cell r="R532">
            <v>13.31</v>
          </cell>
          <cell r="S532">
            <v>1.33</v>
          </cell>
        </row>
        <row r="533">
          <cell r="D533">
            <v>5</v>
          </cell>
          <cell r="K533">
            <v>1.6</v>
          </cell>
          <cell r="N533">
            <v>122.88</v>
          </cell>
          <cell r="O533">
            <v>12.29</v>
          </cell>
          <cell r="P533">
            <v>960</v>
          </cell>
          <cell r="Q533">
            <v>96</v>
          </cell>
          <cell r="R533">
            <v>20.48</v>
          </cell>
          <cell r="S533">
            <v>2.0499999999999998</v>
          </cell>
        </row>
        <row r="534">
          <cell r="D534">
            <v>3</v>
          </cell>
          <cell r="K534">
            <v>1.4000000000000001</v>
          </cell>
          <cell r="N534">
            <v>103.04</v>
          </cell>
          <cell r="O534">
            <v>10.3</v>
          </cell>
          <cell r="P534">
            <v>1001.74</v>
          </cell>
          <cell r="Q534">
            <v>100.17</v>
          </cell>
          <cell r="R534">
            <v>12.88</v>
          </cell>
          <cell r="S534">
            <v>1.29</v>
          </cell>
        </row>
        <row r="535">
          <cell r="D535">
            <v>2</v>
          </cell>
          <cell r="K535">
            <v>1.3</v>
          </cell>
          <cell r="N535">
            <v>74.88</v>
          </cell>
          <cell r="O535">
            <v>7.49</v>
          </cell>
          <cell r="P535">
            <v>1280</v>
          </cell>
          <cell r="Q535">
            <v>128</v>
          </cell>
          <cell r="R535">
            <v>14.98</v>
          </cell>
          <cell r="S535">
            <v>1.5</v>
          </cell>
        </row>
        <row r="536">
          <cell r="D536">
            <v>4</v>
          </cell>
          <cell r="K536">
            <v>1.3</v>
          </cell>
          <cell r="N536">
            <v>99.84</v>
          </cell>
          <cell r="O536">
            <v>9.98</v>
          </cell>
          <cell r="P536">
            <v>960</v>
          </cell>
          <cell r="Q536">
            <v>96</v>
          </cell>
          <cell r="R536">
            <v>9.98</v>
          </cell>
          <cell r="S536">
            <v>1</v>
          </cell>
        </row>
        <row r="537">
          <cell r="D537">
            <v>2</v>
          </cell>
          <cell r="K537">
            <v>1.8</v>
          </cell>
          <cell r="N537">
            <v>103.68</v>
          </cell>
          <cell r="O537">
            <v>10.37</v>
          </cell>
          <cell r="P537">
            <v>1280</v>
          </cell>
          <cell r="Q537">
            <v>128</v>
          </cell>
          <cell r="R537">
            <v>20.74</v>
          </cell>
          <cell r="S537">
            <v>2.0699999999999998</v>
          </cell>
        </row>
        <row r="538">
          <cell r="D538">
            <v>4</v>
          </cell>
          <cell r="K538">
            <v>1.5</v>
          </cell>
          <cell r="N538">
            <v>120</v>
          </cell>
          <cell r="O538">
            <v>12</v>
          </cell>
          <cell r="P538">
            <v>921.6</v>
          </cell>
          <cell r="Q538">
            <v>92.16</v>
          </cell>
          <cell r="R538">
            <v>12</v>
          </cell>
          <cell r="S538">
            <v>1.2</v>
          </cell>
        </row>
        <row r="539">
          <cell r="D539">
            <v>3</v>
          </cell>
          <cell r="K539">
            <v>1.3</v>
          </cell>
          <cell r="N539">
            <v>91.52</v>
          </cell>
          <cell r="O539">
            <v>9.15</v>
          </cell>
          <cell r="P539">
            <v>1047.27</v>
          </cell>
          <cell r="Q539">
            <v>104.73</v>
          </cell>
          <cell r="R539">
            <v>11.44</v>
          </cell>
          <cell r="S539">
            <v>1.1399999999999999</v>
          </cell>
        </row>
        <row r="540">
          <cell r="D540">
            <v>5</v>
          </cell>
          <cell r="K540">
            <v>1.8</v>
          </cell>
          <cell r="N540">
            <v>126.72</v>
          </cell>
          <cell r="O540">
            <v>12.67</v>
          </cell>
          <cell r="P540">
            <v>1047.27</v>
          </cell>
          <cell r="Q540">
            <v>104.73</v>
          </cell>
          <cell r="R540">
            <v>21.12</v>
          </cell>
          <cell r="S540">
            <v>2.11</v>
          </cell>
        </row>
        <row r="541">
          <cell r="D541">
            <v>2</v>
          </cell>
          <cell r="K541">
            <v>1.6</v>
          </cell>
          <cell r="N541">
            <v>92.16</v>
          </cell>
          <cell r="O541">
            <v>9.2200000000000006</v>
          </cell>
          <cell r="P541">
            <v>1280</v>
          </cell>
          <cell r="Q541">
            <v>128</v>
          </cell>
          <cell r="R541">
            <v>18.43</v>
          </cell>
          <cell r="S541">
            <v>1.84</v>
          </cell>
        </row>
        <row r="542">
          <cell r="D542">
            <v>4</v>
          </cell>
          <cell r="K542">
            <v>1.4000000000000001</v>
          </cell>
          <cell r="N542">
            <v>116.48</v>
          </cell>
          <cell r="O542">
            <v>11.65</v>
          </cell>
          <cell r="P542">
            <v>886.15</v>
          </cell>
          <cell r="Q542">
            <v>88.62</v>
          </cell>
          <cell r="R542">
            <v>11.65</v>
          </cell>
          <cell r="S542">
            <v>1.1599999999999999</v>
          </cell>
        </row>
        <row r="543">
          <cell r="D543">
            <v>2</v>
          </cell>
          <cell r="K543">
            <v>1.4000000000000001</v>
          </cell>
          <cell r="N543">
            <v>80.64</v>
          </cell>
          <cell r="O543">
            <v>8.06</v>
          </cell>
          <cell r="P543">
            <v>1280</v>
          </cell>
          <cell r="Q543">
            <v>128</v>
          </cell>
          <cell r="R543">
            <v>16.13</v>
          </cell>
          <cell r="S543">
            <v>1.61</v>
          </cell>
        </row>
        <row r="544">
          <cell r="D544">
            <v>4</v>
          </cell>
          <cell r="K544">
            <v>1.6</v>
          </cell>
          <cell r="N544">
            <v>133.12</v>
          </cell>
          <cell r="O544">
            <v>13.31</v>
          </cell>
          <cell r="P544">
            <v>886.15</v>
          </cell>
          <cell r="Q544">
            <v>88.62</v>
          </cell>
          <cell r="R544">
            <v>13.31</v>
          </cell>
          <cell r="S544">
            <v>1.33</v>
          </cell>
        </row>
        <row r="545">
          <cell r="D545">
            <v>5</v>
          </cell>
          <cell r="K545">
            <v>1.6</v>
          </cell>
          <cell r="N545">
            <v>122.88</v>
          </cell>
          <cell r="O545">
            <v>12.29</v>
          </cell>
          <cell r="P545">
            <v>960</v>
          </cell>
          <cell r="Q545">
            <v>96</v>
          </cell>
          <cell r="R545">
            <v>20.48</v>
          </cell>
          <cell r="S545">
            <v>2.0499999999999998</v>
          </cell>
        </row>
        <row r="546">
          <cell r="D546">
            <v>3</v>
          </cell>
          <cell r="K546">
            <v>1.4000000000000001</v>
          </cell>
          <cell r="N546">
            <v>103.04</v>
          </cell>
          <cell r="O546">
            <v>10.3</v>
          </cell>
          <cell r="P546">
            <v>1001.74</v>
          </cell>
          <cell r="Q546">
            <v>100.17</v>
          </cell>
          <cell r="R546">
            <v>12.88</v>
          </cell>
          <cell r="S546">
            <v>1.29</v>
          </cell>
        </row>
        <row r="547">
          <cell r="D547">
            <v>2</v>
          </cell>
          <cell r="K547">
            <v>1.3</v>
          </cell>
          <cell r="N547">
            <v>87.36</v>
          </cell>
          <cell r="O547">
            <v>8.74</v>
          </cell>
          <cell r="P547">
            <v>1493.33</v>
          </cell>
          <cell r="Q547">
            <v>149.33000000000001</v>
          </cell>
          <cell r="R547">
            <v>17.47</v>
          </cell>
          <cell r="S547">
            <v>1.75</v>
          </cell>
        </row>
        <row r="548">
          <cell r="D548">
            <v>4</v>
          </cell>
          <cell r="K548">
            <v>1.3</v>
          </cell>
          <cell r="N548">
            <v>116.48</v>
          </cell>
          <cell r="O548">
            <v>11.65</v>
          </cell>
          <cell r="P548">
            <v>1120</v>
          </cell>
          <cell r="Q548">
            <v>112</v>
          </cell>
          <cell r="R548">
            <v>11.65</v>
          </cell>
          <cell r="S548">
            <v>1.1599999999999999</v>
          </cell>
        </row>
        <row r="549">
          <cell r="D549">
            <v>2</v>
          </cell>
          <cell r="K549">
            <v>1.8</v>
          </cell>
          <cell r="N549">
            <v>120.96</v>
          </cell>
          <cell r="O549">
            <v>12.1</v>
          </cell>
          <cell r="P549">
            <v>1493.33</v>
          </cell>
          <cell r="Q549">
            <v>149.33000000000001</v>
          </cell>
          <cell r="R549">
            <v>24.19</v>
          </cell>
          <cell r="S549">
            <v>2.42</v>
          </cell>
        </row>
        <row r="550">
          <cell r="D550">
            <v>4</v>
          </cell>
          <cell r="K550">
            <v>1.5</v>
          </cell>
          <cell r="N550">
            <v>140</v>
          </cell>
          <cell r="O550">
            <v>14</v>
          </cell>
          <cell r="P550">
            <v>1075.2</v>
          </cell>
          <cell r="Q550">
            <v>107.52</v>
          </cell>
          <cell r="R550">
            <v>14</v>
          </cell>
          <cell r="S550">
            <v>1.4</v>
          </cell>
        </row>
        <row r="551">
          <cell r="D551">
            <v>3</v>
          </cell>
          <cell r="K551">
            <v>1.3</v>
          </cell>
          <cell r="N551">
            <v>106.77</v>
          </cell>
          <cell r="O551">
            <v>10.68</v>
          </cell>
          <cell r="P551">
            <v>1221.82</v>
          </cell>
          <cell r="Q551">
            <v>122.18</v>
          </cell>
          <cell r="R551">
            <v>13.35</v>
          </cell>
          <cell r="S551">
            <v>1.33</v>
          </cell>
        </row>
        <row r="552">
          <cell r="D552">
            <v>5</v>
          </cell>
          <cell r="K552">
            <v>1.8</v>
          </cell>
          <cell r="N552">
            <v>147.84</v>
          </cell>
          <cell r="O552">
            <v>14.78</v>
          </cell>
          <cell r="P552">
            <v>1221.82</v>
          </cell>
          <cell r="Q552">
            <v>122.18</v>
          </cell>
          <cell r="R552">
            <v>24.64</v>
          </cell>
          <cell r="S552">
            <v>2.46</v>
          </cell>
        </row>
        <row r="553">
          <cell r="D553">
            <v>2</v>
          </cell>
          <cell r="K553">
            <v>1.6</v>
          </cell>
          <cell r="N553">
            <v>107.52</v>
          </cell>
          <cell r="O553">
            <v>10.75</v>
          </cell>
          <cell r="P553">
            <v>1493.33</v>
          </cell>
          <cell r="Q553">
            <v>149.33000000000001</v>
          </cell>
          <cell r="R553">
            <v>21.5</v>
          </cell>
          <cell r="S553">
            <v>2.15</v>
          </cell>
        </row>
        <row r="554">
          <cell r="D554">
            <v>4</v>
          </cell>
          <cell r="K554">
            <v>1.4000000000000001</v>
          </cell>
          <cell r="N554">
            <v>135.88999999999999</v>
          </cell>
          <cell r="O554">
            <v>13.59</v>
          </cell>
          <cell r="P554">
            <v>1033.8499999999999</v>
          </cell>
          <cell r="Q554">
            <v>103.38</v>
          </cell>
          <cell r="R554">
            <v>13.59</v>
          </cell>
          <cell r="S554">
            <v>1.36</v>
          </cell>
        </row>
        <row r="555">
          <cell r="D555">
            <v>2</v>
          </cell>
          <cell r="K555">
            <v>1.4000000000000001</v>
          </cell>
          <cell r="N555">
            <v>94.08</v>
          </cell>
          <cell r="O555">
            <v>9.41</v>
          </cell>
          <cell r="P555">
            <v>1493.33</v>
          </cell>
          <cell r="Q555">
            <v>149.33000000000001</v>
          </cell>
          <cell r="R555">
            <v>18.82</v>
          </cell>
          <cell r="S555">
            <v>1.88</v>
          </cell>
        </row>
        <row r="556">
          <cell r="D556">
            <v>4</v>
          </cell>
          <cell r="K556">
            <v>1.6</v>
          </cell>
          <cell r="N556">
            <v>155.31</v>
          </cell>
          <cell r="O556">
            <v>15.53</v>
          </cell>
          <cell r="P556">
            <v>1033.8499999999999</v>
          </cell>
          <cell r="Q556">
            <v>103.38</v>
          </cell>
          <cell r="R556">
            <v>15.53</v>
          </cell>
          <cell r="S556">
            <v>1.55</v>
          </cell>
        </row>
        <row r="557">
          <cell r="D557">
            <v>5</v>
          </cell>
          <cell r="K557">
            <v>1.6</v>
          </cell>
          <cell r="N557">
            <v>143.36000000000001</v>
          </cell>
          <cell r="O557">
            <v>14.34</v>
          </cell>
          <cell r="P557">
            <v>1120</v>
          </cell>
          <cell r="Q557">
            <v>112</v>
          </cell>
          <cell r="R557">
            <v>23.89</v>
          </cell>
          <cell r="S557">
            <v>2.39</v>
          </cell>
        </row>
        <row r="558">
          <cell r="D558">
            <v>3</v>
          </cell>
          <cell r="K558">
            <v>1.4000000000000001</v>
          </cell>
          <cell r="N558">
            <v>120.21</v>
          </cell>
          <cell r="O558">
            <v>12.02</v>
          </cell>
          <cell r="P558">
            <v>1168.7</v>
          </cell>
          <cell r="Q558">
            <v>116.87</v>
          </cell>
          <cell r="R558">
            <v>15.03</v>
          </cell>
          <cell r="S558">
            <v>1.5</v>
          </cell>
        </row>
        <row r="559">
          <cell r="D559">
            <v>2</v>
          </cell>
          <cell r="K559">
            <v>1.3</v>
          </cell>
          <cell r="N559">
            <v>87.36</v>
          </cell>
          <cell r="O559">
            <v>8.74</v>
          </cell>
          <cell r="P559">
            <v>1493.33</v>
          </cell>
          <cell r="Q559">
            <v>149.33000000000001</v>
          </cell>
          <cell r="R559">
            <v>17.47</v>
          </cell>
          <cell r="S559">
            <v>1.75</v>
          </cell>
        </row>
        <row r="560">
          <cell r="D560">
            <v>4</v>
          </cell>
          <cell r="K560">
            <v>1.3</v>
          </cell>
          <cell r="N560">
            <v>116.48</v>
          </cell>
          <cell r="O560">
            <v>11.65</v>
          </cell>
          <cell r="P560">
            <v>1120</v>
          </cell>
          <cell r="Q560">
            <v>112</v>
          </cell>
          <cell r="R560">
            <v>11.65</v>
          </cell>
          <cell r="S560">
            <v>1.1599999999999999</v>
          </cell>
        </row>
        <row r="561">
          <cell r="D561">
            <v>2</v>
          </cell>
          <cell r="K561">
            <v>1.8</v>
          </cell>
          <cell r="N561">
            <v>120.96</v>
          </cell>
          <cell r="O561">
            <v>12.1</v>
          </cell>
          <cell r="P561">
            <v>1493.33</v>
          </cell>
          <cell r="Q561">
            <v>149.33000000000001</v>
          </cell>
          <cell r="R561">
            <v>24.19</v>
          </cell>
          <cell r="S561">
            <v>2.42</v>
          </cell>
        </row>
        <row r="562">
          <cell r="D562">
            <v>4</v>
          </cell>
          <cell r="K562">
            <v>1.5</v>
          </cell>
          <cell r="N562">
            <v>140</v>
          </cell>
          <cell r="O562">
            <v>14</v>
          </cell>
          <cell r="P562">
            <v>1075.2</v>
          </cell>
          <cell r="Q562">
            <v>107.52</v>
          </cell>
          <cell r="R562">
            <v>14</v>
          </cell>
          <cell r="S562">
            <v>1.4</v>
          </cell>
        </row>
        <row r="563">
          <cell r="D563">
            <v>3</v>
          </cell>
          <cell r="K563">
            <v>1.3</v>
          </cell>
          <cell r="N563">
            <v>106.77</v>
          </cell>
          <cell r="O563">
            <v>10.68</v>
          </cell>
          <cell r="P563">
            <v>1221.82</v>
          </cell>
          <cell r="Q563">
            <v>122.18</v>
          </cell>
          <cell r="R563">
            <v>13.35</v>
          </cell>
          <cell r="S563">
            <v>1.33</v>
          </cell>
        </row>
        <row r="564">
          <cell r="D564">
            <v>5</v>
          </cell>
          <cell r="K564">
            <v>1.8</v>
          </cell>
          <cell r="N564">
            <v>147.84</v>
          </cell>
          <cell r="O564">
            <v>14.78</v>
          </cell>
          <cell r="P564">
            <v>1221.82</v>
          </cell>
          <cell r="Q564">
            <v>122.18</v>
          </cell>
          <cell r="R564">
            <v>24.64</v>
          </cell>
          <cell r="S564">
            <v>2.46</v>
          </cell>
        </row>
        <row r="565">
          <cell r="D565">
            <v>2</v>
          </cell>
          <cell r="K565">
            <v>1.6</v>
          </cell>
          <cell r="N565">
            <v>107.52</v>
          </cell>
          <cell r="O565">
            <v>10.75</v>
          </cell>
          <cell r="P565">
            <v>1493.33</v>
          </cell>
          <cell r="Q565">
            <v>149.33000000000001</v>
          </cell>
          <cell r="R565">
            <v>21.5</v>
          </cell>
          <cell r="S565">
            <v>2.15</v>
          </cell>
        </row>
        <row r="566">
          <cell r="D566">
            <v>4</v>
          </cell>
          <cell r="K566">
            <v>1.4000000000000001</v>
          </cell>
          <cell r="N566">
            <v>135.88999999999999</v>
          </cell>
          <cell r="O566">
            <v>13.59</v>
          </cell>
          <cell r="P566">
            <v>1033.8499999999999</v>
          </cell>
          <cell r="Q566">
            <v>103.38</v>
          </cell>
          <cell r="R566">
            <v>13.59</v>
          </cell>
          <cell r="S566">
            <v>1.36</v>
          </cell>
        </row>
        <row r="567">
          <cell r="D567">
            <v>2</v>
          </cell>
          <cell r="K567">
            <v>1.4000000000000001</v>
          </cell>
          <cell r="N567">
            <v>94.08</v>
          </cell>
          <cell r="O567">
            <v>9.41</v>
          </cell>
          <cell r="P567">
            <v>1493.33</v>
          </cell>
          <cell r="Q567">
            <v>149.33000000000001</v>
          </cell>
          <cell r="R567">
            <v>18.82</v>
          </cell>
          <cell r="S567">
            <v>1.88</v>
          </cell>
        </row>
        <row r="568">
          <cell r="D568">
            <v>4</v>
          </cell>
          <cell r="K568">
            <v>1.6</v>
          </cell>
          <cell r="N568">
            <v>155.31</v>
          </cell>
          <cell r="O568">
            <v>15.53</v>
          </cell>
          <cell r="P568">
            <v>1033.8499999999999</v>
          </cell>
          <cell r="Q568">
            <v>103.38</v>
          </cell>
          <cell r="R568">
            <v>15.53</v>
          </cell>
          <cell r="S568">
            <v>1.55</v>
          </cell>
        </row>
        <row r="569">
          <cell r="D569">
            <v>5</v>
          </cell>
          <cell r="K569">
            <v>1.6</v>
          </cell>
          <cell r="N569">
            <v>143.36000000000001</v>
          </cell>
          <cell r="O569">
            <v>14.34</v>
          </cell>
          <cell r="P569">
            <v>1120</v>
          </cell>
          <cell r="Q569">
            <v>112</v>
          </cell>
          <cell r="R569">
            <v>23.89</v>
          </cell>
          <cell r="S569">
            <v>2.39</v>
          </cell>
        </row>
        <row r="570">
          <cell r="D570">
            <v>3</v>
          </cell>
          <cell r="K570">
            <v>1.4000000000000001</v>
          </cell>
          <cell r="N570">
            <v>120.21</v>
          </cell>
          <cell r="O570">
            <v>12.02</v>
          </cell>
          <cell r="P570">
            <v>1168.7</v>
          </cell>
          <cell r="Q570">
            <v>116.87</v>
          </cell>
          <cell r="R570">
            <v>15.03</v>
          </cell>
          <cell r="S570">
            <v>1.5</v>
          </cell>
        </row>
        <row r="571">
          <cell r="D571">
            <v>2</v>
          </cell>
          <cell r="K571">
            <v>1.3</v>
          </cell>
          <cell r="N571">
            <v>87.36</v>
          </cell>
          <cell r="O571">
            <v>8.74</v>
          </cell>
          <cell r="P571">
            <v>1493.33</v>
          </cell>
          <cell r="Q571">
            <v>149.33000000000001</v>
          </cell>
          <cell r="R571">
            <v>17.47</v>
          </cell>
          <cell r="S571">
            <v>1.75</v>
          </cell>
        </row>
        <row r="572">
          <cell r="D572">
            <v>4</v>
          </cell>
          <cell r="K572">
            <v>1.3</v>
          </cell>
          <cell r="N572">
            <v>116.48</v>
          </cell>
          <cell r="O572">
            <v>11.65</v>
          </cell>
          <cell r="P572">
            <v>1120</v>
          </cell>
          <cell r="Q572">
            <v>112</v>
          </cell>
          <cell r="R572">
            <v>11.65</v>
          </cell>
          <cell r="S572">
            <v>1.1599999999999999</v>
          </cell>
        </row>
        <row r="573">
          <cell r="D573">
            <v>2</v>
          </cell>
          <cell r="K573">
            <v>1.8</v>
          </cell>
          <cell r="N573">
            <v>120.96</v>
          </cell>
          <cell r="O573">
            <v>12.1</v>
          </cell>
          <cell r="P573">
            <v>1493.33</v>
          </cell>
          <cell r="Q573">
            <v>149.33000000000001</v>
          </cell>
          <cell r="R573">
            <v>24.19</v>
          </cell>
          <cell r="S573">
            <v>2.42</v>
          </cell>
        </row>
        <row r="574">
          <cell r="D574">
            <v>4</v>
          </cell>
          <cell r="K574">
            <v>1.5</v>
          </cell>
          <cell r="N574">
            <v>140</v>
          </cell>
          <cell r="O574">
            <v>14</v>
          </cell>
          <cell r="P574">
            <v>1075.2</v>
          </cell>
          <cell r="Q574">
            <v>107.52</v>
          </cell>
          <cell r="R574">
            <v>14</v>
          </cell>
          <cell r="S574">
            <v>1.4</v>
          </cell>
        </row>
        <row r="575">
          <cell r="D575">
            <v>3</v>
          </cell>
          <cell r="K575">
            <v>1.3</v>
          </cell>
          <cell r="N575">
            <v>106.77</v>
          </cell>
          <cell r="O575">
            <v>10.68</v>
          </cell>
          <cell r="P575">
            <v>1221.82</v>
          </cell>
          <cell r="Q575">
            <v>122.18</v>
          </cell>
          <cell r="R575">
            <v>13.35</v>
          </cell>
          <cell r="S575">
            <v>1.33</v>
          </cell>
        </row>
        <row r="576">
          <cell r="D576">
            <v>5</v>
          </cell>
          <cell r="K576">
            <v>1.8</v>
          </cell>
          <cell r="N576">
            <v>147.84</v>
          </cell>
          <cell r="O576">
            <v>14.78</v>
          </cell>
          <cell r="P576">
            <v>1221.82</v>
          </cell>
          <cell r="Q576">
            <v>122.18</v>
          </cell>
          <cell r="R576">
            <v>24.64</v>
          </cell>
          <cell r="S576">
            <v>2.46</v>
          </cell>
        </row>
        <row r="577">
          <cell r="D577">
            <v>2</v>
          </cell>
          <cell r="K577">
            <v>1.6</v>
          </cell>
          <cell r="N577">
            <v>107.52</v>
          </cell>
          <cell r="O577">
            <v>10.75</v>
          </cell>
          <cell r="P577">
            <v>1493.33</v>
          </cell>
          <cell r="Q577">
            <v>149.33000000000001</v>
          </cell>
          <cell r="R577">
            <v>21.5</v>
          </cell>
          <cell r="S577">
            <v>2.15</v>
          </cell>
        </row>
        <row r="578">
          <cell r="D578">
            <v>4</v>
          </cell>
          <cell r="K578">
            <v>1.4000000000000001</v>
          </cell>
          <cell r="N578">
            <v>135.88999999999999</v>
          </cell>
          <cell r="O578">
            <v>13.59</v>
          </cell>
          <cell r="P578">
            <v>1033.8499999999999</v>
          </cell>
          <cell r="Q578">
            <v>103.38</v>
          </cell>
          <cell r="R578">
            <v>13.59</v>
          </cell>
          <cell r="S578">
            <v>1.36</v>
          </cell>
        </row>
        <row r="579">
          <cell r="D579">
            <v>2</v>
          </cell>
          <cell r="K579">
            <v>1.4000000000000001</v>
          </cell>
          <cell r="N579">
            <v>94.08</v>
          </cell>
          <cell r="O579">
            <v>9.41</v>
          </cell>
          <cell r="P579">
            <v>1493.33</v>
          </cell>
          <cell r="Q579">
            <v>149.33000000000001</v>
          </cell>
          <cell r="R579">
            <v>18.82</v>
          </cell>
          <cell r="S579">
            <v>1.88</v>
          </cell>
        </row>
        <row r="580">
          <cell r="D580">
            <v>4</v>
          </cell>
          <cell r="K580">
            <v>1.6</v>
          </cell>
          <cell r="N580">
            <v>155.31</v>
          </cell>
          <cell r="O580">
            <v>15.53</v>
          </cell>
          <cell r="P580">
            <v>1033.8499999999999</v>
          </cell>
          <cell r="Q580">
            <v>103.38</v>
          </cell>
          <cell r="R580">
            <v>15.53</v>
          </cell>
          <cell r="S580">
            <v>1.55</v>
          </cell>
        </row>
        <row r="581">
          <cell r="D581">
            <v>5</v>
          </cell>
          <cell r="K581">
            <v>1.6</v>
          </cell>
          <cell r="N581">
            <v>143.36000000000001</v>
          </cell>
          <cell r="O581">
            <v>14.34</v>
          </cell>
          <cell r="P581">
            <v>1120</v>
          </cell>
          <cell r="Q581">
            <v>112</v>
          </cell>
          <cell r="R581">
            <v>23.89</v>
          </cell>
          <cell r="S581">
            <v>2.39</v>
          </cell>
        </row>
        <row r="582">
          <cell r="D582">
            <v>3</v>
          </cell>
          <cell r="K582">
            <v>1.4000000000000001</v>
          </cell>
          <cell r="N582">
            <v>120.21</v>
          </cell>
          <cell r="O582">
            <v>12.02</v>
          </cell>
          <cell r="P582">
            <v>1168.7</v>
          </cell>
          <cell r="Q582">
            <v>116.87</v>
          </cell>
          <cell r="R582">
            <v>15.03</v>
          </cell>
          <cell r="S582">
            <v>1.5</v>
          </cell>
        </row>
        <row r="583">
          <cell r="D583">
            <v>2</v>
          </cell>
          <cell r="K583">
            <v>1.3</v>
          </cell>
          <cell r="N583">
            <v>87.36</v>
          </cell>
          <cell r="O583">
            <v>8.74</v>
          </cell>
          <cell r="P583">
            <v>1493.33</v>
          </cell>
          <cell r="Q583">
            <v>149.33000000000001</v>
          </cell>
          <cell r="R583">
            <v>17.47</v>
          </cell>
          <cell r="S583">
            <v>1.75</v>
          </cell>
        </row>
        <row r="584">
          <cell r="D584">
            <v>4</v>
          </cell>
          <cell r="K584">
            <v>1.3</v>
          </cell>
          <cell r="N584">
            <v>116.48</v>
          </cell>
          <cell r="O584">
            <v>11.65</v>
          </cell>
          <cell r="P584">
            <v>1120</v>
          </cell>
          <cell r="Q584">
            <v>112</v>
          </cell>
          <cell r="R584">
            <v>11.65</v>
          </cell>
          <cell r="S584">
            <v>1.1599999999999999</v>
          </cell>
        </row>
        <row r="585">
          <cell r="D585">
            <v>2</v>
          </cell>
          <cell r="K585">
            <v>1.8</v>
          </cell>
          <cell r="N585">
            <v>120.96</v>
          </cell>
          <cell r="O585">
            <v>12.1</v>
          </cell>
          <cell r="P585">
            <v>1493.33</v>
          </cell>
          <cell r="Q585">
            <v>149.33000000000001</v>
          </cell>
          <cell r="R585">
            <v>24.19</v>
          </cell>
          <cell r="S585">
            <v>2.42</v>
          </cell>
        </row>
        <row r="586">
          <cell r="D586">
            <v>4</v>
          </cell>
          <cell r="K586">
            <v>1.5</v>
          </cell>
          <cell r="N586">
            <v>140</v>
          </cell>
          <cell r="O586">
            <v>14</v>
          </cell>
          <cell r="P586">
            <v>1075.2</v>
          </cell>
          <cell r="Q586">
            <v>107.52</v>
          </cell>
          <cell r="R586">
            <v>14</v>
          </cell>
          <cell r="S586">
            <v>1.4</v>
          </cell>
        </row>
        <row r="587">
          <cell r="D587">
            <v>3</v>
          </cell>
          <cell r="K587">
            <v>1.3</v>
          </cell>
          <cell r="N587">
            <v>106.77</v>
          </cell>
          <cell r="O587">
            <v>10.68</v>
          </cell>
          <cell r="P587">
            <v>1221.82</v>
          </cell>
          <cell r="Q587">
            <v>122.18</v>
          </cell>
          <cell r="R587">
            <v>13.35</v>
          </cell>
          <cell r="S587">
            <v>1.33</v>
          </cell>
        </row>
        <row r="588">
          <cell r="D588">
            <v>5</v>
          </cell>
          <cell r="K588">
            <v>1.8</v>
          </cell>
          <cell r="N588">
            <v>147.84</v>
          </cell>
          <cell r="O588">
            <v>14.78</v>
          </cell>
          <cell r="P588">
            <v>1221.82</v>
          </cell>
          <cell r="Q588">
            <v>122.18</v>
          </cell>
          <cell r="R588">
            <v>24.64</v>
          </cell>
          <cell r="S588">
            <v>2.46</v>
          </cell>
        </row>
        <row r="589">
          <cell r="D589">
            <v>2</v>
          </cell>
          <cell r="K589">
            <v>1.6</v>
          </cell>
          <cell r="N589">
            <v>107.52</v>
          </cell>
          <cell r="O589">
            <v>10.75</v>
          </cell>
          <cell r="P589">
            <v>1493.33</v>
          </cell>
          <cell r="Q589">
            <v>149.33000000000001</v>
          </cell>
          <cell r="R589">
            <v>21.5</v>
          </cell>
          <cell r="S589">
            <v>2.15</v>
          </cell>
        </row>
        <row r="590">
          <cell r="D590">
            <v>4</v>
          </cell>
          <cell r="K590">
            <v>1.4000000000000001</v>
          </cell>
          <cell r="N590">
            <v>135.88999999999999</v>
          </cell>
          <cell r="O590">
            <v>13.59</v>
          </cell>
          <cell r="P590">
            <v>1033.8499999999999</v>
          </cell>
          <cell r="Q590">
            <v>103.38</v>
          </cell>
          <cell r="R590">
            <v>13.59</v>
          </cell>
          <cell r="S590">
            <v>1.36</v>
          </cell>
        </row>
        <row r="591">
          <cell r="D591">
            <v>2</v>
          </cell>
          <cell r="K591">
            <v>1.4000000000000001</v>
          </cell>
          <cell r="N591">
            <v>94.08</v>
          </cell>
          <cell r="O591">
            <v>9.41</v>
          </cell>
          <cell r="P591">
            <v>1493.33</v>
          </cell>
          <cell r="Q591">
            <v>149.33000000000001</v>
          </cell>
          <cell r="R591">
            <v>18.82</v>
          </cell>
          <cell r="S591">
            <v>1.88</v>
          </cell>
        </row>
        <row r="592">
          <cell r="D592">
            <v>4</v>
          </cell>
          <cell r="K592">
            <v>1.6</v>
          </cell>
          <cell r="N592">
            <v>155.31</v>
          </cell>
          <cell r="O592">
            <v>15.53</v>
          </cell>
          <cell r="P592">
            <v>1033.8499999999999</v>
          </cell>
          <cell r="Q592">
            <v>103.38</v>
          </cell>
          <cell r="R592">
            <v>15.53</v>
          </cell>
          <cell r="S592">
            <v>1.55</v>
          </cell>
        </row>
        <row r="593">
          <cell r="D593">
            <v>5</v>
          </cell>
          <cell r="K593">
            <v>1.6</v>
          </cell>
          <cell r="N593">
            <v>143.36000000000001</v>
          </cell>
          <cell r="O593">
            <v>14.34</v>
          </cell>
          <cell r="P593">
            <v>1120</v>
          </cell>
          <cell r="Q593">
            <v>112</v>
          </cell>
          <cell r="R593">
            <v>23.89</v>
          </cell>
          <cell r="S593">
            <v>2.39</v>
          </cell>
        </row>
        <row r="594">
          <cell r="D594">
            <v>3</v>
          </cell>
          <cell r="K594">
            <v>1.4000000000000001</v>
          </cell>
          <cell r="N594">
            <v>120.21</v>
          </cell>
          <cell r="O594">
            <v>12.02</v>
          </cell>
          <cell r="P594">
            <v>1168.7</v>
          </cell>
          <cell r="Q594">
            <v>116.87</v>
          </cell>
          <cell r="R594">
            <v>15.03</v>
          </cell>
          <cell r="S594">
            <v>1.5</v>
          </cell>
        </row>
        <row r="595">
          <cell r="D595">
            <v>2</v>
          </cell>
          <cell r="K595">
            <v>1.3</v>
          </cell>
          <cell r="N595">
            <v>87.36</v>
          </cell>
          <cell r="O595">
            <v>8.74</v>
          </cell>
          <cell r="P595">
            <v>1493.33</v>
          </cell>
          <cell r="Q595">
            <v>149.33000000000001</v>
          </cell>
          <cell r="R595">
            <v>17.47</v>
          </cell>
          <cell r="S595">
            <v>1.75</v>
          </cell>
        </row>
        <row r="596">
          <cell r="D596">
            <v>4</v>
          </cell>
          <cell r="K596">
            <v>1.3</v>
          </cell>
          <cell r="N596">
            <v>116.48</v>
          </cell>
          <cell r="O596">
            <v>11.65</v>
          </cell>
          <cell r="P596">
            <v>1120</v>
          </cell>
          <cell r="Q596">
            <v>112</v>
          </cell>
          <cell r="R596">
            <v>11.65</v>
          </cell>
          <cell r="S596">
            <v>1.1599999999999999</v>
          </cell>
        </row>
        <row r="597">
          <cell r="D597">
            <v>2</v>
          </cell>
          <cell r="K597">
            <v>1.8</v>
          </cell>
          <cell r="N597">
            <v>120.96</v>
          </cell>
          <cell r="O597">
            <v>12.1</v>
          </cell>
          <cell r="P597">
            <v>1493.33</v>
          </cell>
          <cell r="Q597">
            <v>149.33000000000001</v>
          </cell>
          <cell r="R597">
            <v>24.19</v>
          </cell>
          <cell r="S597">
            <v>2.42</v>
          </cell>
        </row>
        <row r="598">
          <cell r="D598">
            <v>4</v>
          </cell>
          <cell r="K598">
            <v>1.5</v>
          </cell>
          <cell r="N598">
            <v>140</v>
          </cell>
          <cell r="O598">
            <v>14</v>
          </cell>
          <cell r="P598">
            <v>1075.2</v>
          </cell>
          <cell r="Q598">
            <v>107.52</v>
          </cell>
          <cell r="R598">
            <v>14</v>
          </cell>
          <cell r="S598">
            <v>1.4</v>
          </cell>
        </row>
        <row r="599">
          <cell r="D599">
            <v>3</v>
          </cell>
          <cell r="K599">
            <v>1.3</v>
          </cell>
          <cell r="N599">
            <v>106.77</v>
          </cell>
          <cell r="O599">
            <v>10.68</v>
          </cell>
          <cell r="P599">
            <v>1221.82</v>
          </cell>
          <cell r="Q599">
            <v>122.18</v>
          </cell>
          <cell r="R599">
            <v>13.35</v>
          </cell>
          <cell r="S599">
            <v>1.33</v>
          </cell>
        </row>
        <row r="600">
          <cell r="D600">
            <v>5</v>
          </cell>
          <cell r="K600">
            <v>1.8</v>
          </cell>
          <cell r="N600">
            <v>147.84</v>
          </cell>
          <cell r="O600">
            <v>14.78</v>
          </cell>
          <cell r="P600">
            <v>1221.82</v>
          </cell>
          <cell r="Q600">
            <v>122.18</v>
          </cell>
          <cell r="R600">
            <v>24.64</v>
          </cell>
          <cell r="S600">
            <v>2.46</v>
          </cell>
        </row>
        <row r="601">
          <cell r="D601">
            <v>2</v>
          </cell>
          <cell r="K601">
            <v>1.6</v>
          </cell>
          <cell r="N601">
            <v>107.52</v>
          </cell>
          <cell r="O601">
            <v>10.75</v>
          </cell>
          <cell r="P601">
            <v>1493.33</v>
          </cell>
          <cell r="Q601">
            <v>149.33000000000001</v>
          </cell>
          <cell r="R601">
            <v>21.5</v>
          </cell>
          <cell r="S601">
            <v>2.15</v>
          </cell>
        </row>
        <row r="602">
          <cell r="D602">
            <v>4</v>
          </cell>
          <cell r="K602">
            <v>1.4000000000000001</v>
          </cell>
          <cell r="N602">
            <v>135.88999999999999</v>
          </cell>
          <cell r="O602">
            <v>13.59</v>
          </cell>
          <cell r="P602">
            <v>1033.8499999999999</v>
          </cell>
          <cell r="Q602">
            <v>103.38</v>
          </cell>
          <cell r="R602">
            <v>13.59</v>
          </cell>
          <cell r="S602">
            <v>1.36</v>
          </cell>
        </row>
        <row r="603">
          <cell r="D603">
            <v>2</v>
          </cell>
          <cell r="K603">
            <v>1.4000000000000001</v>
          </cell>
          <cell r="N603">
            <v>94.08</v>
          </cell>
          <cell r="O603">
            <v>9.41</v>
          </cell>
          <cell r="P603">
            <v>1493.33</v>
          </cell>
          <cell r="Q603">
            <v>149.33000000000001</v>
          </cell>
          <cell r="R603">
            <v>18.82</v>
          </cell>
          <cell r="S603">
            <v>1.88</v>
          </cell>
        </row>
        <row r="604">
          <cell r="D604">
            <v>4</v>
          </cell>
          <cell r="K604">
            <v>1.6</v>
          </cell>
          <cell r="N604">
            <v>155.31</v>
          </cell>
          <cell r="O604">
            <v>15.53</v>
          </cell>
          <cell r="P604">
            <v>1033.8499999999999</v>
          </cell>
          <cell r="Q604">
            <v>103.38</v>
          </cell>
          <cell r="R604">
            <v>15.53</v>
          </cell>
          <cell r="S604">
            <v>1.55</v>
          </cell>
        </row>
        <row r="605">
          <cell r="D605">
            <v>5</v>
          </cell>
          <cell r="K605">
            <v>1.6</v>
          </cell>
          <cell r="N605">
            <v>143.36000000000001</v>
          </cell>
          <cell r="O605">
            <v>14.34</v>
          </cell>
          <cell r="P605">
            <v>1120</v>
          </cell>
          <cell r="Q605">
            <v>112</v>
          </cell>
          <cell r="R605">
            <v>23.89</v>
          </cell>
          <cell r="S605">
            <v>2.39</v>
          </cell>
        </row>
        <row r="606">
          <cell r="D606">
            <v>3</v>
          </cell>
          <cell r="K606">
            <v>1.4000000000000001</v>
          </cell>
          <cell r="N606">
            <v>120.21</v>
          </cell>
          <cell r="O606">
            <v>12.02</v>
          </cell>
          <cell r="P606">
            <v>1168.7</v>
          </cell>
          <cell r="Q606">
            <v>116.87</v>
          </cell>
          <cell r="R606">
            <v>15.03</v>
          </cell>
          <cell r="S606">
            <v>1.5</v>
          </cell>
        </row>
        <row r="607">
          <cell r="D607">
            <v>2</v>
          </cell>
          <cell r="K607">
            <v>1.6</v>
          </cell>
          <cell r="N607">
            <v>85.33</v>
          </cell>
          <cell r="O607">
            <v>8.5299999999999994</v>
          </cell>
          <cell r="P607">
            <v>960</v>
          </cell>
          <cell r="Q607">
            <v>96</v>
          </cell>
          <cell r="R607">
            <v>28.44</v>
          </cell>
          <cell r="S607">
            <v>2.84</v>
          </cell>
        </row>
        <row r="608">
          <cell r="D608">
            <v>2</v>
          </cell>
          <cell r="K608">
            <v>1.6</v>
          </cell>
          <cell r="N608">
            <v>85.33</v>
          </cell>
          <cell r="O608">
            <v>8.5299999999999994</v>
          </cell>
          <cell r="P608">
            <v>960</v>
          </cell>
          <cell r="Q608">
            <v>96</v>
          </cell>
          <cell r="R608">
            <v>28.44</v>
          </cell>
          <cell r="S608">
            <v>2.84</v>
          </cell>
        </row>
        <row r="609">
          <cell r="D609">
            <v>2</v>
          </cell>
          <cell r="K609">
            <v>1.6</v>
          </cell>
          <cell r="N609">
            <v>85.33</v>
          </cell>
          <cell r="O609">
            <v>8.5299999999999994</v>
          </cell>
          <cell r="P609">
            <v>960</v>
          </cell>
          <cell r="Q609">
            <v>96</v>
          </cell>
          <cell r="R609">
            <v>28.44</v>
          </cell>
          <cell r="S609">
            <v>2.84</v>
          </cell>
        </row>
        <row r="610">
          <cell r="D610">
            <v>2</v>
          </cell>
          <cell r="K610">
            <v>1.6</v>
          </cell>
          <cell r="N610">
            <v>85.33</v>
          </cell>
          <cell r="O610">
            <v>8.5299999999999994</v>
          </cell>
          <cell r="P610">
            <v>960</v>
          </cell>
          <cell r="Q610">
            <v>96</v>
          </cell>
          <cell r="R610">
            <v>28.44</v>
          </cell>
          <cell r="S610">
            <v>2.84</v>
          </cell>
        </row>
        <row r="611">
          <cell r="D611">
            <v>2</v>
          </cell>
          <cell r="K611">
            <v>1.6</v>
          </cell>
          <cell r="N611">
            <v>85.33</v>
          </cell>
          <cell r="O611">
            <v>8.5299999999999994</v>
          </cell>
          <cell r="P611">
            <v>960</v>
          </cell>
          <cell r="Q611">
            <v>96</v>
          </cell>
          <cell r="R611">
            <v>28.44</v>
          </cell>
          <cell r="S611">
            <v>2.84</v>
          </cell>
        </row>
        <row r="612">
          <cell r="D612">
            <v>2</v>
          </cell>
          <cell r="K612">
            <v>1.6</v>
          </cell>
          <cell r="N612">
            <v>93.87</v>
          </cell>
          <cell r="O612">
            <v>9.39</v>
          </cell>
          <cell r="P612">
            <v>1056</v>
          </cell>
          <cell r="Q612">
            <v>105.6</v>
          </cell>
          <cell r="R612">
            <v>31.29</v>
          </cell>
          <cell r="S612">
            <v>3.13</v>
          </cell>
        </row>
        <row r="613">
          <cell r="D613">
            <v>2</v>
          </cell>
          <cell r="K613">
            <v>1.6</v>
          </cell>
          <cell r="N613">
            <v>93.87</v>
          </cell>
          <cell r="O613">
            <v>9.39</v>
          </cell>
          <cell r="P613">
            <v>1056</v>
          </cell>
          <cell r="Q613">
            <v>105.6</v>
          </cell>
          <cell r="R613">
            <v>31.29</v>
          </cell>
          <cell r="S613">
            <v>3.13</v>
          </cell>
        </row>
        <row r="614">
          <cell r="D614">
            <v>2</v>
          </cell>
          <cell r="K614">
            <v>1.6</v>
          </cell>
          <cell r="N614">
            <v>93.87</v>
          </cell>
          <cell r="O614">
            <v>9.39</v>
          </cell>
          <cell r="P614">
            <v>1056</v>
          </cell>
          <cell r="Q614">
            <v>105.6</v>
          </cell>
          <cell r="R614">
            <v>31.29</v>
          </cell>
          <cell r="S614">
            <v>3.13</v>
          </cell>
        </row>
        <row r="615">
          <cell r="D615">
            <v>2</v>
          </cell>
          <cell r="K615">
            <v>1.6</v>
          </cell>
          <cell r="N615">
            <v>93.87</v>
          </cell>
          <cell r="O615">
            <v>9.39</v>
          </cell>
          <cell r="P615">
            <v>1056</v>
          </cell>
          <cell r="Q615">
            <v>105.6</v>
          </cell>
          <cell r="R615">
            <v>31.29</v>
          </cell>
          <cell r="S615">
            <v>3.13</v>
          </cell>
        </row>
        <row r="616">
          <cell r="D616">
            <v>2</v>
          </cell>
          <cell r="K616">
            <v>1.6</v>
          </cell>
          <cell r="N616">
            <v>93.87</v>
          </cell>
          <cell r="O616">
            <v>9.39</v>
          </cell>
          <cell r="P616">
            <v>1056</v>
          </cell>
          <cell r="Q616">
            <v>105.6</v>
          </cell>
          <cell r="R616">
            <v>31.29</v>
          </cell>
          <cell r="S616">
            <v>3.13</v>
          </cell>
        </row>
        <row r="617">
          <cell r="D617">
            <v>2</v>
          </cell>
          <cell r="K617">
            <v>1.6</v>
          </cell>
          <cell r="N617">
            <v>102.4</v>
          </cell>
          <cell r="O617">
            <v>10.24</v>
          </cell>
          <cell r="P617">
            <v>1152</v>
          </cell>
          <cell r="Q617">
            <v>115.2</v>
          </cell>
          <cell r="R617">
            <v>34.130000000000003</v>
          </cell>
          <cell r="S617">
            <v>3.41</v>
          </cell>
        </row>
        <row r="618">
          <cell r="D618">
            <v>2</v>
          </cell>
          <cell r="K618">
            <v>1.6</v>
          </cell>
          <cell r="N618">
            <v>102.4</v>
          </cell>
          <cell r="O618">
            <v>10.24</v>
          </cell>
          <cell r="P618">
            <v>1152</v>
          </cell>
          <cell r="Q618">
            <v>115.2</v>
          </cell>
          <cell r="R618">
            <v>34.130000000000003</v>
          </cell>
          <cell r="S618">
            <v>3.41</v>
          </cell>
        </row>
        <row r="619">
          <cell r="D619">
            <v>2</v>
          </cell>
          <cell r="K619">
            <v>1.6</v>
          </cell>
          <cell r="N619">
            <v>102.4</v>
          </cell>
          <cell r="O619">
            <v>10.24</v>
          </cell>
          <cell r="P619">
            <v>1152</v>
          </cell>
          <cell r="Q619">
            <v>115.2</v>
          </cell>
          <cell r="R619">
            <v>34.130000000000003</v>
          </cell>
          <cell r="S619">
            <v>3.41</v>
          </cell>
        </row>
        <row r="620">
          <cell r="D620">
            <v>2</v>
          </cell>
          <cell r="K620">
            <v>1.6</v>
          </cell>
          <cell r="N620">
            <v>102.4</v>
          </cell>
          <cell r="O620">
            <v>10.24</v>
          </cell>
          <cell r="P620">
            <v>1152</v>
          </cell>
          <cell r="Q620">
            <v>115.2</v>
          </cell>
          <cell r="R620">
            <v>34.130000000000003</v>
          </cell>
          <cell r="S620">
            <v>3.41</v>
          </cell>
        </row>
        <row r="621">
          <cell r="D621">
            <v>2</v>
          </cell>
          <cell r="K621">
            <v>1.6</v>
          </cell>
          <cell r="N621">
            <v>102.4</v>
          </cell>
          <cell r="O621">
            <v>10.24</v>
          </cell>
          <cell r="P621">
            <v>1152</v>
          </cell>
          <cell r="Q621">
            <v>115.2</v>
          </cell>
          <cell r="R621">
            <v>34.130000000000003</v>
          </cell>
          <cell r="S621">
            <v>3.41</v>
          </cell>
        </row>
        <row r="622">
          <cell r="D622">
            <v>2</v>
          </cell>
          <cell r="K622">
            <v>1.6</v>
          </cell>
          <cell r="N622">
            <v>119.47</v>
          </cell>
          <cell r="O622">
            <v>11.95</v>
          </cell>
          <cell r="P622">
            <v>1344</v>
          </cell>
          <cell r="Q622">
            <v>134.4</v>
          </cell>
          <cell r="R622">
            <v>39.82</v>
          </cell>
          <cell r="S622">
            <v>3.98</v>
          </cell>
        </row>
        <row r="623">
          <cell r="D623">
            <v>2</v>
          </cell>
          <cell r="K623">
            <v>1.6</v>
          </cell>
          <cell r="N623">
            <v>119.47</v>
          </cell>
          <cell r="O623">
            <v>11.95</v>
          </cell>
          <cell r="P623">
            <v>1344</v>
          </cell>
          <cell r="Q623">
            <v>134.4</v>
          </cell>
          <cell r="R623">
            <v>39.82</v>
          </cell>
          <cell r="S623">
            <v>3.98</v>
          </cell>
        </row>
        <row r="624">
          <cell r="D624">
            <v>2</v>
          </cell>
          <cell r="K624">
            <v>1.6</v>
          </cell>
          <cell r="N624">
            <v>119.47</v>
          </cell>
          <cell r="O624">
            <v>11.95</v>
          </cell>
          <cell r="P624">
            <v>1344</v>
          </cell>
          <cell r="Q624">
            <v>134.4</v>
          </cell>
          <cell r="R624">
            <v>39.82</v>
          </cell>
          <cell r="S624">
            <v>3.98</v>
          </cell>
        </row>
        <row r="625">
          <cell r="D625">
            <v>2</v>
          </cell>
          <cell r="K625">
            <v>1.6</v>
          </cell>
          <cell r="N625">
            <v>119.47</v>
          </cell>
          <cell r="O625">
            <v>11.95</v>
          </cell>
          <cell r="P625">
            <v>1344</v>
          </cell>
          <cell r="Q625">
            <v>134.4</v>
          </cell>
          <cell r="R625">
            <v>39.82</v>
          </cell>
          <cell r="S625">
            <v>3.98</v>
          </cell>
        </row>
        <row r="626">
          <cell r="D626">
            <v>2</v>
          </cell>
          <cell r="K626">
            <v>1.6</v>
          </cell>
          <cell r="N626">
            <v>119.47</v>
          </cell>
          <cell r="O626">
            <v>11.95</v>
          </cell>
          <cell r="P626">
            <v>1344</v>
          </cell>
          <cell r="Q626">
            <v>134.4</v>
          </cell>
          <cell r="R626">
            <v>39.82</v>
          </cell>
          <cell r="S626">
            <v>3.98</v>
          </cell>
        </row>
        <row r="627">
          <cell r="D627">
            <v>2</v>
          </cell>
          <cell r="K627">
            <v>1.6</v>
          </cell>
          <cell r="N627">
            <v>136.53</v>
          </cell>
          <cell r="O627">
            <v>13.65</v>
          </cell>
          <cell r="P627">
            <v>1536</v>
          </cell>
          <cell r="Q627">
            <v>153.6</v>
          </cell>
          <cell r="R627">
            <v>45.51</v>
          </cell>
          <cell r="S627">
            <v>4.55</v>
          </cell>
        </row>
        <row r="628">
          <cell r="D628">
            <v>2</v>
          </cell>
          <cell r="K628">
            <v>1.6</v>
          </cell>
          <cell r="N628">
            <v>136.53</v>
          </cell>
          <cell r="O628">
            <v>13.65</v>
          </cell>
          <cell r="P628">
            <v>1536</v>
          </cell>
          <cell r="Q628">
            <v>153.6</v>
          </cell>
          <cell r="R628">
            <v>45.51</v>
          </cell>
          <cell r="S628">
            <v>4.55</v>
          </cell>
        </row>
        <row r="629">
          <cell r="D629">
            <v>2</v>
          </cell>
          <cell r="K629">
            <v>1.6</v>
          </cell>
          <cell r="N629">
            <v>136.53</v>
          </cell>
          <cell r="O629">
            <v>13.65</v>
          </cell>
          <cell r="P629">
            <v>1536</v>
          </cell>
          <cell r="Q629">
            <v>153.6</v>
          </cell>
          <cell r="R629">
            <v>45.51</v>
          </cell>
          <cell r="S629">
            <v>4.55</v>
          </cell>
        </row>
        <row r="630">
          <cell r="D630">
            <v>2</v>
          </cell>
          <cell r="K630">
            <v>1.6</v>
          </cell>
          <cell r="N630">
            <v>136.53</v>
          </cell>
          <cell r="O630">
            <v>13.65</v>
          </cell>
          <cell r="P630">
            <v>1536</v>
          </cell>
          <cell r="Q630">
            <v>153.6</v>
          </cell>
          <cell r="R630">
            <v>45.51</v>
          </cell>
          <cell r="S630">
            <v>4.55</v>
          </cell>
        </row>
        <row r="631">
          <cell r="D631">
            <v>2</v>
          </cell>
          <cell r="K631">
            <v>1.6</v>
          </cell>
          <cell r="N631">
            <v>136.53</v>
          </cell>
          <cell r="O631">
            <v>13.65</v>
          </cell>
          <cell r="P631">
            <v>1536</v>
          </cell>
          <cell r="Q631">
            <v>153.6</v>
          </cell>
          <cell r="R631">
            <v>45.51</v>
          </cell>
          <cell r="S631">
            <v>4.55</v>
          </cell>
        </row>
        <row r="632">
          <cell r="D632">
            <v>2</v>
          </cell>
          <cell r="K632">
            <v>1.6</v>
          </cell>
          <cell r="N632">
            <v>153.6</v>
          </cell>
          <cell r="O632">
            <v>15.36</v>
          </cell>
          <cell r="P632">
            <v>1728</v>
          </cell>
          <cell r="Q632">
            <v>172.8</v>
          </cell>
          <cell r="R632">
            <v>51.2</v>
          </cell>
          <cell r="S632">
            <v>5.12</v>
          </cell>
        </row>
        <row r="633">
          <cell r="D633">
            <v>2</v>
          </cell>
          <cell r="K633">
            <v>1.6</v>
          </cell>
          <cell r="N633">
            <v>153.6</v>
          </cell>
          <cell r="O633">
            <v>15.36</v>
          </cell>
          <cell r="P633">
            <v>1728</v>
          </cell>
          <cell r="Q633">
            <v>172.8</v>
          </cell>
          <cell r="R633">
            <v>51.2</v>
          </cell>
          <cell r="S633">
            <v>5.12</v>
          </cell>
        </row>
        <row r="634">
          <cell r="D634">
            <v>2</v>
          </cell>
          <cell r="K634">
            <v>1.6</v>
          </cell>
          <cell r="N634">
            <v>153.6</v>
          </cell>
          <cell r="O634">
            <v>15.36</v>
          </cell>
          <cell r="P634">
            <v>1728</v>
          </cell>
          <cell r="Q634">
            <v>172.8</v>
          </cell>
          <cell r="R634">
            <v>51.2</v>
          </cell>
          <cell r="S634">
            <v>5.12</v>
          </cell>
        </row>
        <row r="635">
          <cell r="D635">
            <v>2</v>
          </cell>
          <cell r="K635">
            <v>1.6</v>
          </cell>
          <cell r="N635">
            <v>153.6</v>
          </cell>
          <cell r="O635">
            <v>15.36</v>
          </cell>
          <cell r="P635">
            <v>1728</v>
          </cell>
          <cell r="Q635">
            <v>172.8</v>
          </cell>
          <cell r="R635">
            <v>51.2</v>
          </cell>
          <cell r="S635">
            <v>5.12</v>
          </cell>
        </row>
        <row r="636">
          <cell r="D636">
            <v>2</v>
          </cell>
          <cell r="K636">
            <v>1.6</v>
          </cell>
          <cell r="N636">
            <v>153.6</v>
          </cell>
          <cell r="O636">
            <v>15.36</v>
          </cell>
          <cell r="P636">
            <v>1728</v>
          </cell>
          <cell r="Q636">
            <v>172.8</v>
          </cell>
          <cell r="R636">
            <v>51.2</v>
          </cell>
          <cell r="S636">
            <v>5.12</v>
          </cell>
        </row>
        <row r="637">
          <cell r="D637">
            <v>2</v>
          </cell>
          <cell r="K637">
            <v>1.6</v>
          </cell>
          <cell r="N637">
            <v>170.67</v>
          </cell>
          <cell r="O637">
            <v>17.07</v>
          </cell>
          <cell r="P637">
            <v>1920</v>
          </cell>
          <cell r="Q637">
            <v>192</v>
          </cell>
          <cell r="R637">
            <v>56.89</v>
          </cell>
          <cell r="S637">
            <v>5.69</v>
          </cell>
        </row>
        <row r="638">
          <cell r="D638">
            <v>2</v>
          </cell>
          <cell r="K638">
            <v>1.6</v>
          </cell>
          <cell r="N638">
            <v>170.67</v>
          </cell>
          <cell r="O638">
            <v>17.07</v>
          </cell>
          <cell r="P638">
            <v>1920</v>
          </cell>
          <cell r="Q638">
            <v>192</v>
          </cell>
          <cell r="R638">
            <v>56.89</v>
          </cell>
          <cell r="S638">
            <v>5.69</v>
          </cell>
        </row>
        <row r="639">
          <cell r="D639">
            <v>2</v>
          </cell>
          <cell r="K639">
            <v>1.6</v>
          </cell>
          <cell r="N639">
            <v>170.67</v>
          </cell>
          <cell r="O639">
            <v>17.07</v>
          </cell>
          <cell r="P639">
            <v>1920</v>
          </cell>
          <cell r="Q639">
            <v>192</v>
          </cell>
          <cell r="R639">
            <v>56.89</v>
          </cell>
          <cell r="S639">
            <v>5.69</v>
          </cell>
        </row>
        <row r="640">
          <cell r="D640">
            <v>2</v>
          </cell>
          <cell r="K640">
            <v>1.6</v>
          </cell>
          <cell r="N640">
            <v>170.67</v>
          </cell>
          <cell r="O640">
            <v>17.07</v>
          </cell>
          <cell r="P640">
            <v>1920</v>
          </cell>
          <cell r="Q640">
            <v>192</v>
          </cell>
          <cell r="R640">
            <v>56.89</v>
          </cell>
          <cell r="S640">
            <v>5.69</v>
          </cell>
        </row>
        <row r="641">
          <cell r="D641">
            <v>2</v>
          </cell>
          <cell r="K641">
            <v>1.6</v>
          </cell>
          <cell r="N641">
            <v>170.67</v>
          </cell>
          <cell r="O641">
            <v>17.07</v>
          </cell>
          <cell r="P641">
            <v>1920</v>
          </cell>
          <cell r="Q641">
            <v>192</v>
          </cell>
          <cell r="R641">
            <v>56.89</v>
          </cell>
          <cell r="S641">
            <v>5.69</v>
          </cell>
        </row>
        <row r="642">
          <cell r="D642">
            <v>2</v>
          </cell>
          <cell r="K642">
            <v>1.6</v>
          </cell>
          <cell r="N642">
            <v>187.73</v>
          </cell>
          <cell r="O642">
            <v>18.77</v>
          </cell>
          <cell r="P642">
            <v>2112</v>
          </cell>
          <cell r="Q642">
            <v>211.2</v>
          </cell>
          <cell r="R642">
            <v>62.58</v>
          </cell>
          <cell r="S642">
            <v>6.26</v>
          </cell>
        </row>
        <row r="643">
          <cell r="D643">
            <v>2</v>
          </cell>
          <cell r="K643">
            <v>1.6</v>
          </cell>
          <cell r="N643">
            <v>187.73</v>
          </cell>
          <cell r="O643">
            <v>18.77</v>
          </cell>
          <cell r="P643">
            <v>2112</v>
          </cell>
          <cell r="Q643">
            <v>211.2</v>
          </cell>
          <cell r="R643">
            <v>62.58</v>
          </cell>
          <cell r="S643">
            <v>6.26</v>
          </cell>
        </row>
        <row r="644">
          <cell r="D644">
            <v>2</v>
          </cell>
          <cell r="K644">
            <v>1.6</v>
          </cell>
          <cell r="N644">
            <v>187.73</v>
          </cell>
          <cell r="O644">
            <v>18.77</v>
          </cell>
          <cell r="P644">
            <v>2112</v>
          </cell>
          <cell r="Q644">
            <v>211.2</v>
          </cell>
          <cell r="R644">
            <v>62.58</v>
          </cell>
          <cell r="S644">
            <v>6.26</v>
          </cell>
        </row>
        <row r="645">
          <cell r="D645">
            <v>2</v>
          </cell>
          <cell r="K645">
            <v>1.6</v>
          </cell>
          <cell r="N645">
            <v>187.73</v>
          </cell>
          <cell r="O645">
            <v>18.77</v>
          </cell>
          <cell r="P645">
            <v>2112</v>
          </cell>
          <cell r="Q645">
            <v>211.2</v>
          </cell>
          <cell r="R645">
            <v>62.58</v>
          </cell>
          <cell r="S645">
            <v>6.26</v>
          </cell>
        </row>
        <row r="646">
          <cell r="D646">
            <v>2</v>
          </cell>
          <cell r="K646">
            <v>1.6</v>
          </cell>
          <cell r="N646">
            <v>187.73</v>
          </cell>
          <cell r="O646">
            <v>18.77</v>
          </cell>
          <cell r="P646">
            <v>2112</v>
          </cell>
          <cell r="Q646">
            <v>211.2</v>
          </cell>
          <cell r="R646">
            <v>62.58</v>
          </cell>
          <cell r="S646">
            <v>6.26</v>
          </cell>
        </row>
        <row r="647">
          <cell r="D647">
            <v>2</v>
          </cell>
          <cell r="K647">
            <v>1.6</v>
          </cell>
          <cell r="N647">
            <v>204.8</v>
          </cell>
          <cell r="O647">
            <v>20.48</v>
          </cell>
          <cell r="P647">
            <v>2304</v>
          </cell>
          <cell r="Q647">
            <v>230.4</v>
          </cell>
          <cell r="R647">
            <v>68.27</v>
          </cell>
          <cell r="S647">
            <v>6.83</v>
          </cell>
        </row>
        <row r="648">
          <cell r="D648">
            <v>2</v>
          </cell>
          <cell r="K648">
            <v>1.6</v>
          </cell>
          <cell r="N648">
            <v>204.8</v>
          </cell>
          <cell r="O648">
            <v>20.48</v>
          </cell>
          <cell r="P648">
            <v>2304</v>
          </cell>
          <cell r="Q648">
            <v>230.4</v>
          </cell>
          <cell r="R648">
            <v>68.27</v>
          </cell>
          <cell r="S648">
            <v>6.83</v>
          </cell>
        </row>
        <row r="649">
          <cell r="D649">
            <v>2</v>
          </cell>
          <cell r="K649">
            <v>1.6</v>
          </cell>
          <cell r="N649">
            <v>204.8</v>
          </cell>
          <cell r="O649">
            <v>20.48</v>
          </cell>
          <cell r="P649">
            <v>2304</v>
          </cell>
          <cell r="Q649">
            <v>230.4</v>
          </cell>
          <cell r="R649">
            <v>68.27</v>
          </cell>
          <cell r="S649">
            <v>6.83</v>
          </cell>
        </row>
        <row r="650">
          <cell r="D650">
            <v>2</v>
          </cell>
          <cell r="K650">
            <v>1.6</v>
          </cell>
          <cell r="N650">
            <v>204.8</v>
          </cell>
          <cell r="O650">
            <v>20.48</v>
          </cell>
          <cell r="P650">
            <v>2304</v>
          </cell>
          <cell r="Q650">
            <v>230.4</v>
          </cell>
          <cell r="R650">
            <v>68.27</v>
          </cell>
          <cell r="S650">
            <v>6.83</v>
          </cell>
        </row>
        <row r="651">
          <cell r="D651">
            <v>2</v>
          </cell>
          <cell r="K651">
            <v>1.6</v>
          </cell>
          <cell r="N651">
            <v>204.8</v>
          </cell>
          <cell r="O651">
            <v>20.48</v>
          </cell>
          <cell r="P651">
            <v>2304</v>
          </cell>
          <cell r="Q651">
            <v>230.4</v>
          </cell>
          <cell r="R651">
            <v>68.27</v>
          </cell>
          <cell r="S651">
            <v>6.83</v>
          </cell>
        </row>
        <row r="652">
          <cell r="D652">
            <v>2</v>
          </cell>
          <cell r="K652">
            <v>1.6</v>
          </cell>
          <cell r="N652">
            <v>221.87</v>
          </cell>
          <cell r="O652">
            <v>22.19</v>
          </cell>
          <cell r="P652">
            <v>2496</v>
          </cell>
          <cell r="Q652">
            <v>249.6</v>
          </cell>
          <cell r="R652">
            <v>73.959999999999994</v>
          </cell>
          <cell r="S652">
            <v>7.4</v>
          </cell>
        </row>
        <row r="653">
          <cell r="D653">
            <v>2</v>
          </cell>
          <cell r="K653">
            <v>1.6</v>
          </cell>
          <cell r="N653">
            <v>221.87</v>
          </cell>
          <cell r="O653">
            <v>22.19</v>
          </cell>
          <cell r="P653">
            <v>2496</v>
          </cell>
          <cell r="Q653">
            <v>249.6</v>
          </cell>
          <cell r="R653">
            <v>73.959999999999994</v>
          </cell>
          <cell r="S653">
            <v>7.4</v>
          </cell>
        </row>
        <row r="654">
          <cell r="D654">
            <v>2</v>
          </cell>
          <cell r="K654">
            <v>1.6</v>
          </cell>
          <cell r="N654">
            <v>221.87</v>
          </cell>
          <cell r="O654">
            <v>22.19</v>
          </cell>
          <cell r="P654">
            <v>2496</v>
          </cell>
          <cell r="Q654">
            <v>249.6</v>
          </cell>
          <cell r="R654">
            <v>73.959999999999994</v>
          </cell>
          <cell r="S654">
            <v>7.4</v>
          </cell>
        </row>
        <row r="655">
          <cell r="D655">
            <v>2</v>
          </cell>
          <cell r="K655">
            <v>1.6</v>
          </cell>
          <cell r="N655">
            <v>221.87</v>
          </cell>
          <cell r="O655">
            <v>22.19</v>
          </cell>
          <cell r="P655">
            <v>2496</v>
          </cell>
          <cell r="Q655">
            <v>249.6</v>
          </cell>
          <cell r="R655">
            <v>73.959999999999994</v>
          </cell>
          <cell r="S655">
            <v>7.4</v>
          </cell>
        </row>
        <row r="656">
          <cell r="D656">
            <v>2</v>
          </cell>
          <cell r="K656">
            <v>1.6</v>
          </cell>
          <cell r="N656">
            <v>221.87</v>
          </cell>
          <cell r="O656">
            <v>22.19</v>
          </cell>
          <cell r="P656">
            <v>2496</v>
          </cell>
          <cell r="Q656">
            <v>249.6</v>
          </cell>
          <cell r="R656">
            <v>73.959999999999994</v>
          </cell>
          <cell r="S656">
            <v>7.4</v>
          </cell>
        </row>
        <row r="657">
          <cell r="D657">
            <v>2</v>
          </cell>
          <cell r="K657">
            <v>1.6</v>
          </cell>
          <cell r="N657">
            <v>238.93</v>
          </cell>
          <cell r="O657">
            <v>23.89</v>
          </cell>
          <cell r="P657">
            <v>2688</v>
          </cell>
          <cell r="Q657">
            <v>268.8</v>
          </cell>
          <cell r="R657">
            <v>79.64</v>
          </cell>
          <cell r="S657">
            <v>7.96</v>
          </cell>
        </row>
        <row r="658">
          <cell r="D658">
            <v>2</v>
          </cell>
          <cell r="K658">
            <v>1.6</v>
          </cell>
          <cell r="N658">
            <v>238.93</v>
          </cell>
          <cell r="O658">
            <v>23.89</v>
          </cell>
          <cell r="P658">
            <v>2688</v>
          </cell>
          <cell r="Q658">
            <v>268.8</v>
          </cell>
          <cell r="R658">
            <v>79.64</v>
          </cell>
          <cell r="S658">
            <v>7.96</v>
          </cell>
        </row>
        <row r="659">
          <cell r="D659">
            <v>2</v>
          </cell>
          <cell r="K659">
            <v>1.6</v>
          </cell>
          <cell r="N659">
            <v>238.93</v>
          </cell>
          <cell r="O659">
            <v>23.89</v>
          </cell>
          <cell r="P659">
            <v>2688</v>
          </cell>
          <cell r="Q659">
            <v>268.8</v>
          </cell>
          <cell r="R659">
            <v>79.64</v>
          </cell>
          <cell r="S659">
            <v>7.96</v>
          </cell>
        </row>
        <row r="660">
          <cell r="D660">
            <v>2</v>
          </cell>
          <cell r="K660">
            <v>1.6</v>
          </cell>
          <cell r="N660">
            <v>238.93</v>
          </cell>
          <cell r="O660">
            <v>23.89</v>
          </cell>
          <cell r="P660">
            <v>2688</v>
          </cell>
          <cell r="Q660">
            <v>268.8</v>
          </cell>
          <cell r="R660">
            <v>79.64</v>
          </cell>
          <cell r="S660">
            <v>7.96</v>
          </cell>
        </row>
        <row r="661">
          <cell r="D661">
            <v>2</v>
          </cell>
          <cell r="K661">
            <v>1.6</v>
          </cell>
          <cell r="N661">
            <v>238.93</v>
          </cell>
          <cell r="O661">
            <v>23.89</v>
          </cell>
          <cell r="P661">
            <v>2688</v>
          </cell>
          <cell r="Q661">
            <v>268.8</v>
          </cell>
          <cell r="R661">
            <v>79.64</v>
          </cell>
          <cell r="S661">
            <v>7.96</v>
          </cell>
        </row>
        <row r="662">
          <cell r="D662">
            <v>2</v>
          </cell>
          <cell r="K662">
            <v>1.6</v>
          </cell>
          <cell r="N662">
            <v>256</v>
          </cell>
          <cell r="O662">
            <v>25.6</v>
          </cell>
          <cell r="P662">
            <v>2880</v>
          </cell>
          <cell r="Q662">
            <v>288</v>
          </cell>
          <cell r="R662">
            <v>85.33</v>
          </cell>
          <cell r="S662">
            <v>8.5299999999999994</v>
          </cell>
        </row>
        <row r="663">
          <cell r="D663">
            <v>2</v>
          </cell>
          <cell r="K663">
            <v>1.6</v>
          </cell>
          <cell r="N663">
            <v>256</v>
          </cell>
          <cell r="O663">
            <v>25.6</v>
          </cell>
          <cell r="P663">
            <v>2880</v>
          </cell>
          <cell r="Q663">
            <v>288</v>
          </cell>
          <cell r="R663">
            <v>85.33</v>
          </cell>
          <cell r="S663">
            <v>8.5299999999999994</v>
          </cell>
        </row>
        <row r="664">
          <cell r="D664">
            <v>2</v>
          </cell>
          <cell r="K664">
            <v>1.6</v>
          </cell>
          <cell r="N664">
            <v>256</v>
          </cell>
          <cell r="O664">
            <v>25.6</v>
          </cell>
          <cell r="P664">
            <v>2880</v>
          </cell>
          <cell r="Q664">
            <v>288</v>
          </cell>
          <cell r="R664">
            <v>85.33</v>
          </cell>
          <cell r="S664">
            <v>8.5299999999999994</v>
          </cell>
        </row>
        <row r="665">
          <cell r="D665">
            <v>2</v>
          </cell>
          <cell r="K665">
            <v>1.6</v>
          </cell>
          <cell r="N665">
            <v>256</v>
          </cell>
          <cell r="O665">
            <v>25.6</v>
          </cell>
          <cell r="P665">
            <v>2880</v>
          </cell>
          <cell r="Q665">
            <v>288</v>
          </cell>
          <cell r="R665">
            <v>85.33</v>
          </cell>
          <cell r="S665">
            <v>8.5299999999999994</v>
          </cell>
        </row>
        <row r="666">
          <cell r="D666">
            <v>2</v>
          </cell>
          <cell r="K666">
            <v>1.6</v>
          </cell>
          <cell r="N666">
            <v>256</v>
          </cell>
          <cell r="O666">
            <v>25.6</v>
          </cell>
          <cell r="P666">
            <v>2880</v>
          </cell>
          <cell r="Q666">
            <v>288</v>
          </cell>
          <cell r="R666">
            <v>85.33</v>
          </cell>
          <cell r="S666">
            <v>8.5299999999999994</v>
          </cell>
        </row>
        <row r="667">
          <cell r="D667">
            <v>2</v>
          </cell>
          <cell r="K667">
            <v>1.6</v>
          </cell>
          <cell r="N667">
            <v>273.07</v>
          </cell>
          <cell r="O667">
            <v>27.31</v>
          </cell>
          <cell r="P667">
            <v>3072</v>
          </cell>
          <cell r="Q667">
            <v>307.2</v>
          </cell>
          <cell r="R667">
            <v>91.02</v>
          </cell>
          <cell r="S667">
            <v>9.1</v>
          </cell>
        </row>
        <row r="668">
          <cell r="D668">
            <v>2</v>
          </cell>
          <cell r="K668">
            <v>1.6</v>
          </cell>
          <cell r="N668">
            <v>273.07</v>
          </cell>
          <cell r="O668">
            <v>27.31</v>
          </cell>
          <cell r="P668">
            <v>3072</v>
          </cell>
          <cell r="Q668">
            <v>307.2</v>
          </cell>
          <cell r="R668">
            <v>91.02</v>
          </cell>
          <cell r="S668">
            <v>9.1</v>
          </cell>
        </row>
        <row r="669">
          <cell r="D669">
            <v>2</v>
          </cell>
          <cell r="K669">
            <v>1.6</v>
          </cell>
          <cell r="N669">
            <v>273.07</v>
          </cell>
          <cell r="O669">
            <v>27.31</v>
          </cell>
          <cell r="P669">
            <v>3072</v>
          </cell>
          <cell r="Q669">
            <v>307.2</v>
          </cell>
          <cell r="R669">
            <v>91.02</v>
          </cell>
          <cell r="S669">
            <v>9.1</v>
          </cell>
        </row>
        <row r="670">
          <cell r="D670">
            <v>2</v>
          </cell>
          <cell r="K670">
            <v>1.6</v>
          </cell>
          <cell r="N670">
            <v>273.07</v>
          </cell>
          <cell r="O670">
            <v>27.31</v>
          </cell>
          <cell r="P670">
            <v>3072</v>
          </cell>
          <cell r="Q670">
            <v>307.2</v>
          </cell>
          <cell r="R670">
            <v>91.02</v>
          </cell>
          <cell r="S670">
            <v>9.1</v>
          </cell>
        </row>
        <row r="671">
          <cell r="D671">
            <v>2</v>
          </cell>
          <cell r="K671">
            <v>1.6</v>
          </cell>
          <cell r="N671">
            <v>273.07</v>
          </cell>
          <cell r="O671">
            <v>27.31</v>
          </cell>
          <cell r="P671">
            <v>3072</v>
          </cell>
          <cell r="Q671">
            <v>307.2</v>
          </cell>
          <cell r="R671">
            <v>91.02</v>
          </cell>
          <cell r="S671">
            <v>9.1</v>
          </cell>
        </row>
        <row r="672">
          <cell r="D672">
            <v>2</v>
          </cell>
          <cell r="K672">
            <v>1.5</v>
          </cell>
          <cell r="N672">
            <v>80</v>
          </cell>
          <cell r="O672">
            <v>8</v>
          </cell>
          <cell r="P672">
            <v>960</v>
          </cell>
          <cell r="Q672">
            <v>96</v>
          </cell>
          <cell r="R672">
            <v>26.67</v>
          </cell>
          <cell r="S672">
            <v>2.67</v>
          </cell>
        </row>
        <row r="673">
          <cell r="D673">
            <v>2</v>
          </cell>
          <cell r="K673">
            <v>1.5</v>
          </cell>
          <cell r="N673">
            <v>80</v>
          </cell>
          <cell r="O673">
            <v>8</v>
          </cell>
          <cell r="P673">
            <v>960</v>
          </cell>
          <cell r="Q673">
            <v>96</v>
          </cell>
          <cell r="R673">
            <v>26.67</v>
          </cell>
          <cell r="S673">
            <v>2.67</v>
          </cell>
        </row>
        <row r="674">
          <cell r="D674">
            <v>2</v>
          </cell>
          <cell r="K674">
            <v>1.5</v>
          </cell>
          <cell r="N674">
            <v>80</v>
          </cell>
          <cell r="O674">
            <v>8</v>
          </cell>
          <cell r="P674">
            <v>960</v>
          </cell>
          <cell r="Q674">
            <v>96</v>
          </cell>
          <cell r="R674">
            <v>26.67</v>
          </cell>
          <cell r="S674">
            <v>2.67</v>
          </cell>
        </row>
        <row r="675">
          <cell r="D675">
            <v>2</v>
          </cell>
          <cell r="K675">
            <v>1.5</v>
          </cell>
          <cell r="N675">
            <v>80</v>
          </cell>
          <cell r="O675">
            <v>8</v>
          </cell>
          <cell r="P675">
            <v>960</v>
          </cell>
          <cell r="Q675">
            <v>96</v>
          </cell>
          <cell r="R675">
            <v>26.67</v>
          </cell>
          <cell r="S675">
            <v>2.67</v>
          </cell>
        </row>
        <row r="676">
          <cell r="D676">
            <v>2</v>
          </cell>
          <cell r="K676">
            <v>1.5</v>
          </cell>
          <cell r="N676">
            <v>80</v>
          </cell>
          <cell r="O676">
            <v>8</v>
          </cell>
          <cell r="P676">
            <v>960</v>
          </cell>
          <cell r="Q676">
            <v>96</v>
          </cell>
          <cell r="R676">
            <v>26.67</v>
          </cell>
          <cell r="S676">
            <v>2.67</v>
          </cell>
        </row>
        <row r="677">
          <cell r="D677">
            <v>2</v>
          </cell>
          <cell r="K677">
            <v>1.5</v>
          </cell>
          <cell r="N677">
            <v>88</v>
          </cell>
          <cell r="O677">
            <v>8.8000000000000007</v>
          </cell>
          <cell r="P677">
            <v>1056</v>
          </cell>
          <cell r="Q677">
            <v>105.6</v>
          </cell>
          <cell r="R677">
            <v>29.33</v>
          </cell>
          <cell r="S677">
            <v>2.93</v>
          </cell>
        </row>
        <row r="678">
          <cell r="D678">
            <v>2</v>
          </cell>
          <cell r="K678">
            <v>1.5</v>
          </cell>
          <cell r="N678">
            <v>88</v>
          </cell>
          <cell r="O678">
            <v>8.8000000000000007</v>
          </cell>
          <cell r="P678">
            <v>1056</v>
          </cell>
          <cell r="Q678">
            <v>105.6</v>
          </cell>
          <cell r="R678">
            <v>29.33</v>
          </cell>
          <cell r="S678">
            <v>2.93</v>
          </cell>
        </row>
        <row r="679">
          <cell r="D679">
            <v>2</v>
          </cell>
          <cell r="K679">
            <v>1.5</v>
          </cell>
          <cell r="N679">
            <v>88</v>
          </cell>
          <cell r="O679">
            <v>8.8000000000000007</v>
          </cell>
          <cell r="P679">
            <v>1056</v>
          </cell>
          <cell r="Q679">
            <v>105.6</v>
          </cell>
          <cell r="R679">
            <v>29.33</v>
          </cell>
          <cell r="S679">
            <v>2.93</v>
          </cell>
        </row>
        <row r="680">
          <cell r="D680">
            <v>2</v>
          </cell>
          <cell r="K680">
            <v>1.5</v>
          </cell>
          <cell r="N680">
            <v>88</v>
          </cell>
          <cell r="O680">
            <v>8.8000000000000007</v>
          </cell>
          <cell r="P680">
            <v>1056</v>
          </cell>
          <cell r="Q680">
            <v>105.6</v>
          </cell>
          <cell r="R680">
            <v>29.33</v>
          </cell>
          <cell r="S680">
            <v>2.93</v>
          </cell>
        </row>
        <row r="681">
          <cell r="D681">
            <v>2</v>
          </cell>
          <cell r="K681">
            <v>1.5</v>
          </cell>
          <cell r="N681">
            <v>88</v>
          </cell>
          <cell r="O681">
            <v>8.8000000000000007</v>
          </cell>
          <cell r="P681">
            <v>1056</v>
          </cell>
          <cell r="Q681">
            <v>105.6</v>
          </cell>
          <cell r="R681">
            <v>29.33</v>
          </cell>
          <cell r="S681">
            <v>2.93</v>
          </cell>
        </row>
        <row r="682">
          <cell r="D682">
            <v>2</v>
          </cell>
          <cell r="K682">
            <v>1.5</v>
          </cell>
          <cell r="N682">
            <v>96</v>
          </cell>
          <cell r="O682">
            <v>9.6</v>
          </cell>
          <cell r="P682">
            <v>1152</v>
          </cell>
          <cell r="Q682">
            <v>115.2</v>
          </cell>
          <cell r="R682">
            <v>32</v>
          </cell>
          <cell r="S682">
            <v>3.2</v>
          </cell>
        </row>
        <row r="683">
          <cell r="D683">
            <v>2</v>
          </cell>
          <cell r="K683">
            <v>1.5</v>
          </cell>
          <cell r="N683">
            <v>96</v>
          </cell>
          <cell r="O683">
            <v>9.6</v>
          </cell>
          <cell r="P683">
            <v>1152</v>
          </cell>
          <cell r="Q683">
            <v>115.2</v>
          </cell>
          <cell r="R683">
            <v>32</v>
          </cell>
          <cell r="S683">
            <v>3.2</v>
          </cell>
        </row>
        <row r="684">
          <cell r="D684">
            <v>2</v>
          </cell>
          <cell r="K684">
            <v>1.5</v>
          </cell>
          <cell r="N684">
            <v>96</v>
          </cell>
          <cell r="O684">
            <v>9.6</v>
          </cell>
          <cell r="P684">
            <v>1152</v>
          </cell>
          <cell r="Q684">
            <v>115.2</v>
          </cell>
          <cell r="R684">
            <v>32</v>
          </cell>
          <cell r="S684">
            <v>3.2</v>
          </cell>
        </row>
        <row r="685">
          <cell r="D685">
            <v>2</v>
          </cell>
          <cell r="K685">
            <v>1.5</v>
          </cell>
          <cell r="N685">
            <v>96</v>
          </cell>
          <cell r="O685">
            <v>9.6</v>
          </cell>
          <cell r="P685">
            <v>1152</v>
          </cell>
          <cell r="Q685">
            <v>115.2</v>
          </cell>
          <cell r="R685">
            <v>32</v>
          </cell>
          <cell r="S685">
            <v>3.2</v>
          </cell>
        </row>
        <row r="686">
          <cell r="D686">
            <v>2</v>
          </cell>
          <cell r="K686">
            <v>1.5</v>
          </cell>
          <cell r="N686">
            <v>96</v>
          </cell>
          <cell r="O686">
            <v>9.6</v>
          </cell>
          <cell r="P686">
            <v>1152</v>
          </cell>
          <cell r="Q686">
            <v>115.2</v>
          </cell>
          <cell r="R686">
            <v>32</v>
          </cell>
          <cell r="S686">
            <v>3.2</v>
          </cell>
        </row>
        <row r="687">
          <cell r="D687">
            <v>2</v>
          </cell>
          <cell r="K687">
            <v>1.5</v>
          </cell>
          <cell r="N687">
            <v>112</v>
          </cell>
          <cell r="O687">
            <v>11.2</v>
          </cell>
          <cell r="P687">
            <v>1344</v>
          </cell>
          <cell r="Q687">
            <v>134.4</v>
          </cell>
          <cell r="R687">
            <v>37.33</v>
          </cell>
          <cell r="S687">
            <v>3.73</v>
          </cell>
        </row>
        <row r="688">
          <cell r="D688">
            <v>2</v>
          </cell>
          <cell r="K688">
            <v>1.5</v>
          </cell>
          <cell r="N688">
            <v>112</v>
          </cell>
          <cell r="O688">
            <v>11.2</v>
          </cell>
          <cell r="P688">
            <v>1344</v>
          </cell>
          <cell r="Q688">
            <v>134.4</v>
          </cell>
          <cell r="R688">
            <v>37.33</v>
          </cell>
          <cell r="S688">
            <v>3.73</v>
          </cell>
        </row>
        <row r="689">
          <cell r="D689">
            <v>2</v>
          </cell>
          <cell r="K689">
            <v>1.5</v>
          </cell>
          <cell r="N689">
            <v>112</v>
          </cell>
          <cell r="O689">
            <v>11.2</v>
          </cell>
          <cell r="P689">
            <v>1344</v>
          </cell>
          <cell r="Q689">
            <v>134.4</v>
          </cell>
          <cell r="R689">
            <v>37.33</v>
          </cell>
          <cell r="S689">
            <v>3.73</v>
          </cell>
        </row>
        <row r="690">
          <cell r="D690">
            <v>2</v>
          </cell>
          <cell r="K690">
            <v>1.5</v>
          </cell>
          <cell r="N690">
            <v>112</v>
          </cell>
          <cell r="O690">
            <v>11.2</v>
          </cell>
          <cell r="P690">
            <v>1344</v>
          </cell>
          <cell r="Q690">
            <v>134.4</v>
          </cell>
          <cell r="R690">
            <v>37.33</v>
          </cell>
          <cell r="S690">
            <v>3.73</v>
          </cell>
        </row>
        <row r="691">
          <cell r="D691">
            <v>2</v>
          </cell>
          <cell r="K691">
            <v>1.5</v>
          </cell>
          <cell r="N691">
            <v>112</v>
          </cell>
          <cell r="O691">
            <v>11.2</v>
          </cell>
          <cell r="P691">
            <v>1344</v>
          </cell>
          <cell r="Q691">
            <v>134.4</v>
          </cell>
          <cell r="R691">
            <v>37.33</v>
          </cell>
          <cell r="S691">
            <v>3.73</v>
          </cell>
        </row>
        <row r="692">
          <cell r="D692">
            <v>2</v>
          </cell>
          <cell r="K692">
            <v>1.5</v>
          </cell>
          <cell r="N692">
            <v>128</v>
          </cell>
          <cell r="O692">
            <v>12.8</v>
          </cell>
          <cell r="P692">
            <v>1536</v>
          </cell>
          <cell r="Q692">
            <v>153.6</v>
          </cell>
          <cell r="R692">
            <v>42.67</v>
          </cell>
          <cell r="S692">
            <v>4.2699999999999996</v>
          </cell>
        </row>
        <row r="693">
          <cell r="D693">
            <v>2</v>
          </cell>
          <cell r="K693">
            <v>1.5</v>
          </cell>
          <cell r="N693">
            <v>128</v>
          </cell>
          <cell r="O693">
            <v>12.8</v>
          </cell>
          <cell r="P693">
            <v>1536</v>
          </cell>
          <cell r="Q693">
            <v>153.6</v>
          </cell>
          <cell r="R693">
            <v>42.67</v>
          </cell>
          <cell r="S693">
            <v>4.2699999999999996</v>
          </cell>
        </row>
        <row r="694">
          <cell r="D694">
            <v>2</v>
          </cell>
          <cell r="K694">
            <v>1.5</v>
          </cell>
          <cell r="N694">
            <v>128</v>
          </cell>
          <cell r="O694">
            <v>12.8</v>
          </cell>
          <cell r="P694">
            <v>1536</v>
          </cell>
          <cell r="Q694">
            <v>153.6</v>
          </cell>
          <cell r="R694">
            <v>42.67</v>
          </cell>
          <cell r="S694">
            <v>4.2699999999999996</v>
          </cell>
        </row>
        <row r="695">
          <cell r="D695">
            <v>2</v>
          </cell>
          <cell r="K695">
            <v>1.5</v>
          </cell>
          <cell r="N695">
            <v>128</v>
          </cell>
          <cell r="O695">
            <v>12.8</v>
          </cell>
          <cell r="P695">
            <v>1536</v>
          </cell>
          <cell r="Q695">
            <v>153.6</v>
          </cell>
          <cell r="R695">
            <v>42.67</v>
          </cell>
          <cell r="S695">
            <v>4.2699999999999996</v>
          </cell>
        </row>
        <row r="696">
          <cell r="D696">
            <v>2</v>
          </cell>
          <cell r="K696">
            <v>1.5</v>
          </cell>
          <cell r="N696">
            <v>128</v>
          </cell>
          <cell r="O696">
            <v>12.8</v>
          </cell>
          <cell r="P696">
            <v>1536</v>
          </cell>
          <cell r="Q696">
            <v>153.6</v>
          </cell>
          <cell r="R696">
            <v>42.67</v>
          </cell>
          <cell r="S696">
            <v>4.2699999999999996</v>
          </cell>
        </row>
        <row r="697">
          <cell r="D697">
            <v>2</v>
          </cell>
          <cell r="K697">
            <v>1.5</v>
          </cell>
          <cell r="N697">
            <v>144</v>
          </cell>
          <cell r="O697">
            <v>14.4</v>
          </cell>
          <cell r="P697">
            <v>1728</v>
          </cell>
          <cell r="Q697">
            <v>172.8</v>
          </cell>
          <cell r="R697">
            <v>48</v>
          </cell>
          <cell r="S697">
            <v>4.8</v>
          </cell>
        </row>
        <row r="698">
          <cell r="D698">
            <v>2</v>
          </cell>
          <cell r="K698">
            <v>1.5</v>
          </cell>
          <cell r="N698">
            <v>144</v>
          </cell>
          <cell r="O698">
            <v>14.4</v>
          </cell>
          <cell r="P698">
            <v>1728</v>
          </cell>
          <cell r="Q698">
            <v>172.8</v>
          </cell>
          <cell r="R698">
            <v>48</v>
          </cell>
          <cell r="S698">
            <v>4.8</v>
          </cell>
        </row>
        <row r="699">
          <cell r="D699">
            <v>2</v>
          </cell>
          <cell r="K699">
            <v>1.5</v>
          </cell>
          <cell r="N699">
            <v>144</v>
          </cell>
          <cell r="O699">
            <v>14.4</v>
          </cell>
          <cell r="P699">
            <v>1728</v>
          </cell>
          <cell r="Q699">
            <v>172.8</v>
          </cell>
          <cell r="R699">
            <v>48</v>
          </cell>
          <cell r="S699">
            <v>4.8</v>
          </cell>
        </row>
        <row r="700">
          <cell r="D700">
            <v>2</v>
          </cell>
          <cell r="K700">
            <v>1.5</v>
          </cell>
          <cell r="N700">
            <v>144</v>
          </cell>
          <cell r="O700">
            <v>14.4</v>
          </cell>
          <cell r="P700">
            <v>1728</v>
          </cell>
          <cell r="Q700">
            <v>172.8</v>
          </cell>
          <cell r="R700">
            <v>48</v>
          </cell>
          <cell r="S700">
            <v>4.8</v>
          </cell>
        </row>
        <row r="701">
          <cell r="D701">
            <v>2</v>
          </cell>
          <cell r="K701">
            <v>1.5</v>
          </cell>
          <cell r="N701">
            <v>144</v>
          </cell>
          <cell r="O701">
            <v>14.4</v>
          </cell>
          <cell r="P701">
            <v>1728</v>
          </cell>
          <cell r="Q701">
            <v>172.8</v>
          </cell>
          <cell r="R701">
            <v>48</v>
          </cell>
          <cell r="S701">
            <v>4.8</v>
          </cell>
        </row>
        <row r="702">
          <cell r="D702">
            <v>2</v>
          </cell>
          <cell r="K702">
            <v>1.5</v>
          </cell>
          <cell r="N702">
            <v>160</v>
          </cell>
          <cell r="O702">
            <v>16</v>
          </cell>
          <cell r="P702">
            <v>1920</v>
          </cell>
          <cell r="Q702">
            <v>192</v>
          </cell>
          <cell r="R702">
            <v>53.33</v>
          </cell>
          <cell r="S702">
            <v>5.33</v>
          </cell>
        </row>
        <row r="703">
          <cell r="D703">
            <v>2</v>
          </cell>
          <cell r="K703">
            <v>1.5</v>
          </cell>
          <cell r="N703">
            <v>160</v>
          </cell>
          <cell r="O703">
            <v>16</v>
          </cell>
          <cell r="P703">
            <v>1920</v>
          </cell>
          <cell r="Q703">
            <v>192</v>
          </cell>
          <cell r="R703">
            <v>53.33</v>
          </cell>
          <cell r="S703">
            <v>5.33</v>
          </cell>
        </row>
        <row r="704">
          <cell r="D704">
            <v>2</v>
          </cell>
          <cell r="K704">
            <v>1.5</v>
          </cell>
          <cell r="N704">
            <v>160</v>
          </cell>
          <cell r="O704">
            <v>16</v>
          </cell>
          <cell r="P704">
            <v>1920</v>
          </cell>
          <cell r="Q704">
            <v>192</v>
          </cell>
          <cell r="R704">
            <v>53.33</v>
          </cell>
          <cell r="S704">
            <v>5.33</v>
          </cell>
        </row>
        <row r="705">
          <cell r="D705">
            <v>2</v>
          </cell>
          <cell r="K705">
            <v>1.5</v>
          </cell>
          <cell r="N705">
            <v>160</v>
          </cell>
          <cell r="O705">
            <v>16</v>
          </cell>
          <cell r="P705">
            <v>1920</v>
          </cell>
          <cell r="Q705">
            <v>192</v>
          </cell>
          <cell r="R705">
            <v>53.33</v>
          </cell>
          <cell r="S705">
            <v>5.33</v>
          </cell>
        </row>
        <row r="706">
          <cell r="D706">
            <v>2</v>
          </cell>
          <cell r="K706">
            <v>1.5</v>
          </cell>
          <cell r="N706">
            <v>160</v>
          </cell>
          <cell r="O706">
            <v>16</v>
          </cell>
          <cell r="P706">
            <v>1920</v>
          </cell>
          <cell r="Q706">
            <v>192</v>
          </cell>
          <cell r="R706">
            <v>53.33</v>
          </cell>
          <cell r="S706">
            <v>5.33</v>
          </cell>
        </row>
        <row r="707">
          <cell r="D707">
            <v>2</v>
          </cell>
          <cell r="K707">
            <v>1.5</v>
          </cell>
          <cell r="N707">
            <v>176</v>
          </cell>
          <cell r="O707">
            <v>17.600000000000001</v>
          </cell>
          <cell r="P707">
            <v>2112</v>
          </cell>
          <cell r="Q707">
            <v>211.2</v>
          </cell>
          <cell r="R707">
            <v>58.67</v>
          </cell>
          <cell r="S707">
            <v>5.87</v>
          </cell>
        </row>
        <row r="708">
          <cell r="D708">
            <v>2</v>
          </cell>
          <cell r="K708">
            <v>1.5</v>
          </cell>
          <cell r="N708">
            <v>176</v>
          </cell>
          <cell r="O708">
            <v>17.600000000000001</v>
          </cell>
          <cell r="P708">
            <v>2112</v>
          </cell>
          <cell r="Q708">
            <v>211.2</v>
          </cell>
          <cell r="R708">
            <v>58.67</v>
          </cell>
          <cell r="S708">
            <v>5.87</v>
          </cell>
        </row>
        <row r="709">
          <cell r="D709">
            <v>2</v>
          </cell>
          <cell r="K709">
            <v>1.5</v>
          </cell>
          <cell r="N709">
            <v>176</v>
          </cell>
          <cell r="O709">
            <v>17.600000000000001</v>
          </cell>
          <cell r="P709">
            <v>2112</v>
          </cell>
          <cell r="Q709">
            <v>211.2</v>
          </cell>
          <cell r="R709">
            <v>58.67</v>
          </cell>
          <cell r="S709">
            <v>5.87</v>
          </cell>
        </row>
        <row r="710">
          <cell r="D710">
            <v>2</v>
          </cell>
          <cell r="K710">
            <v>1.5</v>
          </cell>
          <cell r="N710">
            <v>176</v>
          </cell>
          <cell r="O710">
            <v>17.600000000000001</v>
          </cell>
          <cell r="P710">
            <v>2112</v>
          </cell>
          <cell r="Q710">
            <v>211.2</v>
          </cell>
          <cell r="R710">
            <v>58.67</v>
          </cell>
          <cell r="S710">
            <v>5.87</v>
          </cell>
        </row>
        <row r="711">
          <cell r="D711">
            <v>2</v>
          </cell>
          <cell r="K711">
            <v>1.5</v>
          </cell>
          <cell r="N711">
            <v>176</v>
          </cell>
          <cell r="O711">
            <v>17.600000000000001</v>
          </cell>
          <cell r="P711">
            <v>2112</v>
          </cell>
          <cell r="Q711">
            <v>211.2</v>
          </cell>
          <cell r="R711">
            <v>58.67</v>
          </cell>
          <cell r="S711">
            <v>5.87</v>
          </cell>
        </row>
        <row r="712">
          <cell r="D712">
            <v>2</v>
          </cell>
          <cell r="K712">
            <v>1.5</v>
          </cell>
          <cell r="N712">
            <v>192</v>
          </cell>
          <cell r="O712">
            <v>19.2</v>
          </cell>
          <cell r="P712">
            <v>2304</v>
          </cell>
          <cell r="Q712">
            <v>230.4</v>
          </cell>
          <cell r="R712">
            <v>64</v>
          </cell>
          <cell r="S712">
            <v>6.4</v>
          </cell>
        </row>
        <row r="713">
          <cell r="D713">
            <v>2</v>
          </cell>
          <cell r="K713">
            <v>1.5</v>
          </cell>
          <cell r="N713">
            <v>192</v>
          </cell>
          <cell r="O713">
            <v>19.2</v>
          </cell>
          <cell r="P713">
            <v>2304</v>
          </cell>
          <cell r="Q713">
            <v>230.4</v>
          </cell>
          <cell r="R713">
            <v>64</v>
          </cell>
          <cell r="S713">
            <v>6.4</v>
          </cell>
        </row>
        <row r="714">
          <cell r="D714">
            <v>2</v>
          </cell>
          <cell r="K714">
            <v>1.5</v>
          </cell>
          <cell r="N714">
            <v>192</v>
          </cell>
          <cell r="O714">
            <v>19.2</v>
          </cell>
          <cell r="P714">
            <v>2304</v>
          </cell>
          <cell r="Q714">
            <v>230.4</v>
          </cell>
          <cell r="R714">
            <v>64</v>
          </cell>
          <cell r="S714">
            <v>6.4</v>
          </cell>
        </row>
        <row r="715">
          <cell r="D715">
            <v>2</v>
          </cell>
          <cell r="K715">
            <v>1.5</v>
          </cell>
          <cell r="N715">
            <v>192</v>
          </cell>
          <cell r="O715">
            <v>19.2</v>
          </cell>
          <cell r="P715">
            <v>2304</v>
          </cell>
          <cell r="Q715">
            <v>230.4</v>
          </cell>
          <cell r="R715">
            <v>64</v>
          </cell>
          <cell r="S715">
            <v>6.4</v>
          </cell>
        </row>
        <row r="716">
          <cell r="D716">
            <v>2</v>
          </cell>
          <cell r="K716">
            <v>1.5</v>
          </cell>
          <cell r="N716">
            <v>192</v>
          </cell>
          <cell r="O716">
            <v>19.2</v>
          </cell>
          <cell r="P716">
            <v>2304</v>
          </cell>
          <cell r="Q716">
            <v>230.4</v>
          </cell>
          <cell r="R716">
            <v>64</v>
          </cell>
          <cell r="S716">
            <v>6.4</v>
          </cell>
        </row>
        <row r="717">
          <cell r="D717">
            <v>2</v>
          </cell>
          <cell r="K717">
            <v>1.5</v>
          </cell>
          <cell r="N717">
            <v>208</v>
          </cell>
          <cell r="O717">
            <v>20.8</v>
          </cell>
          <cell r="P717">
            <v>2496</v>
          </cell>
          <cell r="Q717">
            <v>249.6</v>
          </cell>
          <cell r="R717">
            <v>69.33</v>
          </cell>
          <cell r="S717">
            <v>6.93</v>
          </cell>
        </row>
        <row r="718">
          <cell r="D718">
            <v>2</v>
          </cell>
          <cell r="K718">
            <v>1.5</v>
          </cell>
          <cell r="N718">
            <v>208</v>
          </cell>
          <cell r="O718">
            <v>20.8</v>
          </cell>
          <cell r="P718">
            <v>2496</v>
          </cell>
          <cell r="Q718">
            <v>249.6</v>
          </cell>
          <cell r="R718">
            <v>69.33</v>
          </cell>
          <cell r="S718">
            <v>6.93</v>
          </cell>
        </row>
        <row r="719">
          <cell r="D719">
            <v>2</v>
          </cell>
          <cell r="K719">
            <v>1.5</v>
          </cell>
          <cell r="N719">
            <v>208</v>
          </cell>
          <cell r="O719">
            <v>20.8</v>
          </cell>
          <cell r="P719">
            <v>2496</v>
          </cell>
          <cell r="Q719">
            <v>249.6</v>
          </cell>
          <cell r="R719">
            <v>69.33</v>
          </cell>
          <cell r="S719">
            <v>6.93</v>
          </cell>
        </row>
        <row r="720">
          <cell r="D720">
            <v>2</v>
          </cell>
          <cell r="K720">
            <v>1.5</v>
          </cell>
          <cell r="N720">
            <v>208</v>
          </cell>
          <cell r="O720">
            <v>20.8</v>
          </cell>
          <cell r="P720">
            <v>2496</v>
          </cell>
          <cell r="Q720">
            <v>249.6</v>
          </cell>
          <cell r="R720">
            <v>69.33</v>
          </cell>
          <cell r="S720">
            <v>6.93</v>
          </cell>
        </row>
        <row r="721">
          <cell r="D721">
            <v>2</v>
          </cell>
          <cell r="K721">
            <v>1.5</v>
          </cell>
          <cell r="N721">
            <v>208</v>
          </cell>
          <cell r="O721">
            <v>20.8</v>
          </cell>
          <cell r="P721">
            <v>2496</v>
          </cell>
          <cell r="Q721">
            <v>249.6</v>
          </cell>
          <cell r="R721">
            <v>69.33</v>
          </cell>
          <cell r="S721">
            <v>6.93</v>
          </cell>
        </row>
        <row r="722">
          <cell r="D722">
            <v>2</v>
          </cell>
          <cell r="K722">
            <v>1.5</v>
          </cell>
          <cell r="N722">
            <v>224</v>
          </cell>
          <cell r="O722">
            <v>22.4</v>
          </cell>
          <cell r="P722">
            <v>2688</v>
          </cell>
          <cell r="Q722">
            <v>268.8</v>
          </cell>
          <cell r="R722">
            <v>74.67</v>
          </cell>
          <cell r="S722">
            <v>7.47</v>
          </cell>
        </row>
        <row r="723">
          <cell r="D723">
            <v>2</v>
          </cell>
          <cell r="K723">
            <v>1.5</v>
          </cell>
          <cell r="N723">
            <v>224</v>
          </cell>
          <cell r="O723">
            <v>22.4</v>
          </cell>
          <cell r="P723">
            <v>2688</v>
          </cell>
          <cell r="Q723">
            <v>268.8</v>
          </cell>
          <cell r="R723">
            <v>74.67</v>
          </cell>
          <cell r="S723">
            <v>7.47</v>
          </cell>
        </row>
        <row r="724">
          <cell r="D724">
            <v>2</v>
          </cell>
          <cell r="K724">
            <v>1.5</v>
          </cell>
          <cell r="N724">
            <v>224</v>
          </cell>
          <cell r="O724">
            <v>22.4</v>
          </cell>
          <cell r="P724">
            <v>2688</v>
          </cell>
          <cell r="Q724">
            <v>268.8</v>
          </cell>
          <cell r="R724">
            <v>74.67</v>
          </cell>
          <cell r="S724">
            <v>7.47</v>
          </cell>
        </row>
        <row r="725">
          <cell r="D725">
            <v>2</v>
          </cell>
          <cell r="K725">
            <v>1.5</v>
          </cell>
          <cell r="N725">
            <v>224</v>
          </cell>
          <cell r="O725">
            <v>22.4</v>
          </cell>
          <cell r="P725">
            <v>2688</v>
          </cell>
          <cell r="Q725">
            <v>268.8</v>
          </cell>
          <cell r="R725">
            <v>74.67</v>
          </cell>
          <cell r="S725">
            <v>7.47</v>
          </cell>
        </row>
        <row r="726">
          <cell r="D726">
            <v>2</v>
          </cell>
          <cell r="K726">
            <v>1.5</v>
          </cell>
          <cell r="N726">
            <v>224</v>
          </cell>
          <cell r="O726">
            <v>22.4</v>
          </cell>
          <cell r="P726">
            <v>2688</v>
          </cell>
          <cell r="Q726">
            <v>268.8</v>
          </cell>
          <cell r="R726">
            <v>74.67</v>
          </cell>
          <cell r="S726">
            <v>7.47</v>
          </cell>
        </row>
        <row r="727">
          <cell r="D727">
            <v>2</v>
          </cell>
          <cell r="K727">
            <v>1.5</v>
          </cell>
          <cell r="N727">
            <v>240</v>
          </cell>
          <cell r="O727">
            <v>24</v>
          </cell>
          <cell r="P727">
            <v>2880</v>
          </cell>
          <cell r="Q727">
            <v>288</v>
          </cell>
          <cell r="R727">
            <v>80</v>
          </cell>
          <cell r="S727">
            <v>8</v>
          </cell>
        </row>
        <row r="728">
          <cell r="D728">
            <v>2</v>
          </cell>
          <cell r="K728">
            <v>1.5</v>
          </cell>
          <cell r="N728">
            <v>240</v>
          </cell>
          <cell r="O728">
            <v>24</v>
          </cell>
          <cell r="P728">
            <v>2880</v>
          </cell>
          <cell r="Q728">
            <v>288</v>
          </cell>
          <cell r="R728">
            <v>80</v>
          </cell>
          <cell r="S728">
            <v>8</v>
          </cell>
        </row>
        <row r="729">
          <cell r="D729">
            <v>2</v>
          </cell>
          <cell r="K729">
            <v>1.5</v>
          </cell>
          <cell r="N729">
            <v>240</v>
          </cell>
          <cell r="O729">
            <v>24</v>
          </cell>
          <cell r="P729">
            <v>2880</v>
          </cell>
          <cell r="Q729">
            <v>288</v>
          </cell>
          <cell r="R729">
            <v>80</v>
          </cell>
          <cell r="S729">
            <v>8</v>
          </cell>
        </row>
        <row r="730">
          <cell r="D730">
            <v>2</v>
          </cell>
          <cell r="K730">
            <v>1.5</v>
          </cell>
          <cell r="N730">
            <v>240</v>
          </cell>
          <cell r="O730">
            <v>24</v>
          </cell>
          <cell r="P730">
            <v>2880</v>
          </cell>
          <cell r="Q730">
            <v>288</v>
          </cell>
          <cell r="R730">
            <v>80</v>
          </cell>
          <cell r="S730">
            <v>8</v>
          </cell>
        </row>
        <row r="731">
          <cell r="D731">
            <v>2</v>
          </cell>
          <cell r="K731">
            <v>1.5</v>
          </cell>
          <cell r="N731">
            <v>240</v>
          </cell>
          <cell r="O731">
            <v>24</v>
          </cell>
          <cell r="P731">
            <v>2880</v>
          </cell>
          <cell r="Q731">
            <v>288</v>
          </cell>
          <cell r="R731">
            <v>80</v>
          </cell>
          <cell r="S731">
            <v>8</v>
          </cell>
        </row>
        <row r="732">
          <cell r="D732">
            <v>2</v>
          </cell>
          <cell r="K732">
            <v>1.5</v>
          </cell>
          <cell r="N732">
            <v>256</v>
          </cell>
          <cell r="O732">
            <v>25.6</v>
          </cell>
          <cell r="P732">
            <v>3072</v>
          </cell>
          <cell r="Q732">
            <v>307.2</v>
          </cell>
          <cell r="R732">
            <v>85.33</v>
          </cell>
          <cell r="S732">
            <v>8.5299999999999994</v>
          </cell>
        </row>
        <row r="733">
          <cell r="D733">
            <v>2</v>
          </cell>
          <cell r="K733">
            <v>1.5</v>
          </cell>
          <cell r="N733">
            <v>256</v>
          </cell>
          <cell r="O733">
            <v>25.6</v>
          </cell>
          <cell r="P733">
            <v>3072</v>
          </cell>
          <cell r="Q733">
            <v>307.2</v>
          </cell>
          <cell r="R733">
            <v>85.33</v>
          </cell>
          <cell r="S733">
            <v>8.5299999999999994</v>
          </cell>
        </row>
        <row r="734">
          <cell r="D734">
            <v>2</v>
          </cell>
          <cell r="K734">
            <v>1.5</v>
          </cell>
          <cell r="N734">
            <v>256</v>
          </cell>
          <cell r="O734">
            <v>25.6</v>
          </cell>
          <cell r="P734">
            <v>3072</v>
          </cell>
          <cell r="Q734">
            <v>307.2</v>
          </cell>
          <cell r="R734">
            <v>85.33</v>
          </cell>
          <cell r="S734">
            <v>8.5299999999999994</v>
          </cell>
        </row>
        <row r="735">
          <cell r="D735">
            <v>2</v>
          </cell>
          <cell r="K735">
            <v>1.5</v>
          </cell>
          <cell r="N735">
            <v>256</v>
          </cell>
          <cell r="O735">
            <v>25.6</v>
          </cell>
          <cell r="P735">
            <v>3072</v>
          </cell>
          <cell r="Q735">
            <v>307.2</v>
          </cell>
          <cell r="R735">
            <v>85.33</v>
          </cell>
          <cell r="S735">
            <v>8.5299999999999994</v>
          </cell>
        </row>
        <row r="736">
          <cell r="D736">
            <v>2</v>
          </cell>
          <cell r="K736">
            <v>1.5</v>
          </cell>
          <cell r="N736">
            <v>256</v>
          </cell>
          <cell r="O736">
            <v>25.6</v>
          </cell>
          <cell r="P736">
            <v>3072</v>
          </cell>
          <cell r="Q736">
            <v>307.2</v>
          </cell>
          <cell r="R736">
            <v>85.33</v>
          </cell>
          <cell r="S736">
            <v>8.5299999999999994</v>
          </cell>
        </row>
        <row r="737">
          <cell r="D737">
            <v>2</v>
          </cell>
          <cell r="K737">
            <v>1.6</v>
          </cell>
          <cell r="N737">
            <v>85.33</v>
          </cell>
          <cell r="O737">
            <v>8.5299999999999994</v>
          </cell>
          <cell r="P737">
            <v>960</v>
          </cell>
          <cell r="Q737">
            <v>96</v>
          </cell>
          <cell r="R737">
            <v>28.44</v>
          </cell>
          <cell r="S737">
            <v>2.84</v>
          </cell>
        </row>
        <row r="738">
          <cell r="D738">
            <v>2</v>
          </cell>
          <cell r="K738">
            <v>1.6</v>
          </cell>
          <cell r="N738">
            <v>85.33</v>
          </cell>
          <cell r="O738">
            <v>8.5299999999999994</v>
          </cell>
          <cell r="P738">
            <v>960</v>
          </cell>
          <cell r="Q738">
            <v>96</v>
          </cell>
          <cell r="R738">
            <v>28.44</v>
          </cell>
          <cell r="S738">
            <v>2.84</v>
          </cell>
        </row>
        <row r="739">
          <cell r="D739">
            <v>2</v>
          </cell>
          <cell r="K739">
            <v>1.6</v>
          </cell>
          <cell r="N739">
            <v>85.33</v>
          </cell>
          <cell r="O739">
            <v>8.5299999999999994</v>
          </cell>
          <cell r="P739">
            <v>960</v>
          </cell>
          <cell r="Q739">
            <v>96</v>
          </cell>
          <cell r="R739">
            <v>28.44</v>
          </cell>
          <cell r="S739">
            <v>2.84</v>
          </cell>
        </row>
        <row r="740">
          <cell r="D740">
            <v>2</v>
          </cell>
          <cell r="K740">
            <v>1.6</v>
          </cell>
          <cell r="N740">
            <v>85.33</v>
          </cell>
          <cell r="O740">
            <v>8.5299999999999994</v>
          </cell>
          <cell r="P740">
            <v>960</v>
          </cell>
          <cell r="Q740">
            <v>96</v>
          </cell>
          <cell r="R740">
            <v>28.44</v>
          </cell>
          <cell r="S740">
            <v>2.84</v>
          </cell>
        </row>
        <row r="741">
          <cell r="D741">
            <v>2</v>
          </cell>
          <cell r="K741">
            <v>1.6</v>
          </cell>
          <cell r="N741">
            <v>85.33</v>
          </cell>
          <cell r="O741">
            <v>8.5299999999999994</v>
          </cell>
          <cell r="P741">
            <v>960</v>
          </cell>
          <cell r="Q741">
            <v>96</v>
          </cell>
          <cell r="R741">
            <v>28.44</v>
          </cell>
          <cell r="S741">
            <v>2.84</v>
          </cell>
        </row>
        <row r="742">
          <cell r="D742">
            <v>2</v>
          </cell>
          <cell r="K742">
            <v>1.6</v>
          </cell>
          <cell r="N742">
            <v>93.87</v>
          </cell>
          <cell r="O742">
            <v>9.39</v>
          </cell>
          <cell r="P742">
            <v>1056</v>
          </cell>
          <cell r="Q742">
            <v>105.6</v>
          </cell>
          <cell r="R742">
            <v>31.29</v>
          </cell>
          <cell r="S742">
            <v>3.13</v>
          </cell>
        </row>
        <row r="743">
          <cell r="D743">
            <v>2</v>
          </cell>
          <cell r="K743">
            <v>1.6</v>
          </cell>
          <cell r="N743">
            <v>93.87</v>
          </cell>
          <cell r="O743">
            <v>9.39</v>
          </cell>
          <cell r="P743">
            <v>1056</v>
          </cell>
          <cell r="Q743">
            <v>105.6</v>
          </cell>
          <cell r="R743">
            <v>31.29</v>
          </cell>
          <cell r="S743">
            <v>3.13</v>
          </cell>
        </row>
        <row r="744">
          <cell r="D744">
            <v>2</v>
          </cell>
          <cell r="K744">
            <v>1.6</v>
          </cell>
          <cell r="N744">
            <v>93.87</v>
          </cell>
          <cell r="O744">
            <v>9.39</v>
          </cell>
          <cell r="P744">
            <v>1056</v>
          </cell>
          <cell r="Q744">
            <v>105.6</v>
          </cell>
          <cell r="R744">
            <v>31.29</v>
          </cell>
          <cell r="S744">
            <v>3.13</v>
          </cell>
        </row>
        <row r="745">
          <cell r="D745">
            <v>2</v>
          </cell>
          <cell r="K745">
            <v>1.6</v>
          </cell>
          <cell r="N745">
            <v>93.87</v>
          </cell>
          <cell r="O745">
            <v>9.39</v>
          </cell>
          <cell r="P745">
            <v>1056</v>
          </cell>
          <cell r="Q745">
            <v>105.6</v>
          </cell>
          <cell r="R745">
            <v>31.29</v>
          </cell>
          <cell r="S745">
            <v>3.13</v>
          </cell>
        </row>
        <row r="746">
          <cell r="D746">
            <v>2</v>
          </cell>
          <cell r="K746">
            <v>1.6</v>
          </cell>
          <cell r="N746">
            <v>93.87</v>
          </cell>
          <cell r="O746">
            <v>9.39</v>
          </cell>
          <cell r="P746">
            <v>1056</v>
          </cell>
          <cell r="Q746">
            <v>105.6</v>
          </cell>
          <cell r="R746">
            <v>31.29</v>
          </cell>
          <cell r="S746">
            <v>3.13</v>
          </cell>
        </row>
        <row r="747">
          <cell r="D747">
            <v>2</v>
          </cell>
          <cell r="K747">
            <v>1.6</v>
          </cell>
          <cell r="N747">
            <v>102.4</v>
          </cell>
          <cell r="O747">
            <v>10.24</v>
          </cell>
          <cell r="P747">
            <v>1152</v>
          </cell>
          <cell r="Q747">
            <v>115.2</v>
          </cell>
          <cell r="R747">
            <v>34.130000000000003</v>
          </cell>
          <cell r="S747">
            <v>3.41</v>
          </cell>
        </row>
        <row r="748">
          <cell r="D748">
            <v>2</v>
          </cell>
          <cell r="K748">
            <v>1.6</v>
          </cell>
          <cell r="N748">
            <v>102.4</v>
          </cell>
          <cell r="O748">
            <v>10.24</v>
          </cell>
          <cell r="P748">
            <v>1152</v>
          </cell>
          <cell r="Q748">
            <v>115.2</v>
          </cell>
          <cell r="R748">
            <v>34.130000000000003</v>
          </cell>
          <cell r="S748">
            <v>3.41</v>
          </cell>
        </row>
        <row r="749">
          <cell r="D749">
            <v>2</v>
          </cell>
          <cell r="K749">
            <v>1.6</v>
          </cell>
          <cell r="N749">
            <v>102.4</v>
          </cell>
          <cell r="O749">
            <v>10.24</v>
          </cell>
          <cell r="P749">
            <v>1152</v>
          </cell>
          <cell r="Q749">
            <v>115.2</v>
          </cell>
          <cell r="R749">
            <v>34.130000000000003</v>
          </cell>
          <cell r="S749">
            <v>3.41</v>
          </cell>
        </row>
        <row r="750">
          <cell r="D750">
            <v>2</v>
          </cell>
          <cell r="K750">
            <v>1.6</v>
          </cell>
          <cell r="N750">
            <v>102.4</v>
          </cell>
          <cell r="O750">
            <v>10.24</v>
          </cell>
          <cell r="P750">
            <v>1152</v>
          </cell>
          <cell r="Q750">
            <v>115.2</v>
          </cell>
          <cell r="R750">
            <v>34.130000000000003</v>
          </cell>
          <cell r="S750">
            <v>3.41</v>
          </cell>
        </row>
        <row r="751">
          <cell r="D751">
            <v>2</v>
          </cell>
          <cell r="K751">
            <v>1.6</v>
          </cell>
          <cell r="N751">
            <v>102.4</v>
          </cell>
          <cell r="O751">
            <v>10.24</v>
          </cell>
          <cell r="P751">
            <v>1152</v>
          </cell>
          <cell r="Q751">
            <v>115.2</v>
          </cell>
          <cell r="R751">
            <v>34.130000000000003</v>
          </cell>
          <cell r="S751">
            <v>3.41</v>
          </cell>
        </row>
        <row r="752">
          <cell r="D752">
            <v>2</v>
          </cell>
          <cell r="K752">
            <v>1.6</v>
          </cell>
          <cell r="N752">
            <v>119.47</v>
          </cell>
          <cell r="O752">
            <v>11.95</v>
          </cell>
          <cell r="P752">
            <v>1344</v>
          </cell>
          <cell r="Q752">
            <v>134.4</v>
          </cell>
          <cell r="R752">
            <v>39.82</v>
          </cell>
          <cell r="S752">
            <v>3.98</v>
          </cell>
        </row>
        <row r="753">
          <cell r="D753">
            <v>2</v>
          </cell>
          <cell r="K753">
            <v>1.6</v>
          </cell>
          <cell r="N753">
            <v>119.47</v>
          </cell>
          <cell r="O753">
            <v>11.95</v>
          </cell>
          <cell r="P753">
            <v>1344</v>
          </cell>
          <cell r="Q753">
            <v>134.4</v>
          </cell>
          <cell r="R753">
            <v>39.82</v>
          </cell>
          <cell r="S753">
            <v>3.98</v>
          </cell>
        </row>
        <row r="754">
          <cell r="D754">
            <v>2</v>
          </cell>
          <cell r="K754">
            <v>1.6</v>
          </cell>
          <cell r="N754">
            <v>119.47</v>
          </cell>
          <cell r="O754">
            <v>11.95</v>
          </cell>
          <cell r="P754">
            <v>1344</v>
          </cell>
          <cell r="Q754">
            <v>134.4</v>
          </cell>
          <cell r="R754">
            <v>39.82</v>
          </cell>
          <cell r="S754">
            <v>3.98</v>
          </cell>
        </row>
        <row r="755">
          <cell r="D755">
            <v>2</v>
          </cell>
          <cell r="K755">
            <v>1.6</v>
          </cell>
          <cell r="N755">
            <v>119.47</v>
          </cell>
          <cell r="O755">
            <v>11.95</v>
          </cell>
          <cell r="P755">
            <v>1344</v>
          </cell>
          <cell r="Q755">
            <v>134.4</v>
          </cell>
          <cell r="R755">
            <v>39.82</v>
          </cell>
          <cell r="S755">
            <v>3.98</v>
          </cell>
        </row>
        <row r="756">
          <cell r="D756">
            <v>2</v>
          </cell>
          <cell r="K756">
            <v>1.6</v>
          </cell>
          <cell r="N756">
            <v>119.47</v>
          </cell>
          <cell r="O756">
            <v>11.95</v>
          </cell>
          <cell r="P756">
            <v>1344</v>
          </cell>
          <cell r="Q756">
            <v>134.4</v>
          </cell>
          <cell r="R756">
            <v>39.82</v>
          </cell>
          <cell r="S756">
            <v>3.98</v>
          </cell>
        </row>
        <row r="757">
          <cell r="D757">
            <v>2</v>
          </cell>
          <cell r="K757">
            <v>1.6</v>
          </cell>
          <cell r="N757">
            <v>136.53</v>
          </cell>
          <cell r="O757">
            <v>13.65</v>
          </cell>
          <cell r="P757">
            <v>1536</v>
          </cell>
          <cell r="Q757">
            <v>153.6</v>
          </cell>
          <cell r="R757">
            <v>45.51</v>
          </cell>
          <cell r="S757">
            <v>4.55</v>
          </cell>
        </row>
        <row r="758">
          <cell r="D758">
            <v>2</v>
          </cell>
          <cell r="K758">
            <v>1.6</v>
          </cell>
          <cell r="N758">
            <v>136.53</v>
          </cell>
          <cell r="O758">
            <v>13.65</v>
          </cell>
          <cell r="P758">
            <v>1536</v>
          </cell>
          <cell r="Q758">
            <v>153.6</v>
          </cell>
          <cell r="R758">
            <v>45.51</v>
          </cell>
          <cell r="S758">
            <v>4.55</v>
          </cell>
        </row>
        <row r="759">
          <cell r="D759">
            <v>2</v>
          </cell>
          <cell r="K759">
            <v>1.6</v>
          </cell>
          <cell r="N759">
            <v>136.53</v>
          </cell>
          <cell r="O759">
            <v>13.65</v>
          </cell>
          <cell r="P759">
            <v>1536</v>
          </cell>
          <cell r="Q759">
            <v>153.6</v>
          </cell>
          <cell r="R759">
            <v>45.51</v>
          </cell>
          <cell r="S759">
            <v>4.55</v>
          </cell>
        </row>
        <row r="760">
          <cell r="D760">
            <v>2</v>
          </cell>
          <cell r="K760">
            <v>1.6</v>
          </cell>
          <cell r="N760">
            <v>136.53</v>
          </cell>
          <cell r="O760">
            <v>13.65</v>
          </cell>
          <cell r="P760">
            <v>1536</v>
          </cell>
          <cell r="Q760">
            <v>153.6</v>
          </cell>
          <cell r="R760">
            <v>45.51</v>
          </cell>
          <cell r="S760">
            <v>4.55</v>
          </cell>
        </row>
        <row r="761">
          <cell r="D761">
            <v>2</v>
          </cell>
          <cell r="K761">
            <v>1.6</v>
          </cell>
          <cell r="N761">
            <v>136.53</v>
          </cell>
          <cell r="O761">
            <v>13.65</v>
          </cell>
          <cell r="P761">
            <v>1536</v>
          </cell>
          <cell r="Q761">
            <v>153.6</v>
          </cell>
          <cell r="R761">
            <v>45.51</v>
          </cell>
          <cell r="S761">
            <v>4.55</v>
          </cell>
        </row>
        <row r="762">
          <cell r="D762">
            <v>2</v>
          </cell>
          <cell r="K762">
            <v>1.6</v>
          </cell>
          <cell r="N762">
            <v>153.6</v>
          </cell>
          <cell r="O762">
            <v>15.36</v>
          </cell>
          <cell r="P762">
            <v>1728</v>
          </cell>
          <cell r="Q762">
            <v>172.8</v>
          </cell>
          <cell r="R762">
            <v>51.2</v>
          </cell>
          <cell r="S762">
            <v>5.12</v>
          </cell>
        </row>
        <row r="763">
          <cell r="D763">
            <v>2</v>
          </cell>
          <cell r="K763">
            <v>1.6</v>
          </cell>
          <cell r="N763">
            <v>153.6</v>
          </cell>
          <cell r="O763">
            <v>15.36</v>
          </cell>
          <cell r="P763">
            <v>1728</v>
          </cell>
          <cell r="Q763">
            <v>172.8</v>
          </cell>
          <cell r="R763">
            <v>51.2</v>
          </cell>
          <cell r="S763">
            <v>5.12</v>
          </cell>
        </row>
        <row r="764">
          <cell r="D764">
            <v>2</v>
          </cell>
          <cell r="K764">
            <v>1.6</v>
          </cell>
          <cell r="N764">
            <v>153.6</v>
          </cell>
          <cell r="O764">
            <v>15.36</v>
          </cell>
          <cell r="P764">
            <v>1728</v>
          </cell>
          <cell r="Q764">
            <v>172.8</v>
          </cell>
          <cell r="R764">
            <v>51.2</v>
          </cell>
          <cell r="S764">
            <v>5.12</v>
          </cell>
        </row>
        <row r="765">
          <cell r="D765">
            <v>2</v>
          </cell>
          <cell r="K765">
            <v>1.6</v>
          </cell>
          <cell r="N765">
            <v>153.6</v>
          </cell>
          <cell r="O765">
            <v>15.36</v>
          </cell>
          <cell r="P765">
            <v>1728</v>
          </cell>
          <cell r="Q765">
            <v>172.8</v>
          </cell>
          <cell r="R765">
            <v>51.2</v>
          </cell>
          <cell r="S765">
            <v>5.12</v>
          </cell>
        </row>
        <row r="766">
          <cell r="D766">
            <v>2</v>
          </cell>
          <cell r="K766">
            <v>1.6</v>
          </cell>
          <cell r="N766">
            <v>153.6</v>
          </cell>
          <cell r="O766">
            <v>15.36</v>
          </cell>
          <cell r="P766">
            <v>1728</v>
          </cell>
          <cell r="Q766">
            <v>172.8</v>
          </cell>
          <cell r="R766">
            <v>51.2</v>
          </cell>
          <cell r="S766">
            <v>5.12</v>
          </cell>
        </row>
        <row r="767">
          <cell r="D767">
            <v>2</v>
          </cell>
          <cell r="K767">
            <v>1.6</v>
          </cell>
          <cell r="N767">
            <v>170.67</v>
          </cell>
          <cell r="O767">
            <v>17.07</v>
          </cell>
          <cell r="P767">
            <v>1920</v>
          </cell>
          <cell r="Q767">
            <v>192</v>
          </cell>
          <cell r="R767">
            <v>56.89</v>
          </cell>
          <cell r="S767">
            <v>5.69</v>
          </cell>
        </row>
        <row r="768">
          <cell r="D768">
            <v>2</v>
          </cell>
          <cell r="K768">
            <v>1.6</v>
          </cell>
          <cell r="N768">
            <v>170.67</v>
          </cell>
          <cell r="O768">
            <v>17.07</v>
          </cell>
          <cell r="P768">
            <v>1920</v>
          </cell>
          <cell r="Q768">
            <v>192</v>
          </cell>
          <cell r="R768">
            <v>56.89</v>
          </cell>
          <cell r="S768">
            <v>5.69</v>
          </cell>
        </row>
        <row r="769">
          <cell r="D769">
            <v>2</v>
          </cell>
          <cell r="K769">
            <v>1.6</v>
          </cell>
          <cell r="N769">
            <v>170.67</v>
          </cell>
          <cell r="O769">
            <v>17.07</v>
          </cell>
          <cell r="P769">
            <v>1920</v>
          </cell>
          <cell r="Q769">
            <v>192</v>
          </cell>
          <cell r="R769">
            <v>56.89</v>
          </cell>
          <cell r="S769">
            <v>5.69</v>
          </cell>
        </row>
        <row r="770">
          <cell r="D770">
            <v>2</v>
          </cell>
          <cell r="K770">
            <v>1.6</v>
          </cell>
          <cell r="N770">
            <v>170.67</v>
          </cell>
          <cell r="O770">
            <v>17.07</v>
          </cell>
          <cell r="P770">
            <v>1920</v>
          </cell>
          <cell r="Q770">
            <v>192</v>
          </cell>
          <cell r="R770">
            <v>56.89</v>
          </cell>
          <cell r="S770">
            <v>5.69</v>
          </cell>
        </row>
        <row r="771">
          <cell r="D771">
            <v>2</v>
          </cell>
          <cell r="K771">
            <v>1.6</v>
          </cell>
          <cell r="N771">
            <v>170.67</v>
          </cell>
          <cell r="O771">
            <v>17.07</v>
          </cell>
          <cell r="P771">
            <v>1920</v>
          </cell>
          <cell r="Q771">
            <v>192</v>
          </cell>
          <cell r="R771">
            <v>56.89</v>
          </cell>
          <cell r="S771">
            <v>5.69</v>
          </cell>
        </row>
        <row r="772">
          <cell r="D772">
            <v>2</v>
          </cell>
          <cell r="K772">
            <v>1.6</v>
          </cell>
          <cell r="N772">
            <v>187.73</v>
          </cell>
          <cell r="O772">
            <v>18.77</v>
          </cell>
          <cell r="P772">
            <v>2112</v>
          </cell>
          <cell r="Q772">
            <v>211.2</v>
          </cell>
          <cell r="R772">
            <v>62.58</v>
          </cell>
          <cell r="S772">
            <v>6.26</v>
          </cell>
        </row>
        <row r="773">
          <cell r="D773">
            <v>2</v>
          </cell>
          <cell r="K773">
            <v>1.6</v>
          </cell>
          <cell r="N773">
            <v>187.73</v>
          </cell>
          <cell r="O773">
            <v>18.77</v>
          </cell>
          <cell r="P773">
            <v>2112</v>
          </cell>
          <cell r="Q773">
            <v>211.2</v>
          </cell>
          <cell r="R773">
            <v>62.58</v>
          </cell>
          <cell r="S773">
            <v>6.26</v>
          </cell>
        </row>
        <row r="774">
          <cell r="D774">
            <v>2</v>
          </cell>
          <cell r="K774">
            <v>1.6</v>
          </cell>
          <cell r="N774">
            <v>187.73</v>
          </cell>
          <cell r="O774">
            <v>18.77</v>
          </cell>
          <cell r="P774">
            <v>2112</v>
          </cell>
          <cell r="Q774">
            <v>211.2</v>
          </cell>
          <cell r="R774">
            <v>62.58</v>
          </cell>
          <cell r="S774">
            <v>6.26</v>
          </cell>
        </row>
        <row r="775">
          <cell r="D775">
            <v>2</v>
          </cell>
          <cell r="K775">
            <v>1.6</v>
          </cell>
          <cell r="N775">
            <v>187.73</v>
          </cell>
          <cell r="O775">
            <v>18.77</v>
          </cell>
          <cell r="P775">
            <v>2112</v>
          </cell>
          <cell r="Q775">
            <v>211.2</v>
          </cell>
          <cell r="R775">
            <v>62.58</v>
          </cell>
          <cell r="S775">
            <v>6.26</v>
          </cell>
        </row>
        <row r="776">
          <cell r="D776">
            <v>2</v>
          </cell>
          <cell r="K776">
            <v>1.6</v>
          </cell>
          <cell r="N776">
            <v>187.73</v>
          </cell>
          <cell r="O776">
            <v>18.77</v>
          </cell>
          <cell r="P776">
            <v>2112</v>
          </cell>
          <cell r="Q776">
            <v>211.2</v>
          </cell>
          <cell r="R776">
            <v>62.58</v>
          </cell>
          <cell r="S776">
            <v>6.26</v>
          </cell>
        </row>
        <row r="777">
          <cell r="D777">
            <v>2</v>
          </cell>
          <cell r="K777">
            <v>1.6</v>
          </cell>
          <cell r="N777">
            <v>204.8</v>
          </cell>
          <cell r="O777">
            <v>20.48</v>
          </cell>
          <cell r="P777">
            <v>2304</v>
          </cell>
          <cell r="Q777">
            <v>230.4</v>
          </cell>
          <cell r="R777">
            <v>68.27</v>
          </cell>
          <cell r="S777">
            <v>6.83</v>
          </cell>
        </row>
        <row r="778">
          <cell r="D778">
            <v>2</v>
          </cell>
          <cell r="K778">
            <v>1.6</v>
          </cell>
          <cell r="N778">
            <v>204.8</v>
          </cell>
          <cell r="O778">
            <v>20.48</v>
          </cell>
          <cell r="P778">
            <v>2304</v>
          </cell>
          <cell r="Q778">
            <v>230.4</v>
          </cell>
          <cell r="R778">
            <v>68.27</v>
          </cell>
          <cell r="S778">
            <v>6.83</v>
          </cell>
        </row>
        <row r="779">
          <cell r="D779">
            <v>2</v>
          </cell>
          <cell r="K779">
            <v>1.6</v>
          </cell>
          <cell r="N779">
            <v>204.8</v>
          </cell>
          <cell r="O779">
            <v>20.48</v>
          </cell>
          <cell r="P779">
            <v>2304</v>
          </cell>
          <cell r="Q779">
            <v>230.4</v>
          </cell>
          <cell r="R779">
            <v>68.27</v>
          </cell>
          <cell r="S779">
            <v>6.83</v>
          </cell>
        </row>
        <row r="780">
          <cell r="D780">
            <v>2</v>
          </cell>
          <cell r="K780">
            <v>1.6</v>
          </cell>
          <cell r="N780">
            <v>204.8</v>
          </cell>
          <cell r="O780">
            <v>20.48</v>
          </cell>
          <cell r="P780">
            <v>2304</v>
          </cell>
          <cell r="Q780">
            <v>230.4</v>
          </cell>
          <cell r="R780">
            <v>68.27</v>
          </cell>
          <cell r="S780">
            <v>6.83</v>
          </cell>
        </row>
        <row r="781">
          <cell r="D781">
            <v>2</v>
          </cell>
          <cell r="K781">
            <v>1.6</v>
          </cell>
          <cell r="N781">
            <v>204.8</v>
          </cell>
          <cell r="O781">
            <v>20.48</v>
          </cell>
          <cell r="P781">
            <v>2304</v>
          </cell>
          <cell r="Q781">
            <v>230.4</v>
          </cell>
          <cell r="R781">
            <v>68.27</v>
          </cell>
          <cell r="S781">
            <v>6.83</v>
          </cell>
        </row>
        <row r="782">
          <cell r="D782">
            <v>2</v>
          </cell>
          <cell r="K782">
            <v>1.6</v>
          </cell>
          <cell r="N782">
            <v>221.87</v>
          </cell>
          <cell r="O782">
            <v>22.19</v>
          </cell>
          <cell r="P782">
            <v>2496</v>
          </cell>
          <cell r="Q782">
            <v>249.6</v>
          </cell>
          <cell r="R782">
            <v>73.959999999999994</v>
          </cell>
          <cell r="S782">
            <v>7.4</v>
          </cell>
        </row>
        <row r="783">
          <cell r="D783">
            <v>2</v>
          </cell>
          <cell r="K783">
            <v>1.6</v>
          </cell>
          <cell r="N783">
            <v>221.87</v>
          </cell>
          <cell r="O783">
            <v>22.19</v>
          </cell>
          <cell r="P783">
            <v>2496</v>
          </cell>
          <cell r="Q783">
            <v>249.6</v>
          </cell>
          <cell r="R783">
            <v>73.959999999999994</v>
          </cell>
          <cell r="S783">
            <v>7.4</v>
          </cell>
        </row>
        <row r="784">
          <cell r="D784">
            <v>2</v>
          </cell>
          <cell r="K784">
            <v>1.6</v>
          </cell>
          <cell r="N784">
            <v>221.87</v>
          </cell>
          <cell r="O784">
            <v>22.19</v>
          </cell>
          <cell r="P784">
            <v>2496</v>
          </cell>
          <cell r="Q784">
            <v>249.6</v>
          </cell>
          <cell r="R784">
            <v>73.959999999999994</v>
          </cell>
          <cell r="S784">
            <v>7.4</v>
          </cell>
        </row>
        <row r="785">
          <cell r="D785">
            <v>2</v>
          </cell>
          <cell r="K785">
            <v>1.6</v>
          </cell>
          <cell r="N785">
            <v>221.87</v>
          </cell>
          <cell r="O785">
            <v>22.19</v>
          </cell>
          <cell r="P785">
            <v>2496</v>
          </cell>
          <cell r="Q785">
            <v>249.6</v>
          </cell>
          <cell r="R785">
            <v>73.959999999999994</v>
          </cell>
          <cell r="S785">
            <v>7.4</v>
          </cell>
        </row>
        <row r="786">
          <cell r="D786">
            <v>2</v>
          </cell>
          <cell r="K786">
            <v>1.6</v>
          </cell>
          <cell r="N786">
            <v>221.87</v>
          </cell>
          <cell r="O786">
            <v>22.19</v>
          </cell>
          <cell r="P786">
            <v>2496</v>
          </cell>
          <cell r="Q786">
            <v>249.6</v>
          </cell>
          <cell r="R786">
            <v>73.959999999999994</v>
          </cell>
          <cell r="S786">
            <v>7.4</v>
          </cell>
        </row>
        <row r="787">
          <cell r="D787">
            <v>2</v>
          </cell>
          <cell r="K787">
            <v>1.6</v>
          </cell>
          <cell r="N787">
            <v>238.93</v>
          </cell>
          <cell r="O787">
            <v>23.89</v>
          </cell>
          <cell r="P787">
            <v>2688</v>
          </cell>
          <cell r="Q787">
            <v>268.8</v>
          </cell>
          <cell r="R787">
            <v>79.64</v>
          </cell>
          <cell r="S787">
            <v>7.96</v>
          </cell>
        </row>
        <row r="788">
          <cell r="D788">
            <v>2</v>
          </cell>
          <cell r="K788">
            <v>1.6</v>
          </cell>
          <cell r="N788">
            <v>238.93</v>
          </cell>
          <cell r="O788">
            <v>23.89</v>
          </cell>
          <cell r="P788">
            <v>2688</v>
          </cell>
          <cell r="Q788">
            <v>268.8</v>
          </cell>
          <cell r="R788">
            <v>79.64</v>
          </cell>
          <cell r="S788">
            <v>7.96</v>
          </cell>
        </row>
        <row r="789">
          <cell r="D789">
            <v>2</v>
          </cell>
          <cell r="K789">
            <v>1.6</v>
          </cell>
          <cell r="N789">
            <v>238.93</v>
          </cell>
          <cell r="O789">
            <v>23.89</v>
          </cell>
          <cell r="P789">
            <v>2688</v>
          </cell>
          <cell r="Q789">
            <v>268.8</v>
          </cell>
          <cell r="R789">
            <v>79.64</v>
          </cell>
          <cell r="S789">
            <v>7.96</v>
          </cell>
        </row>
        <row r="790">
          <cell r="D790">
            <v>2</v>
          </cell>
          <cell r="K790">
            <v>1.6</v>
          </cell>
          <cell r="N790">
            <v>238.93</v>
          </cell>
          <cell r="O790">
            <v>23.89</v>
          </cell>
          <cell r="P790">
            <v>2688</v>
          </cell>
          <cell r="Q790">
            <v>268.8</v>
          </cell>
          <cell r="R790">
            <v>79.64</v>
          </cell>
          <cell r="S790">
            <v>7.96</v>
          </cell>
        </row>
        <row r="791">
          <cell r="D791">
            <v>2</v>
          </cell>
          <cell r="K791">
            <v>1.6</v>
          </cell>
          <cell r="N791">
            <v>238.93</v>
          </cell>
          <cell r="O791">
            <v>23.89</v>
          </cell>
          <cell r="P791">
            <v>2688</v>
          </cell>
          <cell r="Q791">
            <v>268.8</v>
          </cell>
          <cell r="R791">
            <v>79.64</v>
          </cell>
          <cell r="S791">
            <v>7.96</v>
          </cell>
        </row>
        <row r="792">
          <cell r="D792">
            <v>2</v>
          </cell>
          <cell r="K792">
            <v>1.6</v>
          </cell>
          <cell r="N792">
            <v>256</v>
          </cell>
          <cell r="O792">
            <v>25.6</v>
          </cell>
          <cell r="P792">
            <v>2880</v>
          </cell>
          <cell r="Q792">
            <v>288</v>
          </cell>
          <cell r="R792">
            <v>85.33</v>
          </cell>
          <cell r="S792">
            <v>8.5299999999999994</v>
          </cell>
        </row>
        <row r="793">
          <cell r="D793">
            <v>2</v>
          </cell>
          <cell r="K793">
            <v>1.6</v>
          </cell>
          <cell r="N793">
            <v>256</v>
          </cell>
          <cell r="O793">
            <v>25.6</v>
          </cell>
          <cell r="P793">
            <v>2880</v>
          </cell>
          <cell r="Q793">
            <v>288</v>
          </cell>
          <cell r="R793">
            <v>85.33</v>
          </cell>
          <cell r="S793">
            <v>8.5299999999999994</v>
          </cell>
        </row>
        <row r="794">
          <cell r="D794">
            <v>2</v>
          </cell>
          <cell r="K794">
            <v>1.6</v>
          </cell>
          <cell r="N794">
            <v>256</v>
          </cell>
          <cell r="O794">
            <v>25.6</v>
          </cell>
          <cell r="P794">
            <v>2880</v>
          </cell>
          <cell r="Q794">
            <v>288</v>
          </cell>
          <cell r="R794">
            <v>85.33</v>
          </cell>
          <cell r="S794">
            <v>8.5299999999999994</v>
          </cell>
        </row>
        <row r="795">
          <cell r="D795">
            <v>2</v>
          </cell>
          <cell r="K795">
            <v>1.6</v>
          </cell>
          <cell r="N795">
            <v>256</v>
          </cell>
          <cell r="O795">
            <v>25.6</v>
          </cell>
          <cell r="P795">
            <v>2880</v>
          </cell>
          <cell r="Q795">
            <v>288</v>
          </cell>
          <cell r="R795">
            <v>85.33</v>
          </cell>
          <cell r="S795">
            <v>8.5299999999999994</v>
          </cell>
        </row>
        <row r="796">
          <cell r="D796">
            <v>2</v>
          </cell>
          <cell r="K796">
            <v>1.6</v>
          </cell>
          <cell r="N796">
            <v>256</v>
          </cell>
          <cell r="O796">
            <v>25.6</v>
          </cell>
          <cell r="P796">
            <v>2880</v>
          </cell>
          <cell r="Q796">
            <v>288</v>
          </cell>
          <cell r="R796">
            <v>85.33</v>
          </cell>
          <cell r="S796">
            <v>8.5299999999999994</v>
          </cell>
        </row>
        <row r="797">
          <cell r="D797">
            <v>2</v>
          </cell>
          <cell r="K797">
            <v>1.6</v>
          </cell>
          <cell r="N797">
            <v>273.07</v>
          </cell>
          <cell r="O797">
            <v>27.31</v>
          </cell>
          <cell r="P797">
            <v>3072</v>
          </cell>
          <cell r="Q797">
            <v>307.2</v>
          </cell>
          <cell r="R797">
            <v>91.02</v>
          </cell>
          <cell r="S797">
            <v>9.1</v>
          </cell>
        </row>
        <row r="798">
          <cell r="D798">
            <v>2</v>
          </cell>
          <cell r="K798">
            <v>1.6</v>
          </cell>
          <cell r="N798">
            <v>273.07</v>
          </cell>
          <cell r="O798">
            <v>27.31</v>
          </cell>
          <cell r="P798">
            <v>3072</v>
          </cell>
          <cell r="Q798">
            <v>307.2</v>
          </cell>
          <cell r="R798">
            <v>91.02</v>
          </cell>
          <cell r="S798">
            <v>9.1</v>
          </cell>
        </row>
        <row r="799">
          <cell r="D799">
            <v>2</v>
          </cell>
          <cell r="K799">
            <v>1.6</v>
          </cell>
          <cell r="N799">
            <v>273.07</v>
          </cell>
          <cell r="O799">
            <v>27.31</v>
          </cell>
          <cell r="P799">
            <v>3072</v>
          </cell>
          <cell r="Q799">
            <v>307.2</v>
          </cell>
          <cell r="R799">
            <v>91.02</v>
          </cell>
          <cell r="S799">
            <v>9.1</v>
          </cell>
        </row>
        <row r="800">
          <cell r="D800">
            <v>2</v>
          </cell>
          <cell r="K800">
            <v>1.3</v>
          </cell>
          <cell r="N800">
            <v>62.4</v>
          </cell>
          <cell r="O800">
            <v>6.24</v>
          </cell>
          <cell r="P800">
            <v>213.33400000000003</v>
          </cell>
          <cell r="Q800">
            <v>106.67</v>
          </cell>
          <cell r="R800">
            <v>12.48</v>
          </cell>
          <cell r="S800">
            <v>1.25</v>
          </cell>
        </row>
        <row r="801">
          <cell r="D801">
            <v>4</v>
          </cell>
          <cell r="K801">
            <v>1.3</v>
          </cell>
          <cell r="N801">
            <v>83.2</v>
          </cell>
          <cell r="O801">
            <v>8.32</v>
          </cell>
          <cell r="P801">
            <v>160</v>
          </cell>
          <cell r="Q801">
            <v>80</v>
          </cell>
          <cell r="R801">
            <v>8.32</v>
          </cell>
          <cell r="S801">
            <v>0.83</v>
          </cell>
        </row>
        <row r="802">
          <cell r="D802">
            <v>2</v>
          </cell>
          <cell r="K802">
            <v>1.8</v>
          </cell>
          <cell r="N802">
            <v>86.4</v>
          </cell>
          <cell r="O802">
            <v>8.64</v>
          </cell>
          <cell r="P802">
            <v>213.33400000000003</v>
          </cell>
          <cell r="Q802">
            <v>106.67</v>
          </cell>
          <cell r="R802">
            <v>17.28</v>
          </cell>
          <cell r="S802">
            <v>1.73</v>
          </cell>
        </row>
        <row r="803">
          <cell r="D803">
            <v>4</v>
          </cell>
          <cell r="K803">
            <v>1.5</v>
          </cell>
          <cell r="N803">
            <v>100</v>
          </cell>
          <cell r="O803">
            <v>10</v>
          </cell>
          <cell r="P803">
            <v>153.60000000000002</v>
          </cell>
          <cell r="Q803">
            <v>76.8</v>
          </cell>
          <cell r="R803">
            <v>10</v>
          </cell>
          <cell r="S803">
            <v>1</v>
          </cell>
        </row>
        <row r="804">
          <cell r="D804">
            <v>3</v>
          </cell>
          <cell r="K804">
            <v>1.3</v>
          </cell>
          <cell r="N804">
            <v>76.27</v>
          </cell>
          <cell r="O804">
            <v>7.63</v>
          </cell>
          <cell r="P804">
            <v>174.54600000000002</v>
          </cell>
          <cell r="Q804">
            <v>87.27</v>
          </cell>
          <cell r="R804">
            <v>9.5299999999999994</v>
          </cell>
          <cell r="S804">
            <v>0.95</v>
          </cell>
        </row>
        <row r="805">
          <cell r="D805">
            <v>5</v>
          </cell>
          <cell r="K805">
            <v>1.8</v>
          </cell>
          <cell r="N805">
            <v>105.6</v>
          </cell>
          <cell r="O805">
            <v>10.56</v>
          </cell>
          <cell r="P805">
            <v>174.54600000000002</v>
          </cell>
          <cell r="Q805">
            <v>87.27</v>
          </cell>
          <cell r="R805">
            <v>17.600000000000001</v>
          </cell>
          <cell r="S805">
            <v>1.76</v>
          </cell>
        </row>
        <row r="806">
          <cell r="D806">
            <v>2</v>
          </cell>
          <cell r="K806">
            <v>1.6</v>
          </cell>
          <cell r="N806">
            <v>76.8</v>
          </cell>
          <cell r="O806">
            <v>7.68</v>
          </cell>
          <cell r="P806">
            <v>213.33400000000003</v>
          </cell>
          <cell r="Q806">
            <v>106.67</v>
          </cell>
          <cell r="R806">
            <v>15.36</v>
          </cell>
          <cell r="S806">
            <v>1.54</v>
          </cell>
        </row>
        <row r="807">
          <cell r="D807">
            <v>4</v>
          </cell>
          <cell r="K807">
            <v>1.4000000000000001</v>
          </cell>
          <cell r="N807">
            <v>97.07</v>
          </cell>
          <cell r="O807">
            <v>9.7100000000000009</v>
          </cell>
          <cell r="P807">
            <v>147.69200000000001</v>
          </cell>
          <cell r="Q807">
            <v>73.849999999999994</v>
          </cell>
          <cell r="R807">
            <v>9.7100000000000009</v>
          </cell>
          <cell r="S807">
            <v>0.97</v>
          </cell>
        </row>
        <row r="808">
          <cell r="D808">
            <v>2</v>
          </cell>
          <cell r="K808">
            <v>1.4000000000000001</v>
          </cell>
          <cell r="N808">
            <v>67.2</v>
          </cell>
          <cell r="O808">
            <v>6.72</v>
          </cell>
          <cell r="P808">
            <v>213.33400000000003</v>
          </cell>
          <cell r="Q808">
            <v>106.67</v>
          </cell>
          <cell r="R808">
            <v>13.44</v>
          </cell>
          <cell r="S808">
            <v>1.34</v>
          </cell>
        </row>
        <row r="809">
          <cell r="D809">
            <v>4</v>
          </cell>
          <cell r="K809">
            <v>1.6</v>
          </cell>
          <cell r="N809">
            <v>110.93</v>
          </cell>
          <cell r="O809">
            <v>11.09</v>
          </cell>
          <cell r="P809">
            <v>147.69200000000001</v>
          </cell>
          <cell r="Q809">
            <v>73.849999999999994</v>
          </cell>
          <cell r="R809">
            <v>11.09</v>
          </cell>
          <cell r="S809">
            <v>1.1100000000000001</v>
          </cell>
        </row>
        <row r="810">
          <cell r="D810">
            <v>5</v>
          </cell>
          <cell r="K810">
            <v>1.6</v>
          </cell>
          <cell r="N810">
            <v>102.4</v>
          </cell>
          <cell r="O810">
            <v>10.24</v>
          </cell>
          <cell r="P810">
            <v>160</v>
          </cell>
          <cell r="Q810">
            <v>80</v>
          </cell>
          <cell r="R810">
            <v>17.07</v>
          </cell>
          <cell r="S810">
            <v>1.71</v>
          </cell>
        </row>
        <row r="811">
          <cell r="D811">
            <v>3</v>
          </cell>
          <cell r="K811">
            <v>1.4000000000000001</v>
          </cell>
          <cell r="N811">
            <v>85.87</v>
          </cell>
          <cell r="O811">
            <v>8.59</v>
          </cell>
          <cell r="P811">
            <v>166.95600000000002</v>
          </cell>
          <cell r="Q811">
            <v>83.48</v>
          </cell>
          <cell r="R811">
            <v>10.73</v>
          </cell>
          <cell r="S811">
            <v>1.07</v>
          </cell>
        </row>
        <row r="812">
          <cell r="D812">
            <v>2</v>
          </cell>
          <cell r="K812">
            <v>1.3</v>
          </cell>
          <cell r="N812">
            <v>62.4</v>
          </cell>
          <cell r="O812">
            <v>6.24</v>
          </cell>
          <cell r="P812">
            <v>213.33400000000003</v>
          </cell>
          <cell r="Q812">
            <v>106.67</v>
          </cell>
          <cell r="R812">
            <v>12.48</v>
          </cell>
          <cell r="S812">
            <v>1.25</v>
          </cell>
        </row>
        <row r="813">
          <cell r="D813">
            <v>4</v>
          </cell>
          <cell r="K813">
            <v>1.3</v>
          </cell>
          <cell r="N813">
            <v>83.2</v>
          </cell>
          <cell r="O813">
            <v>8.32</v>
          </cell>
          <cell r="P813">
            <v>160</v>
          </cell>
          <cell r="Q813">
            <v>80</v>
          </cell>
          <cell r="R813">
            <v>8.32</v>
          </cell>
          <cell r="S813">
            <v>0.83</v>
          </cell>
        </row>
        <row r="814">
          <cell r="D814">
            <v>2</v>
          </cell>
          <cell r="K814">
            <v>1.8</v>
          </cell>
          <cell r="N814">
            <v>86.4</v>
          </cell>
          <cell r="O814">
            <v>8.64</v>
          </cell>
          <cell r="P814">
            <v>213.33400000000003</v>
          </cell>
          <cell r="Q814">
            <v>106.67</v>
          </cell>
          <cell r="R814">
            <v>17.28</v>
          </cell>
          <cell r="S814">
            <v>1.73</v>
          </cell>
        </row>
        <row r="815">
          <cell r="D815">
            <v>4</v>
          </cell>
          <cell r="K815">
            <v>1.5</v>
          </cell>
          <cell r="N815">
            <v>100</v>
          </cell>
          <cell r="O815">
            <v>10</v>
          </cell>
          <cell r="P815">
            <v>153.60000000000002</v>
          </cell>
          <cell r="Q815">
            <v>76.8</v>
          </cell>
          <cell r="R815">
            <v>10</v>
          </cell>
          <cell r="S815">
            <v>1</v>
          </cell>
        </row>
        <row r="816">
          <cell r="D816">
            <v>3</v>
          </cell>
          <cell r="K816">
            <v>1.3</v>
          </cell>
          <cell r="N816">
            <v>76.27</v>
          </cell>
          <cell r="O816">
            <v>7.63</v>
          </cell>
          <cell r="P816">
            <v>174.54600000000002</v>
          </cell>
          <cell r="Q816">
            <v>87.27</v>
          </cell>
          <cell r="R816">
            <v>9.5299999999999994</v>
          </cell>
          <cell r="S816">
            <v>0.95</v>
          </cell>
        </row>
        <row r="817">
          <cell r="D817">
            <v>5</v>
          </cell>
          <cell r="K817">
            <v>1.8</v>
          </cell>
          <cell r="N817">
            <v>105.6</v>
          </cell>
          <cell r="O817">
            <v>10.56</v>
          </cell>
          <cell r="P817">
            <v>174.54600000000002</v>
          </cell>
          <cell r="Q817">
            <v>87.27</v>
          </cell>
          <cell r="R817">
            <v>17.600000000000001</v>
          </cell>
          <cell r="S817">
            <v>1.76</v>
          </cell>
        </row>
        <row r="818">
          <cell r="D818">
            <v>2</v>
          </cell>
          <cell r="K818">
            <v>1.6</v>
          </cell>
          <cell r="N818">
            <v>76.8</v>
          </cell>
          <cell r="O818">
            <v>7.68</v>
          </cell>
          <cell r="P818">
            <v>213.33400000000003</v>
          </cell>
          <cell r="Q818">
            <v>106.67</v>
          </cell>
          <cell r="R818">
            <v>15.36</v>
          </cell>
          <cell r="S818">
            <v>1.54</v>
          </cell>
        </row>
        <row r="819">
          <cell r="D819">
            <v>4</v>
          </cell>
          <cell r="K819">
            <v>1.4000000000000001</v>
          </cell>
          <cell r="N819">
            <v>97.07</v>
          </cell>
          <cell r="O819">
            <v>9.7100000000000009</v>
          </cell>
          <cell r="P819">
            <v>147.69200000000001</v>
          </cell>
          <cell r="Q819">
            <v>73.849999999999994</v>
          </cell>
          <cell r="R819">
            <v>9.7100000000000009</v>
          </cell>
          <cell r="S819">
            <v>0.97</v>
          </cell>
        </row>
        <row r="820">
          <cell r="D820">
            <v>2</v>
          </cell>
          <cell r="K820">
            <v>1.4000000000000001</v>
          </cell>
          <cell r="N820">
            <v>67.2</v>
          </cell>
          <cell r="O820">
            <v>6.72</v>
          </cell>
          <cell r="P820">
            <v>213.33400000000003</v>
          </cell>
          <cell r="Q820">
            <v>106.67</v>
          </cell>
          <cell r="R820">
            <v>13.44</v>
          </cell>
          <cell r="S820">
            <v>1.34</v>
          </cell>
        </row>
        <row r="821">
          <cell r="D821">
            <v>4</v>
          </cell>
          <cell r="K821">
            <v>1.6</v>
          </cell>
          <cell r="N821">
            <v>110.93</v>
          </cell>
          <cell r="O821">
            <v>11.09</v>
          </cell>
          <cell r="P821">
            <v>147.69200000000001</v>
          </cell>
          <cell r="Q821">
            <v>73.849999999999994</v>
          </cell>
          <cell r="R821">
            <v>11.09</v>
          </cell>
          <cell r="S821">
            <v>1.1100000000000001</v>
          </cell>
        </row>
        <row r="822">
          <cell r="D822">
            <v>5</v>
          </cell>
          <cell r="K822">
            <v>1.6</v>
          </cell>
          <cell r="N822">
            <v>102.4</v>
          </cell>
          <cell r="O822">
            <v>10.24</v>
          </cell>
          <cell r="P822">
            <v>160</v>
          </cell>
          <cell r="Q822">
            <v>80</v>
          </cell>
          <cell r="R822">
            <v>17.07</v>
          </cell>
          <cell r="S822">
            <v>1.71</v>
          </cell>
        </row>
        <row r="823">
          <cell r="D823">
            <v>3</v>
          </cell>
          <cell r="K823">
            <v>1.4000000000000001</v>
          </cell>
          <cell r="N823">
            <v>85.87</v>
          </cell>
          <cell r="O823">
            <v>8.59</v>
          </cell>
          <cell r="P823">
            <v>166.95600000000002</v>
          </cell>
          <cell r="Q823">
            <v>83.48</v>
          </cell>
          <cell r="R823">
            <v>10.73</v>
          </cell>
          <cell r="S823">
            <v>1.07</v>
          </cell>
        </row>
        <row r="824">
          <cell r="D824">
            <v>2</v>
          </cell>
          <cell r="K824">
            <v>1.3</v>
          </cell>
          <cell r="N824">
            <v>62.4</v>
          </cell>
          <cell r="O824">
            <v>6.24</v>
          </cell>
          <cell r="P824">
            <v>213.33400000000003</v>
          </cell>
          <cell r="Q824">
            <v>106.67</v>
          </cell>
          <cell r="R824">
            <v>12.48</v>
          </cell>
          <cell r="S824">
            <v>1.25</v>
          </cell>
        </row>
        <row r="825">
          <cell r="D825">
            <v>4</v>
          </cell>
          <cell r="K825">
            <v>1.3</v>
          </cell>
          <cell r="N825">
            <v>83.2</v>
          </cell>
          <cell r="O825">
            <v>8.32</v>
          </cell>
          <cell r="P825">
            <v>160</v>
          </cell>
          <cell r="Q825">
            <v>80</v>
          </cell>
          <cell r="R825">
            <v>8.32</v>
          </cell>
          <cell r="S825">
            <v>0.83</v>
          </cell>
        </row>
        <row r="826">
          <cell r="D826">
            <v>2</v>
          </cell>
          <cell r="K826">
            <v>1.8</v>
          </cell>
          <cell r="N826">
            <v>86.4</v>
          </cell>
          <cell r="O826">
            <v>8.64</v>
          </cell>
          <cell r="P826">
            <v>213.33400000000003</v>
          </cell>
          <cell r="Q826">
            <v>106.67</v>
          </cell>
          <cell r="R826">
            <v>17.28</v>
          </cell>
          <cell r="S826">
            <v>1.73</v>
          </cell>
        </row>
        <row r="827">
          <cell r="D827">
            <v>4</v>
          </cell>
          <cell r="K827">
            <v>1.5</v>
          </cell>
          <cell r="N827">
            <v>100</v>
          </cell>
          <cell r="O827">
            <v>10</v>
          </cell>
          <cell r="P827">
            <v>153.60000000000002</v>
          </cell>
          <cell r="Q827">
            <v>76.8</v>
          </cell>
          <cell r="R827">
            <v>10</v>
          </cell>
          <cell r="S827">
            <v>1</v>
          </cell>
        </row>
        <row r="828">
          <cell r="D828">
            <v>3</v>
          </cell>
          <cell r="K828">
            <v>1.3</v>
          </cell>
          <cell r="N828">
            <v>76.27</v>
          </cell>
          <cell r="O828">
            <v>7.63</v>
          </cell>
          <cell r="P828">
            <v>174.54600000000002</v>
          </cell>
          <cell r="Q828">
            <v>87.27</v>
          </cell>
          <cell r="R828">
            <v>9.5299999999999994</v>
          </cell>
          <cell r="S828">
            <v>0.95</v>
          </cell>
        </row>
        <row r="829">
          <cell r="D829">
            <v>5</v>
          </cell>
          <cell r="K829">
            <v>1.8</v>
          </cell>
          <cell r="N829">
            <v>105.6</v>
          </cell>
          <cell r="O829">
            <v>10.56</v>
          </cell>
          <cell r="P829">
            <v>174.54600000000002</v>
          </cell>
          <cell r="Q829">
            <v>87.27</v>
          </cell>
          <cell r="R829">
            <v>17.600000000000001</v>
          </cell>
          <cell r="S829">
            <v>1.76</v>
          </cell>
        </row>
        <row r="830">
          <cell r="D830">
            <v>2</v>
          </cell>
          <cell r="K830">
            <v>1.6</v>
          </cell>
          <cell r="N830">
            <v>76.8</v>
          </cell>
          <cell r="O830">
            <v>7.68</v>
          </cell>
          <cell r="P830">
            <v>213.33400000000003</v>
          </cell>
          <cell r="Q830">
            <v>106.67</v>
          </cell>
          <cell r="R830">
            <v>15.36</v>
          </cell>
          <cell r="S830">
            <v>1.54</v>
          </cell>
        </row>
        <row r="831">
          <cell r="D831">
            <v>4</v>
          </cell>
          <cell r="K831">
            <v>1.4000000000000001</v>
          </cell>
          <cell r="N831">
            <v>97.07</v>
          </cell>
          <cell r="O831">
            <v>9.7100000000000009</v>
          </cell>
          <cell r="P831">
            <v>147.69200000000001</v>
          </cell>
          <cell r="Q831">
            <v>73.849999999999994</v>
          </cell>
          <cell r="R831">
            <v>9.7100000000000009</v>
          </cell>
          <cell r="S831">
            <v>0.97</v>
          </cell>
        </row>
        <row r="832">
          <cell r="D832">
            <v>2</v>
          </cell>
          <cell r="K832">
            <v>1.4000000000000001</v>
          </cell>
          <cell r="N832">
            <v>67.2</v>
          </cell>
          <cell r="O832">
            <v>6.72</v>
          </cell>
          <cell r="P832">
            <v>213.33400000000003</v>
          </cell>
          <cell r="Q832">
            <v>106.67</v>
          </cell>
          <cell r="R832">
            <v>13.44</v>
          </cell>
          <cell r="S832">
            <v>1.34</v>
          </cell>
        </row>
        <row r="833">
          <cell r="D833">
            <v>4</v>
          </cell>
          <cell r="K833">
            <v>1.6</v>
          </cell>
          <cell r="N833">
            <v>110.93</v>
          </cell>
          <cell r="O833">
            <v>11.09</v>
          </cell>
          <cell r="P833">
            <v>147.69200000000001</v>
          </cell>
          <cell r="Q833">
            <v>73.849999999999994</v>
          </cell>
          <cell r="R833">
            <v>11.09</v>
          </cell>
          <cell r="S833">
            <v>1.1100000000000001</v>
          </cell>
        </row>
        <row r="834">
          <cell r="D834">
            <v>5</v>
          </cell>
          <cell r="K834">
            <v>1.6</v>
          </cell>
          <cell r="N834">
            <v>102.4</v>
          </cell>
          <cell r="O834">
            <v>10.24</v>
          </cell>
          <cell r="P834">
            <v>160</v>
          </cell>
          <cell r="Q834">
            <v>80</v>
          </cell>
          <cell r="R834">
            <v>17.07</v>
          </cell>
          <cell r="S834">
            <v>1.71</v>
          </cell>
        </row>
        <row r="835">
          <cell r="D835">
            <v>3</v>
          </cell>
          <cell r="K835">
            <v>1.4000000000000001</v>
          </cell>
          <cell r="N835">
            <v>85.87</v>
          </cell>
          <cell r="O835">
            <v>8.59</v>
          </cell>
          <cell r="P835">
            <v>166.95600000000002</v>
          </cell>
          <cell r="Q835">
            <v>83.48</v>
          </cell>
          <cell r="R835">
            <v>10.73</v>
          </cell>
          <cell r="S835">
            <v>1.07</v>
          </cell>
        </row>
        <row r="836">
          <cell r="D836">
            <v>2</v>
          </cell>
          <cell r="K836">
            <v>1.3</v>
          </cell>
          <cell r="N836">
            <v>62.4</v>
          </cell>
          <cell r="O836">
            <v>6.24</v>
          </cell>
          <cell r="P836">
            <v>213.33400000000003</v>
          </cell>
          <cell r="Q836">
            <v>106.67</v>
          </cell>
          <cell r="R836">
            <v>12.48</v>
          </cell>
          <cell r="S836">
            <v>1.25</v>
          </cell>
        </row>
        <row r="837">
          <cell r="D837">
            <v>4</v>
          </cell>
          <cell r="K837">
            <v>1.3</v>
          </cell>
          <cell r="N837">
            <v>83.2</v>
          </cell>
          <cell r="O837">
            <v>8.32</v>
          </cell>
          <cell r="P837">
            <v>160</v>
          </cell>
          <cell r="Q837">
            <v>80</v>
          </cell>
          <cell r="R837">
            <v>8.32</v>
          </cell>
          <cell r="S837">
            <v>0.83</v>
          </cell>
        </row>
        <row r="838">
          <cell r="D838">
            <v>2</v>
          </cell>
          <cell r="K838">
            <v>1.8</v>
          </cell>
          <cell r="N838">
            <v>86.4</v>
          </cell>
          <cell r="O838">
            <v>8.64</v>
          </cell>
          <cell r="P838">
            <v>213.33400000000003</v>
          </cell>
          <cell r="Q838">
            <v>106.67</v>
          </cell>
          <cell r="R838">
            <v>17.28</v>
          </cell>
          <cell r="S838">
            <v>1.73</v>
          </cell>
        </row>
        <row r="839">
          <cell r="D839">
            <v>4</v>
          </cell>
          <cell r="K839">
            <v>1.5</v>
          </cell>
          <cell r="N839">
            <v>100</v>
          </cell>
          <cell r="O839">
            <v>10</v>
          </cell>
          <cell r="P839">
            <v>153.60000000000002</v>
          </cell>
          <cell r="Q839">
            <v>76.8</v>
          </cell>
          <cell r="R839">
            <v>10</v>
          </cell>
          <cell r="S839">
            <v>1</v>
          </cell>
        </row>
        <row r="840">
          <cell r="D840">
            <v>3</v>
          </cell>
          <cell r="K840">
            <v>1.3</v>
          </cell>
          <cell r="N840">
            <v>76.27</v>
          </cell>
          <cell r="O840">
            <v>7.63</v>
          </cell>
          <cell r="P840">
            <v>174.54600000000002</v>
          </cell>
          <cell r="Q840">
            <v>87.27</v>
          </cell>
          <cell r="R840">
            <v>9.5299999999999994</v>
          </cell>
          <cell r="S840">
            <v>0.95</v>
          </cell>
        </row>
        <row r="841">
          <cell r="D841">
            <v>5</v>
          </cell>
          <cell r="K841">
            <v>1.8</v>
          </cell>
          <cell r="N841">
            <v>105.6</v>
          </cell>
          <cell r="O841">
            <v>10.56</v>
          </cell>
          <cell r="P841">
            <v>174.54600000000002</v>
          </cell>
          <cell r="Q841">
            <v>87.27</v>
          </cell>
          <cell r="R841">
            <v>17.600000000000001</v>
          </cell>
          <cell r="S841">
            <v>1.76</v>
          </cell>
        </row>
        <row r="842">
          <cell r="D842">
            <v>2</v>
          </cell>
          <cell r="K842">
            <v>1.6</v>
          </cell>
          <cell r="N842">
            <v>76.8</v>
          </cell>
          <cell r="O842">
            <v>7.68</v>
          </cell>
          <cell r="P842">
            <v>213.33400000000003</v>
          </cell>
          <cell r="Q842">
            <v>106.67</v>
          </cell>
          <cell r="R842">
            <v>15.36</v>
          </cell>
          <cell r="S842">
            <v>1.54</v>
          </cell>
        </row>
        <row r="843">
          <cell r="D843">
            <v>4</v>
          </cell>
          <cell r="K843">
            <v>1.4000000000000001</v>
          </cell>
          <cell r="N843">
            <v>97.07</v>
          </cell>
          <cell r="O843">
            <v>9.7100000000000009</v>
          </cell>
          <cell r="P843">
            <v>147.69200000000001</v>
          </cell>
          <cell r="Q843">
            <v>73.849999999999994</v>
          </cell>
          <cell r="R843">
            <v>9.7100000000000009</v>
          </cell>
          <cell r="S843">
            <v>0.97</v>
          </cell>
        </row>
        <row r="844">
          <cell r="D844">
            <v>2</v>
          </cell>
          <cell r="K844">
            <v>1.4000000000000001</v>
          </cell>
          <cell r="N844">
            <v>67.2</v>
          </cell>
          <cell r="O844">
            <v>6.72</v>
          </cell>
          <cell r="P844">
            <v>213.33400000000003</v>
          </cell>
          <cell r="Q844">
            <v>106.67</v>
          </cell>
          <cell r="R844">
            <v>13.44</v>
          </cell>
          <cell r="S844">
            <v>1.34</v>
          </cell>
        </row>
        <row r="845">
          <cell r="D845">
            <v>4</v>
          </cell>
          <cell r="K845">
            <v>1.6</v>
          </cell>
          <cell r="N845">
            <v>110.93</v>
          </cell>
          <cell r="O845">
            <v>11.09</v>
          </cell>
          <cell r="P845">
            <v>147.69200000000001</v>
          </cell>
          <cell r="Q845">
            <v>73.849999999999994</v>
          </cell>
          <cell r="R845">
            <v>11.09</v>
          </cell>
          <cell r="S845">
            <v>1.1100000000000001</v>
          </cell>
        </row>
        <row r="846">
          <cell r="D846">
            <v>5</v>
          </cell>
          <cell r="K846">
            <v>1.6</v>
          </cell>
          <cell r="N846">
            <v>102.4</v>
          </cell>
          <cell r="O846">
            <v>10.24</v>
          </cell>
          <cell r="P846">
            <v>160</v>
          </cell>
          <cell r="Q846">
            <v>80</v>
          </cell>
          <cell r="R846">
            <v>17.07</v>
          </cell>
          <cell r="S846">
            <v>1.71</v>
          </cell>
        </row>
        <row r="847">
          <cell r="D847">
            <v>3</v>
          </cell>
          <cell r="K847">
            <v>1.4000000000000001</v>
          </cell>
          <cell r="N847">
            <v>85.87</v>
          </cell>
          <cell r="O847">
            <v>8.59</v>
          </cell>
          <cell r="P847">
            <v>166.95600000000002</v>
          </cell>
          <cell r="Q847">
            <v>83.48</v>
          </cell>
          <cell r="R847">
            <v>10.73</v>
          </cell>
          <cell r="S847">
            <v>1.07</v>
          </cell>
        </row>
        <row r="848">
          <cell r="D848">
            <v>2</v>
          </cell>
          <cell r="K848">
            <v>1.3</v>
          </cell>
          <cell r="N848">
            <v>62.4</v>
          </cell>
          <cell r="O848">
            <v>6.24</v>
          </cell>
          <cell r="P848">
            <v>213.33400000000003</v>
          </cell>
          <cell r="Q848">
            <v>106.67</v>
          </cell>
          <cell r="R848">
            <v>12.48</v>
          </cell>
          <cell r="S848">
            <v>1.25</v>
          </cell>
        </row>
        <row r="849">
          <cell r="D849">
            <v>4</v>
          </cell>
          <cell r="K849">
            <v>1.3</v>
          </cell>
          <cell r="N849">
            <v>83.2</v>
          </cell>
          <cell r="O849">
            <v>8.32</v>
          </cell>
          <cell r="P849">
            <v>160</v>
          </cell>
          <cell r="Q849">
            <v>80</v>
          </cell>
          <cell r="R849">
            <v>8.32</v>
          </cell>
          <cell r="S849">
            <v>0.83</v>
          </cell>
        </row>
        <row r="850">
          <cell r="D850">
            <v>2</v>
          </cell>
          <cell r="K850">
            <v>1.8</v>
          </cell>
          <cell r="N850">
            <v>86.4</v>
          </cell>
          <cell r="O850">
            <v>8.64</v>
          </cell>
          <cell r="P850">
            <v>213.33400000000003</v>
          </cell>
          <cell r="Q850">
            <v>106.67</v>
          </cell>
          <cell r="R850">
            <v>17.28</v>
          </cell>
          <cell r="S850">
            <v>1.73</v>
          </cell>
        </row>
        <row r="851">
          <cell r="D851">
            <v>4</v>
          </cell>
          <cell r="K851">
            <v>1.5</v>
          </cell>
          <cell r="N851">
            <v>100</v>
          </cell>
          <cell r="O851">
            <v>10</v>
          </cell>
          <cell r="P851">
            <v>153.60000000000002</v>
          </cell>
          <cell r="Q851">
            <v>76.8</v>
          </cell>
          <cell r="R851">
            <v>10</v>
          </cell>
          <cell r="S851">
            <v>1</v>
          </cell>
        </row>
        <row r="852">
          <cell r="D852">
            <v>3</v>
          </cell>
          <cell r="K852">
            <v>1.3</v>
          </cell>
          <cell r="N852">
            <v>76.27</v>
          </cell>
          <cell r="O852">
            <v>7.63</v>
          </cell>
          <cell r="P852">
            <v>174.54600000000002</v>
          </cell>
          <cell r="Q852">
            <v>87.27</v>
          </cell>
          <cell r="R852">
            <v>9.5299999999999994</v>
          </cell>
          <cell r="S852">
            <v>0.95</v>
          </cell>
        </row>
        <row r="853">
          <cell r="D853">
            <v>5</v>
          </cell>
          <cell r="K853">
            <v>1.8</v>
          </cell>
          <cell r="N853">
            <v>105.6</v>
          </cell>
          <cell r="O853">
            <v>10.56</v>
          </cell>
          <cell r="P853">
            <v>174.54600000000002</v>
          </cell>
          <cell r="Q853">
            <v>87.27</v>
          </cell>
          <cell r="R853">
            <v>17.600000000000001</v>
          </cell>
          <cell r="S853">
            <v>1.76</v>
          </cell>
        </row>
        <row r="854">
          <cell r="D854">
            <v>2</v>
          </cell>
          <cell r="K854">
            <v>1.6</v>
          </cell>
          <cell r="N854">
            <v>76.8</v>
          </cell>
          <cell r="O854">
            <v>7.68</v>
          </cell>
          <cell r="P854">
            <v>213.33400000000003</v>
          </cell>
          <cell r="Q854">
            <v>106.67</v>
          </cell>
          <cell r="R854">
            <v>15.36</v>
          </cell>
          <cell r="S854">
            <v>1.54</v>
          </cell>
        </row>
        <row r="855">
          <cell r="D855">
            <v>4</v>
          </cell>
          <cell r="K855">
            <v>1.4000000000000001</v>
          </cell>
          <cell r="N855">
            <v>97.07</v>
          </cell>
          <cell r="O855">
            <v>9.7100000000000009</v>
          </cell>
          <cell r="P855">
            <v>147.69200000000001</v>
          </cell>
          <cell r="Q855">
            <v>73.849999999999994</v>
          </cell>
          <cell r="R855">
            <v>9.7100000000000009</v>
          </cell>
          <cell r="S855">
            <v>0.97</v>
          </cell>
        </row>
        <row r="856">
          <cell r="D856">
            <v>2</v>
          </cell>
          <cell r="K856">
            <v>1.4000000000000001</v>
          </cell>
          <cell r="N856">
            <v>67.2</v>
          </cell>
          <cell r="O856">
            <v>6.72</v>
          </cell>
          <cell r="P856">
            <v>213.33400000000003</v>
          </cell>
          <cell r="Q856">
            <v>106.67</v>
          </cell>
          <cell r="R856">
            <v>13.44</v>
          </cell>
          <cell r="S856">
            <v>1.34</v>
          </cell>
        </row>
        <row r="857">
          <cell r="D857">
            <v>4</v>
          </cell>
          <cell r="K857">
            <v>1.6</v>
          </cell>
          <cell r="N857">
            <v>110.93</v>
          </cell>
          <cell r="O857">
            <v>11.09</v>
          </cell>
          <cell r="P857">
            <v>147.69200000000001</v>
          </cell>
          <cell r="Q857">
            <v>73.849999999999994</v>
          </cell>
          <cell r="R857">
            <v>11.09</v>
          </cell>
          <cell r="S857">
            <v>1.1100000000000001</v>
          </cell>
        </row>
        <row r="858">
          <cell r="D858">
            <v>5</v>
          </cell>
          <cell r="K858">
            <v>1.6</v>
          </cell>
          <cell r="N858">
            <v>102.4</v>
          </cell>
          <cell r="O858">
            <v>10.24</v>
          </cell>
          <cell r="P858">
            <v>160</v>
          </cell>
          <cell r="Q858">
            <v>80</v>
          </cell>
          <cell r="R858">
            <v>17.07</v>
          </cell>
          <cell r="S858">
            <v>1.71</v>
          </cell>
        </row>
        <row r="859">
          <cell r="D859">
            <v>3</v>
          </cell>
          <cell r="K859">
            <v>1.4000000000000001</v>
          </cell>
          <cell r="N859">
            <v>85.87</v>
          </cell>
          <cell r="O859">
            <v>8.59</v>
          </cell>
          <cell r="P859">
            <v>166.95600000000002</v>
          </cell>
          <cell r="Q859">
            <v>83.48</v>
          </cell>
          <cell r="R859">
            <v>10.73</v>
          </cell>
          <cell r="S859">
            <v>1.07</v>
          </cell>
        </row>
        <row r="860">
          <cell r="D860">
            <v>2</v>
          </cell>
          <cell r="K860">
            <v>1.6</v>
          </cell>
          <cell r="N860">
            <v>299</v>
          </cell>
          <cell r="O860">
            <v>1</v>
          </cell>
          <cell r="P860">
            <v>799</v>
          </cell>
          <cell r="Q860">
            <v>1</v>
          </cell>
          <cell r="R860">
            <v>1</v>
          </cell>
          <cell r="S860">
            <v>1</v>
          </cell>
        </row>
        <row r="861">
          <cell r="D861">
            <v>3</v>
          </cell>
          <cell r="K861">
            <v>1.4000000000000001</v>
          </cell>
          <cell r="N861">
            <v>200</v>
          </cell>
          <cell r="O861">
            <v>1</v>
          </cell>
          <cell r="P861">
            <v>1000</v>
          </cell>
          <cell r="Q861">
            <v>1</v>
          </cell>
          <cell r="R861">
            <v>1</v>
          </cell>
          <cell r="S861">
            <v>1</v>
          </cell>
        </row>
        <row r="862">
          <cell r="D862">
            <v>2</v>
          </cell>
          <cell r="K862">
            <v>1.8</v>
          </cell>
          <cell r="N862">
            <v>200</v>
          </cell>
          <cell r="O862">
            <v>1</v>
          </cell>
          <cell r="P862">
            <v>1000</v>
          </cell>
          <cell r="Q862">
            <v>1</v>
          </cell>
          <cell r="R862">
            <v>1</v>
          </cell>
          <cell r="S862">
            <v>1</v>
          </cell>
        </row>
        <row r="863">
          <cell r="D863">
            <v>5</v>
          </cell>
          <cell r="K863">
            <v>1.6</v>
          </cell>
          <cell r="N863">
            <v>102.4</v>
          </cell>
          <cell r="O863">
            <v>10.24</v>
          </cell>
          <cell r="P863">
            <v>160</v>
          </cell>
          <cell r="Q863">
            <v>80</v>
          </cell>
          <cell r="R863">
            <v>17.07</v>
          </cell>
          <cell r="S863">
            <v>1.71</v>
          </cell>
        </row>
        <row r="864">
          <cell r="D864">
            <v>3</v>
          </cell>
          <cell r="K864">
            <v>1.4</v>
          </cell>
          <cell r="N864">
            <v>85.87</v>
          </cell>
          <cell r="O864">
            <v>8.59</v>
          </cell>
          <cell r="P864">
            <v>166.95599999999999</v>
          </cell>
          <cell r="Q864">
            <v>83.48</v>
          </cell>
          <cell r="R864">
            <v>10.73</v>
          </cell>
          <cell r="S864">
            <v>1.07</v>
          </cell>
        </row>
        <row r="865">
          <cell r="D865">
            <v>2</v>
          </cell>
          <cell r="K865">
            <v>1.6</v>
          </cell>
          <cell r="N865">
            <v>299</v>
          </cell>
          <cell r="O865">
            <v>1</v>
          </cell>
          <cell r="P865">
            <v>799</v>
          </cell>
          <cell r="Q865">
            <v>1</v>
          </cell>
          <cell r="R865">
            <v>1</v>
          </cell>
          <cell r="S865">
            <v>1</v>
          </cell>
        </row>
        <row r="866">
          <cell r="D866">
            <v>3</v>
          </cell>
          <cell r="K866">
            <v>1.4</v>
          </cell>
          <cell r="N866">
            <v>200</v>
          </cell>
          <cell r="O866">
            <v>1</v>
          </cell>
          <cell r="P866">
            <v>1000</v>
          </cell>
          <cell r="Q866">
            <v>1</v>
          </cell>
          <cell r="R866">
            <v>1</v>
          </cell>
          <cell r="S866">
            <v>1</v>
          </cell>
        </row>
        <row r="867">
          <cell r="D867">
            <v>2</v>
          </cell>
          <cell r="K867">
            <v>1.8</v>
          </cell>
          <cell r="N867">
            <v>200</v>
          </cell>
          <cell r="O867">
            <v>1</v>
          </cell>
          <cell r="P867">
            <v>1000</v>
          </cell>
          <cell r="Q867">
            <v>1</v>
          </cell>
          <cell r="R867">
            <v>1</v>
          </cell>
          <cell r="S867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A1002"/>
  <sheetViews>
    <sheetView tabSelected="1" zoomScale="85" zoomScaleNormal="85" workbookViewId="0">
      <pane xSplit="1" ySplit="3" topLeftCell="B4" activePane="bottomRight" state="frozenSplit"/>
      <selection pane="topRight"/>
      <selection pane="bottomLeft"/>
      <selection pane="bottomRight" activeCell="D17" sqref="D17"/>
    </sheetView>
  </sheetViews>
  <sheetFormatPr defaultColWidth="8.875" defaultRowHeight="13.5" customHeight="1"/>
  <cols>
    <col min="1" max="2" width="10.625" style="1" customWidth="1"/>
    <col min="3" max="3" width="32.75" style="2" customWidth="1"/>
    <col min="4" max="4" width="12.75" style="1" customWidth="1"/>
    <col min="5" max="5" width="26.125" style="3" customWidth="1"/>
    <col min="6" max="6" width="26.125" style="1" customWidth="1"/>
    <col min="7" max="7" width="12.75" style="1" customWidth="1"/>
    <col min="8" max="12" width="15" style="1" customWidth="1"/>
    <col min="13" max="13" width="16" style="1" customWidth="1"/>
    <col min="14" max="14" width="8.875" style="1" customWidth="1"/>
    <col min="15" max="16" width="8.875" style="16" customWidth="1"/>
    <col min="17" max="22" width="8.5" style="16" customWidth="1"/>
    <col min="23" max="25" width="8.125" style="16" customWidth="1"/>
    <col min="26" max="26" width="12.625" style="16" customWidth="1"/>
    <col min="27" max="28" width="8.125" style="16" customWidth="1"/>
    <col min="29" max="29" width="8.5" style="16" customWidth="1"/>
    <col min="30" max="34" width="6.375" style="16" customWidth="1"/>
    <col min="35" max="40" width="12.625" style="16" customWidth="1"/>
    <col min="41" max="41" width="8.875" style="24" customWidth="1"/>
    <col min="42" max="46" width="8.875" style="16" customWidth="1"/>
    <col min="47" max="47" width="10" style="24" customWidth="1"/>
    <col min="48" max="50" width="8.875" style="16" customWidth="1"/>
    <col min="51" max="52" width="8.875" style="16" hidden="1" customWidth="1"/>
    <col min="53" max="53" width="12.75" style="16" hidden="1" customWidth="1"/>
    <col min="54" max="54" width="8.5" style="16" customWidth="1"/>
    <col min="55" max="57" width="8.875" style="16" customWidth="1"/>
    <col min="58" max="74" width="8.875" style="16"/>
    <col min="75" max="77" width="13" style="16" customWidth="1"/>
    <col min="78" max="78" width="8.875" style="16"/>
    <col min="79" max="79" width="10.5" style="16" customWidth="1"/>
    <col min="80" max="133" width="8.875" style="16"/>
    <col min="134" max="135" width="11" style="16" customWidth="1"/>
    <col min="136" max="136" width="8.875" style="16"/>
    <col min="137" max="137" width="96.125" style="16" customWidth="1"/>
    <col min="138" max="161" width="8.875" style="16"/>
  </cols>
  <sheetData>
    <row r="1" spans="1:183" ht="15.95" customHeight="1">
      <c r="A1" s="1" t="s">
        <v>0</v>
      </c>
      <c r="B1" s="1" t="s">
        <v>1</v>
      </c>
      <c r="C1" s="2" t="s">
        <v>2</v>
      </c>
      <c r="D1" s="1" t="s">
        <v>3</v>
      </c>
      <c r="E1" s="4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R1" s="16">
        <f>1600*5</f>
        <v>8000</v>
      </c>
      <c r="W1" s="7">
        <v>80</v>
      </c>
      <c r="X1" s="7">
        <v>960</v>
      </c>
      <c r="Y1" s="7">
        <v>3000</v>
      </c>
      <c r="Z1" s="7">
        <f>W1*X1/1.5*0.9*1.05/Y1</f>
        <v>16.128</v>
      </c>
      <c r="AC1" s="16">
        <v>5</v>
      </c>
      <c r="BR1" s="25" t="s">
        <v>36</v>
      </c>
    </row>
    <row r="2" spans="1:183" ht="15.95" customHeight="1">
      <c r="A2" s="1" t="s">
        <v>13</v>
      </c>
      <c r="B2" s="1" t="s">
        <v>14</v>
      </c>
      <c r="C2" s="2" t="s">
        <v>15</v>
      </c>
      <c r="D2" s="1" t="s">
        <v>16</v>
      </c>
      <c r="E2" s="4" t="s">
        <v>16</v>
      </c>
      <c r="F2" s="1" t="s">
        <v>14</v>
      </c>
      <c r="G2" s="5" t="s">
        <v>15</v>
      </c>
      <c r="H2" s="5" t="s">
        <v>16</v>
      </c>
      <c r="I2" s="5" t="s">
        <v>16</v>
      </c>
      <c r="J2" s="5" t="s">
        <v>16</v>
      </c>
      <c r="K2" s="5" t="s">
        <v>16</v>
      </c>
      <c r="L2" s="1" t="s">
        <v>16</v>
      </c>
      <c r="M2" s="1" t="s">
        <v>16</v>
      </c>
      <c r="DC2" s="16" t="str">
        <f>REPLACE(1234567,1,1,9)</f>
        <v>9234567</v>
      </c>
    </row>
    <row r="3" spans="1:183" ht="15.95" customHeight="1">
      <c r="A3" s="1" t="s">
        <v>17</v>
      </c>
      <c r="B3" s="1" t="s">
        <v>18</v>
      </c>
      <c r="C3" s="2" t="s">
        <v>19</v>
      </c>
      <c r="D3" s="1" t="s">
        <v>20</v>
      </c>
      <c r="E3" s="4" t="s">
        <v>21</v>
      </c>
      <c r="F3" s="1" t="s">
        <v>22</v>
      </c>
      <c r="G3" s="1" t="s">
        <v>23</v>
      </c>
      <c r="H3" s="1" t="s">
        <v>24</v>
      </c>
      <c r="I3" s="1" t="s">
        <v>24</v>
      </c>
      <c r="J3" s="1" t="s">
        <v>24</v>
      </c>
      <c r="K3" s="1" t="s">
        <v>25</v>
      </c>
      <c r="L3" s="1" t="s">
        <v>26</v>
      </c>
      <c r="M3" s="1" t="s">
        <v>27</v>
      </c>
      <c r="O3" s="16" t="s">
        <v>37</v>
      </c>
      <c r="P3" s="25"/>
      <c r="Q3" s="25" t="s">
        <v>38</v>
      </c>
      <c r="R3" s="25" t="s">
        <v>39</v>
      </c>
      <c r="S3" s="25" t="s">
        <v>40</v>
      </c>
      <c r="T3" s="25" t="s">
        <v>41</v>
      </c>
      <c r="U3" s="25" t="s">
        <v>42</v>
      </c>
      <c r="V3" s="25" t="s">
        <v>43</v>
      </c>
      <c r="W3" s="25" t="s">
        <v>44</v>
      </c>
      <c r="X3" s="25" t="s">
        <v>45</v>
      </c>
      <c r="Y3" s="25" t="s">
        <v>46</v>
      </c>
      <c r="Z3" s="25" t="s">
        <v>47</v>
      </c>
      <c r="AA3" s="25" t="s">
        <v>48</v>
      </c>
      <c r="AB3" s="25" t="s">
        <v>49</v>
      </c>
      <c r="AC3" s="25" t="s">
        <v>50</v>
      </c>
      <c r="AD3" s="25" t="s">
        <v>51</v>
      </c>
      <c r="AE3" s="25" t="s">
        <v>52</v>
      </c>
      <c r="AF3" s="25" t="s">
        <v>53</v>
      </c>
      <c r="AG3" s="25" t="s">
        <v>54</v>
      </c>
      <c r="AH3" s="25" t="s">
        <v>55</v>
      </c>
      <c r="AI3" s="8" t="s">
        <v>56</v>
      </c>
      <c r="AJ3" s="8" t="s">
        <v>57</v>
      </c>
      <c r="AK3" s="8" t="s">
        <v>58</v>
      </c>
      <c r="AL3" s="8" t="s">
        <v>59</v>
      </c>
      <c r="AM3" s="8" t="s">
        <v>60</v>
      </c>
      <c r="AN3" s="8" t="s">
        <v>61</v>
      </c>
      <c r="AO3" s="26"/>
      <c r="AP3" s="25"/>
      <c r="AQ3" s="25" t="s">
        <v>62</v>
      </c>
      <c r="AR3" s="25" t="s">
        <v>63</v>
      </c>
      <c r="AS3" s="25"/>
      <c r="AT3" s="25"/>
      <c r="AU3" s="26"/>
      <c r="AV3" s="25"/>
      <c r="AW3" s="25"/>
      <c r="AX3" s="25"/>
      <c r="AY3" s="25" t="s">
        <v>64</v>
      </c>
      <c r="AZ3" s="25" t="s">
        <v>65</v>
      </c>
      <c r="BC3" s="27" t="s">
        <v>66</v>
      </c>
      <c r="BD3" s="7">
        <v>1</v>
      </c>
      <c r="BE3" s="9">
        <v>2</v>
      </c>
      <c r="BF3" s="9">
        <v>3</v>
      </c>
      <c r="BG3" s="9">
        <v>4</v>
      </c>
      <c r="BH3" s="9">
        <v>5</v>
      </c>
      <c r="BI3" s="9">
        <v>6</v>
      </c>
      <c r="BJ3" s="9">
        <v>7</v>
      </c>
      <c r="BK3" s="9">
        <v>8</v>
      </c>
      <c r="BL3" s="9">
        <v>9</v>
      </c>
      <c r="BM3" s="9">
        <v>10</v>
      </c>
      <c r="BN3" s="9">
        <v>11</v>
      </c>
      <c r="BO3" s="9">
        <v>12</v>
      </c>
      <c r="BP3" s="16">
        <v>13</v>
      </c>
      <c r="BQ3" s="16">
        <v>14</v>
      </c>
      <c r="BR3" s="9" t="s">
        <v>67</v>
      </c>
      <c r="BS3" s="9" t="s">
        <v>68</v>
      </c>
      <c r="BT3" s="28" t="s">
        <v>69</v>
      </c>
      <c r="BU3" s="9" t="s">
        <v>70</v>
      </c>
      <c r="BV3" s="9" t="s">
        <v>71</v>
      </c>
      <c r="BW3" s="9" t="s">
        <v>72</v>
      </c>
      <c r="BX3" s="9" t="s">
        <v>73</v>
      </c>
      <c r="BY3" s="9" t="s">
        <v>74</v>
      </c>
      <c r="BZ3" s="29" t="s">
        <v>75</v>
      </c>
      <c r="CA3" s="10" t="s">
        <v>76</v>
      </c>
      <c r="CB3" s="10" t="s">
        <v>77</v>
      </c>
      <c r="CC3" s="10" t="s">
        <v>78</v>
      </c>
      <c r="CD3" s="11" t="s">
        <v>79</v>
      </c>
      <c r="CE3" s="7"/>
      <c r="CF3" s="7"/>
      <c r="CG3" s="11" t="s">
        <v>80</v>
      </c>
      <c r="CH3" s="7"/>
      <c r="CI3" s="7"/>
      <c r="CJ3" s="7"/>
      <c r="CK3" s="7"/>
      <c r="CL3" s="7"/>
      <c r="CM3" s="7"/>
      <c r="CN3" s="7"/>
      <c r="CO3" s="7"/>
      <c r="CP3" s="7"/>
      <c r="CR3" s="25" t="s">
        <v>81</v>
      </c>
      <c r="CS3" s="25" t="s">
        <v>82</v>
      </c>
      <c r="CT3" s="25" t="s">
        <v>83</v>
      </c>
      <c r="CU3" s="25" t="s">
        <v>84</v>
      </c>
      <c r="CV3" s="25" t="s">
        <v>85</v>
      </c>
      <c r="CW3" s="25" t="s">
        <v>86</v>
      </c>
      <c r="CX3" s="25" t="s">
        <v>87</v>
      </c>
      <c r="CY3" s="25" t="s">
        <v>88</v>
      </c>
      <c r="CZ3" s="25" t="s">
        <v>89</v>
      </c>
      <c r="DA3" s="25" t="s">
        <v>90</v>
      </c>
      <c r="DB3" s="25" t="s">
        <v>91</v>
      </c>
      <c r="DC3" s="25" t="s">
        <v>92</v>
      </c>
      <c r="DD3" s="25" t="s">
        <v>44</v>
      </c>
      <c r="DE3" s="25" t="s">
        <v>45</v>
      </c>
      <c r="DF3" s="25" t="s">
        <v>46</v>
      </c>
      <c r="DG3" s="25" t="s">
        <v>47</v>
      </c>
      <c r="DH3" s="25" t="s">
        <v>48</v>
      </c>
      <c r="DI3" s="25" t="s">
        <v>49</v>
      </c>
      <c r="DJ3" s="25" t="s">
        <v>93</v>
      </c>
      <c r="DK3" s="25" t="s">
        <v>94</v>
      </c>
      <c r="DL3" s="25" t="s">
        <v>95</v>
      </c>
      <c r="DM3" s="25" t="s">
        <v>96</v>
      </c>
      <c r="DN3" s="25" t="s">
        <v>97</v>
      </c>
      <c r="DO3" s="25" t="s">
        <v>98</v>
      </c>
      <c r="DP3" s="25" t="s">
        <v>99</v>
      </c>
      <c r="DQ3" s="25" t="s">
        <v>100</v>
      </c>
      <c r="DR3" s="25" t="s">
        <v>101</v>
      </c>
      <c r="DS3" s="25" t="s">
        <v>102</v>
      </c>
      <c r="DT3" s="25" t="s">
        <v>103</v>
      </c>
      <c r="DU3" s="25" t="s">
        <v>104</v>
      </c>
      <c r="DV3" s="25"/>
      <c r="DW3" s="25"/>
      <c r="DX3" s="25"/>
      <c r="DY3" s="25"/>
      <c r="DZ3" s="25"/>
      <c r="EC3" s="25" t="s">
        <v>105</v>
      </c>
      <c r="ED3" s="25" t="s">
        <v>106</v>
      </c>
      <c r="EE3" s="25" t="s">
        <v>107</v>
      </c>
      <c r="EF3" s="25" t="s">
        <v>108</v>
      </c>
      <c r="FP3" s="52" t="s">
        <v>314</v>
      </c>
      <c r="FV3" s="52" t="s">
        <v>315</v>
      </c>
    </row>
    <row r="4" spans="1:183" ht="15.95" customHeight="1">
      <c r="A4" s="1">
        <v>101</v>
      </c>
      <c r="B4" s="6">
        <v>10182</v>
      </c>
      <c r="C4" s="23" t="str">
        <f>Q4&amp;","&amp;R4&amp;","&amp;S4&amp;","&amp;T4&amp;","&amp;U4&amp;","&amp;V4</f>
        <v>1101032,1304033,1304033,3401031,3502031,3500032</v>
      </c>
      <c r="D4" s="1" t="str">
        <f>W4&amp;","&amp;X4&amp;","&amp;Y4&amp;","&amp;Z4&amp;","&amp;AA4&amp;","&amp;AB4</f>
        <v>3,3,3,3,3,3</v>
      </c>
      <c r="E4" s="53" t="str">
        <f>AC4&amp;","&amp;AD4&amp;","&amp;AE4&amp;","&amp;AF4&amp;","&amp;AG4&amp;","&amp;AH4</f>
        <v>209,186,186,186,186,186</v>
      </c>
      <c r="F4" s="1">
        <f t="shared" ref="F4:F67" si="0">O4</f>
        <v>61534</v>
      </c>
      <c r="G4" s="23" t="s">
        <v>34</v>
      </c>
      <c r="H4" s="1" t="s">
        <v>28</v>
      </c>
      <c r="I4" s="1" t="s">
        <v>28</v>
      </c>
      <c r="J4" s="1" t="s">
        <v>28</v>
      </c>
      <c r="K4" s="2" t="s">
        <v>316</v>
      </c>
      <c r="L4" s="1">
        <v>0</v>
      </c>
      <c r="M4" s="1">
        <v>0</v>
      </c>
      <c r="O4" s="25">
        <f>ROUND(P4*1,0)</f>
        <v>61534</v>
      </c>
      <c r="P4" s="16">
        <v>61533.55</v>
      </c>
      <c r="Q4" s="16">
        <v>1101032</v>
      </c>
      <c r="R4" s="16">
        <v>1304033</v>
      </c>
      <c r="S4" s="16">
        <v>1304033</v>
      </c>
      <c r="T4" s="16">
        <v>3401031</v>
      </c>
      <c r="U4" s="16">
        <v>3502031</v>
      </c>
      <c r="V4" s="16">
        <v>3500032</v>
      </c>
      <c r="W4" s="16">
        <v>3</v>
      </c>
      <c r="X4" s="16">
        <v>3</v>
      </c>
      <c r="Y4" s="16">
        <v>3</v>
      </c>
      <c r="Z4" s="16">
        <v>3</v>
      </c>
      <c r="AA4" s="16">
        <v>3</v>
      </c>
      <c r="AB4" s="16">
        <v>3</v>
      </c>
      <c r="AC4" s="16">
        <f>IF(AI4&gt;0,FLOOR((POWER((AI4/IF(AND(W4&gt;=2,W4&lt;4),1.1,IF(AND(W4&gt;=4,W4&lt;6),1.2,IF(W4&gt;=6,1.4,1)))/$Z$1),0.5)/INDEX($BD$4:$BQ$4,MATCH(W4,$BD$3:$BQ$3,0))-1)*10,1),"")</f>
        <v>209</v>
      </c>
      <c r="AD4" s="16">
        <f t="shared" ref="AD4:AH19" si="1">IF(AJ4&gt;0,FLOOR((POWER((AJ4/IF(AND(X4&gt;=2,X4&lt;4),1.1,IF(AND(X4&gt;=4,X4&lt;6),1.15,IF(X4&gt;=6,1.2,1)))/$Z$1),0.5)/INDEX($BD$4:$BQ$4,MATCH(X4,$BD$3:$BQ$3,0))-1)*10,1),"")</f>
        <v>186</v>
      </c>
      <c r="AE4" s="16">
        <f t="shared" si="1"/>
        <v>186</v>
      </c>
      <c r="AF4" s="16">
        <f t="shared" si="1"/>
        <v>186</v>
      </c>
      <c r="AG4" s="16">
        <f t="shared" si="1"/>
        <v>186</v>
      </c>
      <c r="AH4" s="16">
        <f t="shared" si="1"/>
        <v>186</v>
      </c>
      <c r="AI4" s="28">
        <f>$P4*0.2</f>
        <v>12306.710000000001</v>
      </c>
      <c r="AJ4" s="28">
        <f>$P4*0.16</f>
        <v>9845.3680000000004</v>
      </c>
      <c r="AK4" s="28">
        <f t="shared" ref="AK4:AN19" si="2">$P4*0.16</f>
        <v>9845.3680000000004</v>
      </c>
      <c r="AL4" s="28">
        <f t="shared" si="2"/>
        <v>9845.3680000000004</v>
      </c>
      <c r="AM4" s="28">
        <f t="shared" si="2"/>
        <v>9845.3680000000004</v>
      </c>
      <c r="AN4" s="28">
        <f t="shared" si="2"/>
        <v>9845.3680000000004</v>
      </c>
      <c r="AO4" s="30"/>
      <c r="AP4" s="28"/>
      <c r="AQ4" s="16">
        <v>3</v>
      </c>
      <c r="AR4" s="16">
        <f>IF(AI4&gt;0,FLOOR((POWER((AI4/IF(AND(AQ4&gt;=2,AQ4&lt;4),1.2,IF(AND(AQ4&gt;=4,AQ4&lt;6),1.4,IF(AQ4&gt;=6,1.6,1)))/$Z$1),0.5)/INDEX($BD$4:$BQ$4,MATCH(AQ4,$BD$3:$BQ$3,0))-1)*10,1),"")</f>
        <v>200</v>
      </c>
      <c r="AS4" s="28">
        <f>FLOOR(A4/1,1)+25</f>
        <v>126</v>
      </c>
      <c r="AT4" s="28"/>
      <c r="AU4" s="30">
        <v>61533.55</v>
      </c>
      <c r="AV4" s="28" t="str">
        <f>IF(AU4&gt;P4,"大:"&amp;(AU4-P4)/P4,"小:"&amp;(P4-AU4)/P4)</f>
        <v>小:0</v>
      </c>
      <c r="AW4" s="28"/>
      <c r="AX4" s="28"/>
      <c r="AY4" s="16">
        <v>4</v>
      </c>
      <c r="AZ4" s="28">
        <v>20</v>
      </c>
      <c r="BA4" s="25">
        <v>3000</v>
      </c>
      <c r="BC4" s="7">
        <f>FLOOR(POWER(((3000*1.5/0.9/1.05)/(96*INDEX($BD$4:$BO$4,MATCH(W4,$BD$3:$BO$3,0))*8*INDEX($BD$4:$BO$4,MATCH(W4,$BD$3:$BO$3,0)))*AI4/IF(AND(W4&gt;=2,W4&lt;4),1.2,IF(AND(W4&gt;=4,W4&lt;6),1.4,IF(W4&gt;=6,1.6,1)))),1/2)-10,1)</f>
        <v>200</v>
      </c>
      <c r="BD4" s="7">
        <v>1</v>
      </c>
      <c r="BE4" s="9">
        <v>1.1000000000000001</v>
      </c>
      <c r="BF4" s="7">
        <v>1.2</v>
      </c>
      <c r="BG4" s="9">
        <v>1.4</v>
      </c>
      <c r="BH4" s="7">
        <v>1.6</v>
      </c>
      <c r="BI4" s="9">
        <v>1.8</v>
      </c>
      <c r="BJ4" s="7">
        <v>2</v>
      </c>
      <c r="BK4" s="9">
        <v>2.2000000000000002</v>
      </c>
      <c r="BL4" s="7">
        <v>2.4</v>
      </c>
      <c r="BM4" s="9">
        <v>2.6</v>
      </c>
      <c r="BN4" s="7">
        <v>2.8</v>
      </c>
      <c r="BO4" s="9">
        <v>3</v>
      </c>
      <c r="BP4" s="7">
        <v>3.2</v>
      </c>
      <c r="BQ4" s="9">
        <v>3.4</v>
      </c>
      <c r="BR4" s="28">
        <v>3201031</v>
      </c>
      <c r="BS4" s="9">
        <f>[1]monsters!$N4</f>
        <v>103.68</v>
      </c>
      <c r="BT4" s="9">
        <f>[1]monsters!$O4</f>
        <v>10.37</v>
      </c>
      <c r="BU4" s="9">
        <f>[1]monsters!$P4</f>
        <v>1280</v>
      </c>
      <c r="BV4" s="9">
        <f>[1]monsters!$Q4</f>
        <v>128</v>
      </c>
      <c r="BW4" s="9">
        <f>[1]monsters!$R4</f>
        <v>20.74</v>
      </c>
      <c r="BX4" s="9">
        <f>[1]monsters!$S4</f>
        <v>2.0699999999999998</v>
      </c>
      <c r="BY4" s="9">
        <f>[1]monsters!$K4</f>
        <v>1.8</v>
      </c>
      <c r="BZ4" s="7">
        <f>[1]monsters!$D4</f>
        <v>2</v>
      </c>
      <c r="CA4" s="7">
        <f>INDEX($CH$5:$CH$10,MATCH($BZ4,$CG$5:$CG$10))</f>
        <v>0.1</v>
      </c>
      <c r="CB4" s="7">
        <f>(BU4/33/(1-CA4)/(1-0)+BS4*(1+0.5*0.1)*0.9)</f>
        <v>141.07524309764312</v>
      </c>
      <c r="CC4" s="7">
        <f>(BU4/33/(1-CA4)/(1-0)+BS4*(1+0.5*0.1)*0.9)*0.1</f>
        <v>14.107524309764313</v>
      </c>
      <c r="CD4" s="7">
        <v>1000</v>
      </c>
      <c r="CE4" s="7">
        <v>1E-4</v>
      </c>
      <c r="CF4" s="7"/>
      <c r="CG4" s="29" t="s">
        <v>109</v>
      </c>
      <c r="CH4" s="29" t="s">
        <v>110</v>
      </c>
      <c r="CI4" s="7"/>
      <c r="CJ4" s="7"/>
      <c r="CK4" s="27" t="s">
        <v>111</v>
      </c>
      <c r="CL4" s="27" t="s">
        <v>112</v>
      </c>
      <c r="CM4" s="27" t="s">
        <v>77</v>
      </c>
      <c r="CN4" s="7"/>
      <c r="CO4" s="7"/>
      <c r="CP4" s="7">
        <v>0</v>
      </c>
      <c r="CR4" s="25" t="b">
        <f>IF(ISERROR(MATCH(INT(CX4),$EC$4:$EC$801,0))=FALSE,TRUE)</f>
        <v>1</v>
      </c>
      <c r="CS4" s="25" t="b">
        <f t="shared" ref="CS4:CW4" si="3">IF(ISERROR(MATCH(INT(CY4),$EC$4:$EC$801,0))=FALSE,TRUE)</f>
        <v>1</v>
      </c>
      <c r="CT4" s="25" t="b">
        <f t="shared" si="3"/>
        <v>1</v>
      </c>
      <c r="CU4" s="25" t="b">
        <f t="shared" si="3"/>
        <v>1</v>
      </c>
      <c r="CV4" s="25" t="b">
        <f t="shared" si="3"/>
        <v>1</v>
      </c>
      <c r="CW4" s="25" t="b">
        <f t="shared" si="3"/>
        <v>1</v>
      </c>
      <c r="CX4" s="16" t="str">
        <f>REPLACE(REPLACE(INDEX($EC$4:$EC$801,MATCH(DP4,$ED$4:$ED$801,0)),IF(DD4&gt;9,5,6),IF(DD4&gt;9,2,1),DD4),1,1,DJ4)</f>
        <v>1101032</v>
      </c>
      <c r="CY4" s="16" t="str">
        <f t="shared" ref="CY4:DC4" si="4">REPLACE(REPLACE(INDEX($EC$4:$EC$801,MATCH(DQ4,$ED$4:$ED$801,0)),IF(DE4&gt;9,5,6),IF(DE4&gt;9,2,1),DE4),1,1,DK4)</f>
        <v>1304033</v>
      </c>
      <c r="CZ4" s="16" t="str">
        <f t="shared" si="4"/>
        <v>1304033</v>
      </c>
      <c r="DA4" s="16" t="str">
        <f t="shared" si="4"/>
        <v>3401031</v>
      </c>
      <c r="DB4" s="16" t="str">
        <f t="shared" si="4"/>
        <v>3502031</v>
      </c>
      <c r="DC4" s="16" t="str">
        <f t="shared" si="4"/>
        <v>3500032</v>
      </c>
      <c r="DD4" s="16">
        <v>3</v>
      </c>
      <c r="DE4" s="16">
        <v>3</v>
      </c>
      <c r="DF4" s="16">
        <v>3</v>
      </c>
      <c r="DG4" s="16">
        <v>3</v>
      </c>
      <c r="DH4" s="16">
        <v>3</v>
      </c>
      <c r="DI4" s="16">
        <v>3</v>
      </c>
      <c r="DJ4" s="16">
        <v>1</v>
      </c>
      <c r="DK4" s="16">
        <v>1</v>
      </c>
      <c r="DL4" s="16">
        <v>1</v>
      </c>
      <c r="DM4" s="16">
        <v>3</v>
      </c>
      <c r="DN4" s="16">
        <v>3</v>
      </c>
      <c r="DO4" s="16">
        <v>3</v>
      </c>
      <c r="DP4" s="25" t="s">
        <v>299</v>
      </c>
      <c r="DQ4" s="25" t="s">
        <v>273</v>
      </c>
      <c r="DR4" s="25" t="s">
        <v>273</v>
      </c>
      <c r="DS4" s="25" t="s">
        <v>123</v>
      </c>
      <c r="DT4" s="25" t="s">
        <v>130</v>
      </c>
      <c r="DU4" s="25" t="s">
        <v>115</v>
      </c>
      <c r="DV4" s="32">
        <f t="shared" ref="DV4:DV67" si="5">INDEX($EE$4:$EE$801,MATCH(DP4,$ED$4:$ED$801,0))</f>
        <v>1</v>
      </c>
      <c r="DW4" s="32">
        <f t="shared" ref="DW4:DW67" si="6">INDEX($EE$4:$EE$801,MATCH(DQ4,$ED$4:$ED$801,0))</f>
        <v>1</v>
      </c>
      <c r="DX4" s="32">
        <f t="shared" ref="DX4:DX67" si="7">INDEX($EE$4:$EE$801,MATCH(DR4,$ED$4:$ED$801,0))</f>
        <v>1</v>
      </c>
      <c r="DY4" s="32">
        <f t="shared" ref="DY4:DY67" si="8">INDEX($EE$4:$EE$801,MATCH(DS4,$ED$4:$ED$801,0))</f>
        <v>2</v>
      </c>
      <c r="DZ4" s="32">
        <f t="shared" ref="DZ4:DZ67" si="9">INDEX($EE$4:$EE$801,MATCH(DT4,$ED$4:$ED$801,0))</f>
        <v>2</v>
      </c>
      <c r="EA4" s="32">
        <f t="shared" ref="EA4:EA67" si="10">INDEX($EE$4:$EE$801,MATCH(DU4,$ED$4:$ED$801,0))</f>
        <v>2</v>
      </c>
      <c r="EB4" s="31"/>
      <c r="EC4" s="7">
        <v>3202031</v>
      </c>
      <c r="ED4" s="15" t="s">
        <v>117</v>
      </c>
      <c r="EE4" s="16">
        <v>1</v>
      </c>
      <c r="EF4" s="16">
        <v>303120001</v>
      </c>
      <c r="EG4" s="25" t="str">
        <f t="shared" ref="EG4:EG36" si="11">INDEX($ER$4:$ER$153,MATCH($EF4,$EQ$4:$EQ$153,0))</f>
        <v>对距离最近的1名敌人造成320%攻击伤害。</v>
      </c>
      <c r="EQ4" s="16">
        <v>505120001</v>
      </c>
      <c r="ER4" s="16" t="s">
        <v>118</v>
      </c>
      <c r="FD4" s="16">
        <v>1101032</v>
      </c>
      <c r="FE4" s="16">
        <v>1304033</v>
      </c>
      <c r="FF4" s="16">
        <v>1304033</v>
      </c>
      <c r="FG4" s="16">
        <v>3401031</v>
      </c>
      <c r="FH4" s="16">
        <v>3502031</v>
      </c>
      <c r="FI4" s="16">
        <v>3500032</v>
      </c>
      <c r="FJ4" t="str">
        <f>INDEX($ED$4:$ED$801,MATCH(FD4,$EC$4:$EC$801,0))</f>
        <v>火黑骑士</v>
      </c>
      <c r="FK4" t="str">
        <f t="shared" ref="FK4:FN4" si="12">INDEX($ED$4:$ED$801,MATCH(FE4,$EC$4:$EC$801,0))</f>
        <v>木狼人</v>
      </c>
      <c r="FL4" t="str">
        <f t="shared" si="12"/>
        <v>木狼人</v>
      </c>
      <c r="FM4" t="str">
        <f t="shared" si="12"/>
        <v>水魔法师</v>
      </c>
      <c r="FN4" t="str">
        <f t="shared" si="12"/>
        <v>水火枪手</v>
      </c>
      <c r="FO4" t="str">
        <f>INDEX($ED$4:$ED$801,MATCH(FI4,$EC$4:$EC$801,0))</f>
        <v>火海盗</v>
      </c>
      <c r="FP4" t="str">
        <f>LEFT(RIGHT(FD4,2),1)</f>
        <v>3</v>
      </c>
      <c r="FQ4" t="str">
        <f t="shared" ref="FQ4:FU4" si="13">LEFT(RIGHT(FE4,2),1)</f>
        <v>3</v>
      </c>
      <c r="FR4" t="str">
        <f t="shared" si="13"/>
        <v>3</v>
      </c>
      <c r="FS4" t="str">
        <f t="shared" si="13"/>
        <v>3</v>
      </c>
      <c r="FT4" t="str">
        <f t="shared" si="13"/>
        <v>3</v>
      </c>
      <c r="FU4" t="str">
        <f t="shared" si="13"/>
        <v>3</v>
      </c>
      <c r="FV4" t="str">
        <f t="shared" ref="FV4:FV35" si="14">LEFT(FD4,1)</f>
        <v>1</v>
      </c>
      <c r="FW4" t="str">
        <f t="shared" ref="FW4:FW35" si="15">LEFT(FE4,1)</f>
        <v>1</v>
      </c>
      <c r="FX4" t="str">
        <f t="shared" ref="FX4:FX35" si="16">LEFT(FF4,1)</f>
        <v>1</v>
      </c>
      <c r="FY4" t="str">
        <f t="shared" ref="FY4:FY35" si="17">LEFT(FG4,1)</f>
        <v>3</v>
      </c>
      <c r="FZ4" t="str">
        <f t="shared" ref="FZ4:FZ35" si="18">LEFT(FH4,1)</f>
        <v>3</v>
      </c>
      <c r="GA4" t="str">
        <f t="shared" ref="GA4:GA35" si="19">LEFT(FI4,1)</f>
        <v>3</v>
      </c>
    </row>
    <row r="5" spans="1:183" ht="15.95" customHeight="1">
      <c r="A5" s="1">
        <v>102</v>
      </c>
      <c r="B5" s="6">
        <v>10182</v>
      </c>
      <c r="C5" s="23" t="str">
        <f t="shared" ref="C5:C68" si="20">Q5&amp;","&amp;R5&amp;","&amp;S5&amp;","&amp;T5&amp;","&amp;U5&amp;","&amp;V5</f>
        <v>3502031,3201032,1205032,1204032,3402033,1405032</v>
      </c>
      <c r="D5" s="1" t="str">
        <f t="shared" ref="D5:D68" si="21">W5&amp;","&amp;X5&amp;","&amp;Y5&amp;","&amp;Z5&amp;","&amp;AA5&amp;","&amp;AB5</f>
        <v>3,3,3,3,3,3</v>
      </c>
      <c r="E5" s="53" t="str">
        <f t="shared" ref="E5:E68" si="22">AC5&amp;","&amp;AD5&amp;","&amp;AE5&amp;","&amp;AF5&amp;","&amp;AG5&amp;","&amp;AH5</f>
        <v>211,188,188,188,188,188</v>
      </c>
      <c r="F5" s="1">
        <f t="shared" si="0"/>
        <v>62934</v>
      </c>
      <c r="G5" s="23" t="s">
        <v>34</v>
      </c>
      <c r="H5" s="1" t="s">
        <v>28</v>
      </c>
      <c r="I5" s="1" t="s">
        <v>28</v>
      </c>
      <c r="J5" s="1" t="s">
        <v>28</v>
      </c>
      <c r="K5" s="2" t="s">
        <v>316</v>
      </c>
      <c r="L5" s="1">
        <v>0</v>
      </c>
      <c r="M5" s="1">
        <v>0</v>
      </c>
      <c r="O5" s="25">
        <f t="shared" ref="O5:O68" si="23">ROUND(P5*1,0)</f>
        <v>62934</v>
      </c>
      <c r="P5" s="16">
        <v>62933.69</v>
      </c>
      <c r="Q5" s="16">
        <v>3502031</v>
      </c>
      <c r="R5" s="16">
        <v>3201032</v>
      </c>
      <c r="S5" s="16">
        <v>1205032</v>
      </c>
      <c r="T5" s="16">
        <v>1204032</v>
      </c>
      <c r="U5" s="16">
        <v>3402033</v>
      </c>
      <c r="V5" s="16">
        <v>1405032</v>
      </c>
      <c r="W5" s="16">
        <v>3</v>
      </c>
      <c r="X5" s="16">
        <v>3</v>
      </c>
      <c r="Y5" s="16">
        <v>3</v>
      </c>
      <c r="Z5" s="16">
        <v>3</v>
      </c>
      <c r="AA5" s="16">
        <v>3</v>
      </c>
      <c r="AB5" s="16">
        <v>3</v>
      </c>
      <c r="AC5" s="16">
        <f t="shared" ref="AC5:AC68" si="24">IF(AI5&gt;0,FLOOR((POWER((AI5/IF(AND(W5&gt;=2,W5&lt;4),1.1,IF(AND(W5&gt;=4,W5&lt;6),1.2,IF(W5&gt;=6,1.4,1)))/$Z$1),0.5)/INDEX($BD$4:$BQ$4,MATCH(W5,$BD$3:$BQ$3,0))-1)*10,1),"")</f>
        <v>211</v>
      </c>
      <c r="AD5" s="16">
        <f t="shared" si="1"/>
        <v>188</v>
      </c>
      <c r="AE5" s="16">
        <f t="shared" si="1"/>
        <v>188</v>
      </c>
      <c r="AF5" s="16">
        <f t="shared" si="1"/>
        <v>188</v>
      </c>
      <c r="AG5" s="16">
        <f t="shared" si="1"/>
        <v>188</v>
      </c>
      <c r="AH5" s="16">
        <f t="shared" si="1"/>
        <v>188</v>
      </c>
      <c r="AI5" s="28">
        <f t="shared" ref="AI5:AI68" si="25">$P5*0.2</f>
        <v>12586.738000000001</v>
      </c>
      <c r="AJ5" s="28">
        <f t="shared" ref="AJ5:AN36" si="26">$P5*0.16</f>
        <v>10069.3904</v>
      </c>
      <c r="AK5" s="28">
        <f t="shared" si="2"/>
        <v>10069.3904</v>
      </c>
      <c r="AL5" s="28">
        <f t="shared" si="2"/>
        <v>10069.3904</v>
      </c>
      <c r="AM5" s="28">
        <f t="shared" si="2"/>
        <v>10069.3904</v>
      </c>
      <c r="AN5" s="28">
        <f t="shared" si="2"/>
        <v>10069.3904</v>
      </c>
      <c r="AO5" s="30"/>
      <c r="AP5" s="28"/>
      <c r="AQ5" s="16">
        <v>3</v>
      </c>
      <c r="AR5" s="16">
        <f t="shared" ref="AR5:AR68" si="27">IF(AI5&gt;0,FLOOR((POWER((AI5/IF(AND(AQ5&gt;=2,AQ5&lt;4),1.2,IF(AND(AQ5&gt;=4,AQ5&lt;6),1.4,IF(AQ5&gt;=6,1.6,1)))/$Z$1),0.5)/INDEX($BD$4:$BQ$4,MATCH(AQ5,$BD$3:$BQ$3,0))-1)*10,1),"")</f>
        <v>202</v>
      </c>
      <c r="AS5" s="28">
        <f t="shared" ref="AS5:AS68" si="28">FLOOR(A5/1,1)+25</f>
        <v>127</v>
      </c>
      <c r="AT5" s="28"/>
      <c r="AU5" s="30">
        <v>62933.69</v>
      </c>
      <c r="AV5" s="28" t="str">
        <f t="shared" ref="AV5:AV68" si="29">IF(AU5&gt;P5,"大:"&amp;(AU5-P5)/P5,"小:"&amp;(P5-AU5)/P5)</f>
        <v>小:0</v>
      </c>
      <c r="AW5" s="28"/>
      <c r="AX5" s="28"/>
      <c r="AZ5" s="28"/>
      <c r="BA5" s="16">
        <f>BA4+($BA$43-$BA$4)/($A$43-$A$4)</f>
        <v>3011.2621359223299</v>
      </c>
      <c r="BC5" s="7">
        <f t="shared" ref="BC5:BC68" si="30">FLOOR(POWER(((3000*1.5/0.9/1.05)/(96*INDEX($BD$4:$BO$4,MATCH(W5,$BD$3:$BO$3,0))*8*INDEX($BD$4:$BO$4,MATCH(W5,$BD$3:$BO$3,0)))*AI5/IF(AND(W5&gt;=2,W5&lt;4),1.2,IF(AND(W5&gt;=4,W5&lt;6),1.4,IF(W5&gt;=6,1.6,1)))),1/2)-10,1)</f>
        <v>202</v>
      </c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9"/>
      <c r="BQ5" s="9"/>
      <c r="BR5" s="9">
        <v>3302031</v>
      </c>
      <c r="BS5" s="9">
        <f>[1]monsters!$N5</f>
        <v>69.12</v>
      </c>
      <c r="BT5" s="9">
        <f>[1]monsters!$O5</f>
        <v>6.91</v>
      </c>
      <c r="BU5" s="9">
        <f>[1]monsters!$P5</f>
        <v>1280</v>
      </c>
      <c r="BV5" s="9">
        <f>[1]monsters!$Q5</f>
        <v>128</v>
      </c>
      <c r="BW5" s="9">
        <f>[1]monsters!$R5</f>
        <v>13.82</v>
      </c>
      <c r="BX5" s="9">
        <f>[1]monsters!$S5</f>
        <v>1.38</v>
      </c>
      <c r="BY5" s="9">
        <f>[1]monsters!$K5</f>
        <v>1.2</v>
      </c>
      <c r="BZ5" s="7">
        <f>[1]monsters!$D5</f>
        <v>3</v>
      </c>
      <c r="CA5" s="7">
        <f t="shared" ref="CA5:CA68" si="31">INDEX($CH$5:$CH$10,MATCH($BZ5,$CG$5:$CG$10))</f>
        <v>0.1</v>
      </c>
      <c r="CB5" s="7">
        <f t="shared" ref="CB5:CB68" si="32">(BU5/33/(1-CA5)/(1-0)+BS5*(1+0.5*0.1)*0.9)</f>
        <v>108.41604309764311</v>
      </c>
      <c r="CC5" s="7">
        <f t="shared" ref="CC5:CC68" si="33">(BU5/33/(1-CA5)/(1-0)+BS5*(1+0.5*0.1)*0.9)*0.1</f>
        <v>10.841604309764312</v>
      </c>
      <c r="CD5" s="7">
        <v>4000</v>
      </c>
      <c r="CE5" s="7">
        <v>5.0000000000000002E-5</v>
      </c>
      <c r="CF5" s="7"/>
      <c r="CG5" s="7">
        <v>1</v>
      </c>
      <c r="CH5" s="7">
        <v>0.1</v>
      </c>
      <c r="CI5" s="7"/>
      <c r="CJ5" s="7"/>
      <c r="CK5" s="7">
        <v>30</v>
      </c>
      <c r="CL5" s="7">
        <v>1200</v>
      </c>
      <c r="CM5" s="7"/>
      <c r="CN5" s="7"/>
      <c r="CO5" s="7"/>
      <c r="CP5" s="7">
        <v>0</v>
      </c>
      <c r="CR5" s="25" t="b">
        <f t="shared" ref="CR5:CR68" si="34">IF(ISERROR(MATCH(INT(CX5),$EC$4:$EC$801,0))=FALSE,TRUE)</f>
        <v>1</v>
      </c>
      <c r="CS5" s="25" t="b">
        <f t="shared" ref="CS5:CS68" si="35">IF(ISERROR(MATCH(INT(CY5),$EC$4:$EC$801,0))=FALSE,TRUE)</f>
        <v>1</v>
      </c>
      <c r="CT5" s="25" t="b">
        <f t="shared" ref="CT5:CT68" si="36">IF(ISERROR(MATCH(INT(CZ5),$EC$4:$EC$801,0))=FALSE,TRUE)</f>
        <v>1</v>
      </c>
      <c r="CU5" s="25" t="b">
        <f t="shared" ref="CU5:CU68" si="37">IF(ISERROR(MATCH(INT(DA5),$EC$4:$EC$801,0))=FALSE,TRUE)</f>
        <v>1</v>
      </c>
      <c r="CV5" s="25" t="b">
        <f t="shared" ref="CV5:CV68" si="38">IF(ISERROR(MATCH(INT(DB5),$EC$4:$EC$801,0))=FALSE,TRUE)</f>
        <v>1</v>
      </c>
      <c r="CW5" s="25" t="b">
        <f t="shared" ref="CW5:CW68" si="39">IF(ISERROR(MATCH(INT(DC5),$EC$4:$EC$801,0))=FALSE,TRUE)</f>
        <v>1</v>
      </c>
      <c r="CX5" s="16" t="str">
        <f t="shared" ref="CX5:CX68" si="40">REPLACE(REPLACE(INDEX($EC$4:$EC$801,MATCH(DP5,$ED$4:$ED$801,0)),IF(DD5&gt;9,5,6),IF(DD5&gt;9,2,1),DD5),1,1,DJ5)</f>
        <v>3502031</v>
      </c>
      <c r="CY5" s="16" t="str">
        <f t="shared" ref="CY5:CY68" si="41">REPLACE(REPLACE(INDEX($EC$4:$EC$801,MATCH(DQ5,$ED$4:$ED$801,0)),IF(DE5&gt;9,5,6),IF(DE5&gt;9,2,1),DE5),1,1,DK5)</f>
        <v>3201032</v>
      </c>
      <c r="CZ5" s="16" t="str">
        <f t="shared" ref="CZ5:CZ68" si="42">REPLACE(REPLACE(INDEX($EC$4:$EC$801,MATCH(DR5,$ED$4:$ED$801,0)),IF(DF5&gt;9,5,6),IF(DF5&gt;9,2,1),DF5),1,1,DL5)</f>
        <v>1205032</v>
      </c>
      <c r="DA5" s="16" t="str">
        <f t="shared" ref="DA5:DA68" si="43">REPLACE(REPLACE(INDEX($EC$4:$EC$801,MATCH(DS5,$ED$4:$ED$801,0)),IF(DG5&gt;9,5,6),IF(DG5&gt;9,2,1),DG5),1,1,DM5)</f>
        <v>1204032</v>
      </c>
      <c r="DB5" s="16" t="str">
        <f t="shared" ref="DB5:DB68" si="44">REPLACE(REPLACE(INDEX($EC$4:$EC$801,MATCH(DT5,$ED$4:$ED$801,0)),IF(DH5&gt;9,5,6),IF(DH5&gt;9,2,1),DH5),1,1,DN5)</f>
        <v>3402033</v>
      </c>
      <c r="DC5" s="16" t="str">
        <f t="shared" ref="DC5:DC68" si="45">REPLACE(REPLACE(INDEX($EC$4:$EC$801,MATCH(DU5,$ED$4:$ED$801,0)),IF(DI5&gt;9,5,6),IF(DI5&gt;9,2,1),DI5),1,1,DO5)</f>
        <v>1405032</v>
      </c>
      <c r="DD5" s="16">
        <v>3</v>
      </c>
      <c r="DE5" s="16">
        <v>3</v>
      </c>
      <c r="DF5" s="16">
        <v>3</v>
      </c>
      <c r="DG5" s="16">
        <v>3</v>
      </c>
      <c r="DH5" s="16">
        <v>3</v>
      </c>
      <c r="DI5" s="16">
        <v>3</v>
      </c>
      <c r="DJ5" s="16">
        <v>3</v>
      </c>
      <c r="DK5" s="16">
        <v>3</v>
      </c>
      <c r="DL5" s="16">
        <v>1</v>
      </c>
      <c r="DM5" s="16">
        <v>1</v>
      </c>
      <c r="DN5" s="16">
        <v>3</v>
      </c>
      <c r="DO5" s="16">
        <v>1</v>
      </c>
      <c r="DP5" s="25" t="s">
        <v>130</v>
      </c>
      <c r="DQ5" s="25" t="s">
        <v>120</v>
      </c>
      <c r="DR5" s="25" t="s">
        <v>252</v>
      </c>
      <c r="DS5" s="51" t="s">
        <v>258</v>
      </c>
      <c r="DT5" s="51" t="s">
        <v>124</v>
      </c>
      <c r="DU5" s="13" t="s">
        <v>253</v>
      </c>
      <c r="DV5" s="32">
        <f t="shared" si="5"/>
        <v>2</v>
      </c>
      <c r="DW5" s="32">
        <f t="shared" si="6"/>
        <v>1</v>
      </c>
      <c r="DX5" s="32">
        <f t="shared" si="7"/>
        <v>1</v>
      </c>
      <c r="DY5" s="32">
        <f t="shared" si="8"/>
        <v>1</v>
      </c>
      <c r="DZ5" s="32">
        <f t="shared" si="9"/>
        <v>2</v>
      </c>
      <c r="EA5" s="32">
        <f t="shared" si="10"/>
        <v>2</v>
      </c>
      <c r="EB5" s="15"/>
      <c r="EC5" s="7">
        <v>3301031</v>
      </c>
      <c r="ED5" s="15" t="s">
        <v>113</v>
      </c>
      <c r="EE5" s="16">
        <v>1</v>
      </c>
      <c r="EF5" s="16">
        <v>303120101</v>
      </c>
      <c r="EG5" s="25" t="str">
        <f t="shared" si="11"/>
        <v>对随机2名敌人造成173%攻击伤害，并嘲讽目标，使对方强制攻击自己。</v>
      </c>
      <c r="EQ5" s="16">
        <v>505120101</v>
      </c>
      <c r="ER5" s="16" t="s">
        <v>122</v>
      </c>
      <c r="FD5" s="16">
        <v>3502031</v>
      </c>
      <c r="FE5" s="16">
        <v>3201032</v>
      </c>
      <c r="FF5" s="16">
        <v>1205032</v>
      </c>
      <c r="FG5" s="16">
        <v>1204032</v>
      </c>
      <c r="FH5" s="16">
        <v>3402033</v>
      </c>
      <c r="FI5" s="16">
        <v>1405032</v>
      </c>
      <c r="FJ5" t="str">
        <f t="shared" ref="FJ5:FJ68" si="46">INDEX($ED$4:$ED$801,MATCH(FD5,$EC$4:$EC$801,0))</f>
        <v>水火枪手</v>
      </c>
      <c r="FK5" t="str">
        <f t="shared" ref="FK5:FK68" si="47">INDEX($ED$4:$ED$801,MATCH(FE5,$EC$4:$EC$801,0))</f>
        <v>火骑兵</v>
      </c>
      <c r="FL5" t="str">
        <f t="shared" ref="FL5:FL68" si="48">INDEX($ED$4:$ED$801,MATCH(FF5,$EC$4:$EC$801,0))</f>
        <v>火骷髅战士</v>
      </c>
      <c r="FM5" t="str">
        <f t="shared" ref="FM5:FM68" si="49">INDEX($ED$4:$ED$801,MATCH(FG5,$EC$4:$EC$801,0))</f>
        <v>火恶魔战士</v>
      </c>
      <c r="FN5" t="str">
        <f t="shared" ref="FN5:FN68" si="50">INDEX($ED$4:$ED$801,MATCH(FH5,$EC$4:$EC$801,0))</f>
        <v>木女巫</v>
      </c>
      <c r="FO5" t="str">
        <f t="shared" ref="FO5:FO68" si="51">INDEX($ED$4:$ED$801,MATCH(FI5,$EC$4:$EC$801,0))</f>
        <v>火骷髅法师</v>
      </c>
      <c r="FP5" t="str">
        <f t="shared" ref="FP5:FP68" si="52">LEFT(RIGHT(FD5,2),1)</f>
        <v>3</v>
      </c>
      <c r="FQ5" t="str">
        <f t="shared" ref="FQ5:FQ68" si="53">LEFT(RIGHT(FE5,2),1)</f>
        <v>3</v>
      </c>
      <c r="FR5" t="str">
        <f t="shared" ref="FR5:FR68" si="54">LEFT(RIGHT(FF5,2),1)</f>
        <v>3</v>
      </c>
      <c r="FS5" t="str">
        <f t="shared" ref="FS5:FS68" si="55">LEFT(RIGHT(FG5,2),1)</f>
        <v>3</v>
      </c>
      <c r="FT5" t="str">
        <f t="shared" ref="FT5:FT68" si="56">LEFT(RIGHT(FH5,2),1)</f>
        <v>3</v>
      </c>
      <c r="FU5" t="str">
        <f t="shared" ref="FU5:FU68" si="57">LEFT(RIGHT(FI5,2),1)</f>
        <v>3</v>
      </c>
      <c r="FV5" t="str">
        <f t="shared" si="14"/>
        <v>3</v>
      </c>
      <c r="FW5" t="str">
        <f t="shared" si="15"/>
        <v>3</v>
      </c>
      <c r="FX5" t="str">
        <f t="shared" si="16"/>
        <v>1</v>
      </c>
      <c r="FY5" t="str">
        <f t="shared" si="17"/>
        <v>1</v>
      </c>
      <c r="FZ5" t="str">
        <f t="shared" si="18"/>
        <v>3</v>
      </c>
      <c r="GA5" t="str">
        <f t="shared" si="19"/>
        <v>1</v>
      </c>
    </row>
    <row r="6" spans="1:183" ht="15.95" customHeight="1">
      <c r="A6" s="1">
        <v>103</v>
      </c>
      <c r="B6" s="6">
        <v>10182</v>
      </c>
      <c r="C6" s="23" t="str">
        <f t="shared" si="20"/>
        <v>1101032,3201032,3200033,3402033,3401031,3500032</v>
      </c>
      <c r="D6" s="1" t="str">
        <f t="shared" si="21"/>
        <v>3,3,3,3,3,3</v>
      </c>
      <c r="E6" s="53" t="str">
        <f t="shared" si="22"/>
        <v>215,191,191,191,191,191</v>
      </c>
      <c r="F6" s="1">
        <f t="shared" si="0"/>
        <v>64806</v>
      </c>
      <c r="G6" s="23" t="s">
        <v>34</v>
      </c>
      <c r="H6" s="1" t="s">
        <v>28</v>
      </c>
      <c r="I6" s="1" t="s">
        <v>28</v>
      </c>
      <c r="J6" s="1" t="s">
        <v>28</v>
      </c>
      <c r="K6" s="2" t="s">
        <v>317</v>
      </c>
      <c r="L6" s="1">
        <v>0</v>
      </c>
      <c r="M6" s="1">
        <v>3</v>
      </c>
      <c r="O6" s="25">
        <f t="shared" si="23"/>
        <v>64806</v>
      </c>
      <c r="P6" s="16">
        <v>64806.48</v>
      </c>
      <c r="Q6" s="16">
        <v>1101032</v>
      </c>
      <c r="R6" s="16">
        <v>3201032</v>
      </c>
      <c r="S6" s="16">
        <v>3200033</v>
      </c>
      <c r="T6" s="16">
        <v>3402033</v>
      </c>
      <c r="U6" s="16">
        <v>3401031</v>
      </c>
      <c r="V6" s="16">
        <v>3500032</v>
      </c>
      <c r="W6" s="16">
        <v>3</v>
      </c>
      <c r="X6" s="16">
        <v>3</v>
      </c>
      <c r="Y6" s="16">
        <v>3</v>
      </c>
      <c r="Z6" s="16">
        <v>3</v>
      </c>
      <c r="AA6" s="16">
        <v>3</v>
      </c>
      <c r="AB6" s="16">
        <v>3</v>
      </c>
      <c r="AC6" s="16">
        <f t="shared" si="24"/>
        <v>215</v>
      </c>
      <c r="AD6" s="16">
        <f t="shared" si="1"/>
        <v>191</v>
      </c>
      <c r="AE6" s="16">
        <f t="shared" si="1"/>
        <v>191</v>
      </c>
      <c r="AF6" s="16">
        <f t="shared" si="1"/>
        <v>191</v>
      </c>
      <c r="AG6" s="16">
        <f t="shared" si="1"/>
        <v>191</v>
      </c>
      <c r="AH6" s="16">
        <f t="shared" si="1"/>
        <v>191</v>
      </c>
      <c r="AI6" s="28">
        <f t="shared" si="25"/>
        <v>12961.296000000002</v>
      </c>
      <c r="AJ6" s="28">
        <f t="shared" si="26"/>
        <v>10369.0368</v>
      </c>
      <c r="AK6" s="28">
        <f t="shared" si="2"/>
        <v>10369.0368</v>
      </c>
      <c r="AL6" s="28">
        <f t="shared" si="2"/>
        <v>10369.0368</v>
      </c>
      <c r="AM6" s="28">
        <f t="shared" si="2"/>
        <v>10369.0368</v>
      </c>
      <c r="AN6" s="28">
        <f t="shared" si="2"/>
        <v>10369.0368</v>
      </c>
      <c r="AO6" s="30"/>
      <c r="AP6" s="28"/>
      <c r="AQ6" s="16">
        <v>3</v>
      </c>
      <c r="AR6" s="16">
        <f t="shared" si="27"/>
        <v>205</v>
      </c>
      <c r="AS6" s="28">
        <f t="shared" si="28"/>
        <v>128</v>
      </c>
      <c r="AT6" s="28"/>
      <c r="AU6" s="30">
        <v>64806.48</v>
      </c>
      <c r="AV6" s="28" t="str">
        <f t="shared" si="29"/>
        <v>小:0</v>
      </c>
      <c r="AW6" s="28"/>
      <c r="AX6" s="28"/>
      <c r="AZ6" s="28"/>
      <c r="BA6" s="16">
        <f t="shared" ref="BA6:BA42" si="58">BA5+($BA$43-$BA$4)/($A$43-$A$4)</f>
        <v>3022.5242718446598</v>
      </c>
      <c r="BC6" s="7">
        <f t="shared" si="30"/>
        <v>205</v>
      </c>
      <c r="BD6" s="33"/>
      <c r="BE6" s="34"/>
      <c r="BF6" s="34"/>
      <c r="BG6" s="34"/>
      <c r="BH6" s="34"/>
      <c r="BI6" s="34"/>
      <c r="BJ6" s="34"/>
      <c r="BK6" s="7"/>
      <c r="BL6" s="7"/>
      <c r="BM6" s="7"/>
      <c r="BN6" s="7"/>
      <c r="BO6" s="7"/>
      <c r="BP6" s="9"/>
      <c r="BQ6" s="9"/>
      <c r="BR6" s="9">
        <v>3401031</v>
      </c>
      <c r="BS6" s="9">
        <f>[1]monsters!$N6</f>
        <v>125.44</v>
      </c>
      <c r="BT6" s="9">
        <f>[1]monsters!$O6</f>
        <v>12.54</v>
      </c>
      <c r="BU6" s="9">
        <f>[1]monsters!$P6</f>
        <v>822.86</v>
      </c>
      <c r="BV6" s="9">
        <f>[1]monsters!$Q6</f>
        <v>82.29</v>
      </c>
      <c r="BW6" s="9">
        <f>[1]monsters!$R6</f>
        <v>15.68</v>
      </c>
      <c r="BX6" s="9">
        <f>[1]monsters!$S6</f>
        <v>1.57</v>
      </c>
      <c r="BY6" s="9">
        <f>[1]monsters!$K6</f>
        <v>1.4000000000000001</v>
      </c>
      <c r="BZ6" s="7">
        <f>[1]monsters!$D6</f>
        <v>5</v>
      </c>
      <c r="CA6" s="7">
        <f t="shared" si="31"/>
        <v>0.1</v>
      </c>
      <c r="CB6" s="7">
        <f t="shared" si="32"/>
        <v>146.2465239057239</v>
      </c>
      <c r="CC6" s="7">
        <f t="shared" si="33"/>
        <v>14.624652390572392</v>
      </c>
      <c r="CD6" s="7">
        <v>10000</v>
      </c>
      <c r="CE6" s="7">
        <v>2.0000000000000002E-5</v>
      </c>
      <c r="CF6" s="7"/>
      <c r="CG6" s="7">
        <v>2</v>
      </c>
      <c r="CH6" s="7">
        <v>0.1</v>
      </c>
      <c r="CI6" s="7"/>
      <c r="CJ6" s="7"/>
      <c r="CK6" s="7">
        <v>1</v>
      </c>
      <c r="CL6" s="7">
        <v>1</v>
      </c>
      <c r="CM6" s="7"/>
      <c r="CN6" s="7"/>
      <c r="CO6" s="7"/>
      <c r="CP6" s="7">
        <v>0</v>
      </c>
      <c r="CR6" s="25" t="b">
        <f t="shared" si="34"/>
        <v>1</v>
      </c>
      <c r="CS6" s="25" t="b">
        <f t="shared" si="35"/>
        <v>1</v>
      </c>
      <c r="CT6" s="25" t="b">
        <f t="shared" si="36"/>
        <v>1</v>
      </c>
      <c r="CU6" s="25" t="b">
        <f t="shared" si="37"/>
        <v>1</v>
      </c>
      <c r="CV6" s="25" t="b">
        <f t="shared" si="38"/>
        <v>1</v>
      </c>
      <c r="CW6" s="25" t="b">
        <f t="shared" si="39"/>
        <v>1</v>
      </c>
      <c r="CX6" s="16" t="str">
        <f t="shared" si="40"/>
        <v>1101032</v>
      </c>
      <c r="CY6" s="16" t="str">
        <f t="shared" si="41"/>
        <v>3201032</v>
      </c>
      <c r="CZ6" s="16" t="str">
        <f t="shared" si="42"/>
        <v>3200033</v>
      </c>
      <c r="DA6" s="16" t="str">
        <f t="shared" si="43"/>
        <v>3402033</v>
      </c>
      <c r="DB6" s="16" t="str">
        <f t="shared" si="44"/>
        <v>3401031</v>
      </c>
      <c r="DC6" s="16" t="str">
        <f t="shared" si="45"/>
        <v>3500032</v>
      </c>
      <c r="DD6" s="16">
        <v>3</v>
      </c>
      <c r="DE6" s="16">
        <v>3</v>
      </c>
      <c r="DF6" s="16">
        <v>3</v>
      </c>
      <c r="DG6" s="16">
        <v>3</v>
      </c>
      <c r="DH6" s="16">
        <v>3</v>
      </c>
      <c r="DI6" s="16">
        <v>3</v>
      </c>
      <c r="DJ6" s="16">
        <v>1</v>
      </c>
      <c r="DK6" s="16">
        <v>3</v>
      </c>
      <c r="DL6" s="16">
        <v>3</v>
      </c>
      <c r="DM6" s="16">
        <v>3</v>
      </c>
      <c r="DN6" s="16">
        <v>3</v>
      </c>
      <c r="DO6" s="16">
        <v>3</v>
      </c>
      <c r="DP6" s="25" t="s">
        <v>299</v>
      </c>
      <c r="DQ6" s="25" t="s">
        <v>120</v>
      </c>
      <c r="DR6" s="25" t="s">
        <v>119</v>
      </c>
      <c r="DS6" s="25" t="s">
        <v>124</v>
      </c>
      <c r="DT6" s="25" t="s">
        <v>123</v>
      </c>
      <c r="DU6" s="25" t="s">
        <v>115</v>
      </c>
      <c r="DV6" s="32">
        <f t="shared" si="5"/>
        <v>1</v>
      </c>
      <c r="DW6" s="32">
        <f t="shared" si="6"/>
        <v>1</v>
      </c>
      <c r="DX6" s="32">
        <f t="shared" si="7"/>
        <v>1</v>
      </c>
      <c r="DY6" s="32">
        <f t="shared" si="8"/>
        <v>2</v>
      </c>
      <c r="DZ6" s="32">
        <f t="shared" si="9"/>
        <v>2</v>
      </c>
      <c r="EA6" s="32">
        <f t="shared" si="10"/>
        <v>2</v>
      </c>
      <c r="EB6" s="15"/>
      <c r="EC6" s="7">
        <v>3502031</v>
      </c>
      <c r="ED6" s="35" t="s">
        <v>125</v>
      </c>
      <c r="EE6" s="16">
        <v>2</v>
      </c>
      <c r="EF6" s="16">
        <v>303120201</v>
      </c>
      <c r="EG6" s="25" t="str">
        <f t="shared" si="11"/>
        <v>对随机3名敌人造成124%攻击伤害。</v>
      </c>
      <c r="EQ6" s="16">
        <v>505120201</v>
      </c>
      <c r="ER6" s="16" t="s">
        <v>126</v>
      </c>
      <c r="FD6" s="16">
        <v>1101032</v>
      </c>
      <c r="FE6" s="16">
        <v>3201032</v>
      </c>
      <c r="FF6" s="16">
        <v>3200033</v>
      </c>
      <c r="FG6" s="16">
        <v>3402033</v>
      </c>
      <c r="FH6" s="16">
        <v>3401031</v>
      </c>
      <c r="FI6" s="16">
        <v>3500032</v>
      </c>
      <c r="FJ6" t="str">
        <f t="shared" si="46"/>
        <v>火黑骑士</v>
      </c>
      <c r="FK6" t="str">
        <f t="shared" si="47"/>
        <v>火骑兵</v>
      </c>
      <c r="FL6" t="str">
        <f t="shared" si="48"/>
        <v>木刀客</v>
      </c>
      <c r="FM6" t="str">
        <f t="shared" si="49"/>
        <v>木女巫</v>
      </c>
      <c r="FN6" t="str">
        <f t="shared" si="50"/>
        <v>水魔法师</v>
      </c>
      <c r="FO6" t="str">
        <f t="shared" si="51"/>
        <v>火海盗</v>
      </c>
      <c r="FP6" t="str">
        <f t="shared" si="52"/>
        <v>3</v>
      </c>
      <c r="FQ6" t="str">
        <f t="shared" si="53"/>
        <v>3</v>
      </c>
      <c r="FR6" t="str">
        <f t="shared" si="54"/>
        <v>3</v>
      </c>
      <c r="FS6" t="str">
        <f t="shared" si="55"/>
        <v>3</v>
      </c>
      <c r="FT6" t="str">
        <f t="shared" si="56"/>
        <v>3</v>
      </c>
      <c r="FU6" t="str">
        <f t="shared" si="57"/>
        <v>3</v>
      </c>
      <c r="FV6" t="str">
        <f t="shared" si="14"/>
        <v>1</v>
      </c>
      <c r="FW6" t="str">
        <f t="shared" si="15"/>
        <v>3</v>
      </c>
      <c r="FX6" t="str">
        <f t="shared" si="16"/>
        <v>3</v>
      </c>
      <c r="FY6" t="str">
        <f t="shared" si="17"/>
        <v>3</v>
      </c>
      <c r="FZ6" t="str">
        <f t="shared" si="18"/>
        <v>3</v>
      </c>
      <c r="GA6" t="str">
        <f t="shared" si="19"/>
        <v>3</v>
      </c>
    </row>
    <row r="7" spans="1:183" ht="15.95" customHeight="1">
      <c r="A7" s="1">
        <v>104</v>
      </c>
      <c r="B7" s="6">
        <v>10182</v>
      </c>
      <c r="C7" s="23" t="str">
        <f t="shared" si="20"/>
        <v>3301031,1303033,1205032,1405032,3500032,3401031</v>
      </c>
      <c r="D7" s="1" t="str">
        <f t="shared" si="21"/>
        <v>3,3,3,3,3,3</v>
      </c>
      <c r="E7" s="53" t="str">
        <f t="shared" si="22"/>
        <v>217,193,193,193,193,193</v>
      </c>
      <c r="F7" s="1">
        <f t="shared" si="0"/>
        <v>66245</v>
      </c>
      <c r="G7" s="23" t="s">
        <v>34</v>
      </c>
      <c r="H7" s="1" t="s">
        <v>28</v>
      </c>
      <c r="I7" s="1" t="s">
        <v>28</v>
      </c>
      <c r="J7" s="1" t="s">
        <v>28</v>
      </c>
      <c r="K7" s="2" t="s">
        <v>317</v>
      </c>
      <c r="L7" s="1">
        <v>0</v>
      </c>
      <c r="M7" s="1">
        <v>3</v>
      </c>
      <c r="O7" s="25">
        <f t="shared" si="23"/>
        <v>66245</v>
      </c>
      <c r="P7" s="16">
        <v>66244.98</v>
      </c>
      <c r="Q7" s="16">
        <v>3301031</v>
      </c>
      <c r="R7" s="16">
        <v>1303033</v>
      </c>
      <c r="S7" s="16">
        <v>1205032</v>
      </c>
      <c r="T7" s="16">
        <v>1405032</v>
      </c>
      <c r="U7" s="16">
        <v>3500032</v>
      </c>
      <c r="V7" s="16">
        <v>3401031</v>
      </c>
      <c r="W7" s="16">
        <v>3</v>
      </c>
      <c r="X7" s="16">
        <v>3</v>
      </c>
      <c r="Y7" s="16">
        <v>3</v>
      </c>
      <c r="Z7" s="16">
        <v>3</v>
      </c>
      <c r="AA7" s="16">
        <v>3</v>
      </c>
      <c r="AB7" s="16">
        <v>3</v>
      </c>
      <c r="AC7" s="16">
        <f t="shared" si="24"/>
        <v>217</v>
      </c>
      <c r="AD7" s="16">
        <f t="shared" si="1"/>
        <v>193</v>
      </c>
      <c r="AE7" s="16">
        <f t="shared" si="1"/>
        <v>193</v>
      </c>
      <c r="AF7" s="16">
        <f t="shared" si="1"/>
        <v>193</v>
      </c>
      <c r="AG7" s="16">
        <f t="shared" si="1"/>
        <v>193</v>
      </c>
      <c r="AH7" s="16">
        <f t="shared" si="1"/>
        <v>193</v>
      </c>
      <c r="AI7" s="28">
        <f t="shared" si="25"/>
        <v>13248.995999999999</v>
      </c>
      <c r="AJ7" s="28">
        <f t="shared" si="26"/>
        <v>10599.1968</v>
      </c>
      <c r="AK7" s="28">
        <f t="shared" si="2"/>
        <v>10599.1968</v>
      </c>
      <c r="AL7" s="28">
        <f t="shared" si="2"/>
        <v>10599.1968</v>
      </c>
      <c r="AM7" s="28">
        <f t="shared" si="2"/>
        <v>10599.1968</v>
      </c>
      <c r="AN7" s="28">
        <f t="shared" si="2"/>
        <v>10599.1968</v>
      </c>
      <c r="AO7" s="30"/>
      <c r="AP7" s="28"/>
      <c r="AQ7" s="16">
        <v>3</v>
      </c>
      <c r="AR7" s="16">
        <f t="shared" si="27"/>
        <v>208</v>
      </c>
      <c r="AS7" s="28">
        <f t="shared" si="28"/>
        <v>129</v>
      </c>
      <c r="AT7" s="28"/>
      <c r="AU7" s="30">
        <v>66244.98</v>
      </c>
      <c r="AV7" s="28" t="str">
        <f t="shared" si="29"/>
        <v>小:0</v>
      </c>
      <c r="AW7" s="28"/>
      <c r="AX7" s="28"/>
      <c r="AZ7" s="28"/>
      <c r="BA7" s="16">
        <f t="shared" si="58"/>
        <v>3033.7864077669897</v>
      </c>
      <c r="BC7" s="7">
        <f t="shared" si="30"/>
        <v>208</v>
      </c>
      <c r="BD7" s="7"/>
      <c r="BE7" s="7"/>
      <c r="BF7" s="7"/>
      <c r="BG7" s="7"/>
      <c r="BH7" s="7"/>
      <c r="BI7" s="7"/>
      <c r="BJ7" s="7"/>
      <c r="BK7" s="7"/>
      <c r="BL7" s="7"/>
      <c r="BM7" s="7"/>
      <c r="BP7" s="9"/>
      <c r="BQ7" s="9"/>
      <c r="BR7" s="9">
        <v>3500031</v>
      </c>
      <c r="BS7" s="9">
        <f>[1]monsters!$N7</f>
        <v>92.16</v>
      </c>
      <c r="BT7" s="9">
        <f>[1]monsters!$O7</f>
        <v>9.2200000000000006</v>
      </c>
      <c r="BU7" s="9">
        <f>[1]monsters!$P7</f>
        <v>1440</v>
      </c>
      <c r="BV7" s="9">
        <f>[1]monsters!$Q7</f>
        <v>144</v>
      </c>
      <c r="BW7" s="9">
        <f>[1]monsters!$R7</f>
        <v>30.72</v>
      </c>
      <c r="BX7" s="9">
        <f>[1]monsters!$S7</f>
        <v>3.07</v>
      </c>
      <c r="BY7" s="9">
        <f>[1]monsters!$K7</f>
        <v>1.8</v>
      </c>
      <c r="BZ7" s="7">
        <f>[1]monsters!$D7</f>
        <v>2</v>
      </c>
      <c r="CA7" s="7">
        <f t="shared" si="31"/>
        <v>0.1</v>
      </c>
      <c r="CB7" s="7">
        <f t="shared" si="32"/>
        <v>135.57604848484849</v>
      </c>
      <c r="CC7" s="7">
        <f t="shared" si="33"/>
        <v>13.55760484848485</v>
      </c>
      <c r="CD7" s="7">
        <v>20000</v>
      </c>
      <c r="CE7" s="7">
        <v>7.9999999999999996E-6</v>
      </c>
      <c r="CF7" s="7"/>
      <c r="CG7" s="7">
        <v>3</v>
      </c>
      <c r="CH7" s="7">
        <v>0.1</v>
      </c>
      <c r="CI7" s="7"/>
      <c r="CJ7" s="7"/>
      <c r="CK7" s="7">
        <f>CK5*CK6</f>
        <v>30</v>
      </c>
      <c r="CL7" s="7">
        <f>CL6*CL5</f>
        <v>1200</v>
      </c>
      <c r="CM7" s="12">
        <f>(CL7*CK7*0.9*1.05*1/1/1)/3000</f>
        <v>11.34</v>
      </c>
      <c r="CN7" s="27"/>
      <c r="CO7" s="7"/>
      <c r="CP7" s="7">
        <v>0</v>
      </c>
      <c r="CR7" s="25" t="b">
        <f t="shared" si="34"/>
        <v>1</v>
      </c>
      <c r="CS7" s="25" t="b">
        <f t="shared" si="35"/>
        <v>1</v>
      </c>
      <c r="CT7" s="25" t="b">
        <f t="shared" si="36"/>
        <v>1</v>
      </c>
      <c r="CU7" s="25" t="b">
        <f t="shared" si="37"/>
        <v>1</v>
      </c>
      <c r="CV7" s="25" t="b">
        <f t="shared" si="38"/>
        <v>1</v>
      </c>
      <c r="CW7" s="25" t="b">
        <f t="shared" si="39"/>
        <v>1</v>
      </c>
      <c r="CX7" s="16" t="str">
        <f t="shared" si="40"/>
        <v>3301031</v>
      </c>
      <c r="CY7" s="16" t="str">
        <f t="shared" si="41"/>
        <v>1303033</v>
      </c>
      <c r="CZ7" s="16" t="str">
        <f t="shared" si="42"/>
        <v>1205032</v>
      </c>
      <c r="DA7" s="16" t="str">
        <f t="shared" si="43"/>
        <v>1405032</v>
      </c>
      <c r="DB7" s="16" t="str">
        <f t="shared" si="44"/>
        <v>3500032</v>
      </c>
      <c r="DC7" s="16" t="str">
        <f t="shared" si="45"/>
        <v>3401031</v>
      </c>
      <c r="DD7" s="16">
        <v>3</v>
      </c>
      <c r="DE7" s="16">
        <v>3</v>
      </c>
      <c r="DF7" s="16">
        <v>3</v>
      </c>
      <c r="DG7" s="16">
        <v>3</v>
      </c>
      <c r="DH7" s="16">
        <v>3</v>
      </c>
      <c r="DI7" s="16">
        <v>3</v>
      </c>
      <c r="DJ7" s="16">
        <v>3</v>
      </c>
      <c r="DK7" s="16">
        <v>1</v>
      </c>
      <c r="DL7" s="16">
        <v>1</v>
      </c>
      <c r="DM7" s="16">
        <v>1</v>
      </c>
      <c r="DN7" s="16">
        <v>3</v>
      </c>
      <c r="DO7" s="16">
        <v>3</v>
      </c>
      <c r="DP7" s="25" t="s">
        <v>113</v>
      </c>
      <c r="DQ7" s="25" t="s">
        <v>266</v>
      </c>
      <c r="DR7" s="25" t="s">
        <v>252</v>
      </c>
      <c r="DS7" s="25" t="s">
        <v>253</v>
      </c>
      <c r="DT7" s="25" t="s">
        <v>115</v>
      </c>
      <c r="DU7" s="25" t="s">
        <v>123</v>
      </c>
      <c r="DV7" s="32">
        <f t="shared" si="5"/>
        <v>1</v>
      </c>
      <c r="DW7" s="32">
        <f t="shared" si="6"/>
        <v>1</v>
      </c>
      <c r="DX7" s="32">
        <f t="shared" si="7"/>
        <v>1</v>
      </c>
      <c r="DY7" s="32">
        <f t="shared" si="8"/>
        <v>2</v>
      </c>
      <c r="DZ7" s="32">
        <f t="shared" si="9"/>
        <v>2</v>
      </c>
      <c r="EA7" s="32">
        <f t="shared" si="10"/>
        <v>2</v>
      </c>
      <c r="EB7" s="15"/>
      <c r="EC7" s="7">
        <v>3201032</v>
      </c>
      <c r="ED7" s="35" t="s">
        <v>128</v>
      </c>
      <c r="EE7" s="16">
        <v>1</v>
      </c>
      <c r="EF7" s="16">
        <v>303130101</v>
      </c>
      <c r="EG7" s="25" t="str">
        <f t="shared" si="11"/>
        <v>对距离最远的1名敌人造成431%攻击伤害。</v>
      </c>
      <c r="EQ7" s="16">
        <v>505130101</v>
      </c>
      <c r="ER7" s="16" t="s">
        <v>129</v>
      </c>
      <c r="FD7" s="16">
        <v>3301031</v>
      </c>
      <c r="FE7" s="16">
        <v>1303033</v>
      </c>
      <c r="FF7" s="16">
        <v>1205032</v>
      </c>
      <c r="FG7" s="16">
        <v>1405032</v>
      </c>
      <c r="FH7" s="16">
        <v>3500032</v>
      </c>
      <c r="FI7" s="16">
        <v>3401031</v>
      </c>
      <c r="FJ7" t="str">
        <f t="shared" si="46"/>
        <v>水剑士</v>
      </c>
      <c r="FK7" t="str">
        <f t="shared" si="47"/>
        <v>木史莱姆</v>
      </c>
      <c r="FL7" t="str">
        <f t="shared" si="48"/>
        <v>火骷髅战士</v>
      </c>
      <c r="FM7" t="str">
        <f t="shared" si="49"/>
        <v>火骷髅法师</v>
      </c>
      <c r="FN7" t="str">
        <f t="shared" si="50"/>
        <v>火海盗</v>
      </c>
      <c r="FO7" t="str">
        <f t="shared" si="51"/>
        <v>水魔法师</v>
      </c>
      <c r="FP7" t="str">
        <f t="shared" si="52"/>
        <v>3</v>
      </c>
      <c r="FQ7" t="str">
        <f t="shared" si="53"/>
        <v>3</v>
      </c>
      <c r="FR7" t="str">
        <f t="shared" si="54"/>
        <v>3</v>
      </c>
      <c r="FS7" t="str">
        <f t="shared" si="55"/>
        <v>3</v>
      </c>
      <c r="FT7" t="str">
        <f t="shared" si="56"/>
        <v>3</v>
      </c>
      <c r="FU7" t="str">
        <f t="shared" si="57"/>
        <v>3</v>
      </c>
      <c r="FV7" t="str">
        <f t="shared" si="14"/>
        <v>3</v>
      </c>
      <c r="FW7" t="str">
        <f t="shared" si="15"/>
        <v>1</v>
      </c>
      <c r="FX7" t="str">
        <f t="shared" si="16"/>
        <v>1</v>
      </c>
      <c r="FY7" t="str">
        <f t="shared" si="17"/>
        <v>1</v>
      </c>
      <c r="FZ7" t="str">
        <f t="shared" si="18"/>
        <v>3</v>
      </c>
      <c r="GA7" t="str">
        <f t="shared" si="19"/>
        <v>3</v>
      </c>
    </row>
    <row r="8" spans="1:183" ht="15.95" customHeight="1">
      <c r="A8" s="1">
        <v>105</v>
      </c>
      <c r="B8" s="6">
        <v>10182</v>
      </c>
      <c r="C8" s="23" t="str">
        <f t="shared" si="20"/>
        <v>3200033,1203031,1206031,1406031,3500032,1404032</v>
      </c>
      <c r="D8" s="1" t="str">
        <f t="shared" si="21"/>
        <v>3,3,3,3,3,3</v>
      </c>
      <c r="E8" s="53" t="str">
        <f t="shared" si="22"/>
        <v>221,196,196,196,196,196</v>
      </c>
      <c r="F8" s="1">
        <f t="shared" si="0"/>
        <v>68166</v>
      </c>
      <c r="G8" s="23" t="s">
        <v>34</v>
      </c>
      <c r="H8" s="1" t="s">
        <v>28</v>
      </c>
      <c r="I8" s="1" t="s">
        <v>28</v>
      </c>
      <c r="J8" s="1" t="s">
        <v>28</v>
      </c>
      <c r="K8" s="2" t="s">
        <v>318</v>
      </c>
      <c r="L8" s="1">
        <v>0</v>
      </c>
      <c r="M8" s="1">
        <v>5</v>
      </c>
      <c r="O8" s="25">
        <f t="shared" si="23"/>
        <v>68166</v>
      </c>
      <c r="P8" s="16">
        <v>68165.72</v>
      </c>
      <c r="Q8" s="16">
        <v>3200033</v>
      </c>
      <c r="R8" s="16">
        <v>1203031</v>
      </c>
      <c r="S8" s="16">
        <v>1206031</v>
      </c>
      <c r="T8" s="16">
        <v>1406031</v>
      </c>
      <c r="U8" s="16">
        <v>3500032</v>
      </c>
      <c r="V8" s="16">
        <v>1404032</v>
      </c>
      <c r="W8" s="16">
        <v>3</v>
      </c>
      <c r="X8" s="16">
        <v>3</v>
      </c>
      <c r="Y8" s="16">
        <v>3</v>
      </c>
      <c r="Z8" s="16">
        <v>3</v>
      </c>
      <c r="AA8" s="16">
        <v>3</v>
      </c>
      <c r="AB8" s="16">
        <v>3</v>
      </c>
      <c r="AC8" s="16">
        <f t="shared" si="24"/>
        <v>221</v>
      </c>
      <c r="AD8" s="16">
        <f t="shared" si="1"/>
        <v>196</v>
      </c>
      <c r="AE8" s="16">
        <f t="shared" si="1"/>
        <v>196</v>
      </c>
      <c r="AF8" s="16">
        <f t="shared" si="1"/>
        <v>196</v>
      </c>
      <c r="AG8" s="16">
        <f t="shared" si="1"/>
        <v>196</v>
      </c>
      <c r="AH8" s="16">
        <f t="shared" si="1"/>
        <v>196</v>
      </c>
      <c r="AI8" s="28">
        <f t="shared" si="25"/>
        <v>13633.144</v>
      </c>
      <c r="AJ8" s="28">
        <f t="shared" si="26"/>
        <v>10906.5152</v>
      </c>
      <c r="AK8" s="28">
        <f t="shared" si="2"/>
        <v>10906.5152</v>
      </c>
      <c r="AL8" s="28">
        <f t="shared" si="2"/>
        <v>10906.5152</v>
      </c>
      <c r="AM8" s="28">
        <f t="shared" si="2"/>
        <v>10906.5152</v>
      </c>
      <c r="AN8" s="28">
        <f t="shared" si="2"/>
        <v>10906.5152</v>
      </c>
      <c r="AO8" s="30"/>
      <c r="AP8" s="28"/>
      <c r="AQ8" s="16">
        <v>3</v>
      </c>
      <c r="AR8" s="16">
        <f t="shared" si="27"/>
        <v>211</v>
      </c>
      <c r="AS8" s="28">
        <f t="shared" si="28"/>
        <v>130</v>
      </c>
      <c r="AT8" s="28"/>
      <c r="AU8" s="30">
        <v>68165.72</v>
      </c>
      <c r="AV8" s="28" t="str">
        <f t="shared" si="29"/>
        <v>小:0</v>
      </c>
      <c r="AW8" s="28"/>
      <c r="AX8" s="28"/>
      <c r="AZ8" s="28"/>
      <c r="BA8" s="16">
        <f t="shared" si="58"/>
        <v>3045.0485436893196</v>
      </c>
      <c r="BC8" s="7">
        <f t="shared" si="30"/>
        <v>211</v>
      </c>
      <c r="BD8" s="7"/>
      <c r="BE8" s="7"/>
      <c r="BF8" s="7"/>
      <c r="BG8" s="7"/>
      <c r="BH8" s="7"/>
      <c r="BI8" s="7"/>
      <c r="BJ8" s="7"/>
      <c r="BK8" s="7"/>
      <c r="BL8" s="7"/>
      <c r="BM8" s="7"/>
      <c r="BP8" s="9"/>
      <c r="BQ8" s="9"/>
      <c r="BR8" s="9">
        <v>3601031</v>
      </c>
      <c r="BS8" s="9">
        <f>[1]monsters!$N8</f>
        <v>134.4</v>
      </c>
      <c r="BT8" s="9">
        <f>[1]monsters!$O8</f>
        <v>13.44</v>
      </c>
      <c r="BU8" s="9">
        <f>[1]monsters!$P8</f>
        <v>822.86</v>
      </c>
      <c r="BV8" s="9">
        <f>[1]monsters!$Q8</f>
        <v>82.29</v>
      </c>
      <c r="BW8" s="9">
        <f>[1]monsters!$R8</f>
        <v>16.8</v>
      </c>
      <c r="BX8" s="9">
        <f>[1]monsters!$S8</f>
        <v>1.68</v>
      </c>
      <c r="BY8" s="9">
        <f>[1]monsters!$K8</f>
        <v>1.5</v>
      </c>
      <c r="BZ8" s="7">
        <f>[1]monsters!$D8</f>
        <v>5</v>
      </c>
      <c r="CA8" s="7">
        <f t="shared" si="31"/>
        <v>0.1</v>
      </c>
      <c r="CB8" s="7">
        <f t="shared" si="32"/>
        <v>154.71372390572392</v>
      </c>
      <c r="CC8" s="7">
        <f t="shared" si="33"/>
        <v>15.471372390572393</v>
      </c>
      <c r="CD8" s="7">
        <v>40000</v>
      </c>
      <c r="CE8" s="7">
        <v>2.5000000000000002E-6</v>
      </c>
      <c r="CF8" s="7"/>
      <c r="CG8" s="7">
        <v>4</v>
      </c>
      <c r="CH8" s="7">
        <v>0.1</v>
      </c>
      <c r="CI8" s="7"/>
      <c r="CJ8" s="7"/>
      <c r="CK8" s="7"/>
      <c r="CL8" s="7"/>
      <c r="CM8" s="7"/>
      <c r="CN8" s="7"/>
      <c r="CO8" s="7"/>
      <c r="CP8" s="7">
        <v>1</v>
      </c>
      <c r="CR8" s="25" t="b">
        <f t="shared" si="34"/>
        <v>1</v>
      </c>
      <c r="CS8" s="25" t="b">
        <f t="shared" si="35"/>
        <v>1</v>
      </c>
      <c r="CT8" s="25" t="b">
        <f t="shared" si="36"/>
        <v>1</v>
      </c>
      <c r="CU8" s="25" t="b">
        <f t="shared" si="37"/>
        <v>1</v>
      </c>
      <c r="CV8" s="25" t="b">
        <f t="shared" si="38"/>
        <v>1</v>
      </c>
      <c r="CW8" s="25" t="b">
        <f t="shared" si="39"/>
        <v>1</v>
      </c>
      <c r="CX8" s="16" t="str">
        <f t="shared" si="40"/>
        <v>3200033</v>
      </c>
      <c r="CY8" s="16" t="str">
        <f t="shared" si="41"/>
        <v>1203031</v>
      </c>
      <c r="CZ8" s="16" t="str">
        <f t="shared" si="42"/>
        <v>1206031</v>
      </c>
      <c r="DA8" s="16" t="str">
        <f t="shared" si="43"/>
        <v>1406031</v>
      </c>
      <c r="DB8" s="16" t="str">
        <f t="shared" si="44"/>
        <v>3500032</v>
      </c>
      <c r="DC8" s="16" t="str">
        <f t="shared" si="45"/>
        <v>1404032</v>
      </c>
      <c r="DD8" s="16">
        <v>3</v>
      </c>
      <c r="DE8" s="16">
        <v>3</v>
      </c>
      <c r="DF8" s="16">
        <v>3</v>
      </c>
      <c r="DG8" s="16">
        <v>3</v>
      </c>
      <c r="DH8" s="16">
        <v>3</v>
      </c>
      <c r="DI8" s="16">
        <v>3</v>
      </c>
      <c r="DJ8" s="16">
        <v>3</v>
      </c>
      <c r="DK8" s="16">
        <v>1</v>
      </c>
      <c r="DL8" s="16">
        <v>1</v>
      </c>
      <c r="DM8" s="16">
        <v>1</v>
      </c>
      <c r="DN8" s="16">
        <v>3</v>
      </c>
      <c r="DO8" s="16">
        <v>1</v>
      </c>
      <c r="DP8" s="25" t="s">
        <v>119</v>
      </c>
      <c r="DQ8" s="25" t="s">
        <v>238</v>
      </c>
      <c r="DR8" s="25" t="s">
        <v>244</v>
      </c>
      <c r="DS8" s="25" t="s">
        <v>245</v>
      </c>
      <c r="DT8" s="25" t="s">
        <v>115</v>
      </c>
      <c r="DU8" s="25" t="s">
        <v>259</v>
      </c>
      <c r="DV8" s="32">
        <f t="shared" si="5"/>
        <v>1</v>
      </c>
      <c r="DW8" s="32">
        <f t="shared" si="6"/>
        <v>1</v>
      </c>
      <c r="DX8" s="32">
        <f t="shared" si="7"/>
        <v>1</v>
      </c>
      <c r="DY8" s="32">
        <f t="shared" si="8"/>
        <v>2</v>
      </c>
      <c r="DZ8" s="32">
        <f t="shared" si="9"/>
        <v>2</v>
      </c>
      <c r="EA8" s="32">
        <f t="shared" si="10"/>
        <v>2</v>
      </c>
      <c r="EB8" s="31"/>
      <c r="EC8" s="7">
        <v>3500032</v>
      </c>
      <c r="ED8" s="35" t="s">
        <v>131</v>
      </c>
      <c r="EE8" s="16">
        <v>2</v>
      </c>
      <c r="EF8" s="16">
        <v>303140101</v>
      </c>
      <c r="EG8" s="25" t="str">
        <f t="shared" si="11"/>
        <v>对随机3名敌人造成141%攻击伤害。</v>
      </c>
      <c r="EQ8" s="16">
        <v>505140101</v>
      </c>
      <c r="ER8" s="16" t="s">
        <v>132</v>
      </c>
      <c r="FD8" s="16">
        <v>3200033</v>
      </c>
      <c r="FE8" s="16">
        <v>1203031</v>
      </c>
      <c r="FF8" s="16">
        <v>1206031</v>
      </c>
      <c r="FG8" s="16">
        <v>1406031</v>
      </c>
      <c r="FH8" s="16">
        <v>3500032</v>
      </c>
      <c r="FI8" s="16">
        <v>1404032</v>
      </c>
      <c r="FJ8" t="str">
        <f t="shared" si="46"/>
        <v>木刀客</v>
      </c>
      <c r="FK8" t="str">
        <f t="shared" si="47"/>
        <v>水兽人战士</v>
      </c>
      <c r="FL8" t="str">
        <f t="shared" si="48"/>
        <v>水鹰人战士</v>
      </c>
      <c r="FM8" t="str">
        <f t="shared" si="49"/>
        <v>水鹰人法师</v>
      </c>
      <c r="FN8" t="str">
        <f t="shared" si="50"/>
        <v>火海盗</v>
      </c>
      <c r="FO8" t="str">
        <f t="shared" si="51"/>
        <v>火恶魔法师</v>
      </c>
      <c r="FP8" t="str">
        <f t="shared" si="52"/>
        <v>3</v>
      </c>
      <c r="FQ8" t="str">
        <f t="shared" si="53"/>
        <v>3</v>
      </c>
      <c r="FR8" t="str">
        <f t="shared" si="54"/>
        <v>3</v>
      </c>
      <c r="FS8" t="str">
        <f t="shared" si="55"/>
        <v>3</v>
      </c>
      <c r="FT8" t="str">
        <f t="shared" si="56"/>
        <v>3</v>
      </c>
      <c r="FU8" t="str">
        <f t="shared" si="57"/>
        <v>3</v>
      </c>
      <c r="FV8" t="str">
        <f t="shared" si="14"/>
        <v>3</v>
      </c>
      <c r="FW8" t="str">
        <f t="shared" si="15"/>
        <v>1</v>
      </c>
      <c r="FX8" t="str">
        <f t="shared" si="16"/>
        <v>1</v>
      </c>
      <c r="FY8" t="str">
        <f t="shared" si="17"/>
        <v>1</v>
      </c>
      <c r="FZ8" t="str">
        <f t="shared" si="18"/>
        <v>3</v>
      </c>
      <c r="GA8" t="str">
        <f t="shared" si="19"/>
        <v>1</v>
      </c>
    </row>
    <row r="9" spans="1:183" ht="15.95" customHeight="1">
      <c r="A9" s="1">
        <v>106</v>
      </c>
      <c r="B9" s="6">
        <v>10182</v>
      </c>
      <c r="C9" s="23" t="str">
        <f t="shared" si="20"/>
        <v>1102042,3201032,3200033,3201032,3601032,3601032</v>
      </c>
      <c r="D9" s="1" t="str">
        <f t="shared" si="21"/>
        <v>4,3,3,3,3,3</v>
      </c>
      <c r="E9" s="53" t="str">
        <f t="shared" si="22"/>
        <v>181,198,198,198,198,198</v>
      </c>
      <c r="F9" s="1">
        <f t="shared" si="0"/>
        <v>69643</v>
      </c>
      <c r="G9" s="23" t="s">
        <v>34</v>
      </c>
      <c r="H9" s="1" t="s">
        <v>28</v>
      </c>
      <c r="I9" s="1" t="s">
        <v>28</v>
      </c>
      <c r="J9" s="1" t="s">
        <v>28</v>
      </c>
      <c r="K9" s="2" t="s">
        <v>318</v>
      </c>
      <c r="L9" s="1">
        <v>0</v>
      </c>
      <c r="M9" s="1">
        <v>5</v>
      </c>
      <c r="O9" s="25">
        <f t="shared" si="23"/>
        <v>69643</v>
      </c>
      <c r="P9" s="16">
        <v>69642.58</v>
      </c>
      <c r="Q9" s="16">
        <v>1102042</v>
      </c>
      <c r="R9" s="16">
        <v>3201032</v>
      </c>
      <c r="S9" s="16">
        <v>3200033</v>
      </c>
      <c r="T9" s="16">
        <v>3201032</v>
      </c>
      <c r="U9" s="16">
        <v>3601032</v>
      </c>
      <c r="V9" s="16">
        <v>3601032</v>
      </c>
      <c r="W9" s="16">
        <v>4</v>
      </c>
      <c r="X9" s="16">
        <v>3</v>
      </c>
      <c r="Y9" s="16">
        <v>3</v>
      </c>
      <c r="Z9" s="16">
        <v>3</v>
      </c>
      <c r="AA9" s="16">
        <v>3</v>
      </c>
      <c r="AB9" s="16">
        <v>3</v>
      </c>
      <c r="AC9" s="16">
        <f t="shared" si="24"/>
        <v>181</v>
      </c>
      <c r="AD9" s="16">
        <f t="shared" si="1"/>
        <v>198</v>
      </c>
      <c r="AE9" s="16">
        <f t="shared" si="1"/>
        <v>198</v>
      </c>
      <c r="AF9" s="16">
        <f t="shared" si="1"/>
        <v>198</v>
      </c>
      <c r="AG9" s="16">
        <f t="shared" si="1"/>
        <v>198</v>
      </c>
      <c r="AH9" s="16">
        <f t="shared" si="1"/>
        <v>198</v>
      </c>
      <c r="AI9" s="28">
        <f t="shared" si="25"/>
        <v>13928.516000000001</v>
      </c>
      <c r="AJ9" s="28">
        <f t="shared" si="26"/>
        <v>11142.8128</v>
      </c>
      <c r="AK9" s="28">
        <f t="shared" si="2"/>
        <v>11142.8128</v>
      </c>
      <c r="AL9" s="28">
        <f t="shared" si="2"/>
        <v>11142.8128</v>
      </c>
      <c r="AM9" s="28">
        <f t="shared" si="2"/>
        <v>11142.8128</v>
      </c>
      <c r="AN9" s="28">
        <f t="shared" si="2"/>
        <v>11142.8128</v>
      </c>
      <c r="AO9" s="30"/>
      <c r="AP9" s="28"/>
      <c r="AQ9" s="16">
        <v>3</v>
      </c>
      <c r="AR9" s="16">
        <f t="shared" si="27"/>
        <v>213</v>
      </c>
      <c r="AS9" s="28">
        <f t="shared" si="28"/>
        <v>131</v>
      </c>
      <c r="AT9" s="28"/>
      <c r="AU9" s="30">
        <v>69642.58</v>
      </c>
      <c r="AV9" s="28" t="str">
        <f t="shared" si="29"/>
        <v>小:0</v>
      </c>
      <c r="AW9" s="28"/>
      <c r="AX9" s="28"/>
      <c r="AZ9" s="28"/>
      <c r="BA9" s="16">
        <f t="shared" si="58"/>
        <v>3056.3106796116494</v>
      </c>
      <c r="BC9" s="7">
        <f t="shared" si="30"/>
        <v>167</v>
      </c>
      <c r="BD9" s="7"/>
      <c r="BE9" s="7"/>
      <c r="BF9" s="7"/>
      <c r="BG9" s="7"/>
      <c r="BH9" s="7"/>
      <c r="BI9" s="7"/>
      <c r="BJ9" s="7"/>
      <c r="BK9" s="7"/>
      <c r="BL9" s="7"/>
      <c r="BM9" s="7"/>
      <c r="BP9" s="9"/>
      <c r="BQ9" s="9"/>
      <c r="BR9" s="9">
        <v>3200032</v>
      </c>
      <c r="BS9" s="9">
        <f>[1]monsters!$N9</f>
        <v>148.80000000000001</v>
      </c>
      <c r="BT9" s="9">
        <f>[1]monsters!$O9</f>
        <v>14.88</v>
      </c>
      <c r="BU9" s="9">
        <f>[1]monsters!$P9</f>
        <v>743.23</v>
      </c>
      <c r="BV9" s="9">
        <f>[1]monsters!$Q9</f>
        <v>74.319999999999993</v>
      </c>
      <c r="BW9" s="9">
        <f>[1]monsters!$R9</f>
        <v>14.88</v>
      </c>
      <c r="BX9" s="9">
        <f>[1]monsters!$S9</f>
        <v>1.49</v>
      </c>
      <c r="BY9" s="9">
        <f>[1]monsters!$K9</f>
        <v>1.5</v>
      </c>
      <c r="BZ9" s="7">
        <f>[1]monsters!$D9</f>
        <v>6</v>
      </c>
      <c r="CA9" s="7">
        <f t="shared" si="31"/>
        <v>0.1</v>
      </c>
      <c r="CB9" s="7">
        <f t="shared" si="32"/>
        <v>165.64057912457915</v>
      </c>
      <c r="CC9" s="7">
        <f t="shared" si="33"/>
        <v>16.564057912457915</v>
      </c>
      <c r="CD9" s="7">
        <v>100000</v>
      </c>
      <c r="CE9" s="7">
        <v>9.9999999999999995E-7</v>
      </c>
      <c r="CF9" s="7"/>
      <c r="CG9" s="7">
        <v>5</v>
      </c>
      <c r="CH9" s="7">
        <v>0.1</v>
      </c>
      <c r="CI9" s="7"/>
      <c r="CJ9" s="7"/>
      <c r="CK9" s="7"/>
      <c r="CL9" s="7">
        <f>1/26/1.5</f>
        <v>2.5641025641025644E-2</v>
      </c>
      <c r="CM9" s="7"/>
      <c r="CN9" s="7"/>
      <c r="CO9" s="7"/>
      <c r="CP9" s="7">
        <v>0</v>
      </c>
      <c r="CR9" s="25" t="b">
        <f t="shared" si="34"/>
        <v>1</v>
      </c>
      <c r="CS9" s="25" t="b">
        <f t="shared" si="35"/>
        <v>1</v>
      </c>
      <c r="CT9" s="25" t="b">
        <f t="shared" si="36"/>
        <v>1</v>
      </c>
      <c r="CU9" s="25" t="b">
        <f t="shared" si="37"/>
        <v>1</v>
      </c>
      <c r="CV9" s="25" t="b">
        <f t="shared" si="38"/>
        <v>1</v>
      </c>
      <c r="CW9" s="25" t="b">
        <f t="shared" si="39"/>
        <v>1</v>
      </c>
      <c r="CX9" s="16" t="str">
        <f t="shared" si="40"/>
        <v>1102042</v>
      </c>
      <c r="CY9" s="16" t="str">
        <f t="shared" si="41"/>
        <v>3201032</v>
      </c>
      <c r="CZ9" s="16" t="str">
        <f t="shared" si="42"/>
        <v>3200033</v>
      </c>
      <c r="DA9" s="16" t="str">
        <f t="shared" si="43"/>
        <v>3201032</v>
      </c>
      <c r="DB9" s="16" t="str">
        <f t="shared" si="44"/>
        <v>3601032</v>
      </c>
      <c r="DC9" s="16" t="str">
        <f t="shared" si="45"/>
        <v>3601032</v>
      </c>
      <c r="DD9" s="16">
        <v>4</v>
      </c>
      <c r="DE9" s="16">
        <v>3</v>
      </c>
      <c r="DF9" s="16">
        <v>3</v>
      </c>
      <c r="DG9" s="16">
        <v>3</v>
      </c>
      <c r="DH9" s="16">
        <v>3</v>
      </c>
      <c r="DI9" s="16">
        <v>3</v>
      </c>
      <c r="DJ9" s="16">
        <v>1</v>
      </c>
      <c r="DK9" s="16">
        <v>3</v>
      </c>
      <c r="DL9" s="16">
        <v>3</v>
      </c>
      <c r="DM9" s="16">
        <v>3</v>
      </c>
      <c r="DN9" s="16">
        <v>3</v>
      </c>
      <c r="DO9" s="16">
        <v>3</v>
      </c>
      <c r="DP9" s="51" t="s">
        <v>304</v>
      </c>
      <c r="DQ9" s="51" t="s">
        <v>120</v>
      </c>
      <c r="DR9" s="51" t="s">
        <v>119</v>
      </c>
      <c r="DS9" s="51" t="s">
        <v>120</v>
      </c>
      <c r="DT9" s="13" t="s">
        <v>216</v>
      </c>
      <c r="DU9" s="51" t="s">
        <v>216</v>
      </c>
      <c r="DV9" s="32">
        <f t="shared" si="5"/>
        <v>1</v>
      </c>
      <c r="DW9" s="32">
        <f t="shared" si="6"/>
        <v>1</v>
      </c>
      <c r="DX9" s="32">
        <f t="shared" si="7"/>
        <v>1</v>
      </c>
      <c r="DY9" s="32">
        <f t="shared" si="8"/>
        <v>1</v>
      </c>
      <c r="DZ9" s="32">
        <f t="shared" si="9"/>
        <v>2</v>
      </c>
      <c r="EA9" s="32">
        <f t="shared" si="10"/>
        <v>2</v>
      </c>
      <c r="EB9" s="31"/>
      <c r="EC9" s="7">
        <v>3601032</v>
      </c>
      <c r="ED9" s="35" t="s">
        <v>133</v>
      </c>
      <c r="EE9" s="16">
        <v>2</v>
      </c>
      <c r="EF9" s="16">
        <v>303140201</v>
      </c>
      <c r="EG9" s="25" t="str">
        <f t="shared" si="11"/>
        <v>对随机2名敌人造成181%攻击伤害。</v>
      </c>
      <c r="EQ9" s="16">
        <v>505140201</v>
      </c>
      <c r="ER9" s="16" t="s">
        <v>134</v>
      </c>
      <c r="FD9" s="16">
        <v>1102042</v>
      </c>
      <c r="FE9" s="16">
        <v>3201032</v>
      </c>
      <c r="FF9" s="16">
        <v>3200033</v>
      </c>
      <c r="FG9" s="16">
        <v>3201032</v>
      </c>
      <c r="FH9" s="16">
        <v>3601032</v>
      </c>
      <c r="FI9" s="16">
        <v>3601032</v>
      </c>
      <c r="FJ9" t="str">
        <f t="shared" si="46"/>
        <v>火狼骑兵</v>
      </c>
      <c r="FK9" t="str">
        <f t="shared" si="47"/>
        <v>火骑兵</v>
      </c>
      <c r="FL9" t="str">
        <f t="shared" si="48"/>
        <v>木刀客</v>
      </c>
      <c r="FM9" t="str">
        <f t="shared" si="49"/>
        <v>火骑兵</v>
      </c>
      <c r="FN9" t="str">
        <f t="shared" si="50"/>
        <v>火修女</v>
      </c>
      <c r="FO9" t="str">
        <f t="shared" si="51"/>
        <v>火修女</v>
      </c>
      <c r="FP9" t="str">
        <f t="shared" si="52"/>
        <v>4</v>
      </c>
      <c r="FQ9" t="str">
        <f t="shared" si="53"/>
        <v>3</v>
      </c>
      <c r="FR9" t="str">
        <f t="shared" si="54"/>
        <v>3</v>
      </c>
      <c r="FS9" t="str">
        <f t="shared" si="55"/>
        <v>3</v>
      </c>
      <c r="FT9" t="str">
        <f t="shared" si="56"/>
        <v>3</v>
      </c>
      <c r="FU9" t="str">
        <f t="shared" si="57"/>
        <v>3</v>
      </c>
      <c r="FV9" t="str">
        <f t="shared" si="14"/>
        <v>1</v>
      </c>
      <c r="FW9" t="str">
        <f t="shared" si="15"/>
        <v>3</v>
      </c>
      <c r="FX9" t="str">
        <f t="shared" si="16"/>
        <v>3</v>
      </c>
      <c r="FY9" t="str">
        <f t="shared" si="17"/>
        <v>3</v>
      </c>
      <c r="FZ9" t="str">
        <f t="shared" si="18"/>
        <v>3</v>
      </c>
      <c r="GA9" t="str">
        <f t="shared" si="19"/>
        <v>3</v>
      </c>
    </row>
    <row r="10" spans="1:183" ht="15.95" customHeight="1">
      <c r="A10" s="1">
        <v>107</v>
      </c>
      <c r="B10" s="6">
        <v>10182</v>
      </c>
      <c r="C10" s="23" t="str">
        <f t="shared" si="20"/>
        <v>3500042,3201032,3200033,3201032,3401031,3402033</v>
      </c>
      <c r="D10" s="1" t="str">
        <f t="shared" si="21"/>
        <v>4,3,3,3,3,3</v>
      </c>
      <c r="E10" s="53" t="str">
        <f t="shared" si="22"/>
        <v>184,201,201,201,201,201</v>
      </c>
      <c r="F10" s="1">
        <f t="shared" si="0"/>
        <v>71611</v>
      </c>
      <c r="G10" s="23" t="s">
        <v>34</v>
      </c>
      <c r="H10" s="1" t="s">
        <v>28</v>
      </c>
      <c r="I10" s="1" t="s">
        <v>28</v>
      </c>
      <c r="J10" s="1" t="s">
        <v>28</v>
      </c>
      <c r="K10" s="2" t="s">
        <v>35</v>
      </c>
      <c r="L10" s="1">
        <v>0</v>
      </c>
      <c r="M10" s="1">
        <v>4</v>
      </c>
      <c r="O10" s="25">
        <f t="shared" si="23"/>
        <v>71611</v>
      </c>
      <c r="P10" s="16">
        <v>71611.27</v>
      </c>
      <c r="Q10" s="16">
        <v>3500042</v>
      </c>
      <c r="R10" s="16">
        <v>3201032</v>
      </c>
      <c r="S10" s="16">
        <v>3200033</v>
      </c>
      <c r="T10" s="16">
        <v>3201032</v>
      </c>
      <c r="U10" s="16">
        <v>3401031</v>
      </c>
      <c r="V10" s="16">
        <v>3402033</v>
      </c>
      <c r="W10" s="16">
        <v>4</v>
      </c>
      <c r="X10" s="16">
        <v>3</v>
      </c>
      <c r="Y10" s="16">
        <v>3</v>
      </c>
      <c r="Z10" s="16">
        <v>3</v>
      </c>
      <c r="AA10" s="16">
        <v>3</v>
      </c>
      <c r="AB10" s="16">
        <v>3</v>
      </c>
      <c r="AC10" s="16">
        <f t="shared" si="24"/>
        <v>184</v>
      </c>
      <c r="AD10" s="16">
        <f t="shared" si="1"/>
        <v>201</v>
      </c>
      <c r="AE10" s="16">
        <f t="shared" si="1"/>
        <v>201</v>
      </c>
      <c r="AF10" s="16">
        <f t="shared" si="1"/>
        <v>201</v>
      </c>
      <c r="AG10" s="16">
        <f t="shared" si="1"/>
        <v>201</v>
      </c>
      <c r="AH10" s="16">
        <f t="shared" si="1"/>
        <v>201</v>
      </c>
      <c r="AI10" s="28">
        <f t="shared" si="25"/>
        <v>14322.254000000001</v>
      </c>
      <c r="AJ10" s="28">
        <f t="shared" si="26"/>
        <v>11457.8032</v>
      </c>
      <c r="AK10" s="28">
        <f t="shared" si="2"/>
        <v>11457.8032</v>
      </c>
      <c r="AL10" s="28">
        <f t="shared" si="2"/>
        <v>11457.8032</v>
      </c>
      <c r="AM10" s="28">
        <f t="shared" si="2"/>
        <v>11457.8032</v>
      </c>
      <c r="AN10" s="28">
        <f t="shared" si="2"/>
        <v>11457.8032</v>
      </c>
      <c r="AO10" s="30"/>
      <c r="AP10" s="28"/>
      <c r="AQ10" s="16">
        <v>3</v>
      </c>
      <c r="AR10" s="16">
        <f t="shared" si="27"/>
        <v>216</v>
      </c>
      <c r="AS10" s="28">
        <f t="shared" si="28"/>
        <v>132</v>
      </c>
      <c r="AT10" s="28"/>
      <c r="AU10" s="30">
        <v>71611.27</v>
      </c>
      <c r="AV10" s="28" t="str">
        <f t="shared" si="29"/>
        <v>小:0</v>
      </c>
      <c r="AW10" s="28"/>
      <c r="AX10" s="28"/>
      <c r="AZ10" s="28"/>
      <c r="BA10" s="16">
        <f t="shared" si="58"/>
        <v>3067.5728155339793</v>
      </c>
      <c r="BC10" s="7">
        <f t="shared" si="30"/>
        <v>169</v>
      </c>
      <c r="BD10" s="7"/>
      <c r="BE10" s="7"/>
      <c r="BF10" s="7"/>
      <c r="BG10" s="7"/>
      <c r="BH10" s="7"/>
      <c r="BI10" s="7"/>
      <c r="BJ10" s="7"/>
      <c r="BK10" s="7"/>
      <c r="BL10" s="7"/>
      <c r="BM10" s="7"/>
      <c r="BP10" s="9"/>
      <c r="BQ10" s="9"/>
      <c r="BR10" s="9">
        <v>3300032</v>
      </c>
      <c r="BS10" s="9">
        <f>[1]monsters!$N10</f>
        <v>96</v>
      </c>
      <c r="BT10" s="9">
        <f>[1]monsters!$O10</f>
        <v>9.6</v>
      </c>
      <c r="BU10" s="9">
        <f>[1]monsters!$P10</f>
        <v>1152</v>
      </c>
      <c r="BV10" s="9">
        <f>[1]monsters!$Q10</f>
        <v>115.2</v>
      </c>
      <c r="BW10" s="9">
        <f>[1]monsters!$R10</f>
        <v>24</v>
      </c>
      <c r="BX10" s="9">
        <f>[1]monsters!$S10</f>
        <v>2.4</v>
      </c>
      <c r="BY10" s="9">
        <f>[1]monsters!$K10</f>
        <v>1.5</v>
      </c>
      <c r="BZ10" s="7">
        <f>[1]monsters!$D10</f>
        <v>2</v>
      </c>
      <c r="CA10" s="7">
        <f t="shared" si="31"/>
        <v>0.1</v>
      </c>
      <c r="CB10" s="7">
        <f t="shared" si="32"/>
        <v>129.50787878787878</v>
      </c>
      <c r="CC10" s="7">
        <f t="shared" si="33"/>
        <v>12.950787878787878</v>
      </c>
      <c r="CD10" s="7"/>
      <c r="CE10" s="7"/>
      <c r="CF10" s="7"/>
      <c r="CG10" s="7">
        <v>6</v>
      </c>
      <c r="CH10" s="7">
        <v>0.1</v>
      </c>
      <c r="CI10" s="7"/>
      <c r="CJ10" s="7"/>
      <c r="CK10" s="7"/>
      <c r="CL10" s="7">
        <f>1/39</f>
        <v>2.564102564102564E-2</v>
      </c>
      <c r="CM10" s="7"/>
      <c r="CN10" s="7"/>
      <c r="CO10" s="7"/>
      <c r="CP10" s="7">
        <v>0</v>
      </c>
      <c r="CR10" s="25" t="b">
        <f t="shared" si="34"/>
        <v>1</v>
      </c>
      <c r="CS10" s="25" t="b">
        <f t="shared" si="35"/>
        <v>1</v>
      </c>
      <c r="CT10" s="25" t="b">
        <f t="shared" si="36"/>
        <v>1</v>
      </c>
      <c r="CU10" s="25" t="b">
        <f t="shared" si="37"/>
        <v>1</v>
      </c>
      <c r="CV10" s="25" t="b">
        <f t="shared" si="38"/>
        <v>1</v>
      </c>
      <c r="CW10" s="25" t="b">
        <f t="shared" si="39"/>
        <v>1</v>
      </c>
      <c r="CX10" s="16" t="str">
        <f t="shared" si="40"/>
        <v>3500042</v>
      </c>
      <c r="CY10" s="16" t="str">
        <f t="shared" si="41"/>
        <v>3201032</v>
      </c>
      <c r="CZ10" s="16" t="str">
        <f t="shared" si="42"/>
        <v>3200033</v>
      </c>
      <c r="DA10" s="16" t="str">
        <f t="shared" si="43"/>
        <v>3201032</v>
      </c>
      <c r="DB10" s="16" t="str">
        <f t="shared" si="44"/>
        <v>3401031</v>
      </c>
      <c r="DC10" s="16" t="str">
        <f t="shared" si="45"/>
        <v>3402033</v>
      </c>
      <c r="DD10" s="16">
        <v>4</v>
      </c>
      <c r="DE10" s="16">
        <v>3</v>
      </c>
      <c r="DF10" s="16">
        <v>3</v>
      </c>
      <c r="DG10" s="16">
        <v>3</v>
      </c>
      <c r="DH10" s="16">
        <v>3</v>
      </c>
      <c r="DI10" s="16">
        <v>3</v>
      </c>
      <c r="DJ10" s="16">
        <v>3</v>
      </c>
      <c r="DK10" s="16">
        <v>3</v>
      </c>
      <c r="DL10" s="16">
        <v>3</v>
      </c>
      <c r="DM10" s="16">
        <v>3</v>
      </c>
      <c r="DN10" s="16">
        <v>3</v>
      </c>
      <c r="DO10" s="16">
        <v>3</v>
      </c>
      <c r="DP10" s="36" t="s">
        <v>115</v>
      </c>
      <c r="DQ10" s="36" t="s">
        <v>120</v>
      </c>
      <c r="DR10" s="36" t="s">
        <v>119</v>
      </c>
      <c r="DS10" s="36" t="s">
        <v>120</v>
      </c>
      <c r="DT10" s="36" t="s">
        <v>123</v>
      </c>
      <c r="DU10" s="36" t="s">
        <v>124</v>
      </c>
      <c r="DV10" s="32">
        <f t="shared" si="5"/>
        <v>2</v>
      </c>
      <c r="DW10" s="32">
        <f t="shared" si="6"/>
        <v>1</v>
      </c>
      <c r="DX10" s="32">
        <f t="shared" si="7"/>
        <v>1</v>
      </c>
      <c r="DY10" s="32">
        <f t="shared" si="8"/>
        <v>1</v>
      </c>
      <c r="DZ10" s="32">
        <f t="shared" si="9"/>
        <v>2</v>
      </c>
      <c r="EA10" s="32">
        <f t="shared" si="10"/>
        <v>2</v>
      </c>
      <c r="EB10" s="31"/>
      <c r="EC10" s="7">
        <v>3200033</v>
      </c>
      <c r="ED10" s="35" t="s">
        <v>135</v>
      </c>
      <c r="EE10" s="16">
        <v>1</v>
      </c>
      <c r="EF10" s="16">
        <v>303150001</v>
      </c>
      <c r="EG10" s="25" t="str">
        <f t="shared" si="11"/>
        <v>对随机3名敌人造成132%攻击伤害。</v>
      </c>
      <c r="EQ10" s="16">
        <v>505150001</v>
      </c>
      <c r="ER10" s="16" t="s">
        <v>136</v>
      </c>
      <c r="FD10" s="16">
        <v>3500042</v>
      </c>
      <c r="FE10" s="16">
        <v>3201032</v>
      </c>
      <c r="FF10" s="16">
        <v>3200033</v>
      </c>
      <c r="FG10" s="16">
        <v>3201032</v>
      </c>
      <c r="FH10" s="16">
        <v>3401031</v>
      </c>
      <c r="FI10" s="16">
        <v>3402033</v>
      </c>
      <c r="FJ10" t="str">
        <f t="shared" si="46"/>
        <v>火海盗</v>
      </c>
      <c r="FK10" t="str">
        <f t="shared" si="47"/>
        <v>火骑兵</v>
      </c>
      <c r="FL10" t="str">
        <f t="shared" si="48"/>
        <v>木刀客</v>
      </c>
      <c r="FM10" t="str">
        <f t="shared" si="49"/>
        <v>火骑兵</v>
      </c>
      <c r="FN10" t="str">
        <f t="shared" si="50"/>
        <v>水魔法师</v>
      </c>
      <c r="FO10" t="str">
        <f t="shared" si="51"/>
        <v>木女巫</v>
      </c>
      <c r="FP10" t="str">
        <f t="shared" si="52"/>
        <v>4</v>
      </c>
      <c r="FQ10" t="str">
        <f t="shared" si="53"/>
        <v>3</v>
      </c>
      <c r="FR10" t="str">
        <f t="shared" si="54"/>
        <v>3</v>
      </c>
      <c r="FS10" t="str">
        <f t="shared" si="55"/>
        <v>3</v>
      </c>
      <c r="FT10" t="str">
        <f t="shared" si="56"/>
        <v>3</v>
      </c>
      <c r="FU10" t="str">
        <f t="shared" si="57"/>
        <v>3</v>
      </c>
      <c r="FV10" t="str">
        <f t="shared" si="14"/>
        <v>3</v>
      </c>
      <c r="FW10" t="str">
        <f t="shared" si="15"/>
        <v>3</v>
      </c>
      <c r="FX10" t="str">
        <f t="shared" si="16"/>
        <v>3</v>
      </c>
      <c r="FY10" t="str">
        <f t="shared" si="17"/>
        <v>3</v>
      </c>
      <c r="FZ10" t="str">
        <f t="shared" si="18"/>
        <v>3</v>
      </c>
      <c r="GA10" t="str">
        <f t="shared" si="19"/>
        <v>3</v>
      </c>
    </row>
    <row r="11" spans="1:183" ht="15.95" customHeight="1">
      <c r="A11" s="1">
        <v>108</v>
      </c>
      <c r="B11" s="6">
        <v>10182</v>
      </c>
      <c r="C11" s="23" t="str">
        <f t="shared" si="20"/>
        <v>1102041,3201032,3201032,3500032,3502031,3500032</v>
      </c>
      <c r="D11" s="1" t="str">
        <f t="shared" si="21"/>
        <v>4,3,3,3,3,3</v>
      </c>
      <c r="E11" s="53" t="str">
        <f t="shared" si="22"/>
        <v>186,204,204,204,204,204</v>
      </c>
      <c r="F11" s="1">
        <f t="shared" si="0"/>
        <v>73126</v>
      </c>
      <c r="G11" s="23" t="s">
        <v>34</v>
      </c>
      <c r="H11" s="1" t="s">
        <v>28</v>
      </c>
      <c r="I11" s="1" t="s">
        <v>28</v>
      </c>
      <c r="J11" s="1" t="s">
        <v>28</v>
      </c>
      <c r="K11" s="2" t="s">
        <v>319</v>
      </c>
      <c r="L11" s="1">
        <v>0</v>
      </c>
      <c r="M11" s="1">
        <v>4</v>
      </c>
      <c r="O11" s="25">
        <f t="shared" si="23"/>
        <v>73126</v>
      </c>
      <c r="P11" s="16">
        <v>73126.490000000005</v>
      </c>
      <c r="Q11" s="16">
        <v>1102041</v>
      </c>
      <c r="R11" s="16">
        <v>3201032</v>
      </c>
      <c r="S11" s="16">
        <v>3201032</v>
      </c>
      <c r="T11" s="16">
        <v>3500032</v>
      </c>
      <c r="U11" s="16">
        <v>3502031</v>
      </c>
      <c r="V11" s="16">
        <v>3500032</v>
      </c>
      <c r="W11" s="16">
        <v>4</v>
      </c>
      <c r="X11" s="16">
        <v>3</v>
      </c>
      <c r="Y11" s="16">
        <v>3</v>
      </c>
      <c r="Z11" s="16">
        <v>3</v>
      </c>
      <c r="AA11" s="16">
        <v>3</v>
      </c>
      <c r="AB11" s="16">
        <v>3</v>
      </c>
      <c r="AC11" s="16">
        <f t="shared" si="24"/>
        <v>186</v>
      </c>
      <c r="AD11" s="16">
        <f t="shared" si="1"/>
        <v>204</v>
      </c>
      <c r="AE11" s="16">
        <f t="shared" si="1"/>
        <v>204</v>
      </c>
      <c r="AF11" s="16">
        <f t="shared" si="1"/>
        <v>204</v>
      </c>
      <c r="AG11" s="16">
        <f t="shared" si="1"/>
        <v>204</v>
      </c>
      <c r="AH11" s="16">
        <f t="shared" si="1"/>
        <v>204</v>
      </c>
      <c r="AI11" s="28">
        <f t="shared" si="25"/>
        <v>14625.298000000003</v>
      </c>
      <c r="AJ11" s="28">
        <f t="shared" si="26"/>
        <v>11700.2384</v>
      </c>
      <c r="AK11" s="28">
        <f t="shared" si="2"/>
        <v>11700.2384</v>
      </c>
      <c r="AL11" s="28">
        <f t="shared" si="2"/>
        <v>11700.2384</v>
      </c>
      <c r="AM11" s="28">
        <f t="shared" si="2"/>
        <v>11700.2384</v>
      </c>
      <c r="AN11" s="28">
        <f t="shared" si="2"/>
        <v>11700.2384</v>
      </c>
      <c r="AO11" s="30"/>
      <c r="AP11" s="28"/>
      <c r="AQ11" s="16">
        <v>3</v>
      </c>
      <c r="AR11" s="16">
        <f t="shared" si="27"/>
        <v>219</v>
      </c>
      <c r="AS11" s="28">
        <f t="shared" si="28"/>
        <v>133</v>
      </c>
      <c r="AT11" s="28"/>
      <c r="AU11" s="30">
        <v>73126.490000000005</v>
      </c>
      <c r="AV11" s="28" t="str">
        <f t="shared" si="29"/>
        <v>小:0</v>
      </c>
      <c r="AW11" s="28"/>
      <c r="AX11" s="28"/>
      <c r="AZ11" s="28"/>
      <c r="BA11" s="16">
        <f t="shared" si="58"/>
        <v>3078.8349514563092</v>
      </c>
      <c r="BC11" s="7">
        <f t="shared" si="30"/>
        <v>171</v>
      </c>
      <c r="BF11" s="37"/>
      <c r="BG11" s="37"/>
      <c r="BH11" s="37"/>
      <c r="BI11" s="7"/>
      <c r="BJ11" s="7"/>
      <c r="BK11" s="7"/>
      <c r="BL11" s="7"/>
      <c r="BM11" s="7"/>
      <c r="BP11" s="9"/>
      <c r="BQ11" s="9"/>
      <c r="BR11" s="9">
        <v>3402032</v>
      </c>
      <c r="BS11" s="9">
        <f>[1]monsters!$N11</f>
        <v>122.88</v>
      </c>
      <c r="BT11" s="9">
        <f>[1]monsters!$O11</f>
        <v>12.29</v>
      </c>
      <c r="BU11" s="9">
        <f>[1]monsters!$P11</f>
        <v>960</v>
      </c>
      <c r="BV11" s="9">
        <f>[1]monsters!$Q11</f>
        <v>96</v>
      </c>
      <c r="BW11" s="9">
        <f>[1]monsters!$R11</f>
        <v>17.55</v>
      </c>
      <c r="BX11" s="9">
        <f>[1]monsters!$S11</f>
        <v>1.76</v>
      </c>
      <c r="BY11" s="9">
        <f>[1]monsters!$K11</f>
        <v>1.6</v>
      </c>
      <c r="BZ11" s="7">
        <f>[1]monsters!$D11</f>
        <v>4</v>
      </c>
      <c r="CA11" s="7">
        <f t="shared" si="31"/>
        <v>0.1</v>
      </c>
      <c r="CB11" s="7">
        <f t="shared" si="32"/>
        <v>148.44483232323233</v>
      </c>
      <c r="CC11" s="7">
        <f t="shared" si="33"/>
        <v>14.844483232323235</v>
      </c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>
        <v>0</v>
      </c>
      <c r="CR11" s="25" t="b">
        <f t="shared" si="34"/>
        <v>1</v>
      </c>
      <c r="CS11" s="25" t="b">
        <f t="shared" si="35"/>
        <v>1</v>
      </c>
      <c r="CT11" s="25" t="b">
        <f t="shared" si="36"/>
        <v>1</v>
      </c>
      <c r="CU11" s="25" t="b">
        <f t="shared" si="37"/>
        <v>1</v>
      </c>
      <c r="CV11" s="25" t="b">
        <f t="shared" si="38"/>
        <v>1</v>
      </c>
      <c r="CW11" s="25" t="b">
        <f t="shared" si="39"/>
        <v>1</v>
      </c>
      <c r="CX11" s="16" t="str">
        <f t="shared" si="40"/>
        <v>1102041</v>
      </c>
      <c r="CY11" s="16" t="str">
        <f t="shared" si="41"/>
        <v>3201032</v>
      </c>
      <c r="CZ11" s="16" t="str">
        <f t="shared" si="42"/>
        <v>3201032</v>
      </c>
      <c r="DA11" s="16" t="str">
        <f t="shared" si="43"/>
        <v>3500032</v>
      </c>
      <c r="DB11" s="16" t="str">
        <f t="shared" si="44"/>
        <v>3502031</v>
      </c>
      <c r="DC11" s="16" t="str">
        <f t="shared" si="45"/>
        <v>3500032</v>
      </c>
      <c r="DD11" s="16">
        <v>4</v>
      </c>
      <c r="DE11" s="16">
        <v>3</v>
      </c>
      <c r="DF11" s="16">
        <v>3</v>
      </c>
      <c r="DG11" s="16">
        <v>3</v>
      </c>
      <c r="DH11" s="16">
        <v>3</v>
      </c>
      <c r="DI11" s="16">
        <v>3</v>
      </c>
      <c r="DJ11" s="16">
        <v>1</v>
      </c>
      <c r="DK11" s="16">
        <v>3</v>
      </c>
      <c r="DL11" s="16">
        <v>3</v>
      </c>
      <c r="DM11" s="16">
        <v>3</v>
      </c>
      <c r="DN11" s="16">
        <v>3</v>
      </c>
      <c r="DO11" s="16">
        <v>3</v>
      </c>
      <c r="DP11" s="51" t="s">
        <v>303</v>
      </c>
      <c r="DQ11" s="51" t="s">
        <v>120</v>
      </c>
      <c r="DR11" s="51" t="s">
        <v>120</v>
      </c>
      <c r="DS11" s="36" t="s">
        <v>115</v>
      </c>
      <c r="DT11" s="36" t="s">
        <v>130</v>
      </c>
      <c r="DU11" s="36" t="s">
        <v>115</v>
      </c>
      <c r="DV11" s="32">
        <f t="shared" si="5"/>
        <v>1</v>
      </c>
      <c r="DW11" s="32">
        <f t="shared" si="6"/>
        <v>1</v>
      </c>
      <c r="DX11" s="32">
        <f t="shared" si="7"/>
        <v>1</v>
      </c>
      <c r="DY11" s="32">
        <f t="shared" si="8"/>
        <v>2</v>
      </c>
      <c r="DZ11" s="32">
        <f t="shared" si="9"/>
        <v>2</v>
      </c>
      <c r="EA11" s="32">
        <f t="shared" si="10"/>
        <v>2</v>
      </c>
      <c r="EB11" s="15"/>
      <c r="EC11" s="7">
        <v>3401031</v>
      </c>
      <c r="ED11" s="35" t="s">
        <v>137</v>
      </c>
      <c r="EE11" s="16">
        <v>2</v>
      </c>
      <c r="EF11" s="16">
        <v>303150201</v>
      </c>
      <c r="EG11" s="25" t="str">
        <f t="shared" si="11"/>
        <v>对距离最近的2名敌人造成221%攻击伤害。</v>
      </c>
      <c r="EQ11" s="16">
        <v>505150201</v>
      </c>
      <c r="ER11" s="16" t="s">
        <v>138</v>
      </c>
      <c r="FD11" s="16">
        <v>1102041</v>
      </c>
      <c r="FE11" s="16">
        <v>3201032</v>
      </c>
      <c r="FF11" s="16">
        <v>3201032</v>
      </c>
      <c r="FG11" s="16">
        <v>3500032</v>
      </c>
      <c r="FH11" s="16">
        <v>3502031</v>
      </c>
      <c r="FI11" s="16">
        <v>3500032</v>
      </c>
      <c r="FJ11" t="str">
        <f t="shared" si="46"/>
        <v>水狼骑兵</v>
      </c>
      <c r="FK11" t="str">
        <f t="shared" si="47"/>
        <v>火骑兵</v>
      </c>
      <c r="FL11" t="str">
        <f t="shared" si="48"/>
        <v>火骑兵</v>
      </c>
      <c r="FM11" t="str">
        <f t="shared" si="49"/>
        <v>火海盗</v>
      </c>
      <c r="FN11" t="str">
        <f t="shared" si="50"/>
        <v>水火枪手</v>
      </c>
      <c r="FO11" t="str">
        <f t="shared" si="51"/>
        <v>火海盗</v>
      </c>
      <c r="FP11" t="str">
        <f t="shared" si="52"/>
        <v>4</v>
      </c>
      <c r="FQ11" t="str">
        <f t="shared" si="53"/>
        <v>3</v>
      </c>
      <c r="FR11" t="str">
        <f t="shared" si="54"/>
        <v>3</v>
      </c>
      <c r="FS11" t="str">
        <f t="shared" si="55"/>
        <v>3</v>
      </c>
      <c r="FT11" t="str">
        <f t="shared" si="56"/>
        <v>3</v>
      </c>
      <c r="FU11" t="str">
        <f t="shared" si="57"/>
        <v>3</v>
      </c>
      <c r="FV11" t="str">
        <f t="shared" si="14"/>
        <v>1</v>
      </c>
      <c r="FW11" t="str">
        <f t="shared" si="15"/>
        <v>3</v>
      </c>
      <c r="FX11" t="str">
        <f t="shared" si="16"/>
        <v>3</v>
      </c>
      <c r="FY11" t="str">
        <f t="shared" si="17"/>
        <v>3</v>
      </c>
      <c r="FZ11" t="str">
        <f t="shared" si="18"/>
        <v>3</v>
      </c>
      <c r="GA11" t="str">
        <f t="shared" si="19"/>
        <v>3</v>
      </c>
    </row>
    <row r="12" spans="1:183" ht="15.95" customHeight="1">
      <c r="A12" s="1">
        <v>109</v>
      </c>
      <c r="B12" s="6">
        <v>10182</v>
      </c>
      <c r="C12" s="23" t="str">
        <f t="shared" si="20"/>
        <v>3302043,3202031,3202031,3402033,3401031,3601032</v>
      </c>
      <c r="D12" s="1" t="str">
        <f t="shared" si="21"/>
        <v>4,3,3,3,3,3</v>
      </c>
      <c r="E12" s="53" t="str">
        <f t="shared" si="22"/>
        <v>189,206,206,206,206,206</v>
      </c>
      <c r="F12" s="1">
        <f t="shared" si="0"/>
        <v>75143</v>
      </c>
      <c r="G12" s="23" t="s">
        <v>34</v>
      </c>
      <c r="H12" s="1" t="s">
        <v>28</v>
      </c>
      <c r="I12" s="1" t="s">
        <v>28</v>
      </c>
      <c r="J12" s="1" t="s">
        <v>28</v>
      </c>
      <c r="K12" s="2" t="s">
        <v>320</v>
      </c>
      <c r="L12" s="1">
        <v>0</v>
      </c>
      <c r="M12" s="1">
        <v>6</v>
      </c>
      <c r="O12" s="25">
        <f t="shared" si="23"/>
        <v>75143</v>
      </c>
      <c r="P12" s="16">
        <v>75143.13</v>
      </c>
      <c r="Q12" s="16">
        <v>3302043</v>
      </c>
      <c r="R12" s="16">
        <v>3202031</v>
      </c>
      <c r="S12" s="16">
        <v>3202031</v>
      </c>
      <c r="T12" s="16">
        <v>3402033</v>
      </c>
      <c r="U12" s="16">
        <v>3401031</v>
      </c>
      <c r="V12" s="16">
        <v>3601032</v>
      </c>
      <c r="W12" s="16">
        <v>4</v>
      </c>
      <c r="X12" s="16">
        <v>3</v>
      </c>
      <c r="Y12" s="16">
        <v>3</v>
      </c>
      <c r="Z12" s="16">
        <v>3</v>
      </c>
      <c r="AA12" s="16">
        <v>3</v>
      </c>
      <c r="AB12" s="16">
        <v>3</v>
      </c>
      <c r="AC12" s="16">
        <f t="shared" si="24"/>
        <v>189</v>
      </c>
      <c r="AD12" s="16">
        <f t="shared" si="1"/>
        <v>206</v>
      </c>
      <c r="AE12" s="16">
        <f t="shared" si="1"/>
        <v>206</v>
      </c>
      <c r="AF12" s="16">
        <f t="shared" si="1"/>
        <v>206</v>
      </c>
      <c r="AG12" s="16">
        <f t="shared" si="1"/>
        <v>206</v>
      </c>
      <c r="AH12" s="16">
        <f t="shared" si="1"/>
        <v>206</v>
      </c>
      <c r="AI12" s="28">
        <f t="shared" si="25"/>
        <v>15028.626000000002</v>
      </c>
      <c r="AJ12" s="28">
        <f t="shared" si="26"/>
        <v>12022.900800000001</v>
      </c>
      <c r="AK12" s="28">
        <f t="shared" si="2"/>
        <v>12022.900800000001</v>
      </c>
      <c r="AL12" s="28">
        <f t="shared" si="2"/>
        <v>12022.900800000001</v>
      </c>
      <c r="AM12" s="28">
        <f t="shared" si="2"/>
        <v>12022.900800000001</v>
      </c>
      <c r="AN12" s="28">
        <f t="shared" si="2"/>
        <v>12022.900800000001</v>
      </c>
      <c r="AO12" s="30"/>
      <c r="AP12" s="28"/>
      <c r="AQ12" s="16">
        <v>3</v>
      </c>
      <c r="AR12" s="16">
        <f t="shared" si="27"/>
        <v>222</v>
      </c>
      <c r="AS12" s="28">
        <f t="shared" si="28"/>
        <v>134</v>
      </c>
      <c r="AT12" s="28"/>
      <c r="AU12" s="30">
        <v>75143.13</v>
      </c>
      <c r="AV12" s="28" t="str">
        <f t="shared" si="29"/>
        <v>小:0</v>
      </c>
      <c r="AW12" s="28"/>
      <c r="AX12" s="28"/>
      <c r="AZ12" s="28"/>
      <c r="BA12" s="16">
        <f t="shared" si="58"/>
        <v>3090.0970873786391</v>
      </c>
      <c r="BC12" s="7">
        <f t="shared" si="30"/>
        <v>174</v>
      </c>
      <c r="BF12" s="37"/>
      <c r="BG12" s="37"/>
      <c r="BH12" s="37"/>
      <c r="BI12" s="7"/>
      <c r="BJ12" s="7"/>
      <c r="BK12" s="7"/>
      <c r="BL12" s="7"/>
      <c r="BM12" s="7"/>
      <c r="BP12" s="9"/>
      <c r="BQ12" s="9"/>
      <c r="BR12" s="9">
        <v>3502032</v>
      </c>
      <c r="BS12" s="9">
        <f>[1]monsters!$N12</f>
        <v>115.2</v>
      </c>
      <c r="BT12" s="9">
        <f>[1]monsters!$O12</f>
        <v>11.52</v>
      </c>
      <c r="BU12" s="9">
        <f>[1]monsters!$P12</f>
        <v>960</v>
      </c>
      <c r="BV12" s="9">
        <f>[1]monsters!$Q12</f>
        <v>96</v>
      </c>
      <c r="BW12" s="9">
        <f>[1]monsters!$R12</f>
        <v>16.46</v>
      </c>
      <c r="BX12" s="9">
        <f>[1]monsters!$S12</f>
        <v>1.65</v>
      </c>
      <c r="BY12" s="9">
        <f>[1]monsters!$K12</f>
        <v>1.5</v>
      </c>
      <c r="BZ12" s="7">
        <f>[1]monsters!$D12</f>
        <v>4</v>
      </c>
      <c r="CA12" s="7">
        <f t="shared" si="31"/>
        <v>0.1</v>
      </c>
      <c r="CB12" s="7">
        <f t="shared" si="32"/>
        <v>141.18723232323231</v>
      </c>
      <c r="CC12" s="7">
        <f t="shared" si="33"/>
        <v>14.118723232323232</v>
      </c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>
        <v>0</v>
      </c>
      <c r="CR12" s="25" t="b">
        <f t="shared" si="34"/>
        <v>1</v>
      </c>
      <c r="CS12" s="25" t="b">
        <f t="shared" si="35"/>
        <v>1</v>
      </c>
      <c r="CT12" s="25" t="b">
        <f t="shared" si="36"/>
        <v>1</v>
      </c>
      <c r="CU12" s="25" t="b">
        <f t="shared" si="37"/>
        <v>1</v>
      </c>
      <c r="CV12" s="25" t="b">
        <f t="shared" si="38"/>
        <v>1</v>
      </c>
      <c r="CW12" s="25" t="b">
        <f t="shared" si="39"/>
        <v>1</v>
      </c>
      <c r="CX12" s="16" t="str">
        <f t="shared" si="40"/>
        <v>3302043</v>
      </c>
      <c r="CY12" s="16" t="str">
        <f t="shared" si="41"/>
        <v>3202031</v>
      </c>
      <c r="CZ12" s="16" t="str">
        <f t="shared" si="42"/>
        <v>3202031</v>
      </c>
      <c r="DA12" s="16" t="str">
        <f t="shared" si="43"/>
        <v>3402033</v>
      </c>
      <c r="DB12" s="16" t="str">
        <f t="shared" si="44"/>
        <v>3401031</v>
      </c>
      <c r="DC12" s="16" t="str">
        <f t="shared" si="45"/>
        <v>3601032</v>
      </c>
      <c r="DD12" s="16">
        <v>4</v>
      </c>
      <c r="DE12" s="16">
        <v>3</v>
      </c>
      <c r="DF12" s="16">
        <v>3</v>
      </c>
      <c r="DG12" s="16">
        <v>3</v>
      </c>
      <c r="DH12" s="16">
        <v>3</v>
      </c>
      <c r="DI12" s="16">
        <v>3</v>
      </c>
      <c r="DJ12" s="16">
        <v>3</v>
      </c>
      <c r="DK12" s="16">
        <v>3</v>
      </c>
      <c r="DL12" s="16">
        <v>3</v>
      </c>
      <c r="DM12" s="16">
        <v>3</v>
      </c>
      <c r="DN12" s="16">
        <v>3</v>
      </c>
      <c r="DO12" s="16">
        <v>3</v>
      </c>
      <c r="DP12" s="13" t="s">
        <v>114</v>
      </c>
      <c r="DQ12" s="51" t="s">
        <v>117</v>
      </c>
      <c r="DR12" s="51" t="s">
        <v>117</v>
      </c>
      <c r="DS12" s="36" t="s">
        <v>124</v>
      </c>
      <c r="DT12" s="36" t="s">
        <v>123</v>
      </c>
      <c r="DU12" s="36" t="s">
        <v>216</v>
      </c>
      <c r="DV12" s="32">
        <f t="shared" si="5"/>
        <v>1</v>
      </c>
      <c r="DW12" s="32">
        <f t="shared" si="6"/>
        <v>1</v>
      </c>
      <c r="DX12" s="32">
        <f t="shared" si="7"/>
        <v>1</v>
      </c>
      <c r="DY12" s="32">
        <f t="shared" si="8"/>
        <v>2</v>
      </c>
      <c r="DZ12" s="32">
        <f t="shared" si="9"/>
        <v>2</v>
      </c>
      <c r="EA12" s="32">
        <f t="shared" si="10"/>
        <v>2</v>
      </c>
      <c r="EB12" s="15"/>
      <c r="EC12" s="7">
        <v>3402033</v>
      </c>
      <c r="ED12" s="35" t="s">
        <v>139</v>
      </c>
      <c r="EE12" s="16">
        <v>2</v>
      </c>
      <c r="EF12" s="16">
        <v>303160101</v>
      </c>
      <c r="EG12" s="25" t="str">
        <f t="shared" si="11"/>
        <v>治疗血量最少的2名友军，恢复206%攻击等量的生命。</v>
      </c>
      <c r="EQ12" s="16">
        <v>505160101</v>
      </c>
      <c r="ER12" s="16" t="s">
        <v>140</v>
      </c>
      <c r="FD12" s="16">
        <v>3302043</v>
      </c>
      <c r="FE12" s="16">
        <v>3202031</v>
      </c>
      <c r="FF12" s="16">
        <v>3202031</v>
      </c>
      <c r="FG12" s="16">
        <v>3402033</v>
      </c>
      <c r="FH12" s="16">
        <v>3401031</v>
      </c>
      <c r="FI12" s="16">
        <v>3601032</v>
      </c>
      <c r="FJ12" t="str">
        <f t="shared" si="46"/>
        <v>木盗贼</v>
      </c>
      <c r="FK12" t="str">
        <f t="shared" si="47"/>
        <v>水维京</v>
      </c>
      <c r="FL12" t="str">
        <f t="shared" si="48"/>
        <v>水维京</v>
      </c>
      <c r="FM12" t="str">
        <f t="shared" si="49"/>
        <v>木女巫</v>
      </c>
      <c r="FN12" t="str">
        <f t="shared" si="50"/>
        <v>水魔法师</v>
      </c>
      <c r="FO12" t="str">
        <f t="shared" si="51"/>
        <v>火修女</v>
      </c>
      <c r="FP12" t="str">
        <f t="shared" si="52"/>
        <v>4</v>
      </c>
      <c r="FQ12" t="str">
        <f t="shared" si="53"/>
        <v>3</v>
      </c>
      <c r="FR12" t="str">
        <f t="shared" si="54"/>
        <v>3</v>
      </c>
      <c r="FS12" t="str">
        <f t="shared" si="55"/>
        <v>3</v>
      </c>
      <c r="FT12" t="str">
        <f t="shared" si="56"/>
        <v>3</v>
      </c>
      <c r="FU12" t="str">
        <f t="shared" si="57"/>
        <v>3</v>
      </c>
      <c r="FV12" t="str">
        <f t="shared" si="14"/>
        <v>3</v>
      </c>
      <c r="FW12" t="str">
        <f t="shared" si="15"/>
        <v>3</v>
      </c>
      <c r="FX12" t="str">
        <f t="shared" si="16"/>
        <v>3</v>
      </c>
      <c r="FY12" t="str">
        <f t="shared" si="17"/>
        <v>3</v>
      </c>
      <c r="FZ12" t="str">
        <f t="shared" si="18"/>
        <v>3</v>
      </c>
      <c r="GA12" t="str">
        <f t="shared" si="19"/>
        <v>3</v>
      </c>
    </row>
    <row r="13" spans="1:183" ht="15.95" customHeight="1">
      <c r="A13" s="1">
        <v>110</v>
      </c>
      <c r="B13" s="6">
        <v>10182</v>
      </c>
      <c r="C13" s="23" t="str">
        <f t="shared" si="20"/>
        <v>1101041,3201032,3201032,3401031,3601032,3502031</v>
      </c>
      <c r="D13" s="1" t="str">
        <f t="shared" si="21"/>
        <v>4,3,3,3,3,3</v>
      </c>
      <c r="E13" s="53" t="str">
        <f t="shared" si="22"/>
        <v>191,209,209,209,209,209</v>
      </c>
      <c r="F13" s="1">
        <f t="shared" si="0"/>
        <v>76697</v>
      </c>
      <c r="G13" s="23" t="s">
        <v>34</v>
      </c>
      <c r="H13" s="1" t="s">
        <v>28</v>
      </c>
      <c r="I13" s="1" t="s">
        <v>28</v>
      </c>
      <c r="J13" s="1" t="s">
        <v>28</v>
      </c>
      <c r="K13" s="2" t="s">
        <v>321</v>
      </c>
      <c r="L13" s="1">
        <v>0</v>
      </c>
      <c r="M13" s="1">
        <v>6</v>
      </c>
      <c r="O13" s="25">
        <f t="shared" si="23"/>
        <v>76697</v>
      </c>
      <c r="P13" s="16">
        <v>76696.710000000006</v>
      </c>
      <c r="Q13" s="16">
        <v>1101041</v>
      </c>
      <c r="R13" s="16">
        <v>3201032</v>
      </c>
      <c r="S13" s="16">
        <v>3201032</v>
      </c>
      <c r="T13" s="16">
        <v>3401031</v>
      </c>
      <c r="U13" s="16">
        <v>3601032</v>
      </c>
      <c r="V13" s="16">
        <v>3502031</v>
      </c>
      <c r="W13" s="16">
        <v>4</v>
      </c>
      <c r="X13" s="16">
        <v>3</v>
      </c>
      <c r="Y13" s="16">
        <v>3</v>
      </c>
      <c r="Z13" s="16">
        <v>3</v>
      </c>
      <c r="AA13" s="16">
        <v>3</v>
      </c>
      <c r="AB13" s="16">
        <v>3</v>
      </c>
      <c r="AC13" s="16">
        <f t="shared" si="24"/>
        <v>191</v>
      </c>
      <c r="AD13" s="16">
        <f t="shared" si="1"/>
        <v>209</v>
      </c>
      <c r="AE13" s="16">
        <f t="shared" si="1"/>
        <v>209</v>
      </c>
      <c r="AF13" s="16">
        <f t="shared" si="1"/>
        <v>209</v>
      </c>
      <c r="AG13" s="16">
        <f t="shared" si="1"/>
        <v>209</v>
      </c>
      <c r="AH13" s="16">
        <f t="shared" si="1"/>
        <v>209</v>
      </c>
      <c r="AI13" s="28">
        <f t="shared" si="25"/>
        <v>15339.342000000002</v>
      </c>
      <c r="AJ13" s="28">
        <f t="shared" si="26"/>
        <v>12271.473600000001</v>
      </c>
      <c r="AK13" s="28">
        <f t="shared" si="2"/>
        <v>12271.473600000001</v>
      </c>
      <c r="AL13" s="28">
        <f t="shared" si="2"/>
        <v>12271.473600000001</v>
      </c>
      <c r="AM13" s="28">
        <f t="shared" si="2"/>
        <v>12271.473600000001</v>
      </c>
      <c r="AN13" s="28">
        <f t="shared" si="2"/>
        <v>12271.473600000001</v>
      </c>
      <c r="AO13" s="30"/>
      <c r="AP13" s="28"/>
      <c r="AQ13" s="16">
        <v>3</v>
      </c>
      <c r="AR13" s="16">
        <f t="shared" si="27"/>
        <v>224</v>
      </c>
      <c r="AS13" s="28">
        <f t="shared" si="28"/>
        <v>135</v>
      </c>
      <c r="AT13" s="28"/>
      <c r="AU13" s="30">
        <v>76696.710000000006</v>
      </c>
      <c r="AV13" s="28" t="str">
        <f t="shared" si="29"/>
        <v>小:0</v>
      </c>
      <c r="AW13" s="28"/>
      <c r="AX13" s="28"/>
      <c r="AZ13" s="28"/>
      <c r="BA13" s="16">
        <f t="shared" si="58"/>
        <v>3101.359223300969</v>
      </c>
      <c r="BC13" s="7">
        <f t="shared" si="30"/>
        <v>176</v>
      </c>
      <c r="BF13" s="37"/>
      <c r="BG13" s="37"/>
      <c r="BH13" s="37"/>
      <c r="BI13" s="7"/>
      <c r="BJ13" s="7"/>
      <c r="BK13" s="7"/>
      <c r="BL13" s="7"/>
      <c r="BM13" s="7"/>
      <c r="BP13" s="9"/>
      <c r="BQ13" s="9"/>
      <c r="BR13" s="9">
        <v>3602032</v>
      </c>
      <c r="BS13" s="9">
        <f>[1]monsters!$N13</f>
        <v>143.36000000000001</v>
      </c>
      <c r="BT13" s="9">
        <f>[1]monsters!$O13</f>
        <v>14.34</v>
      </c>
      <c r="BU13" s="9">
        <f>[1]monsters!$P13</f>
        <v>822.86</v>
      </c>
      <c r="BV13" s="9">
        <f>[1]monsters!$Q13</f>
        <v>82.29</v>
      </c>
      <c r="BW13" s="9">
        <f>[1]monsters!$R13</f>
        <v>17.920000000000002</v>
      </c>
      <c r="BX13" s="9">
        <f>[1]monsters!$S13</f>
        <v>1.79</v>
      </c>
      <c r="BY13" s="9">
        <f>[1]monsters!$K13</f>
        <v>1.6</v>
      </c>
      <c r="BZ13" s="7">
        <f>[1]monsters!$D13</f>
        <v>5</v>
      </c>
      <c r="CA13" s="7">
        <f t="shared" si="31"/>
        <v>0.1</v>
      </c>
      <c r="CB13" s="7">
        <f t="shared" si="32"/>
        <v>163.18092390572394</v>
      </c>
      <c r="CC13" s="7">
        <f t="shared" si="33"/>
        <v>16.318092390572396</v>
      </c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>
        <v>1</v>
      </c>
      <c r="CR13" s="25" t="b">
        <f t="shared" si="34"/>
        <v>1</v>
      </c>
      <c r="CS13" s="25" t="b">
        <f t="shared" si="35"/>
        <v>1</v>
      </c>
      <c r="CT13" s="25" t="b">
        <f t="shared" si="36"/>
        <v>1</v>
      </c>
      <c r="CU13" s="25" t="b">
        <f t="shared" si="37"/>
        <v>1</v>
      </c>
      <c r="CV13" s="25" t="b">
        <f t="shared" si="38"/>
        <v>1</v>
      </c>
      <c r="CW13" s="25" t="b">
        <f t="shared" si="39"/>
        <v>1</v>
      </c>
      <c r="CX13" s="16" t="str">
        <f t="shared" si="40"/>
        <v>1101041</v>
      </c>
      <c r="CY13" s="16" t="str">
        <f t="shared" si="41"/>
        <v>3201032</v>
      </c>
      <c r="CZ13" s="16" t="str">
        <f t="shared" si="42"/>
        <v>3201032</v>
      </c>
      <c r="DA13" s="16" t="str">
        <f t="shared" si="43"/>
        <v>3401031</v>
      </c>
      <c r="DB13" s="16" t="str">
        <f t="shared" si="44"/>
        <v>3601032</v>
      </c>
      <c r="DC13" s="16" t="str">
        <f t="shared" si="45"/>
        <v>3502031</v>
      </c>
      <c r="DD13" s="16">
        <v>4</v>
      </c>
      <c r="DE13" s="16">
        <v>3</v>
      </c>
      <c r="DF13" s="16">
        <v>3</v>
      </c>
      <c r="DG13" s="16">
        <v>3</v>
      </c>
      <c r="DH13" s="16">
        <v>3</v>
      </c>
      <c r="DI13" s="16">
        <v>3</v>
      </c>
      <c r="DJ13" s="16">
        <v>1</v>
      </c>
      <c r="DK13" s="16">
        <v>3</v>
      </c>
      <c r="DL13" s="16">
        <v>3</v>
      </c>
      <c r="DM13" s="16">
        <v>3</v>
      </c>
      <c r="DN13" s="16">
        <v>3</v>
      </c>
      <c r="DO13" s="16">
        <v>3</v>
      </c>
      <c r="DP13" s="51" t="s">
        <v>298</v>
      </c>
      <c r="DQ13" s="51" t="s">
        <v>120</v>
      </c>
      <c r="DR13" s="51" t="s">
        <v>120</v>
      </c>
      <c r="DS13" s="14" t="s">
        <v>123</v>
      </c>
      <c r="DT13" s="36" t="s">
        <v>216</v>
      </c>
      <c r="DU13" s="36" t="s">
        <v>130</v>
      </c>
      <c r="DV13" s="32">
        <f t="shared" si="5"/>
        <v>1</v>
      </c>
      <c r="DW13" s="32">
        <f t="shared" si="6"/>
        <v>1</v>
      </c>
      <c r="DX13" s="32">
        <f t="shared" si="7"/>
        <v>1</v>
      </c>
      <c r="DY13" s="32">
        <f t="shared" si="8"/>
        <v>2</v>
      </c>
      <c r="DZ13" s="32">
        <f t="shared" si="9"/>
        <v>2</v>
      </c>
      <c r="EA13" s="32">
        <f t="shared" si="10"/>
        <v>2</v>
      </c>
      <c r="EB13" s="15"/>
      <c r="EC13" s="7">
        <v>3501033</v>
      </c>
      <c r="ED13" s="35" t="s">
        <v>141</v>
      </c>
      <c r="EE13" s="16">
        <v>2</v>
      </c>
      <c r="EF13" s="16">
        <v>303220001</v>
      </c>
      <c r="EG13" s="25" t="str">
        <f t="shared" si="11"/>
        <v>对随机1名敌人造成160%攻击伤害。</v>
      </c>
      <c r="EQ13" s="16">
        <v>505220001</v>
      </c>
      <c r="ER13" s="16" t="s">
        <v>142</v>
      </c>
      <c r="FD13" s="16">
        <v>1101041</v>
      </c>
      <c r="FE13" s="16">
        <v>3201032</v>
      </c>
      <c r="FF13" s="16">
        <v>3201032</v>
      </c>
      <c r="FG13" s="16">
        <v>3401031</v>
      </c>
      <c r="FH13" s="16">
        <v>3601032</v>
      </c>
      <c r="FI13" s="16">
        <v>3502031</v>
      </c>
      <c r="FJ13" t="str">
        <f t="shared" si="46"/>
        <v>水黑骑士</v>
      </c>
      <c r="FK13" t="str">
        <f t="shared" si="47"/>
        <v>火骑兵</v>
      </c>
      <c r="FL13" t="str">
        <f t="shared" si="48"/>
        <v>火骑兵</v>
      </c>
      <c r="FM13" t="str">
        <f t="shared" si="49"/>
        <v>水魔法师</v>
      </c>
      <c r="FN13" t="str">
        <f t="shared" si="50"/>
        <v>火修女</v>
      </c>
      <c r="FO13" t="str">
        <f t="shared" si="51"/>
        <v>水火枪手</v>
      </c>
      <c r="FP13" t="str">
        <f t="shared" si="52"/>
        <v>4</v>
      </c>
      <c r="FQ13" t="str">
        <f t="shared" si="53"/>
        <v>3</v>
      </c>
      <c r="FR13" t="str">
        <f t="shared" si="54"/>
        <v>3</v>
      </c>
      <c r="FS13" t="str">
        <f t="shared" si="55"/>
        <v>3</v>
      </c>
      <c r="FT13" t="str">
        <f t="shared" si="56"/>
        <v>3</v>
      </c>
      <c r="FU13" t="str">
        <f t="shared" si="57"/>
        <v>3</v>
      </c>
      <c r="FV13" t="str">
        <f t="shared" si="14"/>
        <v>1</v>
      </c>
      <c r="FW13" t="str">
        <f t="shared" si="15"/>
        <v>3</v>
      </c>
      <c r="FX13" t="str">
        <f t="shared" si="16"/>
        <v>3</v>
      </c>
      <c r="FY13" t="str">
        <f t="shared" si="17"/>
        <v>3</v>
      </c>
      <c r="FZ13" t="str">
        <f t="shared" si="18"/>
        <v>3</v>
      </c>
      <c r="GA13" t="str">
        <f t="shared" si="19"/>
        <v>3</v>
      </c>
    </row>
    <row r="14" spans="1:183" ht="15.95" customHeight="1">
      <c r="A14" s="1">
        <v>201</v>
      </c>
      <c r="B14" s="6">
        <v>10042</v>
      </c>
      <c r="C14" s="23" t="str">
        <f t="shared" si="20"/>
        <v>5300055,3201042,3201042,3502041,3402043,3402043</v>
      </c>
      <c r="D14" s="1" t="str">
        <f t="shared" si="21"/>
        <v>5,4,4,4,4,4</v>
      </c>
      <c r="E14" s="53" t="str">
        <f t="shared" si="22"/>
        <v>181,189,189,189,189,189</v>
      </c>
      <c r="F14" s="1">
        <f t="shared" si="0"/>
        <v>90815</v>
      </c>
      <c r="G14" s="23" t="s">
        <v>34</v>
      </c>
      <c r="H14" s="1" t="s">
        <v>28</v>
      </c>
      <c r="I14" s="1" t="s">
        <v>28</v>
      </c>
      <c r="J14" s="1" t="s">
        <v>28</v>
      </c>
      <c r="K14" s="2" t="s">
        <v>322</v>
      </c>
      <c r="L14" s="1">
        <v>0</v>
      </c>
      <c r="M14" s="1">
        <v>4</v>
      </c>
      <c r="O14" s="25">
        <f t="shared" si="23"/>
        <v>90815</v>
      </c>
      <c r="P14" s="16">
        <v>90814.5</v>
      </c>
      <c r="Q14" s="16">
        <v>5300055</v>
      </c>
      <c r="R14" s="16">
        <v>3201042</v>
      </c>
      <c r="S14" s="16">
        <v>3201042</v>
      </c>
      <c r="T14" s="16">
        <v>3502041</v>
      </c>
      <c r="U14" s="16">
        <v>3402043</v>
      </c>
      <c r="V14" s="16">
        <v>3402043</v>
      </c>
      <c r="W14" s="16">
        <v>5</v>
      </c>
      <c r="X14" s="16">
        <v>4</v>
      </c>
      <c r="Y14" s="16">
        <v>4</v>
      </c>
      <c r="Z14" s="16">
        <v>4</v>
      </c>
      <c r="AA14" s="16">
        <v>4</v>
      </c>
      <c r="AB14" s="16">
        <v>4</v>
      </c>
      <c r="AC14" s="16">
        <f t="shared" si="24"/>
        <v>181</v>
      </c>
      <c r="AD14" s="16">
        <f t="shared" si="1"/>
        <v>189</v>
      </c>
      <c r="AE14" s="16">
        <f t="shared" si="1"/>
        <v>189</v>
      </c>
      <c r="AF14" s="16">
        <f t="shared" si="1"/>
        <v>189</v>
      </c>
      <c r="AG14" s="16">
        <f t="shared" si="1"/>
        <v>189</v>
      </c>
      <c r="AH14" s="16">
        <f t="shared" si="1"/>
        <v>189</v>
      </c>
      <c r="AI14" s="28">
        <f t="shared" si="25"/>
        <v>18162.900000000001</v>
      </c>
      <c r="AJ14" s="28">
        <f t="shared" si="26"/>
        <v>14530.32</v>
      </c>
      <c r="AK14" s="28">
        <f t="shared" si="2"/>
        <v>14530.32</v>
      </c>
      <c r="AL14" s="28">
        <f t="shared" si="2"/>
        <v>14530.32</v>
      </c>
      <c r="AM14" s="28">
        <f t="shared" si="2"/>
        <v>14530.32</v>
      </c>
      <c r="AN14" s="28">
        <f t="shared" si="2"/>
        <v>14530.32</v>
      </c>
      <c r="AO14" s="30"/>
      <c r="AP14" s="28"/>
      <c r="AQ14" s="16">
        <v>3</v>
      </c>
      <c r="AR14" s="16">
        <f t="shared" si="27"/>
        <v>245</v>
      </c>
      <c r="AS14" s="28">
        <f t="shared" si="28"/>
        <v>226</v>
      </c>
      <c r="AT14" s="28"/>
      <c r="AU14" s="30">
        <v>90814.5</v>
      </c>
      <c r="AV14" s="28" t="str">
        <f t="shared" si="29"/>
        <v>小:0</v>
      </c>
      <c r="AW14" s="28"/>
      <c r="AX14" s="28"/>
      <c r="AZ14" s="28"/>
      <c r="BA14" s="16">
        <f t="shared" si="58"/>
        <v>3112.6213592232989</v>
      </c>
      <c r="BC14" s="7">
        <f t="shared" si="30"/>
        <v>167</v>
      </c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9"/>
      <c r="BQ14" s="9"/>
      <c r="BR14" s="9">
        <v>3202033</v>
      </c>
      <c r="BS14" s="9">
        <f>[1]monsters!$N14</f>
        <v>138.88</v>
      </c>
      <c r="BT14" s="9">
        <f>[1]monsters!$O14</f>
        <v>13.89</v>
      </c>
      <c r="BU14" s="9">
        <f>[1]monsters!$P14</f>
        <v>743.23</v>
      </c>
      <c r="BV14" s="9">
        <f>[1]monsters!$Q14</f>
        <v>74.319999999999993</v>
      </c>
      <c r="BW14" s="9">
        <f>[1]monsters!$R14</f>
        <v>13.89</v>
      </c>
      <c r="BX14" s="9">
        <f>[1]monsters!$S14</f>
        <v>1.39</v>
      </c>
      <c r="BY14" s="9">
        <f>[1]monsters!$K14</f>
        <v>1.4000000000000001</v>
      </c>
      <c r="BZ14" s="7">
        <f>[1]monsters!$D14</f>
        <v>6</v>
      </c>
      <c r="CA14" s="7">
        <f t="shared" si="31"/>
        <v>0.1</v>
      </c>
      <c r="CB14" s="7">
        <f t="shared" si="32"/>
        <v>156.26617912457914</v>
      </c>
      <c r="CC14" s="7">
        <f t="shared" si="33"/>
        <v>15.626617912457915</v>
      </c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>
        <v>0</v>
      </c>
      <c r="CR14" s="25" t="b">
        <f t="shared" si="34"/>
        <v>1</v>
      </c>
      <c r="CS14" s="25" t="b">
        <f t="shared" si="35"/>
        <v>1</v>
      </c>
      <c r="CT14" s="25" t="b">
        <f t="shared" si="36"/>
        <v>1</v>
      </c>
      <c r="CU14" s="25" t="b">
        <f t="shared" si="37"/>
        <v>1</v>
      </c>
      <c r="CV14" s="25" t="b">
        <f t="shared" si="38"/>
        <v>1</v>
      </c>
      <c r="CW14" s="25" t="b">
        <f t="shared" si="39"/>
        <v>1</v>
      </c>
      <c r="CX14" s="16" t="str">
        <f t="shared" si="40"/>
        <v>5300055</v>
      </c>
      <c r="CY14" s="16" t="str">
        <f t="shared" si="41"/>
        <v>3201042</v>
      </c>
      <c r="CZ14" s="16" t="str">
        <f t="shared" si="42"/>
        <v>3201042</v>
      </c>
      <c r="DA14" s="16" t="str">
        <f t="shared" si="43"/>
        <v>3502041</v>
      </c>
      <c r="DB14" s="16" t="str">
        <f t="shared" si="44"/>
        <v>3402043</v>
      </c>
      <c r="DC14" s="16" t="str">
        <f t="shared" si="45"/>
        <v>3402043</v>
      </c>
      <c r="DD14" s="16">
        <v>5</v>
      </c>
      <c r="DE14" s="16">
        <v>4</v>
      </c>
      <c r="DF14" s="16">
        <v>4</v>
      </c>
      <c r="DG14" s="16">
        <v>4</v>
      </c>
      <c r="DH14" s="16">
        <v>4</v>
      </c>
      <c r="DI14" s="16">
        <v>4</v>
      </c>
      <c r="DJ14" s="16">
        <v>5</v>
      </c>
      <c r="DK14" s="16">
        <v>3</v>
      </c>
      <c r="DL14" s="16">
        <v>3</v>
      </c>
      <c r="DM14" s="16">
        <v>3</v>
      </c>
      <c r="DN14" s="16">
        <v>3</v>
      </c>
      <c r="DO14" s="16">
        <v>3</v>
      </c>
      <c r="DP14" s="51" t="s">
        <v>224</v>
      </c>
      <c r="DQ14" s="51" t="s">
        <v>120</v>
      </c>
      <c r="DR14" s="51" t="s">
        <v>120</v>
      </c>
      <c r="DS14" s="36" t="s">
        <v>130</v>
      </c>
      <c r="DT14" s="36" t="s">
        <v>124</v>
      </c>
      <c r="DU14" s="36" t="s">
        <v>124</v>
      </c>
      <c r="DV14" s="32">
        <f t="shared" si="5"/>
        <v>1</v>
      </c>
      <c r="DW14" s="32">
        <f t="shared" si="6"/>
        <v>1</v>
      </c>
      <c r="DX14" s="32">
        <f t="shared" si="7"/>
        <v>1</v>
      </c>
      <c r="DY14" s="32">
        <f t="shared" si="8"/>
        <v>2</v>
      </c>
      <c r="DZ14" s="32">
        <f t="shared" si="9"/>
        <v>2</v>
      </c>
      <c r="EA14" s="32">
        <f t="shared" si="10"/>
        <v>2</v>
      </c>
      <c r="EB14" s="31"/>
      <c r="EC14" s="7">
        <v>3600033</v>
      </c>
      <c r="ED14" s="35" t="s">
        <v>143</v>
      </c>
      <c r="EE14" s="16">
        <v>1</v>
      </c>
      <c r="EF14" s="16">
        <v>303220101</v>
      </c>
      <c r="EG14" s="25" t="str">
        <f t="shared" si="11"/>
        <v>对随机2名敌人造成173%攻击伤害，并嘲讽目标，使对方强制攻击自己。</v>
      </c>
      <c r="EQ14" s="16">
        <v>505220101</v>
      </c>
      <c r="ER14" s="16" t="s">
        <v>144</v>
      </c>
      <c r="FD14" s="16">
        <v>5300055</v>
      </c>
      <c r="FE14" s="16">
        <v>3201042</v>
      </c>
      <c r="FF14" s="16">
        <v>3201042</v>
      </c>
      <c r="FG14" s="16">
        <v>3502041</v>
      </c>
      <c r="FH14" s="16">
        <v>3402043</v>
      </c>
      <c r="FI14" s="16">
        <v>3402043</v>
      </c>
      <c r="FJ14" t="str">
        <f t="shared" si="46"/>
        <v>暗武士</v>
      </c>
      <c r="FK14" t="str">
        <f t="shared" si="47"/>
        <v>火骑兵</v>
      </c>
      <c r="FL14" t="str">
        <f t="shared" si="48"/>
        <v>火骑兵</v>
      </c>
      <c r="FM14" t="str">
        <f t="shared" si="49"/>
        <v>水火枪手</v>
      </c>
      <c r="FN14" t="str">
        <f t="shared" si="50"/>
        <v>木女巫</v>
      </c>
      <c r="FO14" t="str">
        <f t="shared" si="51"/>
        <v>木女巫</v>
      </c>
      <c r="FP14" t="str">
        <f t="shared" si="52"/>
        <v>5</v>
      </c>
      <c r="FQ14" t="str">
        <f t="shared" si="53"/>
        <v>4</v>
      </c>
      <c r="FR14" t="str">
        <f t="shared" si="54"/>
        <v>4</v>
      </c>
      <c r="FS14" t="str">
        <f t="shared" si="55"/>
        <v>4</v>
      </c>
      <c r="FT14" t="str">
        <f t="shared" si="56"/>
        <v>4</v>
      </c>
      <c r="FU14" t="str">
        <f t="shared" si="57"/>
        <v>4</v>
      </c>
      <c r="FV14" t="str">
        <f t="shared" si="14"/>
        <v>5</v>
      </c>
      <c r="FW14" t="str">
        <f t="shared" si="15"/>
        <v>3</v>
      </c>
      <c r="FX14" t="str">
        <f t="shared" si="16"/>
        <v>3</v>
      </c>
      <c r="FY14" t="str">
        <f t="shared" si="17"/>
        <v>3</v>
      </c>
      <c r="FZ14" t="str">
        <f t="shared" si="18"/>
        <v>3</v>
      </c>
      <c r="GA14" t="str">
        <f t="shared" si="19"/>
        <v>3</v>
      </c>
    </row>
    <row r="15" spans="1:183" ht="15.95" customHeight="1">
      <c r="A15" s="1">
        <v>202</v>
      </c>
      <c r="B15" s="6">
        <v>10042</v>
      </c>
      <c r="C15" s="23" t="str">
        <f t="shared" si="20"/>
        <v>3201042,3301041,1504043,3402043,3300042,3300042</v>
      </c>
      <c r="D15" s="1" t="str">
        <f t="shared" si="21"/>
        <v>4,4,4,4,4,4</v>
      </c>
      <c r="E15" s="53" t="str">
        <f t="shared" si="22"/>
        <v>210,191,191,191,191,191</v>
      </c>
      <c r="F15" s="1">
        <f t="shared" si="0"/>
        <v>92625</v>
      </c>
      <c r="G15" s="23" t="s">
        <v>34</v>
      </c>
      <c r="H15" s="1" t="s">
        <v>28</v>
      </c>
      <c r="I15" s="1" t="s">
        <v>28</v>
      </c>
      <c r="J15" s="1" t="s">
        <v>28</v>
      </c>
      <c r="K15" s="2" t="s">
        <v>322</v>
      </c>
      <c r="L15" s="1">
        <v>0</v>
      </c>
      <c r="M15" s="1">
        <v>4</v>
      </c>
      <c r="O15" s="25">
        <f t="shared" si="23"/>
        <v>92625</v>
      </c>
      <c r="P15" s="16">
        <v>92624.9</v>
      </c>
      <c r="Q15" s="16">
        <v>3201042</v>
      </c>
      <c r="R15" s="16">
        <v>3301041</v>
      </c>
      <c r="S15" s="16">
        <v>1504043</v>
      </c>
      <c r="T15" s="16">
        <v>3402043</v>
      </c>
      <c r="U15" s="16">
        <v>3300042</v>
      </c>
      <c r="V15" s="16">
        <v>3300042</v>
      </c>
      <c r="W15" s="16">
        <v>4</v>
      </c>
      <c r="X15" s="16">
        <v>4</v>
      </c>
      <c r="Y15" s="16">
        <v>4</v>
      </c>
      <c r="Z15" s="16">
        <v>4</v>
      </c>
      <c r="AA15" s="16">
        <v>4</v>
      </c>
      <c r="AB15" s="16">
        <v>4</v>
      </c>
      <c r="AC15" s="16">
        <f t="shared" si="24"/>
        <v>210</v>
      </c>
      <c r="AD15" s="16">
        <f t="shared" si="1"/>
        <v>191</v>
      </c>
      <c r="AE15" s="16">
        <f t="shared" si="1"/>
        <v>191</v>
      </c>
      <c r="AF15" s="16">
        <f t="shared" si="1"/>
        <v>191</v>
      </c>
      <c r="AG15" s="16">
        <f t="shared" si="1"/>
        <v>191</v>
      </c>
      <c r="AH15" s="16">
        <f t="shared" si="1"/>
        <v>191</v>
      </c>
      <c r="AI15" s="28">
        <f t="shared" si="25"/>
        <v>18524.98</v>
      </c>
      <c r="AJ15" s="28">
        <f t="shared" si="26"/>
        <v>14819.983999999999</v>
      </c>
      <c r="AK15" s="28">
        <f t="shared" si="2"/>
        <v>14819.983999999999</v>
      </c>
      <c r="AL15" s="28">
        <f t="shared" si="2"/>
        <v>14819.983999999999</v>
      </c>
      <c r="AM15" s="28">
        <f t="shared" si="2"/>
        <v>14819.983999999999</v>
      </c>
      <c r="AN15" s="28">
        <f t="shared" si="2"/>
        <v>14819.983999999999</v>
      </c>
      <c r="AO15" s="30"/>
      <c r="AP15" s="28"/>
      <c r="AQ15" s="16">
        <v>3</v>
      </c>
      <c r="AR15" s="16">
        <f t="shared" si="27"/>
        <v>247</v>
      </c>
      <c r="AS15" s="28">
        <f t="shared" si="28"/>
        <v>227</v>
      </c>
      <c r="AT15" s="28"/>
      <c r="AU15" s="30">
        <v>92624.9</v>
      </c>
      <c r="AV15" s="28" t="str">
        <f t="shared" si="29"/>
        <v>小:0</v>
      </c>
      <c r="AW15" s="28"/>
      <c r="AX15" s="28"/>
      <c r="AZ15" s="28"/>
      <c r="BA15" s="16">
        <f t="shared" si="58"/>
        <v>3123.8834951456288</v>
      </c>
      <c r="BC15" s="7">
        <f t="shared" si="30"/>
        <v>194</v>
      </c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9"/>
      <c r="BQ15" s="9"/>
      <c r="BR15" s="9">
        <v>3302033</v>
      </c>
      <c r="BS15" s="9">
        <f>[1]monsters!$N15</f>
        <v>178.56</v>
      </c>
      <c r="BT15" s="9">
        <f>[1]monsters!$O15</f>
        <v>17.86</v>
      </c>
      <c r="BU15" s="9">
        <f>[1]monsters!$P15</f>
        <v>743.23</v>
      </c>
      <c r="BV15" s="9">
        <f>[1]monsters!$Q15</f>
        <v>74.319999999999993</v>
      </c>
      <c r="BW15" s="9">
        <f>[1]monsters!$R15</f>
        <v>17.86</v>
      </c>
      <c r="BX15" s="9">
        <f>[1]monsters!$S15</f>
        <v>1.79</v>
      </c>
      <c r="BY15" s="9">
        <f>[1]monsters!$K15</f>
        <v>1.8</v>
      </c>
      <c r="BZ15" s="7">
        <f>[1]monsters!$D15</f>
        <v>6</v>
      </c>
      <c r="CA15" s="7">
        <f t="shared" si="31"/>
        <v>0.1</v>
      </c>
      <c r="CB15" s="7">
        <f t="shared" si="32"/>
        <v>193.76377912457914</v>
      </c>
      <c r="CC15" s="7">
        <f t="shared" si="33"/>
        <v>19.376377912457915</v>
      </c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>
        <v>0</v>
      </c>
      <c r="CR15" s="25" t="b">
        <f t="shared" si="34"/>
        <v>1</v>
      </c>
      <c r="CS15" s="25" t="b">
        <f t="shared" si="35"/>
        <v>1</v>
      </c>
      <c r="CT15" s="25" t="b">
        <f t="shared" si="36"/>
        <v>1</v>
      </c>
      <c r="CU15" s="25" t="b">
        <f t="shared" si="37"/>
        <v>1</v>
      </c>
      <c r="CV15" s="25" t="b">
        <f t="shared" si="38"/>
        <v>1</v>
      </c>
      <c r="CW15" s="25" t="b">
        <f t="shared" si="39"/>
        <v>1</v>
      </c>
      <c r="CX15" s="16" t="str">
        <f t="shared" si="40"/>
        <v>3201042</v>
      </c>
      <c r="CY15" s="16" t="str">
        <f t="shared" si="41"/>
        <v>3301041</v>
      </c>
      <c r="CZ15" s="16" t="str">
        <f t="shared" si="42"/>
        <v>1504043</v>
      </c>
      <c r="DA15" s="16" t="str">
        <f t="shared" si="43"/>
        <v>3402043</v>
      </c>
      <c r="DB15" s="16" t="str">
        <f t="shared" si="44"/>
        <v>3300042</v>
      </c>
      <c r="DC15" s="16" t="str">
        <f t="shared" si="45"/>
        <v>3300042</v>
      </c>
      <c r="DD15" s="16">
        <v>4</v>
      </c>
      <c r="DE15" s="16">
        <v>4</v>
      </c>
      <c r="DF15" s="16">
        <v>4</v>
      </c>
      <c r="DG15" s="16">
        <v>4</v>
      </c>
      <c r="DH15" s="16">
        <v>4</v>
      </c>
      <c r="DI15" s="16">
        <v>4</v>
      </c>
      <c r="DJ15" s="16">
        <v>3</v>
      </c>
      <c r="DK15" s="16">
        <v>3</v>
      </c>
      <c r="DL15" s="16">
        <v>1</v>
      </c>
      <c r="DM15" s="16">
        <v>3</v>
      </c>
      <c r="DN15" s="16">
        <v>3</v>
      </c>
      <c r="DO15" s="16">
        <v>3</v>
      </c>
      <c r="DP15" s="51" t="s">
        <v>120</v>
      </c>
      <c r="DQ15" s="51" t="s">
        <v>113</v>
      </c>
      <c r="DR15" s="51" t="s">
        <v>267</v>
      </c>
      <c r="DS15" s="51" t="s">
        <v>124</v>
      </c>
      <c r="DT15" s="51" t="s">
        <v>121</v>
      </c>
      <c r="DU15" s="51" t="s">
        <v>121</v>
      </c>
      <c r="DV15" s="32">
        <f t="shared" si="5"/>
        <v>1</v>
      </c>
      <c r="DW15" s="32">
        <f t="shared" si="6"/>
        <v>1</v>
      </c>
      <c r="DX15" s="32">
        <f t="shared" si="7"/>
        <v>1</v>
      </c>
      <c r="DY15" s="32">
        <f t="shared" si="8"/>
        <v>2</v>
      </c>
      <c r="DZ15" s="32">
        <f t="shared" si="9"/>
        <v>2</v>
      </c>
      <c r="EA15" s="32">
        <f t="shared" si="10"/>
        <v>2</v>
      </c>
      <c r="EB15" s="31"/>
      <c r="EC15" s="7">
        <v>3602031</v>
      </c>
      <c r="ED15" s="35" t="s">
        <v>145</v>
      </c>
      <c r="EE15" s="16">
        <v>2</v>
      </c>
      <c r="EF15" s="16">
        <v>303220201</v>
      </c>
      <c r="EG15" s="25" t="str">
        <f t="shared" si="11"/>
        <v>对距离最远的1名敌人造成350%攻击伤害。</v>
      </c>
      <c r="EQ15" s="16">
        <v>505220201</v>
      </c>
      <c r="ER15" s="16" t="s">
        <v>146</v>
      </c>
      <c r="FD15" s="16">
        <v>3201042</v>
      </c>
      <c r="FE15" s="16">
        <v>3301041</v>
      </c>
      <c r="FF15" s="16">
        <v>1504043</v>
      </c>
      <c r="FG15" s="16">
        <v>3402043</v>
      </c>
      <c r="FH15" s="16">
        <v>3300042</v>
      </c>
      <c r="FI15" s="16">
        <v>3300042</v>
      </c>
      <c r="FJ15" t="str">
        <f t="shared" si="46"/>
        <v>火骑兵</v>
      </c>
      <c r="FK15" t="str">
        <f t="shared" si="47"/>
        <v>水剑士</v>
      </c>
      <c r="FL15" t="str">
        <f t="shared" si="48"/>
        <v>木熊</v>
      </c>
      <c r="FM15" t="str">
        <f t="shared" si="49"/>
        <v>木女巫</v>
      </c>
      <c r="FN15" t="str">
        <f t="shared" si="50"/>
        <v>火忍者</v>
      </c>
      <c r="FO15" t="str">
        <f t="shared" si="51"/>
        <v>火忍者</v>
      </c>
      <c r="FP15" t="str">
        <f t="shared" si="52"/>
        <v>4</v>
      </c>
      <c r="FQ15" t="str">
        <f t="shared" si="53"/>
        <v>4</v>
      </c>
      <c r="FR15" t="str">
        <f t="shared" si="54"/>
        <v>4</v>
      </c>
      <c r="FS15" t="str">
        <f t="shared" si="55"/>
        <v>4</v>
      </c>
      <c r="FT15" t="str">
        <f t="shared" si="56"/>
        <v>4</v>
      </c>
      <c r="FU15" t="str">
        <f t="shared" si="57"/>
        <v>4</v>
      </c>
      <c r="FV15" t="str">
        <f t="shared" si="14"/>
        <v>3</v>
      </c>
      <c r="FW15" t="str">
        <f t="shared" si="15"/>
        <v>3</v>
      </c>
      <c r="FX15" t="str">
        <f t="shared" si="16"/>
        <v>1</v>
      </c>
      <c r="FY15" t="str">
        <f t="shared" si="17"/>
        <v>3</v>
      </c>
      <c r="FZ15" t="str">
        <f t="shared" si="18"/>
        <v>3</v>
      </c>
      <c r="GA15" t="str">
        <f t="shared" si="19"/>
        <v>3</v>
      </c>
    </row>
    <row r="16" spans="1:183" ht="15.95" customHeight="1">
      <c r="A16" s="1">
        <v>203</v>
      </c>
      <c r="B16" s="6">
        <v>10042</v>
      </c>
      <c r="C16" s="23" t="str">
        <f t="shared" si="20"/>
        <v>5202055,3201042,3201042,3401041,3401041,3401041</v>
      </c>
      <c r="D16" s="1" t="str">
        <f t="shared" si="21"/>
        <v>5,4,4,4,4,4</v>
      </c>
      <c r="E16" s="53" t="str">
        <f t="shared" si="22"/>
        <v>185,194,194,194,194,194</v>
      </c>
      <c r="F16" s="1">
        <f t="shared" si="0"/>
        <v>95038</v>
      </c>
      <c r="G16" s="23" t="s">
        <v>34</v>
      </c>
      <c r="H16" s="1" t="s">
        <v>28</v>
      </c>
      <c r="I16" s="1" t="s">
        <v>28</v>
      </c>
      <c r="J16" s="1" t="s">
        <v>28</v>
      </c>
      <c r="K16" s="2" t="s">
        <v>323</v>
      </c>
      <c r="L16" s="1">
        <v>0</v>
      </c>
      <c r="M16" s="1">
        <v>5</v>
      </c>
      <c r="O16" s="25">
        <f t="shared" si="23"/>
        <v>95038</v>
      </c>
      <c r="P16" s="16">
        <v>95038.25</v>
      </c>
      <c r="Q16" s="16">
        <v>5202055</v>
      </c>
      <c r="R16" s="16">
        <v>3201042</v>
      </c>
      <c r="S16" s="16">
        <v>3201042</v>
      </c>
      <c r="T16" s="16">
        <v>3401041</v>
      </c>
      <c r="U16" s="16">
        <v>3401041</v>
      </c>
      <c r="V16" s="16">
        <v>3401041</v>
      </c>
      <c r="W16" s="16">
        <v>5</v>
      </c>
      <c r="X16" s="16">
        <v>4</v>
      </c>
      <c r="Y16" s="16">
        <v>4</v>
      </c>
      <c r="Z16" s="16">
        <v>4</v>
      </c>
      <c r="AA16" s="16">
        <v>4</v>
      </c>
      <c r="AB16" s="16">
        <v>4</v>
      </c>
      <c r="AC16" s="16">
        <f t="shared" si="24"/>
        <v>185</v>
      </c>
      <c r="AD16" s="16">
        <f t="shared" si="1"/>
        <v>194</v>
      </c>
      <c r="AE16" s="16">
        <f t="shared" si="1"/>
        <v>194</v>
      </c>
      <c r="AF16" s="16">
        <f t="shared" si="1"/>
        <v>194</v>
      </c>
      <c r="AG16" s="16">
        <f t="shared" si="1"/>
        <v>194</v>
      </c>
      <c r="AH16" s="16">
        <f t="shared" si="1"/>
        <v>194</v>
      </c>
      <c r="AI16" s="28">
        <f t="shared" si="25"/>
        <v>19007.650000000001</v>
      </c>
      <c r="AJ16" s="28">
        <f t="shared" si="26"/>
        <v>15206.12</v>
      </c>
      <c r="AK16" s="28">
        <f t="shared" si="2"/>
        <v>15206.12</v>
      </c>
      <c r="AL16" s="28">
        <f t="shared" si="2"/>
        <v>15206.12</v>
      </c>
      <c r="AM16" s="28">
        <f t="shared" si="2"/>
        <v>15206.12</v>
      </c>
      <c r="AN16" s="28">
        <f t="shared" si="2"/>
        <v>15206.12</v>
      </c>
      <c r="AO16" s="30"/>
      <c r="AP16" s="28"/>
      <c r="AQ16" s="16">
        <v>3</v>
      </c>
      <c r="AR16" s="16">
        <f t="shared" si="27"/>
        <v>251</v>
      </c>
      <c r="AS16" s="28">
        <f t="shared" si="28"/>
        <v>228</v>
      </c>
      <c r="AT16" s="28"/>
      <c r="AU16" s="30">
        <v>95038.25</v>
      </c>
      <c r="AV16" s="28" t="str">
        <f t="shared" si="29"/>
        <v>小:0</v>
      </c>
      <c r="AW16" s="28"/>
      <c r="AX16" s="28"/>
      <c r="AZ16" s="28"/>
      <c r="BA16" s="16">
        <f t="shared" si="58"/>
        <v>3135.1456310679587</v>
      </c>
      <c r="BC16" s="7">
        <f t="shared" si="30"/>
        <v>171</v>
      </c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9"/>
      <c r="BQ16" s="9"/>
      <c r="BR16" s="9">
        <v>3400033</v>
      </c>
      <c r="BS16" s="9">
        <f>[1]monsters!$N16</f>
        <v>74.88</v>
      </c>
      <c r="BT16" s="9">
        <f>[1]monsters!$O16</f>
        <v>7.49</v>
      </c>
      <c r="BU16" s="9">
        <f>[1]monsters!$P16</f>
        <v>1280</v>
      </c>
      <c r="BV16" s="9">
        <f>[1]monsters!$Q16</f>
        <v>128</v>
      </c>
      <c r="BW16" s="9">
        <f>[1]monsters!$R16</f>
        <v>14.98</v>
      </c>
      <c r="BX16" s="9">
        <f>[1]monsters!$S16</f>
        <v>1.5</v>
      </c>
      <c r="BY16" s="9">
        <f>[1]monsters!$K16</f>
        <v>1.3</v>
      </c>
      <c r="BZ16" s="7">
        <f>[1]monsters!$D16</f>
        <v>3</v>
      </c>
      <c r="CA16" s="7">
        <f t="shared" si="31"/>
        <v>0.1</v>
      </c>
      <c r="CB16" s="7">
        <f t="shared" si="32"/>
        <v>113.8592430976431</v>
      </c>
      <c r="CC16" s="7">
        <f t="shared" si="33"/>
        <v>11.385924309764311</v>
      </c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>
        <v>0</v>
      </c>
      <c r="CR16" s="25" t="b">
        <f t="shared" si="34"/>
        <v>1</v>
      </c>
      <c r="CS16" s="25" t="b">
        <f t="shared" si="35"/>
        <v>1</v>
      </c>
      <c r="CT16" s="25" t="b">
        <f t="shared" si="36"/>
        <v>1</v>
      </c>
      <c r="CU16" s="25" t="b">
        <f t="shared" si="37"/>
        <v>1</v>
      </c>
      <c r="CV16" s="25" t="b">
        <f t="shared" si="38"/>
        <v>1</v>
      </c>
      <c r="CW16" s="25" t="b">
        <f t="shared" si="39"/>
        <v>1</v>
      </c>
      <c r="CX16" s="16" t="str">
        <f t="shared" si="40"/>
        <v>5202055</v>
      </c>
      <c r="CY16" s="16" t="str">
        <f t="shared" si="41"/>
        <v>3201042</v>
      </c>
      <c r="CZ16" s="16" t="str">
        <f t="shared" si="42"/>
        <v>3201042</v>
      </c>
      <c r="DA16" s="16" t="str">
        <f t="shared" si="43"/>
        <v>3401041</v>
      </c>
      <c r="DB16" s="16" t="str">
        <f t="shared" si="44"/>
        <v>3401041</v>
      </c>
      <c r="DC16" s="16" t="str">
        <f t="shared" si="45"/>
        <v>3401041</v>
      </c>
      <c r="DD16" s="16">
        <v>5</v>
      </c>
      <c r="DE16" s="16">
        <v>4</v>
      </c>
      <c r="DF16" s="16">
        <v>4</v>
      </c>
      <c r="DG16" s="16">
        <v>4</v>
      </c>
      <c r="DH16" s="16">
        <v>4</v>
      </c>
      <c r="DI16" s="16">
        <v>4</v>
      </c>
      <c r="DJ16" s="16">
        <v>5</v>
      </c>
      <c r="DK16" s="16">
        <v>3</v>
      </c>
      <c r="DL16" s="16">
        <v>3</v>
      </c>
      <c r="DM16" s="16">
        <v>3</v>
      </c>
      <c r="DN16" s="16">
        <v>3</v>
      </c>
      <c r="DO16" s="16">
        <v>3</v>
      </c>
      <c r="DP16" s="36" t="s">
        <v>225</v>
      </c>
      <c r="DQ16" s="36" t="s">
        <v>120</v>
      </c>
      <c r="DR16" s="36" t="s">
        <v>120</v>
      </c>
      <c r="DS16" s="36" t="s">
        <v>123</v>
      </c>
      <c r="DT16" s="36" t="s">
        <v>123</v>
      </c>
      <c r="DU16" s="36" t="s">
        <v>123</v>
      </c>
      <c r="DV16" s="32">
        <f t="shared" si="5"/>
        <v>1</v>
      </c>
      <c r="DW16" s="32">
        <f t="shared" si="6"/>
        <v>1</v>
      </c>
      <c r="DX16" s="32">
        <f t="shared" si="7"/>
        <v>1</v>
      </c>
      <c r="DY16" s="32">
        <f t="shared" si="8"/>
        <v>2</v>
      </c>
      <c r="DZ16" s="32">
        <f t="shared" si="9"/>
        <v>2</v>
      </c>
      <c r="EA16" s="32">
        <f t="shared" si="10"/>
        <v>2</v>
      </c>
      <c r="EB16" s="15"/>
      <c r="EC16" s="7">
        <v>3300032</v>
      </c>
      <c r="ED16" s="35" t="s">
        <v>147</v>
      </c>
      <c r="EE16" s="16">
        <v>2</v>
      </c>
      <c r="EF16" s="16">
        <v>303230101</v>
      </c>
      <c r="EG16" s="25" t="str">
        <f t="shared" si="11"/>
        <v>对随机3名敌人造成151%攻击伤害。</v>
      </c>
      <c r="EQ16" s="16">
        <v>505230101</v>
      </c>
      <c r="ER16" s="16" t="s">
        <v>148</v>
      </c>
      <c r="FD16" s="16">
        <v>5202055</v>
      </c>
      <c r="FE16" s="16">
        <v>3201042</v>
      </c>
      <c r="FF16" s="16">
        <v>3201042</v>
      </c>
      <c r="FG16" s="16">
        <v>3401041</v>
      </c>
      <c r="FH16" s="16">
        <v>3401041</v>
      </c>
      <c r="FI16" s="16">
        <v>3401041</v>
      </c>
      <c r="FJ16" t="str">
        <f t="shared" si="46"/>
        <v>暗维京</v>
      </c>
      <c r="FK16" t="str">
        <f t="shared" si="47"/>
        <v>火骑兵</v>
      </c>
      <c r="FL16" t="str">
        <f t="shared" si="48"/>
        <v>火骑兵</v>
      </c>
      <c r="FM16" t="str">
        <f t="shared" si="49"/>
        <v>水魔法师</v>
      </c>
      <c r="FN16" t="str">
        <f t="shared" si="50"/>
        <v>水魔法师</v>
      </c>
      <c r="FO16" t="str">
        <f t="shared" si="51"/>
        <v>水魔法师</v>
      </c>
      <c r="FP16" t="str">
        <f t="shared" si="52"/>
        <v>5</v>
      </c>
      <c r="FQ16" t="str">
        <f t="shared" si="53"/>
        <v>4</v>
      </c>
      <c r="FR16" t="str">
        <f t="shared" si="54"/>
        <v>4</v>
      </c>
      <c r="FS16" t="str">
        <f t="shared" si="55"/>
        <v>4</v>
      </c>
      <c r="FT16" t="str">
        <f t="shared" si="56"/>
        <v>4</v>
      </c>
      <c r="FU16" t="str">
        <f t="shared" si="57"/>
        <v>4</v>
      </c>
      <c r="FV16" t="str">
        <f t="shared" si="14"/>
        <v>5</v>
      </c>
      <c r="FW16" t="str">
        <f t="shared" si="15"/>
        <v>3</v>
      </c>
      <c r="FX16" t="str">
        <f t="shared" si="16"/>
        <v>3</v>
      </c>
      <c r="FY16" t="str">
        <f t="shared" si="17"/>
        <v>3</v>
      </c>
      <c r="FZ16" t="str">
        <f t="shared" si="18"/>
        <v>3</v>
      </c>
      <c r="GA16" t="str">
        <f t="shared" si="19"/>
        <v>3</v>
      </c>
    </row>
    <row r="17" spans="1:183" ht="15.95" customHeight="1">
      <c r="A17" s="1">
        <v>204</v>
      </c>
      <c r="B17" s="6">
        <v>10042</v>
      </c>
      <c r="C17" s="23" t="str">
        <f t="shared" si="20"/>
        <v>3401041,1504043,1304043,3302043,3400042,3400042</v>
      </c>
      <c r="D17" s="1" t="str">
        <f t="shared" si="21"/>
        <v>4,4,4,4,4,4</v>
      </c>
      <c r="E17" s="53" t="str">
        <f t="shared" si="22"/>
        <v>216,196,196,196,196,196</v>
      </c>
      <c r="F17" s="1">
        <f t="shared" si="0"/>
        <v>96891</v>
      </c>
      <c r="G17" s="23" t="s">
        <v>34</v>
      </c>
      <c r="H17" s="1" t="s">
        <v>28</v>
      </c>
      <c r="I17" s="1" t="s">
        <v>28</v>
      </c>
      <c r="J17" s="1" t="s">
        <v>28</v>
      </c>
      <c r="K17" s="2" t="s">
        <v>323</v>
      </c>
      <c r="L17" s="1">
        <v>0</v>
      </c>
      <c r="M17" s="1">
        <v>5</v>
      </c>
      <c r="O17" s="25">
        <f t="shared" si="23"/>
        <v>96891</v>
      </c>
      <c r="P17" s="16">
        <v>96890.5</v>
      </c>
      <c r="Q17" s="16">
        <v>3401041</v>
      </c>
      <c r="R17" s="16">
        <v>1504043</v>
      </c>
      <c r="S17" s="16">
        <v>1304043</v>
      </c>
      <c r="T17" s="16">
        <v>3302043</v>
      </c>
      <c r="U17" s="16">
        <v>3400042</v>
      </c>
      <c r="V17" s="16">
        <v>3400042</v>
      </c>
      <c r="W17" s="16">
        <v>4</v>
      </c>
      <c r="X17" s="16">
        <v>4</v>
      </c>
      <c r="Y17" s="16">
        <v>4</v>
      </c>
      <c r="Z17" s="16">
        <v>4</v>
      </c>
      <c r="AA17" s="16">
        <v>4</v>
      </c>
      <c r="AB17" s="16">
        <v>4</v>
      </c>
      <c r="AC17" s="16">
        <f t="shared" si="24"/>
        <v>216</v>
      </c>
      <c r="AD17" s="16">
        <f t="shared" si="1"/>
        <v>196</v>
      </c>
      <c r="AE17" s="16">
        <f t="shared" si="1"/>
        <v>196</v>
      </c>
      <c r="AF17" s="16">
        <f t="shared" si="1"/>
        <v>196</v>
      </c>
      <c r="AG17" s="16">
        <f t="shared" si="1"/>
        <v>196</v>
      </c>
      <c r="AH17" s="16">
        <f t="shared" si="1"/>
        <v>196</v>
      </c>
      <c r="AI17" s="28">
        <f t="shared" si="25"/>
        <v>19378.100000000002</v>
      </c>
      <c r="AJ17" s="28">
        <f t="shared" si="26"/>
        <v>15502.48</v>
      </c>
      <c r="AK17" s="28">
        <f t="shared" si="2"/>
        <v>15502.48</v>
      </c>
      <c r="AL17" s="28">
        <f t="shared" si="2"/>
        <v>15502.48</v>
      </c>
      <c r="AM17" s="28">
        <f t="shared" si="2"/>
        <v>15502.48</v>
      </c>
      <c r="AN17" s="28">
        <f t="shared" si="2"/>
        <v>15502.48</v>
      </c>
      <c r="AO17" s="30"/>
      <c r="AP17" s="28"/>
      <c r="AQ17" s="16">
        <v>3</v>
      </c>
      <c r="AR17" s="16">
        <f t="shared" si="27"/>
        <v>253</v>
      </c>
      <c r="AS17" s="28">
        <f t="shared" si="28"/>
        <v>229</v>
      </c>
      <c r="AT17" s="28"/>
      <c r="AU17" s="30">
        <v>96890.5</v>
      </c>
      <c r="AV17" s="28" t="str">
        <f t="shared" si="29"/>
        <v>小:0</v>
      </c>
      <c r="AW17" s="28"/>
      <c r="AX17" s="28"/>
      <c r="AZ17" s="28"/>
      <c r="BA17" s="16">
        <f t="shared" si="58"/>
        <v>3146.4077669902886</v>
      </c>
      <c r="BC17" s="7">
        <f t="shared" si="30"/>
        <v>199</v>
      </c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9"/>
      <c r="BQ17" s="9"/>
      <c r="BR17" s="9">
        <v>3501033</v>
      </c>
      <c r="BS17" s="9">
        <f>[1]monsters!$N17</f>
        <v>80.64</v>
      </c>
      <c r="BT17" s="9">
        <f>[1]monsters!$O17</f>
        <v>8.06</v>
      </c>
      <c r="BU17" s="9">
        <f>[1]monsters!$P17</f>
        <v>1280</v>
      </c>
      <c r="BV17" s="9">
        <f>[1]monsters!$Q17</f>
        <v>128</v>
      </c>
      <c r="BW17" s="9">
        <f>[1]monsters!$R17</f>
        <v>16.13</v>
      </c>
      <c r="BX17" s="9">
        <f>[1]monsters!$S17</f>
        <v>1.61</v>
      </c>
      <c r="BY17" s="9">
        <f>[1]monsters!$K17</f>
        <v>1.4000000000000001</v>
      </c>
      <c r="BZ17" s="7">
        <f>[1]monsters!$D17</f>
        <v>3</v>
      </c>
      <c r="CA17" s="7">
        <f t="shared" si="31"/>
        <v>0.1</v>
      </c>
      <c r="CB17" s="7">
        <f t="shared" si="32"/>
        <v>119.30244309764311</v>
      </c>
      <c r="CC17" s="7">
        <f t="shared" si="33"/>
        <v>11.930244309764312</v>
      </c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>
        <v>0</v>
      </c>
      <c r="CR17" s="25" t="b">
        <f t="shared" si="34"/>
        <v>1</v>
      </c>
      <c r="CS17" s="25" t="b">
        <f t="shared" si="35"/>
        <v>1</v>
      </c>
      <c r="CT17" s="25" t="b">
        <f t="shared" si="36"/>
        <v>1</v>
      </c>
      <c r="CU17" s="25" t="b">
        <f t="shared" si="37"/>
        <v>1</v>
      </c>
      <c r="CV17" s="25" t="b">
        <f t="shared" si="38"/>
        <v>1</v>
      </c>
      <c r="CW17" s="25" t="b">
        <f t="shared" si="39"/>
        <v>1</v>
      </c>
      <c r="CX17" s="16" t="str">
        <f t="shared" si="40"/>
        <v>3401041</v>
      </c>
      <c r="CY17" s="16" t="str">
        <f t="shared" si="41"/>
        <v>1504043</v>
      </c>
      <c r="CZ17" s="16" t="str">
        <f t="shared" si="42"/>
        <v>1304043</v>
      </c>
      <c r="DA17" s="16" t="str">
        <f t="shared" si="43"/>
        <v>3302043</v>
      </c>
      <c r="DB17" s="16" t="str">
        <f t="shared" si="44"/>
        <v>3400042</v>
      </c>
      <c r="DC17" s="16" t="str">
        <f t="shared" si="45"/>
        <v>3400042</v>
      </c>
      <c r="DD17" s="16">
        <v>4</v>
      </c>
      <c r="DE17" s="16">
        <v>4</v>
      </c>
      <c r="DF17" s="16">
        <v>4</v>
      </c>
      <c r="DG17" s="16">
        <v>4</v>
      </c>
      <c r="DH17" s="16">
        <v>4</v>
      </c>
      <c r="DI17" s="16">
        <v>4</v>
      </c>
      <c r="DJ17" s="16">
        <v>3</v>
      </c>
      <c r="DK17" s="16">
        <v>1</v>
      </c>
      <c r="DL17" s="16">
        <v>1</v>
      </c>
      <c r="DM17" s="16">
        <v>3</v>
      </c>
      <c r="DN17" s="16">
        <v>3</v>
      </c>
      <c r="DO17" s="16">
        <v>3</v>
      </c>
      <c r="DP17" s="51" t="s">
        <v>123</v>
      </c>
      <c r="DQ17" s="13" t="s">
        <v>267</v>
      </c>
      <c r="DR17" s="51" t="s">
        <v>273</v>
      </c>
      <c r="DS17" s="51" t="s">
        <v>114</v>
      </c>
      <c r="DT17" s="51" t="s">
        <v>116</v>
      </c>
      <c r="DU17" s="51" t="s">
        <v>116</v>
      </c>
      <c r="DV17" s="32">
        <f t="shared" si="5"/>
        <v>2</v>
      </c>
      <c r="DW17" s="32">
        <f t="shared" si="6"/>
        <v>1</v>
      </c>
      <c r="DX17" s="32">
        <f t="shared" si="7"/>
        <v>1</v>
      </c>
      <c r="DY17" s="32">
        <f t="shared" si="8"/>
        <v>1</v>
      </c>
      <c r="DZ17" s="32">
        <f t="shared" si="9"/>
        <v>2</v>
      </c>
      <c r="EA17" s="32">
        <f t="shared" si="10"/>
        <v>2</v>
      </c>
      <c r="EB17" s="15"/>
      <c r="EC17" s="7">
        <v>3302033</v>
      </c>
      <c r="ED17" s="35" t="s">
        <v>149</v>
      </c>
      <c r="EE17" s="16">
        <v>1</v>
      </c>
      <c r="EF17" s="16">
        <v>303240101</v>
      </c>
      <c r="EG17" s="25" t="str">
        <f t="shared" si="11"/>
        <v>对随机3名敌人造成141%攻击伤害。</v>
      </c>
      <c r="EQ17" s="16">
        <v>505240101</v>
      </c>
      <c r="ER17" s="16" t="s">
        <v>150</v>
      </c>
      <c r="FD17" s="16">
        <v>3401041</v>
      </c>
      <c r="FE17" s="16">
        <v>1504043</v>
      </c>
      <c r="FF17" s="16">
        <v>1304043</v>
      </c>
      <c r="FG17" s="16">
        <v>3302043</v>
      </c>
      <c r="FH17" s="16">
        <v>3400042</v>
      </c>
      <c r="FI17" s="16">
        <v>3400042</v>
      </c>
      <c r="FJ17" t="str">
        <f t="shared" si="46"/>
        <v>水魔法师</v>
      </c>
      <c r="FK17" t="str">
        <f t="shared" si="47"/>
        <v>木熊</v>
      </c>
      <c r="FL17" t="str">
        <f t="shared" si="48"/>
        <v>木狼人</v>
      </c>
      <c r="FM17" t="str">
        <f t="shared" si="49"/>
        <v>木盗贼</v>
      </c>
      <c r="FN17" t="str">
        <f t="shared" si="50"/>
        <v>火巫师</v>
      </c>
      <c r="FO17" t="str">
        <f t="shared" si="51"/>
        <v>火巫师</v>
      </c>
      <c r="FP17" t="str">
        <f t="shared" si="52"/>
        <v>4</v>
      </c>
      <c r="FQ17" t="str">
        <f t="shared" si="53"/>
        <v>4</v>
      </c>
      <c r="FR17" t="str">
        <f t="shared" si="54"/>
        <v>4</v>
      </c>
      <c r="FS17" t="str">
        <f t="shared" si="55"/>
        <v>4</v>
      </c>
      <c r="FT17" t="str">
        <f t="shared" si="56"/>
        <v>4</v>
      </c>
      <c r="FU17" t="str">
        <f t="shared" si="57"/>
        <v>4</v>
      </c>
      <c r="FV17" t="str">
        <f t="shared" si="14"/>
        <v>3</v>
      </c>
      <c r="FW17" t="str">
        <f t="shared" si="15"/>
        <v>1</v>
      </c>
      <c r="FX17" t="str">
        <f t="shared" si="16"/>
        <v>1</v>
      </c>
      <c r="FY17" t="str">
        <f t="shared" si="17"/>
        <v>3</v>
      </c>
      <c r="FZ17" t="str">
        <f t="shared" si="18"/>
        <v>3</v>
      </c>
      <c r="GA17" t="str">
        <f t="shared" si="19"/>
        <v>3</v>
      </c>
    </row>
    <row r="18" spans="1:183" ht="15.95" customHeight="1">
      <c r="A18" s="1">
        <v>205</v>
      </c>
      <c r="B18" s="6">
        <v>10042</v>
      </c>
      <c r="C18" s="23" t="str">
        <f t="shared" si="20"/>
        <v>5202055,3202041,3202041,3402043,3601042,3402043</v>
      </c>
      <c r="D18" s="1" t="str">
        <f t="shared" si="21"/>
        <v>5,4,4,4,4,4</v>
      </c>
      <c r="E18" s="53" t="str">
        <f t="shared" si="22"/>
        <v>190,199,199,199,199,199</v>
      </c>
      <c r="F18" s="1">
        <f t="shared" si="0"/>
        <v>99360</v>
      </c>
      <c r="G18" s="23" t="s">
        <v>34</v>
      </c>
      <c r="H18" s="1" t="s">
        <v>28</v>
      </c>
      <c r="I18" s="1" t="s">
        <v>28</v>
      </c>
      <c r="J18" s="1" t="s">
        <v>28</v>
      </c>
      <c r="K18" s="2" t="s">
        <v>324</v>
      </c>
      <c r="L18" s="1">
        <v>0</v>
      </c>
      <c r="M18" s="1">
        <v>2</v>
      </c>
      <c r="O18" s="25">
        <f t="shared" si="23"/>
        <v>99360</v>
      </c>
      <c r="P18" s="16">
        <v>99359.65</v>
      </c>
      <c r="Q18" s="16">
        <v>5202055</v>
      </c>
      <c r="R18" s="16">
        <v>3202041</v>
      </c>
      <c r="S18" s="16">
        <v>3202041</v>
      </c>
      <c r="T18" s="16">
        <v>3402043</v>
      </c>
      <c r="U18" s="16">
        <v>3601042</v>
      </c>
      <c r="V18" s="16">
        <v>3402043</v>
      </c>
      <c r="W18" s="16">
        <v>5</v>
      </c>
      <c r="X18" s="16">
        <v>4</v>
      </c>
      <c r="Y18" s="16">
        <v>4</v>
      </c>
      <c r="Z18" s="16">
        <v>4</v>
      </c>
      <c r="AA18" s="16">
        <v>4</v>
      </c>
      <c r="AB18" s="16">
        <v>4</v>
      </c>
      <c r="AC18" s="16">
        <f t="shared" si="24"/>
        <v>190</v>
      </c>
      <c r="AD18" s="16">
        <f t="shared" si="1"/>
        <v>199</v>
      </c>
      <c r="AE18" s="16">
        <f t="shared" si="1"/>
        <v>199</v>
      </c>
      <c r="AF18" s="16">
        <f t="shared" si="1"/>
        <v>199</v>
      </c>
      <c r="AG18" s="16">
        <f t="shared" si="1"/>
        <v>199</v>
      </c>
      <c r="AH18" s="16">
        <f t="shared" si="1"/>
        <v>199</v>
      </c>
      <c r="AI18" s="28">
        <f t="shared" si="25"/>
        <v>19871.93</v>
      </c>
      <c r="AJ18" s="28">
        <f t="shared" si="26"/>
        <v>15897.544</v>
      </c>
      <c r="AK18" s="28">
        <f t="shared" si="2"/>
        <v>15897.544</v>
      </c>
      <c r="AL18" s="28">
        <f t="shared" si="2"/>
        <v>15897.544</v>
      </c>
      <c r="AM18" s="28">
        <f t="shared" si="2"/>
        <v>15897.544</v>
      </c>
      <c r="AN18" s="28">
        <f t="shared" si="2"/>
        <v>15897.544</v>
      </c>
      <c r="AO18" s="30"/>
      <c r="AP18" s="28"/>
      <c r="AQ18" s="16">
        <v>3</v>
      </c>
      <c r="AR18" s="16">
        <f t="shared" si="27"/>
        <v>257</v>
      </c>
      <c r="AS18" s="28">
        <f t="shared" si="28"/>
        <v>230</v>
      </c>
      <c r="AT18" s="28"/>
      <c r="AU18" s="30">
        <v>99359.65</v>
      </c>
      <c r="AV18" s="28" t="str">
        <f t="shared" si="29"/>
        <v>小:0</v>
      </c>
      <c r="AW18" s="28"/>
      <c r="AX18" s="28"/>
      <c r="AZ18" s="28"/>
      <c r="BA18" s="16">
        <f t="shared" si="58"/>
        <v>3157.6699029126185</v>
      </c>
      <c r="BC18" s="7">
        <f t="shared" si="30"/>
        <v>175</v>
      </c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9"/>
      <c r="BQ18" s="9"/>
      <c r="BR18" s="9">
        <v>3600033</v>
      </c>
      <c r="BS18" s="9">
        <f>[1]monsters!$N18</f>
        <v>107.52</v>
      </c>
      <c r="BT18" s="9">
        <f>[1]monsters!$O18</f>
        <v>10.75</v>
      </c>
      <c r="BU18" s="9">
        <f>[1]monsters!$P18</f>
        <v>960</v>
      </c>
      <c r="BV18" s="9">
        <f>[1]monsters!$Q18</f>
        <v>96</v>
      </c>
      <c r="BW18" s="9">
        <f>[1]monsters!$R18</f>
        <v>15.36</v>
      </c>
      <c r="BX18" s="9">
        <f>[1]monsters!$S18</f>
        <v>1.54</v>
      </c>
      <c r="BY18" s="9">
        <f>[1]monsters!$K18</f>
        <v>1.4000000000000001</v>
      </c>
      <c r="BZ18" s="7">
        <f>[1]monsters!$D18</f>
        <v>4</v>
      </c>
      <c r="CA18" s="7">
        <f t="shared" si="31"/>
        <v>0.1</v>
      </c>
      <c r="CB18" s="7">
        <f t="shared" si="32"/>
        <v>133.92963232323234</v>
      </c>
      <c r="CC18" s="7">
        <f t="shared" si="33"/>
        <v>13.392963232323234</v>
      </c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>
        <v>1</v>
      </c>
      <c r="CR18" s="25" t="b">
        <f t="shared" si="34"/>
        <v>1</v>
      </c>
      <c r="CS18" s="25" t="b">
        <f t="shared" si="35"/>
        <v>1</v>
      </c>
      <c r="CT18" s="25" t="b">
        <f t="shared" si="36"/>
        <v>1</v>
      </c>
      <c r="CU18" s="25" t="b">
        <f t="shared" si="37"/>
        <v>1</v>
      </c>
      <c r="CV18" s="25" t="b">
        <f t="shared" si="38"/>
        <v>1</v>
      </c>
      <c r="CW18" s="25" t="b">
        <f t="shared" si="39"/>
        <v>1</v>
      </c>
      <c r="CX18" s="16" t="str">
        <f t="shared" si="40"/>
        <v>5202055</v>
      </c>
      <c r="CY18" s="16" t="str">
        <f t="shared" si="41"/>
        <v>3202041</v>
      </c>
      <c r="CZ18" s="16" t="str">
        <f t="shared" si="42"/>
        <v>3202041</v>
      </c>
      <c r="DA18" s="16" t="str">
        <f t="shared" si="43"/>
        <v>3402043</v>
      </c>
      <c r="DB18" s="16" t="str">
        <f t="shared" si="44"/>
        <v>3601042</v>
      </c>
      <c r="DC18" s="16" t="str">
        <f t="shared" si="45"/>
        <v>3402043</v>
      </c>
      <c r="DD18" s="16">
        <v>5</v>
      </c>
      <c r="DE18" s="16">
        <v>4</v>
      </c>
      <c r="DF18" s="16">
        <v>4</v>
      </c>
      <c r="DG18" s="16">
        <v>4</v>
      </c>
      <c r="DH18" s="16">
        <v>4</v>
      </c>
      <c r="DI18" s="16">
        <v>4</v>
      </c>
      <c r="DJ18" s="16">
        <v>5</v>
      </c>
      <c r="DK18" s="16">
        <v>3</v>
      </c>
      <c r="DL18" s="16">
        <v>3</v>
      </c>
      <c r="DM18" s="16">
        <v>3</v>
      </c>
      <c r="DN18" s="16">
        <v>3</v>
      </c>
      <c r="DO18" s="16">
        <v>3</v>
      </c>
      <c r="DP18" s="13" t="s">
        <v>225</v>
      </c>
      <c r="DQ18" s="51" t="s">
        <v>117</v>
      </c>
      <c r="DR18" s="51" t="s">
        <v>117</v>
      </c>
      <c r="DS18" s="51" t="s">
        <v>124</v>
      </c>
      <c r="DT18" s="51" t="s">
        <v>216</v>
      </c>
      <c r="DU18" s="51" t="s">
        <v>124</v>
      </c>
      <c r="DV18" s="32">
        <f t="shared" si="5"/>
        <v>1</v>
      </c>
      <c r="DW18" s="32">
        <f t="shared" si="6"/>
        <v>1</v>
      </c>
      <c r="DX18" s="32">
        <f t="shared" si="7"/>
        <v>1</v>
      </c>
      <c r="DY18" s="32">
        <f t="shared" si="8"/>
        <v>2</v>
      </c>
      <c r="DZ18" s="32">
        <f t="shared" si="9"/>
        <v>2</v>
      </c>
      <c r="EA18" s="32">
        <f t="shared" si="10"/>
        <v>2</v>
      </c>
      <c r="EB18" s="15"/>
      <c r="EC18" s="7">
        <v>3400032</v>
      </c>
      <c r="ED18" s="35" t="s">
        <v>151</v>
      </c>
      <c r="EE18" s="16">
        <v>2</v>
      </c>
      <c r="EF18" s="16">
        <v>303240201</v>
      </c>
      <c r="EG18" s="25" t="str">
        <f t="shared" si="11"/>
        <v>对随机2名敌人造成181%攻击伤害。</v>
      </c>
      <c r="EQ18" s="16">
        <v>505240201</v>
      </c>
      <c r="ER18" s="16" t="s">
        <v>152</v>
      </c>
      <c r="FD18" s="16">
        <v>5202055</v>
      </c>
      <c r="FE18" s="16">
        <v>3202041</v>
      </c>
      <c r="FF18" s="16">
        <v>3202041</v>
      </c>
      <c r="FG18" s="16">
        <v>3402043</v>
      </c>
      <c r="FH18" s="16">
        <v>3601042</v>
      </c>
      <c r="FI18" s="16">
        <v>3402043</v>
      </c>
      <c r="FJ18" t="str">
        <f t="shared" si="46"/>
        <v>暗维京</v>
      </c>
      <c r="FK18" t="str">
        <f t="shared" si="47"/>
        <v>水维京</v>
      </c>
      <c r="FL18" t="str">
        <f t="shared" si="48"/>
        <v>水维京</v>
      </c>
      <c r="FM18" t="str">
        <f t="shared" si="49"/>
        <v>木女巫</v>
      </c>
      <c r="FN18" t="str">
        <f t="shared" si="50"/>
        <v>火修女</v>
      </c>
      <c r="FO18" t="str">
        <f t="shared" si="51"/>
        <v>木女巫</v>
      </c>
      <c r="FP18" t="str">
        <f t="shared" si="52"/>
        <v>5</v>
      </c>
      <c r="FQ18" t="str">
        <f t="shared" si="53"/>
        <v>4</v>
      </c>
      <c r="FR18" t="str">
        <f t="shared" si="54"/>
        <v>4</v>
      </c>
      <c r="FS18" t="str">
        <f t="shared" si="55"/>
        <v>4</v>
      </c>
      <c r="FT18" t="str">
        <f t="shared" si="56"/>
        <v>4</v>
      </c>
      <c r="FU18" t="str">
        <f t="shared" si="57"/>
        <v>4</v>
      </c>
      <c r="FV18" t="str">
        <f t="shared" si="14"/>
        <v>5</v>
      </c>
      <c r="FW18" t="str">
        <f t="shared" si="15"/>
        <v>3</v>
      </c>
      <c r="FX18" t="str">
        <f t="shared" si="16"/>
        <v>3</v>
      </c>
      <c r="FY18" t="str">
        <f t="shared" si="17"/>
        <v>3</v>
      </c>
      <c r="FZ18" t="str">
        <f t="shared" si="18"/>
        <v>3</v>
      </c>
      <c r="GA18" t="str">
        <f t="shared" si="19"/>
        <v>3</v>
      </c>
    </row>
    <row r="19" spans="1:183" ht="15.95" customHeight="1">
      <c r="A19" s="1">
        <v>206</v>
      </c>
      <c r="B19" s="6">
        <v>10042</v>
      </c>
      <c r="C19" s="23" t="str">
        <f t="shared" si="20"/>
        <v>3201042,1205042,3302043,3300042,3500042,3502041</v>
      </c>
      <c r="D19" s="1" t="str">
        <f t="shared" si="21"/>
        <v>4,4,4,4,4,4</v>
      </c>
      <c r="E19" s="53" t="str">
        <f t="shared" si="22"/>
        <v>221,201,201,201,201,201</v>
      </c>
      <c r="F19" s="1">
        <f t="shared" si="0"/>
        <v>101255</v>
      </c>
      <c r="G19" s="23" t="s">
        <v>34</v>
      </c>
      <c r="H19" s="1" t="s">
        <v>28</v>
      </c>
      <c r="I19" s="1" t="s">
        <v>28</v>
      </c>
      <c r="J19" s="1" t="s">
        <v>28</v>
      </c>
      <c r="K19" s="2" t="s">
        <v>324</v>
      </c>
      <c r="L19" s="1">
        <v>0</v>
      </c>
      <c r="M19" s="1">
        <v>2</v>
      </c>
      <c r="O19" s="25">
        <f t="shared" si="23"/>
        <v>101255</v>
      </c>
      <c r="P19" s="16">
        <v>101255.3</v>
      </c>
      <c r="Q19" s="16">
        <v>3201042</v>
      </c>
      <c r="R19" s="16">
        <v>1205042</v>
      </c>
      <c r="S19" s="16">
        <v>3302043</v>
      </c>
      <c r="T19" s="16">
        <v>3300042</v>
      </c>
      <c r="U19" s="16">
        <v>3500042</v>
      </c>
      <c r="V19" s="16">
        <v>3502041</v>
      </c>
      <c r="W19" s="16">
        <v>4</v>
      </c>
      <c r="X19" s="16">
        <v>4</v>
      </c>
      <c r="Y19" s="16">
        <v>4</v>
      </c>
      <c r="Z19" s="16">
        <v>4</v>
      </c>
      <c r="AA19" s="16">
        <v>4</v>
      </c>
      <c r="AB19" s="16">
        <v>4</v>
      </c>
      <c r="AC19" s="16">
        <f t="shared" si="24"/>
        <v>221</v>
      </c>
      <c r="AD19" s="16">
        <f t="shared" si="1"/>
        <v>201</v>
      </c>
      <c r="AE19" s="16">
        <f t="shared" si="1"/>
        <v>201</v>
      </c>
      <c r="AF19" s="16">
        <f t="shared" si="1"/>
        <v>201</v>
      </c>
      <c r="AG19" s="16">
        <f t="shared" si="1"/>
        <v>201</v>
      </c>
      <c r="AH19" s="16">
        <f t="shared" si="1"/>
        <v>201</v>
      </c>
      <c r="AI19" s="28">
        <f t="shared" si="25"/>
        <v>20251.060000000001</v>
      </c>
      <c r="AJ19" s="28">
        <f t="shared" si="26"/>
        <v>16200.848</v>
      </c>
      <c r="AK19" s="28">
        <f t="shared" si="2"/>
        <v>16200.848</v>
      </c>
      <c r="AL19" s="28">
        <f t="shared" si="2"/>
        <v>16200.848</v>
      </c>
      <c r="AM19" s="28">
        <f t="shared" si="2"/>
        <v>16200.848</v>
      </c>
      <c r="AN19" s="28">
        <f t="shared" si="2"/>
        <v>16200.848</v>
      </c>
      <c r="AO19" s="30"/>
      <c r="AP19" s="28"/>
      <c r="AQ19" s="16">
        <v>3</v>
      </c>
      <c r="AR19" s="16">
        <f t="shared" si="27"/>
        <v>259</v>
      </c>
      <c r="AS19" s="28">
        <f t="shared" si="28"/>
        <v>231</v>
      </c>
      <c r="AT19" s="28"/>
      <c r="AU19" s="30">
        <v>101255.3</v>
      </c>
      <c r="AV19" s="28" t="str">
        <f t="shared" si="29"/>
        <v>小:0</v>
      </c>
      <c r="AW19" s="28"/>
      <c r="AX19" s="28"/>
      <c r="AZ19" s="28"/>
      <c r="BA19" s="16">
        <f t="shared" si="58"/>
        <v>3168.9320388349483</v>
      </c>
      <c r="BC19" s="7">
        <f t="shared" si="30"/>
        <v>203</v>
      </c>
      <c r="BD19" s="7"/>
      <c r="BE19" s="29"/>
      <c r="BF19" s="29"/>
      <c r="BG19" s="7"/>
      <c r="BH19" s="7"/>
      <c r="BI19" s="7"/>
      <c r="BJ19" s="7"/>
      <c r="BK19" s="7"/>
      <c r="BL19" s="7"/>
      <c r="BM19" s="7"/>
      <c r="BN19" s="7"/>
      <c r="BO19" s="7"/>
      <c r="BP19" s="9"/>
      <c r="BQ19" s="9"/>
      <c r="BR19" s="9">
        <v>3201034</v>
      </c>
      <c r="BS19" s="9">
        <f>[1]monsters!$N19</f>
        <v>120.96</v>
      </c>
      <c r="BT19" s="9">
        <f>[1]monsters!$O19</f>
        <v>12.1</v>
      </c>
      <c r="BU19" s="9">
        <f>[1]monsters!$P19</f>
        <v>1493.33</v>
      </c>
      <c r="BV19" s="9">
        <f>[1]monsters!$Q19</f>
        <v>149.33000000000001</v>
      </c>
      <c r="BW19" s="9">
        <f>[1]monsters!$R19</f>
        <v>24.19</v>
      </c>
      <c r="BX19" s="9">
        <f>[1]monsters!$S19</f>
        <v>2.42</v>
      </c>
      <c r="BY19" s="9">
        <f>[1]monsters!$K19</f>
        <v>1.8</v>
      </c>
      <c r="BZ19" s="7">
        <f>[1]monsters!$D19</f>
        <v>2</v>
      </c>
      <c r="CA19" s="7">
        <f t="shared" si="31"/>
        <v>0.1</v>
      </c>
      <c r="CB19" s="7">
        <f t="shared" si="32"/>
        <v>164.58767138047136</v>
      </c>
      <c r="CC19" s="7">
        <f t="shared" si="33"/>
        <v>16.458767138047136</v>
      </c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>
        <v>0</v>
      </c>
      <c r="CR19" s="25" t="b">
        <f t="shared" si="34"/>
        <v>1</v>
      </c>
      <c r="CS19" s="25" t="b">
        <f t="shared" si="35"/>
        <v>1</v>
      </c>
      <c r="CT19" s="25" t="b">
        <f t="shared" si="36"/>
        <v>1</v>
      </c>
      <c r="CU19" s="25" t="b">
        <f t="shared" si="37"/>
        <v>1</v>
      </c>
      <c r="CV19" s="25" t="b">
        <f t="shared" si="38"/>
        <v>1</v>
      </c>
      <c r="CW19" s="25" t="b">
        <f t="shared" si="39"/>
        <v>1</v>
      </c>
      <c r="CX19" s="16" t="str">
        <f t="shared" si="40"/>
        <v>3201042</v>
      </c>
      <c r="CY19" s="16" t="str">
        <f t="shared" si="41"/>
        <v>1205042</v>
      </c>
      <c r="CZ19" s="16" t="str">
        <f t="shared" si="42"/>
        <v>3302043</v>
      </c>
      <c r="DA19" s="16" t="str">
        <f t="shared" si="43"/>
        <v>3300042</v>
      </c>
      <c r="DB19" s="16" t="str">
        <f t="shared" si="44"/>
        <v>3500042</v>
      </c>
      <c r="DC19" s="16" t="str">
        <f t="shared" si="45"/>
        <v>3502041</v>
      </c>
      <c r="DD19" s="16">
        <v>4</v>
      </c>
      <c r="DE19" s="16">
        <v>4</v>
      </c>
      <c r="DF19" s="16">
        <v>4</v>
      </c>
      <c r="DG19" s="16">
        <v>4</v>
      </c>
      <c r="DH19" s="16">
        <v>4</v>
      </c>
      <c r="DI19" s="16">
        <v>4</v>
      </c>
      <c r="DJ19" s="16">
        <v>3</v>
      </c>
      <c r="DK19" s="16">
        <v>1</v>
      </c>
      <c r="DL19" s="16">
        <v>3</v>
      </c>
      <c r="DM19" s="16">
        <v>3</v>
      </c>
      <c r="DN19" s="16">
        <v>3</v>
      </c>
      <c r="DO19" s="16">
        <v>3</v>
      </c>
      <c r="DP19" s="36" t="s">
        <v>120</v>
      </c>
      <c r="DQ19" s="36" t="s">
        <v>252</v>
      </c>
      <c r="DR19" s="36" t="s">
        <v>114</v>
      </c>
      <c r="DS19" s="36" t="s">
        <v>121</v>
      </c>
      <c r="DT19" s="36" t="s">
        <v>115</v>
      </c>
      <c r="DU19" s="36" t="s">
        <v>130</v>
      </c>
      <c r="DV19" s="32">
        <f t="shared" si="5"/>
        <v>1</v>
      </c>
      <c r="DW19" s="32">
        <f t="shared" si="6"/>
        <v>1</v>
      </c>
      <c r="DX19" s="32">
        <f t="shared" si="7"/>
        <v>1</v>
      </c>
      <c r="DY19" s="32">
        <f t="shared" si="8"/>
        <v>2</v>
      </c>
      <c r="DZ19" s="32">
        <f t="shared" si="9"/>
        <v>2</v>
      </c>
      <c r="EA19" s="32">
        <f t="shared" si="10"/>
        <v>2</v>
      </c>
      <c r="EB19" s="31"/>
      <c r="EC19" s="7">
        <v>3202041</v>
      </c>
      <c r="ED19" s="15" t="s">
        <v>117</v>
      </c>
      <c r="EE19" s="16">
        <v>1</v>
      </c>
      <c r="EF19" s="16">
        <v>303250001</v>
      </c>
      <c r="EG19" s="25" t="str">
        <f t="shared" si="11"/>
        <v>对随机1名敌人造成373%攻击伤害。</v>
      </c>
      <c r="EQ19" s="16">
        <v>505250001</v>
      </c>
      <c r="ER19" s="16" t="s">
        <v>153</v>
      </c>
      <c r="FD19" s="16">
        <v>3201042</v>
      </c>
      <c r="FE19" s="16">
        <v>1205042</v>
      </c>
      <c r="FF19" s="16">
        <v>3302043</v>
      </c>
      <c r="FG19" s="16">
        <v>3300042</v>
      </c>
      <c r="FH19" s="16">
        <v>3500042</v>
      </c>
      <c r="FI19" s="16">
        <v>3502041</v>
      </c>
      <c r="FJ19" t="str">
        <f t="shared" si="46"/>
        <v>火骑兵</v>
      </c>
      <c r="FK19" t="str">
        <f t="shared" si="47"/>
        <v>火骷髅战士</v>
      </c>
      <c r="FL19" t="str">
        <f t="shared" si="48"/>
        <v>木盗贼</v>
      </c>
      <c r="FM19" t="str">
        <f t="shared" si="49"/>
        <v>火忍者</v>
      </c>
      <c r="FN19" t="str">
        <f t="shared" si="50"/>
        <v>火海盗</v>
      </c>
      <c r="FO19" t="str">
        <f t="shared" si="51"/>
        <v>水火枪手</v>
      </c>
      <c r="FP19" t="str">
        <f t="shared" si="52"/>
        <v>4</v>
      </c>
      <c r="FQ19" t="str">
        <f t="shared" si="53"/>
        <v>4</v>
      </c>
      <c r="FR19" t="str">
        <f t="shared" si="54"/>
        <v>4</v>
      </c>
      <c r="FS19" t="str">
        <f t="shared" si="55"/>
        <v>4</v>
      </c>
      <c r="FT19" t="str">
        <f t="shared" si="56"/>
        <v>4</v>
      </c>
      <c r="FU19" t="str">
        <f t="shared" si="57"/>
        <v>4</v>
      </c>
      <c r="FV19" t="str">
        <f t="shared" si="14"/>
        <v>3</v>
      </c>
      <c r="FW19" t="str">
        <f t="shared" si="15"/>
        <v>1</v>
      </c>
      <c r="FX19" t="str">
        <f t="shared" si="16"/>
        <v>3</v>
      </c>
      <c r="FY19" t="str">
        <f t="shared" si="17"/>
        <v>3</v>
      </c>
      <c r="FZ19" t="str">
        <f t="shared" si="18"/>
        <v>3</v>
      </c>
      <c r="GA19" t="str">
        <f t="shared" si="19"/>
        <v>3</v>
      </c>
    </row>
    <row r="20" spans="1:183" ht="15.95" customHeight="1">
      <c r="A20" s="1">
        <v>207</v>
      </c>
      <c r="B20" s="6">
        <v>10042</v>
      </c>
      <c r="C20" s="23" t="str">
        <f t="shared" si="20"/>
        <v>5601053,3200043,3200043,3200043,3601042,3601042</v>
      </c>
      <c r="D20" s="1" t="str">
        <f t="shared" si="21"/>
        <v>5,4,4,4,4,4</v>
      </c>
      <c r="E20" s="53" t="str">
        <f t="shared" si="22"/>
        <v>194,203,203,203,203,203</v>
      </c>
      <c r="F20" s="1">
        <f t="shared" si="0"/>
        <v>103779</v>
      </c>
      <c r="G20" s="23" t="s">
        <v>34</v>
      </c>
      <c r="H20" s="1" t="s">
        <v>28</v>
      </c>
      <c r="I20" s="1" t="s">
        <v>28</v>
      </c>
      <c r="J20" s="1" t="s">
        <v>28</v>
      </c>
      <c r="K20" s="2" t="s">
        <v>325</v>
      </c>
      <c r="L20" s="1">
        <v>0</v>
      </c>
      <c r="M20" s="1">
        <v>6</v>
      </c>
      <c r="O20" s="25">
        <f t="shared" si="23"/>
        <v>103779</v>
      </c>
      <c r="P20" s="16">
        <v>103778.7</v>
      </c>
      <c r="Q20" s="16">
        <v>5601053</v>
      </c>
      <c r="R20" s="16">
        <v>3200043</v>
      </c>
      <c r="S20" s="16">
        <v>3200043</v>
      </c>
      <c r="T20" s="16">
        <v>3200043</v>
      </c>
      <c r="U20" s="16">
        <v>3601042</v>
      </c>
      <c r="V20" s="16">
        <v>3601042</v>
      </c>
      <c r="W20" s="16">
        <v>5</v>
      </c>
      <c r="X20" s="16">
        <v>4</v>
      </c>
      <c r="Y20" s="16">
        <v>4</v>
      </c>
      <c r="Z20" s="16">
        <v>4</v>
      </c>
      <c r="AA20" s="16">
        <v>4</v>
      </c>
      <c r="AB20" s="16">
        <v>4</v>
      </c>
      <c r="AC20" s="16">
        <f t="shared" si="24"/>
        <v>194</v>
      </c>
      <c r="AD20" s="16">
        <f t="shared" ref="AD20:AH70" si="59">IF(AJ20&gt;0,FLOOR((POWER((AJ20/IF(AND(X20&gt;=2,X20&lt;4),1.1,IF(AND(X20&gt;=4,X20&lt;6),1.15,IF(X20&gt;=6,1.2,1)))/$Z$1),0.5)/INDEX($BD$4:$BQ$4,MATCH(X20,$BD$3:$BQ$3,0))-1)*10,1),"")</f>
        <v>203</v>
      </c>
      <c r="AE20" s="16">
        <f t="shared" si="59"/>
        <v>203</v>
      </c>
      <c r="AF20" s="16">
        <f t="shared" si="59"/>
        <v>203</v>
      </c>
      <c r="AG20" s="16">
        <f t="shared" si="59"/>
        <v>203</v>
      </c>
      <c r="AH20" s="16">
        <f t="shared" si="59"/>
        <v>203</v>
      </c>
      <c r="AI20" s="28">
        <f t="shared" si="25"/>
        <v>20755.740000000002</v>
      </c>
      <c r="AJ20" s="28">
        <f t="shared" si="26"/>
        <v>16604.592000000001</v>
      </c>
      <c r="AK20" s="28">
        <f t="shared" si="26"/>
        <v>16604.592000000001</v>
      </c>
      <c r="AL20" s="28">
        <f t="shared" si="26"/>
        <v>16604.592000000001</v>
      </c>
      <c r="AM20" s="28">
        <f t="shared" si="26"/>
        <v>16604.592000000001</v>
      </c>
      <c r="AN20" s="28">
        <f t="shared" si="26"/>
        <v>16604.592000000001</v>
      </c>
      <c r="AO20" s="30"/>
      <c r="AP20" s="28"/>
      <c r="AQ20" s="16">
        <v>3</v>
      </c>
      <c r="AR20" s="16">
        <f t="shared" si="27"/>
        <v>262</v>
      </c>
      <c r="AS20" s="28">
        <f t="shared" si="28"/>
        <v>232</v>
      </c>
      <c r="AT20" s="28"/>
      <c r="AU20" s="30">
        <v>103778.7</v>
      </c>
      <c r="AV20" s="28" t="str">
        <f t="shared" si="29"/>
        <v>小:0</v>
      </c>
      <c r="AW20" s="28"/>
      <c r="AX20" s="28"/>
      <c r="AZ20" s="28"/>
      <c r="BA20" s="16">
        <f t="shared" si="58"/>
        <v>3180.1941747572782</v>
      </c>
      <c r="BC20" s="7">
        <f t="shared" si="30"/>
        <v>179</v>
      </c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9"/>
      <c r="BQ20" s="9"/>
      <c r="BR20" s="9">
        <v>3301034</v>
      </c>
      <c r="BS20" s="9">
        <f>[1]monsters!$N20</f>
        <v>80.64</v>
      </c>
      <c r="BT20" s="9">
        <f>[1]monsters!$O20</f>
        <v>8.06</v>
      </c>
      <c r="BU20" s="9">
        <f>[1]monsters!$P20</f>
        <v>1493.33</v>
      </c>
      <c r="BV20" s="9">
        <f>[1]monsters!$Q20</f>
        <v>149.33000000000001</v>
      </c>
      <c r="BW20" s="9">
        <f>[1]monsters!$R20</f>
        <v>16.13</v>
      </c>
      <c r="BX20" s="9">
        <f>[1]monsters!$S20</f>
        <v>1.61</v>
      </c>
      <c r="BY20" s="9">
        <f>[1]monsters!$K20</f>
        <v>1.2</v>
      </c>
      <c r="BZ20" s="7">
        <f>[1]monsters!$D20</f>
        <v>3</v>
      </c>
      <c r="CA20" s="7">
        <f t="shared" si="31"/>
        <v>0.1</v>
      </c>
      <c r="CB20" s="7">
        <f t="shared" si="32"/>
        <v>126.48527138047137</v>
      </c>
      <c r="CC20" s="7">
        <f t="shared" si="33"/>
        <v>12.648527138047138</v>
      </c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>
        <v>0</v>
      </c>
      <c r="CR20" s="25" t="b">
        <f t="shared" si="34"/>
        <v>1</v>
      </c>
      <c r="CS20" s="25" t="b">
        <f t="shared" si="35"/>
        <v>1</v>
      </c>
      <c r="CT20" s="25" t="b">
        <f t="shared" si="36"/>
        <v>1</v>
      </c>
      <c r="CU20" s="25" t="b">
        <f t="shared" si="37"/>
        <v>1</v>
      </c>
      <c r="CV20" s="25" t="b">
        <f t="shared" si="38"/>
        <v>1</v>
      </c>
      <c r="CW20" s="25" t="b">
        <f t="shared" si="39"/>
        <v>1</v>
      </c>
      <c r="CX20" s="16" t="str">
        <f t="shared" si="40"/>
        <v>5601053</v>
      </c>
      <c r="CY20" s="16" t="str">
        <f t="shared" si="41"/>
        <v>3200043</v>
      </c>
      <c r="CZ20" s="16" t="str">
        <f t="shared" si="42"/>
        <v>3200043</v>
      </c>
      <c r="DA20" s="16" t="str">
        <f t="shared" si="43"/>
        <v>3200043</v>
      </c>
      <c r="DB20" s="16" t="str">
        <f t="shared" si="44"/>
        <v>3601042</v>
      </c>
      <c r="DC20" s="16" t="str">
        <f t="shared" si="45"/>
        <v>3601042</v>
      </c>
      <c r="DD20" s="16">
        <v>5</v>
      </c>
      <c r="DE20" s="16">
        <v>4</v>
      </c>
      <c r="DF20" s="16">
        <v>4</v>
      </c>
      <c r="DG20" s="16">
        <v>4</v>
      </c>
      <c r="DH20" s="16">
        <v>4</v>
      </c>
      <c r="DI20" s="16">
        <v>4</v>
      </c>
      <c r="DJ20" s="16">
        <v>5</v>
      </c>
      <c r="DK20" s="16">
        <v>3</v>
      </c>
      <c r="DL20" s="16">
        <v>3</v>
      </c>
      <c r="DM20" s="16">
        <v>3</v>
      </c>
      <c r="DN20" s="16">
        <v>3</v>
      </c>
      <c r="DO20" s="16">
        <v>3</v>
      </c>
      <c r="DP20" s="51" t="s">
        <v>228</v>
      </c>
      <c r="DQ20" s="51" t="s">
        <v>119</v>
      </c>
      <c r="DR20" s="36" t="s">
        <v>119</v>
      </c>
      <c r="DS20" s="36" t="s">
        <v>119</v>
      </c>
      <c r="DT20" s="51" t="s">
        <v>216</v>
      </c>
      <c r="DU20" s="51" t="s">
        <v>216</v>
      </c>
      <c r="DV20" s="32">
        <f t="shared" si="5"/>
        <v>2</v>
      </c>
      <c r="DW20" s="32">
        <f t="shared" si="6"/>
        <v>1</v>
      </c>
      <c r="DX20" s="32">
        <f t="shared" si="7"/>
        <v>1</v>
      </c>
      <c r="DY20" s="32">
        <f t="shared" si="8"/>
        <v>1</v>
      </c>
      <c r="DZ20" s="32">
        <f t="shared" si="9"/>
        <v>2</v>
      </c>
      <c r="EA20" s="32">
        <f t="shared" si="10"/>
        <v>2</v>
      </c>
      <c r="EB20" s="15"/>
      <c r="EC20" s="7">
        <v>3301041</v>
      </c>
      <c r="ED20" s="15" t="s">
        <v>113</v>
      </c>
      <c r="EE20" s="16">
        <v>1</v>
      </c>
      <c r="EF20" s="16">
        <v>303250201</v>
      </c>
      <c r="EG20" s="25" t="str">
        <f t="shared" si="11"/>
        <v>对血最少的1名敌人造成431%攻击伤害。</v>
      </c>
      <c r="EQ20" s="16">
        <v>505250201</v>
      </c>
      <c r="ER20" s="16" t="s">
        <v>154</v>
      </c>
      <c r="FD20" s="16">
        <v>5601053</v>
      </c>
      <c r="FE20" s="16">
        <v>3200043</v>
      </c>
      <c r="FF20" s="16">
        <v>3200043</v>
      </c>
      <c r="FG20" s="16">
        <v>3200043</v>
      </c>
      <c r="FH20" s="16">
        <v>3601042</v>
      </c>
      <c r="FI20" s="16">
        <v>3601042</v>
      </c>
      <c r="FJ20" t="str">
        <f t="shared" si="46"/>
        <v>木修女</v>
      </c>
      <c r="FK20" t="str">
        <f t="shared" si="47"/>
        <v>木刀客</v>
      </c>
      <c r="FL20" t="str">
        <f t="shared" si="48"/>
        <v>木刀客</v>
      </c>
      <c r="FM20" t="str">
        <f t="shared" si="49"/>
        <v>木刀客</v>
      </c>
      <c r="FN20" t="str">
        <f t="shared" si="50"/>
        <v>火修女</v>
      </c>
      <c r="FO20" t="str">
        <f t="shared" si="51"/>
        <v>火修女</v>
      </c>
      <c r="FP20" t="str">
        <f t="shared" si="52"/>
        <v>5</v>
      </c>
      <c r="FQ20" t="str">
        <f t="shared" si="53"/>
        <v>4</v>
      </c>
      <c r="FR20" t="str">
        <f t="shared" si="54"/>
        <v>4</v>
      </c>
      <c r="FS20" t="str">
        <f t="shared" si="55"/>
        <v>4</v>
      </c>
      <c r="FT20" t="str">
        <f t="shared" si="56"/>
        <v>4</v>
      </c>
      <c r="FU20" t="str">
        <f t="shared" si="57"/>
        <v>4</v>
      </c>
      <c r="FV20" t="str">
        <f t="shared" si="14"/>
        <v>5</v>
      </c>
      <c r="FW20" t="str">
        <f t="shared" si="15"/>
        <v>3</v>
      </c>
      <c r="FX20" t="str">
        <f t="shared" si="16"/>
        <v>3</v>
      </c>
      <c r="FY20" t="str">
        <f t="shared" si="17"/>
        <v>3</v>
      </c>
      <c r="FZ20" t="str">
        <f t="shared" si="18"/>
        <v>3</v>
      </c>
      <c r="GA20" t="str">
        <f t="shared" si="19"/>
        <v>3</v>
      </c>
    </row>
    <row r="21" spans="1:183" ht="15.95" customHeight="1">
      <c r="A21" s="1">
        <v>208</v>
      </c>
      <c r="B21" s="6">
        <v>10042</v>
      </c>
      <c r="C21" s="23" t="str">
        <f t="shared" si="20"/>
        <v>3400042,3201042,3201042,3200043,3501043,3401041</v>
      </c>
      <c r="D21" s="1" t="str">
        <f t="shared" si="21"/>
        <v>4,4,4,4,4,4</v>
      </c>
      <c r="E21" s="53" t="str">
        <f t="shared" si="22"/>
        <v>233,212,212,212,212,212</v>
      </c>
      <c r="F21" s="1">
        <f t="shared" si="0"/>
        <v>112538</v>
      </c>
      <c r="G21" s="23" t="s">
        <v>34</v>
      </c>
      <c r="H21" s="1" t="s">
        <v>28</v>
      </c>
      <c r="I21" s="1" t="s">
        <v>28</v>
      </c>
      <c r="J21" s="1" t="s">
        <v>28</v>
      </c>
      <c r="K21" s="2" t="s">
        <v>325</v>
      </c>
      <c r="L21" s="1">
        <v>0</v>
      </c>
      <c r="M21" s="1">
        <v>6</v>
      </c>
      <c r="O21" s="25">
        <f t="shared" si="23"/>
        <v>112538</v>
      </c>
      <c r="P21" s="16">
        <v>112538.25</v>
      </c>
      <c r="Q21" s="16">
        <v>3400042</v>
      </c>
      <c r="R21" s="16">
        <v>3201042</v>
      </c>
      <c r="S21" s="16">
        <v>3201042</v>
      </c>
      <c r="T21" s="16">
        <v>3200043</v>
      </c>
      <c r="U21" s="16">
        <v>3501043</v>
      </c>
      <c r="V21" s="16">
        <v>3401041</v>
      </c>
      <c r="W21" s="16">
        <v>4</v>
      </c>
      <c r="X21" s="16">
        <v>4</v>
      </c>
      <c r="Y21" s="16">
        <v>4</v>
      </c>
      <c r="Z21" s="16">
        <v>4</v>
      </c>
      <c r="AA21" s="16">
        <v>4</v>
      </c>
      <c r="AB21" s="16">
        <v>4</v>
      </c>
      <c r="AC21" s="16">
        <f t="shared" si="24"/>
        <v>233</v>
      </c>
      <c r="AD21" s="16">
        <f t="shared" si="59"/>
        <v>212</v>
      </c>
      <c r="AE21" s="16">
        <f t="shared" si="59"/>
        <v>212</v>
      </c>
      <c r="AF21" s="16">
        <f t="shared" si="59"/>
        <v>212</v>
      </c>
      <c r="AG21" s="16">
        <f t="shared" si="59"/>
        <v>212</v>
      </c>
      <c r="AH21" s="16">
        <f t="shared" si="59"/>
        <v>212</v>
      </c>
      <c r="AI21" s="28">
        <f t="shared" si="25"/>
        <v>22507.65</v>
      </c>
      <c r="AJ21" s="28">
        <f t="shared" si="26"/>
        <v>18006.12</v>
      </c>
      <c r="AK21" s="28">
        <f t="shared" si="26"/>
        <v>18006.12</v>
      </c>
      <c r="AL21" s="28">
        <f t="shared" si="26"/>
        <v>18006.12</v>
      </c>
      <c r="AM21" s="28">
        <f t="shared" si="26"/>
        <v>18006.12</v>
      </c>
      <c r="AN21" s="28">
        <f t="shared" si="26"/>
        <v>18006.12</v>
      </c>
      <c r="AO21" s="30"/>
      <c r="AP21" s="28"/>
      <c r="AQ21" s="16">
        <v>3</v>
      </c>
      <c r="AR21" s="16">
        <f t="shared" si="27"/>
        <v>274</v>
      </c>
      <c r="AS21" s="28">
        <f t="shared" si="28"/>
        <v>233</v>
      </c>
      <c r="AT21" s="28"/>
      <c r="AU21" s="30">
        <v>112538.25</v>
      </c>
      <c r="AV21" s="28" t="str">
        <f t="shared" si="29"/>
        <v>小:0</v>
      </c>
      <c r="AW21" s="28"/>
      <c r="AX21" s="28"/>
      <c r="AZ21" s="28"/>
      <c r="BA21" s="16">
        <f t="shared" si="58"/>
        <v>3191.4563106796081</v>
      </c>
      <c r="BC21" s="7">
        <f t="shared" si="30"/>
        <v>215</v>
      </c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9"/>
      <c r="BQ21" s="9"/>
      <c r="BR21" s="9">
        <v>3402034</v>
      </c>
      <c r="BS21" s="9">
        <f>[1]monsters!$N21</f>
        <v>146.35</v>
      </c>
      <c r="BT21" s="9">
        <f>[1]monsters!$O21</f>
        <v>14.63</v>
      </c>
      <c r="BU21" s="9">
        <f>[1]monsters!$P21</f>
        <v>960</v>
      </c>
      <c r="BV21" s="9">
        <f>[1]monsters!$Q21</f>
        <v>96</v>
      </c>
      <c r="BW21" s="9">
        <f>[1]monsters!$R21</f>
        <v>18.29</v>
      </c>
      <c r="BX21" s="9">
        <f>[1]monsters!$S21</f>
        <v>1.83</v>
      </c>
      <c r="BY21" s="9">
        <f>[1]monsters!$K21</f>
        <v>1.4000000000000001</v>
      </c>
      <c r="BZ21" s="7">
        <f>[1]monsters!$D21</f>
        <v>5</v>
      </c>
      <c r="CA21" s="7">
        <f t="shared" si="31"/>
        <v>0.1</v>
      </c>
      <c r="CB21" s="7">
        <f t="shared" si="32"/>
        <v>170.62398232323233</v>
      </c>
      <c r="CC21" s="7">
        <f t="shared" si="33"/>
        <v>17.062398232323233</v>
      </c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>
        <v>0</v>
      </c>
      <c r="CR21" s="25" t="b">
        <f t="shared" si="34"/>
        <v>1</v>
      </c>
      <c r="CS21" s="25" t="b">
        <f t="shared" si="35"/>
        <v>1</v>
      </c>
      <c r="CT21" s="25" t="b">
        <f t="shared" si="36"/>
        <v>1</v>
      </c>
      <c r="CU21" s="25" t="b">
        <f t="shared" si="37"/>
        <v>1</v>
      </c>
      <c r="CV21" s="25" t="b">
        <f t="shared" si="38"/>
        <v>1</v>
      </c>
      <c r="CW21" s="25" t="b">
        <f t="shared" si="39"/>
        <v>1</v>
      </c>
      <c r="CX21" s="16" t="str">
        <f t="shared" si="40"/>
        <v>3400042</v>
      </c>
      <c r="CY21" s="16" t="str">
        <f t="shared" si="41"/>
        <v>3201042</v>
      </c>
      <c r="CZ21" s="16" t="str">
        <f t="shared" si="42"/>
        <v>3201042</v>
      </c>
      <c r="DA21" s="16" t="str">
        <f t="shared" si="43"/>
        <v>3200043</v>
      </c>
      <c r="DB21" s="16" t="str">
        <f t="shared" si="44"/>
        <v>3501043</v>
      </c>
      <c r="DC21" s="16" t="str">
        <f t="shared" si="45"/>
        <v>3401041</v>
      </c>
      <c r="DD21" s="16">
        <v>4</v>
      </c>
      <c r="DE21" s="16">
        <v>4</v>
      </c>
      <c r="DF21" s="16">
        <v>4</v>
      </c>
      <c r="DG21" s="16">
        <v>4</v>
      </c>
      <c r="DH21" s="16">
        <v>4</v>
      </c>
      <c r="DI21" s="16">
        <v>4</v>
      </c>
      <c r="DJ21" s="16">
        <v>3</v>
      </c>
      <c r="DK21" s="16">
        <v>3</v>
      </c>
      <c r="DL21" s="16">
        <v>3</v>
      </c>
      <c r="DM21" s="16">
        <v>3</v>
      </c>
      <c r="DN21" s="16">
        <v>3</v>
      </c>
      <c r="DO21" s="16">
        <v>3</v>
      </c>
      <c r="DP21" s="51" t="s">
        <v>116</v>
      </c>
      <c r="DQ21" s="51" t="s">
        <v>120</v>
      </c>
      <c r="DR21" s="51" t="s">
        <v>120</v>
      </c>
      <c r="DS21" s="36" t="s">
        <v>119</v>
      </c>
      <c r="DT21" s="36" t="s">
        <v>127</v>
      </c>
      <c r="DU21" s="36" t="s">
        <v>123</v>
      </c>
      <c r="DV21" s="32">
        <f t="shared" si="5"/>
        <v>2</v>
      </c>
      <c r="DW21" s="32">
        <f t="shared" si="6"/>
        <v>1</v>
      </c>
      <c r="DX21" s="32">
        <f t="shared" si="7"/>
        <v>1</v>
      </c>
      <c r="DY21" s="32">
        <f t="shared" si="8"/>
        <v>1</v>
      </c>
      <c r="DZ21" s="32">
        <f t="shared" si="9"/>
        <v>2</v>
      </c>
      <c r="EA21" s="32">
        <f t="shared" si="10"/>
        <v>2</v>
      </c>
      <c r="EB21" s="15"/>
      <c r="EC21" s="7">
        <v>3502041</v>
      </c>
      <c r="ED21" s="35" t="s">
        <v>125</v>
      </c>
      <c r="EE21" s="16">
        <v>2</v>
      </c>
      <c r="EF21" s="16">
        <v>303260101</v>
      </c>
      <c r="EG21" s="25" t="str">
        <f t="shared" si="11"/>
        <v>对距离最远的2名敌人造成206%攻击伤害。</v>
      </c>
      <c r="EQ21" s="16">
        <v>505260101</v>
      </c>
      <c r="ER21" s="16" t="s">
        <v>155</v>
      </c>
      <c r="FD21" s="16">
        <v>3400042</v>
      </c>
      <c r="FE21" s="16">
        <v>3201042</v>
      </c>
      <c r="FF21" s="16">
        <v>3201042</v>
      </c>
      <c r="FG21" s="16">
        <v>3200043</v>
      </c>
      <c r="FH21" s="16">
        <v>3501043</v>
      </c>
      <c r="FI21" s="16">
        <v>3401041</v>
      </c>
      <c r="FJ21" t="str">
        <f t="shared" si="46"/>
        <v>火巫师</v>
      </c>
      <c r="FK21" t="str">
        <f t="shared" si="47"/>
        <v>火骑兵</v>
      </c>
      <c r="FL21" t="str">
        <f t="shared" si="48"/>
        <v>火骑兵</v>
      </c>
      <c r="FM21" t="str">
        <f t="shared" si="49"/>
        <v>木刀客</v>
      </c>
      <c r="FN21" t="str">
        <f t="shared" si="50"/>
        <v>木猎人</v>
      </c>
      <c r="FO21" t="str">
        <f t="shared" si="51"/>
        <v>水魔法师</v>
      </c>
      <c r="FP21" t="str">
        <f t="shared" si="52"/>
        <v>4</v>
      </c>
      <c r="FQ21" t="str">
        <f t="shared" si="53"/>
        <v>4</v>
      </c>
      <c r="FR21" t="str">
        <f t="shared" si="54"/>
        <v>4</v>
      </c>
      <c r="FS21" t="str">
        <f t="shared" si="55"/>
        <v>4</v>
      </c>
      <c r="FT21" t="str">
        <f t="shared" si="56"/>
        <v>4</v>
      </c>
      <c r="FU21" t="str">
        <f t="shared" si="57"/>
        <v>4</v>
      </c>
      <c r="FV21" t="str">
        <f t="shared" si="14"/>
        <v>3</v>
      </c>
      <c r="FW21" t="str">
        <f t="shared" si="15"/>
        <v>3</v>
      </c>
      <c r="FX21" t="str">
        <f t="shared" si="16"/>
        <v>3</v>
      </c>
      <c r="FY21" t="str">
        <f t="shared" si="17"/>
        <v>3</v>
      </c>
      <c r="FZ21" t="str">
        <f t="shared" si="18"/>
        <v>3</v>
      </c>
      <c r="GA21" t="str">
        <f t="shared" si="19"/>
        <v>3</v>
      </c>
    </row>
    <row r="22" spans="1:183" ht="15.95" customHeight="1">
      <c r="A22" s="1">
        <v>209</v>
      </c>
      <c r="B22" s="6">
        <v>10042</v>
      </c>
      <c r="C22" s="23" t="str">
        <f t="shared" si="20"/>
        <v>3500042,3200043,3200043,3301041,3502041,3402043</v>
      </c>
      <c r="D22" s="1" t="str">
        <f t="shared" si="21"/>
        <v>4,4,4,4,4,4</v>
      </c>
      <c r="E22" s="53" t="str">
        <f t="shared" si="22"/>
        <v>236,215,215,215,215,215</v>
      </c>
      <c r="F22" s="1">
        <f t="shared" si="0"/>
        <v>115282</v>
      </c>
      <c r="G22" s="23" t="s">
        <v>34</v>
      </c>
      <c r="H22" s="1" t="s">
        <v>28</v>
      </c>
      <c r="I22" s="1" t="s">
        <v>28</v>
      </c>
      <c r="J22" s="1" t="s">
        <v>28</v>
      </c>
      <c r="K22" s="2" t="s">
        <v>326</v>
      </c>
      <c r="L22" s="1">
        <v>0</v>
      </c>
      <c r="M22" s="1">
        <v>3</v>
      </c>
      <c r="O22" s="25">
        <f t="shared" si="23"/>
        <v>115282</v>
      </c>
      <c r="P22" s="16">
        <v>115282.2</v>
      </c>
      <c r="Q22" s="16">
        <v>3500042</v>
      </c>
      <c r="R22" s="16">
        <v>3200043</v>
      </c>
      <c r="S22" s="16">
        <v>3200043</v>
      </c>
      <c r="T22" s="16">
        <v>3301041</v>
      </c>
      <c r="U22" s="16">
        <v>3502041</v>
      </c>
      <c r="V22" s="16">
        <v>3402043</v>
      </c>
      <c r="W22" s="16">
        <v>4</v>
      </c>
      <c r="X22" s="16">
        <v>4</v>
      </c>
      <c r="Y22" s="16">
        <v>4</v>
      </c>
      <c r="Z22" s="16">
        <v>4</v>
      </c>
      <c r="AA22" s="16">
        <v>4</v>
      </c>
      <c r="AB22" s="16">
        <v>4</v>
      </c>
      <c r="AC22" s="16">
        <f t="shared" si="24"/>
        <v>236</v>
      </c>
      <c r="AD22" s="16">
        <f t="shared" si="59"/>
        <v>215</v>
      </c>
      <c r="AE22" s="16">
        <f t="shared" si="59"/>
        <v>215</v>
      </c>
      <c r="AF22" s="16">
        <f t="shared" si="59"/>
        <v>215</v>
      </c>
      <c r="AG22" s="16">
        <f t="shared" si="59"/>
        <v>215</v>
      </c>
      <c r="AH22" s="16">
        <f t="shared" si="59"/>
        <v>215</v>
      </c>
      <c r="AI22" s="28">
        <f t="shared" si="25"/>
        <v>23056.440000000002</v>
      </c>
      <c r="AJ22" s="28">
        <f t="shared" si="26"/>
        <v>18445.151999999998</v>
      </c>
      <c r="AK22" s="28">
        <f t="shared" si="26"/>
        <v>18445.151999999998</v>
      </c>
      <c r="AL22" s="28">
        <f t="shared" si="26"/>
        <v>18445.151999999998</v>
      </c>
      <c r="AM22" s="28">
        <f t="shared" si="26"/>
        <v>18445.151999999998</v>
      </c>
      <c r="AN22" s="28">
        <f t="shared" si="26"/>
        <v>18445.151999999998</v>
      </c>
      <c r="AO22" s="30"/>
      <c r="AP22" s="28"/>
      <c r="AQ22" s="16">
        <v>3</v>
      </c>
      <c r="AR22" s="16">
        <f t="shared" si="27"/>
        <v>277</v>
      </c>
      <c r="AS22" s="28">
        <f t="shared" si="28"/>
        <v>234</v>
      </c>
      <c r="AT22" s="28"/>
      <c r="AU22" s="30">
        <v>115282.2</v>
      </c>
      <c r="AV22" s="28" t="str">
        <f t="shared" si="29"/>
        <v>小:0</v>
      </c>
      <c r="AW22" s="28"/>
      <c r="AX22" s="28"/>
      <c r="AZ22" s="28"/>
      <c r="BA22" s="16">
        <f t="shared" si="58"/>
        <v>3202.718446601938</v>
      </c>
      <c r="BC22" s="7">
        <f t="shared" si="30"/>
        <v>218</v>
      </c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9"/>
      <c r="BQ22" s="9"/>
      <c r="BR22" s="9">
        <v>3502034</v>
      </c>
      <c r="BS22" s="9">
        <f>[1]monsters!$N22</f>
        <v>107.52</v>
      </c>
      <c r="BT22" s="9">
        <f>[1]monsters!$O22</f>
        <v>10.75</v>
      </c>
      <c r="BU22" s="9">
        <f>[1]monsters!$P22</f>
        <v>1680</v>
      </c>
      <c r="BV22" s="9">
        <f>[1]monsters!$Q22</f>
        <v>168</v>
      </c>
      <c r="BW22" s="9">
        <f>[1]monsters!$R22</f>
        <v>35.840000000000003</v>
      </c>
      <c r="BX22" s="9">
        <f>[1]monsters!$S22</f>
        <v>3.58</v>
      </c>
      <c r="BY22" s="9">
        <f>[1]monsters!$K22</f>
        <v>1.8</v>
      </c>
      <c r="BZ22" s="7">
        <f>[1]monsters!$D22</f>
        <v>2</v>
      </c>
      <c r="CA22" s="7">
        <f t="shared" si="31"/>
        <v>0.1</v>
      </c>
      <c r="CB22" s="7">
        <f t="shared" si="32"/>
        <v>158.17205656565656</v>
      </c>
      <c r="CC22" s="7">
        <f t="shared" si="33"/>
        <v>15.817205656565656</v>
      </c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>
        <v>0</v>
      </c>
      <c r="CR22" s="25" t="b">
        <f t="shared" si="34"/>
        <v>1</v>
      </c>
      <c r="CS22" s="25" t="b">
        <f t="shared" si="35"/>
        <v>1</v>
      </c>
      <c r="CT22" s="25" t="b">
        <f t="shared" si="36"/>
        <v>1</v>
      </c>
      <c r="CU22" s="25" t="b">
        <f t="shared" si="37"/>
        <v>1</v>
      </c>
      <c r="CV22" s="25" t="b">
        <f t="shared" si="38"/>
        <v>1</v>
      </c>
      <c r="CW22" s="25" t="b">
        <f t="shared" si="39"/>
        <v>1</v>
      </c>
      <c r="CX22" s="16" t="str">
        <f t="shared" si="40"/>
        <v>3500042</v>
      </c>
      <c r="CY22" s="16" t="str">
        <f t="shared" si="41"/>
        <v>3200043</v>
      </c>
      <c r="CZ22" s="16" t="str">
        <f t="shared" si="42"/>
        <v>3200043</v>
      </c>
      <c r="DA22" s="16" t="str">
        <f t="shared" si="43"/>
        <v>3301041</v>
      </c>
      <c r="DB22" s="16" t="str">
        <f t="shared" si="44"/>
        <v>3502041</v>
      </c>
      <c r="DC22" s="16" t="str">
        <f t="shared" si="45"/>
        <v>3402043</v>
      </c>
      <c r="DD22" s="16">
        <v>4</v>
      </c>
      <c r="DE22" s="16">
        <v>4</v>
      </c>
      <c r="DF22" s="16">
        <v>4</v>
      </c>
      <c r="DG22" s="16">
        <v>4</v>
      </c>
      <c r="DH22" s="16">
        <v>4</v>
      </c>
      <c r="DI22" s="16">
        <v>4</v>
      </c>
      <c r="DJ22" s="16">
        <v>3</v>
      </c>
      <c r="DK22" s="16">
        <v>3</v>
      </c>
      <c r="DL22" s="16">
        <v>3</v>
      </c>
      <c r="DM22" s="16">
        <v>3</v>
      </c>
      <c r="DN22" s="16">
        <v>3</v>
      </c>
      <c r="DO22" s="16">
        <v>3</v>
      </c>
      <c r="DP22" s="51" t="s">
        <v>115</v>
      </c>
      <c r="DQ22" s="13" t="s">
        <v>119</v>
      </c>
      <c r="DR22" s="51" t="s">
        <v>119</v>
      </c>
      <c r="DS22" s="51" t="s">
        <v>113</v>
      </c>
      <c r="DT22" s="36" t="s">
        <v>130</v>
      </c>
      <c r="DU22" s="36" t="s">
        <v>124</v>
      </c>
      <c r="DV22" s="32">
        <f t="shared" si="5"/>
        <v>2</v>
      </c>
      <c r="DW22" s="32">
        <f t="shared" si="6"/>
        <v>1</v>
      </c>
      <c r="DX22" s="32">
        <f t="shared" si="7"/>
        <v>1</v>
      </c>
      <c r="DY22" s="32">
        <f t="shared" si="8"/>
        <v>1</v>
      </c>
      <c r="DZ22" s="32">
        <f t="shared" si="9"/>
        <v>2</v>
      </c>
      <c r="EA22" s="32">
        <f t="shared" si="10"/>
        <v>2</v>
      </c>
      <c r="EB22" s="15"/>
      <c r="EC22" s="7">
        <v>3201042</v>
      </c>
      <c r="ED22" s="35" t="s">
        <v>128</v>
      </c>
      <c r="EE22" s="16">
        <v>1</v>
      </c>
      <c r="EF22" s="16">
        <v>303320001</v>
      </c>
      <c r="EG22" s="25" t="str">
        <f t="shared" si="11"/>
        <v>对随机2名敌人造成166%攻击伤害。</v>
      </c>
      <c r="EQ22" s="16">
        <v>505320001</v>
      </c>
      <c r="ER22" s="16" t="s">
        <v>156</v>
      </c>
      <c r="FD22" s="16">
        <v>3500042</v>
      </c>
      <c r="FE22" s="16">
        <v>3200043</v>
      </c>
      <c r="FF22" s="16">
        <v>3200043</v>
      </c>
      <c r="FG22" s="16">
        <v>3301041</v>
      </c>
      <c r="FH22" s="16">
        <v>3502041</v>
      </c>
      <c r="FI22" s="16">
        <v>3402043</v>
      </c>
      <c r="FJ22" t="str">
        <f t="shared" si="46"/>
        <v>火海盗</v>
      </c>
      <c r="FK22" t="str">
        <f t="shared" si="47"/>
        <v>木刀客</v>
      </c>
      <c r="FL22" t="str">
        <f t="shared" si="48"/>
        <v>木刀客</v>
      </c>
      <c r="FM22" t="str">
        <f t="shared" si="49"/>
        <v>水剑士</v>
      </c>
      <c r="FN22" t="str">
        <f t="shared" si="50"/>
        <v>水火枪手</v>
      </c>
      <c r="FO22" t="str">
        <f t="shared" si="51"/>
        <v>木女巫</v>
      </c>
      <c r="FP22" t="str">
        <f t="shared" si="52"/>
        <v>4</v>
      </c>
      <c r="FQ22" t="str">
        <f t="shared" si="53"/>
        <v>4</v>
      </c>
      <c r="FR22" t="str">
        <f t="shared" si="54"/>
        <v>4</v>
      </c>
      <c r="FS22" t="str">
        <f t="shared" si="55"/>
        <v>4</v>
      </c>
      <c r="FT22" t="str">
        <f t="shared" si="56"/>
        <v>4</v>
      </c>
      <c r="FU22" t="str">
        <f t="shared" si="57"/>
        <v>4</v>
      </c>
      <c r="FV22" t="str">
        <f t="shared" si="14"/>
        <v>3</v>
      </c>
      <c r="FW22" t="str">
        <f t="shared" si="15"/>
        <v>3</v>
      </c>
      <c r="FX22" t="str">
        <f t="shared" si="16"/>
        <v>3</v>
      </c>
      <c r="FY22" t="str">
        <f t="shared" si="17"/>
        <v>3</v>
      </c>
      <c r="FZ22" t="str">
        <f t="shared" si="18"/>
        <v>3</v>
      </c>
      <c r="GA22" t="str">
        <f t="shared" si="19"/>
        <v>3</v>
      </c>
    </row>
    <row r="23" spans="1:183" ht="15.95" customHeight="1">
      <c r="A23" s="1">
        <v>210</v>
      </c>
      <c r="B23" s="6">
        <v>10042</v>
      </c>
      <c r="C23" s="23" t="str">
        <f t="shared" si="20"/>
        <v>5202055,3202041,3202041,3300042,3400042,3400042</v>
      </c>
      <c r="D23" s="1" t="str">
        <f t="shared" si="21"/>
        <v>5,4,4,4,4,4</v>
      </c>
      <c r="E23" s="53" t="str">
        <f t="shared" si="22"/>
        <v>207,217,217,217,217,217</v>
      </c>
      <c r="F23" s="1">
        <f t="shared" si="0"/>
        <v>117393</v>
      </c>
      <c r="G23" s="23" t="s">
        <v>34</v>
      </c>
      <c r="H23" s="1" t="s">
        <v>28</v>
      </c>
      <c r="I23" s="1" t="s">
        <v>28</v>
      </c>
      <c r="J23" s="1" t="s">
        <v>28</v>
      </c>
      <c r="K23" s="2" t="s">
        <v>326</v>
      </c>
      <c r="L23" s="1">
        <v>0</v>
      </c>
      <c r="M23" s="1">
        <v>3</v>
      </c>
      <c r="O23" s="25">
        <f t="shared" si="23"/>
        <v>117393</v>
      </c>
      <c r="P23" s="16">
        <v>117392.55</v>
      </c>
      <c r="Q23" s="16">
        <v>5202055</v>
      </c>
      <c r="R23" s="16">
        <v>3202041</v>
      </c>
      <c r="S23" s="16">
        <v>3202041</v>
      </c>
      <c r="T23" s="16">
        <v>3300042</v>
      </c>
      <c r="U23" s="16">
        <v>3400042</v>
      </c>
      <c r="V23" s="16">
        <v>3400042</v>
      </c>
      <c r="W23" s="16">
        <v>5</v>
      </c>
      <c r="X23" s="16">
        <v>4</v>
      </c>
      <c r="Y23" s="16">
        <v>4</v>
      </c>
      <c r="Z23" s="16">
        <v>4</v>
      </c>
      <c r="AA23" s="16">
        <v>4</v>
      </c>
      <c r="AB23" s="16">
        <v>4</v>
      </c>
      <c r="AC23" s="16">
        <f t="shared" si="24"/>
        <v>207</v>
      </c>
      <c r="AD23" s="16">
        <f t="shared" si="59"/>
        <v>217</v>
      </c>
      <c r="AE23" s="16">
        <f t="shared" si="59"/>
        <v>217</v>
      </c>
      <c r="AF23" s="16">
        <f t="shared" si="59"/>
        <v>217</v>
      </c>
      <c r="AG23" s="16">
        <f t="shared" si="59"/>
        <v>217</v>
      </c>
      <c r="AH23" s="16">
        <f t="shared" si="59"/>
        <v>217</v>
      </c>
      <c r="AI23" s="28">
        <f t="shared" si="25"/>
        <v>23478.510000000002</v>
      </c>
      <c r="AJ23" s="28">
        <f t="shared" si="26"/>
        <v>18782.808000000001</v>
      </c>
      <c r="AK23" s="28">
        <f t="shared" si="26"/>
        <v>18782.808000000001</v>
      </c>
      <c r="AL23" s="28">
        <f t="shared" si="26"/>
        <v>18782.808000000001</v>
      </c>
      <c r="AM23" s="28">
        <f t="shared" si="26"/>
        <v>18782.808000000001</v>
      </c>
      <c r="AN23" s="28">
        <f t="shared" si="26"/>
        <v>18782.808000000001</v>
      </c>
      <c r="AO23" s="30"/>
      <c r="AP23" s="28"/>
      <c r="AQ23" s="16">
        <v>3</v>
      </c>
      <c r="AR23" s="16">
        <f t="shared" si="27"/>
        <v>280</v>
      </c>
      <c r="AS23" s="28">
        <f t="shared" si="28"/>
        <v>235</v>
      </c>
      <c r="AT23" s="28"/>
      <c r="AU23" s="30">
        <v>117392.55</v>
      </c>
      <c r="AV23" s="28" t="str">
        <f t="shared" si="29"/>
        <v>小:0</v>
      </c>
      <c r="AW23" s="28"/>
      <c r="AX23" s="28"/>
      <c r="AZ23" s="28"/>
      <c r="BA23" s="16">
        <f t="shared" si="58"/>
        <v>3213.9805825242679</v>
      </c>
      <c r="BC23" s="7">
        <f t="shared" si="30"/>
        <v>191</v>
      </c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9"/>
      <c r="BQ23" s="9"/>
      <c r="BR23" s="9">
        <v>3601034</v>
      </c>
      <c r="BS23" s="9">
        <f>[1]monsters!$N23</f>
        <v>156.80000000000001</v>
      </c>
      <c r="BT23" s="9">
        <f>[1]monsters!$O23</f>
        <v>15.68</v>
      </c>
      <c r="BU23" s="9">
        <f>[1]monsters!$P23</f>
        <v>960</v>
      </c>
      <c r="BV23" s="9">
        <f>[1]monsters!$Q23</f>
        <v>96</v>
      </c>
      <c r="BW23" s="9">
        <f>[1]monsters!$R23</f>
        <v>19.600000000000001</v>
      </c>
      <c r="BX23" s="9">
        <f>[1]monsters!$S23</f>
        <v>1.96</v>
      </c>
      <c r="BY23" s="9">
        <f>[1]monsters!$K23</f>
        <v>1.5</v>
      </c>
      <c r="BZ23" s="7">
        <f>[1]monsters!$D23</f>
        <v>5</v>
      </c>
      <c r="CA23" s="7">
        <f t="shared" si="31"/>
        <v>0.1</v>
      </c>
      <c r="CB23" s="7">
        <f t="shared" si="32"/>
        <v>180.49923232323232</v>
      </c>
      <c r="CC23" s="7">
        <f t="shared" si="33"/>
        <v>18.049923232323234</v>
      </c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>
        <v>1</v>
      </c>
      <c r="CR23" s="25" t="b">
        <f t="shared" si="34"/>
        <v>1</v>
      </c>
      <c r="CS23" s="25" t="b">
        <f t="shared" si="35"/>
        <v>1</v>
      </c>
      <c r="CT23" s="25" t="b">
        <f t="shared" si="36"/>
        <v>1</v>
      </c>
      <c r="CU23" s="25" t="b">
        <f t="shared" si="37"/>
        <v>1</v>
      </c>
      <c r="CV23" s="25" t="b">
        <f t="shared" si="38"/>
        <v>1</v>
      </c>
      <c r="CW23" s="25" t="b">
        <f t="shared" si="39"/>
        <v>1</v>
      </c>
      <c r="CX23" s="16" t="str">
        <f t="shared" si="40"/>
        <v>5202055</v>
      </c>
      <c r="CY23" s="16" t="str">
        <f t="shared" si="41"/>
        <v>3202041</v>
      </c>
      <c r="CZ23" s="16" t="str">
        <f t="shared" si="42"/>
        <v>3202041</v>
      </c>
      <c r="DA23" s="16" t="str">
        <f t="shared" si="43"/>
        <v>3300042</v>
      </c>
      <c r="DB23" s="16" t="str">
        <f t="shared" si="44"/>
        <v>3400042</v>
      </c>
      <c r="DC23" s="16" t="str">
        <f t="shared" si="45"/>
        <v>3400042</v>
      </c>
      <c r="DD23" s="16">
        <v>5</v>
      </c>
      <c r="DE23" s="16">
        <v>4</v>
      </c>
      <c r="DF23" s="16">
        <v>4</v>
      </c>
      <c r="DG23" s="16">
        <v>4</v>
      </c>
      <c r="DH23" s="16">
        <v>4</v>
      </c>
      <c r="DI23" s="16">
        <v>4</v>
      </c>
      <c r="DJ23" s="16">
        <v>5</v>
      </c>
      <c r="DK23" s="16">
        <v>3</v>
      </c>
      <c r="DL23" s="16">
        <v>3</v>
      </c>
      <c r="DM23" s="16">
        <v>3</v>
      </c>
      <c r="DN23" s="16">
        <v>3</v>
      </c>
      <c r="DO23" s="16">
        <v>3</v>
      </c>
      <c r="DP23" s="51" t="s">
        <v>225</v>
      </c>
      <c r="DQ23" s="51" t="s">
        <v>117</v>
      </c>
      <c r="DR23" s="51" t="s">
        <v>117</v>
      </c>
      <c r="DS23" s="36" t="s">
        <v>121</v>
      </c>
      <c r="DT23" s="36" t="s">
        <v>116</v>
      </c>
      <c r="DU23" s="36" t="s">
        <v>116</v>
      </c>
      <c r="DV23" s="32">
        <f t="shared" si="5"/>
        <v>1</v>
      </c>
      <c r="DW23" s="32">
        <f t="shared" si="6"/>
        <v>1</v>
      </c>
      <c r="DX23" s="32">
        <f t="shared" si="7"/>
        <v>1</v>
      </c>
      <c r="DY23" s="32">
        <f t="shared" si="8"/>
        <v>2</v>
      </c>
      <c r="DZ23" s="32">
        <f t="shared" si="9"/>
        <v>2</v>
      </c>
      <c r="EA23" s="32">
        <f t="shared" si="10"/>
        <v>2</v>
      </c>
      <c r="EB23" s="31"/>
      <c r="EC23" s="7">
        <v>3500042</v>
      </c>
      <c r="ED23" s="35" t="s">
        <v>131</v>
      </c>
      <c r="EE23" s="16">
        <v>2</v>
      </c>
      <c r="EF23" s="16">
        <v>303320101</v>
      </c>
      <c r="EG23" s="25" t="str">
        <f t="shared" si="11"/>
        <v>对随机1名敌人造成335%攻击伤害，并嘲讽目标，使对方强制攻击自己。</v>
      </c>
      <c r="EQ23" s="16">
        <v>505320101</v>
      </c>
      <c r="ER23" s="16" t="s">
        <v>157</v>
      </c>
      <c r="FD23" s="16">
        <v>5202055</v>
      </c>
      <c r="FE23" s="16">
        <v>3202041</v>
      </c>
      <c r="FF23" s="16">
        <v>3202041</v>
      </c>
      <c r="FG23" s="16">
        <v>3300042</v>
      </c>
      <c r="FH23" s="16">
        <v>3400042</v>
      </c>
      <c r="FI23" s="16">
        <v>3400042</v>
      </c>
      <c r="FJ23" t="str">
        <f t="shared" si="46"/>
        <v>暗维京</v>
      </c>
      <c r="FK23" t="str">
        <f t="shared" si="47"/>
        <v>水维京</v>
      </c>
      <c r="FL23" t="str">
        <f t="shared" si="48"/>
        <v>水维京</v>
      </c>
      <c r="FM23" t="str">
        <f t="shared" si="49"/>
        <v>火忍者</v>
      </c>
      <c r="FN23" t="str">
        <f t="shared" si="50"/>
        <v>火巫师</v>
      </c>
      <c r="FO23" t="str">
        <f t="shared" si="51"/>
        <v>火巫师</v>
      </c>
      <c r="FP23" t="str">
        <f t="shared" si="52"/>
        <v>5</v>
      </c>
      <c r="FQ23" t="str">
        <f t="shared" si="53"/>
        <v>4</v>
      </c>
      <c r="FR23" t="str">
        <f t="shared" si="54"/>
        <v>4</v>
      </c>
      <c r="FS23" t="str">
        <f t="shared" si="55"/>
        <v>4</v>
      </c>
      <c r="FT23" t="str">
        <f t="shared" si="56"/>
        <v>4</v>
      </c>
      <c r="FU23" t="str">
        <f t="shared" si="57"/>
        <v>4</v>
      </c>
      <c r="FV23" t="str">
        <f t="shared" si="14"/>
        <v>5</v>
      </c>
      <c r="FW23" t="str">
        <f t="shared" si="15"/>
        <v>3</v>
      </c>
      <c r="FX23" t="str">
        <f t="shared" si="16"/>
        <v>3</v>
      </c>
      <c r="FY23" t="str">
        <f t="shared" si="17"/>
        <v>3</v>
      </c>
      <c r="FZ23" t="str">
        <f t="shared" si="18"/>
        <v>3</v>
      </c>
      <c r="GA23" t="str">
        <f t="shared" si="19"/>
        <v>3</v>
      </c>
    </row>
    <row r="24" spans="1:183" ht="13.5" customHeight="1">
      <c r="A24" s="1">
        <v>301</v>
      </c>
      <c r="B24" s="6">
        <v>10122</v>
      </c>
      <c r="C24" s="23" t="str">
        <f t="shared" si="20"/>
        <v>5501054,3201042,3302043,3201042,3602041,3602041</v>
      </c>
      <c r="D24" s="1" t="str">
        <f t="shared" si="21"/>
        <v>5,4,4,4,4,4</v>
      </c>
      <c r="E24" s="53" t="str">
        <f t="shared" si="22"/>
        <v>224,234,234,234,234,234</v>
      </c>
      <c r="F24" s="1">
        <f t="shared" si="0"/>
        <v>136282</v>
      </c>
      <c r="G24" s="23" t="s">
        <v>34</v>
      </c>
      <c r="H24" s="1" t="s">
        <v>28</v>
      </c>
      <c r="I24" s="1" t="s">
        <v>28</v>
      </c>
      <c r="J24" s="1" t="s">
        <v>28</v>
      </c>
      <c r="K24" s="2" t="s">
        <v>327</v>
      </c>
      <c r="L24" s="1">
        <v>0</v>
      </c>
      <c r="M24" s="1">
        <v>5</v>
      </c>
      <c r="O24" s="25">
        <f t="shared" si="23"/>
        <v>136282</v>
      </c>
      <c r="P24" s="16">
        <v>136282.1</v>
      </c>
      <c r="Q24" s="16">
        <v>5501054</v>
      </c>
      <c r="R24" s="16">
        <v>3201042</v>
      </c>
      <c r="S24" s="16">
        <v>3302043</v>
      </c>
      <c r="T24" s="16">
        <v>3201042</v>
      </c>
      <c r="U24" s="16">
        <v>3602041</v>
      </c>
      <c r="V24" s="16">
        <v>3602041</v>
      </c>
      <c r="W24" s="16">
        <v>5</v>
      </c>
      <c r="X24" s="16">
        <v>4</v>
      </c>
      <c r="Y24" s="16">
        <v>4</v>
      </c>
      <c r="Z24" s="16">
        <v>4</v>
      </c>
      <c r="AA24" s="16">
        <v>4</v>
      </c>
      <c r="AB24" s="16">
        <v>4</v>
      </c>
      <c r="AC24" s="16">
        <f t="shared" si="24"/>
        <v>224</v>
      </c>
      <c r="AD24" s="16">
        <f t="shared" si="59"/>
        <v>234</v>
      </c>
      <c r="AE24" s="16">
        <f t="shared" si="59"/>
        <v>234</v>
      </c>
      <c r="AF24" s="16">
        <f t="shared" si="59"/>
        <v>234</v>
      </c>
      <c r="AG24" s="16">
        <f t="shared" si="59"/>
        <v>234</v>
      </c>
      <c r="AH24" s="16">
        <f t="shared" si="59"/>
        <v>234</v>
      </c>
      <c r="AI24" s="28">
        <f t="shared" si="25"/>
        <v>27256.420000000002</v>
      </c>
      <c r="AJ24" s="28">
        <f t="shared" si="26"/>
        <v>21805.136000000002</v>
      </c>
      <c r="AK24" s="28">
        <f t="shared" si="26"/>
        <v>21805.136000000002</v>
      </c>
      <c r="AL24" s="28">
        <f t="shared" si="26"/>
        <v>21805.136000000002</v>
      </c>
      <c r="AM24" s="28">
        <f t="shared" si="26"/>
        <v>21805.136000000002</v>
      </c>
      <c r="AN24" s="28">
        <f t="shared" si="26"/>
        <v>21805.136000000002</v>
      </c>
      <c r="AO24" s="30"/>
      <c r="AP24" s="28"/>
      <c r="AQ24" s="16">
        <v>4</v>
      </c>
      <c r="AR24" s="16">
        <f t="shared" si="27"/>
        <v>238</v>
      </c>
      <c r="AS24" s="28">
        <f t="shared" si="28"/>
        <v>326</v>
      </c>
      <c r="AT24" s="28"/>
      <c r="AU24" s="30">
        <v>136282.1</v>
      </c>
      <c r="AV24" s="28" t="str">
        <f t="shared" si="29"/>
        <v>小:0</v>
      </c>
      <c r="AW24" s="28"/>
      <c r="AX24" s="28"/>
      <c r="AZ24" s="28"/>
      <c r="BA24" s="16">
        <f t="shared" si="58"/>
        <v>3225.2427184465978</v>
      </c>
      <c r="BC24" s="7">
        <f t="shared" si="30"/>
        <v>207</v>
      </c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9"/>
      <c r="BQ24" s="9"/>
      <c r="BR24" s="9">
        <v>3202035</v>
      </c>
      <c r="BS24" s="9">
        <f>[1]monsters!$N24</f>
        <v>173.6</v>
      </c>
      <c r="BT24" s="9">
        <f>[1]monsters!$O24</f>
        <v>17.36</v>
      </c>
      <c r="BU24" s="9">
        <f>[1]monsters!$P24</f>
        <v>867.1</v>
      </c>
      <c r="BV24" s="9">
        <f>[1]monsters!$Q24</f>
        <v>86.71</v>
      </c>
      <c r="BW24" s="9">
        <f>[1]monsters!$R24</f>
        <v>17.36</v>
      </c>
      <c r="BX24" s="9">
        <f>[1]monsters!$S24</f>
        <v>1.74</v>
      </c>
      <c r="BY24" s="9">
        <f>[1]monsters!$K24</f>
        <v>1.5</v>
      </c>
      <c r="BZ24" s="7">
        <f>[1]monsters!$D24</f>
        <v>6</v>
      </c>
      <c r="CA24" s="7">
        <f t="shared" si="31"/>
        <v>0.1</v>
      </c>
      <c r="CB24" s="7">
        <f t="shared" si="32"/>
        <v>193.24728619528619</v>
      </c>
      <c r="CC24" s="7">
        <f t="shared" si="33"/>
        <v>19.324728619528621</v>
      </c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>
        <v>0</v>
      </c>
      <c r="CR24" s="25" t="b">
        <f t="shared" si="34"/>
        <v>1</v>
      </c>
      <c r="CS24" s="25" t="b">
        <f t="shared" si="35"/>
        <v>1</v>
      </c>
      <c r="CT24" s="25" t="b">
        <f t="shared" si="36"/>
        <v>1</v>
      </c>
      <c r="CU24" s="25" t="b">
        <f t="shared" si="37"/>
        <v>1</v>
      </c>
      <c r="CV24" s="25" t="b">
        <f t="shared" si="38"/>
        <v>1</v>
      </c>
      <c r="CW24" s="25" t="b">
        <f t="shared" si="39"/>
        <v>1</v>
      </c>
      <c r="CX24" s="16" t="str">
        <f t="shared" si="40"/>
        <v>5501054</v>
      </c>
      <c r="CY24" s="16" t="str">
        <f t="shared" si="41"/>
        <v>3201042</v>
      </c>
      <c r="CZ24" s="16" t="str">
        <f t="shared" si="42"/>
        <v>3302043</v>
      </c>
      <c r="DA24" s="16" t="str">
        <f t="shared" si="43"/>
        <v>3201042</v>
      </c>
      <c r="DB24" s="16" t="str">
        <f t="shared" si="44"/>
        <v>3602041</v>
      </c>
      <c r="DC24" s="16" t="str">
        <f t="shared" si="45"/>
        <v>3602041</v>
      </c>
      <c r="DD24" s="16">
        <v>5</v>
      </c>
      <c r="DE24" s="16">
        <v>4</v>
      </c>
      <c r="DF24" s="16">
        <v>4</v>
      </c>
      <c r="DG24" s="16">
        <v>4</v>
      </c>
      <c r="DH24" s="16">
        <v>4</v>
      </c>
      <c r="DI24" s="16">
        <v>4</v>
      </c>
      <c r="DJ24" s="16">
        <v>5</v>
      </c>
      <c r="DK24" s="16">
        <v>3</v>
      </c>
      <c r="DL24" s="16">
        <v>3</v>
      </c>
      <c r="DM24" s="16">
        <v>3</v>
      </c>
      <c r="DN24" s="16">
        <v>3</v>
      </c>
      <c r="DO24" s="16">
        <v>3</v>
      </c>
      <c r="DP24" s="51" t="s">
        <v>226</v>
      </c>
      <c r="DQ24" s="51" t="s">
        <v>120</v>
      </c>
      <c r="DR24" s="51" t="s">
        <v>114</v>
      </c>
      <c r="DS24" s="36" t="s">
        <v>120</v>
      </c>
      <c r="DT24" s="36" t="s">
        <v>313</v>
      </c>
      <c r="DU24" s="36" t="s">
        <v>313</v>
      </c>
      <c r="DV24" s="32">
        <f t="shared" si="5"/>
        <v>2</v>
      </c>
      <c r="DW24" s="32">
        <f t="shared" si="6"/>
        <v>1</v>
      </c>
      <c r="DX24" s="32">
        <f t="shared" si="7"/>
        <v>1</v>
      </c>
      <c r="DY24" s="32">
        <f t="shared" si="8"/>
        <v>1</v>
      </c>
      <c r="DZ24" s="32">
        <f t="shared" si="9"/>
        <v>2</v>
      </c>
      <c r="EA24" s="32">
        <f t="shared" si="10"/>
        <v>2</v>
      </c>
      <c r="EB24" s="31"/>
      <c r="EC24" s="7">
        <v>3601042</v>
      </c>
      <c r="ED24" s="35" t="s">
        <v>133</v>
      </c>
      <c r="EE24" s="16">
        <v>2</v>
      </c>
      <c r="EF24" s="16">
        <v>303320201</v>
      </c>
      <c r="EG24" s="25" t="str">
        <f t="shared" si="11"/>
        <v>对随机2名敌人造成181%攻击伤害。</v>
      </c>
      <c r="EQ24" s="16">
        <v>505320201</v>
      </c>
      <c r="ER24" s="16" t="s">
        <v>158</v>
      </c>
      <c r="FD24" s="16">
        <v>5501054</v>
      </c>
      <c r="FE24" s="16">
        <v>3201042</v>
      </c>
      <c r="FF24" s="16">
        <v>3302043</v>
      </c>
      <c r="FG24" s="16">
        <v>3201042</v>
      </c>
      <c r="FH24" s="16">
        <v>3602041</v>
      </c>
      <c r="FI24" s="16">
        <v>3602041</v>
      </c>
      <c r="FJ24" t="str">
        <f t="shared" si="46"/>
        <v>光猎人</v>
      </c>
      <c r="FK24" t="str">
        <f t="shared" si="47"/>
        <v>火骑兵</v>
      </c>
      <c r="FL24" t="str">
        <f t="shared" si="48"/>
        <v>木盗贼</v>
      </c>
      <c r="FM24" t="str">
        <f t="shared" si="49"/>
        <v>火骑兵</v>
      </c>
      <c r="FN24" t="str">
        <f t="shared" si="50"/>
        <v>水学者</v>
      </c>
      <c r="FO24" t="str">
        <f t="shared" si="51"/>
        <v>水学者</v>
      </c>
      <c r="FP24" t="str">
        <f t="shared" si="52"/>
        <v>5</v>
      </c>
      <c r="FQ24" t="str">
        <f t="shared" si="53"/>
        <v>4</v>
      </c>
      <c r="FR24" t="str">
        <f t="shared" si="54"/>
        <v>4</v>
      </c>
      <c r="FS24" t="str">
        <f t="shared" si="55"/>
        <v>4</v>
      </c>
      <c r="FT24" t="str">
        <f t="shared" si="56"/>
        <v>4</v>
      </c>
      <c r="FU24" t="str">
        <f t="shared" si="57"/>
        <v>4</v>
      </c>
      <c r="FV24" t="str">
        <f t="shared" si="14"/>
        <v>5</v>
      </c>
      <c r="FW24" t="str">
        <f t="shared" si="15"/>
        <v>3</v>
      </c>
      <c r="FX24" t="str">
        <f t="shared" si="16"/>
        <v>3</v>
      </c>
      <c r="FY24" t="str">
        <f t="shared" si="17"/>
        <v>3</v>
      </c>
      <c r="FZ24" t="str">
        <f t="shared" si="18"/>
        <v>3</v>
      </c>
      <c r="GA24" t="str">
        <f t="shared" si="19"/>
        <v>3</v>
      </c>
    </row>
    <row r="25" spans="1:183" ht="13.5" customHeight="1">
      <c r="A25" s="1">
        <v>302</v>
      </c>
      <c r="B25" s="6">
        <v>10122</v>
      </c>
      <c r="C25" s="23" t="str">
        <f t="shared" si="20"/>
        <v>5600054,3201042,3201042,3300042,3400042,3400042</v>
      </c>
      <c r="D25" s="1" t="str">
        <f t="shared" si="21"/>
        <v>5,4,4,4,4,4</v>
      </c>
      <c r="E25" s="53" t="str">
        <f t="shared" si="22"/>
        <v>226,237,237,237,237,237</v>
      </c>
      <c r="F25" s="1">
        <f t="shared" si="0"/>
        <v>138706</v>
      </c>
      <c r="G25" s="23" t="s">
        <v>34</v>
      </c>
      <c r="H25" s="1" t="s">
        <v>28</v>
      </c>
      <c r="I25" s="1" t="s">
        <v>28</v>
      </c>
      <c r="J25" s="1" t="s">
        <v>28</v>
      </c>
      <c r="K25" s="2" t="s">
        <v>328</v>
      </c>
      <c r="L25" s="1">
        <v>0</v>
      </c>
      <c r="M25" s="1">
        <v>5</v>
      </c>
      <c r="O25" s="25">
        <f t="shared" si="23"/>
        <v>138706</v>
      </c>
      <c r="P25" s="16">
        <v>138705.60000000001</v>
      </c>
      <c r="Q25" s="16">
        <v>5600054</v>
      </c>
      <c r="R25" s="16">
        <v>3201042</v>
      </c>
      <c r="S25" s="16">
        <v>3201042</v>
      </c>
      <c r="T25" s="16">
        <v>3300042</v>
      </c>
      <c r="U25" s="16">
        <v>3400042</v>
      </c>
      <c r="V25" s="16">
        <v>3400042</v>
      </c>
      <c r="W25" s="16">
        <v>5</v>
      </c>
      <c r="X25" s="16">
        <v>4</v>
      </c>
      <c r="Y25" s="16">
        <v>4</v>
      </c>
      <c r="Z25" s="16">
        <v>4</v>
      </c>
      <c r="AA25" s="16">
        <v>4</v>
      </c>
      <c r="AB25" s="16">
        <v>4</v>
      </c>
      <c r="AC25" s="16">
        <f t="shared" si="24"/>
        <v>226</v>
      </c>
      <c r="AD25" s="16">
        <f t="shared" si="59"/>
        <v>237</v>
      </c>
      <c r="AE25" s="16">
        <f t="shared" si="59"/>
        <v>237</v>
      </c>
      <c r="AF25" s="16">
        <f t="shared" si="59"/>
        <v>237</v>
      </c>
      <c r="AG25" s="16">
        <f t="shared" si="59"/>
        <v>237</v>
      </c>
      <c r="AH25" s="16">
        <f t="shared" si="59"/>
        <v>237</v>
      </c>
      <c r="AI25" s="28">
        <f t="shared" si="25"/>
        <v>27741.120000000003</v>
      </c>
      <c r="AJ25" s="28">
        <f t="shared" si="26"/>
        <v>22192.896000000001</v>
      </c>
      <c r="AK25" s="28">
        <f t="shared" si="26"/>
        <v>22192.896000000001</v>
      </c>
      <c r="AL25" s="28">
        <f t="shared" si="26"/>
        <v>22192.896000000001</v>
      </c>
      <c r="AM25" s="28">
        <f t="shared" si="26"/>
        <v>22192.896000000001</v>
      </c>
      <c r="AN25" s="28">
        <f t="shared" si="26"/>
        <v>22192.896000000001</v>
      </c>
      <c r="AO25" s="30"/>
      <c r="AP25" s="28"/>
      <c r="AQ25" s="16">
        <v>4</v>
      </c>
      <c r="AR25" s="16">
        <f t="shared" si="27"/>
        <v>240</v>
      </c>
      <c r="AS25" s="28">
        <f t="shared" si="28"/>
        <v>327</v>
      </c>
      <c r="AT25" s="28"/>
      <c r="AU25" s="30">
        <v>138705.60000000001</v>
      </c>
      <c r="AV25" s="28" t="str">
        <f t="shared" si="29"/>
        <v>小:0</v>
      </c>
      <c r="AW25" s="28"/>
      <c r="AX25" s="28"/>
      <c r="AZ25" s="28"/>
      <c r="BA25" s="16">
        <f t="shared" si="58"/>
        <v>3236.5048543689277</v>
      </c>
      <c r="BC25" s="7">
        <f t="shared" si="30"/>
        <v>209</v>
      </c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9"/>
      <c r="BQ25" s="9"/>
      <c r="BR25" s="9">
        <v>3302035</v>
      </c>
      <c r="BS25" s="9">
        <f>[1]monsters!$N25</f>
        <v>112</v>
      </c>
      <c r="BT25" s="9">
        <f>[1]monsters!$O25</f>
        <v>11.2</v>
      </c>
      <c r="BU25" s="9">
        <f>[1]monsters!$P25</f>
        <v>1344</v>
      </c>
      <c r="BV25" s="9">
        <f>[1]monsters!$Q25</f>
        <v>134.4</v>
      </c>
      <c r="BW25" s="9">
        <f>[1]monsters!$R25</f>
        <v>28</v>
      </c>
      <c r="BX25" s="9">
        <f>[1]monsters!$S25</f>
        <v>2.8</v>
      </c>
      <c r="BY25" s="9">
        <f>[1]monsters!$K25</f>
        <v>1.5</v>
      </c>
      <c r="BZ25" s="7">
        <f>[1]monsters!$D25</f>
        <v>2</v>
      </c>
      <c r="CA25" s="7">
        <f t="shared" si="31"/>
        <v>0.1</v>
      </c>
      <c r="CB25" s="7">
        <f t="shared" si="32"/>
        <v>151.09252525252526</v>
      </c>
      <c r="CC25" s="7">
        <f t="shared" si="33"/>
        <v>15.109252525252527</v>
      </c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>
        <v>0</v>
      </c>
      <c r="CR25" s="25" t="b">
        <f t="shared" si="34"/>
        <v>1</v>
      </c>
      <c r="CS25" s="25" t="b">
        <f t="shared" si="35"/>
        <v>1</v>
      </c>
      <c r="CT25" s="25" t="b">
        <f t="shared" si="36"/>
        <v>1</v>
      </c>
      <c r="CU25" s="25" t="b">
        <f t="shared" si="37"/>
        <v>1</v>
      </c>
      <c r="CV25" s="25" t="b">
        <f t="shared" si="38"/>
        <v>1</v>
      </c>
      <c r="CW25" s="25" t="b">
        <f t="shared" si="39"/>
        <v>1</v>
      </c>
      <c r="CX25" s="16" t="str">
        <f t="shared" si="40"/>
        <v>5600054</v>
      </c>
      <c r="CY25" s="16" t="str">
        <f t="shared" si="41"/>
        <v>3201042</v>
      </c>
      <c r="CZ25" s="16" t="str">
        <f t="shared" si="42"/>
        <v>3201042</v>
      </c>
      <c r="DA25" s="16" t="str">
        <f t="shared" si="43"/>
        <v>3300042</v>
      </c>
      <c r="DB25" s="16" t="str">
        <f t="shared" si="44"/>
        <v>3400042</v>
      </c>
      <c r="DC25" s="16" t="str">
        <f t="shared" si="45"/>
        <v>3400042</v>
      </c>
      <c r="DD25" s="16">
        <v>5</v>
      </c>
      <c r="DE25" s="16">
        <v>4</v>
      </c>
      <c r="DF25" s="16">
        <v>4</v>
      </c>
      <c r="DG25" s="16">
        <v>4</v>
      </c>
      <c r="DH25" s="16">
        <v>4</v>
      </c>
      <c r="DI25" s="16">
        <v>4</v>
      </c>
      <c r="DJ25" s="16">
        <v>5</v>
      </c>
      <c r="DK25" s="16">
        <v>3</v>
      </c>
      <c r="DL25" s="16">
        <v>3</v>
      </c>
      <c r="DM25" s="16">
        <v>3</v>
      </c>
      <c r="DN25" s="16">
        <v>3</v>
      </c>
      <c r="DO25" s="16">
        <v>3</v>
      </c>
      <c r="DP25" s="51" t="s">
        <v>231</v>
      </c>
      <c r="DQ25" s="51" t="s">
        <v>120</v>
      </c>
      <c r="DR25" s="51" t="s">
        <v>120</v>
      </c>
      <c r="DS25" s="36" t="s">
        <v>121</v>
      </c>
      <c r="DT25" s="36" t="s">
        <v>116</v>
      </c>
      <c r="DU25" s="36" t="s">
        <v>116</v>
      </c>
      <c r="DV25" s="32">
        <f t="shared" si="5"/>
        <v>1</v>
      </c>
      <c r="DW25" s="32">
        <f t="shared" si="6"/>
        <v>1</v>
      </c>
      <c r="DX25" s="32">
        <f t="shared" si="7"/>
        <v>1</v>
      </c>
      <c r="DY25" s="32">
        <f t="shared" si="8"/>
        <v>2</v>
      </c>
      <c r="DZ25" s="32">
        <f t="shared" si="9"/>
        <v>2</v>
      </c>
      <c r="EA25" s="32">
        <f t="shared" si="10"/>
        <v>2</v>
      </c>
      <c r="EB25" s="31"/>
      <c r="EC25" s="7">
        <v>3200043</v>
      </c>
      <c r="ED25" s="35" t="s">
        <v>135</v>
      </c>
      <c r="EE25" s="16">
        <v>1</v>
      </c>
      <c r="EF25" s="16">
        <v>303330101</v>
      </c>
      <c r="EG25" s="25" t="str">
        <f t="shared" si="11"/>
        <v>对随机2名敌人造成221%攻击伤害。</v>
      </c>
      <c r="EQ25" s="16">
        <v>505330101</v>
      </c>
      <c r="ER25" s="16" t="s">
        <v>159</v>
      </c>
      <c r="FD25" s="16">
        <v>5600054</v>
      </c>
      <c r="FE25" s="16">
        <v>3201042</v>
      </c>
      <c r="FF25" s="16">
        <v>3201042</v>
      </c>
      <c r="FG25" s="16">
        <v>3300042</v>
      </c>
      <c r="FH25" s="16">
        <v>3400042</v>
      </c>
      <c r="FI25" s="16">
        <v>3400042</v>
      </c>
      <c r="FJ25" t="str">
        <f t="shared" si="46"/>
        <v>光武僧</v>
      </c>
      <c r="FK25" t="str">
        <f t="shared" si="47"/>
        <v>火骑兵</v>
      </c>
      <c r="FL25" t="str">
        <f t="shared" si="48"/>
        <v>火骑兵</v>
      </c>
      <c r="FM25" t="str">
        <f t="shared" si="49"/>
        <v>火忍者</v>
      </c>
      <c r="FN25" t="str">
        <f t="shared" si="50"/>
        <v>火巫师</v>
      </c>
      <c r="FO25" t="str">
        <f t="shared" si="51"/>
        <v>火巫师</v>
      </c>
      <c r="FP25" t="str">
        <f t="shared" si="52"/>
        <v>5</v>
      </c>
      <c r="FQ25" t="str">
        <f t="shared" si="53"/>
        <v>4</v>
      </c>
      <c r="FR25" t="str">
        <f t="shared" si="54"/>
        <v>4</v>
      </c>
      <c r="FS25" t="str">
        <f t="shared" si="55"/>
        <v>4</v>
      </c>
      <c r="FT25" t="str">
        <f t="shared" si="56"/>
        <v>4</v>
      </c>
      <c r="FU25" t="str">
        <f t="shared" si="57"/>
        <v>4</v>
      </c>
      <c r="FV25" t="str">
        <f t="shared" si="14"/>
        <v>5</v>
      </c>
      <c r="FW25" t="str">
        <f t="shared" si="15"/>
        <v>3</v>
      </c>
      <c r="FX25" t="str">
        <f t="shared" si="16"/>
        <v>3</v>
      </c>
      <c r="FY25" t="str">
        <f t="shared" si="17"/>
        <v>3</v>
      </c>
      <c r="FZ25" t="str">
        <f t="shared" si="18"/>
        <v>3</v>
      </c>
      <c r="GA25" t="str">
        <f t="shared" si="19"/>
        <v>3</v>
      </c>
    </row>
    <row r="26" spans="1:183" ht="13.5" customHeight="1">
      <c r="A26" s="1">
        <v>303</v>
      </c>
      <c r="B26" s="6">
        <v>10122</v>
      </c>
      <c r="C26" s="23" t="str">
        <f t="shared" si="20"/>
        <v>5602054,3302043,3201042,3302043,3501043,3501043</v>
      </c>
      <c r="D26" s="1" t="str">
        <f t="shared" si="21"/>
        <v>5,4,4,4,4,4</v>
      </c>
      <c r="E26" s="53" t="str">
        <f t="shared" si="22"/>
        <v>229,239,239,239,239,239</v>
      </c>
      <c r="F26" s="1">
        <f t="shared" si="0"/>
        <v>141930</v>
      </c>
      <c r="G26" s="23" t="s">
        <v>34</v>
      </c>
      <c r="H26" s="1" t="s">
        <v>28</v>
      </c>
      <c r="I26" s="1" t="s">
        <v>28</v>
      </c>
      <c r="J26" s="1" t="s">
        <v>28</v>
      </c>
      <c r="K26" s="2" t="s">
        <v>329</v>
      </c>
      <c r="L26" s="1">
        <v>0</v>
      </c>
      <c r="M26" s="1">
        <v>2</v>
      </c>
      <c r="O26" s="25">
        <f t="shared" si="23"/>
        <v>141930</v>
      </c>
      <c r="P26" s="16">
        <v>141930.15</v>
      </c>
      <c r="Q26" s="16">
        <v>5602054</v>
      </c>
      <c r="R26" s="16">
        <v>3302043</v>
      </c>
      <c r="S26" s="16">
        <v>3201042</v>
      </c>
      <c r="T26" s="16">
        <v>3302043</v>
      </c>
      <c r="U26" s="16">
        <v>3501043</v>
      </c>
      <c r="V26" s="16">
        <v>3501043</v>
      </c>
      <c r="W26" s="16">
        <v>5</v>
      </c>
      <c r="X26" s="16">
        <v>4</v>
      </c>
      <c r="Y26" s="16">
        <v>4</v>
      </c>
      <c r="Z26" s="16">
        <v>4</v>
      </c>
      <c r="AA26" s="16">
        <v>4</v>
      </c>
      <c r="AB26" s="16">
        <v>4</v>
      </c>
      <c r="AC26" s="16">
        <f t="shared" si="24"/>
        <v>229</v>
      </c>
      <c r="AD26" s="16">
        <f t="shared" si="59"/>
        <v>239</v>
      </c>
      <c r="AE26" s="16">
        <f t="shared" si="59"/>
        <v>239</v>
      </c>
      <c r="AF26" s="16">
        <f t="shared" si="59"/>
        <v>239</v>
      </c>
      <c r="AG26" s="16">
        <f t="shared" si="59"/>
        <v>239</v>
      </c>
      <c r="AH26" s="16">
        <f t="shared" si="59"/>
        <v>239</v>
      </c>
      <c r="AI26" s="28">
        <f t="shared" si="25"/>
        <v>28386.03</v>
      </c>
      <c r="AJ26" s="28">
        <f t="shared" si="26"/>
        <v>22708.824000000001</v>
      </c>
      <c r="AK26" s="28">
        <f t="shared" si="26"/>
        <v>22708.824000000001</v>
      </c>
      <c r="AL26" s="28">
        <f t="shared" si="26"/>
        <v>22708.824000000001</v>
      </c>
      <c r="AM26" s="28">
        <f t="shared" si="26"/>
        <v>22708.824000000001</v>
      </c>
      <c r="AN26" s="28">
        <f t="shared" si="26"/>
        <v>22708.824000000001</v>
      </c>
      <c r="AO26" s="30"/>
      <c r="AP26" s="28"/>
      <c r="AQ26" s="16">
        <v>4</v>
      </c>
      <c r="AR26" s="16">
        <f t="shared" si="27"/>
        <v>243</v>
      </c>
      <c r="AS26" s="28">
        <f t="shared" si="28"/>
        <v>328</v>
      </c>
      <c r="AT26" s="28"/>
      <c r="AU26" s="30">
        <v>141930.15</v>
      </c>
      <c r="AV26" s="28" t="str">
        <f t="shared" si="29"/>
        <v>小:0</v>
      </c>
      <c r="AW26" s="28"/>
      <c r="AX26" s="28"/>
      <c r="AZ26" s="28"/>
      <c r="BA26" s="16">
        <f t="shared" si="58"/>
        <v>3247.7669902912576</v>
      </c>
      <c r="BC26" s="7">
        <f t="shared" si="30"/>
        <v>211</v>
      </c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9"/>
      <c r="BQ26" s="9"/>
      <c r="BR26" s="9">
        <v>3400035</v>
      </c>
      <c r="BS26" s="9">
        <f>[1]monsters!$N26</f>
        <v>143.36000000000001</v>
      </c>
      <c r="BT26" s="9">
        <f>[1]monsters!$O26</f>
        <v>14.34</v>
      </c>
      <c r="BU26" s="9">
        <f>[1]monsters!$P26</f>
        <v>1120</v>
      </c>
      <c r="BV26" s="9">
        <f>[1]monsters!$Q26</f>
        <v>112</v>
      </c>
      <c r="BW26" s="9">
        <f>[1]monsters!$R26</f>
        <v>20.48</v>
      </c>
      <c r="BX26" s="9">
        <f>[1]monsters!$S26</f>
        <v>2.0499999999999998</v>
      </c>
      <c r="BY26" s="9">
        <f>[1]monsters!$K26</f>
        <v>1.6</v>
      </c>
      <c r="BZ26" s="7">
        <f>[1]monsters!$D26</f>
        <v>4</v>
      </c>
      <c r="CA26" s="7">
        <f t="shared" si="31"/>
        <v>0.1</v>
      </c>
      <c r="CB26" s="7">
        <f t="shared" si="32"/>
        <v>173.18563771043773</v>
      </c>
      <c r="CC26" s="7">
        <f t="shared" si="33"/>
        <v>17.318563771043774</v>
      </c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>
        <v>0</v>
      </c>
      <c r="CR26" s="25" t="b">
        <f t="shared" si="34"/>
        <v>1</v>
      </c>
      <c r="CS26" s="25" t="b">
        <f t="shared" si="35"/>
        <v>1</v>
      </c>
      <c r="CT26" s="25" t="b">
        <f t="shared" si="36"/>
        <v>1</v>
      </c>
      <c r="CU26" s="25" t="b">
        <f t="shared" si="37"/>
        <v>1</v>
      </c>
      <c r="CV26" s="25" t="b">
        <f t="shared" si="38"/>
        <v>1</v>
      </c>
      <c r="CW26" s="25" t="b">
        <f t="shared" si="39"/>
        <v>1</v>
      </c>
      <c r="CX26" s="16" t="str">
        <f t="shared" si="40"/>
        <v>5602054</v>
      </c>
      <c r="CY26" s="16" t="str">
        <f t="shared" si="41"/>
        <v>3302043</v>
      </c>
      <c r="CZ26" s="16" t="str">
        <f t="shared" si="42"/>
        <v>3201042</v>
      </c>
      <c r="DA26" s="16" t="str">
        <f t="shared" si="43"/>
        <v>3302043</v>
      </c>
      <c r="DB26" s="16" t="str">
        <f t="shared" si="44"/>
        <v>3501043</v>
      </c>
      <c r="DC26" s="16" t="str">
        <f t="shared" si="45"/>
        <v>3501043</v>
      </c>
      <c r="DD26" s="16">
        <v>5</v>
      </c>
      <c r="DE26" s="16">
        <v>4</v>
      </c>
      <c r="DF26" s="16">
        <v>4</v>
      </c>
      <c r="DG26" s="16">
        <v>4</v>
      </c>
      <c r="DH26" s="16">
        <v>4</v>
      </c>
      <c r="DI26" s="16">
        <v>4</v>
      </c>
      <c r="DJ26" s="16">
        <v>5</v>
      </c>
      <c r="DK26" s="16">
        <v>3</v>
      </c>
      <c r="DL26" s="16">
        <v>3</v>
      </c>
      <c r="DM26" s="16">
        <v>3</v>
      </c>
      <c r="DN26" s="16">
        <v>3</v>
      </c>
      <c r="DO26" s="16">
        <v>3</v>
      </c>
      <c r="DP26" s="51" t="s">
        <v>232</v>
      </c>
      <c r="DQ26" s="51" t="s">
        <v>114</v>
      </c>
      <c r="DR26" s="51" t="s">
        <v>120</v>
      </c>
      <c r="DS26" s="36" t="s">
        <v>114</v>
      </c>
      <c r="DT26" s="36" t="s">
        <v>127</v>
      </c>
      <c r="DU26" s="36" t="s">
        <v>127</v>
      </c>
      <c r="DV26" s="32">
        <f t="shared" si="5"/>
        <v>2</v>
      </c>
      <c r="DW26" s="32">
        <f t="shared" si="6"/>
        <v>1</v>
      </c>
      <c r="DX26" s="32">
        <f t="shared" si="7"/>
        <v>1</v>
      </c>
      <c r="DY26" s="32">
        <f t="shared" si="8"/>
        <v>1</v>
      </c>
      <c r="DZ26" s="32">
        <f t="shared" si="9"/>
        <v>2</v>
      </c>
      <c r="EA26" s="32">
        <f t="shared" si="10"/>
        <v>2</v>
      </c>
      <c r="EB26" s="15"/>
      <c r="EC26" s="7">
        <v>3401041</v>
      </c>
      <c r="ED26" s="35" t="s">
        <v>137</v>
      </c>
      <c r="EE26" s="16">
        <v>2</v>
      </c>
      <c r="EF26" s="16">
        <v>303340101</v>
      </c>
      <c r="EG26" s="25" t="str">
        <f t="shared" si="11"/>
        <v>对随机3名敌人造成141%攻击伤害。</v>
      </c>
      <c r="EQ26" s="16">
        <v>505340101</v>
      </c>
      <c r="ER26" s="16" t="s">
        <v>160</v>
      </c>
      <c r="FD26" s="16">
        <v>5602054</v>
      </c>
      <c r="FE26" s="16">
        <v>3302043</v>
      </c>
      <c r="FF26" s="16">
        <v>3201042</v>
      </c>
      <c r="FG26" s="16">
        <v>3302043</v>
      </c>
      <c r="FH26" s="16">
        <v>3501043</v>
      </c>
      <c r="FI26" s="16">
        <v>3501043</v>
      </c>
      <c r="FJ26" t="str">
        <f t="shared" si="46"/>
        <v>光学者</v>
      </c>
      <c r="FK26" t="str">
        <f t="shared" si="47"/>
        <v>木盗贼</v>
      </c>
      <c r="FL26" t="str">
        <f t="shared" si="48"/>
        <v>火骑兵</v>
      </c>
      <c r="FM26" t="str">
        <f t="shared" si="49"/>
        <v>木盗贼</v>
      </c>
      <c r="FN26" t="str">
        <f t="shared" si="50"/>
        <v>木猎人</v>
      </c>
      <c r="FO26" t="str">
        <f t="shared" si="51"/>
        <v>木猎人</v>
      </c>
      <c r="FP26" t="str">
        <f t="shared" si="52"/>
        <v>5</v>
      </c>
      <c r="FQ26" t="str">
        <f t="shared" si="53"/>
        <v>4</v>
      </c>
      <c r="FR26" t="str">
        <f t="shared" si="54"/>
        <v>4</v>
      </c>
      <c r="FS26" t="str">
        <f t="shared" si="55"/>
        <v>4</v>
      </c>
      <c r="FT26" t="str">
        <f t="shared" si="56"/>
        <v>4</v>
      </c>
      <c r="FU26" t="str">
        <f t="shared" si="57"/>
        <v>4</v>
      </c>
      <c r="FV26" t="str">
        <f t="shared" si="14"/>
        <v>5</v>
      </c>
      <c r="FW26" t="str">
        <f t="shared" si="15"/>
        <v>3</v>
      </c>
      <c r="FX26" t="str">
        <f t="shared" si="16"/>
        <v>3</v>
      </c>
      <c r="FY26" t="str">
        <f t="shared" si="17"/>
        <v>3</v>
      </c>
      <c r="FZ26" t="str">
        <f t="shared" si="18"/>
        <v>3</v>
      </c>
      <c r="GA26" t="str">
        <f t="shared" si="19"/>
        <v>3</v>
      </c>
    </row>
    <row r="27" spans="1:183" ht="13.5" customHeight="1">
      <c r="A27" s="1">
        <v>304</v>
      </c>
      <c r="B27" s="6">
        <v>10122</v>
      </c>
      <c r="C27" s="23" t="str">
        <f t="shared" si="20"/>
        <v>5600054,3201042,3201042,3501043,3602041,3501043</v>
      </c>
      <c r="D27" s="1" t="str">
        <f t="shared" si="21"/>
        <v>5,4,4,4,4,4</v>
      </c>
      <c r="E27" s="53" t="str">
        <f t="shared" si="22"/>
        <v>231,242,242,242,242,242</v>
      </c>
      <c r="F27" s="1">
        <f t="shared" si="0"/>
        <v>144407</v>
      </c>
      <c r="G27" s="23" t="s">
        <v>34</v>
      </c>
      <c r="H27" s="1" t="s">
        <v>28</v>
      </c>
      <c r="I27" s="1" t="s">
        <v>28</v>
      </c>
      <c r="J27" s="1" t="s">
        <v>28</v>
      </c>
      <c r="K27" s="2" t="s">
        <v>330</v>
      </c>
      <c r="L27" s="1">
        <v>0</v>
      </c>
      <c r="M27" s="1">
        <v>2</v>
      </c>
      <c r="O27" s="25">
        <f t="shared" si="23"/>
        <v>144407</v>
      </c>
      <c r="P27" s="16">
        <v>144407.29999999999</v>
      </c>
      <c r="Q27" s="16">
        <v>5600054</v>
      </c>
      <c r="R27" s="16">
        <v>3201042</v>
      </c>
      <c r="S27" s="16">
        <v>3201042</v>
      </c>
      <c r="T27" s="16">
        <v>3501043</v>
      </c>
      <c r="U27" s="16">
        <v>3602041</v>
      </c>
      <c r="V27" s="16">
        <v>3501043</v>
      </c>
      <c r="W27" s="16">
        <v>5</v>
      </c>
      <c r="X27" s="16">
        <v>4</v>
      </c>
      <c r="Y27" s="16">
        <v>4</v>
      </c>
      <c r="Z27" s="16">
        <v>4</v>
      </c>
      <c r="AA27" s="16">
        <v>4</v>
      </c>
      <c r="AB27" s="16">
        <v>4</v>
      </c>
      <c r="AC27" s="16">
        <f t="shared" si="24"/>
        <v>231</v>
      </c>
      <c r="AD27" s="16">
        <f t="shared" si="59"/>
        <v>242</v>
      </c>
      <c r="AE27" s="16">
        <f t="shared" si="59"/>
        <v>242</v>
      </c>
      <c r="AF27" s="16">
        <f t="shared" si="59"/>
        <v>242</v>
      </c>
      <c r="AG27" s="16">
        <f t="shared" si="59"/>
        <v>242</v>
      </c>
      <c r="AH27" s="16">
        <f t="shared" si="59"/>
        <v>242</v>
      </c>
      <c r="AI27" s="28">
        <f t="shared" si="25"/>
        <v>28881.46</v>
      </c>
      <c r="AJ27" s="28">
        <f t="shared" si="26"/>
        <v>23105.167999999998</v>
      </c>
      <c r="AK27" s="28">
        <f t="shared" si="26"/>
        <v>23105.167999999998</v>
      </c>
      <c r="AL27" s="28">
        <f t="shared" si="26"/>
        <v>23105.167999999998</v>
      </c>
      <c r="AM27" s="28">
        <f t="shared" si="26"/>
        <v>23105.167999999998</v>
      </c>
      <c r="AN27" s="28">
        <f t="shared" si="26"/>
        <v>23105.167999999998</v>
      </c>
      <c r="AO27" s="30"/>
      <c r="AP27" s="28"/>
      <c r="AQ27" s="16">
        <v>4</v>
      </c>
      <c r="AR27" s="16">
        <f t="shared" si="27"/>
        <v>245</v>
      </c>
      <c r="AS27" s="28">
        <f t="shared" si="28"/>
        <v>329</v>
      </c>
      <c r="AT27" s="28"/>
      <c r="AU27" s="30">
        <v>144407.29999999999</v>
      </c>
      <c r="AV27" s="28" t="str">
        <f t="shared" si="29"/>
        <v>小:0</v>
      </c>
      <c r="AW27" s="28"/>
      <c r="AX27" s="28"/>
      <c r="AZ27" s="28"/>
      <c r="BA27" s="16">
        <f t="shared" si="58"/>
        <v>3259.0291262135875</v>
      </c>
      <c r="BC27" s="7">
        <f t="shared" si="30"/>
        <v>213</v>
      </c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9"/>
      <c r="BQ27" s="9"/>
      <c r="BR27" s="9">
        <v>3500035</v>
      </c>
      <c r="BS27" s="9">
        <f>[1]monsters!$N27</f>
        <v>134.4</v>
      </c>
      <c r="BT27" s="9">
        <f>[1]monsters!$O27</f>
        <v>13.44</v>
      </c>
      <c r="BU27" s="9">
        <f>[1]monsters!$P27</f>
        <v>1120</v>
      </c>
      <c r="BV27" s="9">
        <f>[1]monsters!$Q27</f>
        <v>112</v>
      </c>
      <c r="BW27" s="9">
        <f>[1]monsters!$R27</f>
        <v>19.2</v>
      </c>
      <c r="BX27" s="9">
        <f>[1]monsters!$S27</f>
        <v>1.92</v>
      </c>
      <c r="BY27" s="9">
        <f>[1]monsters!$K27</f>
        <v>1.5</v>
      </c>
      <c r="BZ27" s="7">
        <f>[1]monsters!$D27</f>
        <v>4</v>
      </c>
      <c r="CA27" s="7">
        <f t="shared" si="31"/>
        <v>0.1</v>
      </c>
      <c r="CB27" s="7">
        <f t="shared" si="32"/>
        <v>164.71843771043771</v>
      </c>
      <c r="CC27" s="7">
        <f t="shared" si="33"/>
        <v>16.471843771043773</v>
      </c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>
        <v>0</v>
      </c>
      <c r="CR27" s="25" t="b">
        <f t="shared" si="34"/>
        <v>1</v>
      </c>
      <c r="CS27" s="25" t="b">
        <f t="shared" si="35"/>
        <v>1</v>
      </c>
      <c r="CT27" s="25" t="b">
        <f t="shared" si="36"/>
        <v>1</v>
      </c>
      <c r="CU27" s="25" t="b">
        <f t="shared" si="37"/>
        <v>1</v>
      </c>
      <c r="CV27" s="25" t="b">
        <f t="shared" si="38"/>
        <v>1</v>
      </c>
      <c r="CW27" s="25" t="b">
        <f t="shared" si="39"/>
        <v>1</v>
      </c>
      <c r="CX27" s="16" t="str">
        <f t="shared" si="40"/>
        <v>5600054</v>
      </c>
      <c r="CY27" s="16" t="str">
        <f t="shared" si="41"/>
        <v>3201042</v>
      </c>
      <c r="CZ27" s="16" t="str">
        <f t="shared" si="42"/>
        <v>3201042</v>
      </c>
      <c r="DA27" s="16" t="str">
        <f t="shared" si="43"/>
        <v>3501043</v>
      </c>
      <c r="DB27" s="16" t="str">
        <f t="shared" si="44"/>
        <v>3602041</v>
      </c>
      <c r="DC27" s="16" t="str">
        <f t="shared" si="45"/>
        <v>3501043</v>
      </c>
      <c r="DD27" s="16">
        <v>5</v>
      </c>
      <c r="DE27" s="16">
        <v>4</v>
      </c>
      <c r="DF27" s="16">
        <v>4</v>
      </c>
      <c r="DG27" s="16">
        <v>4</v>
      </c>
      <c r="DH27" s="16">
        <v>4</v>
      </c>
      <c r="DI27" s="16">
        <v>4</v>
      </c>
      <c r="DJ27" s="16">
        <v>5</v>
      </c>
      <c r="DK27" s="16">
        <v>3</v>
      </c>
      <c r="DL27" s="16">
        <v>3</v>
      </c>
      <c r="DM27" s="16">
        <v>3</v>
      </c>
      <c r="DN27" s="16">
        <v>3</v>
      </c>
      <c r="DO27" s="16">
        <v>3</v>
      </c>
      <c r="DP27" s="13" t="s">
        <v>231</v>
      </c>
      <c r="DQ27" s="13" t="s">
        <v>120</v>
      </c>
      <c r="DR27" s="13" t="s">
        <v>120</v>
      </c>
      <c r="DS27" s="51" t="s">
        <v>127</v>
      </c>
      <c r="DT27" s="14" t="s">
        <v>313</v>
      </c>
      <c r="DU27" s="14" t="s">
        <v>127</v>
      </c>
      <c r="DV27" s="32">
        <f t="shared" si="5"/>
        <v>1</v>
      </c>
      <c r="DW27" s="32">
        <f t="shared" si="6"/>
        <v>1</v>
      </c>
      <c r="DX27" s="32">
        <f t="shared" si="7"/>
        <v>1</v>
      </c>
      <c r="DY27" s="32">
        <f t="shared" si="8"/>
        <v>2</v>
      </c>
      <c r="DZ27" s="32">
        <f t="shared" si="9"/>
        <v>2</v>
      </c>
      <c r="EA27" s="32">
        <f t="shared" si="10"/>
        <v>2</v>
      </c>
      <c r="EB27" s="15"/>
      <c r="EC27" s="7">
        <v>3402043</v>
      </c>
      <c r="ED27" s="35" t="s">
        <v>139</v>
      </c>
      <c r="EE27" s="16">
        <v>2</v>
      </c>
      <c r="EF27" s="16">
        <v>303340201</v>
      </c>
      <c r="EG27" s="25" t="str">
        <f t="shared" si="11"/>
        <v>对距离最远的2名敌人造成181%攻击伤害。</v>
      </c>
      <c r="EQ27" s="16">
        <v>505340201</v>
      </c>
      <c r="ER27" s="16" t="s">
        <v>161</v>
      </c>
      <c r="FD27" s="16">
        <v>5600054</v>
      </c>
      <c r="FE27" s="16">
        <v>3201042</v>
      </c>
      <c r="FF27" s="16">
        <v>3201042</v>
      </c>
      <c r="FG27" s="16">
        <v>3501043</v>
      </c>
      <c r="FH27" s="16">
        <v>3602041</v>
      </c>
      <c r="FI27" s="16">
        <v>3501043</v>
      </c>
      <c r="FJ27" t="str">
        <f t="shared" si="46"/>
        <v>光武僧</v>
      </c>
      <c r="FK27" t="str">
        <f t="shared" si="47"/>
        <v>火骑兵</v>
      </c>
      <c r="FL27" t="str">
        <f t="shared" si="48"/>
        <v>火骑兵</v>
      </c>
      <c r="FM27" t="str">
        <f t="shared" si="49"/>
        <v>木猎人</v>
      </c>
      <c r="FN27" t="str">
        <f t="shared" si="50"/>
        <v>水学者</v>
      </c>
      <c r="FO27" t="str">
        <f t="shared" si="51"/>
        <v>木猎人</v>
      </c>
      <c r="FP27" t="str">
        <f t="shared" si="52"/>
        <v>5</v>
      </c>
      <c r="FQ27" t="str">
        <f t="shared" si="53"/>
        <v>4</v>
      </c>
      <c r="FR27" t="str">
        <f t="shared" si="54"/>
        <v>4</v>
      </c>
      <c r="FS27" t="str">
        <f t="shared" si="55"/>
        <v>4</v>
      </c>
      <c r="FT27" t="str">
        <f t="shared" si="56"/>
        <v>4</v>
      </c>
      <c r="FU27" t="str">
        <f t="shared" si="57"/>
        <v>4</v>
      </c>
      <c r="FV27" t="str">
        <f t="shared" si="14"/>
        <v>5</v>
      </c>
      <c r="FW27" t="str">
        <f t="shared" si="15"/>
        <v>3</v>
      </c>
      <c r="FX27" t="str">
        <f t="shared" si="16"/>
        <v>3</v>
      </c>
      <c r="FY27" t="str">
        <f t="shared" si="17"/>
        <v>3</v>
      </c>
      <c r="FZ27" t="str">
        <f t="shared" si="18"/>
        <v>3</v>
      </c>
      <c r="GA27" t="str">
        <f t="shared" si="19"/>
        <v>3</v>
      </c>
    </row>
    <row r="28" spans="1:183" ht="13.5" customHeight="1">
      <c r="A28" s="1">
        <v>305</v>
      </c>
      <c r="B28" s="6">
        <v>10122</v>
      </c>
      <c r="C28" s="23" t="str">
        <f t="shared" si="20"/>
        <v>5501054,3202041,3202041,3202041,3501043,3501043</v>
      </c>
      <c r="D28" s="1" t="str">
        <f t="shared" si="21"/>
        <v>5,4,4,4,4,4</v>
      </c>
      <c r="E28" s="53" t="str">
        <f t="shared" si="22"/>
        <v>234,244,244,244,244,244</v>
      </c>
      <c r="F28" s="1">
        <f t="shared" si="0"/>
        <v>147697</v>
      </c>
      <c r="G28" s="23" t="s">
        <v>34</v>
      </c>
      <c r="H28" s="1" t="s">
        <v>28</v>
      </c>
      <c r="I28" s="1" t="s">
        <v>28</v>
      </c>
      <c r="J28" s="1" t="s">
        <v>28</v>
      </c>
      <c r="K28" s="2" t="s">
        <v>331</v>
      </c>
      <c r="L28" s="1">
        <v>0</v>
      </c>
      <c r="M28" s="1">
        <v>6</v>
      </c>
      <c r="O28" s="25">
        <f t="shared" si="23"/>
        <v>147697</v>
      </c>
      <c r="P28" s="16">
        <v>147696.6</v>
      </c>
      <c r="Q28" s="16">
        <v>5501054</v>
      </c>
      <c r="R28" s="16">
        <v>3202041</v>
      </c>
      <c r="S28" s="16">
        <v>3202041</v>
      </c>
      <c r="T28" s="16">
        <v>3202041</v>
      </c>
      <c r="U28" s="16">
        <v>3501043</v>
      </c>
      <c r="V28" s="16">
        <v>3501043</v>
      </c>
      <c r="W28" s="16">
        <v>5</v>
      </c>
      <c r="X28" s="16">
        <v>4</v>
      </c>
      <c r="Y28" s="16">
        <v>4</v>
      </c>
      <c r="Z28" s="16">
        <v>4</v>
      </c>
      <c r="AA28" s="16">
        <v>4</v>
      </c>
      <c r="AB28" s="16">
        <v>4</v>
      </c>
      <c r="AC28" s="16">
        <f t="shared" si="24"/>
        <v>234</v>
      </c>
      <c r="AD28" s="16">
        <f t="shared" si="59"/>
        <v>244</v>
      </c>
      <c r="AE28" s="16">
        <f t="shared" si="59"/>
        <v>244</v>
      </c>
      <c r="AF28" s="16">
        <f t="shared" si="59"/>
        <v>244</v>
      </c>
      <c r="AG28" s="16">
        <f t="shared" si="59"/>
        <v>244</v>
      </c>
      <c r="AH28" s="16">
        <f t="shared" si="59"/>
        <v>244</v>
      </c>
      <c r="AI28" s="28">
        <f t="shared" si="25"/>
        <v>29539.320000000003</v>
      </c>
      <c r="AJ28" s="28">
        <f t="shared" si="26"/>
        <v>23631.456000000002</v>
      </c>
      <c r="AK28" s="28">
        <f t="shared" si="26"/>
        <v>23631.456000000002</v>
      </c>
      <c r="AL28" s="28">
        <f t="shared" si="26"/>
        <v>23631.456000000002</v>
      </c>
      <c r="AM28" s="28">
        <f t="shared" si="26"/>
        <v>23631.456000000002</v>
      </c>
      <c r="AN28" s="28">
        <f t="shared" si="26"/>
        <v>23631.456000000002</v>
      </c>
      <c r="AO28" s="30"/>
      <c r="AP28" s="28"/>
      <c r="AQ28" s="16">
        <v>4</v>
      </c>
      <c r="AR28" s="16">
        <f t="shared" si="27"/>
        <v>248</v>
      </c>
      <c r="AS28" s="28">
        <f t="shared" si="28"/>
        <v>330</v>
      </c>
      <c r="AT28" s="28"/>
      <c r="AU28" s="30">
        <v>147696.6</v>
      </c>
      <c r="AV28" s="28" t="str">
        <f t="shared" si="29"/>
        <v>小:0</v>
      </c>
      <c r="AW28" s="28"/>
      <c r="AX28" s="28"/>
      <c r="AZ28" s="28"/>
      <c r="BA28" s="16">
        <f t="shared" si="58"/>
        <v>3270.2912621359173</v>
      </c>
      <c r="BC28" s="7">
        <f t="shared" si="30"/>
        <v>216</v>
      </c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28"/>
      <c r="BQ28" s="9"/>
      <c r="BR28" s="9">
        <v>3601035</v>
      </c>
      <c r="BS28" s="9">
        <f>[1]monsters!$N28</f>
        <v>167.25</v>
      </c>
      <c r="BT28" s="9">
        <f>[1]monsters!$O28</f>
        <v>16.73</v>
      </c>
      <c r="BU28" s="9">
        <f>[1]monsters!$P28</f>
        <v>960</v>
      </c>
      <c r="BV28" s="9">
        <f>[1]monsters!$Q28</f>
        <v>96</v>
      </c>
      <c r="BW28" s="9">
        <f>[1]monsters!$R28</f>
        <v>20.91</v>
      </c>
      <c r="BX28" s="9">
        <f>[1]monsters!$S28</f>
        <v>2.09</v>
      </c>
      <c r="BY28" s="9">
        <f>[1]monsters!$K28</f>
        <v>1.6</v>
      </c>
      <c r="BZ28" s="7">
        <f>[1]monsters!$D28</f>
        <v>5</v>
      </c>
      <c r="CA28" s="7">
        <f t="shared" si="31"/>
        <v>0.1</v>
      </c>
      <c r="CB28" s="7">
        <f t="shared" si="32"/>
        <v>190.37448232323231</v>
      </c>
      <c r="CC28" s="7">
        <f t="shared" si="33"/>
        <v>19.037448232323232</v>
      </c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>
        <v>1</v>
      </c>
      <c r="CR28" s="25" t="b">
        <f t="shared" si="34"/>
        <v>1</v>
      </c>
      <c r="CS28" s="25" t="b">
        <f t="shared" si="35"/>
        <v>1</v>
      </c>
      <c r="CT28" s="25" t="b">
        <f t="shared" si="36"/>
        <v>1</v>
      </c>
      <c r="CU28" s="25" t="b">
        <f t="shared" si="37"/>
        <v>1</v>
      </c>
      <c r="CV28" s="25" t="b">
        <f t="shared" si="38"/>
        <v>1</v>
      </c>
      <c r="CW28" s="25" t="b">
        <f t="shared" si="39"/>
        <v>1</v>
      </c>
      <c r="CX28" s="16" t="str">
        <f t="shared" si="40"/>
        <v>5501054</v>
      </c>
      <c r="CY28" s="16" t="str">
        <f t="shared" si="41"/>
        <v>3202041</v>
      </c>
      <c r="CZ28" s="16" t="str">
        <f t="shared" si="42"/>
        <v>3202041</v>
      </c>
      <c r="DA28" s="16" t="str">
        <f t="shared" si="43"/>
        <v>3202041</v>
      </c>
      <c r="DB28" s="16" t="str">
        <f t="shared" si="44"/>
        <v>3501043</v>
      </c>
      <c r="DC28" s="16" t="str">
        <f t="shared" si="45"/>
        <v>3501043</v>
      </c>
      <c r="DD28" s="16">
        <v>5</v>
      </c>
      <c r="DE28" s="16">
        <v>4</v>
      </c>
      <c r="DF28" s="16">
        <v>4</v>
      </c>
      <c r="DG28" s="16">
        <v>4</v>
      </c>
      <c r="DH28" s="16">
        <v>4</v>
      </c>
      <c r="DI28" s="16">
        <v>4</v>
      </c>
      <c r="DJ28" s="16">
        <v>5</v>
      </c>
      <c r="DK28" s="16">
        <v>3</v>
      </c>
      <c r="DL28" s="16">
        <v>3</v>
      </c>
      <c r="DM28" s="16">
        <v>3</v>
      </c>
      <c r="DN28" s="16">
        <v>3</v>
      </c>
      <c r="DO28" s="16">
        <v>3</v>
      </c>
      <c r="DP28" s="51" t="s">
        <v>226</v>
      </c>
      <c r="DQ28" s="51" t="s">
        <v>117</v>
      </c>
      <c r="DR28" s="13" t="s">
        <v>117</v>
      </c>
      <c r="DS28" s="36" t="s">
        <v>117</v>
      </c>
      <c r="DT28" s="51" t="s">
        <v>127</v>
      </c>
      <c r="DU28" s="13" t="s">
        <v>127</v>
      </c>
      <c r="DV28" s="32">
        <f t="shared" si="5"/>
        <v>2</v>
      </c>
      <c r="DW28" s="32">
        <f t="shared" si="6"/>
        <v>1</v>
      </c>
      <c r="DX28" s="32">
        <f t="shared" si="7"/>
        <v>1</v>
      </c>
      <c r="DY28" s="32">
        <f t="shared" si="8"/>
        <v>1</v>
      </c>
      <c r="DZ28" s="32">
        <f t="shared" si="9"/>
        <v>2</v>
      </c>
      <c r="EA28" s="32">
        <f t="shared" si="10"/>
        <v>2</v>
      </c>
      <c r="EB28" s="31"/>
      <c r="EC28" s="7">
        <v>3501043</v>
      </c>
      <c r="ED28" s="35" t="s">
        <v>141</v>
      </c>
      <c r="EE28" s="16">
        <v>2</v>
      </c>
      <c r="EF28" s="16">
        <v>303350001</v>
      </c>
      <c r="EG28" s="25" t="str">
        <f t="shared" si="11"/>
        <v>对随机3名敌人造成132%攻击伤害。</v>
      </c>
      <c r="EQ28" s="16">
        <v>505350001</v>
      </c>
      <c r="ER28" s="16" t="s">
        <v>162</v>
      </c>
      <c r="FD28" s="16">
        <v>5501054</v>
      </c>
      <c r="FE28" s="16">
        <v>3202041</v>
      </c>
      <c r="FF28" s="16">
        <v>3202041</v>
      </c>
      <c r="FG28" s="16">
        <v>3202041</v>
      </c>
      <c r="FH28" s="16">
        <v>3501043</v>
      </c>
      <c r="FI28" s="16">
        <v>3501043</v>
      </c>
      <c r="FJ28" t="str">
        <f t="shared" si="46"/>
        <v>光猎人</v>
      </c>
      <c r="FK28" t="str">
        <f t="shared" si="47"/>
        <v>水维京</v>
      </c>
      <c r="FL28" t="str">
        <f t="shared" si="48"/>
        <v>水维京</v>
      </c>
      <c r="FM28" t="str">
        <f t="shared" si="49"/>
        <v>水维京</v>
      </c>
      <c r="FN28" t="str">
        <f t="shared" si="50"/>
        <v>木猎人</v>
      </c>
      <c r="FO28" t="str">
        <f t="shared" si="51"/>
        <v>木猎人</v>
      </c>
      <c r="FP28" t="str">
        <f t="shared" si="52"/>
        <v>5</v>
      </c>
      <c r="FQ28" t="str">
        <f t="shared" si="53"/>
        <v>4</v>
      </c>
      <c r="FR28" t="str">
        <f t="shared" si="54"/>
        <v>4</v>
      </c>
      <c r="FS28" t="str">
        <f t="shared" si="55"/>
        <v>4</v>
      </c>
      <c r="FT28" t="str">
        <f t="shared" si="56"/>
        <v>4</v>
      </c>
      <c r="FU28" t="str">
        <f t="shared" si="57"/>
        <v>4</v>
      </c>
      <c r="FV28" t="str">
        <f t="shared" si="14"/>
        <v>5</v>
      </c>
      <c r="FW28" t="str">
        <f t="shared" si="15"/>
        <v>3</v>
      </c>
      <c r="FX28" t="str">
        <f t="shared" si="16"/>
        <v>3</v>
      </c>
      <c r="FY28" t="str">
        <f t="shared" si="17"/>
        <v>3</v>
      </c>
      <c r="FZ28" t="str">
        <f t="shared" si="18"/>
        <v>3</v>
      </c>
      <c r="GA28" t="str">
        <f t="shared" si="19"/>
        <v>3</v>
      </c>
    </row>
    <row r="29" spans="1:183" ht="13.5" customHeight="1">
      <c r="A29" s="1">
        <v>306</v>
      </c>
      <c r="B29" s="6">
        <v>10122</v>
      </c>
      <c r="C29" s="23" t="str">
        <f t="shared" si="20"/>
        <v>5600054,3201042,3201042,3400042,3300042,3400042</v>
      </c>
      <c r="D29" s="1" t="str">
        <f t="shared" si="21"/>
        <v>5,4,4,4,4,4</v>
      </c>
      <c r="E29" s="53" t="str">
        <f t="shared" si="22"/>
        <v>236,247,247,247,247,247</v>
      </c>
      <c r="F29" s="1">
        <f t="shared" si="0"/>
        <v>150224</v>
      </c>
      <c r="G29" s="23" t="s">
        <v>34</v>
      </c>
      <c r="H29" s="1" t="s">
        <v>28</v>
      </c>
      <c r="I29" s="1" t="s">
        <v>28</v>
      </c>
      <c r="J29" s="1" t="s">
        <v>28</v>
      </c>
      <c r="K29" s="2" t="s">
        <v>29</v>
      </c>
      <c r="L29" s="1">
        <v>0</v>
      </c>
      <c r="M29" s="1">
        <v>6</v>
      </c>
      <c r="O29" s="25">
        <f t="shared" si="23"/>
        <v>150224</v>
      </c>
      <c r="P29" s="16">
        <v>150223.70000000001</v>
      </c>
      <c r="Q29" s="16">
        <v>5600054</v>
      </c>
      <c r="R29" s="16">
        <v>3201042</v>
      </c>
      <c r="S29" s="16">
        <v>3201042</v>
      </c>
      <c r="T29" s="16">
        <v>3400042</v>
      </c>
      <c r="U29" s="16">
        <v>3300042</v>
      </c>
      <c r="V29" s="16">
        <v>3400042</v>
      </c>
      <c r="W29" s="16">
        <v>5</v>
      </c>
      <c r="X29" s="16">
        <v>4</v>
      </c>
      <c r="Y29" s="16">
        <v>4</v>
      </c>
      <c r="Z29" s="16">
        <v>4</v>
      </c>
      <c r="AA29" s="16">
        <v>4</v>
      </c>
      <c r="AB29" s="16">
        <v>4</v>
      </c>
      <c r="AC29" s="16">
        <f t="shared" si="24"/>
        <v>236</v>
      </c>
      <c r="AD29" s="16">
        <f t="shared" si="59"/>
        <v>247</v>
      </c>
      <c r="AE29" s="16">
        <f t="shared" si="59"/>
        <v>247</v>
      </c>
      <c r="AF29" s="16">
        <f t="shared" si="59"/>
        <v>247</v>
      </c>
      <c r="AG29" s="16">
        <f t="shared" si="59"/>
        <v>247</v>
      </c>
      <c r="AH29" s="16">
        <f t="shared" si="59"/>
        <v>247</v>
      </c>
      <c r="AI29" s="28">
        <f t="shared" si="25"/>
        <v>30044.740000000005</v>
      </c>
      <c r="AJ29" s="28">
        <f t="shared" si="26"/>
        <v>24035.792000000001</v>
      </c>
      <c r="AK29" s="28">
        <f t="shared" si="26"/>
        <v>24035.792000000001</v>
      </c>
      <c r="AL29" s="28">
        <f t="shared" si="26"/>
        <v>24035.792000000001</v>
      </c>
      <c r="AM29" s="28">
        <f t="shared" si="26"/>
        <v>24035.792000000001</v>
      </c>
      <c r="AN29" s="28">
        <f t="shared" si="26"/>
        <v>24035.792000000001</v>
      </c>
      <c r="AO29" s="30"/>
      <c r="AP29" s="28"/>
      <c r="AQ29" s="16">
        <v>4</v>
      </c>
      <c r="AR29" s="16">
        <f t="shared" si="27"/>
        <v>250</v>
      </c>
      <c r="AS29" s="28">
        <f t="shared" si="28"/>
        <v>331</v>
      </c>
      <c r="AT29" s="28"/>
      <c r="AU29" s="30">
        <v>150223.70000000001</v>
      </c>
      <c r="AV29" s="28" t="str">
        <f t="shared" si="29"/>
        <v>小:0</v>
      </c>
      <c r="AW29" s="28"/>
      <c r="AX29" s="28"/>
      <c r="AZ29" s="28"/>
      <c r="BA29" s="16">
        <f t="shared" si="58"/>
        <v>3281.5533980582472</v>
      </c>
      <c r="BC29" s="7">
        <f t="shared" si="30"/>
        <v>217</v>
      </c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28"/>
      <c r="BQ29" s="9"/>
      <c r="BR29" s="9">
        <v>4201041</v>
      </c>
      <c r="BS29" s="9">
        <f>[1]monsters!$N29</f>
        <v>162.03</v>
      </c>
      <c r="BT29" s="9">
        <f>[1]monsters!$O29</f>
        <v>16.2</v>
      </c>
      <c r="BU29" s="9">
        <f>[1]monsters!$P29</f>
        <v>867.1</v>
      </c>
      <c r="BV29" s="9">
        <f>[1]monsters!$Q29</f>
        <v>86.71</v>
      </c>
      <c r="BW29" s="9">
        <f>[1]monsters!$R29</f>
        <v>16.2</v>
      </c>
      <c r="BX29" s="9">
        <f>[1]monsters!$S29</f>
        <v>1.62</v>
      </c>
      <c r="BY29" s="9">
        <f>[1]monsters!$K29</f>
        <v>1.4000000000000001</v>
      </c>
      <c r="BZ29" s="7">
        <f>[1]monsters!$D29</f>
        <v>6</v>
      </c>
      <c r="CA29" s="7">
        <f t="shared" si="31"/>
        <v>0.1</v>
      </c>
      <c r="CB29" s="7">
        <f t="shared" si="32"/>
        <v>182.31363619528622</v>
      </c>
      <c r="CC29" s="7">
        <f t="shared" si="33"/>
        <v>18.231363619528622</v>
      </c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>
        <v>0</v>
      </c>
      <c r="CR29" s="25" t="b">
        <f t="shared" si="34"/>
        <v>1</v>
      </c>
      <c r="CS29" s="25" t="b">
        <f t="shared" si="35"/>
        <v>1</v>
      </c>
      <c r="CT29" s="25" t="b">
        <f t="shared" si="36"/>
        <v>1</v>
      </c>
      <c r="CU29" s="25" t="b">
        <f t="shared" si="37"/>
        <v>1</v>
      </c>
      <c r="CV29" s="25" t="b">
        <f t="shared" si="38"/>
        <v>1</v>
      </c>
      <c r="CW29" s="25" t="b">
        <f t="shared" si="39"/>
        <v>1</v>
      </c>
      <c r="CX29" s="16" t="str">
        <f t="shared" si="40"/>
        <v>5600054</v>
      </c>
      <c r="CY29" s="16" t="str">
        <f t="shared" si="41"/>
        <v>3201042</v>
      </c>
      <c r="CZ29" s="16" t="str">
        <f t="shared" si="42"/>
        <v>3201042</v>
      </c>
      <c r="DA29" s="16" t="str">
        <f t="shared" si="43"/>
        <v>3400042</v>
      </c>
      <c r="DB29" s="16" t="str">
        <f t="shared" si="44"/>
        <v>3300042</v>
      </c>
      <c r="DC29" s="16" t="str">
        <f t="shared" si="45"/>
        <v>3400042</v>
      </c>
      <c r="DD29" s="16">
        <v>5</v>
      </c>
      <c r="DE29" s="16">
        <v>4</v>
      </c>
      <c r="DF29" s="16">
        <v>4</v>
      </c>
      <c r="DG29" s="16">
        <v>4</v>
      </c>
      <c r="DH29" s="16">
        <v>4</v>
      </c>
      <c r="DI29" s="16">
        <v>4</v>
      </c>
      <c r="DJ29" s="16">
        <v>5</v>
      </c>
      <c r="DK29" s="16">
        <v>3</v>
      </c>
      <c r="DL29" s="16">
        <v>3</v>
      </c>
      <c r="DM29" s="16">
        <v>3</v>
      </c>
      <c r="DN29" s="16">
        <v>3</v>
      </c>
      <c r="DO29" s="16">
        <v>3</v>
      </c>
      <c r="DP29" s="51" t="s">
        <v>231</v>
      </c>
      <c r="DQ29" s="51" t="s">
        <v>120</v>
      </c>
      <c r="DR29" s="51" t="s">
        <v>120</v>
      </c>
      <c r="DS29" s="14" t="s">
        <v>116</v>
      </c>
      <c r="DT29" s="36" t="s">
        <v>121</v>
      </c>
      <c r="DU29" s="36" t="s">
        <v>116</v>
      </c>
      <c r="DV29" s="32">
        <f t="shared" si="5"/>
        <v>1</v>
      </c>
      <c r="DW29" s="32">
        <f t="shared" si="6"/>
        <v>1</v>
      </c>
      <c r="DX29" s="32">
        <f t="shared" si="7"/>
        <v>1</v>
      </c>
      <c r="DY29" s="32">
        <f t="shared" si="8"/>
        <v>2</v>
      </c>
      <c r="DZ29" s="32">
        <f t="shared" si="9"/>
        <v>2</v>
      </c>
      <c r="EA29" s="32">
        <f t="shared" si="10"/>
        <v>2</v>
      </c>
      <c r="EB29" s="38"/>
      <c r="EC29" s="7">
        <v>3600043</v>
      </c>
      <c r="ED29" s="35" t="s">
        <v>143</v>
      </c>
      <c r="EE29" s="16">
        <v>1</v>
      </c>
      <c r="EF29" s="16">
        <v>303350201</v>
      </c>
      <c r="EG29" s="25" t="str">
        <f t="shared" si="11"/>
        <v>对随机3名敌人造成151%攻击伤害。</v>
      </c>
      <c r="EQ29" s="16">
        <v>505350201</v>
      </c>
      <c r="ER29" s="16" t="s">
        <v>163</v>
      </c>
      <c r="FD29" s="16">
        <v>5600054</v>
      </c>
      <c r="FE29" s="16">
        <v>3201042</v>
      </c>
      <c r="FF29" s="16">
        <v>3201042</v>
      </c>
      <c r="FG29" s="16">
        <v>3400042</v>
      </c>
      <c r="FH29" s="16">
        <v>3300042</v>
      </c>
      <c r="FI29" s="16">
        <v>3400042</v>
      </c>
      <c r="FJ29" t="str">
        <f t="shared" si="46"/>
        <v>光武僧</v>
      </c>
      <c r="FK29" t="str">
        <f t="shared" si="47"/>
        <v>火骑兵</v>
      </c>
      <c r="FL29" t="str">
        <f t="shared" si="48"/>
        <v>火骑兵</v>
      </c>
      <c r="FM29" t="str">
        <f t="shared" si="49"/>
        <v>火巫师</v>
      </c>
      <c r="FN29" t="str">
        <f t="shared" si="50"/>
        <v>火忍者</v>
      </c>
      <c r="FO29" t="str">
        <f t="shared" si="51"/>
        <v>火巫师</v>
      </c>
      <c r="FP29" t="str">
        <f t="shared" si="52"/>
        <v>5</v>
      </c>
      <c r="FQ29" t="str">
        <f t="shared" si="53"/>
        <v>4</v>
      </c>
      <c r="FR29" t="str">
        <f t="shared" si="54"/>
        <v>4</v>
      </c>
      <c r="FS29" t="str">
        <f t="shared" si="55"/>
        <v>4</v>
      </c>
      <c r="FT29" t="str">
        <f t="shared" si="56"/>
        <v>4</v>
      </c>
      <c r="FU29" t="str">
        <f t="shared" si="57"/>
        <v>4</v>
      </c>
      <c r="FV29" t="str">
        <f t="shared" si="14"/>
        <v>5</v>
      </c>
      <c r="FW29" t="str">
        <f t="shared" si="15"/>
        <v>3</v>
      </c>
      <c r="FX29" t="str">
        <f t="shared" si="16"/>
        <v>3</v>
      </c>
      <c r="FY29" t="str">
        <f t="shared" si="17"/>
        <v>3</v>
      </c>
      <c r="FZ29" t="str">
        <f t="shared" si="18"/>
        <v>3</v>
      </c>
      <c r="GA29" t="str">
        <f t="shared" si="19"/>
        <v>3</v>
      </c>
    </row>
    <row r="30" spans="1:183" ht="13.5" customHeight="1">
      <c r="A30" s="1">
        <v>307</v>
      </c>
      <c r="B30" s="6">
        <v>10122</v>
      </c>
      <c r="C30" s="23" t="str">
        <f t="shared" si="20"/>
        <v>5601053,3200053,3200053,3200053,3401051,3401051</v>
      </c>
      <c r="D30" s="1" t="str">
        <f t="shared" si="21"/>
        <v>5,5,5,5,5,5</v>
      </c>
      <c r="E30" s="53" t="str">
        <f t="shared" si="22"/>
        <v>238,217,217,217,217,217</v>
      </c>
      <c r="F30" s="1">
        <f t="shared" si="0"/>
        <v>153578</v>
      </c>
      <c r="G30" s="23" t="s">
        <v>34</v>
      </c>
      <c r="H30" s="1" t="s">
        <v>28</v>
      </c>
      <c r="I30" s="1" t="s">
        <v>28</v>
      </c>
      <c r="J30" s="1" t="s">
        <v>28</v>
      </c>
      <c r="K30" s="2" t="s">
        <v>332</v>
      </c>
      <c r="L30" s="1">
        <v>0</v>
      </c>
      <c r="M30" s="1">
        <v>4</v>
      </c>
      <c r="O30" s="25">
        <f t="shared" si="23"/>
        <v>153578</v>
      </c>
      <c r="P30" s="16">
        <v>153577.75</v>
      </c>
      <c r="Q30" s="16">
        <v>5601053</v>
      </c>
      <c r="R30" s="16">
        <v>3200053</v>
      </c>
      <c r="S30" s="16">
        <v>3200053</v>
      </c>
      <c r="T30" s="16">
        <v>3200053</v>
      </c>
      <c r="U30" s="16">
        <v>3401051</v>
      </c>
      <c r="V30" s="16">
        <v>3401051</v>
      </c>
      <c r="W30" s="16">
        <v>5</v>
      </c>
      <c r="X30" s="16">
        <v>5</v>
      </c>
      <c r="Y30" s="16">
        <v>5</v>
      </c>
      <c r="Z30" s="16">
        <v>5</v>
      </c>
      <c r="AA30" s="16">
        <v>5</v>
      </c>
      <c r="AB30" s="16">
        <v>5</v>
      </c>
      <c r="AC30" s="16">
        <f t="shared" si="24"/>
        <v>238</v>
      </c>
      <c r="AD30" s="16">
        <f t="shared" si="59"/>
        <v>217</v>
      </c>
      <c r="AE30" s="16">
        <f t="shared" si="59"/>
        <v>217</v>
      </c>
      <c r="AF30" s="16">
        <f t="shared" si="59"/>
        <v>217</v>
      </c>
      <c r="AG30" s="16">
        <f t="shared" si="59"/>
        <v>217</v>
      </c>
      <c r="AH30" s="16">
        <f t="shared" si="59"/>
        <v>217</v>
      </c>
      <c r="AI30" s="28">
        <f t="shared" si="25"/>
        <v>30715.550000000003</v>
      </c>
      <c r="AJ30" s="28">
        <f t="shared" si="26"/>
        <v>24572.440000000002</v>
      </c>
      <c r="AK30" s="28">
        <f t="shared" si="26"/>
        <v>24572.440000000002</v>
      </c>
      <c r="AL30" s="28">
        <f t="shared" si="26"/>
        <v>24572.440000000002</v>
      </c>
      <c r="AM30" s="28">
        <f t="shared" si="26"/>
        <v>24572.440000000002</v>
      </c>
      <c r="AN30" s="28">
        <f t="shared" si="26"/>
        <v>24572.440000000002</v>
      </c>
      <c r="AO30" s="30"/>
      <c r="AP30" s="28"/>
      <c r="AQ30" s="16">
        <v>4</v>
      </c>
      <c r="AR30" s="16">
        <f t="shared" si="27"/>
        <v>253</v>
      </c>
      <c r="AS30" s="28">
        <f t="shared" si="28"/>
        <v>332</v>
      </c>
      <c r="AT30" s="28"/>
      <c r="AU30" s="30">
        <v>153577.75</v>
      </c>
      <c r="AV30" s="28" t="str">
        <f t="shared" si="29"/>
        <v>小:0</v>
      </c>
      <c r="AW30" s="28"/>
      <c r="AX30" s="28"/>
      <c r="AZ30" s="28"/>
      <c r="BA30" s="16">
        <f t="shared" si="58"/>
        <v>3292.8155339805771</v>
      </c>
      <c r="BC30" s="7">
        <f t="shared" si="30"/>
        <v>220</v>
      </c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28"/>
      <c r="BQ30" s="9"/>
      <c r="BR30" s="9">
        <v>4300041</v>
      </c>
      <c r="BS30" s="9">
        <f>[1]monsters!$N30</f>
        <v>208.32</v>
      </c>
      <c r="BT30" s="9">
        <f>[1]monsters!$O30</f>
        <v>20.83</v>
      </c>
      <c r="BU30" s="9">
        <f>[1]monsters!$P30</f>
        <v>867.1</v>
      </c>
      <c r="BV30" s="9">
        <f>[1]monsters!$Q30</f>
        <v>86.71</v>
      </c>
      <c r="BW30" s="9">
        <f>[1]monsters!$R30</f>
        <v>20.83</v>
      </c>
      <c r="BX30" s="9">
        <f>[1]monsters!$S30</f>
        <v>2.08</v>
      </c>
      <c r="BY30" s="9">
        <f>[1]monsters!$K30</f>
        <v>1.8</v>
      </c>
      <c r="BZ30" s="7">
        <f>[1]monsters!$D30</f>
        <v>6</v>
      </c>
      <c r="CA30" s="7">
        <f t="shared" si="31"/>
        <v>0.1</v>
      </c>
      <c r="CB30" s="7">
        <f t="shared" si="32"/>
        <v>226.05768619528621</v>
      </c>
      <c r="CC30" s="7">
        <f t="shared" si="33"/>
        <v>22.605768619528622</v>
      </c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>
        <v>0</v>
      </c>
      <c r="CR30" s="25" t="b">
        <f t="shared" si="34"/>
        <v>1</v>
      </c>
      <c r="CS30" s="25" t="b">
        <f t="shared" si="35"/>
        <v>1</v>
      </c>
      <c r="CT30" s="25" t="b">
        <f t="shared" si="36"/>
        <v>1</v>
      </c>
      <c r="CU30" s="25" t="b">
        <f t="shared" si="37"/>
        <v>1</v>
      </c>
      <c r="CV30" s="25" t="b">
        <f t="shared" si="38"/>
        <v>1</v>
      </c>
      <c r="CW30" s="25" t="b">
        <f t="shared" si="39"/>
        <v>1</v>
      </c>
      <c r="CX30" s="16" t="str">
        <f t="shared" si="40"/>
        <v>5601053</v>
      </c>
      <c r="CY30" s="16" t="str">
        <f t="shared" si="41"/>
        <v>3200053</v>
      </c>
      <c r="CZ30" s="16" t="str">
        <f t="shared" si="42"/>
        <v>3200053</v>
      </c>
      <c r="DA30" s="16" t="str">
        <f t="shared" si="43"/>
        <v>3200053</v>
      </c>
      <c r="DB30" s="16" t="str">
        <f t="shared" si="44"/>
        <v>3401051</v>
      </c>
      <c r="DC30" s="16" t="str">
        <f t="shared" si="45"/>
        <v>3401051</v>
      </c>
      <c r="DD30" s="16">
        <v>5</v>
      </c>
      <c r="DE30" s="16">
        <v>5</v>
      </c>
      <c r="DF30" s="16">
        <v>5</v>
      </c>
      <c r="DG30" s="16">
        <v>5</v>
      </c>
      <c r="DH30" s="16">
        <v>5</v>
      </c>
      <c r="DI30" s="16">
        <v>5</v>
      </c>
      <c r="DJ30" s="16">
        <v>5</v>
      </c>
      <c r="DK30" s="16">
        <v>3</v>
      </c>
      <c r="DL30" s="16">
        <v>3</v>
      </c>
      <c r="DM30" s="16">
        <v>3</v>
      </c>
      <c r="DN30" s="16">
        <v>3</v>
      </c>
      <c r="DO30" s="16">
        <v>3</v>
      </c>
      <c r="DP30" s="51" t="s">
        <v>228</v>
      </c>
      <c r="DQ30" s="51" t="s">
        <v>119</v>
      </c>
      <c r="DR30" s="51" t="s">
        <v>119</v>
      </c>
      <c r="DS30" s="36" t="s">
        <v>119</v>
      </c>
      <c r="DT30" s="51" t="s">
        <v>123</v>
      </c>
      <c r="DU30" s="51" t="s">
        <v>123</v>
      </c>
      <c r="DV30" s="32">
        <f t="shared" si="5"/>
        <v>2</v>
      </c>
      <c r="DW30" s="32">
        <f t="shared" si="6"/>
        <v>1</v>
      </c>
      <c r="DX30" s="32">
        <f t="shared" si="7"/>
        <v>1</v>
      </c>
      <c r="DY30" s="32">
        <f t="shared" si="8"/>
        <v>1</v>
      </c>
      <c r="DZ30" s="32">
        <f t="shared" si="9"/>
        <v>2</v>
      </c>
      <c r="EA30" s="32">
        <f t="shared" si="10"/>
        <v>2</v>
      </c>
      <c r="EB30" s="38"/>
      <c r="EC30" s="7">
        <v>3602041</v>
      </c>
      <c r="ED30" s="35" t="s">
        <v>145</v>
      </c>
      <c r="EE30" s="16">
        <v>2</v>
      </c>
      <c r="EF30" s="16">
        <v>303360101</v>
      </c>
      <c r="EG30" s="25" t="str">
        <f t="shared" si="11"/>
        <v>治疗血量最少的2名友军，恢复206%攻击等量的生命。</v>
      </c>
      <c r="EQ30" s="16">
        <v>505360101</v>
      </c>
      <c r="ER30" s="16" t="s">
        <v>164</v>
      </c>
      <c r="FD30" s="16">
        <v>5601053</v>
      </c>
      <c r="FE30" s="16">
        <v>3200053</v>
      </c>
      <c r="FF30" s="16">
        <v>3200053</v>
      </c>
      <c r="FG30" s="16">
        <v>3200053</v>
      </c>
      <c r="FH30" s="16">
        <v>3401051</v>
      </c>
      <c r="FI30" s="16">
        <v>3401051</v>
      </c>
      <c r="FJ30" t="str">
        <f t="shared" si="46"/>
        <v>木修女</v>
      </c>
      <c r="FK30" t="str">
        <f t="shared" si="47"/>
        <v>木刀客</v>
      </c>
      <c r="FL30" t="str">
        <f t="shared" si="48"/>
        <v>木刀客</v>
      </c>
      <c r="FM30" t="str">
        <f t="shared" si="49"/>
        <v>木刀客</v>
      </c>
      <c r="FN30" t="str">
        <f t="shared" si="50"/>
        <v>水魔法师</v>
      </c>
      <c r="FO30" t="str">
        <f t="shared" si="51"/>
        <v>水魔法师</v>
      </c>
      <c r="FP30" t="str">
        <f t="shared" si="52"/>
        <v>5</v>
      </c>
      <c r="FQ30" t="str">
        <f t="shared" si="53"/>
        <v>5</v>
      </c>
      <c r="FR30" t="str">
        <f t="shared" si="54"/>
        <v>5</v>
      </c>
      <c r="FS30" t="str">
        <f t="shared" si="55"/>
        <v>5</v>
      </c>
      <c r="FT30" t="str">
        <f t="shared" si="56"/>
        <v>5</v>
      </c>
      <c r="FU30" t="str">
        <f t="shared" si="57"/>
        <v>5</v>
      </c>
      <c r="FV30" t="str">
        <f t="shared" si="14"/>
        <v>5</v>
      </c>
      <c r="FW30" t="str">
        <f t="shared" si="15"/>
        <v>3</v>
      </c>
      <c r="FX30" t="str">
        <f t="shared" si="16"/>
        <v>3</v>
      </c>
      <c r="FY30" t="str">
        <f t="shared" si="17"/>
        <v>3</v>
      </c>
      <c r="FZ30" t="str">
        <f t="shared" si="18"/>
        <v>3</v>
      </c>
      <c r="GA30" t="str">
        <f t="shared" si="19"/>
        <v>3</v>
      </c>
    </row>
    <row r="31" spans="1:183" ht="13.5" customHeight="1">
      <c r="A31" s="1">
        <v>308</v>
      </c>
      <c r="B31" s="6">
        <v>10122</v>
      </c>
      <c r="C31" s="23" t="str">
        <f t="shared" si="20"/>
        <v>5201053,3201052,3201052,3500052,3402053,3601052</v>
      </c>
      <c r="D31" s="1" t="str">
        <f t="shared" si="21"/>
        <v>5,5,5,5,5,5</v>
      </c>
      <c r="E31" s="53" t="str">
        <f t="shared" si="22"/>
        <v>241,219,219,219,219,219</v>
      </c>
      <c r="F31" s="1">
        <f t="shared" si="0"/>
        <v>156159</v>
      </c>
      <c r="G31" s="23" t="s">
        <v>34</v>
      </c>
      <c r="H31" s="1" t="s">
        <v>28</v>
      </c>
      <c r="I31" s="1" t="s">
        <v>28</v>
      </c>
      <c r="J31" s="1" t="s">
        <v>28</v>
      </c>
      <c r="K31" s="2" t="s">
        <v>333</v>
      </c>
      <c r="L31" s="1">
        <v>0</v>
      </c>
      <c r="M31" s="1">
        <v>4</v>
      </c>
      <c r="O31" s="25">
        <f t="shared" si="23"/>
        <v>156159</v>
      </c>
      <c r="P31" s="16">
        <v>156158.5</v>
      </c>
      <c r="Q31" s="16">
        <v>5201053</v>
      </c>
      <c r="R31" s="16">
        <v>3201052</v>
      </c>
      <c r="S31" s="16">
        <v>3201052</v>
      </c>
      <c r="T31" s="16">
        <v>3500052</v>
      </c>
      <c r="U31" s="16">
        <v>3402053</v>
      </c>
      <c r="V31" s="16">
        <v>3601052</v>
      </c>
      <c r="W31" s="16">
        <v>5</v>
      </c>
      <c r="X31" s="16">
        <v>5</v>
      </c>
      <c r="Y31" s="16">
        <v>5</v>
      </c>
      <c r="Z31" s="16">
        <v>5</v>
      </c>
      <c r="AA31" s="16">
        <v>5</v>
      </c>
      <c r="AB31" s="16">
        <v>5</v>
      </c>
      <c r="AC31" s="16">
        <f t="shared" si="24"/>
        <v>241</v>
      </c>
      <c r="AD31" s="16">
        <f t="shared" si="59"/>
        <v>219</v>
      </c>
      <c r="AE31" s="16">
        <f t="shared" si="59"/>
        <v>219</v>
      </c>
      <c r="AF31" s="16">
        <f t="shared" si="59"/>
        <v>219</v>
      </c>
      <c r="AG31" s="16">
        <f t="shared" si="59"/>
        <v>219</v>
      </c>
      <c r="AH31" s="16">
        <f t="shared" si="59"/>
        <v>219</v>
      </c>
      <c r="AI31" s="28">
        <f t="shared" si="25"/>
        <v>31231.7</v>
      </c>
      <c r="AJ31" s="28">
        <f t="shared" si="26"/>
        <v>24985.360000000001</v>
      </c>
      <c r="AK31" s="28">
        <f t="shared" si="26"/>
        <v>24985.360000000001</v>
      </c>
      <c r="AL31" s="28">
        <f t="shared" si="26"/>
        <v>24985.360000000001</v>
      </c>
      <c r="AM31" s="28">
        <f t="shared" si="26"/>
        <v>24985.360000000001</v>
      </c>
      <c r="AN31" s="28">
        <f t="shared" si="26"/>
        <v>24985.360000000001</v>
      </c>
      <c r="AO31" s="30"/>
      <c r="AP31" s="28"/>
      <c r="AQ31" s="16">
        <v>4</v>
      </c>
      <c r="AR31" s="16">
        <f t="shared" si="27"/>
        <v>255</v>
      </c>
      <c r="AS31" s="28">
        <f t="shared" si="28"/>
        <v>333</v>
      </c>
      <c r="AT31" s="28"/>
      <c r="AU31" s="30">
        <v>156158.5</v>
      </c>
      <c r="AV31" s="28" t="str">
        <f t="shared" si="29"/>
        <v>小:0</v>
      </c>
      <c r="AW31" s="28"/>
      <c r="AX31" s="28"/>
      <c r="AZ31" s="28"/>
      <c r="BA31" s="16">
        <f t="shared" si="58"/>
        <v>3304.077669902907</v>
      </c>
      <c r="BC31" s="7">
        <f t="shared" si="30"/>
        <v>222</v>
      </c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28"/>
      <c r="BQ31" s="9"/>
      <c r="BR31" s="9">
        <v>4401041</v>
      </c>
      <c r="BS31" s="9">
        <f>[1]monsters!$N31</f>
        <v>87.36</v>
      </c>
      <c r="BT31" s="9">
        <f>[1]monsters!$O31</f>
        <v>8.74</v>
      </c>
      <c r="BU31" s="9">
        <f>[1]monsters!$P31</f>
        <v>1493.33</v>
      </c>
      <c r="BV31" s="9">
        <f>[1]monsters!$Q31</f>
        <v>149.33000000000001</v>
      </c>
      <c r="BW31" s="9">
        <f>[1]monsters!$R31</f>
        <v>17.47</v>
      </c>
      <c r="BX31" s="9">
        <f>[1]monsters!$S31</f>
        <v>1.75</v>
      </c>
      <c r="BY31" s="9">
        <f>[1]monsters!$K31</f>
        <v>1.3</v>
      </c>
      <c r="BZ31" s="7">
        <f>[1]monsters!$D31</f>
        <v>3</v>
      </c>
      <c r="CA31" s="7">
        <f t="shared" si="31"/>
        <v>0.1</v>
      </c>
      <c r="CB31" s="7">
        <f t="shared" si="32"/>
        <v>132.83567138047138</v>
      </c>
      <c r="CC31" s="7">
        <f t="shared" si="33"/>
        <v>13.28356713804714</v>
      </c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>
        <v>0</v>
      </c>
      <c r="CR31" s="25" t="b">
        <f t="shared" si="34"/>
        <v>1</v>
      </c>
      <c r="CS31" s="25" t="b">
        <f t="shared" si="35"/>
        <v>1</v>
      </c>
      <c r="CT31" s="25" t="b">
        <f t="shared" si="36"/>
        <v>1</v>
      </c>
      <c r="CU31" s="25" t="b">
        <f t="shared" si="37"/>
        <v>1</v>
      </c>
      <c r="CV31" s="25" t="b">
        <f t="shared" si="38"/>
        <v>1</v>
      </c>
      <c r="CW31" s="25" t="b">
        <f t="shared" si="39"/>
        <v>1</v>
      </c>
      <c r="CX31" s="16" t="str">
        <f t="shared" si="40"/>
        <v>5201053</v>
      </c>
      <c r="CY31" s="16" t="str">
        <f t="shared" si="41"/>
        <v>3201052</v>
      </c>
      <c r="CZ31" s="16" t="str">
        <f t="shared" si="42"/>
        <v>3201052</v>
      </c>
      <c r="DA31" s="16" t="str">
        <f t="shared" si="43"/>
        <v>3500052</v>
      </c>
      <c r="DB31" s="16" t="str">
        <f t="shared" si="44"/>
        <v>3402053</v>
      </c>
      <c r="DC31" s="16" t="str">
        <f t="shared" si="45"/>
        <v>3601052</v>
      </c>
      <c r="DD31" s="16">
        <v>5</v>
      </c>
      <c r="DE31" s="16">
        <v>5</v>
      </c>
      <c r="DF31" s="16">
        <v>5</v>
      </c>
      <c r="DG31" s="16">
        <v>5</v>
      </c>
      <c r="DH31" s="16">
        <v>5</v>
      </c>
      <c r="DI31" s="16">
        <v>5</v>
      </c>
      <c r="DJ31" s="16">
        <v>5</v>
      </c>
      <c r="DK31" s="16">
        <v>3</v>
      </c>
      <c r="DL31" s="16">
        <v>3</v>
      </c>
      <c r="DM31" s="16">
        <v>3</v>
      </c>
      <c r="DN31" s="16">
        <v>3</v>
      </c>
      <c r="DO31" s="16">
        <v>3</v>
      </c>
      <c r="DP31" s="51" t="s">
        <v>217</v>
      </c>
      <c r="DQ31" s="51" t="s">
        <v>120</v>
      </c>
      <c r="DR31" s="51" t="s">
        <v>120</v>
      </c>
      <c r="DS31" s="36" t="s">
        <v>115</v>
      </c>
      <c r="DT31" s="36" t="s">
        <v>124</v>
      </c>
      <c r="DU31" s="36" t="s">
        <v>216</v>
      </c>
      <c r="DV31" s="32">
        <f t="shared" si="5"/>
        <v>1</v>
      </c>
      <c r="DW31" s="32">
        <f t="shared" si="6"/>
        <v>1</v>
      </c>
      <c r="DX31" s="32">
        <f t="shared" si="7"/>
        <v>1</v>
      </c>
      <c r="DY31" s="32">
        <f t="shared" si="8"/>
        <v>2</v>
      </c>
      <c r="DZ31" s="32">
        <f t="shared" si="9"/>
        <v>2</v>
      </c>
      <c r="EA31" s="32">
        <f t="shared" si="10"/>
        <v>2</v>
      </c>
      <c r="EB31" s="38"/>
      <c r="EC31" s="7">
        <v>3300042</v>
      </c>
      <c r="ED31" s="35" t="s">
        <v>147</v>
      </c>
      <c r="EE31" s="16">
        <v>2</v>
      </c>
      <c r="EF31" s="16">
        <v>303450101</v>
      </c>
      <c r="EG31" s="25" t="str">
        <f t="shared" si="11"/>
        <v>对随机3名敌人造成137%攻击伤害。</v>
      </c>
      <c r="EQ31" s="16">
        <v>505450101</v>
      </c>
      <c r="ER31" s="16" t="s">
        <v>165</v>
      </c>
      <c r="FD31" s="16">
        <v>5201053</v>
      </c>
      <c r="FE31" s="16">
        <v>3201052</v>
      </c>
      <c r="FF31" s="16">
        <v>3201052</v>
      </c>
      <c r="FG31" s="16">
        <v>3500052</v>
      </c>
      <c r="FH31" s="16">
        <v>3402053</v>
      </c>
      <c r="FI31" s="16">
        <v>3601052</v>
      </c>
      <c r="FJ31" t="str">
        <f t="shared" si="46"/>
        <v>木骑兵</v>
      </c>
      <c r="FK31" t="str">
        <f t="shared" si="47"/>
        <v>火骑兵</v>
      </c>
      <c r="FL31" t="str">
        <f t="shared" si="48"/>
        <v>火骑兵</v>
      </c>
      <c r="FM31" t="str">
        <f t="shared" si="49"/>
        <v>火海盗</v>
      </c>
      <c r="FN31" t="str">
        <f t="shared" si="50"/>
        <v>木女巫</v>
      </c>
      <c r="FO31" t="str">
        <f t="shared" si="51"/>
        <v>火修女</v>
      </c>
      <c r="FP31" t="str">
        <f t="shared" si="52"/>
        <v>5</v>
      </c>
      <c r="FQ31" t="str">
        <f t="shared" si="53"/>
        <v>5</v>
      </c>
      <c r="FR31" t="str">
        <f t="shared" si="54"/>
        <v>5</v>
      </c>
      <c r="FS31" t="str">
        <f t="shared" si="55"/>
        <v>5</v>
      </c>
      <c r="FT31" t="str">
        <f t="shared" si="56"/>
        <v>5</v>
      </c>
      <c r="FU31" t="str">
        <f t="shared" si="57"/>
        <v>5</v>
      </c>
      <c r="FV31" t="str">
        <f t="shared" si="14"/>
        <v>5</v>
      </c>
      <c r="FW31" t="str">
        <f t="shared" si="15"/>
        <v>3</v>
      </c>
      <c r="FX31" t="str">
        <f t="shared" si="16"/>
        <v>3</v>
      </c>
      <c r="FY31" t="str">
        <f t="shared" si="17"/>
        <v>3</v>
      </c>
      <c r="FZ31" t="str">
        <f t="shared" si="18"/>
        <v>3</v>
      </c>
      <c r="GA31" t="str">
        <f t="shared" si="19"/>
        <v>3</v>
      </c>
    </row>
    <row r="32" spans="1:183" ht="13.5" customHeight="1">
      <c r="A32" s="1">
        <v>309</v>
      </c>
      <c r="B32" s="6">
        <v>10122</v>
      </c>
      <c r="C32" s="23" t="str">
        <f t="shared" si="20"/>
        <v>5202055,3302053,3302053,3300052,3400052,3400052</v>
      </c>
      <c r="D32" s="1" t="str">
        <f t="shared" si="21"/>
        <v>5,5,5,5,5,5</v>
      </c>
      <c r="E32" s="53" t="str">
        <f t="shared" si="22"/>
        <v>243,221,221,221,221,221</v>
      </c>
      <c r="F32" s="1">
        <f t="shared" si="0"/>
        <v>159577</v>
      </c>
      <c r="G32" s="23" t="s">
        <v>34</v>
      </c>
      <c r="H32" s="1" t="s">
        <v>28</v>
      </c>
      <c r="I32" s="1" t="s">
        <v>28</v>
      </c>
      <c r="J32" s="1" t="s">
        <v>28</v>
      </c>
      <c r="K32" s="2" t="s">
        <v>334</v>
      </c>
      <c r="L32" s="1">
        <v>0</v>
      </c>
      <c r="M32" s="1">
        <v>3</v>
      </c>
      <c r="O32" s="25">
        <f t="shared" si="23"/>
        <v>159577</v>
      </c>
      <c r="P32" s="16">
        <v>159577.29999999999</v>
      </c>
      <c r="Q32" s="16">
        <v>5202055</v>
      </c>
      <c r="R32" s="16">
        <v>3302053</v>
      </c>
      <c r="S32" s="16">
        <v>3302053</v>
      </c>
      <c r="T32" s="16">
        <v>3300052</v>
      </c>
      <c r="U32" s="16">
        <v>3400052</v>
      </c>
      <c r="V32" s="16">
        <v>3400052</v>
      </c>
      <c r="W32" s="16">
        <v>5</v>
      </c>
      <c r="X32" s="16">
        <v>5</v>
      </c>
      <c r="Y32" s="16">
        <v>5</v>
      </c>
      <c r="Z32" s="16">
        <v>5</v>
      </c>
      <c r="AA32" s="16">
        <v>5</v>
      </c>
      <c r="AB32" s="16">
        <v>5</v>
      </c>
      <c r="AC32" s="16">
        <f t="shared" si="24"/>
        <v>243</v>
      </c>
      <c r="AD32" s="16">
        <f t="shared" si="59"/>
        <v>221</v>
      </c>
      <c r="AE32" s="16">
        <f t="shared" si="59"/>
        <v>221</v>
      </c>
      <c r="AF32" s="16">
        <f t="shared" si="59"/>
        <v>221</v>
      </c>
      <c r="AG32" s="16">
        <f t="shared" si="59"/>
        <v>221</v>
      </c>
      <c r="AH32" s="16">
        <f t="shared" si="59"/>
        <v>221</v>
      </c>
      <c r="AI32" s="28">
        <f t="shared" si="25"/>
        <v>31915.46</v>
      </c>
      <c r="AJ32" s="28">
        <f t="shared" si="26"/>
        <v>25532.367999999999</v>
      </c>
      <c r="AK32" s="28">
        <f t="shared" si="26"/>
        <v>25532.367999999999</v>
      </c>
      <c r="AL32" s="28">
        <f t="shared" si="26"/>
        <v>25532.367999999999</v>
      </c>
      <c r="AM32" s="28">
        <f t="shared" si="26"/>
        <v>25532.367999999999</v>
      </c>
      <c r="AN32" s="28">
        <f t="shared" si="26"/>
        <v>25532.367999999999</v>
      </c>
      <c r="AO32" s="30"/>
      <c r="AP32" s="28"/>
      <c r="AQ32" s="16">
        <v>4</v>
      </c>
      <c r="AR32" s="16">
        <f t="shared" si="27"/>
        <v>258</v>
      </c>
      <c r="AS32" s="28">
        <f t="shared" si="28"/>
        <v>334</v>
      </c>
      <c r="AT32" s="28"/>
      <c r="AU32" s="30">
        <v>159577.29999999999</v>
      </c>
      <c r="AV32" s="28" t="str">
        <f t="shared" si="29"/>
        <v>小:0</v>
      </c>
      <c r="AW32" s="28"/>
      <c r="AX32" s="28"/>
      <c r="AZ32" s="28"/>
      <c r="BA32" s="16">
        <f t="shared" si="58"/>
        <v>3315.3398058252369</v>
      </c>
      <c r="BC32" s="7">
        <f t="shared" si="30"/>
        <v>224</v>
      </c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28"/>
      <c r="BQ32" s="9"/>
      <c r="BR32" s="9">
        <v>4500041</v>
      </c>
      <c r="BS32" s="9">
        <f>[1]monsters!$N32</f>
        <v>94.08</v>
      </c>
      <c r="BT32" s="9">
        <f>[1]monsters!$O32</f>
        <v>9.41</v>
      </c>
      <c r="BU32" s="9">
        <f>[1]monsters!$P32</f>
        <v>1493.33</v>
      </c>
      <c r="BV32" s="9">
        <f>[1]monsters!$Q32</f>
        <v>149.33000000000001</v>
      </c>
      <c r="BW32" s="9">
        <f>[1]monsters!$R32</f>
        <v>18.82</v>
      </c>
      <c r="BX32" s="9">
        <f>[1]monsters!$S32</f>
        <v>1.88</v>
      </c>
      <c r="BY32" s="9">
        <f>[1]monsters!$K32</f>
        <v>1.4000000000000001</v>
      </c>
      <c r="BZ32" s="7">
        <f>[1]monsters!$D32</f>
        <v>3</v>
      </c>
      <c r="CA32" s="7">
        <f t="shared" si="31"/>
        <v>0.1</v>
      </c>
      <c r="CB32" s="7">
        <f t="shared" si="32"/>
        <v>139.18607138047139</v>
      </c>
      <c r="CC32" s="7">
        <f t="shared" si="33"/>
        <v>13.91860713804714</v>
      </c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>
        <v>0</v>
      </c>
      <c r="CR32" s="25" t="b">
        <f t="shared" si="34"/>
        <v>1</v>
      </c>
      <c r="CS32" s="25" t="b">
        <f t="shared" si="35"/>
        <v>1</v>
      </c>
      <c r="CT32" s="25" t="b">
        <f t="shared" si="36"/>
        <v>1</v>
      </c>
      <c r="CU32" s="25" t="b">
        <f t="shared" si="37"/>
        <v>1</v>
      </c>
      <c r="CV32" s="25" t="b">
        <f t="shared" si="38"/>
        <v>1</v>
      </c>
      <c r="CW32" s="25" t="b">
        <f t="shared" si="39"/>
        <v>1</v>
      </c>
      <c r="CX32" s="16" t="str">
        <f t="shared" si="40"/>
        <v>5202055</v>
      </c>
      <c r="CY32" s="16" t="str">
        <f t="shared" si="41"/>
        <v>3302053</v>
      </c>
      <c r="CZ32" s="16" t="str">
        <f t="shared" si="42"/>
        <v>3302053</v>
      </c>
      <c r="DA32" s="16" t="str">
        <f t="shared" si="43"/>
        <v>3300052</v>
      </c>
      <c r="DB32" s="16" t="str">
        <f t="shared" si="44"/>
        <v>3400052</v>
      </c>
      <c r="DC32" s="16" t="str">
        <f t="shared" si="45"/>
        <v>3400052</v>
      </c>
      <c r="DD32" s="16">
        <v>5</v>
      </c>
      <c r="DE32" s="16">
        <v>5</v>
      </c>
      <c r="DF32" s="16">
        <v>5</v>
      </c>
      <c r="DG32" s="16">
        <v>5</v>
      </c>
      <c r="DH32" s="16">
        <v>5</v>
      </c>
      <c r="DI32" s="16">
        <v>5</v>
      </c>
      <c r="DJ32" s="16">
        <v>5</v>
      </c>
      <c r="DK32" s="16">
        <v>3</v>
      </c>
      <c r="DL32" s="16">
        <v>3</v>
      </c>
      <c r="DM32" s="16">
        <v>3</v>
      </c>
      <c r="DN32" s="16">
        <v>3</v>
      </c>
      <c r="DO32" s="16">
        <v>3</v>
      </c>
      <c r="DP32" s="51" t="s">
        <v>225</v>
      </c>
      <c r="DQ32" s="36" t="s">
        <v>114</v>
      </c>
      <c r="DR32" s="51" t="s">
        <v>114</v>
      </c>
      <c r="DS32" s="36" t="s">
        <v>121</v>
      </c>
      <c r="DT32" s="36" t="s">
        <v>116</v>
      </c>
      <c r="DU32" s="14" t="s">
        <v>116</v>
      </c>
      <c r="DV32" s="32">
        <f t="shared" si="5"/>
        <v>1</v>
      </c>
      <c r="DW32" s="32">
        <f t="shared" si="6"/>
        <v>1</v>
      </c>
      <c r="DX32" s="32">
        <f t="shared" si="7"/>
        <v>1</v>
      </c>
      <c r="DY32" s="32">
        <f t="shared" si="8"/>
        <v>2</v>
      </c>
      <c r="DZ32" s="32">
        <f t="shared" si="9"/>
        <v>2</v>
      </c>
      <c r="EA32" s="32">
        <f t="shared" si="10"/>
        <v>2</v>
      </c>
      <c r="EB32" s="38"/>
      <c r="EC32" s="7">
        <v>3302043</v>
      </c>
      <c r="ED32" s="35" t="s">
        <v>149</v>
      </c>
      <c r="EE32" s="16">
        <v>1</v>
      </c>
      <c r="EF32" s="16">
        <v>303460001</v>
      </c>
      <c r="EG32" s="25" t="str">
        <f t="shared" si="11"/>
        <v>治疗血量最少的3名友军，恢复147%攻击等量的生命。</v>
      </c>
      <c r="EQ32" s="16">
        <v>505460001</v>
      </c>
      <c r="ER32" s="16" t="s">
        <v>166</v>
      </c>
      <c r="FD32" s="16">
        <v>5202055</v>
      </c>
      <c r="FE32" s="16">
        <v>3302053</v>
      </c>
      <c r="FF32" s="16">
        <v>3302053</v>
      </c>
      <c r="FG32" s="16">
        <v>3300052</v>
      </c>
      <c r="FH32" s="16">
        <v>3400052</v>
      </c>
      <c r="FI32" s="16">
        <v>3400052</v>
      </c>
      <c r="FJ32" t="str">
        <f t="shared" si="46"/>
        <v>暗维京</v>
      </c>
      <c r="FK32" t="str">
        <f t="shared" si="47"/>
        <v>木盗贼</v>
      </c>
      <c r="FL32" t="str">
        <f t="shared" si="48"/>
        <v>木盗贼</v>
      </c>
      <c r="FM32" t="str">
        <f t="shared" si="49"/>
        <v>火忍者</v>
      </c>
      <c r="FN32" t="str">
        <f t="shared" si="50"/>
        <v>火巫师</v>
      </c>
      <c r="FO32" t="str">
        <f t="shared" si="51"/>
        <v>火巫师</v>
      </c>
      <c r="FP32" t="str">
        <f t="shared" si="52"/>
        <v>5</v>
      </c>
      <c r="FQ32" t="str">
        <f t="shared" si="53"/>
        <v>5</v>
      </c>
      <c r="FR32" t="str">
        <f t="shared" si="54"/>
        <v>5</v>
      </c>
      <c r="FS32" t="str">
        <f t="shared" si="55"/>
        <v>5</v>
      </c>
      <c r="FT32" t="str">
        <f t="shared" si="56"/>
        <v>5</v>
      </c>
      <c r="FU32" t="str">
        <f t="shared" si="57"/>
        <v>5</v>
      </c>
      <c r="FV32" t="str">
        <f t="shared" si="14"/>
        <v>5</v>
      </c>
      <c r="FW32" t="str">
        <f t="shared" si="15"/>
        <v>3</v>
      </c>
      <c r="FX32" t="str">
        <f t="shared" si="16"/>
        <v>3</v>
      </c>
      <c r="FY32" t="str">
        <f t="shared" si="17"/>
        <v>3</v>
      </c>
      <c r="FZ32" t="str">
        <f t="shared" si="18"/>
        <v>3</v>
      </c>
      <c r="GA32" t="str">
        <f t="shared" si="19"/>
        <v>3</v>
      </c>
    </row>
    <row r="33" spans="1:183" ht="13.5" customHeight="1">
      <c r="A33" s="1">
        <v>310</v>
      </c>
      <c r="B33" s="6">
        <v>10122</v>
      </c>
      <c r="C33" s="23" t="str">
        <f t="shared" si="20"/>
        <v>5400055,3302053,3302053,3201052,3602051,3602051</v>
      </c>
      <c r="D33" s="1" t="str">
        <f t="shared" si="21"/>
        <v>5,5,5,5,5,5</v>
      </c>
      <c r="E33" s="53" t="str">
        <f t="shared" si="22"/>
        <v>274,250,250,250,250,250</v>
      </c>
      <c r="F33" s="1">
        <f t="shared" si="0"/>
        <v>200694</v>
      </c>
      <c r="G33" s="23" t="s">
        <v>34</v>
      </c>
      <c r="H33" s="1" t="s">
        <v>28</v>
      </c>
      <c r="I33" s="1" t="s">
        <v>28</v>
      </c>
      <c r="J33" s="1" t="s">
        <v>28</v>
      </c>
      <c r="K33" s="2" t="s">
        <v>335</v>
      </c>
      <c r="L33" s="1">
        <v>0</v>
      </c>
      <c r="M33" s="1">
        <v>3</v>
      </c>
      <c r="O33" s="25">
        <f t="shared" si="23"/>
        <v>200694</v>
      </c>
      <c r="P33" s="16">
        <v>200693.55</v>
      </c>
      <c r="Q33" s="16">
        <v>5400055</v>
      </c>
      <c r="R33" s="16">
        <v>3302053</v>
      </c>
      <c r="S33" s="16">
        <v>3302053</v>
      </c>
      <c r="T33" s="16">
        <v>3201052</v>
      </c>
      <c r="U33" s="16">
        <v>3602051</v>
      </c>
      <c r="V33" s="16">
        <v>3602051</v>
      </c>
      <c r="W33" s="16">
        <v>5</v>
      </c>
      <c r="X33" s="16">
        <v>5</v>
      </c>
      <c r="Y33" s="16">
        <v>5</v>
      </c>
      <c r="Z33" s="16">
        <v>5</v>
      </c>
      <c r="AA33" s="16">
        <v>5</v>
      </c>
      <c r="AB33" s="16">
        <v>5</v>
      </c>
      <c r="AC33" s="16">
        <f t="shared" si="24"/>
        <v>274</v>
      </c>
      <c r="AD33" s="16">
        <f t="shared" si="59"/>
        <v>250</v>
      </c>
      <c r="AE33" s="16">
        <f t="shared" si="59"/>
        <v>250</v>
      </c>
      <c r="AF33" s="16">
        <f t="shared" si="59"/>
        <v>250</v>
      </c>
      <c r="AG33" s="16">
        <f t="shared" si="59"/>
        <v>250</v>
      </c>
      <c r="AH33" s="16">
        <f t="shared" si="59"/>
        <v>250</v>
      </c>
      <c r="AI33" s="28">
        <f t="shared" si="25"/>
        <v>40138.71</v>
      </c>
      <c r="AJ33" s="28">
        <f t="shared" si="26"/>
        <v>32110.967999999997</v>
      </c>
      <c r="AK33" s="28">
        <f t="shared" si="26"/>
        <v>32110.967999999997</v>
      </c>
      <c r="AL33" s="28">
        <f t="shared" si="26"/>
        <v>32110.967999999997</v>
      </c>
      <c r="AM33" s="28">
        <f t="shared" si="26"/>
        <v>32110.967999999997</v>
      </c>
      <c r="AN33" s="28">
        <f t="shared" si="26"/>
        <v>32110.967999999997</v>
      </c>
      <c r="AO33" s="30"/>
      <c r="AP33" s="28"/>
      <c r="AQ33" s="16">
        <v>4</v>
      </c>
      <c r="AR33" s="16">
        <f t="shared" si="27"/>
        <v>291</v>
      </c>
      <c r="AS33" s="28">
        <f t="shared" si="28"/>
        <v>335</v>
      </c>
      <c r="AT33" s="28"/>
      <c r="AU33" s="30">
        <v>200693.55</v>
      </c>
      <c r="AV33" s="28" t="str">
        <f t="shared" si="29"/>
        <v>小:0</v>
      </c>
      <c r="AW33" s="28"/>
      <c r="AX33" s="28"/>
      <c r="AZ33" s="28"/>
      <c r="BA33" s="16">
        <f t="shared" si="58"/>
        <v>3326.6019417475668</v>
      </c>
      <c r="BC33" s="7">
        <f t="shared" si="30"/>
        <v>253</v>
      </c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28"/>
      <c r="BQ33" s="9"/>
      <c r="BR33" s="9">
        <v>4601041</v>
      </c>
      <c r="BS33" s="9">
        <f>[1]monsters!$N33</f>
        <v>125.44</v>
      </c>
      <c r="BT33" s="9">
        <f>[1]monsters!$O33</f>
        <v>12.54</v>
      </c>
      <c r="BU33" s="9">
        <f>[1]monsters!$P33</f>
        <v>1120</v>
      </c>
      <c r="BV33" s="9">
        <f>[1]monsters!$Q33</f>
        <v>112</v>
      </c>
      <c r="BW33" s="9">
        <f>[1]monsters!$R33</f>
        <v>17.920000000000002</v>
      </c>
      <c r="BX33" s="9">
        <f>[1]monsters!$S33</f>
        <v>1.79</v>
      </c>
      <c r="BY33" s="9">
        <f>[1]monsters!$K33</f>
        <v>1.4000000000000001</v>
      </c>
      <c r="BZ33" s="7">
        <f>[1]monsters!$D33</f>
        <v>4</v>
      </c>
      <c r="CA33" s="7">
        <f t="shared" si="31"/>
        <v>0.1</v>
      </c>
      <c r="CB33" s="7">
        <f t="shared" si="32"/>
        <v>156.25123771043769</v>
      </c>
      <c r="CC33" s="7">
        <f t="shared" si="33"/>
        <v>15.62512377104377</v>
      </c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>
        <v>1</v>
      </c>
      <c r="CR33" s="25" t="b">
        <f t="shared" si="34"/>
        <v>1</v>
      </c>
      <c r="CS33" s="25" t="b">
        <f t="shared" si="35"/>
        <v>1</v>
      </c>
      <c r="CT33" s="25" t="b">
        <f t="shared" si="36"/>
        <v>1</v>
      </c>
      <c r="CU33" s="25" t="b">
        <f t="shared" si="37"/>
        <v>1</v>
      </c>
      <c r="CV33" s="25" t="b">
        <f t="shared" si="38"/>
        <v>1</v>
      </c>
      <c r="CW33" s="25" t="b">
        <f t="shared" si="39"/>
        <v>1</v>
      </c>
      <c r="CX33" s="16" t="str">
        <f t="shared" si="40"/>
        <v>5400055</v>
      </c>
      <c r="CY33" s="16" t="str">
        <f t="shared" si="41"/>
        <v>3302053</v>
      </c>
      <c r="CZ33" s="16" t="str">
        <f t="shared" si="42"/>
        <v>3302053</v>
      </c>
      <c r="DA33" s="16" t="str">
        <f t="shared" si="43"/>
        <v>3201052</v>
      </c>
      <c r="DB33" s="16" t="str">
        <f t="shared" si="44"/>
        <v>3602051</v>
      </c>
      <c r="DC33" s="16" t="str">
        <f t="shared" si="45"/>
        <v>3602051</v>
      </c>
      <c r="DD33" s="16">
        <v>5</v>
      </c>
      <c r="DE33" s="16">
        <v>5</v>
      </c>
      <c r="DF33" s="16">
        <v>5</v>
      </c>
      <c r="DG33" s="16">
        <v>5</v>
      </c>
      <c r="DH33" s="16">
        <v>5</v>
      </c>
      <c r="DI33" s="16">
        <v>5</v>
      </c>
      <c r="DJ33" s="16">
        <v>5</v>
      </c>
      <c r="DK33" s="16">
        <v>3</v>
      </c>
      <c r="DL33" s="16">
        <v>3</v>
      </c>
      <c r="DM33" s="16">
        <v>3</v>
      </c>
      <c r="DN33" s="16">
        <v>3</v>
      </c>
      <c r="DO33" s="16">
        <v>3</v>
      </c>
      <c r="DP33" s="51" t="s">
        <v>222</v>
      </c>
      <c r="DQ33" s="51" t="s">
        <v>114</v>
      </c>
      <c r="DR33" s="51" t="s">
        <v>114</v>
      </c>
      <c r="DS33" s="36" t="s">
        <v>120</v>
      </c>
      <c r="DT33" s="36" t="s">
        <v>313</v>
      </c>
      <c r="DU33" s="36" t="s">
        <v>313</v>
      </c>
      <c r="DV33" s="32">
        <f t="shared" si="5"/>
        <v>2</v>
      </c>
      <c r="DW33" s="32">
        <f t="shared" si="6"/>
        <v>1</v>
      </c>
      <c r="DX33" s="32">
        <f t="shared" si="7"/>
        <v>1</v>
      </c>
      <c r="DY33" s="32">
        <f t="shared" si="8"/>
        <v>1</v>
      </c>
      <c r="DZ33" s="32">
        <f t="shared" si="9"/>
        <v>2</v>
      </c>
      <c r="EA33" s="32">
        <f t="shared" si="10"/>
        <v>2</v>
      </c>
      <c r="EB33" s="38"/>
      <c r="EC33" s="7">
        <v>3400042</v>
      </c>
      <c r="ED33" s="35" t="s">
        <v>151</v>
      </c>
      <c r="EE33" s="16">
        <v>2</v>
      </c>
      <c r="EF33" s="16">
        <v>303460201</v>
      </c>
      <c r="EG33" s="25" t="str">
        <f t="shared" si="11"/>
        <v>治疗血量最少的3名友军，恢复124%攻击等量的生命。</v>
      </c>
      <c r="EQ33" s="16">
        <v>505460201</v>
      </c>
      <c r="ER33" s="16" t="s">
        <v>167</v>
      </c>
      <c r="FD33" s="16">
        <v>5400055</v>
      </c>
      <c r="FE33" s="16">
        <v>3302053</v>
      </c>
      <c r="FF33" s="16">
        <v>3302053</v>
      </c>
      <c r="FG33" s="16">
        <v>3201052</v>
      </c>
      <c r="FH33" s="16">
        <v>3602051</v>
      </c>
      <c r="FI33" s="16">
        <v>3602051</v>
      </c>
      <c r="FJ33" t="str">
        <f t="shared" si="46"/>
        <v>暗巫师</v>
      </c>
      <c r="FK33" t="str">
        <f t="shared" si="47"/>
        <v>木盗贼</v>
      </c>
      <c r="FL33" t="str">
        <f t="shared" si="48"/>
        <v>木盗贼</v>
      </c>
      <c r="FM33" t="str">
        <f t="shared" si="49"/>
        <v>火骑兵</v>
      </c>
      <c r="FN33" t="str">
        <f t="shared" si="50"/>
        <v>水学者</v>
      </c>
      <c r="FO33" t="str">
        <f t="shared" si="51"/>
        <v>水学者</v>
      </c>
      <c r="FP33" t="str">
        <f t="shared" si="52"/>
        <v>5</v>
      </c>
      <c r="FQ33" t="str">
        <f t="shared" si="53"/>
        <v>5</v>
      </c>
      <c r="FR33" t="str">
        <f t="shared" si="54"/>
        <v>5</v>
      </c>
      <c r="FS33" t="str">
        <f t="shared" si="55"/>
        <v>5</v>
      </c>
      <c r="FT33" t="str">
        <f t="shared" si="56"/>
        <v>5</v>
      </c>
      <c r="FU33" t="str">
        <f t="shared" si="57"/>
        <v>5</v>
      </c>
      <c r="FV33" t="str">
        <f t="shared" si="14"/>
        <v>5</v>
      </c>
      <c r="FW33" t="str">
        <f t="shared" si="15"/>
        <v>3</v>
      </c>
      <c r="FX33" t="str">
        <f t="shared" si="16"/>
        <v>3</v>
      </c>
      <c r="FY33" t="str">
        <f t="shared" si="17"/>
        <v>3</v>
      </c>
      <c r="FZ33" t="str">
        <f t="shared" si="18"/>
        <v>3</v>
      </c>
      <c r="GA33" t="str">
        <f t="shared" si="19"/>
        <v>3</v>
      </c>
    </row>
    <row r="34" spans="1:183" ht="13.5" customHeight="1">
      <c r="A34" s="1">
        <v>401</v>
      </c>
      <c r="B34" s="6">
        <v>10062</v>
      </c>
      <c r="C34" s="23" t="str">
        <f t="shared" si="20"/>
        <v>5202055,3302053,3302053,3501053,3501053,3501053</v>
      </c>
      <c r="D34" s="1" t="str">
        <f t="shared" si="21"/>
        <v>5,5,5,5,5,5</v>
      </c>
      <c r="E34" s="53" t="str">
        <f t="shared" si="22"/>
        <v>287,261,261,261,261,261</v>
      </c>
      <c r="F34" s="1">
        <f t="shared" si="0"/>
        <v>218850</v>
      </c>
      <c r="G34" s="23" t="s">
        <v>34</v>
      </c>
      <c r="H34" s="1" t="s">
        <v>28</v>
      </c>
      <c r="I34" s="1" t="s">
        <v>28</v>
      </c>
      <c r="J34" s="1" t="s">
        <v>28</v>
      </c>
      <c r="K34" s="2" t="s">
        <v>336</v>
      </c>
      <c r="L34" s="1">
        <v>0</v>
      </c>
      <c r="M34" s="1">
        <v>2</v>
      </c>
      <c r="O34" s="25">
        <f t="shared" si="23"/>
        <v>218850</v>
      </c>
      <c r="P34" s="16">
        <v>218850.45</v>
      </c>
      <c r="Q34" s="16">
        <v>5202055</v>
      </c>
      <c r="R34" s="16">
        <v>3302053</v>
      </c>
      <c r="S34" s="16">
        <v>3302053</v>
      </c>
      <c r="T34" s="16">
        <v>3501053</v>
      </c>
      <c r="U34" s="16">
        <v>3501053</v>
      </c>
      <c r="V34" s="16">
        <v>3501053</v>
      </c>
      <c r="W34" s="16">
        <v>5</v>
      </c>
      <c r="X34" s="16">
        <v>5</v>
      </c>
      <c r="Y34" s="16">
        <v>5</v>
      </c>
      <c r="Z34" s="16">
        <v>5</v>
      </c>
      <c r="AA34" s="16">
        <v>5</v>
      </c>
      <c r="AB34" s="16">
        <v>5</v>
      </c>
      <c r="AC34" s="16">
        <f t="shared" si="24"/>
        <v>287</v>
      </c>
      <c r="AD34" s="16">
        <f t="shared" si="59"/>
        <v>261</v>
      </c>
      <c r="AE34" s="16">
        <f t="shared" si="59"/>
        <v>261</v>
      </c>
      <c r="AF34" s="16">
        <f t="shared" si="59"/>
        <v>261</v>
      </c>
      <c r="AG34" s="16">
        <f t="shared" si="59"/>
        <v>261</v>
      </c>
      <c r="AH34" s="16">
        <f t="shared" si="59"/>
        <v>261</v>
      </c>
      <c r="AI34" s="28">
        <f t="shared" si="25"/>
        <v>43770.090000000004</v>
      </c>
      <c r="AJ34" s="28">
        <f t="shared" si="26"/>
        <v>35016.072</v>
      </c>
      <c r="AK34" s="28">
        <f t="shared" si="26"/>
        <v>35016.072</v>
      </c>
      <c r="AL34" s="28">
        <f t="shared" si="26"/>
        <v>35016.072</v>
      </c>
      <c r="AM34" s="28">
        <f t="shared" si="26"/>
        <v>35016.072</v>
      </c>
      <c r="AN34" s="28">
        <f t="shared" si="26"/>
        <v>35016.072</v>
      </c>
      <c r="AO34" s="30"/>
      <c r="AP34" s="28"/>
      <c r="AQ34" s="16">
        <v>4</v>
      </c>
      <c r="AR34" s="16">
        <f t="shared" si="27"/>
        <v>304</v>
      </c>
      <c r="AS34" s="28">
        <f t="shared" si="28"/>
        <v>426</v>
      </c>
      <c r="AT34" s="28"/>
      <c r="AU34" s="30">
        <v>218850.45</v>
      </c>
      <c r="AV34" s="28" t="str">
        <f t="shared" si="29"/>
        <v>小:0</v>
      </c>
      <c r="AW34" s="28"/>
      <c r="AX34" s="28"/>
      <c r="AZ34" s="28"/>
      <c r="BA34" s="16">
        <f t="shared" si="58"/>
        <v>3337.8640776698967</v>
      </c>
      <c r="BC34" s="7">
        <f t="shared" si="30"/>
        <v>265</v>
      </c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9"/>
      <c r="BQ34" s="9"/>
      <c r="BR34" s="9">
        <v>4301041</v>
      </c>
      <c r="BS34" s="9">
        <f>[1]monsters!$N34</f>
        <v>138.24</v>
      </c>
      <c r="BT34" s="9">
        <f>[1]monsters!$O34</f>
        <v>13.82</v>
      </c>
      <c r="BU34" s="9">
        <f>[1]monsters!$P34</f>
        <v>1706.67</v>
      </c>
      <c r="BV34" s="9">
        <f>[1]monsters!$Q34</f>
        <v>170.67</v>
      </c>
      <c r="BW34" s="9">
        <f>[1]monsters!$R34</f>
        <v>27.65</v>
      </c>
      <c r="BX34" s="9">
        <f>[1]monsters!$S34</f>
        <v>2.76</v>
      </c>
      <c r="BY34" s="9">
        <f>[1]monsters!$K34</f>
        <v>1.8</v>
      </c>
      <c r="BZ34" s="7">
        <f>[1]monsters!$D34</f>
        <v>2</v>
      </c>
      <c r="CA34" s="7">
        <f t="shared" si="31"/>
        <v>0.1</v>
      </c>
      <c r="CB34" s="7">
        <f t="shared" si="32"/>
        <v>188.10043636363639</v>
      </c>
      <c r="CC34" s="7">
        <f t="shared" si="33"/>
        <v>18.810043636363641</v>
      </c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>
        <v>0</v>
      </c>
      <c r="CR34" s="25" t="b">
        <f t="shared" si="34"/>
        <v>1</v>
      </c>
      <c r="CS34" s="25" t="b">
        <f t="shared" si="35"/>
        <v>1</v>
      </c>
      <c r="CT34" s="25" t="b">
        <f t="shared" si="36"/>
        <v>1</v>
      </c>
      <c r="CU34" s="25" t="b">
        <f t="shared" si="37"/>
        <v>1</v>
      </c>
      <c r="CV34" s="25" t="b">
        <f t="shared" si="38"/>
        <v>1</v>
      </c>
      <c r="CW34" s="25" t="b">
        <f t="shared" si="39"/>
        <v>1</v>
      </c>
      <c r="CX34" s="16" t="str">
        <f t="shared" si="40"/>
        <v>5202055</v>
      </c>
      <c r="CY34" s="16" t="str">
        <f t="shared" si="41"/>
        <v>3302053</v>
      </c>
      <c r="CZ34" s="16" t="str">
        <f t="shared" si="42"/>
        <v>3302053</v>
      </c>
      <c r="DA34" s="16" t="str">
        <f t="shared" si="43"/>
        <v>3501053</v>
      </c>
      <c r="DB34" s="16" t="str">
        <f t="shared" si="44"/>
        <v>3501053</v>
      </c>
      <c r="DC34" s="16" t="str">
        <f t="shared" si="45"/>
        <v>3501053</v>
      </c>
      <c r="DD34" s="16">
        <v>5</v>
      </c>
      <c r="DE34" s="16">
        <v>5</v>
      </c>
      <c r="DF34" s="16">
        <v>5</v>
      </c>
      <c r="DG34" s="16">
        <v>5</v>
      </c>
      <c r="DH34" s="16">
        <v>5</v>
      </c>
      <c r="DI34" s="16">
        <v>5</v>
      </c>
      <c r="DJ34" s="16">
        <v>5</v>
      </c>
      <c r="DK34" s="16">
        <v>3</v>
      </c>
      <c r="DL34" s="16">
        <v>3</v>
      </c>
      <c r="DM34" s="16">
        <v>3</v>
      </c>
      <c r="DN34" s="16">
        <v>3</v>
      </c>
      <c r="DO34" s="16">
        <v>3</v>
      </c>
      <c r="DP34" s="51" t="s">
        <v>225</v>
      </c>
      <c r="DQ34" s="13" t="s">
        <v>114</v>
      </c>
      <c r="DR34" s="13" t="s">
        <v>114</v>
      </c>
      <c r="DS34" s="51" t="s">
        <v>127</v>
      </c>
      <c r="DT34" s="51" t="s">
        <v>127</v>
      </c>
      <c r="DU34" s="13" t="s">
        <v>127</v>
      </c>
      <c r="DV34" s="32">
        <f t="shared" si="5"/>
        <v>1</v>
      </c>
      <c r="DW34" s="32">
        <f t="shared" si="6"/>
        <v>1</v>
      </c>
      <c r="DX34" s="32">
        <f t="shared" si="7"/>
        <v>1</v>
      </c>
      <c r="DY34" s="32">
        <f t="shared" si="8"/>
        <v>2</v>
      </c>
      <c r="DZ34" s="32">
        <f t="shared" si="9"/>
        <v>2</v>
      </c>
      <c r="EA34" s="32">
        <f t="shared" si="10"/>
        <v>2</v>
      </c>
      <c r="EB34" s="38"/>
      <c r="EC34" s="7">
        <v>3202051</v>
      </c>
      <c r="ED34" s="15" t="s">
        <v>117</v>
      </c>
      <c r="EE34" s="16">
        <v>1</v>
      </c>
      <c r="EF34" s="16">
        <v>303530001</v>
      </c>
      <c r="EG34" s="25" t="str">
        <f t="shared" si="11"/>
        <v>对随机1名敌人造成419%攻击伤害。</v>
      </c>
      <c r="EQ34" s="16">
        <v>505530001</v>
      </c>
      <c r="ER34" s="16" t="s">
        <v>168</v>
      </c>
      <c r="FD34" s="16">
        <v>5202055</v>
      </c>
      <c r="FE34" s="16">
        <v>3302053</v>
      </c>
      <c r="FF34" s="16">
        <v>3302053</v>
      </c>
      <c r="FG34" s="16">
        <v>3501053</v>
      </c>
      <c r="FH34" s="16">
        <v>3501053</v>
      </c>
      <c r="FI34" s="16">
        <v>3501053</v>
      </c>
      <c r="FJ34" t="str">
        <f t="shared" si="46"/>
        <v>暗维京</v>
      </c>
      <c r="FK34" t="str">
        <f t="shared" si="47"/>
        <v>木盗贼</v>
      </c>
      <c r="FL34" t="str">
        <f t="shared" si="48"/>
        <v>木盗贼</v>
      </c>
      <c r="FM34" t="str">
        <f t="shared" si="49"/>
        <v>木猎人</v>
      </c>
      <c r="FN34" t="str">
        <f t="shared" si="50"/>
        <v>木猎人</v>
      </c>
      <c r="FO34" t="str">
        <f t="shared" si="51"/>
        <v>木猎人</v>
      </c>
      <c r="FP34" t="str">
        <f t="shared" si="52"/>
        <v>5</v>
      </c>
      <c r="FQ34" t="str">
        <f t="shared" si="53"/>
        <v>5</v>
      </c>
      <c r="FR34" t="str">
        <f t="shared" si="54"/>
        <v>5</v>
      </c>
      <c r="FS34" t="str">
        <f t="shared" si="55"/>
        <v>5</v>
      </c>
      <c r="FT34" t="str">
        <f t="shared" si="56"/>
        <v>5</v>
      </c>
      <c r="FU34" t="str">
        <f t="shared" si="57"/>
        <v>5</v>
      </c>
      <c r="FV34" t="str">
        <f t="shared" si="14"/>
        <v>5</v>
      </c>
      <c r="FW34" t="str">
        <f t="shared" si="15"/>
        <v>3</v>
      </c>
      <c r="FX34" t="str">
        <f t="shared" si="16"/>
        <v>3</v>
      </c>
      <c r="FY34" t="str">
        <f t="shared" si="17"/>
        <v>3</v>
      </c>
      <c r="FZ34" t="str">
        <f t="shared" si="18"/>
        <v>3</v>
      </c>
      <c r="GA34" t="str">
        <f t="shared" si="19"/>
        <v>3</v>
      </c>
    </row>
    <row r="35" spans="1:183" ht="13.5" customHeight="1">
      <c r="A35" s="1">
        <v>402</v>
      </c>
      <c r="B35" s="6">
        <v>10062</v>
      </c>
      <c r="C35" s="23" t="str">
        <f t="shared" si="20"/>
        <v>5300055,5201052,5201052,5400055,5602054,5602054</v>
      </c>
      <c r="D35" s="1" t="str">
        <f t="shared" si="21"/>
        <v>5,5,5,5,5,5</v>
      </c>
      <c r="E35" s="53" t="str">
        <f t="shared" si="22"/>
        <v>302,275,275,275,275,275</v>
      </c>
      <c r="F35" s="1">
        <f t="shared" si="0"/>
        <v>241291</v>
      </c>
      <c r="G35" s="23" t="s">
        <v>34</v>
      </c>
      <c r="H35" s="1" t="s">
        <v>28</v>
      </c>
      <c r="I35" s="1" t="s">
        <v>28</v>
      </c>
      <c r="J35" s="1" t="s">
        <v>28</v>
      </c>
      <c r="K35" s="2" t="s">
        <v>337</v>
      </c>
      <c r="L35" s="1">
        <v>1</v>
      </c>
      <c r="M35" s="1">
        <v>2</v>
      </c>
      <c r="O35" s="25">
        <f t="shared" si="23"/>
        <v>241291</v>
      </c>
      <c r="P35" s="16">
        <v>241291.05</v>
      </c>
      <c r="Q35" s="16">
        <v>5300055</v>
      </c>
      <c r="R35" s="16">
        <v>5201052</v>
      </c>
      <c r="S35" s="16">
        <v>5201052</v>
      </c>
      <c r="T35" s="16">
        <v>5400055</v>
      </c>
      <c r="U35" s="16">
        <v>5602054</v>
      </c>
      <c r="V35" s="16">
        <v>5602054</v>
      </c>
      <c r="W35" s="16">
        <v>5</v>
      </c>
      <c r="X35" s="16">
        <v>5</v>
      </c>
      <c r="Y35" s="16">
        <v>5</v>
      </c>
      <c r="Z35" s="16">
        <v>5</v>
      </c>
      <c r="AA35" s="16">
        <v>5</v>
      </c>
      <c r="AB35" s="16">
        <v>5</v>
      </c>
      <c r="AC35" s="16">
        <f t="shared" si="24"/>
        <v>302</v>
      </c>
      <c r="AD35" s="16">
        <f t="shared" si="59"/>
        <v>275</v>
      </c>
      <c r="AE35" s="16">
        <f t="shared" si="59"/>
        <v>275</v>
      </c>
      <c r="AF35" s="16">
        <f t="shared" si="59"/>
        <v>275</v>
      </c>
      <c r="AG35" s="16">
        <f t="shared" si="59"/>
        <v>275</v>
      </c>
      <c r="AH35" s="16">
        <f t="shared" si="59"/>
        <v>275</v>
      </c>
      <c r="AI35" s="28">
        <f t="shared" si="25"/>
        <v>48258.21</v>
      </c>
      <c r="AJ35" s="28">
        <f t="shared" si="26"/>
        <v>38606.567999999999</v>
      </c>
      <c r="AK35" s="28">
        <f t="shared" si="26"/>
        <v>38606.567999999999</v>
      </c>
      <c r="AL35" s="28">
        <f t="shared" si="26"/>
        <v>38606.567999999999</v>
      </c>
      <c r="AM35" s="28">
        <f t="shared" si="26"/>
        <v>38606.567999999999</v>
      </c>
      <c r="AN35" s="28">
        <f t="shared" si="26"/>
        <v>38606.567999999999</v>
      </c>
      <c r="AO35" s="30"/>
      <c r="AP35" s="28"/>
      <c r="AQ35" s="16">
        <v>4</v>
      </c>
      <c r="AR35" s="16">
        <f t="shared" si="27"/>
        <v>320</v>
      </c>
      <c r="AS35" s="28">
        <f t="shared" si="28"/>
        <v>427</v>
      </c>
      <c r="AT35" s="28"/>
      <c r="AU35" s="30">
        <v>241291.05</v>
      </c>
      <c r="AV35" s="28" t="str">
        <f t="shared" si="29"/>
        <v>小:0</v>
      </c>
      <c r="AW35" s="28"/>
      <c r="AX35" s="28"/>
      <c r="AZ35" s="28"/>
      <c r="BA35" s="16">
        <f t="shared" si="58"/>
        <v>3349.1262135922266</v>
      </c>
      <c r="BC35" s="7">
        <f t="shared" si="30"/>
        <v>278</v>
      </c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9"/>
      <c r="BQ35" s="9"/>
      <c r="BR35" s="9">
        <v>4501041</v>
      </c>
      <c r="BS35" s="9">
        <f>[1]monsters!$N35</f>
        <v>92.16</v>
      </c>
      <c r="BT35" s="9">
        <f>[1]monsters!$O35</f>
        <v>9.2200000000000006</v>
      </c>
      <c r="BU35" s="9">
        <f>[1]monsters!$P35</f>
        <v>1706.67</v>
      </c>
      <c r="BV35" s="9">
        <f>[1]monsters!$Q35</f>
        <v>170.67</v>
      </c>
      <c r="BW35" s="9">
        <f>[1]monsters!$R35</f>
        <v>18.43</v>
      </c>
      <c r="BX35" s="9">
        <f>[1]monsters!$S35</f>
        <v>1.84</v>
      </c>
      <c r="BY35" s="9">
        <f>[1]monsters!$K35</f>
        <v>1.2</v>
      </c>
      <c r="BZ35" s="7">
        <f>[1]monsters!$D35</f>
        <v>3</v>
      </c>
      <c r="CA35" s="7">
        <f t="shared" si="31"/>
        <v>0.1</v>
      </c>
      <c r="CB35" s="7">
        <f t="shared" si="32"/>
        <v>144.55483636363635</v>
      </c>
      <c r="CC35" s="7">
        <f t="shared" si="33"/>
        <v>14.455483636363637</v>
      </c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>
        <v>0</v>
      </c>
      <c r="CR35" s="25" t="b">
        <f t="shared" si="34"/>
        <v>1</v>
      </c>
      <c r="CS35" s="25" t="b">
        <f t="shared" si="35"/>
        <v>1</v>
      </c>
      <c r="CT35" s="25" t="b">
        <f t="shared" si="36"/>
        <v>1</v>
      </c>
      <c r="CU35" s="25" t="b">
        <f t="shared" si="37"/>
        <v>1</v>
      </c>
      <c r="CV35" s="25" t="b">
        <f t="shared" si="38"/>
        <v>1</v>
      </c>
      <c r="CW35" s="25" t="b">
        <f t="shared" si="39"/>
        <v>1</v>
      </c>
      <c r="CX35" s="16" t="str">
        <f t="shared" si="40"/>
        <v>5300055</v>
      </c>
      <c r="CY35" s="16" t="str">
        <f t="shared" si="41"/>
        <v>5201052</v>
      </c>
      <c r="CZ35" s="16" t="str">
        <f t="shared" si="42"/>
        <v>5201052</v>
      </c>
      <c r="DA35" s="16" t="str">
        <f t="shared" si="43"/>
        <v>5400055</v>
      </c>
      <c r="DB35" s="16" t="str">
        <f t="shared" si="44"/>
        <v>5602054</v>
      </c>
      <c r="DC35" s="16" t="str">
        <f t="shared" si="45"/>
        <v>5602054</v>
      </c>
      <c r="DD35" s="16">
        <v>5</v>
      </c>
      <c r="DE35" s="16">
        <v>5</v>
      </c>
      <c r="DF35" s="16">
        <v>5</v>
      </c>
      <c r="DG35" s="16">
        <v>5</v>
      </c>
      <c r="DH35" s="16">
        <v>5</v>
      </c>
      <c r="DI35" s="16">
        <v>5</v>
      </c>
      <c r="DJ35" s="16">
        <v>5</v>
      </c>
      <c r="DK35" s="16">
        <v>5</v>
      </c>
      <c r="DL35" s="16">
        <v>5</v>
      </c>
      <c r="DM35" s="16">
        <v>5</v>
      </c>
      <c r="DN35" s="16">
        <v>5</v>
      </c>
      <c r="DO35" s="16">
        <v>5</v>
      </c>
      <c r="DP35" s="51" t="s">
        <v>224</v>
      </c>
      <c r="DQ35" s="51" t="s">
        <v>120</v>
      </c>
      <c r="DR35" s="51" t="s">
        <v>120</v>
      </c>
      <c r="DS35" s="51" t="s">
        <v>222</v>
      </c>
      <c r="DT35" s="51" t="s">
        <v>232</v>
      </c>
      <c r="DU35" s="13" t="s">
        <v>232</v>
      </c>
      <c r="DV35" s="32">
        <f t="shared" si="5"/>
        <v>1</v>
      </c>
      <c r="DW35" s="32">
        <f t="shared" si="6"/>
        <v>1</v>
      </c>
      <c r="DX35" s="32">
        <f t="shared" si="7"/>
        <v>1</v>
      </c>
      <c r="DY35" s="32">
        <f t="shared" si="8"/>
        <v>2</v>
      </c>
      <c r="DZ35" s="32">
        <f t="shared" si="9"/>
        <v>2</v>
      </c>
      <c r="EA35" s="32">
        <f t="shared" si="10"/>
        <v>2</v>
      </c>
      <c r="EB35" s="38"/>
      <c r="EC35" s="7">
        <v>3301051</v>
      </c>
      <c r="ED35" s="15" t="s">
        <v>113</v>
      </c>
      <c r="EE35" s="16">
        <v>1</v>
      </c>
      <c r="EF35" s="16">
        <v>303530201</v>
      </c>
      <c r="EG35" s="25" t="str">
        <f t="shared" si="11"/>
        <v>对距离最远的1名敌人造成413%攻击伤害。</v>
      </c>
      <c r="EQ35" s="16">
        <v>505530201</v>
      </c>
      <c r="ER35" s="16" t="s">
        <v>169</v>
      </c>
      <c r="FD35" s="16">
        <v>5300055</v>
      </c>
      <c r="FE35" s="16">
        <v>5201052</v>
      </c>
      <c r="FF35" s="16">
        <v>5201052</v>
      </c>
      <c r="FG35" s="16">
        <v>5400055</v>
      </c>
      <c r="FH35" s="16">
        <v>5602054</v>
      </c>
      <c r="FI35" s="16">
        <v>5602054</v>
      </c>
      <c r="FJ35" t="str">
        <f t="shared" si="46"/>
        <v>暗武士</v>
      </c>
      <c r="FK35" t="str">
        <f t="shared" si="47"/>
        <v>火骑兵</v>
      </c>
      <c r="FL35" t="str">
        <f t="shared" si="48"/>
        <v>火骑兵</v>
      </c>
      <c r="FM35" t="str">
        <f t="shared" si="49"/>
        <v>暗巫师</v>
      </c>
      <c r="FN35" t="str">
        <f t="shared" si="50"/>
        <v>光学者</v>
      </c>
      <c r="FO35" t="str">
        <f t="shared" si="51"/>
        <v>光学者</v>
      </c>
      <c r="FP35" t="str">
        <f t="shared" si="52"/>
        <v>5</v>
      </c>
      <c r="FQ35" t="str">
        <f t="shared" si="53"/>
        <v>5</v>
      </c>
      <c r="FR35" t="str">
        <f t="shared" si="54"/>
        <v>5</v>
      </c>
      <c r="FS35" t="str">
        <f t="shared" si="55"/>
        <v>5</v>
      </c>
      <c r="FT35" t="str">
        <f t="shared" si="56"/>
        <v>5</v>
      </c>
      <c r="FU35" t="str">
        <f t="shared" si="57"/>
        <v>5</v>
      </c>
      <c r="FV35" t="str">
        <f t="shared" si="14"/>
        <v>5</v>
      </c>
      <c r="FW35" t="str">
        <f t="shared" si="15"/>
        <v>5</v>
      </c>
      <c r="FX35" t="str">
        <f t="shared" si="16"/>
        <v>5</v>
      </c>
      <c r="FY35" t="str">
        <f t="shared" si="17"/>
        <v>5</v>
      </c>
      <c r="FZ35" t="str">
        <f t="shared" si="18"/>
        <v>5</v>
      </c>
      <c r="GA35" t="str">
        <f t="shared" si="19"/>
        <v>5</v>
      </c>
    </row>
    <row r="36" spans="1:183" ht="13.5" customHeight="1">
      <c r="A36" s="1">
        <v>403</v>
      </c>
      <c r="B36" s="6">
        <v>10062</v>
      </c>
      <c r="C36" s="23" t="str">
        <f t="shared" si="20"/>
        <v>5400055,5302055,5302055,5302055,5400055,5400055</v>
      </c>
      <c r="D36" s="1" t="str">
        <f t="shared" si="21"/>
        <v>5,5,5,5,5,5</v>
      </c>
      <c r="E36" s="53" t="str">
        <f t="shared" si="22"/>
        <v>305,278,278,278,278,278</v>
      </c>
      <c r="F36" s="1">
        <f t="shared" si="0"/>
        <v>246297</v>
      </c>
      <c r="G36" s="23" t="s">
        <v>34</v>
      </c>
      <c r="H36" s="1" t="s">
        <v>28</v>
      </c>
      <c r="I36" s="1" t="s">
        <v>28</v>
      </c>
      <c r="J36" s="1" t="s">
        <v>28</v>
      </c>
      <c r="K36" s="2" t="s">
        <v>338</v>
      </c>
      <c r="L36" s="1">
        <v>2</v>
      </c>
      <c r="M36" s="1">
        <v>4</v>
      </c>
      <c r="O36" s="25">
        <f t="shared" si="23"/>
        <v>246297</v>
      </c>
      <c r="P36" s="16">
        <v>246296.7</v>
      </c>
      <c r="Q36" s="16">
        <v>5400055</v>
      </c>
      <c r="R36" s="16">
        <v>5302055</v>
      </c>
      <c r="S36" s="16">
        <v>5302055</v>
      </c>
      <c r="T36" s="16">
        <v>5302055</v>
      </c>
      <c r="U36" s="16">
        <v>5400055</v>
      </c>
      <c r="V36" s="16">
        <v>5400055</v>
      </c>
      <c r="W36" s="16">
        <v>5</v>
      </c>
      <c r="X36" s="16">
        <v>5</v>
      </c>
      <c r="Y36" s="16">
        <v>5</v>
      </c>
      <c r="Z36" s="16">
        <v>5</v>
      </c>
      <c r="AA36" s="16">
        <v>5</v>
      </c>
      <c r="AB36" s="16">
        <v>5</v>
      </c>
      <c r="AC36" s="16">
        <f t="shared" si="24"/>
        <v>305</v>
      </c>
      <c r="AD36" s="16">
        <f t="shared" si="59"/>
        <v>278</v>
      </c>
      <c r="AE36" s="16">
        <f t="shared" si="59"/>
        <v>278</v>
      </c>
      <c r="AF36" s="16">
        <f t="shared" si="59"/>
        <v>278</v>
      </c>
      <c r="AG36" s="16">
        <f t="shared" si="59"/>
        <v>278</v>
      </c>
      <c r="AH36" s="16">
        <f t="shared" si="59"/>
        <v>278</v>
      </c>
      <c r="AI36" s="28">
        <f t="shared" si="25"/>
        <v>49259.340000000004</v>
      </c>
      <c r="AJ36" s="28">
        <f t="shared" si="26"/>
        <v>39407.472000000002</v>
      </c>
      <c r="AK36" s="28">
        <f t="shared" si="26"/>
        <v>39407.472000000002</v>
      </c>
      <c r="AL36" s="28">
        <f t="shared" si="26"/>
        <v>39407.472000000002</v>
      </c>
      <c r="AM36" s="28">
        <f t="shared" si="26"/>
        <v>39407.472000000002</v>
      </c>
      <c r="AN36" s="28">
        <f t="shared" si="26"/>
        <v>39407.472000000002</v>
      </c>
      <c r="AO36" s="30"/>
      <c r="AP36" s="28"/>
      <c r="AQ36" s="16">
        <v>4</v>
      </c>
      <c r="AR36" s="16">
        <f t="shared" si="27"/>
        <v>323</v>
      </c>
      <c r="AS36" s="28">
        <f t="shared" si="28"/>
        <v>428</v>
      </c>
      <c r="AT36" s="28"/>
      <c r="AU36" s="30">
        <v>246296.7</v>
      </c>
      <c r="AV36" s="28" t="str">
        <f t="shared" si="29"/>
        <v>小:0</v>
      </c>
      <c r="AW36" s="28"/>
      <c r="AX36" s="28"/>
      <c r="AZ36" s="28"/>
      <c r="BA36" s="16">
        <f t="shared" si="58"/>
        <v>3360.3883495145565</v>
      </c>
      <c r="BC36" s="7">
        <f t="shared" si="30"/>
        <v>281</v>
      </c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9"/>
      <c r="BQ36" s="9"/>
      <c r="BR36" s="9">
        <v>4202041</v>
      </c>
      <c r="BS36" s="9">
        <f>[1]monsters!$N36</f>
        <v>167.25</v>
      </c>
      <c r="BT36" s="9">
        <f>[1]monsters!$O36</f>
        <v>16.73</v>
      </c>
      <c r="BU36" s="9">
        <f>[1]monsters!$P36</f>
        <v>1097.1400000000001</v>
      </c>
      <c r="BV36" s="9">
        <f>[1]monsters!$Q36</f>
        <v>109.71</v>
      </c>
      <c r="BW36" s="9">
        <f>[1]monsters!$R36</f>
        <v>20.91</v>
      </c>
      <c r="BX36" s="9">
        <f>[1]monsters!$S36</f>
        <v>2.09</v>
      </c>
      <c r="BY36" s="9">
        <f>[1]monsters!$K36</f>
        <v>1.4000000000000001</v>
      </c>
      <c r="BZ36" s="7">
        <f>[1]monsters!$D36</f>
        <v>5</v>
      </c>
      <c r="CA36" s="7">
        <f t="shared" si="31"/>
        <v>0.1</v>
      </c>
      <c r="CB36" s="7">
        <f t="shared" si="32"/>
        <v>194.99199074074076</v>
      </c>
      <c r="CC36" s="7">
        <f t="shared" si="33"/>
        <v>19.499199074074077</v>
      </c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>
        <v>0</v>
      </c>
      <c r="CR36" s="25" t="b">
        <f t="shared" si="34"/>
        <v>1</v>
      </c>
      <c r="CS36" s="25" t="b">
        <f t="shared" si="35"/>
        <v>1</v>
      </c>
      <c r="CT36" s="25" t="b">
        <f t="shared" si="36"/>
        <v>1</v>
      </c>
      <c r="CU36" s="25" t="b">
        <f t="shared" si="37"/>
        <v>1</v>
      </c>
      <c r="CV36" s="25" t="b">
        <f t="shared" si="38"/>
        <v>1</v>
      </c>
      <c r="CW36" s="25" t="b">
        <f t="shared" si="39"/>
        <v>1</v>
      </c>
      <c r="CX36" s="16" t="str">
        <f t="shared" si="40"/>
        <v>5400055</v>
      </c>
      <c r="CY36" s="16" t="str">
        <f t="shared" si="41"/>
        <v>5302055</v>
      </c>
      <c r="CZ36" s="16" t="str">
        <f t="shared" si="42"/>
        <v>5302055</v>
      </c>
      <c r="DA36" s="16" t="str">
        <f t="shared" si="43"/>
        <v>5302055</v>
      </c>
      <c r="DB36" s="16" t="str">
        <f t="shared" si="44"/>
        <v>5400055</v>
      </c>
      <c r="DC36" s="16" t="str">
        <f t="shared" si="45"/>
        <v>5400055</v>
      </c>
      <c r="DD36" s="16">
        <v>5</v>
      </c>
      <c r="DE36" s="16">
        <v>5</v>
      </c>
      <c r="DF36" s="16">
        <v>5</v>
      </c>
      <c r="DG36" s="16">
        <v>5</v>
      </c>
      <c r="DH36" s="16">
        <v>5</v>
      </c>
      <c r="DI36" s="16">
        <v>5</v>
      </c>
      <c r="DJ36" s="16">
        <v>5</v>
      </c>
      <c r="DK36" s="16">
        <v>5</v>
      </c>
      <c r="DL36" s="16">
        <v>5</v>
      </c>
      <c r="DM36" s="16">
        <v>5</v>
      </c>
      <c r="DN36" s="16">
        <v>5</v>
      </c>
      <c r="DO36" s="16">
        <v>5</v>
      </c>
      <c r="DP36" s="51" t="s">
        <v>222</v>
      </c>
      <c r="DQ36" s="51" t="s">
        <v>234</v>
      </c>
      <c r="DR36" s="51" t="s">
        <v>234</v>
      </c>
      <c r="DS36" s="51" t="s">
        <v>234</v>
      </c>
      <c r="DT36" s="51" t="s">
        <v>222</v>
      </c>
      <c r="DU36" s="51" t="s">
        <v>222</v>
      </c>
      <c r="DV36" s="32">
        <f t="shared" si="5"/>
        <v>2</v>
      </c>
      <c r="DW36" s="32">
        <f t="shared" si="6"/>
        <v>1</v>
      </c>
      <c r="DX36" s="32">
        <f t="shared" si="7"/>
        <v>1</v>
      </c>
      <c r="DY36" s="32">
        <f t="shared" si="8"/>
        <v>1</v>
      </c>
      <c r="DZ36" s="32">
        <f t="shared" si="9"/>
        <v>2</v>
      </c>
      <c r="EA36" s="32">
        <f t="shared" si="10"/>
        <v>2</v>
      </c>
      <c r="EB36" s="38"/>
      <c r="EC36" s="7">
        <v>3502051</v>
      </c>
      <c r="ED36" s="35" t="s">
        <v>125</v>
      </c>
      <c r="EE36" s="16">
        <v>2</v>
      </c>
      <c r="EF36" s="16">
        <v>303540001</v>
      </c>
      <c r="EG36" s="25" t="str">
        <f t="shared" si="11"/>
        <v>对随机4名敌人造成102%攻击伤害。</v>
      </c>
      <c r="EQ36" s="16">
        <v>505540001</v>
      </c>
      <c r="ER36" s="16" t="s">
        <v>170</v>
      </c>
      <c r="FD36" s="16">
        <v>5400055</v>
      </c>
      <c r="FE36" s="16">
        <v>5302055</v>
      </c>
      <c r="FF36" s="16">
        <v>5302055</v>
      </c>
      <c r="FG36" s="16">
        <v>5302055</v>
      </c>
      <c r="FH36" s="16">
        <v>5400055</v>
      </c>
      <c r="FI36" s="16">
        <v>5400055</v>
      </c>
      <c r="FJ36" t="str">
        <f t="shared" si="46"/>
        <v>暗巫师</v>
      </c>
      <c r="FK36" t="str">
        <f t="shared" si="47"/>
        <v>暗盗贼</v>
      </c>
      <c r="FL36" t="str">
        <f t="shared" si="48"/>
        <v>暗盗贼</v>
      </c>
      <c r="FM36" t="str">
        <f t="shared" si="49"/>
        <v>暗盗贼</v>
      </c>
      <c r="FN36" t="str">
        <f t="shared" si="50"/>
        <v>暗巫师</v>
      </c>
      <c r="FO36" t="str">
        <f t="shared" si="51"/>
        <v>暗巫师</v>
      </c>
      <c r="FP36" t="str">
        <f t="shared" si="52"/>
        <v>5</v>
      </c>
      <c r="FQ36" t="str">
        <f t="shared" si="53"/>
        <v>5</v>
      </c>
      <c r="FR36" t="str">
        <f t="shared" si="54"/>
        <v>5</v>
      </c>
      <c r="FS36" t="str">
        <f t="shared" si="55"/>
        <v>5</v>
      </c>
      <c r="FT36" t="str">
        <f t="shared" si="56"/>
        <v>5</v>
      </c>
      <c r="FU36" t="str">
        <f t="shared" si="57"/>
        <v>5</v>
      </c>
      <c r="FV36" t="str">
        <f t="shared" ref="FV36:FV67" si="60">LEFT(FD36,1)</f>
        <v>5</v>
      </c>
      <c r="FW36" t="str">
        <f t="shared" ref="FW36:FW67" si="61">LEFT(FE36,1)</f>
        <v>5</v>
      </c>
      <c r="FX36" t="str">
        <f t="shared" ref="FX36:FX67" si="62">LEFT(FF36,1)</f>
        <v>5</v>
      </c>
      <c r="FY36" t="str">
        <f t="shared" ref="FY36:FY67" si="63">LEFT(FG36,1)</f>
        <v>5</v>
      </c>
      <c r="FZ36" t="str">
        <f t="shared" ref="FZ36:FZ67" si="64">LEFT(FH36,1)</f>
        <v>5</v>
      </c>
      <c r="GA36" t="str">
        <f t="shared" ref="GA36:GA67" si="65">LEFT(FI36,1)</f>
        <v>5</v>
      </c>
    </row>
    <row r="37" spans="1:183" ht="13.5" customHeight="1">
      <c r="A37" s="1">
        <v>404</v>
      </c>
      <c r="B37" s="6">
        <v>10062</v>
      </c>
      <c r="C37" s="23" t="str">
        <f t="shared" si="20"/>
        <v>1101051,5201051,5201051,5401051,5401051,5401051</v>
      </c>
      <c r="D37" s="1" t="str">
        <f t="shared" si="21"/>
        <v>5,5,5,5,5,5</v>
      </c>
      <c r="E37" s="53" t="str">
        <f t="shared" si="22"/>
        <v>307,280,280,280,280,280</v>
      </c>
      <c r="F37" s="1">
        <f t="shared" si="0"/>
        <v>250368</v>
      </c>
      <c r="G37" s="23" t="s">
        <v>34</v>
      </c>
      <c r="H37" s="1" t="s">
        <v>28</v>
      </c>
      <c r="I37" s="1" t="s">
        <v>28</v>
      </c>
      <c r="J37" s="1" t="s">
        <v>28</v>
      </c>
      <c r="K37" s="2" t="s">
        <v>30</v>
      </c>
      <c r="L37" s="1">
        <v>3</v>
      </c>
      <c r="M37" s="1">
        <v>4</v>
      </c>
      <c r="O37" s="25">
        <f t="shared" si="23"/>
        <v>250368</v>
      </c>
      <c r="P37" s="16">
        <v>250368.3</v>
      </c>
      <c r="Q37" s="16">
        <v>1101051</v>
      </c>
      <c r="R37" s="16">
        <v>5201051</v>
      </c>
      <c r="S37" s="16">
        <v>5201051</v>
      </c>
      <c r="T37" s="16">
        <v>5401051</v>
      </c>
      <c r="U37" s="16">
        <v>5401051</v>
      </c>
      <c r="V37" s="16">
        <v>5401051</v>
      </c>
      <c r="W37" s="16">
        <v>5</v>
      </c>
      <c r="X37" s="16">
        <v>5</v>
      </c>
      <c r="Y37" s="16">
        <v>5</v>
      </c>
      <c r="Z37" s="16">
        <v>5</v>
      </c>
      <c r="AA37" s="16">
        <v>5</v>
      </c>
      <c r="AB37" s="16">
        <v>5</v>
      </c>
      <c r="AC37" s="16">
        <f t="shared" si="24"/>
        <v>307</v>
      </c>
      <c r="AD37" s="16">
        <f t="shared" si="59"/>
        <v>280</v>
      </c>
      <c r="AE37" s="16">
        <f t="shared" si="59"/>
        <v>280</v>
      </c>
      <c r="AF37" s="16">
        <f t="shared" si="59"/>
        <v>280</v>
      </c>
      <c r="AG37" s="16">
        <f t="shared" si="59"/>
        <v>280</v>
      </c>
      <c r="AH37" s="16">
        <f t="shared" si="59"/>
        <v>280</v>
      </c>
      <c r="AI37" s="28">
        <f t="shared" si="25"/>
        <v>50073.66</v>
      </c>
      <c r="AJ37" s="28">
        <f t="shared" ref="AJ37:AN68" si="66">$P37*0.16</f>
        <v>40058.928</v>
      </c>
      <c r="AK37" s="28">
        <f t="shared" si="66"/>
        <v>40058.928</v>
      </c>
      <c r="AL37" s="28">
        <f t="shared" si="66"/>
        <v>40058.928</v>
      </c>
      <c r="AM37" s="28">
        <f t="shared" si="66"/>
        <v>40058.928</v>
      </c>
      <c r="AN37" s="28">
        <f t="shared" si="66"/>
        <v>40058.928</v>
      </c>
      <c r="AO37" s="30"/>
      <c r="AP37" s="28"/>
      <c r="AQ37" s="16">
        <v>4</v>
      </c>
      <c r="AR37" s="16">
        <f t="shared" si="27"/>
        <v>326</v>
      </c>
      <c r="AS37" s="28">
        <f t="shared" si="28"/>
        <v>429</v>
      </c>
      <c r="AT37" s="28"/>
      <c r="AU37" s="30">
        <v>250368.3</v>
      </c>
      <c r="AV37" s="28" t="str">
        <f t="shared" si="29"/>
        <v>小:0</v>
      </c>
      <c r="AW37" s="28"/>
      <c r="AX37" s="28"/>
      <c r="AZ37" s="28"/>
      <c r="BA37" s="16">
        <f t="shared" si="58"/>
        <v>3371.6504854368864</v>
      </c>
      <c r="BC37" s="7">
        <f t="shared" si="30"/>
        <v>284</v>
      </c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9"/>
      <c r="BQ37" s="9"/>
      <c r="BR37" s="9">
        <v>4200042</v>
      </c>
      <c r="BS37" s="9">
        <f>[1]monsters!$N37</f>
        <v>122.88</v>
      </c>
      <c r="BT37" s="9">
        <f>[1]monsters!$O37</f>
        <v>12.29</v>
      </c>
      <c r="BU37" s="9">
        <f>[1]monsters!$P37</f>
        <v>1920</v>
      </c>
      <c r="BV37" s="9">
        <f>[1]monsters!$Q37</f>
        <v>192</v>
      </c>
      <c r="BW37" s="9">
        <f>[1]monsters!$R37</f>
        <v>40.96</v>
      </c>
      <c r="BX37" s="9">
        <f>[1]monsters!$S37</f>
        <v>4.0999999999999996</v>
      </c>
      <c r="BY37" s="9">
        <f>[1]monsters!$K37</f>
        <v>1.8</v>
      </c>
      <c r="BZ37" s="7">
        <f>[1]monsters!$D37</f>
        <v>2</v>
      </c>
      <c r="CA37" s="7">
        <f t="shared" si="31"/>
        <v>0.1</v>
      </c>
      <c r="CB37" s="7">
        <f t="shared" si="32"/>
        <v>180.76806464646464</v>
      </c>
      <c r="CC37" s="7">
        <f t="shared" si="33"/>
        <v>18.076806464646463</v>
      </c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>
        <v>0</v>
      </c>
      <c r="CR37" s="25" t="b">
        <f t="shared" si="34"/>
        <v>1</v>
      </c>
      <c r="CS37" s="25" t="b">
        <f t="shared" si="35"/>
        <v>1</v>
      </c>
      <c r="CT37" s="25" t="b">
        <f t="shared" si="36"/>
        <v>1</v>
      </c>
      <c r="CU37" s="25" t="b">
        <f t="shared" si="37"/>
        <v>1</v>
      </c>
      <c r="CV37" s="25" t="b">
        <f t="shared" si="38"/>
        <v>1</v>
      </c>
      <c r="CW37" s="25" t="b">
        <f t="shared" si="39"/>
        <v>1</v>
      </c>
      <c r="CX37" s="16" t="str">
        <f t="shared" si="40"/>
        <v>1101051</v>
      </c>
      <c r="CY37" s="16" t="str">
        <f t="shared" si="41"/>
        <v>5201051</v>
      </c>
      <c r="CZ37" s="16" t="str">
        <f t="shared" si="42"/>
        <v>5201051</v>
      </c>
      <c r="DA37" s="16" t="str">
        <f t="shared" si="43"/>
        <v>5401051</v>
      </c>
      <c r="DB37" s="16" t="str">
        <f t="shared" si="44"/>
        <v>5401051</v>
      </c>
      <c r="DC37" s="16" t="str">
        <f t="shared" si="45"/>
        <v>5401051</v>
      </c>
      <c r="DD37" s="16">
        <v>5</v>
      </c>
      <c r="DE37" s="16">
        <v>5</v>
      </c>
      <c r="DF37" s="16">
        <v>5</v>
      </c>
      <c r="DG37" s="16">
        <v>5</v>
      </c>
      <c r="DH37" s="16">
        <v>5</v>
      </c>
      <c r="DI37" s="16">
        <v>5</v>
      </c>
      <c r="DJ37" s="16">
        <v>1</v>
      </c>
      <c r="DK37" s="16">
        <v>5</v>
      </c>
      <c r="DL37" s="16">
        <v>5</v>
      </c>
      <c r="DM37" s="16">
        <v>5</v>
      </c>
      <c r="DN37" s="16">
        <v>5</v>
      </c>
      <c r="DO37" s="16">
        <v>5</v>
      </c>
      <c r="DP37" s="51" t="s">
        <v>298</v>
      </c>
      <c r="DQ37" s="51" t="s">
        <v>206</v>
      </c>
      <c r="DR37" s="51" t="s">
        <v>206</v>
      </c>
      <c r="DS37" s="51" t="s">
        <v>123</v>
      </c>
      <c r="DT37" s="51" t="s">
        <v>123</v>
      </c>
      <c r="DU37" s="51" t="s">
        <v>123</v>
      </c>
      <c r="DV37" s="32">
        <f t="shared" si="5"/>
        <v>1</v>
      </c>
      <c r="DW37" s="32">
        <f t="shared" si="6"/>
        <v>1</v>
      </c>
      <c r="DX37" s="32">
        <f t="shared" si="7"/>
        <v>1</v>
      </c>
      <c r="DY37" s="32">
        <f t="shared" si="8"/>
        <v>2</v>
      </c>
      <c r="DZ37" s="32">
        <f t="shared" si="9"/>
        <v>2</v>
      </c>
      <c r="EA37" s="32">
        <f t="shared" si="10"/>
        <v>2</v>
      </c>
      <c r="EB37" s="38"/>
      <c r="EC37" s="7">
        <v>3201052</v>
      </c>
      <c r="ED37" s="35" t="s">
        <v>128</v>
      </c>
      <c r="EE37" s="16">
        <v>1</v>
      </c>
      <c r="EQ37" s="16">
        <v>303120001</v>
      </c>
      <c r="ER37" s="16" t="s">
        <v>171</v>
      </c>
      <c r="FD37" s="16">
        <v>1101051</v>
      </c>
      <c r="FE37" s="16">
        <v>5201051</v>
      </c>
      <c r="FF37" s="16">
        <v>5201051</v>
      </c>
      <c r="FG37" s="16">
        <v>5401051</v>
      </c>
      <c r="FH37" s="16">
        <v>5401051</v>
      </c>
      <c r="FI37" s="16">
        <v>5401051</v>
      </c>
      <c r="FJ37" t="str">
        <f t="shared" si="46"/>
        <v>水黑骑士</v>
      </c>
      <c r="FK37" t="str">
        <f t="shared" si="47"/>
        <v>水骑兵</v>
      </c>
      <c r="FL37" t="str">
        <f t="shared" si="48"/>
        <v>水骑兵</v>
      </c>
      <c r="FM37" t="str">
        <f t="shared" si="49"/>
        <v>水魔法师</v>
      </c>
      <c r="FN37" t="str">
        <f t="shared" si="50"/>
        <v>水魔法师</v>
      </c>
      <c r="FO37" t="str">
        <f t="shared" si="51"/>
        <v>水魔法师</v>
      </c>
      <c r="FP37" t="str">
        <f t="shared" si="52"/>
        <v>5</v>
      </c>
      <c r="FQ37" t="str">
        <f t="shared" si="53"/>
        <v>5</v>
      </c>
      <c r="FR37" t="str">
        <f t="shared" si="54"/>
        <v>5</v>
      </c>
      <c r="FS37" t="str">
        <f t="shared" si="55"/>
        <v>5</v>
      </c>
      <c r="FT37" t="str">
        <f t="shared" si="56"/>
        <v>5</v>
      </c>
      <c r="FU37" t="str">
        <f t="shared" si="57"/>
        <v>5</v>
      </c>
      <c r="FV37" t="str">
        <f t="shared" si="60"/>
        <v>1</v>
      </c>
      <c r="FW37" t="str">
        <f t="shared" si="61"/>
        <v>5</v>
      </c>
      <c r="FX37" t="str">
        <f t="shared" si="62"/>
        <v>5</v>
      </c>
      <c r="FY37" t="str">
        <f t="shared" si="63"/>
        <v>5</v>
      </c>
      <c r="FZ37" t="str">
        <f t="shared" si="64"/>
        <v>5</v>
      </c>
      <c r="GA37" t="str">
        <f t="shared" si="65"/>
        <v>5</v>
      </c>
    </row>
    <row r="38" spans="1:183" ht="13.5" customHeight="1">
      <c r="A38" s="1">
        <v>405</v>
      </c>
      <c r="B38" s="6">
        <v>10062</v>
      </c>
      <c r="C38" s="23" t="str">
        <f t="shared" si="20"/>
        <v>5502051,5200051,5200051,5200051,5502051,5502051</v>
      </c>
      <c r="D38" s="1" t="str">
        <f t="shared" si="21"/>
        <v>5,5,5,5,5,5</v>
      </c>
      <c r="E38" s="53" t="str">
        <f t="shared" si="22"/>
        <v>311,283,283,283,283,283</v>
      </c>
      <c r="F38" s="1">
        <f t="shared" si="0"/>
        <v>255466</v>
      </c>
      <c r="G38" s="23" t="s">
        <v>34</v>
      </c>
      <c r="H38" s="1" t="s">
        <v>28</v>
      </c>
      <c r="I38" s="1" t="s">
        <v>28</v>
      </c>
      <c r="J38" s="1" t="s">
        <v>28</v>
      </c>
      <c r="K38" s="2" t="s">
        <v>339</v>
      </c>
      <c r="L38" s="1">
        <v>1</v>
      </c>
      <c r="M38" s="1">
        <v>3</v>
      </c>
      <c r="O38" s="25">
        <f t="shared" si="23"/>
        <v>255466</v>
      </c>
      <c r="P38" s="16">
        <v>255465.60000000001</v>
      </c>
      <c r="Q38" s="16">
        <v>5502051</v>
      </c>
      <c r="R38" s="16">
        <v>5200051</v>
      </c>
      <c r="S38" s="16">
        <v>5200051</v>
      </c>
      <c r="T38" s="16">
        <v>5200051</v>
      </c>
      <c r="U38" s="16">
        <v>5502051</v>
      </c>
      <c r="V38" s="16">
        <v>5502051</v>
      </c>
      <c r="W38" s="16">
        <v>5</v>
      </c>
      <c r="X38" s="16">
        <v>5</v>
      </c>
      <c r="Y38" s="16">
        <v>5</v>
      </c>
      <c r="Z38" s="16">
        <v>5</v>
      </c>
      <c r="AA38" s="16">
        <v>5</v>
      </c>
      <c r="AB38" s="16">
        <v>5</v>
      </c>
      <c r="AC38" s="16">
        <f t="shared" si="24"/>
        <v>311</v>
      </c>
      <c r="AD38" s="16">
        <f t="shared" si="59"/>
        <v>283</v>
      </c>
      <c r="AE38" s="16">
        <f t="shared" si="59"/>
        <v>283</v>
      </c>
      <c r="AF38" s="16">
        <f t="shared" si="59"/>
        <v>283</v>
      </c>
      <c r="AG38" s="16">
        <f t="shared" si="59"/>
        <v>283</v>
      </c>
      <c r="AH38" s="16">
        <f t="shared" si="59"/>
        <v>283</v>
      </c>
      <c r="AI38" s="28">
        <f t="shared" si="25"/>
        <v>51093.120000000003</v>
      </c>
      <c r="AJ38" s="28">
        <f t="shared" si="66"/>
        <v>40874.495999999999</v>
      </c>
      <c r="AK38" s="28">
        <f t="shared" si="66"/>
        <v>40874.495999999999</v>
      </c>
      <c r="AL38" s="28">
        <f t="shared" si="66"/>
        <v>40874.495999999999</v>
      </c>
      <c r="AM38" s="28">
        <f t="shared" si="66"/>
        <v>40874.495999999999</v>
      </c>
      <c r="AN38" s="28">
        <f t="shared" si="66"/>
        <v>40874.495999999999</v>
      </c>
      <c r="AO38" s="30"/>
      <c r="AP38" s="28"/>
      <c r="AQ38" s="16">
        <v>4</v>
      </c>
      <c r="AR38" s="16">
        <f t="shared" si="27"/>
        <v>329</v>
      </c>
      <c r="AS38" s="28">
        <f t="shared" si="28"/>
        <v>430</v>
      </c>
      <c r="AT38" s="28"/>
      <c r="AU38" s="30">
        <v>255465.60000000001</v>
      </c>
      <c r="AV38" s="28" t="str">
        <f t="shared" si="29"/>
        <v>小:0</v>
      </c>
      <c r="AW38" s="28"/>
      <c r="AX38" s="28"/>
      <c r="AZ38" s="28"/>
      <c r="BA38" s="16">
        <f t="shared" si="58"/>
        <v>3382.9126213592162</v>
      </c>
      <c r="BC38" s="7">
        <f t="shared" si="30"/>
        <v>287</v>
      </c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9"/>
      <c r="BQ38" s="9"/>
      <c r="BR38" s="9">
        <v>4300042</v>
      </c>
      <c r="BS38" s="9">
        <f>[1]monsters!$N38</f>
        <v>179.2</v>
      </c>
      <c r="BT38" s="9">
        <f>[1]monsters!$O38</f>
        <v>17.920000000000002</v>
      </c>
      <c r="BU38" s="9">
        <f>[1]monsters!$P38</f>
        <v>1097.1400000000001</v>
      </c>
      <c r="BV38" s="9">
        <f>[1]monsters!$Q38</f>
        <v>109.71</v>
      </c>
      <c r="BW38" s="9">
        <f>[1]monsters!$R38</f>
        <v>22.4</v>
      </c>
      <c r="BX38" s="9">
        <f>[1]monsters!$S38</f>
        <v>2.2400000000000002</v>
      </c>
      <c r="BY38" s="9">
        <f>[1]monsters!$K38</f>
        <v>1.5</v>
      </c>
      <c r="BZ38" s="7">
        <f>[1]monsters!$D38</f>
        <v>5</v>
      </c>
      <c r="CA38" s="7">
        <f t="shared" si="31"/>
        <v>0.1</v>
      </c>
      <c r="CB38" s="7">
        <f t="shared" si="32"/>
        <v>206.28474074074074</v>
      </c>
      <c r="CC38" s="7">
        <f t="shared" si="33"/>
        <v>20.628474074074077</v>
      </c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>
        <v>1</v>
      </c>
      <c r="CR38" s="25" t="b">
        <f t="shared" si="34"/>
        <v>1</v>
      </c>
      <c r="CS38" s="25" t="b">
        <f t="shared" si="35"/>
        <v>1</v>
      </c>
      <c r="CT38" s="25" t="b">
        <f t="shared" si="36"/>
        <v>1</v>
      </c>
      <c r="CU38" s="25" t="b">
        <f t="shared" si="37"/>
        <v>1</v>
      </c>
      <c r="CV38" s="25" t="b">
        <f t="shared" si="38"/>
        <v>1</v>
      </c>
      <c r="CW38" s="25" t="b">
        <f t="shared" si="39"/>
        <v>1</v>
      </c>
      <c r="CX38" s="16" t="str">
        <f t="shared" si="40"/>
        <v>5502051</v>
      </c>
      <c r="CY38" s="16" t="str">
        <f t="shared" si="41"/>
        <v>5200051</v>
      </c>
      <c r="CZ38" s="16" t="str">
        <f t="shared" si="42"/>
        <v>5200051</v>
      </c>
      <c r="DA38" s="16" t="str">
        <f t="shared" si="43"/>
        <v>5200051</v>
      </c>
      <c r="DB38" s="16" t="str">
        <f t="shared" si="44"/>
        <v>5502051</v>
      </c>
      <c r="DC38" s="16" t="str">
        <f t="shared" si="45"/>
        <v>5502051</v>
      </c>
      <c r="DD38" s="16">
        <v>5</v>
      </c>
      <c r="DE38" s="16">
        <v>5</v>
      </c>
      <c r="DF38" s="16">
        <v>5</v>
      </c>
      <c r="DG38" s="16">
        <v>5</v>
      </c>
      <c r="DH38" s="16">
        <v>5</v>
      </c>
      <c r="DI38" s="16">
        <v>5</v>
      </c>
      <c r="DJ38" s="16">
        <v>5</v>
      </c>
      <c r="DK38" s="16">
        <v>5</v>
      </c>
      <c r="DL38" s="16">
        <v>5</v>
      </c>
      <c r="DM38" s="16">
        <v>5</v>
      </c>
      <c r="DN38" s="16">
        <v>5</v>
      </c>
      <c r="DO38" s="16">
        <v>5</v>
      </c>
      <c r="DP38" s="51" t="s">
        <v>130</v>
      </c>
      <c r="DQ38" s="51" t="s">
        <v>205</v>
      </c>
      <c r="DR38" s="51" t="s">
        <v>205</v>
      </c>
      <c r="DS38" s="51" t="s">
        <v>205</v>
      </c>
      <c r="DT38" s="51" t="s">
        <v>130</v>
      </c>
      <c r="DU38" s="13" t="s">
        <v>130</v>
      </c>
      <c r="DV38" s="32">
        <f t="shared" si="5"/>
        <v>2</v>
      </c>
      <c r="DW38" s="32">
        <f t="shared" si="6"/>
        <v>1</v>
      </c>
      <c r="DX38" s="32">
        <f t="shared" si="7"/>
        <v>1</v>
      </c>
      <c r="DY38" s="32">
        <f t="shared" si="8"/>
        <v>1</v>
      </c>
      <c r="DZ38" s="32">
        <f t="shared" si="9"/>
        <v>2</v>
      </c>
      <c r="EA38" s="32">
        <f t="shared" si="10"/>
        <v>2</v>
      </c>
      <c r="EB38" s="38"/>
      <c r="EC38" s="7">
        <v>3500052</v>
      </c>
      <c r="ED38" s="35" t="s">
        <v>131</v>
      </c>
      <c r="EE38" s="16">
        <v>2</v>
      </c>
      <c r="EQ38" s="16">
        <v>303120101</v>
      </c>
      <c r="ER38" s="16" t="s">
        <v>144</v>
      </c>
      <c r="FD38" s="16">
        <v>5502051</v>
      </c>
      <c r="FE38" s="16">
        <v>5200051</v>
      </c>
      <c r="FF38" s="16">
        <v>5200051</v>
      </c>
      <c r="FG38" s="16">
        <v>5200051</v>
      </c>
      <c r="FH38" s="16">
        <v>5502051</v>
      </c>
      <c r="FI38" s="16">
        <v>5502051</v>
      </c>
      <c r="FJ38" t="str">
        <f t="shared" si="46"/>
        <v>水火枪手</v>
      </c>
      <c r="FK38" t="str">
        <f t="shared" si="47"/>
        <v>水刀客</v>
      </c>
      <c r="FL38" t="str">
        <f t="shared" si="48"/>
        <v>水刀客</v>
      </c>
      <c r="FM38" t="str">
        <f t="shared" si="49"/>
        <v>水刀客</v>
      </c>
      <c r="FN38" t="str">
        <f t="shared" si="50"/>
        <v>水火枪手</v>
      </c>
      <c r="FO38" t="str">
        <f t="shared" si="51"/>
        <v>水火枪手</v>
      </c>
      <c r="FP38" t="str">
        <f t="shared" si="52"/>
        <v>5</v>
      </c>
      <c r="FQ38" t="str">
        <f t="shared" si="53"/>
        <v>5</v>
      </c>
      <c r="FR38" t="str">
        <f t="shared" si="54"/>
        <v>5</v>
      </c>
      <c r="FS38" t="str">
        <f t="shared" si="55"/>
        <v>5</v>
      </c>
      <c r="FT38" t="str">
        <f t="shared" si="56"/>
        <v>5</v>
      </c>
      <c r="FU38" t="str">
        <f t="shared" si="57"/>
        <v>5</v>
      </c>
      <c r="FV38" t="str">
        <f t="shared" si="60"/>
        <v>5</v>
      </c>
      <c r="FW38" t="str">
        <f t="shared" si="61"/>
        <v>5</v>
      </c>
      <c r="FX38" t="str">
        <f t="shared" si="62"/>
        <v>5</v>
      </c>
      <c r="FY38" t="str">
        <f t="shared" si="63"/>
        <v>5</v>
      </c>
      <c r="FZ38" t="str">
        <f t="shared" si="64"/>
        <v>5</v>
      </c>
      <c r="GA38" t="str">
        <f t="shared" si="65"/>
        <v>5</v>
      </c>
    </row>
    <row r="39" spans="1:183" ht="13.5" customHeight="1">
      <c r="A39" s="1">
        <v>406</v>
      </c>
      <c r="B39" s="6">
        <v>10062</v>
      </c>
      <c r="C39" s="23" t="str">
        <f t="shared" si="20"/>
        <v>5402051,5201051,5202051,5201051,5401051,5602054</v>
      </c>
      <c r="D39" s="1" t="str">
        <f t="shared" si="21"/>
        <v>5,5,5,5,5,5</v>
      </c>
      <c r="E39" s="53" t="str">
        <f t="shared" si="22"/>
        <v>313,285,285,285,285,285</v>
      </c>
      <c r="F39" s="1">
        <f t="shared" si="0"/>
        <v>259613</v>
      </c>
      <c r="G39" s="23" t="s">
        <v>34</v>
      </c>
      <c r="H39" s="1" t="s">
        <v>28</v>
      </c>
      <c r="I39" s="1" t="s">
        <v>28</v>
      </c>
      <c r="J39" s="1" t="s">
        <v>28</v>
      </c>
      <c r="K39" s="2" t="s">
        <v>340</v>
      </c>
      <c r="L39" s="1">
        <v>2</v>
      </c>
      <c r="M39" s="1">
        <v>3</v>
      </c>
      <c r="O39" s="25">
        <f t="shared" si="23"/>
        <v>259613</v>
      </c>
      <c r="P39" s="16">
        <v>259613.25</v>
      </c>
      <c r="Q39" s="16">
        <v>5402051</v>
      </c>
      <c r="R39" s="16">
        <v>5201051</v>
      </c>
      <c r="S39" s="16">
        <v>5202051</v>
      </c>
      <c r="T39" s="16">
        <v>5201051</v>
      </c>
      <c r="U39" s="16">
        <v>5401051</v>
      </c>
      <c r="V39" s="16">
        <v>5602054</v>
      </c>
      <c r="W39" s="16">
        <v>5</v>
      </c>
      <c r="X39" s="16">
        <v>5</v>
      </c>
      <c r="Y39" s="16">
        <v>5</v>
      </c>
      <c r="Z39" s="16">
        <v>5</v>
      </c>
      <c r="AA39" s="16">
        <v>5</v>
      </c>
      <c r="AB39" s="16">
        <v>5</v>
      </c>
      <c r="AC39" s="16">
        <f t="shared" si="24"/>
        <v>313</v>
      </c>
      <c r="AD39" s="16">
        <f t="shared" si="59"/>
        <v>285</v>
      </c>
      <c r="AE39" s="16">
        <f t="shared" si="59"/>
        <v>285</v>
      </c>
      <c r="AF39" s="16">
        <f t="shared" si="59"/>
        <v>285</v>
      </c>
      <c r="AG39" s="16">
        <f t="shared" si="59"/>
        <v>285</v>
      </c>
      <c r="AH39" s="16">
        <f t="shared" si="59"/>
        <v>285</v>
      </c>
      <c r="AI39" s="28">
        <f t="shared" si="25"/>
        <v>51922.65</v>
      </c>
      <c r="AJ39" s="28">
        <f t="shared" si="66"/>
        <v>41538.120000000003</v>
      </c>
      <c r="AK39" s="28">
        <f t="shared" si="66"/>
        <v>41538.120000000003</v>
      </c>
      <c r="AL39" s="28">
        <f t="shared" si="66"/>
        <v>41538.120000000003</v>
      </c>
      <c r="AM39" s="28">
        <f t="shared" si="66"/>
        <v>41538.120000000003</v>
      </c>
      <c r="AN39" s="28">
        <f t="shared" si="66"/>
        <v>41538.120000000003</v>
      </c>
      <c r="AO39" s="30"/>
      <c r="AP39" s="28"/>
      <c r="AQ39" s="16">
        <v>4</v>
      </c>
      <c r="AR39" s="16">
        <f t="shared" si="27"/>
        <v>332</v>
      </c>
      <c r="AS39" s="28">
        <f t="shared" si="28"/>
        <v>431</v>
      </c>
      <c r="AT39" s="28"/>
      <c r="AU39" s="30">
        <v>259613.25</v>
      </c>
      <c r="AV39" s="28" t="str">
        <f t="shared" si="29"/>
        <v>小:0</v>
      </c>
      <c r="AW39" s="28"/>
      <c r="AX39" s="28"/>
      <c r="AZ39" s="28"/>
      <c r="BA39" s="16">
        <f t="shared" si="58"/>
        <v>3394.1747572815461</v>
      </c>
      <c r="BC39" s="7">
        <f t="shared" si="30"/>
        <v>289</v>
      </c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9"/>
      <c r="BQ39" s="9"/>
      <c r="BR39" s="9">
        <v>4402042</v>
      </c>
      <c r="BS39" s="9">
        <f>[1]monsters!$N39</f>
        <v>198.4</v>
      </c>
      <c r="BT39" s="9">
        <f>[1]monsters!$O39</f>
        <v>19.84</v>
      </c>
      <c r="BU39" s="9">
        <f>[1]monsters!$P39</f>
        <v>990.97</v>
      </c>
      <c r="BV39" s="9">
        <f>[1]monsters!$Q39</f>
        <v>99.1</v>
      </c>
      <c r="BW39" s="9">
        <f>[1]monsters!$R39</f>
        <v>19.84</v>
      </c>
      <c r="BX39" s="9">
        <f>[1]monsters!$S39</f>
        <v>1.98</v>
      </c>
      <c r="BY39" s="9">
        <f>[1]monsters!$K39</f>
        <v>1.5</v>
      </c>
      <c r="BZ39" s="7">
        <f>[1]monsters!$D39</f>
        <v>6</v>
      </c>
      <c r="CA39" s="7">
        <f t="shared" si="31"/>
        <v>0.1</v>
      </c>
      <c r="CB39" s="7">
        <f t="shared" si="32"/>
        <v>220.8539932659933</v>
      </c>
      <c r="CC39" s="7">
        <f t="shared" si="33"/>
        <v>22.08539932659933</v>
      </c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>
        <v>0</v>
      </c>
      <c r="CR39" s="25" t="b">
        <f t="shared" si="34"/>
        <v>1</v>
      </c>
      <c r="CS39" s="25" t="b">
        <f t="shared" si="35"/>
        <v>1</v>
      </c>
      <c r="CT39" s="25" t="b">
        <f t="shared" si="36"/>
        <v>1</v>
      </c>
      <c r="CU39" s="25" t="b">
        <f t="shared" si="37"/>
        <v>1</v>
      </c>
      <c r="CV39" s="25" t="b">
        <f t="shared" si="38"/>
        <v>1</v>
      </c>
      <c r="CW39" s="25" t="b">
        <f t="shared" si="39"/>
        <v>1</v>
      </c>
      <c r="CX39" s="16" t="str">
        <f t="shared" si="40"/>
        <v>5402051</v>
      </c>
      <c r="CY39" s="16" t="str">
        <f t="shared" si="41"/>
        <v>5201051</v>
      </c>
      <c r="CZ39" s="16" t="str">
        <f t="shared" si="42"/>
        <v>5202051</v>
      </c>
      <c r="DA39" s="16" t="str">
        <f t="shared" si="43"/>
        <v>5201051</v>
      </c>
      <c r="DB39" s="16" t="str">
        <f t="shared" si="44"/>
        <v>5401051</v>
      </c>
      <c r="DC39" s="16" t="str">
        <f t="shared" si="45"/>
        <v>5602054</v>
      </c>
      <c r="DD39" s="16">
        <v>5</v>
      </c>
      <c r="DE39" s="16">
        <v>5</v>
      </c>
      <c r="DF39" s="16">
        <v>5</v>
      </c>
      <c r="DG39" s="16">
        <v>5</v>
      </c>
      <c r="DH39" s="16">
        <v>5</v>
      </c>
      <c r="DI39" s="16">
        <v>5</v>
      </c>
      <c r="DJ39" s="16">
        <v>5</v>
      </c>
      <c r="DK39" s="16">
        <v>5</v>
      </c>
      <c r="DL39" s="16">
        <v>5</v>
      </c>
      <c r="DM39" s="16">
        <v>5</v>
      </c>
      <c r="DN39" s="16">
        <v>5</v>
      </c>
      <c r="DO39" s="16">
        <v>5</v>
      </c>
      <c r="DP39" s="51" t="s">
        <v>207</v>
      </c>
      <c r="DQ39" s="51" t="s">
        <v>206</v>
      </c>
      <c r="DR39" s="51" t="s">
        <v>117</v>
      </c>
      <c r="DS39" s="51" t="s">
        <v>206</v>
      </c>
      <c r="DT39" s="51" t="s">
        <v>123</v>
      </c>
      <c r="DU39" s="51" t="s">
        <v>232</v>
      </c>
      <c r="DV39" s="32">
        <f t="shared" si="5"/>
        <v>2</v>
      </c>
      <c r="DW39" s="32">
        <f t="shared" si="6"/>
        <v>1</v>
      </c>
      <c r="DX39" s="32">
        <f t="shared" si="7"/>
        <v>1</v>
      </c>
      <c r="DY39" s="32">
        <f t="shared" si="8"/>
        <v>1</v>
      </c>
      <c r="DZ39" s="32">
        <f t="shared" si="9"/>
        <v>2</v>
      </c>
      <c r="EA39" s="32">
        <f t="shared" si="10"/>
        <v>2</v>
      </c>
      <c r="EB39" s="38"/>
      <c r="EC39" s="7">
        <v>3601052</v>
      </c>
      <c r="ED39" s="35" t="s">
        <v>133</v>
      </c>
      <c r="EE39" s="16">
        <v>2</v>
      </c>
      <c r="EQ39" s="16">
        <v>303120201</v>
      </c>
      <c r="ER39" s="16" t="s">
        <v>172</v>
      </c>
      <c r="FD39" s="16">
        <v>5402051</v>
      </c>
      <c r="FE39" s="16">
        <v>5201051</v>
      </c>
      <c r="FF39" s="16">
        <v>5202051</v>
      </c>
      <c r="FG39" s="16">
        <v>5201051</v>
      </c>
      <c r="FH39" s="16">
        <v>5401051</v>
      </c>
      <c r="FI39" s="16">
        <v>5602054</v>
      </c>
      <c r="FJ39" t="str">
        <f t="shared" si="46"/>
        <v>水女巫</v>
      </c>
      <c r="FK39" t="str">
        <f t="shared" si="47"/>
        <v>水骑兵</v>
      </c>
      <c r="FL39" t="str">
        <f t="shared" si="48"/>
        <v>水维京</v>
      </c>
      <c r="FM39" t="str">
        <f t="shared" si="49"/>
        <v>水骑兵</v>
      </c>
      <c r="FN39" t="str">
        <f t="shared" si="50"/>
        <v>水魔法师</v>
      </c>
      <c r="FO39" t="str">
        <f t="shared" si="51"/>
        <v>光学者</v>
      </c>
      <c r="FP39" t="str">
        <f t="shared" si="52"/>
        <v>5</v>
      </c>
      <c r="FQ39" t="str">
        <f t="shared" si="53"/>
        <v>5</v>
      </c>
      <c r="FR39" t="str">
        <f t="shared" si="54"/>
        <v>5</v>
      </c>
      <c r="FS39" t="str">
        <f t="shared" si="55"/>
        <v>5</v>
      </c>
      <c r="FT39" t="str">
        <f t="shared" si="56"/>
        <v>5</v>
      </c>
      <c r="FU39" t="str">
        <f t="shared" si="57"/>
        <v>5</v>
      </c>
      <c r="FV39" t="str">
        <f t="shared" si="60"/>
        <v>5</v>
      </c>
      <c r="FW39" t="str">
        <f t="shared" si="61"/>
        <v>5</v>
      </c>
      <c r="FX39" t="str">
        <f t="shared" si="62"/>
        <v>5</v>
      </c>
      <c r="FY39" t="str">
        <f t="shared" si="63"/>
        <v>5</v>
      </c>
      <c r="FZ39" t="str">
        <f t="shared" si="64"/>
        <v>5</v>
      </c>
      <c r="GA39" t="str">
        <f t="shared" si="65"/>
        <v>5</v>
      </c>
    </row>
    <row r="40" spans="1:183" ht="13.5" customHeight="1">
      <c r="A40" s="1">
        <v>407</v>
      </c>
      <c r="B40" s="6">
        <v>10062</v>
      </c>
      <c r="C40" s="23" t="str">
        <f t="shared" si="20"/>
        <v>1101052,5201051,5201051,5402052,5402052,5402052</v>
      </c>
      <c r="D40" s="1" t="str">
        <f t="shared" si="21"/>
        <v>5,5,5,5,5,5</v>
      </c>
      <c r="E40" s="53" t="str">
        <f t="shared" si="22"/>
        <v>316,288,288,288,288,288</v>
      </c>
      <c r="F40" s="1">
        <f t="shared" si="0"/>
        <v>264802</v>
      </c>
      <c r="G40" s="23" t="s">
        <v>34</v>
      </c>
      <c r="H40" s="1" t="s">
        <v>28</v>
      </c>
      <c r="I40" s="1" t="s">
        <v>28</v>
      </c>
      <c r="J40" s="1" t="s">
        <v>28</v>
      </c>
      <c r="K40" s="2" t="s">
        <v>341</v>
      </c>
      <c r="L40" s="1">
        <v>3</v>
      </c>
      <c r="M40" s="1">
        <v>6</v>
      </c>
      <c r="O40" s="25">
        <f t="shared" si="23"/>
        <v>264802</v>
      </c>
      <c r="P40" s="16">
        <v>264802.2</v>
      </c>
      <c r="Q40" s="16">
        <v>1101052</v>
      </c>
      <c r="R40" s="16">
        <v>5201051</v>
      </c>
      <c r="S40" s="16">
        <v>5201051</v>
      </c>
      <c r="T40" s="16">
        <v>5402052</v>
      </c>
      <c r="U40" s="16">
        <v>5402052</v>
      </c>
      <c r="V40" s="16">
        <v>5402052</v>
      </c>
      <c r="W40" s="16">
        <v>5</v>
      </c>
      <c r="X40" s="16">
        <v>5</v>
      </c>
      <c r="Y40" s="16">
        <v>5</v>
      </c>
      <c r="Z40" s="16">
        <v>5</v>
      </c>
      <c r="AA40" s="16">
        <v>5</v>
      </c>
      <c r="AB40" s="16">
        <v>5</v>
      </c>
      <c r="AC40" s="16">
        <f t="shared" si="24"/>
        <v>316</v>
      </c>
      <c r="AD40" s="16">
        <f t="shared" si="59"/>
        <v>288</v>
      </c>
      <c r="AE40" s="16">
        <f t="shared" si="59"/>
        <v>288</v>
      </c>
      <c r="AF40" s="16">
        <f t="shared" si="59"/>
        <v>288</v>
      </c>
      <c r="AG40" s="16">
        <f t="shared" si="59"/>
        <v>288</v>
      </c>
      <c r="AH40" s="16">
        <f t="shared" si="59"/>
        <v>288</v>
      </c>
      <c r="AI40" s="28">
        <f t="shared" si="25"/>
        <v>52960.44</v>
      </c>
      <c r="AJ40" s="28">
        <f t="shared" si="66"/>
        <v>42368.352000000006</v>
      </c>
      <c r="AK40" s="28">
        <f t="shared" si="66"/>
        <v>42368.352000000006</v>
      </c>
      <c r="AL40" s="28">
        <f t="shared" si="66"/>
        <v>42368.352000000006</v>
      </c>
      <c r="AM40" s="28">
        <f t="shared" si="66"/>
        <v>42368.352000000006</v>
      </c>
      <c r="AN40" s="28">
        <f t="shared" si="66"/>
        <v>42368.352000000006</v>
      </c>
      <c r="AO40" s="30"/>
      <c r="AP40" s="28"/>
      <c r="AQ40" s="16">
        <v>4</v>
      </c>
      <c r="AR40" s="16">
        <f t="shared" si="27"/>
        <v>335</v>
      </c>
      <c r="AS40" s="28">
        <f t="shared" si="28"/>
        <v>432</v>
      </c>
      <c r="AT40" s="28"/>
      <c r="AU40" s="30">
        <v>264802.2</v>
      </c>
      <c r="AV40" s="28" t="str">
        <f t="shared" si="29"/>
        <v>小:0</v>
      </c>
      <c r="AW40" s="28"/>
      <c r="AX40" s="28"/>
      <c r="AZ40" s="28"/>
      <c r="BA40" s="16">
        <f t="shared" si="58"/>
        <v>3405.436893203876</v>
      </c>
      <c r="BC40" s="7">
        <f t="shared" si="30"/>
        <v>292</v>
      </c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9"/>
      <c r="BQ40" s="9"/>
      <c r="BR40" s="9">
        <v>4502042</v>
      </c>
      <c r="BS40" s="9">
        <f>[1]monsters!$N40</f>
        <v>128</v>
      </c>
      <c r="BT40" s="9">
        <f>[1]monsters!$O40</f>
        <v>12.8</v>
      </c>
      <c r="BU40" s="9">
        <f>[1]monsters!$P40</f>
        <v>1536</v>
      </c>
      <c r="BV40" s="9">
        <f>[1]monsters!$Q40</f>
        <v>153.6</v>
      </c>
      <c r="BW40" s="9">
        <f>[1]monsters!$R40</f>
        <v>32</v>
      </c>
      <c r="BX40" s="9">
        <f>[1]monsters!$S40</f>
        <v>3.2</v>
      </c>
      <c r="BY40" s="9">
        <f>[1]monsters!$K40</f>
        <v>1.5</v>
      </c>
      <c r="BZ40" s="7">
        <f>[1]monsters!$D40</f>
        <v>2</v>
      </c>
      <c r="CA40" s="7">
        <f t="shared" si="31"/>
        <v>0.1</v>
      </c>
      <c r="CB40" s="7">
        <f t="shared" si="32"/>
        <v>172.67717171717172</v>
      </c>
      <c r="CC40" s="7">
        <f t="shared" si="33"/>
        <v>17.267717171717173</v>
      </c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>
        <v>0</v>
      </c>
      <c r="CR40" s="25" t="b">
        <f t="shared" si="34"/>
        <v>1</v>
      </c>
      <c r="CS40" s="25" t="b">
        <f t="shared" si="35"/>
        <v>1</v>
      </c>
      <c r="CT40" s="25" t="b">
        <f t="shared" si="36"/>
        <v>1</v>
      </c>
      <c r="CU40" s="25" t="b">
        <f t="shared" si="37"/>
        <v>1</v>
      </c>
      <c r="CV40" s="25" t="b">
        <f t="shared" si="38"/>
        <v>1</v>
      </c>
      <c r="CW40" s="25" t="b">
        <f t="shared" si="39"/>
        <v>1</v>
      </c>
      <c r="CX40" s="16" t="str">
        <f t="shared" si="40"/>
        <v>1101052</v>
      </c>
      <c r="CY40" s="16" t="str">
        <f t="shared" si="41"/>
        <v>5201051</v>
      </c>
      <c r="CZ40" s="16" t="str">
        <f t="shared" si="42"/>
        <v>5201051</v>
      </c>
      <c r="DA40" s="16" t="str">
        <f t="shared" si="43"/>
        <v>5402052</v>
      </c>
      <c r="DB40" s="16" t="str">
        <f t="shared" si="44"/>
        <v>5402052</v>
      </c>
      <c r="DC40" s="16" t="str">
        <f t="shared" si="45"/>
        <v>5402052</v>
      </c>
      <c r="DD40" s="16">
        <v>5</v>
      </c>
      <c r="DE40" s="16">
        <v>5</v>
      </c>
      <c r="DF40" s="16">
        <v>5</v>
      </c>
      <c r="DG40" s="16">
        <v>5</v>
      </c>
      <c r="DH40" s="16">
        <v>5</v>
      </c>
      <c r="DI40" s="16">
        <v>5</v>
      </c>
      <c r="DJ40" s="16">
        <v>1</v>
      </c>
      <c r="DK40" s="16">
        <v>5</v>
      </c>
      <c r="DL40" s="16">
        <v>5</v>
      </c>
      <c r="DM40" s="16">
        <v>5</v>
      </c>
      <c r="DN40" s="16">
        <v>5</v>
      </c>
      <c r="DO40" s="16">
        <v>5</v>
      </c>
      <c r="DP40" s="51" t="s">
        <v>299</v>
      </c>
      <c r="DQ40" s="51" t="s">
        <v>206</v>
      </c>
      <c r="DR40" s="51" t="s">
        <v>206</v>
      </c>
      <c r="DS40" s="51" t="s">
        <v>214</v>
      </c>
      <c r="DT40" s="51" t="s">
        <v>214</v>
      </c>
      <c r="DU40" s="51" t="s">
        <v>214</v>
      </c>
      <c r="DV40" s="32">
        <f t="shared" si="5"/>
        <v>1</v>
      </c>
      <c r="DW40" s="32">
        <f t="shared" si="6"/>
        <v>1</v>
      </c>
      <c r="DX40" s="32">
        <f t="shared" si="7"/>
        <v>1</v>
      </c>
      <c r="DY40" s="32">
        <f t="shared" si="8"/>
        <v>2</v>
      </c>
      <c r="DZ40" s="32">
        <f t="shared" si="9"/>
        <v>2</v>
      </c>
      <c r="EA40" s="32">
        <f t="shared" si="10"/>
        <v>2</v>
      </c>
      <c r="EB40" s="38"/>
      <c r="EC40" s="7">
        <v>3200053</v>
      </c>
      <c r="ED40" s="35" t="s">
        <v>135</v>
      </c>
      <c r="EE40" s="16">
        <v>1</v>
      </c>
      <c r="EQ40" s="16">
        <v>303130101</v>
      </c>
      <c r="ER40" s="16" t="s">
        <v>173</v>
      </c>
      <c r="FD40" s="16">
        <v>1101052</v>
      </c>
      <c r="FE40" s="16">
        <v>5201051</v>
      </c>
      <c r="FF40" s="16">
        <v>5201051</v>
      </c>
      <c r="FG40" s="16">
        <v>5402052</v>
      </c>
      <c r="FH40" s="16">
        <v>5402052</v>
      </c>
      <c r="FI40" s="16">
        <v>5402052</v>
      </c>
      <c r="FJ40" t="str">
        <f t="shared" si="46"/>
        <v>火黑骑士</v>
      </c>
      <c r="FK40" t="str">
        <f t="shared" si="47"/>
        <v>水骑兵</v>
      </c>
      <c r="FL40" t="str">
        <f t="shared" si="48"/>
        <v>水骑兵</v>
      </c>
      <c r="FM40" t="str">
        <f t="shared" si="49"/>
        <v>火女巫</v>
      </c>
      <c r="FN40" t="str">
        <f t="shared" si="50"/>
        <v>火女巫</v>
      </c>
      <c r="FO40" t="str">
        <f t="shared" si="51"/>
        <v>火女巫</v>
      </c>
      <c r="FP40" t="str">
        <f t="shared" si="52"/>
        <v>5</v>
      </c>
      <c r="FQ40" t="str">
        <f t="shared" si="53"/>
        <v>5</v>
      </c>
      <c r="FR40" t="str">
        <f t="shared" si="54"/>
        <v>5</v>
      </c>
      <c r="FS40" t="str">
        <f t="shared" si="55"/>
        <v>5</v>
      </c>
      <c r="FT40" t="str">
        <f t="shared" si="56"/>
        <v>5</v>
      </c>
      <c r="FU40" t="str">
        <f t="shared" si="57"/>
        <v>5</v>
      </c>
      <c r="FV40" t="str">
        <f t="shared" si="60"/>
        <v>1</v>
      </c>
      <c r="FW40" t="str">
        <f t="shared" si="61"/>
        <v>5</v>
      </c>
      <c r="FX40" t="str">
        <f t="shared" si="62"/>
        <v>5</v>
      </c>
      <c r="FY40" t="str">
        <f t="shared" si="63"/>
        <v>5</v>
      </c>
      <c r="FZ40" t="str">
        <f t="shared" si="64"/>
        <v>5</v>
      </c>
      <c r="GA40" t="str">
        <f t="shared" si="65"/>
        <v>5</v>
      </c>
    </row>
    <row r="41" spans="1:183" ht="13.5" customHeight="1">
      <c r="A41" s="1">
        <v>408</v>
      </c>
      <c r="B41" s="6">
        <v>10062</v>
      </c>
      <c r="C41" s="23" t="str">
        <f t="shared" si="20"/>
        <v>5601052,5201052,5201052,5201052,5502052,5502052</v>
      </c>
      <c r="D41" s="1" t="str">
        <f t="shared" si="21"/>
        <v>5,5,5,5,5,5</v>
      </c>
      <c r="E41" s="53" t="str">
        <f t="shared" si="22"/>
        <v>319,291,291,291,291,291</v>
      </c>
      <c r="F41" s="1">
        <f t="shared" si="0"/>
        <v>269030</v>
      </c>
      <c r="G41" s="23" t="s">
        <v>34</v>
      </c>
      <c r="H41" s="1" t="s">
        <v>28</v>
      </c>
      <c r="I41" s="1" t="s">
        <v>28</v>
      </c>
      <c r="J41" s="1" t="s">
        <v>28</v>
      </c>
      <c r="K41" s="2" t="s">
        <v>342</v>
      </c>
      <c r="L41" s="1">
        <v>1</v>
      </c>
      <c r="M41" s="1">
        <v>6</v>
      </c>
      <c r="O41" s="25">
        <f t="shared" si="23"/>
        <v>269030</v>
      </c>
      <c r="P41" s="16">
        <v>269029.8</v>
      </c>
      <c r="Q41" s="16">
        <v>5601052</v>
      </c>
      <c r="R41" s="16">
        <v>5201052</v>
      </c>
      <c r="S41" s="16">
        <v>5201052</v>
      </c>
      <c r="T41" s="16">
        <v>5201052</v>
      </c>
      <c r="U41" s="16">
        <v>5502052</v>
      </c>
      <c r="V41" s="16">
        <v>5502052</v>
      </c>
      <c r="W41" s="16">
        <v>5</v>
      </c>
      <c r="X41" s="16">
        <v>5</v>
      </c>
      <c r="Y41" s="16">
        <v>5</v>
      </c>
      <c r="Z41" s="16">
        <v>5</v>
      </c>
      <c r="AA41" s="16">
        <v>5</v>
      </c>
      <c r="AB41" s="16">
        <v>5</v>
      </c>
      <c r="AC41" s="16">
        <f t="shared" si="24"/>
        <v>319</v>
      </c>
      <c r="AD41" s="16">
        <f t="shared" si="59"/>
        <v>291</v>
      </c>
      <c r="AE41" s="16">
        <f t="shared" si="59"/>
        <v>291</v>
      </c>
      <c r="AF41" s="16">
        <f t="shared" si="59"/>
        <v>291</v>
      </c>
      <c r="AG41" s="16">
        <f t="shared" si="59"/>
        <v>291</v>
      </c>
      <c r="AH41" s="16">
        <f t="shared" si="59"/>
        <v>291</v>
      </c>
      <c r="AI41" s="28">
        <f t="shared" si="25"/>
        <v>53805.96</v>
      </c>
      <c r="AJ41" s="28">
        <f t="shared" si="66"/>
        <v>43044.767999999996</v>
      </c>
      <c r="AK41" s="28">
        <f t="shared" si="66"/>
        <v>43044.767999999996</v>
      </c>
      <c r="AL41" s="28">
        <f t="shared" si="66"/>
        <v>43044.767999999996</v>
      </c>
      <c r="AM41" s="28">
        <f t="shared" si="66"/>
        <v>43044.767999999996</v>
      </c>
      <c r="AN41" s="28">
        <f t="shared" si="66"/>
        <v>43044.767999999996</v>
      </c>
      <c r="AO41" s="30"/>
      <c r="AP41" s="28"/>
      <c r="AQ41" s="16">
        <v>4</v>
      </c>
      <c r="AR41" s="16">
        <f t="shared" si="27"/>
        <v>338</v>
      </c>
      <c r="AS41" s="28">
        <f t="shared" si="28"/>
        <v>433</v>
      </c>
      <c r="AT41" s="28"/>
      <c r="AU41" s="30">
        <v>269029.8</v>
      </c>
      <c r="AV41" s="28" t="str">
        <f t="shared" si="29"/>
        <v>小:0</v>
      </c>
      <c r="AW41" s="28"/>
      <c r="AX41" s="28"/>
      <c r="AZ41" s="28"/>
      <c r="BA41" s="16">
        <f t="shared" si="58"/>
        <v>3416.6990291262059</v>
      </c>
      <c r="BC41" s="7">
        <f t="shared" si="30"/>
        <v>295</v>
      </c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9"/>
      <c r="BQ41" s="9"/>
      <c r="BR41" s="9">
        <v>4602042</v>
      </c>
      <c r="BS41" s="9">
        <f>[1]monsters!$N41</f>
        <v>163.84</v>
      </c>
      <c r="BT41" s="9">
        <f>[1]monsters!$O41</f>
        <v>16.38</v>
      </c>
      <c r="BU41" s="9">
        <f>[1]monsters!$P41</f>
        <v>1280</v>
      </c>
      <c r="BV41" s="9">
        <f>[1]monsters!$Q41</f>
        <v>128</v>
      </c>
      <c r="BW41" s="9">
        <f>[1]monsters!$R41</f>
        <v>23.41</v>
      </c>
      <c r="BX41" s="9">
        <f>[1]monsters!$S41</f>
        <v>2.34</v>
      </c>
      <c r="BY41" s="9">
        <f>[1]monsters!$K41</f>
        <v>1.6</v>
      </c>
      <c r="BZ41" s="7">
        <f>[1]monsters!$D41</f>
        <v>4</v>
      </c>
      <c r="CA41" s="7">
        <f t="shared" si="31"/>
        <v>0.1</v>
      </c>
      <c r="CB41" s="7">
        <f t="shared" si="32"/>
        <v>197.9264430976431</v>
      </c>
      <c r="CC41" s="7">
        <f t="shared" si="33"/>
        <v>19.792644309764313</v>
      </c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>
        <v>0</v>
      </c>
      <c r="CR41" s="25" t="b">
        <f t="shared" si="34"/>
        <v>1</v>
      </c>
      <c r="CS41" s="25" t="b">
        <f t="shared" si="35"/>
        <v>1</v>
      </c>
      <c r="CT41" s="25" t="b">
        <f t="shared" si="36"/>
        <v>1</v>
      </c>
      <c r="CU41" s="25" t="b">
        <f t="shared" si="37"/>
        <v>1</v>
      </c>
      <c r="CV41" s="25" t="b">
        <f t="shared" si="38"/>
        <v>1</v>
      </c>
      <c r="CW41" s="25" t="b">
        <f t="shared" si="39"/>
        <v>1</v>
      </c>
      <c r="CX41" s="16" t="str">
        <f t="shared" si="40"/>
        <v>5601052</v>
      </c>
      <c r="CY41" s="16" t="str">
        <f t="shared" si="41"/>
        <v>5201052</v>
      </c>
      <c r="CZ41" s="16" t="str">
        <f t="shared" si="42"/>
        <v>5201052</v>
      </c>
      <c r="DA41" s="16" t="str">
        <f t="shared" si="43"/>
        <v>5201052</v>
      </c>
      <c r="DB41" s="16" t="str">
        <f t="shared" si="44"/>
        <v>5502052</v>
      </c>
      <c r="DC41" s="16" t="str">
        <f t="shared" si="45"/>
        <v>5502052</v>
      </c>
      <c r="DD41" s="16">
        <v>5</v>
      </c>
      <c r="DE41" s="16">
        <v>5</v>
      </c>
      <c r="DF41" s="16">
        <v>5</v>
      </c>
      <c r="DG41" s="16">
        <v>5</v>
      </c>
      <c r="DH41" s="16">
        <v>5</v>
      </c>
      <c r="DI41" s="16">
        <v>5</v>
      </c>
      <c r="DJ41" s="16">
        <v>5</v>
      </c>
      <c r="DK41" s="16">
        <v>5</v>
      </c>
      <c r="DL41" s="16">
        <v>5</v>
      </c>
      <c r="DM41" s="16">
        <v>5</v>
      </c>
      <c r="DN41" s="16">
        <v>5</v>
      </c>
      <c r="DO41" s="16">
        <v>5</v>
      </c>
      <c r="DP41" s="51" t="s">
        <v>216</v>
      </c>
      <c r="DQ41" s="51" t="s">
        <v>120</v>
      </c>
      <c r="DR41" s="51" t="s">
        <v>120</v>
      </c>
      <c r="DS41" s="51" t="s">
        <v>120</v>
      </c>
      <c r="DT41" s="51" t="s">
        <v>215</v>
      </c>
      <c r="DU41" s="51" t="s">
        <v>215</v>
      </c>
      <c r="DV41" s="32">
        <f t="shared" si="5"/>
        <v>2</v>
      </c>
      <c r="DW41" s="32">
        <f t="shared" si="6"/>
        <v>1</v>
      </c>
      <c r="DX41" s="32">
        <f t="shared" si="7"/>
        <v>1</v>
      </c>
      <c r="DY41" s="32">
        <f t="shared" si="8"/>
        <v>1</v>
      </c>
      <c r="DZ41" s="32">
        <f t="shared" si="9"/>
        <v>2</v>
      </c>
      <c r="EA41" s="32">
        <f t="shared" si="10"/>
        <v>2</v>
      </c>
      <c r="EB41" s="38"/>
      <c r="EC41" s="7">
        <v>3401051</v>
      </c>
      <c r="ED41" s="35" t="s">
        <v>137</v>
      </c>
      <c r="EE41" s="16">
        <v>2</v>
      </c>
      <c r="EQ41" s="16">
        <v>303140101</v>
      </c>
      <c r="ER41" s="16" t="s">
        <v>174</v>
      </c>
      <c r="FD41" s="16">
        <v>5601052</v>
      </c>
      <c r="FE41" s="16">
        <v>5201052</v>
      </c>
      <c r="FF41" s="16">
        <v>5201052</v>
      </c>
      <c r="FG41" s="16">
        <v>5201052</v>
      </c>
      <c r="FH41" s="16">
        <v>5502052</v>
      </c>
      <c r="FI41" s="16">
        <v>5502052</v>
      </c>
      <c r="FJ41" t="str">
        <f t="shared" si="46"/>
        <v>火修女</v>
      </c>
      <c r="FK41" t="str">
        <f t="shared" si="47"/>
        <v>火骑兵</v>
      </c>
      <c r="FL41" t="str">
        <f t="shared" si="48"/>
        <v>火骑兵</v>
      </c>
      <c r="FM41" t="str">
        <f t="shared" si="49"/>
        <v>火骑兵</v>
      </c>
      <c r="FN41" t="str">
        <f t="shared" si="50"/>
        <v>火火枪手</v>
      </c>
      <c r="FO41" t="str">
        <f t="shared" si="51"/>
        <v>火火枪手</v>
      </c>
      <c r="FP41" t="str">
        <f t="shared" si="52"/>
        <v>5</v>
      </c>
      <c r="FQ41" t="str">
        <f t="shared" si="53"/>
        <v>5</v>
      </c>
      <c r="FR41" t="str">
        <f t="shared" si="54"/>
        <v>5</v>
      </c>
      <c r="FS41" t="str">
        <f t="shared" si="55"/>
        <v>5</v>
      </c>
      <c r="FT41" t="str">
        <f t="shared" si="56"/>
        <v>5</v>
      </c>
      <c r="FU41" t="str">
        <f t="shared" si="57"/>
        <v>5</v>
      </c>
      <c r="FV41" t="str">
        <f t="shared" si="60"/>
        <v>5</v>
      </c>
      <c r="FW41" t="str">
        <f t="shared" si="61"/>
        <v>5</v>
      </c>
      <c r="FX41" t="str">
        <f t="shared" si="62"/>
        <v>5</v>
      </c>
      <c r="FY41" t="str">
        <f t="shared" si="63"/>
        <v>5</v>
      </c>
      <c r="FZ41" t="str">
        <f t="shared" si="64"/>
        <v>5</v>
      </c>
      <c r="GA41" t="str">
        <f t="shared" si="65"/>
        <v>5</v>
      </c>
    </row>
    <row r="42" spans="1:183" ht="13.5" customHeight="1">
      <c r="A42" s="1">
        <v>409</v>
      </c>
      <c r="B42" s="6">
        <v>10062</v>
      </c>
      <c r="C42" s="23" t="str">
        <f t="shared" si="20"/>
        <v>1102052,5200052,5200052,5500052,5500052,5500052</v>
      </c>
      <c r="D42" s="1" t="str">
        <f t="shared" si="21"/>
        <v>5,5,5,5,5,5</v>
      </c>
      <c r="E42" s="53" t="str">
        <f t="shared" si="22"/>
        <v>322,294,294,294,294,294</v>
      </c>
      <c r="F42" s="1">
        <f t="shared" si="0"/>
        <v>274310</v>
      </c>
      <c r="G42" s="23" t="s">
        <v>34</v>
      </c>
      <c r="H42" s="1" t="s">
        <v>28</v>
      </c>
      <c r="I42" s="1" t="s">
        <v>28</v>
      </c>
      <c r="J42" s="1" t="s">
        <v>28</v>
      </c>
      <c r="K42" s="2" t="s">
        <v>343</v>
      </c>
      <c r="L42" s="1">
        <v>2</v>
      </c>
      <c r="M42" s="1">
        <v>5</v>
      </c>
      <c r="O42" s="25">
        <f t="shared" si="23"/>
        <v>274310</v>
      </c>
      <c r="P42" s="16">
        <v>274310.40000000002</v>
      </c>
      <c r="Q42" s="16">
        <v>1102052</v>
      </c>
      <c r="R42" s="16">
        <v>5200052</v>
      </c>
      <c r="S42" s="16">
        <v>5200052</v>
      </c>
      <c r="T42" s="16">
        <v>5500052</v>
      </c>
      <c r="U42" s="16">
        <v>5500052</v>
      </c>
      <c r="V42" s="16">
        <v>5500052</v>
      </c>
      <c r="W42" s="16">
        <v>5</v>
      </c>
      <c r="X42" s="16">
        <v>5</v>
      </c>
      <c r="Y42" s="16">
        <v>5</v>
      </c>
      <c r="Z42" s="16">
        <v>5</v>
      </c>
      <c r="AA42" s="16">
        <v>5</v>
      </c>
      <c r="AB42" s="16">
        <v>5</v>
      </c>
      <c r="AC42" s="16">
        <f t="shared" si="24"/>
        <v>322</v>
      </c>
      <c r="AD42" s="16">
        <f t="shared" si="59"/>
        <v>294</v>
      </c>
      <c r="AE42" s="16">
        <f t="shared" si="59"/>
        <v>294</v>
      </c>
      <c r="AF42" s="16">
        <f t="shared" si="59"/>
        <v>294</v>
      </c>
      <c r="AG42" s="16">
        <f t="shared" si="59"/>
        <v>294</v>
      </c>
      <c r="AH42" s="16">
        <f t="shared" si="59"/>
        <v>294</v>
      </c>
      <c r="AI42" s="28">
        <f t="shared" si="25"/>
        <v>54862.080000000009</v>
      </c>
      <c r="AJ42" s="28">
        <f t="shared" si="66"/>
        <v>43889.664000000004</v>
      </c>
      <c r="AK42" s="28">
        <f t="shared" si="66"/>
        <v>43889.664000000004</v>
      </c>
      <c r="AL42" s="28">
        <f t="shared" si="66"/>
        <v>43889.664000000004</v>
      </c>
      <c r="AM42" s="28">
        <f t="shared" si="66"/>
        <v>43889.664000000004</v>
      </c>
      <c r="AN42" s="28">
        <f t="shared" si="66"/>
        <v>43889.664000000004</v>
      </c>
      <c r="AO42" s="30"/>
      <c r="AP42" s="28"/>
      <c r="AQ42" s="16">
        <v>4</v>
      </c>
      <c r="AR42" s="16">
        <f t="shared" si="27"/>
        <v>342</v>
      </c>
      <c r="AS42" s="28">
        <f t="shared" si="28"/>
        <v>434</v>
      </c>
      <c r="AT42" s="28"/>
      <c r="AU42" s="30">
        <v>274310.40000000002</v>
      </c>
      <c r="AV42" s="28" t="str">
        <f t="shared" si="29"/>
        <v>小:0</v>
      </c>
      <c r="AW42" s="28"/>
      <c r="AX42" s="28"/>
      <c r="AZ42" s="28"/>
      <c r="BA42" s="16">
        <f t="shared" si="58"/>
        <v>3427.9611650485358</v>
      </c>
      <c r="BC42" s="7">
        <f t="shared" si="30"/>
        <v>298</v>
      </c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9"/>
      <c r="BQ42" s="9"/>
      <c r="BR42" s="9">
        <v>4601042</v>
      </c>
      <c r="BS42" s="9">
        <f>[1]monsters!$N42</f>
        <v>153.6</v>
      </c>
      <c r="BT42" s="9">
        <f>[1]monsters!$O42</f>
        <v>15.36</v>
      </c>
      <c r="BU42" s="9">
        <f>[1]monsters!$P42</f>
        <v>1280</v>
      </c>
      <c r="BV42" s="9">
        <f>[1]monsters!$Q42</f>
        <v>128</v>
      </c>
      <c r="BW42" s="9">
        <f>[1]monsters!$R42</f>
        <v>21.94</v>
      </c>
      <c r="BX42" s="9">
        <f>[1]monsters!$S42</f>
        <v>2.19</v>
      </c>
      <c r="BY42" s="9">
        <f>[1]monsters!$K42</f>
        <v>1.5</v>
      </c>
      <c r="BZ42" s="7">
        <f>[1]monsters!$D42</f>
        <v>4</v>
      </c>
      <c r="CA42" s="7">
        <f t="shared" si="31"/>
        <v>0.1</v>
      </c>
      <c r="CB42" s="7">
        <f t="shared" si="32"/>
        <v>188.24964309764312</v>
      </c>
      <c r="CC42" s="7">
        <f t="shared" si="33"/>
        <v>18.824964309764312</v>
      </c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>
        <v>0</v>
      </c>
      <c r="CR42" s="25" t="b">
        <f t="shared" si="34"/>
        <v>1</v>
      </c>
      <c r="CS42" s="25" t="b">
        <f t="shared" si="35"/>
        <v>1</v>
      </c>
      <c r="CT42" s="25" t="b">
        <f t="shared" si="36"/>
        <v>1</v>
      </c>
      <c r="CU42" s="25" t="b">
        <f t="shared" si="37"/>
        <v>1</v>
      </c>
      <c r="CV42" s="25" t="b">
        <f t="shared" si="38"/>
        <v>1</v>
      </c>
      <c r="CW42" s="25" t="b">
        <f t="shared" si="39"/>
        <v>1</v>
      </c>
      <c r="CX42" s="16" t="str">
        <f t="shared" si="40"/>
        <v>1102052</v>
      </c>
      <c r="CY42" s="16" t="str">
        <f t="shared" si="41"/>
        <v>5200052</v>
      </c>
      <c r="CZ42" s="16" t="str">
        <f t="shared" si="42"/>
        <v>5200052</v>
      </c>
      <c r="DA42" s="16" t="str">
        <f t="shared" si="43"/>
        <v>5500052</v>
      </c>
      <c r="DB42" s="16" t="str">
        <f t="shared" si="44"/>
        <v>5500052</v>
      </c>
      <c r="DC42" s="16" t="str">
        <f t="shared" si="45"/>
        <v>5500052</v>
      </c>
      <c r="DD42" s="16">
        <v>5</v>
      </c>
      <c r="DE42" s="16">
        <v>5</v>
      </c>
      <c r="DF42" s="16">
        <v>5</v>
      </c>
      <c r="DG42" s="16">
        <v>5</v>
      </c>
      <c r="DH42" s="16">
        <v>5</v>
      </c>
      <c r="DI42" s="16">
        <v>5</v>
      </c>
      <c r="DJ42" s="16">
        <v>1</v>
      </c>
      <c r="DK42" s="16">
        <v>5</v>
      </c>
      <c r="DL42" s="16">
        <v>5</v>
      </c>
      <c r="DM42" s="16">
        <v>5</v>
      </c>
      <c r="DN42" s="16">
        <v>5</v>
      </c>
      <c r="DO42" s="16">
        <v>5</v>
      </c>
      <c r="DP42" s="51" t="s">
        <v>304</v>
      </c>
      <c r="DQ42" s="51" t="s">
        <v>210</v>
      </c>
      <c r="DR42" s="51" t="s">
        <v>210</v>
      </c>
      <c r="DS42" s="51" t="s">
        <v>115</v>
      </c>
      <c r="DT42" s="51" t="s">
        <v>115</v>
      </c>
      <c r="DU42" s="51" t="s">
        <v>115</v>
      </c>
      <c r="DV42" s="32">
        <f t="shared" si="5"/>
        <v>1</v>
      </c>
      <c r="DW42" s="32">
        <f t="shared" si="6"/>
        <v>1</v>
      </c>
      <c r="DX42" s="32">
        <f t="shared" si="7"/>
        <v>1</v>
      </c>
      <c r="DY42" s="32">
        <f t="shared" si="8"/>
        <v>2</v>
      </c>
      <c r="DZ42" s="32">
        <f t="shared" si="9"/>
        <v>2</v>
      </c>
      <c r="EA42" s="32">
        <f t="shared" si="10"/>
        <v>2</v>
      </c>
      <c r="EB42" s="38"/>
      <c r="EC42" s="7">
        <v>3402053</v>
      </c>
      <c r="ED42" s="35" t="s">
        <v>139</v>
      </c>
      <c r="EE42" s="16">
        <v>2</v>
      </c>
      <c r="EQ42" s="16">
        <v>303140201</v>
      </c>
      <c r="ER42" s="16" t="s">
        <v>175</v>
      </c>
      <c r="FD42" s="16">
        <v>1102052</v>
      </c>
      <c r="FE42" s="16">
        <v>5200052</v>
      </c>
      <c r="FF42" s="16">
        <v>5200052</v>
      </c>
      <c r="FG42" s="16">
        <v>5500052</v>
      </c>
      <c r="FH42" s="16">
        <v>5500052</v>
      </c>
      <c r="FI42" s="16">
        <v>5500052</v>
      </c>
      <c r="FJ42" t="str">
        <f t="shared" si="46"/>
        <v>火狼骑兵</v>
      </c>
      <c r="FK42" t="str">
        <f t="shared" si="47"/>
        <v>火刀客</v>
      </c>
      <c r="FL42" t="str">
        <f t="shared" si="48"/>
        <v>火刀客</v>
      </c>
      <c r="FM42" t="str">
        <f t="shared" si="49"/>
        <v>火海盗</v>
      </c>
      <c r="FN42" t="str">
        <f t="shared" si="50"/>
        <v>火海盗</v>
      </c>
      <c r="FO42" t="str">
        <f t="shared" si="51"/>
        <v>火海盗</v>
      </c>
      <c r="FP42" t="str">
        <f t="shared" si="52"/>
        <v>5</v>
      </c>
      <c r="FQ42" t="str">
        <f t="shared" si="53"/>
        <v>5</v>
      </c>
      <c r="FR42" t="str">
        <f t="shared" si="54"/>
        <v>5</v>
      </c>
      <c r="FS42" t="str">
        <f t="shared" si="55"/>
        <v>5</v>
      </c>
      <c r="FT42" t="str">
        <f t="shared" si="56"/>
        <v>5</v>
      </c>
      <c r="FU42" t="str">
        <f t="shared" si="57"/>
        <v>5</v>
      </c>
      <c r="FV42" t="str">
        <f t="shared" si="60"/>
        <v>1</v>
      </c>
      <c r="FW42" t="str">
        <f t="shared" si="61"/>
        <v>5</v>
      </c>
      <c r="FX42" t="str">
        <f t="shared" si="62"/>
        <v>5</v>
      </c>
      <c r="FY42" t="str">
        <f t="shared" si="63"/>
        <v>5</v>
      </c>
      <c r="FZ42" t="str">
        <f t="shared" si="64"/>
        <v>5</v>
      </c>
      <c r="GA42" t="str">
        <f t="shared" si="65"/>
        <v>5</v>
      </c>
    </row>
    <row r="43" spans="1:183" ht="13.5" customHeight="1">
      <c r="A43" s="1">
        <v>410</v>
      </c>
      <c r="B43" s="6">
        <v>10062</v>
      </c>
      <c r="C43" s="23" t="str">
        <f t="shared" si="20"/>
        <v>5202052,5202052,5202052,5402052,5402052,5402052</v>
      </c>
      <c r="D43" s="1" t="str">
        <f t="shared" si="21"/>
        <v>5,5,5,5,5,5</v>
      </c>
      <c r="E43" s="53" t="str">
        <f t="shared" si="22"/>
        <v>325,296,296,296,296,296</v>
      </c>
      <c r="F43" s="1">
        <f t="shared" si="0"/>
        <v>278614</v>
      </c>
      <c r="G43" s="23" t="s">
        <v>34</v>
      </c>
      <c r="H43" s="1" t="s">
        <v>28</v>
      </c>
      <c r="I43" s="1" t="s">
        <v>28</v>
      </c>
      <c r="J43" s="1" t="s">
        <v>28</v>
      </c>
      <c r="K43" s="2" t="s">
        <v>344</v>
      </c>
      <c r="L43" s="1">
        <v>3</v>
      </c>
      <c r="M43" s="1">
        <v>5</v>
      </c>
      <c r="O43" s="25">
        <f t="shared" si="23"/>
        <v>278614</v>
      </c>
      <c r="P43" s="16">
        <v>278614.05</v>
      </c>
      <c r="Q43" s="16">
        <v>5202052</v>
      </c>
      <c r="R43" s="16">
        <v>5202052</v>
      </c>
      <c r="S43" s="16">
        <v>5202052</v>
      </c>
      <c r="T43" s="16">
        <v>5402052</v>
      </c>
      <c r="U43" s="16">
        <v>5402052</v>
      </c>
      <c r="V43" s="16">
        <v>5402052</v>
      </c>
      <c r="W43" s="16">
        <v>5</v>
      </c>
      <c r="X43" s="16">
        <v>5</v>
      </c>
      <c r="Y43" s="16">
        <v>5</v>
      </c>
      <c r="Z43" s="16">
        <v>5</v>
      </c>
      <c r="AA43" s="16">
        <v>5</v>
      </c>
      <c r="AB43" s="16">
        <v>5</v>
      </c>
      <c r="AC43" s="16">
        <f t="shared" si="24"/>
        <v>325</v>
      </c>
      <c r="AD43" s="16">
        <f t="shared" si="59"/>
        <v>296</v>
      </c>
      <c r="AE43" s="16">
        <f t="shared" si="59"/>
        <v>296</v>
      </c>
      <c r="AF43" s="16">
        <f t="shared" si="59"/>
        <v>296</v>
      </c>
      <c r="AG43" s="16">
        <f t="shared" si="59"/>
        <v>296</v>
      </c>
      <c r="AH43" s="16">
        <f t="shared" si="59"/>
        <v>296</v>
      </c>
      <c r="AI43" s="28">
        <f t="shared" si="25"/>
        <v>55722.81</v>
      </c>
      <c r="AJ43" s="28">
        <f t="shared" si="66"/>
        <v>44578.248</v>
      </c>
      <c r="AK43" s="28">
        <f t="shared" si="66"/>
        <v>44578.248</v>
      </c>
      <c r="AL43" s="28">
        <f t="shared" si="66"/>
        <v>44578.248</v>
      </c>
      <c r="AM43" s="28">
        <f t="shared" si="66"/>
        <v>44578.248</v>
      </c>
      <c r="AN43" s="28">
        <f t="shared" si="66"/>
        <v>44578.248</v>
      </c>
      <c r="AO43" s="30"/>
      <c r="AP43" s="28"/>
      <c r="AQ43" s="16">
        <v>4</v>
      </c>
      <c r="AR43" s="16">
        <f t="shared" si="27"/>
        <v>344</v>
      </c>
      <c r="AS43" s="28">
        <f t="shared" si="28"/>
        <v>435</v>
      </c>
      <c r="AT43" s="28"/>
      <c r="AU43" s="30">
        <v>278614.05</v>
      </c>
      <c r="AV43" s="28" t="str">
        <f t="shared" si="29"/>
        <v>小:0</v>
      </c>
      <c r="AW43" s="28"/>
      <c r="AX43" s="28"/>
      <c r="AY43" s="16">
        <v>3</v>
      </c>
      <c r="AZ43" s="28">
        <v>60</v>
      </c>
      <c r="BA43" s="16">
        <v>6480</v>
      </c>
      <c r="BC43" s="7">
        <f t="shared" si="30"/>
        <v>300</v>
      </c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9"/>
      <c r="BQ43" s="9"/>
      <c r="BR43" s="9">
        <v>4500042</v>
      </c>
      <c r="BS43" s="9">
        <f>[1]monsters!$N43</f>
        <v>191.15</v>
      </c>
      <c r="BT43" s="9">
        <f>[1]monsters!$O43</f>
        <v>19.11</v>
      </c>
      <c r="BU43" s="9">
        <f>[1]monsters!$P43</f>
        <v>1097.1400000000001</v>
      </c>
      <c r="BV43" s="9">
        <f>[1]monsters!$Q43</f>
        <v>109.71</v>
      </c>
      <c r="BW43" s="9">
        <f>[1]monsters!$R43</f>
        <v>23.89</v>
      </c>
      <c r="BX43" s="9">
        <f>[1]monsters!$S43</f>
        <v>2.39</v>
      </c>
      <c r="BY43" s="9">
        <f>[1]monsters!$K43</f>
        <v>1.6</v>
      </c>
      <c r="BZ43" s="7">
        <f>[1]monsters!$D43</f>
        <v>5</v>
      </c>
      <c r="CA43" s="7">
        <f t="shared" si="31"/>
        <v>0.1</v>
      </c>
      <c r="CB43" s="7">
        <f t="shared" si="32"/>
        <v>217.57749074074076</v>
      </c>
      <c r="CC43" s="7">
        <f t="shared" si="33"/>
        <v>21.757749074074077</v>
      </c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>
        <v>1</v>
      </c>
      <c r="CR43" s="25" t="b">
        <f t="shared" si="34"/>
        <v>1</v>
      </c>
      <c r="CS43" s="25" t="b">
        <f t="shared" si="35"/>
        <v>1</v>
      </c>
      <c r="CT43" s="25" t="b">
        <f t="shared" si="36"/>
        <v>1</v>
      </c>
      <c r="CU43" s="25" t="b">
        <f t="shared" si="37"/>
        <v>1</v>
      </c>
      <c r="CV43" s="25" t="b">
        <f t="shared" si="38"/>
        <v>1</v>
      </c>
      <c r="CW43" s="25" t="b">
        <f t="shared" si="39"/>
        <v>1</v>
      </c>
      <c r="CX43" s="16" t="str">
        <f t="shared" si="40"/>
        <v>5202052</v>
      </c>
      <c r="CY43" s="16" t="str">
        <f t="shared" si="41"/>
        <v>5202052</v>
      </c>
      <c r="CZ43" s="16" t="str">
        <f t="shared" si="42"/>
        <v>5202052</v>
      </c>
      <c r="DA43" s="16" t="str">
        <f t="shared" si="43"/>
        <v>5402052</v>
      </c>
      <c r="DB43" s="16" t="str">
        <f t="shared" si="44"/>
        <v>5402052</v>
      </c>
      <c r="DC43" s="16" t="str">
        <f t="shared" si="45"/>
        <v>5402052</v>
      </c>
      <c r="DD43" s="16">
        <v>5</v>
      </c>
      <c r="DE43" s="16">
        <v>5</v>
      </c>
      <c r="DF43" s="16">
        <v>5</v>
      </c>
      <c r="DG43" s="16">
        <v>5</v>
      </c>
      <c r="DH43" s="16">
        <v>5</v>
      </c>
      <c r="DI43" s="16">
        <v>5</v>
      </c>
      <c r="DJ43" s="16">
        <v>5</v>
      </c>
      <c r="DK43" s="16">
        <v>5</v>
      </c>
      <c r="DL43" s="16">
        <v>5</v>
      </c>
      <c r="DM43" s="16">
        <v>5</v>
      </c>
      <c r="DN43" s="16">
        <v>5</v>
      </c>
      <c r="DO43" s="16">
        <v>5</v>
      </c>
      <c r="DP43" s="51" t="s">
        <v>211</v>
      </c>
      <c r="DQ43" s="51" t="s">
        <v>211</v>
      </c>
      <c r="DR43" s="51" t="s">
        <v>211</v>
      </c>
      <c r="DS43" s="51" t="s">
        <v>214</v>
      </c>
      <c r="DT43" s="51" t="s">
        <v>214</v>
      </c>
      <c r="DU43" s="51" t="s">
        <v>214</v>
      </c>
      <c r="DV43" s="32">
        <f t="shared" si="5"/>
        <v>1</v>
      </c>
      <c r="DW43" s="32">
        <f t="shared" si="6"/>
        <v>1</v>
      </c>
      <c r="DX43" s="32">
        <f t="shared" si="7"/>
        <v>1</v>
      </c>
      <c r="DY43" s="32">
        <f t="shared" si="8"/>
        <v>2</v>
      </c>
      <c r="DZ43" s="32">
        <f t="shared" si="9"/>
        <v>2</v>
      </c>
      <c r="EA43" s="32">
        <f t="shared" si="10"/>
        <v>2</v>
      </c>
      <c r="EB43" s="38"/>
      <c r="EC43" s="7">
        <v>3501053</v>
      </c>
      <c r="ED43" s="35" t="s">
        <v>141</v>
      </c>
      <c r="EE43" s="16">
        <v>2</v>
      </c>
      <c r="EQ43" s="16">
        <v>303150001</v>
      </c>
      <c r="ER43" s="16" t="s">
        <v>176</v>
      </c>
      <c r="FD43" s="16">
        <v>5202052</v>
      </c>
      <c r="FE43" s="16">
        <v>5202052</v>
      </c>
      <c r="FF43" s="16">
        <v>5202052</v>
      </c>
      <c r="FG43" s="16">
        <v>5402052</v>
      </c>
      <c r="FH43" s="16">
        <v>5402052</v>
      </c>
      <c r="FI43" s="16">
        <v>5402052</v>
      </c>
      <c r="FJ43" t="str">
        <f t="shared" si="46"/>
        <v>火维京</v>
      </c>
      <c r="FK43" t="str">
        <f t="shared" si="47"/>
        <v>火维京</v>
      </c>
      <c r="FL43" t="str">
        <f t="shared" si="48"/>
        <v>火维京</v>
      </c>
      <c r="FM43" t="str">
        <f t="shared" si="49"/>
        <v>火女巫</v>
      </c>
      <c r="FN43" t="str">
        <f t="shared" si="50"/>
        <v>火女巫</v>
      </c>
      <c r="FO43" t="str">
        <f t="shared" si="51"/>
        <v>火女巫</v>
      </c>
      <c r="FP43" t="str">
        <f t="shared" si="52"/>
        <v>5</v>
      </c>
      <c r="FQ43" t="str">
        <f t="shared" si="53"/>
        <v>5</v>
      </c>
      <c r="FR43" t="str">
        <f t="shared" si="54"/>
        <v>5</v>
      </c>
      <c r="FS43" t="str">
        <f t="shared" si="55"/>
        <v>5</v>
      </c>
      <c r="FT43" t="str">
        <f t="shared" si="56"/>
        <v>5</v>
      </c>
      <c r="FU43" t="str">
        <f t="shared" si="57"/>
        <v>5</v>
      </c>
      <c r="FV43" t="str">
        <f t="shared" si="60"/>
        <v>5</v>
      </c>
      <c r="FW43" t="str">
        <f t="shared" si="61"/>
        <v>5</v>
      </c>
      <c r="FX43" t="str">
        <f t="shared" si="62"/>
        <v>5</v>
      </c>
      <c r="FY43" t="str">
        <f t="shared" si="63"/>
        <v>5</v>
      </c>
      <c r="FZ43" t="str">
        <f t="shared" si="64"/>
        <v>5</v>
      </c>
      <c r="GA43" t="str">
        <f t="shared" si="65"/>
        <v>5</v>
      </c>
    </row>
    <row r="44" spans="1:183" ht="13.5" customHeight="1">
      <c r="A44" s="1">
        <v>501</v>
      </c>
      <c r="B44" s="6">
        <v>10022</v>
      </c>
      <c r="C44" s="23" t="str">
        <f t="shared" si="20"/>
        <v>1101055,5201054,5201054,5501054,5401053,5401053</v>
      </c>
      <c r="D44" s="1" t="str">
        <f t="shared" si="21"/>
        <v>5,5,5,5,5,5</v>
      </c>
      <c r="E44" s="53" t="str">
        <f t="shared" si="22"/>
        <v>329,300,300,300,300,300</v>
      </c>
      <c r="F44" s="1">
        <f t="shared" si="0"/>
        <v>286077</v>
      </c>
      <c r="G44" s="23" t="s">
        <v>34</v>
      </c>
      <c r="H44" s="1" t="s">
        <v>28</v>
      </c>
      <c r="I44" s="1" t="s">
        <v>28</v>
      </c>
      <c r="J44" s="1" t="s">
        <v>28</v>
      </c>
      <c r="K44" s="2" t="s">
        <v>345</v>
      </c>
      <c r="L44" s="1">
        <v>0</v>
      </c>
      <c r="M44" s="1">
        <v>3</v>
      </c>
      <c r="O44" s="25">
        <f t="shared" si="23"/>
        <v>286077</v>
      </c>
      <c r="P44" s="16">
        <v>286076.7</v>
      </c>
      <c r="Q44" s="16">
        <v>1101055</v>
      </c>
      <c r="R44" s="16">
        <v>5201054</v>
      </c>
      <c r="S44" s="16">
        <v>5201054</v>
      </c>
      <c r="T44" s="16">
        <v>5501054</v>
      </c>
      <c r="U44" s="16">
        <v>5401053</v>
      </c>
      <c r="V44" s="16">
        <v>5401053</v>
      </c>
      <c r="W44" s="16">
        <v>5</v>
      </c>
      <c r="X44" s="16">
        <v>5</v>
      </c>
      <c r="Y44" s="16">
        <v>5</v>
      </c>
      <c r="Z44" s="16">
        <v>5</v>
      </c>
      <c r="AA44" s="16">
        <v>5</v>
      </c>
      <c r="AB44" s="16">
        <v>5</v>
      </c>
      <c r="AC44" s="16">
        <f t="shared" si="24"/>
        <v>329</v>
      </c>
      <c r="AD44" s="16">
        <f t="shared" si="59"/>
        <v>300</v>
      </c>
      <c r="AE44" s="16">
        <f t="shared" si="59"/>
        <v>300</v>
      </c>
      <c r="AF44" s="16">
        <f t="shared" si="59"/>
        <v>300</v>
      </c>
      <c r="AG44" s="16">
        <f t="shared" si="59"/>
        <v>300</v>
      </c>
      <c r="AH44" s="16">
        <f t="shared" si="59"/>
        <v>300</v>
      </c>
      <c r="AI44" s="28">
        <f t="shared" si="25"/>
        <v>57215.340000000004</v>
      </c>
      <c r="AJ44" s="28">
        <f t="shared" si="66"/>
        <v>45772.272000000004</v>
      </c>
      <c r="AK44" s="28">
        <f t="shared" si="66"/>
        <v>45772.272000000004</v>
      </c>
      <c r="AL44" s="28">
        <f t="shared" si="66"/>
        <v>45772.272000000004</v>
      </c>
      <c r="AM44" s="28">
        <f t="shared" si="66"/>
        <v>45772.272000000004</v>
      </c>
      <c r="AN44" s="28">
        <f t="shared" si="66"/>
        <v>45772.272000000004</v>
      </c>
      <c r="AO44" s="30"/>
      <c r="AP44" s="28"/>
      <c r="AQ44" s="16">
        <v>4</v>
      </c>
      <c r="AR44" s="16">
        <f t="shared" si="27"/>
        <v>349</v>
      </c>
      <c r="AS44" s="28">
        <f t="shared" si="28"/>
        <v>526</v>
      </c>
      <c r="AT44" s="28"/>
      <c r="AU44" s="30">
        <v>286076.7</v>
      </c>
      <c r="AV44" s="28" t="str">
        <f t="shared" si="29"/>
        <v>小:0</v>
      </c>
      <c r="AW44" s="28"/>
      <c r="AX44" s="28"/>
      <c r="AZ44" s="28"/>
      <c r="BA44" s="16">
        <f>BA43+($BA$83-$BA$43)/($A$83-$A$43)</f>
        <v>6515.5450000000001</v>
      </c>
      <c r="BC44" s="7">
        <f t="shared" si="30"/>
        <v>304</v>
      </c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9"/>
      <c r="BQ44" s="9"/>
      <c r="BR44" s="9">
        <v>4301042</v>
      </c>
      <c r="BS44" s="9">
        <f>[1]monsters!$N44</f>
        <v>185.17</v>
      </c>
      <c r="BT44" s="9">
        <f>[1]monsters!$O44</f>
        <v>18.52</v>
      </c>
      <c r="BU44" s="9">
        <f>[1]monsters!$P44</f>
        <v>990.97</v>
      </c>
      <c r="BV44" s="9">
        <f>[1]monsters!$Q44</f>
        <v>99.1</v>
      </c>
      <c r="BW44" s="9">
        <f>[1]monsters!$R44</f>
        <v>18.52</v>
      </c>
      <c r="BX44" s="9">
        <f>[1]monsters!$S44</f>
        <v>1.85</v>
      </c>
      <c r="BY44" s="9">
        <f>[1]monsters!$K44</f>
        <v>1.4000000000000001</v>
      </c>
      <c r="BZ44" s="7">
        <f>[1]monsters!$D44</f>
        <v>6</v>
      </c>
      <c r="CA44" s="7">
        <f t="shared" si="31"/>
        <v>0.1</v>
      </c>
      <c r="CB44" s="7">
        <f t="shared" si="32"/>
        <v>208.35164326599326</v>
      </c>
      <c r="CC44" s="7">
        <f t="shared" si="33"/>
        <v>20.835164326599326</v>
      </c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>
        <v>0</v>
      </c>
      <c r="CR44" s="25" t="b">
        <f t="shared" si="34"/>
        <v>1</v>
      </c>
      <c r="CS44" s="25" t="b">
        <f t="shared" si="35"/>
        <v>1</v>
      </c>
      <c r="CT44" s="25" t="b">
        <f t="shared" si="36"/>
        <v>1</v>
      </c>
      <c r="CU44" s="25" t="b">
        <f t="shared" si="37"/>
        <v>1</v>
      </c>
      <c r="CV44" s="25" t="b">
        <f t="shared" si="38"/>
        <v>1</v>
      </c>
      <c r="CW44" s="25" t="b">
        <f t="shared" si="39"/>
        <v>1</v>
      </c>
      <c r="CX44" s="16" t="str">
        <f t="shared" si="40"/>
        <v>1101055</v>
      </c>
      <c r="CY44" s="16" t="str">
        <f t="shared" si="41"/>
        <v>5201054</v>
      </c>
      <c r="CZ44" s="16" t="str">
        <f t="shared" si="42"/>
        <v>5201054</v>
      </c>
      <c r="DA44" s="16" t="str">
        <f t="shared" si="43"/>
        <v>5501054</v>
      </c>
      <c r="DB44" s="16" t="str">
        <f t="shared" si="44"/>
        <v>5401053</v>
      </c>
      <c r="DC44" s="16" t="str">
        <f t="shared" si="45"/>
        <v>5401053</v>
      </c>
      <c r="DD44" s="16">
        <v>5</v>
      </c>
      <c r="DE44" s="16">
        <v>5</v>
      </c>
      <c r="DF44" s="16">
        <v>5</v>
      </c>
      <c r="DG44" s="16">
        <v>5</v>
      </c>
      <c r="DH44" s="16">
        <v>5</v>
      </c>
      <c r="DI44" s="16">
        <v>5</v>
      </c>
      <c r="DJ44" s="16">
        <v>1</v>
      </c>
      <c r="DK44" s="16">
        <v>5</v>
      </c>
      <c r="DL44" s="16">
        <v>5</v>
      </c>
      <c r="DM44" s="16">
        <v>5</v>
      </c>
      <c r="DN44" s="16">
        <v>5</v>
      </c>
      <c r="DO44" s="16">
        <v>5</v>
      </c>
      <c r="DP44" s="51" t="s">
        <v>302</v>
      </c>
      <c r="DQ44" s="51" t="s">
        <v>236</v>
      </c>
      <c r="DR44" s="51" t="s">
        <v>236</v>
      </c>
      <c r="DS44" s="51" t="s">
        <v>226</v>
      </c>
      <c r="DT44" s="51" t="s">
        <v>223</v>
      </c>
      <c r="DU44" s="51" t="s">
        <v>223</v>
      </c>
      <c r="DV44" s="32">
        <f t="shared" si="5"/>
        <v>1</v>
      </c>
      <c r="DW44" s="32">
        <f t="shared" si="6"/>
        <v>1</v>
      </c>
      <c r="DX44" s="32">
        <f t="shared" si="7"/>
        <v>1</v>
      </c>
      <c r="DY44" s="32">
        <f t="shared" si="8"/>
        <v>2</v>
      </c>
      <c r="DZ44" s="32">
        <f t="shared" si="9"/>
        <v>2</v>
      </c>
      <c r="EA44" s="32">
        <f t="shared" si="10"/>
        <v>2</v>
      </c>
      <c r="EB44" s="38"/>
      <c r="EC44" s="7">
        <v>3600053</v>
      </c>
      <c r="ED44" s="35" t="s">
        <v>143</v>
      </c>
      <c r="EE44" s="16">
        <v>1</v>
      </c>
      <c r="EQ44" s="16">
        <v>303150201</v>
      </c>
      <c r="ER44" s="16" t="s">
        <v>177</v>
      </c>
      <c r="FD44" s="16">
        <v>1101055</v>
      </c>
      <c r="FE44" s="16">
        <v>5201054</v>
      </c>
      <c r="FF44" s="16">
        <v>5201054</v>
      </c>
      <c r="FG44" s="16">
        <v>5501054</v>
      </c>
      <c r="FH44" s="16">
        <v>5401053</v>
      </c>
      <c r="FI44" s="16">
        <v>5401053</v>
      </c>
      <c r="FJ44" t="str">
        <f t="shared" si="46"/>
        <v>暗黑骑士</v>
      </c>
      <c r="FK44" t="str">
        <f t="shared" si="47"/>
        <v>光骑兵</v>
      </c>
      <c r="FL44" t="str">
        <f t="shared" si="48"/>
        <v>光骑兵</v>
      </c>
      <c r="FM44" t="str">
        <f t="shared" si="49"/>
        <v>光猎人</v>
      </c>
      <c r="FN44" t="str">
        <f t="shared" si="50"/>
        <v>木魔法师</v>
      </c>
      <c r="FO44" t="str">
        <f t="shared" si="51"/>
        <v>木魔法师</v>
      </c>
      <c r="FP44" t="str">
        <f t="shared" si="52"/>
        <v>5</v>
      </c>
      <c r="FQ44" t="str">
        <f t="shared" si="53"/>
        <v>5</v>
      </c>
      <c r="FR44" t="str">
        <f t="shared" si="54"/>
        <v>5</v>
      </c>
      <c r="FS44" t="str">
        <f t="shared" si="55"/>
        <v>5</v>
      </c>
      <c r="FT44" t="str">
        <f t="shared" si="56"/>
        <v>5</v>
      </c>
      <c r="FU44" t="str">
        <f t="shared" si="57"/>
        <v>5</v>
      </c>
      <c r="FV44" t="str">
        <f t="shared" si="60"/>
        <v>1</v>
      </c>
      <c r="FW44" t="str">
        <f t="shared" si="61"/>
        <v>5</v>
      </c>
      <c r="FX44" t="str">
        <f t="shared" si="62"/>
        <v>5</v>
      </c>
      <c r="FY44" t="str">
        <f t="shared" si="63"/>
        <v>5</v>
      </c>
      <c r="FZ44" t="str">
        <f t="shared" si="64"/>
        <v>5</v>
      </c>
      <c r="GA44" t="str">
        <f t="shared" si="65"/>
        <v>5</v>
      </c>
    </row>
    <row r="45" spans="1:183" ht="13.5" customHeight="1">
      <c r="A45" s="1">
        <v>502</v>
      </c>
      <c r="B45" s="6">
        <v>10022</v>
      </c>
      <c r="C45" s="23" t="str">
        <f t="shared" si="20"/>
        <v>1101051,5201051,5201053,5401053,5401052,5401052</v>
      </c>
      <c r="D45" s="1" t="str">
        <f t="shared" si="21"/>
        <v>5,5,5,5,5,5</v>
      </c>
      <c r="E45" s="53" t="str">
        <f t="shared" si="22"/>
        <v>332,302,302,302,302,302</v>
      </c>
      <c r="F45" s="1">
        <f t="shared" si="0"/>
        <v>290464</v>
      </c>
      <c r="G45" s="23" t="s">
        <v>34</v>
      </c>
      <c r="H45" s="1" t="s">
        <v>28</v>
      </c>
      <c r="I45" s="1" t="s">
        <v>28</v>
      </c>
      <c r="J45" s="1" t="s">
        <v>28</v>
      </c>
      <c r="K45" s="2" t="s">
        <v>31</v>
      </c>
      <c r="L45" s="1">
        <v>1</v>
      </c>
      <c r="M45" s="1">
        <v>3</v>
      </c>
      <c r="O45" s="25">
        <f t="shared" si="23"/>
        <v>290464</v>
      </c>
      <c r="P45" s="16">
        <v>290464.2</v>
      </c>
      <c r="Q45" s="16">
        <v>1101051</v>
      </c>
      <c r="R45" s="16">
        <v>5201051</v>
      </c>
      <c r="S45" s="16">
        <v>5201053</v>
      </c>
      <c r="T45" s="16">
        <v>5401053</v>
      </c>
      <c r="U45" s="16">
        <v>5401052</v>
      </c>
      <c r="V45" s="16">
        <v>5401052</v>
      </c>
      <c r="W45" s="16">
        <v>5</v>
      </c>
      <c r="X45" s="16">
        <v>5</v>
      </c>
      <c r="Y45" s="16">
        <v>5</v>
      </c>
      <c r="Z45" s="16">
        <v>5</v>
      </c>
      <c r="AA45" s="16">
        <v>5</v>
      </c>
      <c r="AB45" s="16">
        <v>5</v>
      </c>
      <c r="AC45" s="16">
        <f t="shared" si="24"/>
        <v>332</v>
      </c>
      <c r="AD45" s="16">
        <f t="shared" si="59"/>
        <v>302</v>
      </c>
      <c r="AE45" s="16">
        <f t="shared" si="59"/>
        <v>302</v>
      </c>
      <c r="AF45" s="16">
        <f t="shared" si="59"/>
        <v>302</v>
      </c>
      <c r="AG45" s="16">
        <f t="shared" si="59"/>
        <v>302</v>
      </c>
      <c r="AH45" s="16">
        <f t="shared" si="59"/>
        <v>302</v>
      </c>
      <c r="AI45" s="28">
        <f t="shared" si="25"/>
        <v>58092.840000000004</v>
      </c>
      <c r="AJ45" s="28">
        <f t="shared" si="66"/>
        <v>46474.272000000004</v>
      </c>
      <c r="AK45" s="28">
        <f t="shared" si="66"/>
        <v>46474.272000000004</v>
      </c>
      <c r="AL45" s="28">
        <f t="shared" si="66"/>
        <v>46474.272000000004</v>
      </c>
      <c r="AM45" s="28">
        <f t="shared" si="66"/>
        <v>46474.272000000004</v>
      </c>
      <c r="AN45" s="28">
        <f t="shared" si="66"/>
        <v>46474.272000000004</v>
      </c>
      <c r="AO45" s="30"/>
      <c r="AP45" s="28"/>
      <c r="AQ45" s="16">
        <v>4</v>
      </c>
      <c r="AR45" s="16">
        <f t="shared" si="27"/>
        <v>352</v>
      </c>
      <c r="AS45" s="28">
        <f t="shared" si="28"/>
        <v>527</v>
      </c>
      <c r="AT45" s="28"/>
      <c r="AU45" s="30">
        <v>290464.2</v>
      </c>
      <c r="AV45" s="28" t="str">
        <f t="shared" si="29"/>
        <v>小:0</v>
      </c>
      <c r="AW45" s="28"/>
      <c r="AX45" s="28"/>
      <c r="AZ45" s="28"/>
      <c r="BA45" s="16">
        <f t="shared" ref="BA45:BA82" si="67">BA44+($BA$83-$BA$43)/($A$83-$A$43)</f>
        <v>6551.09</v>
      </c>
      <c r="BC45" s="7">
        <f t="shared" si="30"/>
        <v>307</v>
      </c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9"/>
      <c r="BQ45" s="9"/>
      <c r="BR45" s="9">
        <v>4202043</v>
      </c>
      <c r="BS45" s="9">
        <f>[1]monsters!$N45</f>
        <v>238.08</v>
      </c>
      <c r="BT45" s="9">
        <f>[1]monsters!$O45</f>
        <v>23.81</v>
      </c>
      <c r="BU45" s="9">
        <f>[1]monsters!$P45</f>
        <v>990.97</v>
      </c>
      <c r="BV45" s="9">
        <f>[1]monsters!$Q45</f>
        <v>99.1</v>
      </c>
      <c r="BW45" s="9">
        <f>[1]monsters!$R45</f>
        <v>23.81</v>
      </c>
      <c r="BX45" s="9">
        <f>[1]monsters!$S45</f>
        <v>2.38</v>
      </c>
      <c r="BY45" s="9">
        <f>[1]monsters!$K45</f>
        <v>1.8</v>
      </c>
      <c r="BZ45" s="7">
        <f>[1]monsters!$D45</f>
        <v>6</v>
      </c>
      <c r="CA45" s="7">
        <f t="shared" si="31"/>
        <v>0.1</v>
      </c>
      <c r="CB45" s="7">
        <f t="shared" si="32"/>
        <v>258.3515932659933</v>
      </c>
      <c r="CC45" s="7">
        <f t="shared" si="33"/>
        <v>25.835159326599332</v>
      </c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>
        <v>0</v>
      </c>
      <c r="CR45" s="25" t="b">
        <f t="shared" si="34"/>
        <v>1</v>
      </c>
      <c r="CS45" s="25" t="b">
        <f t="shared" si="35"/>
        <v>1</v>
      </c>
      <c r="CT45" s="25" t="b">
        <f t="shared" si="36"/>
        <v>1</v>
      </c>
      <c r="CU45" s="25" t="b">
        <f t="shared" si="37"/>
        <v>1</v>
      </c>
      <c r="CV45" s="25" t="b">
        <f t="shared" si="38"/>
        <v>1</v>
      </c>
      <c r="CW45" s="25" t="b">
        <f t="shared" si="39"/>
        <v>1</v>
      </c>
      <c r="CX45" s="16" t="str">
        <f t="shared" si="40"/>
        <v>1101051</v>
      </c>
      <c r="CY45" s="16" t="str">
        <f t="shared" si="41"/>
        <v>5201051</v>
      </c>
      <c r="CZ45" s="16" t="str">
        <f t="shared" si="42"/>
        <v>5201053</v>
      </c>
      <c r="DA45" s="16" t="str">
        <f t="shared" si="43"/>
        <v>5401053</v>
      </c>
      <c r="DB45" s="16" t="str">
        <f t="shared" si="44"/>
        <v>5401052</v>
      </c>
      <c r="DC45" s="16" t="str">
        <f t="shared" si="45"/>
        <v>5401052</v>
      </c>
      <c r="DD45" s="16">
        <v>5</v>
      </c>
      <c r="DE45" s="16">
        <v>5</v>
      </c>
      <c r="DF45" s="16">
        <v>5</v>
      </c>
      <c r="DG45" s="16">
        <v>5</v>
      </c>
      <c r="DH45" s="16">
        <v>5</v>
      </c>
      <c r="DI45" s="16">
        <v>5</v>
      </c>
      <c r="DJ45" s="16">
        <v>1</v>
      </c>
      <c r="DK45" s="16">
        <v>5</v>
      </c>
      <c r="DL45" s="16">
        <v>5</v>
      </c>
      <c r="DM45" s="16">
        <v>5</v>
      </c>
      <c r="DN45" s="16">
        <v>5</v>
      </c>
      <c r="DO45" s="16">
        <v>5</v>
      </c>
      <c r="DP45" s="51" t="s">
        <v>298</v>
      </c>
      <c r="DQ45" s="51" t="s">
        <v>206</v>
      </c>
      <c r="DR45" s="51" t="s">
        <v>217</v>
      </c>
      <c r="DS45" s="51" t="s">
        <v>223</v>
      </c>
      <c r="DT45" s="51" t="s">
        <v>213</v>
      </c>
      <c r="DU45" s="51" t="s">
        <v>213</v>
      </c>
      <c r="DV45" s="32">
        <f t="shared" si="5"/>
        <v>1</v>
      </c>
      <c r="DW45" s="32">
        <f t="shared" si="6"/>
        <v>1</v>
      </c>
      <c r="DX45" s="32">
        <f t="shared" si="7"/>
        <v>1</v>
      </c>
      <c r="DY45" s="32">
        <f t="shared" si="8"/>
        <v>2</v>
      </c>
      <c r="DZ45" s="32">
        <f t="shared" si="9"/>
        <v>2</v>
      </c>
      <c r="EA45" s="32">
        <f t="shared" si="10"/>
        <v>2</v>
      </c>
      <c r="EB45" s="38"/>
      <c r="EC45" s="7">
        <v>3602051</v>
      </c>
      <c r="ED45" s="35" t="s">
        <v>145</v>
      </c>
      <c r="EE45" s="16">
        <v>2</v>
      </c>
      <c r="EQ45" s="16">
        <v>303160101</v>
      </c>
      <c r="ER45" s="16" t="s">
        <v>178</v>
      </c>
      <c r="FD45" s="16">
        <v>1101051</v>
      </c>
      <c r="FE45" s="16">
        <v>5201051</v>
      </c>
      <c r="FF45" s="16">
        <v>5201053</v>
      </c>
      <c r="FG45" s="16">
        <v>5401053</v>
      </c>
      <c r="FH45" s="16">
        <v>5401052</v>
      </c>
      <c r="FI45" s="16">
        <v>5401052</v>
      </c>
      <c r="FJ45" t="str">
        <f t="shared" si="46"/>
        <v>水黑骑士</v>
      </c>
      <c r="FK45" t="str">
        <f t="shared" si="47"/>
        <v>水骑兵</v>
      </c>
      <c r="FL45" t="str">
        <f t="shared" si="48"/>
        <v>木骑兵</v>
      </c>
      <c r="FM45" t="str">
        <f t="shared" si="49"/>
        <v>木魔法师</v>
      </c>
      <c r="FN45" t="str">
        <f t="shared" si="50"/>
        <v>火魔法师</v>
      </c>
      <c r="FO45" t="str">
        <f t="shared" si="51"/>
        <v>火魔法师</v>
      </c>
      <c r="FP45" t="str">
        <f t="shared" si="52"/>
        <v>5</v>
      </c>
      <c r="FQ45" t="str">
        <f t="shared" si="53"/>
        <v>5</v>
      </c>
      <c r="FR45" t="str">
        <f t="shared" si="54"/>
        <v>5</v>
      </c>
      <c r="FS45" t="str">
        <f t="shared" si="55"/>
        <v>5</v>
      </c>
      <c r="FT45" t="str">
        <f t="shared" si="56"/>
        <v>5</v>
      </c>
      <c r="FU45" t="str">
        <f t="shared" si="57"/>
        <v>5</v>
      </c>
      <c r="FV45" t="str">
        <f t="shared" si="60"/>
        <v>1</v>
      </c>
      <c r="FW45" t="str">
        <f t="shared" si="61"/>
        <v>5</v>
      </c>
      <c r="FX45" t="str">
        <f t="shared" si="62"/>
        <v>5</v>
      </c>
      <c r="FY45" t="str">
        <f t="shared" si="63"/>
        <v>5</v>
      </c>
      <c r="FZ45" t="str">
        <f t="shared" si="64"/>
        <v>5</v>
      </c>
      <c r="GA45" t="str">
        <f t="shared" si="65"/>
        <v>5</v>
      </c>
    </row>
    <row r="46" spans="1:183" ht="13.5" customHeight="1">
      <c r="A46" s="1">
        <v>503</v>
      </c>
      <c r="B46" s="6">
        <v>10022</v>
      </c>
      <c r="C46" s="23" t="str">
        <f t="shared" si="20"/>
        <v>5502053,5200053,5200053,5200053,5502053,5502053</v>
      </c>
      <c r="D46" s="1" t="str">
        <f t="shared" si="21"/>
        <v>5,5,5,5,5,5</v>
      </c>
      <c r="E46" s="53" t="str">
        <f t="shared" si="22"/>
        <v>335,305,305,305,305,305</v>
      </c>
      <c r="F46" s="1">
        <f t="shared" si="0"/>
        <v>295953</v>
      </c>
      <c r="G46" s="23" t="s">
        <v>34</v>
      </c>
      <c r="H46" s="1" t="s">
        <v>28</v>
      </c>
      <c r="I46" s="1" t="s">
        <v>28</v>
      </c>
      <c r="J46" s="1" t="s">
        <v>28</v>
      </c>
      <c r="K46" s="2" t="s">
        <v>346</v>
      </c>
      <c r="L46" s="1">
        <v>2</v>
      </c>
      <c r="M46" s="1">
        <v>6</v>
      </c>
      <c r="O46" s="25">
        <f t="shared" si="23"/>
        <v>295953</v>
      </c>
      <c r="P46" s="16">
        <v>295953.45</v>
      </c>
      <c r="Q46" s="16">
        <v>5502053</v>
      </c>
      <c r="R46" s="16">
        <v>5200053</v>
      </c>
      <c r="S46" s="16">
        <v>5200053</v>
      </c>
      <c r="T46" s="16">
        <v>5200053</v>
      </c>
      <c r="U46" s="16">
        <v>5502053</v>
      </c>
      <c r="V46" s="16">
        <v>5502053</v>
      </c>
      <c r="W46" s="16">
        <v>5</v>
      </c>
      <c r="X46" s="16">
        <v>5</v>
      </c>
      <c r="Y46" s="16">
        <v>5</v>
      </c>
      <c r="Z46" s="16">
        <v>5</v>
      </c>
      <c r="AA46" s="16">
        <v>5</v>
      </c>
      <c r="AB46" s="16">
        <v>5</v>
      </c>
      <c r="AC46" s="16">
        <f t="shared" si="24"/>
        <v>335</v>
      </c>
      <c r="AD46" s="16">
        <f t="shared" si="59"/>
        <v>305</v>
      </c>
      <c r="AE46" s="16">
        <f t="shared" si="59"/>
        <v>305</v>
      </c>
      <c r="AF46" s="16">
        <f t="shared" si="59"/>
        <v>305</v>
      </c>
      <c r="AG46" s="16">
        <f t="shared" si="59"/>
        <v>305</v>
      </c>
      <c r="AH46" s="16">
        <f t="shared" si="59"/>
        <v>305</v>
      </c>
      <c r="AI46" s="28">
        <f t="shared" si="25"/>
        <v>59190.69</v>
      </c>
      <c r="AJ46" s="28">
        <f t="shared" si="66"/>
        <v>47352.552000000003</v>
      </c>
      <c r="AK46" s="28">
        <f t="shared" si="66"/>
        <v>47352.552000000003</v>
      </c>
      <c r="AL46" s="28">
        <f t="shared" si="66"/>
        <v>47352.552000000003</v>
      </c>
      <c r="AM46" s="28">
        <f t="shared" si="66"/>
        <v>47352.552000000003</v>
      </c>
      <c r="AN46" s="28">
        <f t="shared" si="66"/>
        <v>47352.552000000003</v>
      </c>
      <c r="AO46" s="30"/>
      <c r="AP46" s="28"/>
      <c r="AQ46" s="16">
        <v>4</v>
      </c>
      <c r="AR46" s="16">
        <f t="shared" si="27"/>
        <v>355</v>
      </c>
      <c r="AS46" s="28">
        <f t="shared" si="28"/>
        <v>528</v>
      </c>
      <c r="AT46" s="28"/>
      <c r="AU46" s="30">
        <v>295953.45</v>
      </c>
      <c r="AV46" s="28" t="str">
        <f t="shared" si="29"/>
        <v>小:0</v>
      </c>
      <c r="AW46" s="28"/>
      <c r="AX46" s="28"/>
      <c r="AZ46" s="28"/>
      <c r="BA46" s="16">
        <f t="shared" si="67"/>
        <v>6586.6350000000002</v>
      </c>
      <c r="BC46" s="7">
        <f t="shared" si="30"/>
        <v>310</v>
      </c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9"/>
      <c r="BQ46" s="9"/>
      <c r="BR46" s="9">
        <v>4302043</v>
      </c>
      <c r="BS46" s="9">
        <f>[1]monsters!$N46</f>
        <v>99.84</v>
      </c>
      <c r="BT46" s="9">
        <f>[1]monsters!$O46</f>
        <v>9.98</v>
      </c>
      <c r="BU46" s="9">
        <f>[1]monsters!$P46</f>
        <v>1706.67</v>
      </c>
      <c r="BV46" s="9">
        <f>[1]monsters!$Q46</f>
        <v>170.67</v>
      </c>
      <c r="BW46" s="9">
        <f>[1]monsters!$R46</f>
        <v>19.97</v>
      </c>
      <c r="BX46" s="9">
        <f>[1]monsters!$S46</f>
        <v>2</v>
      </c>
      <c r="BY46" s="9">
        <f>[1]monsters!$K46</f>
        <v>1.3</v>
      </c>
      <c r="BZ46" s="7">
        <f>[1]monsters!$D46</f>
        <v>3</v>
      </c>
      <c r="CA46" s="7">
        <f t="shared" si="31"/>
        <v>0.1</v>
      </c>
      <c r="CB46" s="7">
        <f t="shared" si="32"/>
        <v>151.81243636363638</v>
      </c>
      <c r="CC46" s="7">
        <f t="shared" si="33"/>
        <v>15.181243636363639</v>
      </c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>
        <v>0</v>
      </c>
      <c r="CR46" s="25" t="b">
        <f t="shared" si="34"/>
        <v>1</v>
      </c>
      <c r="CS46" s="25" t="b">
        <f t="shared" si="35"/>
        <v>1</v>
      </c>
      <c r="CT46" s="25" t="b">
        <f t="shared" si="36"/>
        <v>1</v>
      </c>
      <c r="CU46" s="25" t="b">
        <f t="shared" si="37"/>
        <v>1</v>
      </c>
      <c r="CV46" s="25" t="b">
        <f t="shared" si="38"/>
        <v>1</v>
      </c>
      <c r="CW46" s="25" t="b">
        <f t="shared" si="39"/>
        <v>1</v>
      </c>
      <c r="CX46" s="16" t="str">
        <f t="shared" si="40"/>
        <v>5502053</v>
      </c>
      <c r="CY46" s="16" t="str">
        <f t="shared" si="41"/>
        <v>5200053</v>
      </c>
      <c r="CZ46" s="16" t="str">
        <f t="shared" si="42"/>
        <v>5200053</v>
      </c>
      <c r="DA46" s="16" t="str">
        <f t="shared" si="43"/>
        <v>5200053</v>
      </c>
      <c r="DB46" s="16" t="str">
        <f t="shared" si="44"/>
        <v>5502053</v>
      </c>
      <c r="DC46" s="16" t="str">
        <f t="shared" si="45"/>
        <v>5502053</v>
      </c>
      <c r="DD46" s="16">
        <v>5</v>
      </c>
      <c r="DE46" s="16">
        <v>5</v>
      </c>
      <c r="DF46" s="16">
        <v>5</v>
      </c>
      <c r="DG46" s="16">
        <v>5</v>
      </c>
      <c r="DH46" s="16">
        <v>5</v>
      </c>
      <c r="DI46" s="16">
        <v>5</v>
      </c>
      <c r="DJ46" s="16">
        <v>5</v>
      </c>
      <c r="DK46" s="16">
        <v>5</v>
      </c>
      <c r="DL46" s="16">
        <v>5</v>
      </c>
      <c r="DM46" s="16">
        <v>5</v>
      </c>
      <c r="DN46" s="16">
        <v>5</v>
      </c>
      <c r="DO46" s="16">
        <v>5</v>
      </c>
      <c r="DP46" s="51" t="s">
        <v>227</v>
      </c>
      <c r="DQ46" s="51" t="s">
        <v>119</v>
      </c>
      <c r="DR46" s="51" t="s">
        <v>119</v>
      </c>
      <c r="DS46" s="51" t="s">
        <v>119</v>
      </c>
      <c r="DT46" s="51" t="s">
        <v>227</v>
      </c>
      <c r="DU46" s="51" t="s">
        <v>227</v>
      </c>
      <c r="DV46" s="32">
        <f t="shared" si="5"/>
        <v>2</v>
      </c>
      <c r="DW46" s="32">
        <f t="shared" si="6"/>
        <v>1</v>
      </c>
      <c r="DX46" s="32">
        <f t="shared" si="7"/>
        <v>1</v>
      </c>
      <c r="DY46" s="32">
        <f t="shared" si="8"/>
        <v>1</v>
      </c>
      <c r="DZ46" s="32">
        <f t="shared" si="9"/>
        <v>2</v>
      </c>
      <c r="EA46" s="32">
        <f t="shared" si="10"/>
        <v>2</v>
      </c>
      <c r="EB46" s="38"/>
      <c r="EC46" s="7">
        <v>3300052</v>
      </c>
      <c r="ED46" s="35" t="s">
        <v>147</v>
      </c>
      <c r="EE46" s="16">
        <v>2</v>
      </c>
      <c r="EQ46" s="16">
        <v>303220001</v>
      </c>
      <c r="ER46" s="16" t="s">
        <v>179</v>
      </c>
      <c r="FD46" s="16">
        <v>5502053</v>
      </c>
      <c r="FE46" s="16">
        <v>5200053</v>
      </c>
      <c r="FF46" s="16">
        <v>5200053</v>
      </c>
      <c r="FG46" s="16">
        <v>5200053</v>
      </c>
      <c r="FH46" s="16">
        <v>5502053</v>
      </c>
      <c r="FI46" s="16">
        <v>5502053</v>
      </c>
      <c r="FJ46" t="str">
        <f t="shared" si="46"/>
        <v>木火枪手</v>
      </c>
      <c r="FK46" t="str">
        <f t="shared" si="47"/>
        <v>木刀客</v>
      </c>
      <c r="FL46" t="str">
        <f t="shared" si="48"/>
        <v>木刀客</v>
      </c>
      <c r="FM46" t="str">
        <f t="shared" si="49"/>
        <v>木刀客</v>
      </c>
      <c r="FN46" t="str">
        <f t="shared" si="50"/>
        <v>木火枪手</v>
      </c>
      <c r="FO46" t="str">
        <f t="shared" si="51"/>
        <v>木火枪手</v>
      </c>
      <c r="FP46" t="str">
        <f t="shared" si="52"/>
        <v>5</v>
      </c>
      <c r="FQ46" t="str">
        <f t="shared" si="53"/>
        <v>5</v>
      </c>
      <c r="FR46" t="str">
        <f t="shared" si="54"/>
        <v>5</v>
      </c>
      <c r="FS46" t="str">
        <f t="shared" si="55"/>
        <v>5</v>
      </c>
      <c r="FT46" t="str">
        <f t="shared" si="56"/>
        <v>5</v>
      </c>
      <c r="FU46" t="str">
        <f t="shared" si="57"/>
        <v>5</v>
      </c>
      <c r="FV46" t="str">
        <f t="shared" si="60"/>
        <v>5</v>
      </c>
      <c r="FW46" t="str">
        <f t="shared" si="61"/>
        <v>5</v>
      </c>
      <c r="FX46" t="str">
        <f t="shared" si="62"/>
        <v>5</v>
      </c>
      <c r="FY46" t="str">
        <f t="shared" si="63"/>
        <v>5</v>
      </c>
      <c r="FZ46" t="str">
        <f t="shared" si="64"/>
        <v>5</v>
      </c>
      <c r="GA46" t="str">
        <f t="shared" si="65"/>
        <v>5</v>
      </c>
    </row>
    <row r="47" spans="1:183" ht="13.5" customHeight="1">
      <c r="A47" s="1">
        <v>504</v>
      </c>
      <c r="B47" s="6">
        <v>10022</v>
      </c>
      <c r="C47" s="23" t="str">
        <f t="shared" si="20"/>
        <v>5402051,5201053,5202053,5201053,5401053,5602054</v>
      </c>
      <c r="D47" s="1" t="str">
        <f t="shared" si="21"/>
        <v>5,5,5,5,5,5</v>
      </c>
      <c r="E47" s="53" t="str">
        <f t="shared" si="22"/>
        <v>338,308,308,308,308,308</v>
      </c>
      <c r="F47" s="1">
        <f t="shared" si="0"/>
        <v>300419</v>
      </c>
      <c r="G47" s="23" t="s">
        <v>34</v>
      </c>
      <c r="H47" s="1" t="s">
        <v>28</v>
      </c>
      <c r="I47" s="1" t="s">
        <v>28</v>
      </c>
      <c r="J47" s="1" t="s">
        <v>28</v>
      </c>
      <c r="K47" s="2" t="s">
        <v>347</v>
      </c>
      <c r="L47" s="1">
        <v>3</v>
      </c>
      <c r="M47" s="1">
        <v>6</v>
      </c>
      <c r="O47" s="25">
        <f t="shared" si="23"/>
        <v>300419</v>
      </c>
      <c r="P47" s="16">
        <v>300418.95</v>
      </c>
      <c r="Q47" s="16">
        <v>5402051</v>
      </c>
      <c r="R47" s="16">
        <v>5201053</v>
      </c>
      <c r="S47" s="16">
        <v>5202053</v>
      </c>
      <c r="T47" s="16">
        <v>5201053</v>
      </c>
      <c r="U47" s="16">
        <v>5401053</v>
      </c>
      <c r="V47" s="16">
        <v>5602054</v>
      </c>
      <c r="W47" s="16">
        <v>5</v>
      </c>
      <c r="X47" s="16">
        <v>5</v>
      </c>
      <c r="Y47" s="16">
        <v>5</v>
      </c>
      <c r="Z47" s="16">
        <v>5</v>
      </c>
      <c r="AA47" s="16">
        <v>5</v>
      </c>
      <c r="AB47" s="16">
        <v>5</v>
      </c>
      <c r="AC47" s="16">
        <f t="shared" si="24"/>
        <v>338</v>
      </c>
      <c r="AD47" s="16">
        <f t="shared" si="59"/>
        <v>308</v>
      </c>
      <c r="AE47" s="16">
        <f t="shared" si="59"/>
        <v>308</v>
      </c>
      <c r="AF47" s="16">
        <f t="shared" si="59"/>
        <v>308</v>
      </c>
      <c r="AG47" s="16">
        <f t="shared" si="59"/>
        <v>308</v>
      </c>
      <c r="AH47" s="16">
        <f t="shared" si="59"/>
        <v>308</v>
      </c>
      <c r="AI47" s="28">
        <f t="shared" si="25"/>
        <v>60083.790000000008</v>
      </c>
      <c r="AJ47" s="28">
        <f t="shared" si="66"/>
        <v>48067.031999999999</v>
      </c>
      <c r="AK47" s="28">
        <f t="shared" si="66"/>
        <v>48067.031999999999</v>
      </c>
      <c r="AL47" s="28">
        <f t="shared" si="66"/>
        <v>48067.031999999999</v>
      </c>
      <c r="AM47" s="28">
        <f t="shared" si="66"/>
        <v>48067.031999999999</v>
      </c>
      <c r="AN47" s="28">
        <f t="shared" si="66"/>
        <v>48067.031999999999</v>
      </c>
      <c r="AO47" s="30"/>
      <c r="AP47" s="28"/>
      <c r="AQ47" s="16">
        <v>4</v>
      </c>
      <c r="AR47" s="16">
        <f t="shared" si="27"/>
        <v>358</v>
      </c>
      <c r="AS47" s="28">
        <f t="shared" si="28"/>
        <v>529</v>
      </c>
      <c r="AT47" s="28"/>
      <c r="AU47" s="30">
        <v>300418.95</v>
      </c>
      <c r="AV47" s="28" t="str">
        <f t="shared" si="29"/>
        <v>小:0</v>
      </c>
      <c r="AW47" s="28"/>
      <c r="AX47" s="28"/>
      <c r="AZ47" s="28"/>
      <c r="BA47" s="16">
        <f t="shared" si="67"/>
        <v>6622.18</v>
      </c>
      <c r="BC47" s="7">
        <f t="shared" si="30"/>
        <v>312</v>
      </c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9"/>
      <c r="BQ47" s="9"/>
      <c r="BR47" s="9">
        <v>4400043</v>
      </c>
      <c r="BS47" s="9">
        <f>[1]monsters!$N47</f>
        <v>107.52</v>
      </c>
      <c r="BT47" s="9">
        <f>[1]monsters!$O47</f>
        <v>10.75</v>
      </c>
      <c r="BU47" s="9">
        <f>[1]monsters!$P47</f>
        <v>1706.67</v>
      </c>
      <c r="BV47" s="9">
        <f>[1]monsters!$Q47</f>
        <v>170.67</v>
      </c>
      <c r="BW47" s="9">
        <f>[1]monsters!$R47</f>
        <v>21.5</v>
      </c>
      <c r="BX47" s="9">
        <f>[1]monsters!$S47</f>
        <v>2.15</v>
      </c>
      <c r="BY47" s="9">
        <f>[1]monsters!$K47</f>
        <v>1.4000000000000001</v>
      </c>
      <c r="BZ47" s="7">
        <f>[1]monsters!$D47</f>
        <v>3</v>
      </c>
      <c r="CA47" s="7">
        <f t="shared" si="31"/>
        <v>0.1</v>
      </c>
      <c r="CB47" s="7">
        <f t="shared" si="32"/>
        <v>159.07003636363638</v>
      </c>
      <c r="CC47" s="7">
        <f t="shared" si="33"/>
        <v>15.907003636363639</v>
      </c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>
        <v>0</v>
      </c>
      <c r="CR47" s="25" t="b">
        <f t="shared" si="34"/>
        <v>1</v>
      </c>
      <c r="CS47" s="25" t="b">
        <f t="shared" si="35"/>
        <v>1</v>
      </c>
      <c r="CT47" s="25" t="b">
        <f t="shared" si="36"/>
        <v>1</v>
      </c>
      <c r="CU47" s="25" t="b">
        <f t="shared" si="37"/>
        <v>1</v>
      </c>
      <c r="CV47" s="25" t="b">
        <f t="shared" si="38"/>
        <v>1</v>
      </c>
      <c r="CW47" s="25" t="b">
        <f t="shared" si="39"/>
        <v>1</v>
      </c>
      <c r="CX47" s="16" t="str">
        <f t="shared" si="40"/>
        <v>5402051</v>
      </c>
      <c r="CY47" s="16" t="str">
        <f t="shared" si="41"/>
        <v>5201053</v>
      </c>
      <c r="CZ47" s="16" t="str">
        <f t="shared" si="42"/>
        <v>5202053</v>
      </c>
      <c r="DA47" s="16" t="str">
        <f t="shared" si="43"/>
        <v>5201053</v>
      </c>
      <c r="DB47" s="16" t="str">
        <f t="shared" si="44"/>
        <v>5401053</v>
      </c>
      <c r="DC47" s="16" t="str">
        <f t="shared" si="45"/>
        <v>5602054</v>
      </c>
      <c r="DD47" s="16">
        <v>5</v>
      </c>
      <c r="DE47" s="16">
        <v>5</v>
      </c>
      <c r="DF47" s="16">
        <v>5</v>
      </c>
      <c r="DG47" s="16">
        <v>5</v>
      </c>
      <c r="DH47" s="16">
        <v>5</v>
      </c>
      <c r="DI47" s="16">
        <v>5</v>
      </c>
      <c r="DJ47" s="16">
        <v>5</v>
      </c>
      <c r="DK47" s="16">
        <v>5</v>
      </c>
      <c r="DL47" s="16">
        <v>5</v>
      </c>
      <c r="DM47" s="16">
        <v>5</v>
      </c>
      <c r="DN47" s="16">
        <v>5</v>
      </c>
      <c r="DO47" s="16">
        <v>5</v>
      </c>
      <c r="DP47" s="51" t="s">
        <v>207</v>
      </c>
      <c r="DQ47" s="51" t="s">
        <v>217</v>
      </c>
      <c r="DR47" s="51" t="s">
        <v>220</v>
      </c>
      <c r="DS47" s="51" t="s">
        <v>217</v>
      </c>
      <c r="DT47" s="51" t="s">
        <v>223</v>
      </c>
      <c r="DU47" s="51" t="s">
        <v>232</v>
      </c>
      <c r="DV47" s="32">
        <f t="shared" si="5"/>
        <v>2</v>
      </c>
      <c r="DW47" s="32">
        <f t="shared" si="6"/>
        <v>1</v>
      </c>
      <c r="DX47" s="32">
        <f t="shared" si="7"/>
        <v>1</v>
      </c>
      <c r="DY47" s="32">
        <f t="shared" si="8"/>
        <v>1</v>
      </c>
      <c r="DZ47" s="32">
        <f t="shared" si="9"/>
        <v>2</v>
      </c>
      <c r="EA47" s="32">
        <f t="shared" si="10"/>
        <v>2</v>
      </c>
      <c r="EB47" s="38"/>
      <c r="EC47" s="7">
        <v>3302053</v>
      </c>
      <c r="ED47" s="35" t="s">
        <v>149</v>
      </c>
      <c r="EE47" s="16">
        <v>1</v>
      </c>
      <c r="EQ47" s="16">
        <v>303220101</v>
      </c>
      <c r="ER47" s="16" t="s">
        <v>144</v>
      </c>
      <c r="FD47" s="16">
        <v>5402051</v>
      </c>
      <c r="FE47" s="16">
        <v>5201053</v>
      </c>
      <c r="FF47" s="16">
        <v>5202053</v>
      </c>
      <c r="FG47" s="16">
        <v>5201053</v>
      </c>
      <c r="FH47" s="16">
        <v>5401053</v>
      </c>
      <c r="FI47" s="16">
        <v>5602054</v>
      </c>
      <c r="FJ47" t="str">
        <f t="shared" si="46"/>
        <v>水女巫</v>
      </c>
      <c r="FK47" t="str">
        <f t="shared" si="47"/>
        <v>木骑兵</v>
      </c>
      <c r="FL47" t="str">
        <f t="shared" si="48"/>
        <v>木维京</v>
      </c>
      <c r="FM47" t="str">
        <f t="shared" si="49"/>
        <v>木骑兵</v>
      </c>
      <c r="FN47" t="str">
        <f t="shared" si="50"/>
        <v>木魔法师</v>
      </c>
      <c r="FO47" t="str">
        <f t="shared" si="51"/>
        <v>光学者</v>
      </c>
      <c r="FP47" t="str">
        <f t="shared" si="52"/>
        <v>5</v>
      </c>
      <c r="FQ47" t="str">
        <f t="shared" si="53"/>
        <v>5</v>
      </c>
      <c r="FR47" t="str">
        <f t="shared" si="54"/>
        <v>5</v>
      </c>
      <c r="FS47" t="str">
        <f t="shared" si="55"/>
        <v>5</v>
      </c>
      <c r="FT47" t="str">
        <f t="shared" si="56"/>
        <v>5</v>
      </c>
      <c r="FU47" t="str">
        <f t="shared" si="57"/>
        <v>5</v>
      </c>
      <c r="FV47" t="str">
        <f t="shared" si="60"/>
        <v>5</v>
      </c>
      <c r="FW47" t="str">
        <f t="shared" si="61"/>
        <v>5</v>
      </c>
      <c r="FX47" t="str">
        <f t="shared" si="62"/>
        <v>5</v>
      </c>
      <c r="FY47" t="str">
        <f t="shared" si="63"/>
        <v>5</v>
      </c>
      <c r="FZ47" t="str">
        <f t="shared" si="64"/>
        <v>5</v>
      </c>
      <c r="GA47" t="str">
        <f t="shared" si="65"/>
        <v>5</v>
      </c>
    </row>
    <row r="48" spans="1:183" ht="13.5" customHeight="1">
      <c r="A48" s="1">
        <v>505</v>
      </c>
      <c r="B48" s="6">
        <v>10022</v>
      </c>
      <c r="C48" s="23" t="str">
        <f t="shared" si="20"/>
        <v>1101053,5201053,5201053,5402053,5402053,5402053</v>
      </c>
      <c r="D48" s="1" t="str">
        <f t="shared" si="21"/>
        <v>5,5,5,5,5,5</v>
      </c>
      <c r="E48" s="53" t="str">
        <f t="shared" si="22"/>
        <v>341,311,311,311,311,311</v>
      </c>
      <c r="F48" s="1">
        <f t="shared" si="0"/>
        <v>305998</v>
      </c>
      <c r="G48" s="23" t="s">
        <v>34</v>
      </c>
      <c r="H48" s="1" t="s">
        <v>28</v>
      </c>
      <c r="I48" s="1" t="s">
        <v>28</v>
      </c>
      <c r="J48" s="1" t="s">
        <v>28</v>
      </c>
      <c r="K48" s="2" t="s">
        <v>348</v>
      </c>
      <c r="L48" s="1">
        <v>1</v>
      </c>
      <c r="M48" s="1">
        <v>5</v>
      </c>
      <c r="O48" s="25">
        <f t="shared" si="23"/>
        <v>305998</v>
      </c>
      <c r="P48" s="16">
        <v>305997.90000000002</v>
      </c>
      <c r="Q48" s="16">
        <v>1101053</v>
      </c>
      <c r="R48" s="16">
        <v>5201053</v>
      </c>
      <c r="S48" s="16">
        <v>5201053</v>
      </c>
      <c r="T48" s="16">
        <v>5402053</v>
      </c>
      <c r="U48" s="16">
        <v>5402053</v>
      </c>
      <c r="V48" s="16">
        <v>5402053</v>
      </c>
      <c r="W48" s="16">
        <v>5</v>
      </c>
      <c r="X48" s="16">
        <v>5</v>
      </c>
      <c r="Y48" s="16">
        <v>5</v>
      </c>
      <c r="Z48" s="16">
        <v>5</v>
      </c>
      <c r="AA48" s="16">
        <v>5</v>
      </c>
      <c r="AB48" s="16">
        <v>5</v>
      </c>
      <c r="AC48" s="16">
        <f t="shared" si="24"/>
        <v>341</v>
      </c>
      <c r="AD48" s="16">
        <f t="shared" si="59"/>
        <v>311</v>
      </c>
      <c r="AE48" s="16">
        <f t="shared" si="59"/>
        <v>311</v>
      </c>
      <c r="AF48" s="16">
        <f t="shared" si="59"/>
        <v>311</v>
      </c>
      <c r="AG48" s="16">
        <f t="shared" si="59"/>
        <v>311</v>
      </c>
      <c r="AH48" s="16">
        <f t="shared" si="59"/>
        <v>311</v>
      </c>
      <c r="AI48" s="28">
        <f t="shared" si="25"/>
        <v>61199.580000000009</v>
      </c>
      <c r="AJ48" s="28">
        <f t="shared" si="66"/>
        <v>48959.664000000004</v>
      </c>
      <c r="AK48" s="28">
        <f t="shared" si="66"/>
        <v>48959.664000000004</v>
      </c>
      <c r="AL48" s="28">
        <f t="shared" si="66"/>
        <v>48959.664000000004</v>
      </c>
      <c r="AM48" s="28">
        <f t="shared" si="66"/>
        <v>48959.664000000004</v>
      </c>
      <c r="AN48" s="28">
        <f t="shared" si="66"/>
        <v>48959.664000000004</v>
      </c>
      <c r="AO48" s="30"/>
      <c r="AP48" s="28"/>
      <c r="AQ48" s="16">
        <v>4</v>
      </c>
      <c r="AR48" s="16">
        <f t="shared" si="27"/>
        <v>361</v>
      </c>
      <c r="AS48" s="28">
        <f t="shared" si="28"/>
        <v>530</v>
      </c>
      <c r="AT48" s="28"/>
      <c r="AU48" s="30">
        <v>305997.90000000002</v>
      </c>
      <c r="AV48" s="28" t="str">
        <f t="shared" si="29"/>
        <v>小:0</v>
      </c>
      <c r="AW48" s="28"/>
      <c r="AX48" s="28"/>
      <c r="AZ48" s="28"/>
      <c r="BA48" s="16">
        <f t="shared" si="67"/>
        <v>6657.7250000000004</v>
      </c>
      <c r="BC48" s="7">
        <f t="shared" si="30"/>
        <v>315</v>
      </c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9"/>
      <c r="BQ48" s="9"/>
      <c r="BR48" s="9">
        <v>4501043</v>
      </c>
      <c r="BS48" s="9">
        <f>[1]monsters!$N48</f>
        <v>143.36000000000001</v>
      </c>
      <c r="BT48" s="9">
        <f>[1]monsters!$O48</f>
        <v>14.34</v>
      </c>
      <c r="BU48" s="9">
        <f>[1]monsters!$P48</f>
        <v>1280</v>
      </c>
      <c r="BV48" s="9">
        <f>[1]monsters!$Q48</f>
        <v>128</v>
      </c>
      <c r="BW48" s="9">
        <f>[1]monsters!$R48</f>
        <v>20.48</v>
      </c>
      <c r="BX48" s="9">
        <f>[1]monsters!$S48</f>
        <v>2.0499999999999998</v>
      </c>
      <c r="BY48" s="9">
        <f>[1]monsters!$K48</f>
        <v>1.4000000000000001</v>
      </c>
      <c r="BZ48" s="7">
        <f>[1]monsters!$D48</f>
        <v>4</v>
      </c>
      <c r="CA48" s="7">
        <f t="shared" si="31"/>
        <v>0.1</v>
      </c>
      <c r="CB48" s="7">
        <f t="shared" si="32"/>
        <v>178.57284309764313</v>
      </c>
      <c r="CC48" s="7">
        <f t="shared" si="33"/>
        <v>17.857284309764314</v>
      </c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>
        <v>1</v>
      </c>
      <c r="CR48" s="25" t="b">
        <f t="shared" si="34"/>
        <v>1</v>
      </c>
      <c r="CS48" s="25" t="b">
        <f t="shared" si="35"/>
        <v>1</v>
      </c>
      <c r="CT48" s="25" t="b">
        <f t="shared" si="36"/>
        <v>1</v>
      </c>
      <c r="CU48" s="25" t="b">
        <f t="shared" si="37"/>
        <v>1</v>
      </c>
      <c r="CV48" s="25" t="b">
        <f t="shared" si="38"/>
        <v>1</v>
      </c>
      <c r="CW48" s="25" t="b">
        <f t="shared" si="39"/>
        <v>1</v>
      </c>
      <c r="CX48" s="16" t="str">
        <f t="shared" si="40"/>
        <v>1101053</v>
      </c>
      <c r="CY48" s="16" t="str">
        <f t="shared" si="41"/>
        <v>5201053</v>
      </c>
      <c r="CZ48" s="16" t="str">
        <f t="shared" si="42"/>
        <v>5201053</v>
      </c>
      <c r="DA48" s="16" t="str">
        <f t="shared" si="43"/>
        <v>5402053</v>
      </c>
      <c r="DB48" s="16" t="str">
        <f t="shared" si="44"/>
        <v>5402053</v>
      </c>
      <c r="DC48" s="16" t="str">
        <f t="shared" si="45"/>
        <v>5402053</v>
      </c>
      <c r="DD48" s="16">
        <v>5</v>
      </c>
      <c r="DE48" s="16">
        <v>5</v>
      </c>
      <c r="DF48" s="16">
        <v>5</v>
      </c>
      <c r="DG48" s="16">
        <v>5</v>
      </c>
      <c r="DH48" s="16">
        <v>5</v>
      </c>
      <c r="DI48" s="16">
        <v>5</v>
      </c>
      <c r="DJ48" s="16">
        <v>1</v>
      </c>
      <c r="DK48" s="16">
        <v>5</v>
      </c>
      <c r="DL48" s="16">
        <v>5</v>
      </c>
      <c r="DM48" s="16">
        <v>5</v>
      </c>
      <c r="DN48" s="16">
        <v>5</v>
      </c>
      <c r="DO48" s="16">
        <v>5</v>
      </c>
      <c r="DP48" s="51" t="s">
        <v>300</v>
      </c>
      <c r="DQ48" s="51" t="s">
        <v>217</v>
      </c>
      <c r="DR48" s="51" t="s">
        <v>217</v>
      </c>
      <c r="DS48" s="51" t="s">
        <v>124</v>
      </c>
      <c r="DT48" s="51" t="s">
        <v>124</v>
      </c>
      <c r="DU48" s="51" t="s">
        <v>124</v>
      </c>
      <c r="DV48" s="32">
        <f t="shared" si="5"/>
        <v>1</v>
      </c>
      <c r="DW48" s="32">
        <f t="shared" si="6"/>
        <v>1</v>
      </c>
      <c r="DX48" s="32">
        <f t="shared" si="7"/>
        <v>1</v>
      </c>
      <c r="DY48" s="32">
        <f t="shared" si="8"/>
        <v>2</v>
      </c>
      <c r="DZ48" s="32">
        <f t="shared" si="9"/>
        <v>2</v>
      </c>
      <c r="EA48" s="32">
        <f t="shared" si="10"/>
        <v>2</v>
      </c>
      <c r="EB48" s="38"/>
      <c r="EC48" s="7">
        <v>3400052</v>
      </c>
      <c r="ED48" s="35" t="s">
        <v>151</v>
      </c>
      <c r="EE48" s="16">
        <v>2</v>
      </c>
      <c r="EQ48" s="16">
        <v>303220201</v>
      </c>
      <c r="ER48" s="16" t="s">
        <v>146</v>
      </c>
      <c r="FD48" s="16">
        <v>1101053</v>
      </c>
      <c r="FE48" s="16">
        <v>5201053</v>
      </c>
      <c r="FF48" s="16">
        <v>5201053</v>
      </c>
      <c r="FG48" s="16">
        <v>5402053</v>
      </c>
      <c r="FH48" s="16">
        <v>5402053</v>
      </c>
      <c r="FI48" s="16">
        <v>5402053</v>
      </c>
      <c r="FJ48" t="str">
        <f t="shared" si="46"/>
        <v>木黑骑士</v>
      </c>
      <c r="FK48" t="str">
        <f t="shared" si="47"/>
        <v>木骑兵</v>
      </c>
      <c r="FL48" t="str">
        <f t="shared" si="48"/>
        <v>木骑兵</v>
      </c>
      <c r="FM48" t="str">
        <f t="shared" si="49"/>
        <v>木女巫</v>
      </c>
      <c r="FN48" t="str">
        <f t="shared" si="50"/>
        <v>木女巫</v>
      </c>
      <c r="FO48" t="str">
        <f t="shared" si="51"/>
        <v>木女巫</v>
      </c>
      <c r="FP48" t="str">
        <f t="shared" si="52"/>
        <v>5</v>
      </c>
      <c r="FQ48" t="str">
        <f t="shared" si="53"/>
        <v>5</v>
      </c>
      <c r="FR48" t="str">
        <f t="shared" si="54"/>
        <v>5</v>
      </c>
      <c r="FS48" t="str">
        <f t="shared" si="55"/>
        <v>5</v>
      </c>
      <c r="FT48" t="str">
        <f t="shared" si="56"/>
        <v>5</v>
      </c>
      <c r="FU48" t="str">
        <f t="shared" si="57"/>
        <v>5</v>
      </c>
      <c r="FV48" t="str">
        <f t="shared" si="60"/>
        <v>1</v>
      </c>
      <c r="FW48" t="str">
        <f t="shared" si="61"/>
        <v>5</v>
      </c>
      <c r="FX48" t="str">
        <f t="shared" si="62"/>
        <v>5</v>
      </c>
      <c r="FY48" t="str">
        <f t="shared" si="63"/>
        <v>5</v>
      </c>
      <c r="FZ48" t="str">
        <f t="shared" si="64"/>
        <v>5</v>
      </c>
      <c r="GA48" t="str">
        <f t="shared" si="65"/>
        <v>5</v>
      </c>
    </row>
    <row r="49" spans="1:183" ht="13.5" customHeight="1">
      <c r="A49" s="1">
        <v>506</v>
      </c>
      <c r="B49" s="6">
        <v>10022</v>
      </c>
      <c r="C49" s="23" t="str">
        <f t="shared" si="20"/>
        <v>5601051,5201051,5201051,5201051,5502051,5502051</v>
      </c>
      <c r="D49" s="1" t="str">
        <f t="shared" si="21"/>
        <v>5,5,5,5,5,5</v>
      </c>
      <c r="E49" s="53" t="str">
        <f t="shared" si="22"/>
        <v>344,313,313,313,313,313</v>
      </c>
      <c r="F49" s="1">
        <f t="shared" si="0"/>
        <v>310541</v>
      </c>
      <c r="G49" s="23" t="s">
        <v>34</v>
      </c>
      <c r="H49" s="1" t="s">
        <v>28</v>
      </c>
      <c r="I49" s="1" t="s">
        <v>28</v>
      </c>
      <c r="J49" s="1" t="s">
        <v>28</v>
      </c>
      <c r="K49" s="2" t="s">
        <v>349</v>
      </c>
      <c r="L49" s="1">
        <v>2</v>
      </c>
      <c r="M49" s="1">
        <v>5</v>
      </c>
      <c r="O49" s="25">
        <f t="shared" si="23"/>
        <v>310541</v>
      </c>
      <c r="P49" s="16">
        <v>310541.40000000002</v>
      </c>
      <c r="Q49" s="16">
        <v>5601051</v>
      </c>
      <c r="R49" s="16">
        <v>5201051</v>
      </c>
      <c r="S49" s="16">
        <v>5201051</v>
      </c>
      <c r="T49" s="16">
        <v>5201051</v>
      </c>
      <c r="U49" s="16">
        <v>5502051</v>
      </c>
      <c r="V49" s="16">
        <v>5502051</v>
      </c>
      <c r="W49" s="16">
        <v>5</v>
      </c>
      <c r="X49" s="16">
        <v>5</v>
      </c>
      <c r="Y49" s="16">
        <v>5</v>
      </c>
      <c r="Z49" s="16">
        <v>5</v>
      </c>
      <c r="AA49" s="16">
        <v>5</v>
      </c>
      <c r="AB49" s="16">
        <v>5</v>
      </c>
      <c r="AC49" s="16">
        <f t="shared" si="24"/>
        <v>344</v>
      </c>
      <c r="AD49" s="16">
        <f t="shared" si="59"/>
        <v>313</v>
      </c>
      <c r="AE49" s="16">
        <f t="shared" si="59"/>
        <v>313</v>
      </c>
      <c r="AF49" s="16">
        <f t="shared" si="59"/>
        <v>313</v>
      </c>
      <c r="AG49" s="16">
        <f t="shared" si="59"/>
        <v>313</v>
      </c>
      <c r="AH49" s="16">
        <f t="shared" si="59"/>
        <v>313</v>
      </c>
      <c r="AI49" s="28">
        <f t="shared" si="25"/>
        <v>62108.280000000006</v>
      </c>
      <c r="AJ49" s="28">
        <f t="shared" si="66"/>
        <v>49686.624000000003</v>
      </c>
      <c r="AK49" s="28">
        <f t="shared" si="66"/>
        <v>49686.624000000003</v>
      </c>
      <c r="AL49" s="28">
        <f t="shared" si="66"/>
        <v>49686.624000000003</v>
      </c>
      <c r="AM49" s="28">
        <f t="shared" si="66"/>
        <v>49686.624000000003</v>
      </c>
      <c r="AN49" s="28">
        <f t="shared" si="66"/>
        <v>49686.624000000003</v>
      </c>
      <c r="AO49" s="30"/>
      <c r="AP49" s="28"/>
      <c r="AQ49" s="16">
        <v>4</v>
      </c>
      <c r="AR49" s="16">
        <f t="shared" si="27"/>
        <v>364</v>
      </c>
      <c r="AS49" s="28">
        <f t="shared" si="28"/>
        <v>531</v>
      </c>
      <c r="AT49" s="28"/>
      <c r="AU49" s="30">
        <v>310541.40000000002</v>
      </c>
      <c r="AV49" s="28" t="str">
        <f t="shared" si="29"/>
        <v>小:0</v>
      </c>
      <c r="AW49" s="28"/>
      <c r="AX49" s="28"/>
      <c r="AZ49" s="28"/>
      <c r="BA49" s="16">
        <f t="shared" si="67"/>
        <v>6693.27</v>
      </c>
      <c r="BC49" s="7">
        <f t="shared" si="30"/>
        <v>317</v>
      </c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9"/>
      <c r="BQ49" s="9"/>
      <c r="BR49" s="9">
        <v>4600043</v>
      </c>
      <c r="BS49" s="9">
        <f>[1]monsters!$N49</f>
        <v>155.52000000000001</v>
      </c>
      <c r="BT49" s="9">
        <f>[1]monsters!$O49</f>
        <v>15.55</v>
      </c>
      <c r="BU49" s="9">
        <f>[1]monsters!$P49</f>
        <v>1920</v>
      </c>
      <c r="BV49" s="9">
        <f>[1]monsters!$Q49</f>
        <v>192</v>
      </c>
      <c r="BW49" s="9">
        <f>[1]monsters!$R49</f>
        <v>31.1</v>
      </c>
      <c r="BX49" s="9">
        <f>[1]monsters!$S49</f>
        <v>3.11</v>
      </c>
      <c r="BY49" s="9">
        <f>[1]monsters!$K49</f>
        <v>1.8</v>
      </c>
      <c r="BZ49" s="7">
        <f>[1]monsters!$D49</f>
        <v>2</v>
      </c>
      <c r="CA49" s="7">
        <f t="shared" si="31"/>
        <v>0.1</v>
      </c>
      <c r="CB49" s="7">
        <f t="shared" si="32"/>
        <v>211.61286464646466</v>
      </c>
      <c r="CC49" s="7">
        <f t="shared" si="33"/>
        <v>21.161286464646466</v>
      </c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>
        <v>0</v>
      </c>
      <c r="CR49" s="25" t="b">
        <f t="shared" si="34"/>
        <v>1</v>
      </c>
      <c r="CS49" s="25" t="b">
        <f t="shared" si="35"/>
        <v>1</v>
      </c>
      <c r="CT49" s="25" t="b">
        <f t="shared" si="36"/>
        <v>1</v>
      </c>
      <c r="CU49" s="25" t="b">
        <f t="shared" si="37"/>
        <v>1</v>
      </c>
      <c r="CV49" s="25" t="b">
        <f t="shared" si="38"/>
        <v>1</v>
      </c>
      <c r="CW49" s="25" t="b">
        <f t="shared" si="39"/>
        <v>1</v>
      </c>
      <c r="CX49" s="16" t="str">
        <f t="shared" si="40"/>
        <v>5601051</v>
      </c>
      <c r="CY49" s="16" t="str">
        <f t="shared" si="41"/>
        <v>5201051</v>
      </c>
      <c r="CZ49" s="16" t="str">
        <f t="shared" si="42"/>
        <v>5201051</v>
      </c>
      <c r="DA49" s="16" t="str">
        <f t="shared" si="43"/>
        <v>5201051</v>
      </c>
      <c r="DB49" s="16" t="str">
        <f t="shared" si="44"/>
        <v>5502051</v>
      </c>
      <c r="DC49" s="16" t="str">
        <f t="shared" si="45"/>
        <v>5502051</v>
      </c>
      <c r="DD49" s="16">
        <v>5</v>
      </c>
      <c r="DE49" s="16">
        <v>5</v>
      </c>
      <c r="DF49" s="16">
        <v>5</v>
      </c>
      <c r="DG49" s="16">
        <v>5</v>
      </c>
      <c r="DH49" s="16">
        <v>5</v>
      </c>
      <c r="DI49" s="16">
        <v>5</v>
      </c>
      <c r="DJ49" s="16">
        <v>5</v>
      </c>
      <c r="DK49" s="16">
        <v>5</v>
      </c>
      <c r="DL49" s="16">
        <v>5</v>
      </c>
      <c r="DM49" s="16">
        <v>5</v>
      </c>
      <c r="DN49" s="16">
        <v>5</v>
      </c>
      <c r="DO49" s="16">
        <v>5</v>
      </c>
      <c r="DP49" s="51" t="s">
        <v>209</v>
      </c>
      <c r="DQ49" s="51" t="s">
        <v>206</v>
      </c>
      <c r="DR49" s="51" t="s">
        <v>206</v>
      </c>
      <c r="DS49" s="51" t="s">
        <v>206</v>
      </c>
      <c r="DT49" s="51" t="s">
        <v>130</v>
      </c>
      <c r="DU49" s="51" t="s">
        <v>130</v>
      </c>
      <c r="DV49" s="32">
        <f t="shared" si="5"/>
        <v>2</v>
      </c>
      <c r="DW49" s="32">
        <f t="shared" si="6"/>
        <v>1</v>
      </c>
      <c r="DX49" s="32">
        <f t="shared" si="7"/>
        <v>1</v>
      </c>
      <c r="DY49" s="32">
        <f t="shared" si="8"/>
        <v>1</v>
      </c>
      <c r="DZ49" s="32">
        <f t="shared" si="9"/>
        <v>2</v>
      </c>
      <c r="EA49" s="32">
        <f t="shared" si="10"/>
        <v>2</v>
      </c>
      <c r="EB49" s="38"/>
      <c r="EC49" s="7">
        <v>3202061</v>
      </c>
      <c r="ED49" s="15" t="s">
        <v>117</v>
      </c>
      <c r="EE49" s="16">
        <v>1</v>
      </c>
      <c r="EQ49" s="16">
        <v>303230101</v>
      </c>
      <c r="ER49" s="16" t="s">
        <v>180</v>
      </c>
      <c r="FD49" s="16">
        <v>5601051</v>
      </c>
      <c r="FE49" s="16">
        <v>5201051</v>
      </c>
      <c r="FF49" s="16">
        <v>5201051</v>
      </c>
      <c r="FG49" s="16">
        <v>5201051</v>
      </c>
      <c r="FH49" s="16">
        <v>5502051</v>
      </c>
      <c r="FI49" s="16">
        <v>5502051</v>
      </c>
      <c r="FJ49" t="str">
        <f t="shared" si="46"/>
        <v>水修女</v>
      </c>
      <c r="FK49" t="str">
        <f t="shared" si="47"/>
        <v>水骑兵</v>
      </c>
      <c r="FL49" t="str">
        <f t="shared" si="48"/>
        <v>水骑兵</v>
      </c>
      <c r="FM49" t="str">
        <f t="shared" si="49"/>
        <v>水骑兵</v>
      </c>
      <c r="FN49" t="str">
        <f t="shared" si="50"/>
        <v>水火枪手</v>
      </c>
      <c r="FO49" t="str">
        <f t="shared" si="51"/>
        <v>水火枪手</v>
      </c>
      <c r="FP49" t="str">
        <f t="shared" si="52"/>
        <v>5</v>
      </c>
      <c r="FQ49" t="str">
        <f t="shared" si="53"/>
        <v>5</v>
      </c>
      <c r="FR49" t="str">
        <f t="shared" si="54"/>
        <v>5</v>
      </c>
      <c r="FS49" t="str">
        <f t="shared" si="55"/>
        <v>5</v>
      </c>
      <c r="FT49" t="str">
        <f t="shared" si="56"/>
        <v>5</v>
      </c>
      <c r="FU49" t="str">
        <f t="shared" si="57"/>
        <v>5</v>
      </c>
      <c r="FV49" t="str">
        <f t="shared" si="60"/>
        <v>5</v>
      </c>
      <c r="FW49" t="str">
        <f t="shared" si="61"/>
        <v>5</v>
      </c>
      <c r="FX49" t="str">
        <f t="shared" si="62"/>
        <v>5</v>
      </c>
      <c r="FY49" t="str">
        <f t="shared" si="63"/>
        <v>5</v>
      </c>
      <c r="FZ49" t="str">
        <f t="shared" si="64"/>
        <v>5</v>
      </c>
      <c r="GA49" t="str">
        <f t="shared" si="65"/>
        <v>5</v>
      </c>
    </row>
    <row r="50" spans="1:183" ht="13.5" customHeight="1">
      <c r="A50" s="1">
        <v>507</v>
      </c>
      <c r="B50" s="6">
        <v>10022</v>
      </c>
      <c r="C50" s="23" t="str">
        <f t="shared" si="20"/>
        <v>1102051,5200051,5200051,5500051,5500051,5500051</v>
      </c>
      <c r="D50" s="1" t="str">
        <f t="shared" si="21"/>
        <v>5,5,5,5,5,5</v>
      </c>
      <c r="E50" s="53" t="str">
        <f t="shared" si="22"/>
        <v>347,316,316,316,316,316</v>
      </c>
      <c r="F50" s="1">
        <f t="shared" si="0"/>
        <v>316214</v>
      </c>
      <c r="G50" s="23" t="s">
        <v>34</v>
      </c>
      <c r="H50" s="1" t="s">
        <v>28</v>
      </c>
      <c r="I50" s="1" t="s">
        <v>28</v>
      </c>
      <c r="J50" s="1" t="s">
        <v>28</v>
      </c>
      <c r="K50" s="2" t="s">
        <v>350</v>
      </c>
      <c r="L50" s="1">
        <v>3</v>
      </c>
      <c r="M50" s="1">
        <v>2</v>
      </c>
      <c r="O50" s="25">
        <f t="shared" si="23"/>
        <v>316214</v>
      </c>
      <c r="P50" s="16">
        <v>316213.95</v>
      </c>
      <c r="Q50" s="16">
        <v>1102051</v>
      </c>
      <c r="R50" s="16">
        <v>5200051</v>
      </c>
      <c r="S50" s="16">
        <v>5200051</v>
      </c>
      <c r="T50" s="16">
        <v>5500051</v>
      </c>
      <c r="U50" s="16">
        <v>5500051</v>
      </c>
      <c r="V50" s="16">
        <v>5500051</v>
      </c>
      <c r="W50" s="16">
        <v>5</v>
      </c>
      <c r="X50" s="16">
        <v>5</v>
      </c>
      <c r="Y50" s="16">
        <v>5</v>
      </c>
      <c r="Z50" s="16">
        <v>5</v>
      </c>
      <c r="AA50" s="16">
        <v>5</v>
      </c>
      <c r="AB50" s="16">
        <v>5</v>
      </c>
      <c r="AC50" s="16">
        <f t="shared" si="24"/>
        <v>347</v>
      </c>
      <c r="AD50" s="16">
        <f t="shared" si="59"/>
        <v>316</v>
      </c>
      <c r="AE50" s="16">
        <f t="shared" si="59"/>
        <v>316</v>
      </c>
      <c r="AF50" s="16">
        <f t="shared" si="59"/>
        <v>316</v>
      </c>
      <c r="AG50" s="16">
        <f t="shared" si="59"/>
        <v>316</v>
      </c>
      <c r="AH50" s="16">
        <f t="shared" si="59"/>
        <v>316</v>
      </c>
      <c r="AI50" s="28">
        <f t="shared" si="25"/>
        <v>63242.790000000008</v>
      </c>
      <c r="AJ50" s="28">
        <f t="shared" si="66"/>
        <v>50594.232000000004</v>
      </c>
      <c r="AK50" s="28">
        <f t="shared" si="66"/>
        <v>50594.232000000004</v>
      </c>
      <c r="AL50" s="28">
        <f t="shared" si="66"/>
        <v>50594.232000000004</v>
      </c>
      <c r="AM50" s="28">
        <f t="shared" si="66"/>
        <v>50594.232000000004</v>
      </c>
      <c r="AN50" s="28">
        <f t="shared" si="66"/>
        <v>50594.232000000004</v>
      </c>
      <c r="AO50" s="30"/>
      <c r="AP50" s="28"/>
      <c r="AQ50" s="16">
        <v>4</v>
      </c>
      <c r="AR50" s="16">
        <f t="shared" si="27"/>
        <v>368</v>
      </c>
      <c r="AS50" s="28">
        <f t="shared" si="28"/>
        <v>532</v>
      </c>
      <c r="AT50" s="28"/>
      <c r="AU50" s="30">
        <v>316213.95</v>
      </c>
      <c r="AV50" s="28" t="str">
        <f t="shared" si="29"/>
        <v>小:0</v>
      </c>
      <c r="AW50" s="28"/>
      <c r="AX50" s="28"/>
      <c r="AZ50" s="28"/>
      <c r="BA50" s="16">
        <f t="shared" si="67"/>
        <v>6728.8150000000005</v>
      </c>
      <c r="BC50" s="7">
        <f t="shared" si="30"/>
        <v>320</v>
      </c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9"/>
      <c r="BQ50" s="9"/>
      <c r="BR50" s="9">
        <v>4201043</v>
      </c>
      <c r="BS50" s="9">
        <f>[1]monsters!$N50</f>
        <v>103.68</v>
      </c>
      <c r="BT50" s="9">
        <f>[1]monsters!$O50</f>
        <v>10.37</v>
      </c>
      <c r="BU50" s="9">
        <f>[1]monsters!$P50</f>
        <v>1920</v>
      </c>
      <c r="BV50" s="9">
        <f>[1]monsters!$Q50</f>
        <v>192</v>
      </c>
      <c r="BW50" s="9">
        <f>[1]monsters!$R50</f>
        <v>20.74</v>
      </c>
      <c r="BX50" s="9">
        <f>[1]monsters!$S50</f>
        <v>2.0699999999999998</v>
      </c>
      <c r="BY50" s="9">
        <f>[1]monsters!$K50</f>
        <v>1.2</v>
      </c>
      <c r="BZ50" s="7">
        <f>[1]monsters!$D50</f>
        <v>3</v>
      </c>
      <c r="CA50" s="7">
        <f t="shared" si="31"/>
        <v>0.1</v>
      </c>
      <c r="CB50" s="7">
        <f t="shared" si="32"/>
        <v>162.62406464646466</v>
      </c>
      <c r="CC50" s="7">
        <f t="shared" si="33"/>
        <v>16.262406464646467</v>
      </c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>
        <v>0</v>
      </c>
      <c r="CR50" s="25" t="b">
        <f t="shared" si="34"/>
        <v>1</v>
      </c>
      <c r="CS50" s="25" t="b">
        <f t="shared" si="35"/>
        <v>1</v>
      </c>
      <c r="CT50" s="25" t="b">
        <f t="shared" si="36"/>
        <v>1</v>
      </c>
      <c r="CU50" s="25" t="b">
        <f t="shared" si="37"/>
        <v>1</v>
      </c>
      <c r="CV50" s="25" t="b">
        <f t="shared" si="38"/>
        <v>1</v>
      </c>
      <c r="CW50" s="25" t="b">
        <f t="shared" si="39"/>
        <v>1</v>
      </c>
      <c r="CX50" s="16" t="str">
        <f t="shared" si="40"/>
        <v>1102051</v>
      </c>
      <c r="CY50" s="16" t="str">
        <f t="shared" si="41"/>
        <v>5200051</v>
      </c>
      <c r="CZ50" s="16" t="str">
        <f t="shared" si="42"/>
        <v>5200051</v>
      </c>
      <c r="DA50" s="16" t="str">
        <f t="shared" si="43"/>
        <v>5500051</v>
      </c>
      <c r="DB50" s="16" t="str">
        <f t="shared" si="44"/>
        <v>5500051</v>
      </c>
      <c r="DC50" s="16" t="str">
        <f t="shared" si="45"/>
        <v>5500051</v>
      </c>
      <c r="DD50" s="16">
        <v>5</v>
      </c>
      <c r="DE50" s="16">
        <v>5</v>
      </c>
      <c r="DF50" s="16">
        <v>5</v>
      </c>
      <c r="DG50" s="16">
        <v>5</v>
      </c>
      <c r="DH50" s="16">
        <v>5</v>
      </c>
      <c r="DI50" s="16">
        <v>5</v>
      </c>
      <c r="DJ50" s="16">
        <v>1</v>
      </c>
      <c r="DK50" s="16">
        <v>5</v>
      </c>
      <c r="DL50" s="16">
        <v>5</v>
      </c>
      <c r="DM50" s="16">
        <v>5</v>
      </c>
      <c r="DN50" s="16">
        <v>5</v>
      </c>
      <c r="DO50" s="16">
        <v>5</v>
      </c>
      <c r="DP50" s="51" t="s">
        <v>303</v>
      </c>
      <c r="DQ50" s="51" t="s">
        <v>205</v>
      </c>
      <c r="DR50" s="51" t="s">
        <v>205</v>
      </c>
      <c r="DS50" s="51" t="s">
        <v>208</v>
      </c>
      <c r="DT50" s="51" t="s">
        <v>208</v>
      </c>
      <c r="DU50" s="51" t="s">
        <v>208</v>
      </c>
      <c r="DV50" s="32">
        <f t="shared" si="5"/>
        <v>1</v>
      </c>
      <c r="DW50" s="32">
        <f t="shared" si="6"/>
        <v>1</v>
      </c>
      <c r="DX50" s="32">
        <f t="shared" si="7"/>
        <v>1</v>
      </c>
      <c r="DY50" s="32">
        <f t="shared" si="8"/>
        <v>2</v>
      </c>
      <c r="DZ50" s="32">
        <f t="shared" si="9"/>
        <v>2</v>
      </c>
      <c r="EA50" s="32">
        <f t="shared" si="10"/>
        <v>2</v>
      </c>
      <c r="EB50" s="38"/>
      <c r="EC50" s="7">
        <v>3301061</v>
      </c>
      <c r="ED50" s="15" t="s">
        <v>113</v>
      </c>
      <c r="EE50" s="16">
        <v>1</v>
      </c>
      <c r="EQ50" s="16">
        <v>303240101</v>
      </c>
      <c r="ER50" s="16" t="s">
        <v>174</v>
      </c>
      <c r="FD50" s="16">
        <v>1102051</v>
      </c>
      <c r="FE50" s="16">
        <v>5200051</v>
      </c>
      <c r="FF50" s="16">
        <v>5200051</v>
      </c>
      <c r="FG50" s="16">
        <v>5500051</v>
      </c>
      <c r="FH50" s="16">
        <v>5500051</v>
      </c>
      <c r="FI50" s="16">
        <v>5500051</v>
      </c>
      <c r="FJ50" t="str">
        <f t="shared" si="46"/>
        <v>水狼骑兵</v>
      </c>
      <c r="FK50" t="str">
        <f t="shared" si="47"/>
        <v>水刀客</v>
      </c>
      <c r="FL50" t="str">
        <f t="shared" si="48"/>
        <v>水刀客</v>
      </c>
      <c r="FM50" t="str">
        <f t="shared" si="49"/>
        <v>水海盗</v>
      </c>
      <c r="FN50" t="str">
        <f t="shared" si="50"/>
        <v>水海盗</v>
      </c>
      <c r="FO50" t="str">
        <f t="shared" si="51"/>
        <v>水海盗</v>
      </c>
      <c r="FP50" t="str">
        <f t="shared" si="52"/>
        <v>5</v>
      </c>
      <c r="FQ50" t="str">
        <f t="shared" si="53"/>
        <v>5</v>
      </c>
      <c r="FR50" t="str">
        <f t="shared" si="54"/>
        <v>5</v>
      </c>
      <c r="FS50" t="str">
        <f t="shared" si="55"/>
        <v>5</v>
      </c>
      <c r="FT50" t="str">
        <f t="shared" si="56"/>
        <v>5</v>
      </c>
      <c r="FU50" t="str">
        <f t="shared" si="57"/>
        <v>5</v>
      </c>
      <c r="FV50" t="str">
        <f t="shared" si="60"/>
        <v>1</v>
      </c>
      <c r="FW50" t="str">
        <f t="shared" si="61"/>
        <v>5</v>
      </c>
      <c r="FX50" t="str">
        <f t="shared" si="62"/>
        <v>5</v>
      </c>
      <c r="FY50" t="str">
        <f t="shared" si="63"/>
        <v>5</v>
      </c>
      <c r="FZ50" t="str">
        <f t="shared" si="64"/>
        <v>5</v>
      </c>
      <c r="GA50" t="str">
        <f t="shared" si="65"/>
        <v>5</v>
      </c>
    </row>
    <row r="51" spans="1:183" ht="13.5" customHeight="1">
      <c r="A51" s="1">
        <v>508</v>
      </c>
      <c r="B51" s="6">
        <v>10022</v>
      </c>
      <c r="C51" s="23" t="str">
        <f t="shared" si="20"/>
        <v>5202051,5202051,5202051,5402051,5402051,5402051</v>
      </c>
      <c r="D51" s="1" t="str">
        <f t="shared" si="21"/>
        <v>5,5,5,5,5,5</v>
      </c>
      <c r="E51" s="53" t="str">
        <f t="shared" si="22"/>
        <v>349,318,318,318,318,318</v>
      </c>
      <c r="F51" s="1">
        <f t="shared" si="0"/>
        <v>320834</v>
      </c>
      <c r="G51" s="23" t="s">
        <v>34</v>
      </c>
      <c r="H51" s="1" t="s">
        <v>28</v>
      </c>
      <c r="I51" s="1" t="s">
        <v>28</v>
      </c>
      <c r="J51" s="1" t="s">
        <v>28</v>
      </c>
      <c r="K51" s="2" t="s">
        <v>351</v>
      </c>
      <c r="L51" s="1">
        <v>1</v>
      </c>
      <c r="M51" s="1">
        <v>2</v>
      </c>
      <c r="O51" s="25">
        <f t="shared" si="23"/>
        <v>320834</v>
      </c>
      <c r="P51" s="16">
        <v>320833.5</v>
      </c>
      <c r="Q51" s="16">
        <v>5202051</v>
      </c>
      <c r="R51" s="16">
        <v>5202051</v>
      </c>
      <c r="S51" s="16">
        <v>5202051</v>
      </c>
      <c r="T51" s="16">
        <v>5402051</v>
      </c>
      <c r="U51" s="16">
        <v>5402051</v>
      </c>
      <c r="V51" s="16">
        <v>5402051</v>
      </c>
      <c r="W51" s="16">
        <v>5</v>
      </c>
      <c r="X51" s="16">
        <v>5</v>
      </c>
      <c r="Y51" s="16">
        <v>5</v>
      </c>
      <c r="Z51" s="16">
        <v>5</v>
      </c>
      <c r="AA51" s="16">
        <v>5</v>
      </c>
      <c r="AB51" s="16">
        <v>5</v>
      </c>
      <c r="AC51" s="16">
        <f t="shared" si="24"/>
        <v>349</v>
      </c>
      <c r="AD51" s="16">
        <f t="shared" si="59"/>
        <v>318</v>
      </c>
      <c r="AE51" s="16">
        <f t="shared" si="59"/>
        <v>318</v>
      </c>
      <c r="AF51" s="16">
        <f t="shared" si="59"/>
        <v>318</v>
      </c>
      <c r="AG51" s="16">
        <f t="shared" si="59"/>
        <v>318</v>
      </c>
      <c r="AH51" s="16">
        <f t="shared" si="59"/>
        <v>318</v>
      </c>
      <c r="AI51" s="28">
        <f t="shared" si="25"/>
        <v>64166.700000000004</v>
      </c>
      <c r="AJ51" s="28">
        <f t="shared" si="66"/>
        <v>51333.36</v>
      </c>
      <c r="AK51" s="28">
        <f t="shared" si="66"/>
        <v>51333.36</v>
      </c>
      <c r="AL51" s="28">
        <f t="shared" si="66"/>
        <v>51333.36</v>
      </c>
      <c r="AM51" s="28">
        <f t="shared" si="66"/>
        <v>51333.36</v>
      </c>
      <c r="AN51" s="28">
        <f t="shared" si="66"/>
        <v>51333.36</v>
      </c>
      <c r="AO51" s="30"/>
      <c r="AP51" s="28"/>
      <c r="AQ51" s="16">
        <v>4</v>
      </c>
      <c r="AR51" s="16">
        <f t="shared" si="27"/>
        <v>370</v>
      </c>
      <c r="AS51" s="28">
        <f t="shared" si="28"/>
        <v>533</v>
      </c>
      <c r="AT51" s="28"/>
      <c r="AU51" s="30">
        <v>320833.5</v>
      </c>
      <c r="AV51" s="28" t="str">
        <f t="shared" si="29"/>
        <v>小:0</v>
      </c>
      <c r="AW51" s="28"/>
      <c r="AX51" s="28"/>
      <c r="AZ51" s="28"/>
      <c r="BA51" s="16">
        <f t="shared" si="67"/>
        <v>6764.3600000000006</v>
      </c>
      <c r="BC51" s="7">
        <f t="shared" si="30"/>
        <v>323</v>
      </c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9"/>
      <c r="BQ51" s="9"/>
      <c r="BR51" s="9">
        <v>4502043</v>
      </c>
      <c r="BS51" s="9">
        <f>[1]monsters!$N51</f>
        <v>188.16</v>
      </c>
      <c r="BT51" s="9">
        <f>[1]monsters!$O51</f>
        <v>18.82</v>
      </c>
      <c r="BU51" s="9">
        <f>[1]monsters!$P51</f>
        <v>1234.29</v>
      </c>
      <c r="BV51" s="9">
        <f>[1]monsters!$Q51</f>
        <v>123.43</v>
      </c>
      <c r="BW51" s="9">
        <f>[1]monsters!$R51</f>
        <v>23.52</v>
      </c>
      <c r="BX51" s="9">
        <f>[1]monsters!$S51</f>
        <v>2.35</v>
      </c>
      <c r="BY51" s="9">
        <f>[1]monsters!$K51</f>
        <v>1.4000000000000001</v>
      </c>
      <c r="BZ51" s="7">
        <f>[1]monsters!$D51</f>
        <v>5</v>
      </c>
      <c r="CA51" s="7">
        <f t="shared" si="31"/>
        <v>0.1</v>
      </c>
      <c r="CB51" s="7">
        <f t="shared" si="32"/>
        <v>219.36978585858586</v>
      </c>
      <c r="CC51" s="7">
        <f t="shared" si="33"/>
        <v>21.936978585858586</v>
      </c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>
        <v>0</v>
      </c>
      <c r="CR51" s="25" t="b">
        <f t="shared" si="34"/>
        <v>1</v>
      </c>
      <c r="CS51" s="25" t="b">
        <f t="shared" si="35"/>
        <v>1</v>
      </c>
      <c r="CT51" s="25" t="b">
        <f t="shared" si="36"/>
        <v>1</v>
      </c>
      <c r="CU51" s="25" t="b">
        <f t="shared" si="37"/>
        <v>1</v>
      </c>
      <c r="CV51" s="25" t="b">
        <f t="shared" si="38"/>
        <v>1</v>
      </c>
      <c r="CW51" s="25" t="b">
        <f t="shared" si="39"/>
        <v>1</v>
      </c>
      <c r="CX51" s="16" t="str">
        <f t="shared" si="40"/>
        <v>5202051</v>
      </c>
      <c r="CY51" s="16" t="str">
        <f t="shared" si="41"/>
        <v>5202051</v>
      </c>
      <c r="CZ51" s="16" t="str">
        <f t="shared" si="42"/>
        <v>5202051</v>
      </c>
      <c r="DA51" s="16" t="str">
        <f t="shared" si="43"/>
        <v>5402051</v>
      </c>
      <c r="DB51" s="16" t="str">
        <f t="shared" si="44"/>
        <v>5402051</v>
      </c>
      <c r="DC51" s="16" t="str">
        <f t="shared" si="45"/>
        <v>5402051</v>
      </c>
      <c r="DD51" s="16">
        <v>5</v>
      </c>
      <c r="DE51" s="16">
        <v>5</v>
      </c>
      <c r="DF51" s="16">
        <v>5</v>
      </c>
      <c r="DG51" s="16">
        <v>5</v>
      </c>
      <c r="DH51" s="16">
        <v>5</v>
      </c>
      <c r="DI51" s="16">
        <v>5</v>
      </c>
      <c r="DJ51" s="16">
        <v>5</v>
      </c>
      <c r="DK51" s="16">
        <v>5</v>
      </c>
      <c r="DL51" s="16">
        <v>5</v>
      </c>
      <c r="DM51" s="16">
        <v>5</v>
      </c>
      <c r="DN51" s="16">
        <v>5</v>
      </c>
      <c r="DO51" s="16">
        <v>5</v>
      </c>
      <c r="DP51" s="51" t="s">
        <v>117</v>
      </c>
      <c r="DQ51" s="51" t="s">
        <v>117</v>
      </c>
      <c r="DR51" s="51" t="s">
        <v>117</v>
      </c>
      <c r="DS51" s="51" t="s">
        <v>207</v>
      </c>
      <c r="DT51" s="51" t="s">
        <v>207</v>
      </c>
      <c r="DU51" s="51" t="s">
        <v>207</v>
      </c>
      <c r="DV51" s="32">
        <f t="shared" si="5"/>
        <v>1</v>
      </c>
      <c r="DW51" s="32">
        <f t="shared" si="6"/>
        <v>1</v>
      </c>
      <c r="DX51" s="32">
        <f t="shared" si="7"/>
        <v>1</v>
      </c>
      <c r="DY51" s="32">
        <f t="shared" si="8"/>
        <v>2</v>
      </c>
      <c r="DZ51" s="32">
        <f t="shared" si="9"/>
        <v>2</v>
      </c>
      <c r="EA51" s="32">
        <f t="shared" si="10"/>
        <v>2</v>
      </c>
      <c r="EB51" s="38"/>
      <c r="EC51" s="7">
        <v>3502061</v>
      </c>
      <c r="ED51" s="35" t="s">
        <v>125</v>
      </c>
      <c r="EE51" s="16">
        <v>2</v>
      </c>
      <c r="EQ51" s="16">
        <v>303240201</v>
      </c>
      <c r="ER51" s="16" t="s">
        <v>175</v>
      </c>
      <c r="FD51" s="16">
        <v>5202051</v>
      </c>
      <c r="FE51" s="16">
        <v>5202051</v>
      </c>
      <c r="FF51" s="16">
        <v>5202051</v>
      </c>
      <c r="FG51" s="16">
        <v>5402051</v>
      </c>
      <c r="FH51" s="16">
        <v>5402051</v>
      </c>
      <c r="FI51" s="16">
        <v>5402051</v>
      </c>
      <c r="FJ51" t="str">
        <f t="shared" si="46"/>
        <v>水维京</v>
      </c>
      <c r="FK51" t="str">
        <f t="shared" si="47"/>
        <v>水维京</v>
      </c>
      <c r="FL51" t="str">
        <f t="shared" si="48"/>
        <v>水维京</v>
      </c>
      <c r="FM51" t="str">
        <f t="shared" si="49"/>
        <v>水女巫</v>
      </c>
      <c r="FN51" t="str">
        <f t="shared" si="50"/>
        <v>水女巫</v>
      </c>
      <c r="FO51" t="str">
        <f t="shared" si="51"/>
        <v>水女巫</v>
      </c>
      <c r="FP51" t="str">
        <f t="shared" si="52"/>
        <v>5</v>
      </c>
      <c r="FQ51" t="str">
        <f t="shared" si="53"/>
        <v>5</v>
      </c>
      <c r="FR51" t="str">
        <f t="shared" si="54"/>
        <v>5</v>
      </c>
      <c r="FS51" t="str">
        <f t="shared" si="55"/>
        <v>5</v>
      </c>
      <c r="FT51" t="str">
        <f t="shared" si="56"/>
        <v>5</v>
      </c>
      <c r="FU51" t="str">
        <f t="shared" si="57"/>
        <v>5</v>
      </c>
      <c r="FV51" t="str">
        <f t="shared" si="60"/>
        <v>5</v>
      </c>
      <c r="FW51" t="str">
        <f t="shared" si="61"/>
        <v>5</v>
      </c>
      <c r="FX51" t="str">
        <f t="shared" si="62"/>
        <v>5</v>
      </c>
      <c r="FY51" t="str">
        <f t="shared" si="63"/>
        <v>5</v>
      </c>
      <c r="FZ51" t="str">
        <f t="shared" si="64"/>
        <v>5</v>
      </c>
      <c r="GA51" t="str">
        <f t="shared" si="65"/>
        <v>5</v>
      </c>
    </row>
    <row r="52" spans="1:183" ht="13.5" customHeight="1">
      <c r="A52" s="1">
        <v>509</v>
      </c>
      <c r="B52" s="6">
        <v>10022</v>
      </c>
      <c r="C52" s="23" t="str">
        <f t="shared" si="20"/>
        <v>5401061,5201062,5201062,5201062,5401062,5401062</v>
      </c>
      <c r="D52" s="1" t="str">
        <f t="shared" si="21"/>
        <v>6,6,6,6,6,6</v>
      </c>
      <c r="E52" s="53" t="str">
        <f t="shared" si="22"/>
        <v>288,278,278,278,278,278</v>
      </c>
      <c r="F52" s="1">
        <f t="shared" si="0"/>
        <v>326598</v>
      </c>
      <c r="G52" s="23" t="s">
        <v>34</v>
      </c>
      <c r="H52" s="1" t="s">
        <v>28</v>
      </c>
      <c r="I52" s="1" t="s">
        <v>28</v>
      </c>
      <c r="J52" s="1" t="s">
        <v>28</v>
      </c>
      <c r="K52" s="2" t="s">
        <v>352</v>
      </c>
      <c r="L52" s="1">
        <v>2</v>
      </c>
      <c r="M52" s="1">
        <v>4</v>
      </c>
      <c r="O52" s="25">
        <f t="shared" si="23"/>
        <v>326598</v>
      </c>
      <c r="P52" s="16">
        <v>326597.7</v>
      </c>
      <c r="Q52" s="16">
        <v>5401061</v>
      </c>
      <c r="R52" s="16">
        <v>5201062</v>
      </c>
      <c r="S52" s="16">
        <v>5201062</v>
      </c>
      <c r="T52" s="16">
        <v>5201062</v>
      </c>
      <c r="U52" s="16">
        <v>5401062</v>
      </c>
      <c r="V52" s="16">
        <v>5401062</v>
      </c>
      <c r="W52" s="16">
        <v>6</v>
      </c>
      <c r="X52" s="16">
        <v>6</v>
      </c>
      <c r="Y52" s="16">
        <v>6</v>
      </c>
      <c r="Z52" s="16">
        <v>6</v>
      </c>
      <c r="AA52" s="16">
        <v>6</v>
      </c>
      <c r="AB52" s="16">
        <v>6</v>
      </c>
      <c r="AC52" s="16">
        <f t="shared" si="24"/>
        <v>288</v>
      </c>
      <c r="AD52" s="16">
        <f t="shared" si="59"/>
        <v>278</v>
      </c>
      <c r="AE52" s="16">
        <f t="shared" si="59"/>
        <v>278</v>
      </c>
      <c r="AF52" s="16">
        <f t="shared" si="59"/>
        <v>278</v>
      </c>
      <c r="AG52" s="16">
        <f t="shared" si="59"/>
        <v>278</v>
      </c>
      <c r="AH52" s="16">
        <f t="shared" si="59"/>
        <v>278</v>
      </c>
      <c r="AI52" s="28">
        <f t="shared" si="25"/>
        <v>65319.540000000008</v>
      </c>
      <c r="AJ52" s="28">
        <f t="shared" si="66"/>
        <v>52255.632000000005</v>
      </c>
      <c r="AK52" s="28">
        <f t="shared" si="66"/>
        <v>52255.632000000005</v>
      </c>
      <c r="AL52" s="28">
        <f t="shared" si="66"/>
        <v>52255.632000000005</v>
      </c>
      <c r="AM52" s="28">
        <f t="shared" si="66"/>
        <v>52255.632000000005</v>
      </c>
      <c r="AN52" s="28">
        <f t="shared" si="66"/>
        <v>52255.632000000005</v>
      </c>
      <c r="AO52" s="30"/>
      <c r="AP52" s="28"/>
      <c r="AQ52" s="16">
        <v>4</v>
      </c>
      <c r="AR52" s="16">
        <f t="shared" si="27"/>
        <v>374</v>
      </c>
      <c r="AS52" s="28">
        <f t="shared" si="28"/>
        <v>534</v>
      </c>
      <c r="AT52" s="28"/>
      <c r="AU52" s="30">
        <v>326597.7</v>
      </c>
      <c r="AV52" s="28" t="str">
        <f t="shared" si="29"/>
        <v>小:0</v>
      </c>
      <c r="AW52" s="28"/>
      <c r="AX52" s="28"/>
      <c r="AZ52" s="28"/>
      <c r="BA52" s="16">
        <f t="shared" si="67"/>
        <v>6799.9050000000007</v>
      </c>
      <c r="BC52" s="7">
        <f t="shared" si="30"/>
        <v>269</v>
      </c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9"/>
      <c r="BQ52" s="9"/>
      <c r="BR52" s="9">
        <v>4401043</v>
      </c>
      <c r="BS52" s="9">
        <f>[1]monsters!$N52</f>
        <v>138.24</v>
      </c>
      <c r="BT52" s="9">
        <f>[1]monsters!$O52</f>
        <v>13.82</v>
      </c>
      <c r="BU52" s="9">
        <f>[1]monsters!$P52</f>
        <v>2160</v>
      </c>
      <c r="BV52" s="9">
        <f>[1]monsters!$Q52</f>
        <v>216</v>
      </c>
      <c r="BW52" s="9">
        <f>[1]monsters!$R52</f>
        <v>46.08</v>
      </c>
      <c r="BX52" s="9">
        <f>[1]monsters!$S52</f>
        <v>4.6100000000000003</v>
      </c>
      <c r="BY52" s="9">
        <f>[1]monsters!$K52</f>
        <v>1.8</v>
      </c>
      <c r="BZ52" s="7">
        <f>[1]monsters!$D52</f>
        <v>2</v>
      </c>
      <c r="CA52" s="7">
        <f t="shared" si="31"/>
        <v>0.1</v>
      </c>
      <c r="CB52" s="7">
        <f t="shared" si="32"/>
        <v>203.36407272727274</v>
      </c>
      <c r="CC52" s="7">
        <f t="shared" si="33"/>
        <v>20.336407272727275</v>
      </c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>
        <v>0</v>
      </c>
      <c r="CR52" s="25" t="b">
        <f t="shared" si="34"/>
        <v>1</v>
      </c>
      <c r="CS52" s="25" t="b">
        <f t="shared" si="35"/>
        <v>1</v>
      </c>
      <c r="CT52" s="25" t="b">
        <f t="shared" si="36"/>
        <v>1</v>
      </c>
      <c r="CU52" s="25" t="b">
        <f t="shared" si="37"/>
        <v>1</v>
      </c>
      <c r="CV52" s="25" t="b">
        <f t="shared" si="38"/>
        <v>1</v>
      </c>
      <c r="CW52" s="25" t="b">
        <f t="shared" si="39"/>
        <v>1</v>
      </c>
      <c r="CX52" s="16" t="str">
        <f t="shared" si="40"/>
        <v>5401061</v>
      </c>
      <c r="CY52" s="16" t="str">
        <f t="shared" si="41"/>
        <v>5201062</v>
      </c>
      <c r="CZ52" s="16" t="str">
        <f t="shared" si="42"/>
        <v>5201062</v>
      </c>
      <c r="DA52" s="16" t="str">
        <f t="shared" si="43"/>
        <v>5201062</v>
      </c>
      <c r="DB52" s="16" t="str">
        <f t="shared" si="44"/>
        <v>5401062</v>
      </c>
      <c r="DC52" s="16" t="str">
        <f t="shared" si="45"/>
        <v>5401062</v>
      </c>
      <c r="DD52" s="16">
        <v>6</v>
      </c>
      <c r="DE52" s="16">
        <v>6</v>
      </c>
      <c r="DF52" s="16">
        <v>6</v>
      </c>
      <c r="DG52" s="16">
        <v>6</v>
      </c>
      <c r="DH52" s="16">
        <v>6</v>
      </c>
      <c r="DI52" s="16">
        <v>6</v>
      </c>
      <c r="DJ52" s="16">
        <v>5</v>
      </c>
      <c r="DK52" s="16">
        <v>5</v>
      </c>
      <c r="DL52" s="16">
        <v>5</v>
      </c>
      <c r="DM52" s="16">
        <v>5</v>
      </c>
      <c r="DN52" s="16">
        <v>5</v>
      </c>
      <c r="DO52" s="16">
        <v>5</v>
      </c>
      <c r="DP52" s="51" t="s">
        <v>123</v>
      </c>
      <c r="DQ52" s="51" t="s">
        <v>120</v>
      </c>
      <c r="DR52" s="51" t="s">
        <v>120</v>
      </c>
      <c r="DS52" s="51" t="s">
        <v>120</v>
      </c>
      <c r="DT52" s="51" t="s">
        <v>213</v>
      </c>
      <c r="DU52" s="51" t="s">
        <v>213</v>
      </c>
      <c r="DV52" s="32">
        <f t="shared" si="5"/>
        <v>2</v>
      </c>
      <c r="DW52" s="32">
        <f t="shared" si="6"/>
        <v>1</v>
      </c>
      <c r="DX52" s="32">
        <f t="shared" si="7"/>
        <v>1</v>
      </c>
      <c r="DY52" s="32">
        <f t="shared" si="8"/>
        <v>1</v>
      </c>
      <c r="DZ52" s="32">
        <f t="shared" si="9"/>
        <v>2</v>
      </c>
      <c r="EA52" s="32">
        <f t="shared" si="10"/>
        <v>2</v>
      </c>
      <c r="EB52" s="38"/>
      <c r="EC52" s="7">
        <v>3201062</v>
      </c>
      <c r="ED52" s="35" t="s">
        <v>128</v>
      </c>
      <c r="EE52" s="16">
        <v>1</v>
      </c>
      <c r="EQ52" s="16">
        <v>303250001</v>
      </c>
      <c r="ER52" s="16" t="s">
        <v>181</v>
      </c>
      <c r="FD52" s="16">
        <v>5401061</v>
      </c>
      <c r="FE52" s="16">
        <v>5201062</v>
      </c>
      <c r="FF52" s="16">
        <v>5201062</v>
      </c>
      <c r="FG52" s="16">
        <v>5201062</v>
      </c>
      <c r="FH52" s="16">
        <v>5401062</v>
      </c>
      <c r="FI52" s="16">
        <v>5401062</v>
      </c>
      <c r="FJ52" t="str">
        <f t="shared" si="46"/>
        <v>水魔法师</v>
      </c>
      <c r="FK52" t="str">
        <f t="shared" si="47"/>
        <v>火骑兵</v>
      </c>
      <c r="FL52" t="str">
        <f t="shared" si="48"/>
        <v>火骑兵</v>
      </c>
      <c r="FM52" t="str">
        <f t="shared" si="49"/>
        <v>火骑兵</v>
      </c>
      <c r="FN52" t="str">
        <f t="shared" si="50"/>
        <v>火魔法师</v>
      </c>
      <c r="FO52" t="str">
        <f t="shared" si="51"/>
        <v>火魔法师</v>
      </c>
      <c r="FP52" t="str">
        <f t="shared" si="52"/>
        <v>6</v>
      </c>
      <c r="FQ52" t="str">
        <f t="shared" si="53"/>
        <v>6</v>
      </c>
      <c r="FR52" t="str">
        <f t="shared" si="54"/>
        <v>6</v>
      </c>
      <c r="FS52" t="str">
        <f t="shared" si="55"/>
        <v>6</v>
      </c>
      <c r="FT52" t="str">
        <f t="shared" si="56"/>
        <v>6</v>
      </c>
      <c r="FU52" t="str">
        <f t="shared" si="57"/>
        <v>6</v>
      </c>
      <c r="FV52" t="str">
        <f t="shared" si="60"/>
        <v>5</v>
      </c>
      <c r="FW52" t="str">
        <f t="shared" si="61"/>
        <v>5</v>
      </c>
      <c r="FX52" t="str">
        <f t="shared" si="62"/>
        <v>5</v>
      </c>
      <c r="FY52" t="str">
        <f t="shared" si="63"/>
        <v>5</v>
      </c>
      <c r="FZ52" t="str">
        <f t="shared" si="64"/>
        <v>5</v>
      </c>
      <c r="GA52" t="str">
        <f t="shared" si="65"/>
        <v>5</v>
      </c>
    </row>
    <row r="53" spans="1:183" ht="13.5" customHeight="1">
      <c r="A53" s="1">
        <v>510</v>
      </c>
      <c r="B53" s="6">
        <v>10022</v>
      </c>
      <c r="C53" s="23" t="str">
        <f t="shared" si="20"/>
        <v>1102061,5201061,5202061,5601061,5402061,5601061</v>
      </c>
      <c r="D53" s="1" t="str">
        <f t="shared" si="21"/>
        <v>6,6,6,6,6,6</v>
      </c>
      <c r="E53" s="53" t="str">
        <f t="shared" si="22"/>
        <v>290,280,280,280,280,280</v>
      </c>
      <c r="F53" s="1">
        <f t="shared" si="0"/>
        <v>331295</v>
      </c>
      <c r="G53" s="23" t="s">
        <v>34</v>
      </c>
      <c r="H53" s="1" t="s">
        <v>28</v>
      </c>
      <c r="I53" s="1" t="s">
        <v>28</v>
      </c>
      <c r="J53" s="1" t="s">
        <v>28</v>
      </c>
      <c r="K53" s="2" t="s">
        <v>32</v>
      </c>
      <c r="L53" s="1">
        <v>3</v>
      </c>
      <c r="M53" s="1">
        <v>4</v>
      </c>
      <c r="O53" s="25">
        <f t="shared" si="23"/>
        <v>331295</v>
      </c>
      <c r="P53" s="16">
        <v>331295.25</v>
      </c>
      <c r="Q53" s="16">
        <v>1102061</v>
      </c>
      <c r="R53" s="16">
        <v>5201061</v>
      </c>
      <c r="S53" s="16">
        <v>5202061</v>
      </c>
      <c r="T53" s="16">
        <v>5601061</v>
      </c>
      <c r="U53" s="16">
        <v>5402061</v>
      </c>
      <c r="V53" s="16">
        <v>5601061</v>
      </c>
      <c r="W53" s="16">
        <v>6</v>
      </c>
      <c r="X53" s="16">
        <v>6</v>
      </c>
      <c r="Y53" s="16">
        <v>6</v>
      </c>
      <c r="Z53" s="16">
        <v>6</v>
      </c>
      <c r="AA53" s="16">
        <v>6</v>
      </c>
      <c r="AB53" s="16">
        <v>6</v>
      </c>
      <c r="AC53" s="16">
        <f t="shared" si="24"/>
        <v>290</v>
      </c>
      <c r="AD53" s="16">
        <f t="shared" si="59"/>
        <v>280</v>
      </c>
      <c r="AE53" s="16">
        <f t="shared" si="59"/>
        <v>280</v>
      </c>
      <c r="AF53" s="16">
        <f t="shared" si="59"/>
        <v>280</v>
      </c>
      <c r="AG53" s="16">
        <f t="shared" si="59"/>
        <v>280</v>
      </c>
      <c r="AH53" s="16">
        <f t="shared" si="59"/>
        <v>280</v>
      </c>
      <c r="AI53" s="28">
        <f t="shared" si="25"/>
        <v>66259.05</v>
      </c>
      <c r="AJ53" s="28">
        <f t="shared" si="66"/>
        <v>53007.24</v>
      </c>
      <c r="AK53" s="28">
        <f t="shared" si="66"/>
        <v>53007.24</v>
      </c>
      <c r="AL53" s="28">
        <f t="shared" si="66"/>
        <v>53007.24</v>
      </c>
      <c r="AM53" s="28">
        <f t="shared" si="66"/>
        <v>53007.24</v>
      </c>
      <c r="AN53" s="28">
        <f t="shared" si="66"/>
        <v>53007.24</v>
      </c>
      <c r="AO53" s="30"/>
      <c r="AP53" s="28"/>
      <c r="AQ53" s="16">
        <v>4</v>
      </c>
      <c r="AR53" s="16">
        <f t="shared" si="27"/>
        <v>376</v>
      </c>
      <c r="AS53" s="28">
        <f t="shared" si="28"/>
        <v>535</v>
      </c>
      <c r="AT53" s="28"/>
      <c r="AU53" s="30">
        <v>331295.25</v>
      </c>
      <c r="AV53" s="28" t="str">
        <f t="shared" si="29"/>
        <v>小:0</v>
      </c>
      <c r="AW53" s="28"/>
      <c r="AX53" s="28"/>
      <c r="AZ53" s="28"/>
      <c r="BA53" s="16">
        <f t="shared" si="67"/>
        <v>6835.4500000000007</v>
      </c>
      <c r="BC53" s="7">
        <f t="shared" si="30"/>
        <v>271</v>
      </c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9"/>
      <c r="BQ53" s="9"/>
      <c r="BR53" s="9">
        <v>4201044</v>
      </c>
      <c r="BS53" s="9">
        <f>[1]monsters!$N53</f>
        <v>201.6</v>
      </c>
      <c r="BT53" s="9">
        <f>[1]monsters!$O53</f>
        <v>20.16</v>
      </c>
      <c r="BU53" s="9">
        <f>[1]monsters!$P53</f>
        <v>1234.29</v>
      </c>
      <c r="BV53" s="9">
        <f>[1]monsters!$Q53</f>
        <v>123.43</v>
      </c>
      <c r="BW53" s="9">
        <f>[1]monsters!$R53</f>
        <v>25.2</v>
      </c>
      <c r="BX53" s="9">
        <f>[1]monsters!$S53</f>
        <v>2.52</v>
      </c>
      <c r="BY53" s="9">
        <f>[1]monsters!$K53</f>
        <v>1.5</v>
      </c>
      <c r="BZ53" s="7">
        <f>[1]monsters!$D53</f>
        <v>5</v>
      </c>
      <c r="CA53" s="7">
        <f t="shared" si="31"/>
        <v>0.1</v>
      </c>
      <c r="CB53" s="7">
        <f t="shared" si="32"/>
        <v>232.07058585858584</v>
      </c>
      <c r="CC53" s="7">
        <f t="shared" si="33"/>
        <v>23.207058585858586</v>
      </c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>
        <v>1</v>
      </c>
      <c r="CR53" s="25" t="b">
        <f t="shared" si="34"/>
        <v>1</v>
      </c>
      <c r="CS53" s="25" t="b">
        <f t="shared" si="35"/>
        <v>1</v>
      </c>
      <c r="CT53" s="25" t="b">
        <f t="shared" si="36"/>
        <v>1</v>
      </c>
      <c r="CU53" s="25" t="b">
        <f t="shared" si="37"/>
        <v>1</v>
      </c>
      <c r="CV53" s="25" t="b">
        <f t="shared" si="38"/>
        <v>1</v>
      </c>
      <c r="CW53" s="25" t="b">
        <f t="shared" si="39"/>
        <v>1</v>
      </c>
      <c r="CX53" s="16" t="str">
        <f t="shared" si="40"/>
        <v>1102061</v>
      </c>
      <c r="CY53" s="16" t="str">
        <f t="shared" si="41"/>
        <v>5201061</v>
      </c>
      <c r="CZ53" s="16" t="str">
        <f t="shared" si="42"/>
        <v>5202061</v>
      </c>
      <c r="DA53" s="16" t="str">
        <f t="shared" si="43"/>
        <v>5601061</v>
      </c>
      <c r="DB53" s="16" t="str">
        <f t="shared" si="44"/>
        <v>5402061</v>
      </c>
      <c r="DC53" s="16" t="str">
        <f t="shared" si="45"/>
        <v>5601061</v>
      </c>
      <c r="DD53" s="16">
        <v>6</v>
      </c>
      <c r="DE53" s="16">
        <v>6</v>
      </c>
      <c r="DF53" s="16">
        <v>6</v>
      </c>
      <c r="DG53" s="16">
        <v>6</v>
      </c>
      <c r="DH53" s="16">
        <v>6</v>
      </c>
      <c r="DI53" s="16">
        <v>6</v>
      </c>
      <c r="DJ53" s="16">
        <v>1</v>
      </c>
      <c r="DK53" s="16">
        <v>5</v>
      </c>
      <c r="DL53" s="16">
        <v>5</v>
      </c>
      <c r="DM53" s="16">
        <v>5</v>
      </c>
      <c r="DN53" s="16">
        <v>5</v>
      </c>
      <c r="DO53" s="16">
        <v>5</v>
      </c>
      <c r="DP53" s="51" t="s">
        <v>303</v>
      </c>
      <c r="DQ53" s="51" t="s">
        <v>206</v>
      </c>
      <c r="DR53" s="51" t="s">
        <v>117</v>
      </c>
      <c r="DS53" s="51" t="s">
        <v>209</v>
      </c>
      <c r="DT53" s="51" t="s">
        <v>207</v>
      </c>
      <c r="DU53" s="51" t="s">
        <v>209</v>
      </c>
      <c r="DV53" s="32">
        <f t="shared" si="5"/>
        <v>1</v>
      </c>
      <c r="DW53" s="32">
        <f t="shared" si="6"/>
        <v>1</v>
      </c>
      <c r="DX53" s="32">
        <f t="shared" si="7"/>
        <v>1</v>
      </c>
      <c r="DY53" s="32">
        <f t="shared" si="8"/>
        <v>2</v>
      </c>
      <c r="DZ53" s="32">
        <f t="shared" si="9"/>
        <v>2</v>
      </c>
      <c r="EA53" s="32">
        <f t="shared" si="10"/>
        <v>2</v>
      </c>
      <c r="EB53" s="38"/>
      <c r="EC53" s="7">
        <v>3500062</v>
      </c>
      <c r="ED53" s="35" t="s">
        <v>131</v>
      </c>
      <c r="EE53" s="16">
        <v>2</v>
      </c>
      <c r="EQ53" s="16">
        <v>303250201</v>
      </c>
      <c r="ER53" s="16" t="s">
        <v>154</v>
      </c>
      <c r="FD53" s="16">
        <v>1102061</v>
      </c>
      <c r="FE53" s="16">
        <v>5201061</v>
      </c>
      <c r="FF53" s="16">
        <v>5202061</v>
      </c>
      <c r="FG53" s="16">
        <v>5601061</v>
      </c>
      <c r="FH53" s="16">
        <v>5402061</v>
      </c>
      <c r="FI53" s="16">
        <v>5601061</v>
      </c>
      <c r="FJ53" t="str">
        <f t="shared" si="46"/>
        <v>水狼骑兵</v>
      </c>
      <c r="FK53" t="str">
        <f t="shared" si="47"/>
        <v>水骑兵</v>
      </c>
      <c r="FL53" t="str">
        <f t="shared" si="48"/>
        <v>水维京</v>
      </c>
      <c r="FM53" t="str">
        <f t="shared" si="49"/>
        <v>水修女</v>
      </c>
      <c r="FN53" t="str">
        <f t="shared" si="50"/>
        <v>水女巫</v>
      </c>
      <c r="FO53" t="str">
        <f t="shared" si="51"/>
        <v>水修女</v>
      </c>
      <c r="FP53" t="str">
        <f t="shared" si="52"/>
        <v>6</v>
      </c>
      <c r="FQ53" t="str">
        <f t="shared" si="53"/>
        <v>6</v>
      </c>
      <c r="FR53" t="str">
        <f t="shared" si="54"/>
        <v>6</v>
      </c>
      <c r="FS53" t="str">
        <f t="shared" si="55"/>
        <v>6</v>
      </c>
      <c r="FT53" t="str">
        <f t="shared" si="56"/>
        <v>6</v>
      </c>
      <c r="FU53" t="str">
        <f t="shared" si="57"/>
        <v>6</v>
      </c>
      <c r="FV53" t="str">
        <f t="shared" si="60"/>
        <v>1</v>
      </c>
      <c r="FW53" t="str">
        <f t="shared" si="61"/>
        <v>5</v>
      </c>
      <c r="FX53" t="str">
        <f t="shared" si="62"/>
        <v>5</v>
      </c>
      <c r="FY53" t="str">
        <f t="shared" si="63"/>
        <v>5</v>
      </c>
      <c r="FZ53" t="str">
        <f t="shared" si="64"/>
        <v>5</v>
      </c>
      <c r="GA53" t="str">
        <f t="shared" si="65"/>
        <v>5</v>
      </c>
    </row>
    <row r="54" spans="1:183" ht="13.5" customHeight="1">
      <c r="A54" s="1">
        <v>601</v>
      </c>
      <c r="B54" s="6">
        <v>10102</v>
      </c>
      <c r="C54" s="23" t="str">
        <f t="shared" si="20"/>
        <v>5601061,5201061,5201061,5201061,5502061,5502061</v>
      </c>
      <c r="D54" s="1" t="str">
        <f t="shared" si="21"/>
        <v>6,6,6,6,6,6</v>
      </c>
      <c r="E54" s="53" t="str">
        <f t="shared" si="22"/>
        <v>305,294,294,294,294,294</v>
      </c>
      <c r="F54" s="1">
        <f t="shared" si="0"/>
        <v>363787</v>
      </c>
      <c r="G54" s="23" t="s">
        <v>34</v>
      </c>
      <c r="H54" s="1" t="s">
        <v>28</v>
      </c>
      <c r="I54" s="1" t="s">
        <v>28</v>
      </c>
      <c r="J54" s="1" t="s">
        <v>28</v>
      </c>
      <c r="K54" s="2" t="s">
        <v>353</v>
      </c>
      <c r="L54" s="1">
        <v>0</v>
      </c>
      <c r="M54" s="1">
        <v>6</v>
      </c>
      <c r="O54" s="25">
        <f t="shared" si="23"/>
        <v>363787</v>
      </c>
      <c r="P54" s="16">
        <v>363787.49</v>
      </c>
      <c r="Q54" s="16">
        <v>5601061</v>
      </c>
      <c r="R54" s="16">
        <v>5201061</v>
      </c>
      <c r="S54" s="16">
        <v>5201061</v>
      </c>
      <c r="T54" s="16">
        <v>5201061</v>
      </c>
      <c r="U54" s="16">
        <v>5502061</v>
      </c>
      <c r="V54" s="16">
        <v>5502061</v>
      </c>
      <c r="W54" s="16">
        <v>6</v>
      </c>
      <c r="X54" s="16">
        <v>6</v>
      </c>
      <c r="Y54" s="16">
        <v>6</v>
      </c>
      <c r="Z54" s="16">
        <v>6</v>
      </c>
      <c r="AA54" s="16">
        <v>6</v>
      </c>
      <c r="AB54" s="16">
        <v>6</v>
      </c>
      <c r="AC54" s="16">
        <f t="shared" si="24"/>
        <v>305</v>
      </c>
      <c r="AD54" s="16">
        <f t="shared" si="59"/>
        <v>294</v>
      </c>
      <c r="AE54" s="16">
        <f t="shared" si="59"/>
        <v>294</v>
      </c>
      <c r="AF54" s="16">
        <f t="shared" si="59"/>
        <v>294</v>
      </c>
      <c r="AG54" s="16">
        <f t="shared" si="59"/>
        <v>294</v>
      </c>
      <c r="AH54" s="16">
        <f t="shared" si="59"/>
        <v>294</v>
      </c>
      <c r="AI54" s="28">
        <f t="shared" si="25"/>
        <v>72757.498000000007</v>
      </c>
      <c r="AJ54" s="28">
        <f t="shared" si="66"/>
        <v>58205.998399999997</v>
      </c>
      <c r="AK54" s="28">
        <f t="shared" si="66"/>
        <v>58205.998399999997</v>
      </c>
      <c r="AL54" s="28">
        <f t="shared" si="66"/>
        <v>58205.998399999997</v>
      </c>
      <c r="AM54" s="28">
        <f t="shared" si="66"/>
        <v>58205.998399999997</v>
      </c>
      <c r="AN54" s="28">
        <f t="shared" si="66"/>
        <v>58205.998399999997</v>
      </c>
      <c r="AO54" s="30"/>
      <c r="AP54" s="28"/>
      <c r="AQ54" s="16">
        <v>4</v>
      </c>
      <c r="AR54" s="16">
        <f t="shared" si="27"/>
        <v>395</v>
      </c>
      <c r="AS54" s="28">
        <f t="shared" si="28"/>
        <v>626</v>
      </c>
      <c r="AT54" s="28"/>
      <c r="AU54" s="30">
        <v>363787.49</v>
      </c>
      <c r="AV54" s="28" t="str">
        <f t="shared" si="29"/>
        <v>小:0</v>
      </c>
      <c r="AW54" s="28"/>
      <c r="AX54" s="28"/>
      <c r="AZ54" s="28"/>
      <c r="BA54" s="16">
        <f t="shared" si="67"/>
        <v>6870.9950000000008</v>
      </c>
      <c r="BC54" s="7">
        <f t="shared" si="30"/>
        <v>284</v>
      </c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9"/>
      <c r="BQ54" s="9"/>
      <c r="BR54" s="9">
        <v>4301044</v>
      </c>
      <c r="BS54" s="9">
        <f>[1]monsters!$N54</f>
        <v>223.2</v>
      </c>
      <c r="BT54" s="9">
        <f>[1]monsters!$O54</f>
        <v>22.32</v>
      </c>
      <c r="BU54" s="9">
        <f>[1]monsters!$P54</f>
        <v>1114.8399999999999</v>
      </c>
      <c r="BV54" s="9">
        <f>[1]monsters!$Q54</f>
        <v>111.48</v>
      </c>
      <c r="BW54" s="9">
        <f>[1]monsters!$R54</f>
        <v>22.32</v>
      </c>
      <c r="BX54" s="9">
        <f>[1]monsters!$S54</f>
        <v>2.23</v>
      </c>
      <c r="BY54" s="9">
        <f>[1]monsters!$K54</f>
        <v>1.5</v>
      </c>
      <c r="BZ54" s="7">
        <f>[1]monsters!$D54</f>
        <v>6</v>
      </c>
      <c r="CA54" s="7">
        <f t="shared" si="31"/>
        <v>0.1</v>
      </c>
      <c r="CB54" s="7">
        <f t="shared" si="32"/>
        <v>248.46070033670031</v>
      </c>
      <c r="CC54" s="7">
        <f t="shared" si="33"/>
        <v>24.846070033670031</v>
      </c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>
        <v>0</v>
      </c>
      <c r="CR54" s="25" t="b">
        <f t="shared" si="34"/>
        <v>1</v>
      </c>
      <c r="CS54" s="25" t="b">
        <f t="shared" si="35"/>
        <v>1</v>
      </c>
      <c r="CT54" s="25" t="b">
        <f t="shared" si="36"/>
        <v>1</v>
      </c>
      <c r="CU54" s="25" t="b">
        <f t="shared" si="37"/>
        <v>1</v>
      </c>
      <c r="CV54" s="25" t="b">
        <f t="shared" si="38"/>
        <v>1</v>
      </c>
      <c r="CW54" s="25" t="b">
        <f t="shared" si="39"/>
        <v>1</v>
      </c>
      <c r="CX54" s="16" t="str">
        <f t="shared" si="40"/>
        <v>5601061</v>
      </c>
      <c r="CY54" s="16" t="str">
        <f t="shared" si="41"/>
        <v>5201061</v>
      </c>
      <c r="CZ54" s="16" t="str">
        <f t="shared" si="42"/>
        <v>5201061</v>
      </c>
      <c r="DA54" s="16" t="str">
        <f t="shared" si="43"/>
        <v>5201061</v>
      </c>
      <c r="DB54" s="16" t="str">
        <f t="shared" si="44"/>
        <v>5502061</v>
      </c>
      <c r="DC54" s="16" t="str">
        <f t="shared" si="45"/>
        <v>5502061</v>
      </c>
      <c r="DD54" s="16">
        <v>6</v>
      </c>
      <c r="DE54" s="16">
        <v>6</v>
      </c>
      <c r="DF54" s="16">
        <v>6</v>
      </c>
      <c r="DG54" s="16">
        <v>6</v>
      </c>
      <c r="DH54" s="16">
        <v>6</v>
      </c>
      <c r="DI54" s="16">
        <v>6</v>
      </c>
      <c r="DJ54" s="16">
        <v>5</v>
      </c>
      <c r="DK54" s="16">
        <v>5</v>
      </c>
      <c r="DL54" s="16">
        <v>5</v>
      </c>
      <c r="DM54" s="16">
        <v>5</v>
      </c>
      <c r="DN54" s="16">
        <v>5</v>
      </c>
      <c r="DO54" s="16">
        <v>5</v>
      </c>
      <c r="DP54" s="51" t="s">
        <v>209</v>
      </c>
      <c r="DQ54" s="51" t="s">
        <v>206</v>
      </c>
      <c r="DR54" s="51" t="s">
        <v>206</v>
      </c>
      <c r="DS54" s="51" t="s">
        <v>206</v>
      </c>
      <c r="DT54" s="51" t="s">
        <v>130</v>
      </c>
      <c r="DU54" s="51" t="s">
        <v>130</v>
      </c>
      <c r="DV54" s="32">
        <f t="shared" si="5"/>
        <v>2</v>
      </c>
      <c r="DW54" s="32">
        <f t="shared" si="6"/>
        <v>1</v>
      </c>
      <c r="DX54" s="32">
        <f t="shared" si="7"/>
        <v>1</v>
      </c>
      <c r="DY54" s="32">
        <f t="shared" si="8"/>
        <v>1</v>
      </c>
      <c r="DZ54" s="32">
        <f t="shared" si="9"/>
        <v>2</v>
      </c>
      <c r="EA54" s="32">
        <f t="shared" si="10"/>
        <v>2</v>
      </c>
      <c r="EB54" s="38"/>
      <c r="EC54" s="7">
        <v>3601062</v>
      </c>
      <c r="ED54" s="35" t="s">
        <v>133</v>
      </c>
      <c r="EE54" s="16">
        <v>2</v>
      </c>
      <c r="EQ54" s="16">
        <v>303260101</v>
      </c>
      <c r="ER54" s="16" t="s">
        <v>182</v>
      </c>
      <c r="FD54" s="16">
        <v>5601061</v>
      </c>
      <c r="FE54" s="16">
        <v>5201061</v>
      </c>
      <c r="FF54" s="16">
        <v>5201061</v>
      </c>
      <c r="FG54" s="16">
        <v>5201061</v>
      </c>
      <c r="FH54" s="16">
        <v>5502061</v>
      </c>
      <c r="FI54" s="16">
        <v>5502061</v>
      </c>
      <c r="FJ54" t="str">
        <f t="shared" si="46"/>
        <v>水修女</v>
      </c>
      <c r="FK54" t="str">
        <f t="shared" si="47"/>
        <v>水骑兵</v>
      </c>
      <c r="FL54" t="str">
        <f t="shared" si="48"/>
        <v>水骑兵</v>
      </c>
      <c r="FM54" t="str">
        <f t="shared" si="49"/>
        <v>水骑兵</v>
      </c>
      <c r="FN54" t="str">
        <f t="shared" si="50"/>
        <v>水火枪手</v>
      </c>
      <c r="FO54" t="str">
        <f t="shared" si="51"/>
        <v>水火枪手</v>
      </c>
      <c r="FP54" t="str">
        <f t="shared" si="52"/>
        <v>6</v>
      </c>
      <c r="FQ54" t="str">
        <f t="shared" si="53"/>
        <v>6</v>
      </c>
      <c r="FR54" t="str">
        <f t="shared" si="54"/>
        <v>6</v>
      </c>
      <c r="FS54" t="str">
        <f t="shared" si="55"/>
        <v>6</v>
      </c>
      <c r="FT54" t="str">
        <f t="shared" si="56"/>
        <v>6</v>
      </c>
      <c r="FU54" t="str">
        <f t="shared" si="57"/>
        <v>6</v>
      </c>
      <c r="FV54" t="str">
        <f t="shared" si="60"/>
        <v>5</v>
      </c>
      <c r="FW54" t="str">
        <f t="shared" si="61"/>
        <v>5</v>
      </c>
      <c r="FX54" t="str">
        <f t="shared" si="62"/>
        <v>5</v>
      </c>
      <c r="FY54" t="str">
        <f t="shared" si="63"/>
        <v>5</v>
      </c>
      <c r="FZ54" t="str">
        <f t="shared" si="64"/>
        <v>5</v>
      </c>
      <c r="GA54" t="str">
        <f t="shared" si="65"/>
        <v>5</v>
      </c>
    </row>
    <row r="55" spans="1:183" ht="13.5" customHeight="1">
      <c r="A55" s="1">
        <v>602</v>
      </c>
      <c r="B55" s="6">
        <v>10102</v>
      </c>
      <c r="C55" s="23" t="str">
        <f t="shared" si="20"/>
        <v>1102061,5200061,5200061,5500061,5500061,5500061</v>
      </c>
      <c r="D55" s="1" t="str">
        <f t="shared" si="21"/>
        <v>6,6,6,6,6,6</v>
      </c>
      <c r="E55" s="53" t="str">
        <f t="shared" si="22"/>
        <v>320,309,309,309,309,309</v>
      </c>
      <c r="F55" s="1">
        <f t="shared" si="0"/>
        <v>399113</v>
      </c>
      <c r="G55" s="23" t="s">
        <v>34</v>
      </c>
      <c r="H55" s="1" t="s">
        <v>28</v>
      </c>
      <c r="I55" s="1" t="s">
        <v>28</v>
      </c>
      <c r="J55" s="1" t="s">
        <v>28</v>
      </c>
      <c r="K55" s="2" t="s">
        <v>354</v>
      </c>
      <c r="L55" s="1">
        <v>1</v>
      </c>
      <c r="M55" s="1">
        <v>6</v>
      </c>
      <c r="O55" s="25">
        <f t="shared" si="23"/>
        <v>399113</v>
      </c>
      <c r="P55" s="16">
        <v>399112.67</v>
      </c>
      <c r="Q55" s="16">
        <v>1102061</v>
      </c>
      <c r="R55" s="16">
        <v>5200061</v>
      </c>
      <c r="S55" s="16">
        <v>5200061</v>
      </c>
      <c r="T55" s="16">
        <v>5500061</v>
      </c>
      <c r="U55" s="16">
        <v>5500061</v>
      </c>
      <c r="V55" s="16">
        <v>5500061</v>
      </c>
      <c r="W55" s="16">
        <v>6</v>
      </c>
      <c r="X55" s="16">
        <v>6</v>
      </c>
      <c r="Y55" s="16">
        <v>6</v>
      </c>
      <c r="Z55" s="16">
        <v>6</v>
      </c>
      <c r="AA55" s="16">
        <v>6</v>
      </c>
      <c r="AB55" s="16">
        <v>6</v>
      </c>
      <c r="AC55" s="16">
        <f t="shared" si="24"/>
        <v>320</v>
      </c>
      <c r="AD55" s="16">
        <f t="shared" si="59"/>
        <v>309</v>
      </c>
      <c r="AE55" s="16">
        <f t="shared" si="59"/>
        <v>309</v>
      </c>
      <c r="AF55" s="16">
        <f t="shared" si="59"/>
        <v>309</v>
      </c>
      <c r="AG55" s="16">
        <f t="shared" si="59"/>
        <v>309</v>
      </c>
      <c r="AH55" s="16">
        <f t="shared" si="59"/>
        <v>309</v>
      </c>
      <c r="AI55" s="28">
        <f t="shared" si="25"/>
        <v>79822.534</v>
      </c>
      <c r="AJ55" s="28">
        <f t="shared" si="66"/>
        <v>63858.027199999997</v>
      </c>
      <c r="AK55" s="28">
        <f t="shared" si="66"/>
        <v>63858.027199999997</v>
      </c>
      <c r="AL55" s="28">
        <f t="shared" si="66"/>
        <v>63858.027199999997</v>
      </c>
      <c r="AM55" s="28">
        <f t="shared" si="66"/>
        <v>63858.027199999997</v>
      </c>
      <c r="AN55" s="28">
        <f t="shared" si="66"/>
        <v>63858.027199999997</v>
      </c>
      <c r="AO55" s="30"/>
      <c r="AP55" s="28"/>
      <c r="AQ55" s="16">
        <v>4</v>
      </c>
      <c r="AR55" s="16">
        <f t="shared" si="27"/>
        <v>414</v>
      </c>
      <c r="AS55" s="28">
        <f t="shared" si="28"/>
        <v>627</v>
      </c>
      <c r="AT55" s="28"/>
      <c r="AU55" s="30">
        <v>399112.67</v>
      </c>
      <c r="AV55" s="28" t="str">
        <f t="shared" si="29"/>
        <v>小:0</v>
      </c>
      <c r="AW55" s="28"/>
      <c r="AX55" s="28"/>
      <c r="AZ55" s="28"/>
      <c r="BA55" s="16">
        <f t="shared" si="67"/>
        <v>6906.5400000000009</v>
      </c>
      <c r="BC55" s="7">
        <f t="shared" si="30"/>
        <v>298</v>
      </c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9"/>
      <c r="BQ55" s="9"/>
      <c r="BR55" s="9">
        <v>4401044</v>
      </c>
      <c r="BS55" s="9">
        <f>[1]monsters!$N55</f>
        <v>144</v>
      </c>
      <c r="BT55" s="9">
        <f>[1]monsters!$O55</f>
        <v>14.4</v>
      </c>
      <c r="BU55" s="9">
        <f>[1]monsters!$P55</f>
        <v>1728</v>
      </c>
      <c r="BV55" s="9">
        <f>[1]monsters!$Q55</f>
        <v>172.8</v>
      </c>
      <c r="BW55" s="9">
        <f>[1]monsters!$R55</f>
        <v>36</v>
      </c>
      <c r="BX55" s="9">
        <f>[1]monsters!$S55</f>
        <v>3.6</v>
      </c>
      <c r="BY55" s="9">
        <f>[1]monsters!$K55</f>
        <v>1.5</v>
      </c>
      <c r="BZ55" s="7">
        <f>[1]monsters!$D55</f>
        <v>2</v>
      </c>
      <c r="CA55" s="7">
        <f t="shared" si="31"/>
        <v>0.1</v>
      </c>
      <c r="CB55" s="7">
        <f t="shared" si="32"/>
        <v>194.2618181818182</v>
      </c>
      <c r="CC55" s="7">
        <f t="shared" si="33"/>
        <v>19.426181818181821</v>
      </c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>
        <v>0</v>
      </c>
      <c r="CR55" s="25" t="b">
        <f t="shared" si="34"/>
        <v>1</v>
      </c>
      <c r="CS55" s="25" t="b">
        <f t="shared" si="35"/>
        <v>1</v>
      </c>
      <c r="CT55" s="25" t="b">
        <f t="shared" si="36"/>
        <v>1</v>
      </c>
      <c r="CU55" s="25" t="b">
        <f t="shared" si="37"/>
        <v>1</v>
      </c>
      <c r="CV55" s="25" t="b">
        <f t="shared" si="38"/>
        <v>1</v>
      </c>
      <c r="CW55" s="25" t="b">
        <f t="shared" si="39"/>
        <v>1</v>
      </c>
      <c r="CX55" s="16" t="str">
        <f t="shared" si="40"/>
        <v>1102061</v>
      </c>
      <c r="CY55" s="16" t="str">
        <f t="shared" si="41"/>
        <v>5200061</v>
      </c>
      <c r="CZ55" s="16" t="str">
        <f t="shared" si="42"/>
        <v>5200061</v>
      </c>
      <c r="DA55" s="16" t="str">
        <f t="shared" si="43"/>
        <v>5500061</v>
      </c>
      <c r="DB55" s="16" t="str">
        <f t="shared" si="44"/>
        <v>5500061</v>
      </c>
      <c r="DC55" s="16" t="str">
        <f t="shared" si="45"/>
        <v>5500061</v>
      </c>
      <c r="DD55" s="16">
        <v>6</v>
      </c>
      <c r="DE55" s="16">
        <v>6</v>
      </c>
      <c r="DF55" s="16">
        <v>6</v>
      </c>
      <c r="DG55" s="16">
        <v>6</v>
      </c>
      <c r="DH55" s="16">
        <v>6</v>
      </c>
      <c r="DI55" s="16">
        <v>6</v>
      </c>
      <c r="DJ55" s="16">
        <v>1</v>
      </c>
      <c r="DK55" s="16">
        <v>5</v>
      </c>
      <c r="DL55" s="16">
        <v>5</v>
      </c>
      <c r="DM55" s="16">
        <v>5</v>
      </c>
      <c r="DN55" s="16">
        <v>5</v>
      </c>
      <c r="DO55" s="16">
        <v>5</v>
      </c>
      <c r="DP55" s="25" t="s">
        <v>303</v>
      </c>
      <c r="DQ55" s="25" t="s">
        <v>205</v>
      </c>
      <c r="DR55" s="25" t="s">
        <v>205</v>
      </c>
      <c r="DS55" s="25" t="s">
        <v>208</v>
      </c>
      <c r="DT55" s="25" t="s">
        <v>208</v>
      </c>
      <c r="DU55" s="25" t="s">
        <v>208</v>
      </c>
      <c r="DV55" s="32">
        <f t="shared" si="5"/>
        <v>1</v>
      </c>
      <c r="DW55" s="32">
        <f t="shared" si="6"/>
        <v>1</v>
      </c>
      <c r="DX55" s="32">
        <f t="shared" si="7"/>
        <v>1</v>
      </c>
      <c r="DY55" s="32">
        <f t="shared" si="8"/>
        <v>2</v>
      </c>
      <c r="DZ55" s="32">
        <f t="shared" si="9"/>
        <v>2</v>
      </c>
      <c r="EA55" s="32">
        <f t="shared" si="10"/>
        <v>2</v>
      </c>
      <c r="EB55" s="38"/>
      <c r="EC55" s="7">
        <v>3200063</v>
      </c>
      <c r="ED55" s="35" t="s">
        <v>135</v>
      </c>
      <c r="EE55" s="16">
        <v>1</v>
      </c>
      <c r="EQ55" s="16">
        <v>303320001</v>
      </c>
      <c r="ER55" s="16" t="s">
        <v>183</v>
      </c>
      <c r="FD55" s="16">
        <v>1102061</v>
      </c>
      <c r="FE55" s="16">
        <v>5200061</v>
      </c>
      <c r="FF55" s="16">
        <v>5200061</v>
      </c>
      <c r="FG55" s="16">
        <v>5500061</v>
      </c>
      <c r="FH55" s="16">
        <v>5500061</v>
      </c>
      <c r="FI55" s="16">
        <v>5500061</v>
      </c>
      <c r="FJ55" t="str">
        <f t="shared" si="46"/>
        <v>水狼骑兵</v>
      </c>
      <c r="FK55" t="str">
        <f t="shared" si="47"/>
        <v>水刀客</v>
      </c>
      <c r="FL55" t="str">
        <f t="shared" si="48"/>
        <v>水刀客</v>
      </c>
      <c r="FM55" t="str">
        <f t="shared" si="49"/>
        <v>水海盗</v>
      </c>
      <c r="FN55" t="str">
        <f t="shared" si="50"/>
        <v>水海盗</v>
      </c>
      <c r="FO55" t="str">
        <f t="shared" si="51"/>
        <v>水海盗</v>
      </c>
      <c r="FP55" t="str">
        <f t="shared" si="52"/>
        <v>6</v>
      </c>
      <c r="FQ55" t="str">
        <f t="shared" si="53"/>
        <v>6</v>
      </c>
      <c r="FR55" t="str">
        <f t="shared" si="54"/>
        <v>6</v>
      </c>
      <c r="FS55" t="str">
        <f t="shared" si="55"/>
        <v>6</v>
      </c>
      <c r="FT55" t="str">
        <f t="shared" si="56"/>
        <v>6</v>
      </c>
      <c r="FU55" t="str">
        <f t="shared" si="57"/>
        <v>6</v>
      </c>
      <c r="FV55" t="str">
        <f t="shared" si="60"/>
        <v>1</v>
      </c>
      <c r="FW55" t="str">
        <f t="shared" si="61"/>
        <v>5</v>
      </c>
      <c r="FX55" t="str">
        <f t="shared" si="62"/>
        <v>5</v>
      </c>
      <c r="FY55" t="str">
        <f t="shared" si="63"/>
        <v>5</v>
      </c>
      <c r="FZ55" t="str">
        <f t="shared" si="64"/>
        <v>5</v>
      </c>
      <c r="GA55" t="str">
        <f t="shared" si="65"/>
        <v>5</v>
      </c>
    </row>
    <row r="56" spans="1:183" ht="13.5" customHeight="1">
      <c r="A56" s="1">
        <v>603</v>
      </c>
      <c r="B56" s="6">
        <v>10102</v>
      </c>
      <c r="C56" s="23" t="str">
        <f t="shared" si="20"/>
        <v>5202065,5202065,5202065,5402062,5402062,5402062</v>
      </c>
      <c r="D56" s="1" t="str">
        <f t="shared" si="21"/>
        <v>6,6,6,6,6,6</v>
      </c>
      <c r="E56" s="53" t="str">
        <f t="shared" si="22"/>
        <v>323,311,311,311,311,311</v>
      </c>
      <c r="F56" s="1">
        <f t="shared" si="0"/>
        <v>406020</v>
      </c>
      <c r="G56" s="23" t="s">
        <v>34</v>
      </c>
      <c r="H56" s="1" t="s">
        <v>28</v>
      </c>
      <c r="I56" s="1" t="s">
        <v>28</v>
      </c>
      <c r="J56" s="1" t="s">
        <v>28</v>
      </c>
      <c r="K56" s="2" t="s">
        <v>355</v>
      </c>
      <c r="L56" s="1">
        <v>2</v>
      </c>
      <c r="M56" s="1">
        <v>4</v>
      </c>
      <c r="O56" s="25">
        <f t="shared" si="23"/>
        <v>406020</v>
      </c>
      <c r="P56" s="16">
        <v>406020.12</v>
      </c>
      <c r="Q56" s="16">
        <v>5202065</v>
      </c>
      <c r="R56" s="16">
        <v>5202065</v>
      </c>
      <c r="S56" s="16">
        <v>5202065</v>
      </c>
      <c r="T56" s="16">
        <v>5402062</v>
      </c>
      <c r="U56" s="16">
        <v>5402062</v>
      </c>
      <c r="V56" s="16">
        <v>5402062</v>
      </c>
      <c r="W56" s="16">
        <v>6</v>
      </c>
      <c r="X56" s="16">
        <v>6</v>
      </c>
      <c r="Y56" s="16">
        <v>6</v>
      </c>
      <c r="Z56" s="16">
        <v>6</v>
      </c>
      <c r="AA56" s="16">
        <v>6</v>
      </c>
      <c r="AB56" s="16">
        <v>6</v>
      </c>
      <c r="AC56" s="16">
        <f t="shared" si="24"/>
        <v>323</v>
      </c>
      <c r="AD56" s="16">
        <f t="shared" si="59"/>
        <v>311</v>
      </c>
      <c r="AE56" s="16">
        <f t="shared" si="59"/>
        <v>311</v>
      </c>
      <c r="AF56" s="16">
        <f t="shared" si="59"/>
        <v>311</v>
      </c>
      <c r="AG56" s="16">
        <f t="shared" si="59"/>
        <v>311</v>
      </c>
      <c r="AH56" s="16">
        <f t="shared" si="59"/>
        <v>311</v>
      </c>
      <c r="AI56" s="28">
        <f t="shared" si="25"/>
        <v>81204.024000000005</v>
      </c>
      <c r="AJ56" s="28">
        <f t="shared" si="66"/>
        <v>64963.2192</v>
      </c>
      <c r="AK56" s="28">
        <f t="shared" si="66"/>
        <v>64963.2192</v>
      </c>
      <c r="AL56" s="28">
        <f t="shared" si="66"/>
        <v>64963.2192</v>
      </c>
      <c r="AM56" s="28">
        <f t="shared" si="66"/>
        <v>64963.2192</v>
      </c>
      <c r="AN56" s="28">
        <f t="shared" si="66"/>
        <v>64963.2192</v>
      </c>
      <c r="AO56" s="30"/>
      <c r="AP56" s="28"/>
      <c r="AQ56" s="16">
        <v>4</v>
      </c>
      <c r="AR56" s="16">
        <f t="shared" si="27"/>
        <v>418</v>
      </c>
      <c r="AS56" s="28">
        <f t="shared" si="28"/>
        <v>628</v>
      </c>
      <c r="AT56" s="28"/>
      <c r="AU56" s="30">
        <v>406020.12</v>
      </c>
      <c r="AV56" s="28" t="str">
        <f t="shared" si="29"/>
        <v>小:0</v>
      </c>
      <c r="AW56" s="28"/>
      <c r="AX56" s="28"/>
      <c r="AZ56" s="28"/>
      <c r="BA56" s="16">
        <f t="shared" si="67"/>
        <v>6942.0850000000009</v>
      </c>
      <c r="BC56" s="7">
        <f t="shared" si="30"/>
        <v>301</v>
      </c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9"/>
      <c r="BQ56" s="9"/>
      <c r="BR56" s="9">
        <v>4501044</v>
      </c>
      <c r="BS56" s="9">
        <f>[1]monsters!$N56</f>
        <v>184.32</v>
      </c>
      <c r="BT56" s="9">
        <f>[1]monsters!$O56</f>
        <v>18.43</v>
      </c>
      <c r="BU56" s="9">
        <f>[1]monsters!$P56</f>
        <v>1440</v>
      </c>
      <c r="BV56" s="9">
        <f>[1]monsters!$Q56</f>
        <v>144</v>
      </c>
      <c r="BW56" s="9">
        <f>[1]monsters!$R56</f>
        <v>26.33</v>
      </c>
      <c r="BX56" s="9">
        <f>[1]monsters!$S56</f>
        <v>2.63</v>
      </c>
      <c r="BY56" s="9">
        <f>[1]monsters!$K56</f>
        <v>1.6</v>
      </c>
      <c r="BZ56" s="7">
        <f>[1]monsters!$D56</f>
        <v>4</v>
      </c>
      <c r="CA56" s="7">
        <f t="shared" si="31"/>
        <v>0.1</v>
      </c>
      <c r="CB56" s="7">
        <f t="shared" si="32"/>
        <v>222.66724848484847</v>
      </c>
      <c r="CC56" s="7">
        <f t="shared" si="33"/>
        <v>22.266724848484849</v>
      </c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>
        <v>0</v>
      </c>
      <c r="CR56" s="25" t="b">
        <f t="shared" si="34"/>
        <v>1</v>
      </c>
      <c r="CS56" s="25" t="b">
        <f t="shared" si="35"/>
        <v>1</v>
      </c>
      <c r="CT56" s="25" t="b">
        <f t="shared" si="36"/>
        <v>1</v>
      </c>
      <c r="CU56" s="25" t="b">
        <f t="shared" si="37"/>
        <v>1</v>
      </c>
      <c r="CV56" s="25" t="b">
        <f t="shared" si="38"/>
        <v>1</v>
      </c>
      <c r="CW56" s="25" t="b">
        <f t="shared" si="39"/>
        <v>1</v>
      </c>
      <c r="CX56" s="16" t="str">
        <f t="shared" si="40"/>
        <v>5202065</v>
      </c>
      <c r="CY56" s="16" t="str">
        <f t="shared" si="41"/>
        <v>5202065</v>
      </c>
      <c r="CZ56" s="16" t="str">
        <f t="shared" si="42"/>
        <v>5202065</v>
      </c>
      <c r="DA56" s="16" t="str">
        <f t="shared" si="43"/>
        <v>5402062</v>
      </c>
      <c r="DB56" s="16" t="str">
        <f t="shared" si="44"/>
        <v>5402062</v>
      </c>
      <c r="DC56" s="16" t="str">
        <f t="shared" si="45"/>
        <v>5402062</v>
      </c>
      <c r="DD56" s="16">
        <v>6</v>
      </c>
      <c r="DE56" s="16">
        <v>6</v>
      </c>
      <c r="DF56" s="16">
        <v>6</v>
      </c>
      <c r="DG56" s="16">
        <v>6</v>
      </c>
      <c r="DH56" s="16">
        <v>6</v>
      </c>
      <c r="DI56" s="16">
        <v>6</v>
      </c>
      <c r="DJ56" s="16">
        <v>5</v>
      </c>
      <c r="DK56" s="16">
        <v>5</v>
      </c>
      <c r="DL56" s="16">
        <v>5</v>
      </c>
      <c r="DM56" s="16">
        <v>5</v>
      </c>
      <c r="DN56" s="16">
        <v>5</v>
      </c>
      <c r="DO56" s="16">
        <v>5</v>
      </c>
      <c r="DP56" s="25" t="s">
        <v>225</v>
      </c>
      <c r="DQ56" s="25" t="s">
        <v>225</v>
      </c>
      <c r="DR56" s="25" t="s">
        <v>225</v>
      </c>
      <c r="DS56" s="51" t="s">
        <v>214</v>
      </c>
      <c r="DT56" s="51" t="s">
        <v>214</v>
      </c>
      <c r="DU56" s="51" t="s">
        <v>214</v>
      </c>
      <c r="DV56" s="32">
        <f t="shared" si="5"/>
        <v>1</v>
      </c>
      <c r="DW56" s="32">
        <f t="shared" si="6"/>
        <v>1</v>
      </c>
      <c r="DX56" s="32">
        <f t="shared" si="7"/>
        <v>1</v>
      </c>
      <c r="DY56" s="32">
        <f t="shared" si="8"/>
        <v>2</v>
      </c>
      <c r="DZ56" s="32">
        <f t="shared" si="9"/>
        <v>2</v>
      </c>
      <c r="EA56" s="32">
        <f t="shared" si="10"/>
        <v>2</v>
      </c>
      <c r="EB56" s="38"/>
      <c r="EC56" s="7">
        <v>3401061</v>
      </c>
      <c r="ED56" s="35" t="s">
        <v>137</v>
      </c>
      <c r="EE56" s="16">
        <v>2</v>
      </c>
      <c r="EQ56" s="16">
        <v>303320101</v>
      </c>
      <c r="ER56" s="16" t="s">
        <v>184</v>
      </c>
      <c r="FD56" s="16">
        <v>5202065</v>
      </c>
      <c r="FE56" s="16">
        <v>5202065</v>
      </c>
      <c r="FF56" s="16">
        <v>5202065</v>
      </c>
      <c r="FG56" s="16">
        <v>5402062</v>
      </c>
      <c r="FH56" s="16">
        <v>5402062</v>
      </c>
      <c r="FI56" s="16">
        <v>5402062</v>
      </c>
      <c r="FJ56" t="str">
        <f t="shared" si="46"/>
        <v>暗维京</v>
      </c>
      <c r="FK56" t="str">
        <f t="shared" si="47"/>
        <v>暗维京</v>
      </c>
      <c r="FL56" t="str">
        <f t="shared" si="48"/>
        <v>暗维京</v>
      </c>
      <c r="FM56" t="str">
        <f t="shared" si="49"/>
        <v>火女巫</v>
      </c>
      <c r="FN56" t="str">
        <f t="shared" si="50"/>
        <v>火女巫</v>
      </c>
      <c r="FO56" t="str">
        <f t="shared" si="51"/>
        <v>火女巫</v>
      </c>
      <c r="FP56" t="str">
        <f t="shared" si="52"/>
        <v>6</v>
      </c>
      <c r="FQ56" t="str">
        <f t="shared" si="53"/>
        <v>6</v>
      </c>
      <c r="FR56" t="str">
        <f t="shared" si="54"/>
        <v>6</v>
      </c>
      <c r="FS56" t="str">
        <f t="shared" si="55"/>
        <v>6</v>
      </c>
      <c r="FT56" t="str">
        <f t="shared" si="56"/>
        <v>6</v>
      </c>
      <c r="FU56" t="str">
        <f t="shared" si="57"/>
        <v>6</v>
      </c>
      <c r="FV56" t="str">
        <f t="shared" si="60"/>
        <v>5</v>
      </c>
      <c r="FW56" t="str">
        <f t="shared" si="61"/>
        <v>5</v>
      </c>
      <c r="FX56" t="str">
        <f t="shared" si="62"/>
        <v>5</v>
      </c>
      <c r="FY56" t="str">
        <f t="shared" si="63"/>
        <v>5</v>
      </c>
      <c r="FZ56" t="str">
        <f t="shared" si="64"/>
        <v>5</v>
      </c>
      <c r="GA56" t="str">
        <f t="shared" si="65"/>
        <v>5</v>
      </c>
    </row>
    <row r="57" spans="1:183" ht="13.5" customHeight="1">
      <c r="A57" s="1">
        <v>604</v>
      </c>
      <c r="B57" s="6">
        <v>10102</v>
      </c>
      <c r="C57" s="23" t="str">
        <f t="shared" si="20"/>
        <v>1103065,5201064,5201064,5201064,5401063,5401063</v>
      </c>
      <c r="D57" s="1" t="str">
        <f t="shared" si="21"/>
        <v>6,6,6,6,6,6</v>
      </c>
      <c r="E57" s="53" t="str">
        <f t="shared" si="22"/>
        <v>325,314,314,314,314,314</v>
      </c>
      <c r="F57" s="1">
        <f t="shared" si="0"/>
        <v>411715</v>
      </c>
      <c r="G57" s="23" t="s">
        <v>34</v>
      </c>
      <c r="H57" s="1" t="s">
        <v>28</v>
      </c>
      <c r="I57" s="1" t="s">
        <v>28</v>
      </c>
      <c r="J57" s="1" t="s">
        <v>28</v>
      </c>
      <c r="K57" s="2" t="s">
        <v>356</v>
      </c>
      <c r="L57" s="1">
        <v>3</v>
      </c>
      <c r="M57" s="1">
        <v>4</v>
      </c>
      <c r="O57" s="25">
        <f t="shared" si="23"/>
        <v>411715</v>
      </c>
      <c r="P57" s="16">
        <v>411715.37</v>
      </c>
      <c r="Q57" s="16">
        <v>1103065</v>
      </c>
      <c r="R57" s="16">
        <v>5201064</v>
      </c>
      <c r="S57" s="16">
        <v>5201064</v>
      </c>
      <c r="T57" s="16">
        <v>5201064</v>
      </c>
      <c r="U57" s="16">
        <v>5401063</v>
      </c>
      <c r="V57" s="16">
        <v>5401063</v>
      </c>
      <c r="W57" s="16">
        <v>6</v>
      </c>
      <c r="X57" s="16">
        <v>6</v>
      </c>
      <c r="Y57" s="16">
        <v>6</v>
      </c>
      <c r="Z57" s="16">
        <v>6</v>
      </c>
      <c r="AA57" s="16">
        <v>6</v>
      </c>
      <c r="AB57" s="16">
        <v>6</v>
      </c>
      <c r="AC57" s="16">
        <f t="shared" si="24"/>
        <v>325</v>
      </c>
      <c r="AD57" s="16">
        <f t="shared" si="59"/>
        <v>314</v>
      </c>
      <c r="AE57" s="16">
        <f t="shared" si="59"/>
        <v>314</v>
      </c>
      <c r="AF57" s="16">
        <f t="shared" si="59"/>
        <v>314</v>
      </c>
      <c r="AG57" s="16">
        <f t="shared" si="59"/>
        <v>314</v>
      </c>
      <c r="AH57" s="16">
        <f t="shared" si="59"/>
        <v>314</v>
      </c>
      <c r="AI57" s="28">
        <f t="shared" si="25"/>
        <v>82343.074000000008</v>
      </c>
      <c r="AJ57" s="28">
        <f t="shared" si="66"/>
        <v>65874.459199999998</v>
      </c>
      <c r="AK57" s="28">
        <f t="shared" si="66"/>
        <v>65874.459199999998</v>
      </c>
      <c r="AL57" s="28">
        <f t="shared" si="66"/>
        <v>65874.459199999998</v>
      </c>
      <c r="AM57" s="28">
        <f t="shared" si="66"/>
        <v>65874.459199999998</v>
      </c>
      <c r="AN57" s="28">
        <f t="shared" si="66"/>
        <v>65874.459199999998</v>
      </c>
      <c r="AO57" s="30"/>
      <c r="AP57" s="28"/>
      <c r="AQ57" s="16">
        <v>4</v>
      </c>
      <c r="AR57" s="16">
        <f t="shared" si="27"/>
        <v>421</v>
      </c>
      <c r="AS57" s="28">
        <f t="shared" si="28"/>
        <v>629</v>
      </c>
      <c r="AT57" s="28"/>
      <c r="AU57" s="30">
        <v>411715.37</v>
      </c>
      <c r="AV57" s="28" t="str">
        <f t="shared" si="29"/>
        <v>小:0</v>
      </c>
      <c r="AW57" s="28"/>
      <c r="AX57" s="28"/>
      <c r="AZ57" s="28"/>
      <c r="BA57" s="16">
        <f t="shared" si="67"/>
        <v>6977.630000000001</v>
      </c>
      <c r="BC57" s="7">
        <f t="shared" si="30"/>
        <v>303</v>
      </c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9"/>
      <c r="BQ57" s="9"/>
      <c r="BR57" s="9">
        <v>4601044</v>
      </c>
      <c r="BS57" s="9">
        <f>[1]monsters!$N57</f>
        <v>172.8</v>
      </c>
      <c r="BT57" s="9">
        <f>[1]monsters!$O57</f>
        <v>17.28</v>
      </c>
      <c r="BU57" s="9">
        <f>[1]monsters!$P57</f>
        <v>1440</v>
      </c>
      <c r="BV57" s="9">
        <f>[1]monsters!$Q57</f>
        <v>144</v>
      </c>
      <c r="BW57" s="9">
        <f>[1]monsters!$R57</f>
        <v>24.69</v>
      </c>
      <c r="BX57" s="9">
        <f>[1]monsters!$S57</f>
        <v>2.4700000000000002</v>
      </c>
      <c r="BY57" s="9">
        <f>[1]monsters!$K57</f>
        <v>1.5</v>
      </c>
      <c r="BZ57" s="7">
        <f>[1]monsters!$D57</f>
        <v>4</v>
      </c>
      <c r="CA57" s="7">
        <f t="shared" si="31"/>
        <v>0.1</v>
      </c>
      <c r="CB57" s="7">
        <f t="shared" si="32"/>
        <v>211.78084848484849</v>
      </c>
      <c r="CC57" s="7">
        <f t="shared" si="33"/>
        <v>21.178084848484851</v>
      </c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>
        <v>0</v>
      </c>
      <c r="CR57" s="25" t="b">
        <f t="shared" si="34"/>
        <v>1</v>
      </c>
      <c r="CS57" s="25" t="b">
        <f t="shared" si="35"/>
        <v>1</v>
      </c>
      <c r="CT57" s="25" t="b">
        <f t="shared" si="36"/>
        <v>1</v>
      </c>
      <c r="CU57" s="25" t="b">
        <f t="shared" si="37"/>
        <v>1</v>
      </c>
      <c r="CV57" s="25" t="b">
        <f t="shared" si="38"/>
        <v>1</v>
      </c>
      <c r="CW57" s="25" t="b">
        <f t="shared" si="39"/>
        <v>1</v>
      </c>
      <c r="CX57" s="16" t="str">
        <f t="shared" si="40"/>
        <v>1103065</v>
      </c>
      <c r="CY57" s="16" t="str">
        <f t="shared" si="41"/>
        <v>5201064</v>
      </c>
      <c r="CZ57" s="16" t="str">
        <f t="shared" si="42"/>
        <v>5201064</v>
      </c>
      <c r="DA57" s="16" t="str">
        <f t="shared" si="43"/>
        <v>5201064</v>
      </c>
      <c r="DB57" s="16" t="str">
        <f t="shared" si="44"/>
        <v>5401063</v>
      </c>
      <c r="DC57" s="16" t="str">
        <f t="shared" si="45"/>
        <v>5401063</v>
      </c>
      <c r="DD57" s="16">
        <v>6</v>
      </c>
      <c r="DE57" s="16">
        <v>6</v>
      </c>
      <c r="DF57" s="16">
        <v>6</v>
      </c>
      <c r="DG57" s="16">
        <v>6</v>
      </c>
      <c r="DH57" s="16">
        <v>6</v>
      </c>
      <c r="DI57" s="16">
        <v>6</v>
      </c>
      <c r="DJ57" s="16">
        <v>1</v>
      </c>
      <c r="DK57" s="16">
        <v>5</v>
      </c>
      <c r="DL57" s="16">
        <v>5</v>
      </c>
      <c r="DM57" s="16">
        <v>5</v>
      </c>
      <c r="DN57" s="16">
        <v>5</v>
      </c>
      <c r="DO57" s="16">
        <v>5</v>
      </c>
      <c r="DP57" s="25" t="s">
        <v>312</v>
      </c>
      <c r="DQ57" s="25" t="s">
        <v>236</v>
      </c>
      <c r="DR57" s="25" t="s">
        <v>236</v>
      </c>
      <c r="DS57" s="25" t="s">
        <v>236</v>
      </c>
      <c r="DT57" s="25" t="s">
        <v>223</v>
      </c>
      <c r="DU57" s="25" t="s">
        <v>223</v>
      </c>
      <c r="DV57" s="32">
        <f t="shared" si="5"/>
        <v>2</v>
      </c>
      <c r="DW57" s="32">
        <f t="shared" si="6"/>
        <v>1</v>
      </c>
      <c r="DX57" s="32">
        <f t="shared" si="7"/>
        <v>1</v>
      </c>
      <c r="DY57" s="32">
        <f t="shared" si="8"/>
        <v>1</v>
      </c>
      <c r="DZ57" s="32">
        <f t="shared" si="9"/>
        <v>2</v>
      </c>
      <c r="EA57" s="32">
        <f t="shared" si="10"/>
        <v>2</v>
      </c>
      <c r="EB57" s="38"/>
      <c r="EC57" s="7">
        <v>3402063</v>
      </c>
      <c r="ED57" s="35" t="s">
        <v>139</v>
      </c>
      <c r="EE57" s="16">
        <v>2</v>
      </c>
      <c r="EQ57" s="16">
        <v>303320201</v>
      </c>
      <c r="ER57" s="16" t="s">
        <v>175</v>
      </c>
      <c r="FD57" s="16">
        <v>1103065</v>
      </c>
      <c r="FE57" s="16">
        <v>5201064</v>
      </c>
      <c r="FF57" s="16">
        <v>5201064</v>
      </c>
      <c r="FG57" s="16">
        <v>5201064</v>
      </c>
      <c r="FH57" s="16">
        <v>5401063</v>
      </c>
      <c r="FI57" s="16">
        <v>5401063</v>
      </c>
      <c r="FJ57" t="str">
        <f t="shared" si="46"/>
        <v>暗龙王</v>
      </c>
      <c r="FK57" t="str">
        <f t="shared" si="47"/>
        <v>光骑兵</v>
      </c>
      <c r="FL57" t="str">
        <f t="shared" si="48"/>
        <v>光骑兵</v>
      </c>
      <c r="FM57" t="str">
        <f t="shared" si="49"/>
        <v>光骑兵</v>
      </c>
      <c r="FN57" t="str">
        <f t="shared" si="50"/>
        <v>木魔法师</v>
      </c>
      <c r="FO57" t="str">
        <f t="shared" si="51"/>
        <v>木魔法师</v>
      </c>
      <c r="FP57" t="str">
        <f t="shared" si="52"/>
        <v>6</v>
      </c>
      <c r="FQ57" t="str">
        <f t="shared" si="53"/>
        <v>6</v>
      </c>
      <c r="FR57" t="str">
        <f t="shared" si="54"/>
        <v>6</v>
      </c>
      <c r="FS57" t="str">
        <f t="shared" si="55"/>
        <v>6</v>
      </c>
      <c r="FT57" t="str">
        <f t="shared" si="56"/>
        <v>6</v>
      </c>
      <c r="FU57" t="str">
        <f t="shared" si="57"/>
        <v>6</v>
      </c>
      <c r="FV57" t="str">
        <f t="shared" si="60"/>
        <v>1</v>
      </c>
      <c r="FW57" t="str">
        <f t="shared" si="61"/>
        <v>5</v>
      </c>
      <c r="FX57" t="str">
        <f t="shared" si="62"/>
        <v>5</v>
      </c>
      <c r="FY57" t="str">
        <f t="shared" si="63"/>
        <v>5</v>
      </c>
      <c r="FZ57" t="str">
        <f t="shared" si="64"/>
        <v>5</v>
      </c>
      <c r="GA57" t="str">
        <f t="shared" si="65"/>
        <v>5</v>
      </c>
    </row>
    <row r="58" spans="1:183" ht="13.5" customHeight="1">
      <c r="A58" s="1">
        <v>605</v>
      </c>
      <c r="B58" s="6">
        <v>10102</v>
      </c>
      <c r="C58" s="23" t="str">
        <f t="shared" si="20"/>
        <v>1101065,5201064,5201064,5401061,5401061,5401061</v>
      </c>
      <c r="D58" s="1" t="str">
        <f t="shared" si="21"/>
        <v>6,6,6,6,6,6</v>
      </c>
      <c r="E58" s="53" t="str">
        <f t="shared" si="22"/>
        <v>328,316,316,316,316,316</v>
      </c>
      <c r="F58" s="1">
        <f t="shared" si="0"/>
        <v>418729</v>
      </c>
      <c r="G58" s="23" t="s">
        <v>34</v>
      </c>
      <c r="H58" s="1" t="s">
        <v>28</v>
      </c>
      <c r="I58" s="1" t="s">
        <v>28</v>
      </c>
      <c r="J58" s="1" t="s">
        <v>28</v>
      </c>
      <c r="K58" s="2" t="s">
        <v>357</v>
      </c>
      <c r="L58" s="1">
        <v>1</v>
      </c>
      <c r="M58" s="1">
        <v>3</v>
      </c>
      <c r="O58" s="25">
        <f t="shared" si="23"/>
        <v>418729</v>
      </c>
      <c r="P58" s="16">
        <v>418729.41</v>
      </c>
      <c r="Q58" s="16">
        <v>1101065</v>
      </c>
      <c r="R58" s="16">
        <v>5201064</v>
      </c>
      <c r="S58" s="16">
        <v>5201064</v>
      </c>
      <c r="T58" s="16">
        <v>5401061</v>
      </c>
      <c r="U58" s="16">
        <v>5401061</v>
      </c>
      <c r="V58" s="16">
        <v>5401061</v>
      </c>
      <c r="W58" s="16">
        <v>6</v>
      </c>
      <c r="X58" s="16">
        <v>6</v>
      </c>
      <c r="Y58" s="16">
        <v>6</v>
      </c>
      <c r="Z58" s="16">
        <v>6</v>
      </c>
      <c r="AA58" s="16">
        <v>6</v>
      </c>
      <c r="AB58" s="16">
        <v>6</v>
      </c>
      <c r="AC58" s="16">
        <f t="shared" si="24"/>
        <v>328</v>
      </c>
      <c r="AD58" s="16">
        <f t="shared" si="59"/>
        <v>316</v>
      </c>
      <c r="AE58" s="16">
        <f t="shared" si="59"/>
        <v>316</v>
      </c>
      <c r="AF58" s="16">
        <f t="shared" si="59"/>
        <v>316</v>
      </c>
      <c r="AG58" s="16">
        <f t="shared" si="59"/>
        <v>316</v>
      </c>
      <c r="AH58" s="16">
        <f t="shared" si="59"/>
        <v>316</v>
      </c>
      <c r="AI58" s="28">
        <f t="shared" si="25"/>
        <v>83745.881999999998</v>
      </c>
      <c r="AJ58" s="28">
        <f t="shared" si="66"/>
        <v>66996.705600000001</v>
      </c>
      <c r="AK58" s="28">
        <f t="shared" si="66"/>
        <v>66996.705600000001</v>
      </c>
      <c r="AL58" s="28">
        <f t="shared" si="66"/>
        <v>66996.705600000001</v>
      </c>
      <c r="AM58" s="28">
        <f t="shared" si="66"/>
        <v>66996.705600000001</v>
      </c>
      <c r="AN58" s="28">
        <f t="shared" si="66"/>
        <v>66996.705600000001</v>
      </c>
      <c r="AO58" s="30"/>
      <c r="AP58" s="28"/>
      <c r="AQ58" s="16">
        <v>4</v>
      </c>
      <c r="AR58" s="16">
        <f t="shared" si="27"/>
        <v>425</v>
      </c>
      <c r="AS58" s="28">
        <f t="shared" si="28"/>
        <v>630</v>
      </c>
      <c r="AT58" s="28"/>
      <c r="AU58" s="30">
        <v>418729.41</v>
      </c>
      <c r="AV58" s="28" t="str">
        <f t="shared" si="29"/>
        <v>小:0</v>
      </c>
      <c r="AW58" s="28"/>
      <c r="AX58" s="28"/>
      <c r="AZ58" s="28"/>
      <c r="BA58" s="16">
        <f t="shared" si="67"/>
        <v>7013.1750000000011</v>
      </c>
      <c r="BC58" s="7">
        <f t="shared" si="30"/>
        <v>306</v>
      </c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28"/>
      <c r="BQ58" s="9"/>
      <c r="BR58" s="9">
        <v>4502044</v>
      </c>
      <c r="BS58" s="9">
        <f>[1]monsters!$N58</f>
        <v>215.04</v>
      </c>
      <c r="BT58" s="9">
        <f>[1]monsters!$O58</f>
        <v>21.5</v>
      </c>
      <c r="BU58" s="9">
        <f>[1]monsters!$P58</f>
        <v>1234.29</v>
      </c>
      <c r="BV58" s="9">
        <f>[1]monsters!$Q58</f>
        <v>123.43</v>
      </c>
      <c r="BW58" s="9">
        <f>[1]monsters!$R58</f>
        <v>26.88</v>
      </c>
      <c r="BX58" s="9">
        <f>[1]monsters!$S58</f>
        <v>2.69</v>
      </c>
      <c r="BY58" s="9">
        <f>[1]monsters!$K58</f>
        <v>1.6</v>
      </c>
      <c r="BZ58" s="7">
        <f>[1]monsters!$D58</f>
        <v>5</v>
      </c>
      <c r="CA58" s="7">
        <f t="shared" si="31"/>
        <v>0.1</v>
      </c>
      <c r="CB58" s="7">
        <f t="shared" si="32"/>
        <v>244.77138585858586</v>
      </c>
      <c r="CC58" s="7">
        <f t="shared" si="33"/>
        <v>24.477138585858587</v>
      </c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>
        <v>1</v>
      </c>
      <c r="CR58" s="25" t="b">
        <f t="shared" si="34"/>
        <v>1</v>
      </c>
      <c r="CS58" s="25" t="b">
        <f t="shared" si="35"/>
        <v>1</v>
      </c>
      <c r="CT58" s="25" t="b">
        <f t="shared" si="36"/>
        <v>1</v>
      </c>
      <c r="CU58" s="25" t="b">
        <f t="shared" si="37"/>
        <v>1</v>
      </c>
      <c r="CV58" s="25" t="b">
        <f t="shared" si="38"/>
        <v>1</v>
      </c>
      <c r="CW58" s="25" t="b">
        <f t="shared" si="39"/>
        <v>1</v>
      </c>
      <c r="CX58" s="16" t="str">
        <f t="shared" si="40"/>
        <v>1101065</v>
      </c>
      <c r="CY58" s="16" t="str">
        <f t="shared" si="41"/>
        <v>5201064</v>
      </c>
      <c r="CZ58" s="16" t="str">
        <f t="shared" si="42"/>
        <v>5201064</v>
      </c>
      <c r="DA58" s="16" t="str">
        <f t="shared" si="43"/>
        <v>5401061</v>
      </c>
      <c r="DB58" s="16" t="str">
        <f t="shared" si="44"/>
        <v>5401061</v>
      </c>
      <c r="DC58" s="16" t="str">
        <f t="shared" si="45"/>
        <v>5401061</v>
      </c>
      <c r="DD58" s="16">
        <v>6</v>
      </c>
      <c r="DE58" s="16">
        <v>6</v>
      </c>
      <c r="DF58" s="16">
        <v>6</v>
      </c>
      <c r="DG58" s="16">
        <v>6</v>
      </c>
      <c r="DH58" s="16">
        <v>6</v>
      </c>
      <c r="DI58" s="16">
        <v>6</v>
      </c>
      <c r="DJ58" s="16">
        <v>1</v>
      </c>
      <c r="DK58" s="16">
        <v>5</v>
      </c>
      <c r="DL58" s="16">
        <v>5</v>
      </c>
      <c r="DM58" s="16">
        <v>5</v>
      </c>
      <c r="DN58" s="16">
        <v>5</v>
      </c>
      <c r="DO58" s="16">
        <v>5</v>
      </c>
      <c r="DP58" s="25" t="s">
        <v>302</v>
      </c>
      <c r="DQ58" s="25" t="s">
        <v>236</v>
      </c>
      <c r="DR58" s="25" t="s">
        <v>236</v>
      </c>
      <c r="DS58" s="25" t="s">
        <v>123</v>
      </c>
      <c r="DT58" s="25" t="s">
        <v>123</v>
      </c>
      <c r="DU58" s="25" t="s">
        <v>123</v>
      </c>
      <c r="DV58" s="32">
        <f t="shared" si="5"/>
        <v>1</v>
      </c>
      <c r="DW58" s="32">
        <f t="shared" si="6"/>
        <v>1</v>
      </c>
      <c r="DX58" s="32">
        <f t="shared" si="7"/>
        <v>1</v>
      </c>
      <c r="DY58" s="32">
        <f t="shared" si="8"/>
        <v>2</v>
      </c>
      <c r="DZ58" s="32">
        <f t="shared" si="9"/>
        <v>2</v>
      </c>
      <c r="EA58" s="32">
        <f t="shared" si="10"/>
        <v>2</v>
      </c>
      <c r="EB58" s="38"/>
      <c r="EC58" s="7">
        <v>3501063</v>
      </c>
      <c r="ED58" s="35" t="s">
        <v>141</v>
      </c>
      <c r="EE58" s="16">
        <v>2</v>
      </c>
      <c r="EQ58" s="16">
        <v>303330101</v>
      </c>
      <c r="ER58" s="16" t="s">
        <v>185</v>
      </c>
      <c r="FD58" s="16">
        <v>1101065</v>
      </c>
      <c r="FE58" s="16">
        <v>5201064</v>
      </c>
      <c r="FF58" s="16">
        <v>5201064</v>
      </c>
      <c r="FG58" s="16">
        <v>5401061</v>
      </c>
      <c r="FH58" s="16">
        <v>5401061</v>
      </c>
      <c r="FI58" s="16">
        <v>5401061</v>
      </c>
      <c r="FJ58" t="str">
        <f t="shared" si="46"/>
        <v>暗黑骑士</v>
      </c>
      <c r="FK58" t="str">
        <f t="shared" si="47"/>
        <v>光骑兵</v>
      </c>
      <c r="FL58" t="str">
        <f t="shared" si="48"/>
        <v>光骑兵</v>
      </c>
      <c r="FM58" t="str">
        <f t="shared" si="49"/>
        <v>水魔法师</v>
      </c>
      <c r="FN58" t="str">
        <f t="shared" si="50"/>
        <v>水魔法师</v>
      </c>
      <c r="FO58" t="str">
        <f t="shared" si="51"/>
        <v>水魔法师</v>
      </c>
      <c r="FP58" t="str">
        <f t="shared" si="52"/>
        <v>6</v>
      </c>
      <c r="FQ58" t="str">
        <f t="shared" si="53"/>
        <v>6</v>
      </c>
      <c r="FR58" t="str">
        <f t="shared" si="54"/>
        <v>6</v>
      </c>
      <c r="FS58" t="str">
        <f t="shared" si="55"/>
        <v>6</v>
      </c>
      <c r="FT58" t="str">
        <f t="shared" si="56"/>
        <v>6</v>
      </c>
      <c r="FU58" t="str">
        <f t="shared" si="57"/>
        <v>6</v>
      </c>
      <c r="FV58" t="str">
        <f t="shared" si="60"/>
        <v>1</v>
      </c>
      <c r="FW58" t="str">
        <f t="shared" si="61"/>
        <v>5</v>
      </c>
      <c r="FX58" t="str">
        <f t="shared" si="62"/>
        <v>5</v>
      </c>
      <c r="FY58" t="str">
        <f t="shared" si="63"/>
        <v>5</v>
      </c>
      <c r="FZ58" t="str">
        <f t="shared" si="64"/>
        <v>5</v>
      </c>
      <c r="GA58" t="str">
        <f t="shared" si="65"/>
        <v>5</v>
      </c>
    </row>
    <row r="59" spans="1:183" ht="13.5" customHeight="1">
      <c r="A59" s="1">
        <v>606</v>
      </c>
      <c r="B59" s="6">
        <v>10102</v>
      </c>
      <c r="C59" s="23" t="str">
        <f t="shared" si="20"/>
        <v>5502062,5200062,5200062,5200062,5502062,5502052</v>
      </c>
      <c r="D59" s="1" t="str">
        <f t="shared" si="21"/>
        <v>6,6,6,6,6,5</v>
      </c>
      <c r="E59" s="53" t="str">
        <f t="shared" si="22"/>
        <v>330,319,319,319,319,368</v>
      </c>
      <c r="F59" s="1">
        <f t="shared" si="0"/>
        <v>424517</v>
      </c>
      <c r="G59" s="23" t="s">
        <v>34</v>
      </c>
      <c r="H59" s="1" t="s">
        <v>28</v>
      </c>
      <c r="I59" s="1" t="s">
        <v>28</v>
      </c>
      <c r="J59" s="1" t="s">
        <v>28</v>
      </c>
      <c r="K59" s="2" t="s">
        <v>358</v>
      </c>
      <c r="L59" s="1">
        <v>2</v>
      </c>
      <c r="M59" s="1">
        <v>3</v>
      </c>
      <c r="O59" s="25">
        <f t="shared" si="23"/>
        <v>424517</v>
      </c>
      <c r="P59" s="16">
        <v>424516.62</v>
      </c>
      <c r="Q59" s="16">
        <v>5502062</v>
      </c>
      <c r="R59" s="16">
        <v>5200062</v>
      </c>
      <c r="S59" s="16">
        <v>5200062</v>
      </c>
      <c r="T59" s="16">
        <v>5200062</v>
      </c>
      <c r="U59" s="16">
        <v>5502062</v>
      </c>
      <c r="V59" s="16">
        <v>5502052</v>
      </c>
      <c r="W59" s="16">
        <v>6</v>
      </c>
      <c r="X59" s="16">
        <v>6</v>
      </c>
      <c r="Y59" s="16">
        <v>6</v>
      </c>
      <c r="Z59" s="16">
        <v>6</v>
      </c>
      <c r="AA59" s="16">
        <v>6</v>
      </c>
      <c r="AB59" s="16">
        <v>5</v>
      </c>
      <c r="AC59" s="16">
        <f t="shared" si="24"/>
        <v>330</v>
      </c>
      <c r="AD59" s="16">
        <f t="shared" si="59"/>
        <v>319</v>
      </c>
      <c r="AE59" s="16">
        <f t="shared" si="59"/>
        <v>319</v>
      </c>
      <c r="AF59" s="16">
        <f t="shared" si="59"/>
        <v>319</v>
      </c>
      <c r="AG59" s="16">
        <f t="shared" si="59"/>
        <v>319</v>
      </c>
      <c r="AH59" s="16">
        <f t="shared" si="59"/>
        <v>368</v>
      </c>
      <c r="AI59" s="28">
        <f t="shared" si="25"/>
        <v>84903.324000000008</v>
      </c>
      <c r="AJ59" s="28">
        <f t="shared" si="66"/>
        <v>67922.659199999995</v>
      </c>
      <c r="AK59" s="28">
        <f t="shared" si="66"/>
        <v>67922.659199999995</v>
      </c>
      <c r="AL59" s="28">
        <f t="shared" si="66"/>
        <v>67922.659199999995</v>
      </c>
      <c r="AM59" s="28">
        <f t="shared" si="66"/>
        <v>67922.659199999995</v>
      </c>
      <c r="AN59" s="28">
        <f t="shared" si="66"/>
        <v>67922.659199999995</v>
      </c>
      <c r="AO59" s="30"/>
      <c r="AP59" s="28"/>
      <c r="AQ59" s="16">
        <v>4</v>
      </c>
      <c r="AR59" s="16">
        <f t="shared" si="27"/>
        <v>428</v>
      </c>
      <c r="AS59" s="28">
        <f t="shared" si="28"/>
        <v>631</v>
      </c>
      <c r="AT59" s="28"/>
      <c r="AU59" s="30">
        <v>424516.62</v>
      </c>
      <c r="AV59" s="28" t="str">
        <f t="shared" si="29"/>
        <v>小:0</v>
      </c>
      <c r="AW59" s="28"/>
      <c r="AX59" s="28"/>
      <c r="AZ59" s="28"/>
      <c r="BA59" s="16">
        <f t="shared" si="67"/>
        <v>7048.7200000000012</v>
      </c>
      <c r="BC59" s="7">
        <f t="shared" si="30"/>
        <v>308</v>
      </c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28"/>
      <c r="BQ59" s="9"/>
      <c r="BR59" s="9">
        <v>4600044</v>
      </c>
      <c r="BS59" s="9">
        <f>[1]monsters!$N59</f>
        <v>208.32</v>
      </c>
      <c r="BT59" s="9">
        <f>[1]monsters!$O59</f>
        <v>20.83</v>
      </c>
      <c r="BU59" s="9">
        <f>[1]monsters!$P59</f>
        <v>1114.8399999999999</v>
      </c>
      <c r="BV59" s="9">
        <f>[1]monsters!$Q59</f>
        <v>111.48</v>
      </c>
      <c r="BW59" s="9">
        <f>[1]monsters!$R59</f>
        <v>20.83</v>
      </c>
      <c r="BX59" s="9">
        <f>[1]monsters!$S59</f>
        <v>2.08</v>
      </c>
      <c r="BY59" s="9">
        <f>[1]monsters!$K59</f>
        <v>1.4000000000000001</v>
      </c>
      <c r="BZ59" s="7">
        <f>[1]monsters!$D59</f>
        <v>6</v>
      </c>
      <c r="CA59" s="7">
        <f t="shared" si="31"/>
        <v>0.1</v>
      </c>
      <c r="CB59" s="7">
        <f t="shared" si="32"/>
        <v>234.39910033670034</v>
      </c>
      <c r="CC59" s="7">
        <f t="shared" si="33"/>
        <v>23.439910033670035</v>
      </c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>
        <v>0</v>
      </c>
      <c r="CR59" s="25" t="b">
        <f t="shared" si="34"/>
        <v>1</v>
      </c>
      <c r="CS59" s="25" t="b">
        <f t="shared" si="35"/>
        <v>1</v>
      </c>
      <c r="CT59" s="25" t="b">
        <f t="shared" si="36"/>
        <v>1</v>
      </c>
      <c r="CU59" s="25" t="b">
        <f t="shared" si="37"/>
        <v>1</v>
      </c>
      <c r="CV59" s="25" t="b">
        <f t="shared" si="38"/>
        <v>1</v>
      </c>
      <c r="CW59" s="25" t="b">
        <f t="shared" si="39"/>
        <v>1</v>
      </c>
      <c r="CX59" s="16" t="str">
        <f t="shared" si="40"/>
        <v>5502062</v>
      </c>
      <c r="CY59" s="16" t="str">
        <f t="shared" si="41"/>
        <v>5200062</v>
      </c>
      <c r="CZ59" s="16" t="str">
        <f t="shared" si="42"/>
        <v>5200062</v>
      </c>
      <c r="DA59" s="16" t="str">
        <f t="shared" si="43"/>
        <v>5200062</v>
      </c>
      <c r="DB59" s="16" t="str">
        <f t="shared" si="44"/>
        <v>5502062</v>
      </c>
      <c r="DC59" s="16" t="str">
        <f t="shared" si="45"/>
        <v>5502052</v>
      </c>
      <c r="DD59" s="16">
        <v>6</v>
      </c>
      <c r="DE59" s="16">
        <v>6</v>
      </c>
      <c r="DF59" s="16">
        <v>6</v>
      </c>
      <c r="DG59" s="16">
        <v>6</v>
      </c>
      <c r="DH59" s="16">
        <v>6</v>
      </c>
      <c r="DI59" s="16">
        <v>5</v>
      </c>
      <c r="DJ59" s="16">
        <v>5</v>
      </c>
      <c r="DK59" s="16">
        <v>5</v>
      </c>
      <c r="DL59" s="16">
        <v>5</v>
      </c>
      <c r="DM59" s="16">
        <v>5</v>
      </c>
      <c r="DN59" s="16">
        <v>5</v>
      </c>
      <c r="DO59" s="16">
        <v>5</v>
      </c>
      <c r="DP59" s="25" t="s">
        <v>215</v>
      </c>
      <c r="DQ59" s="25" t="s">
        <v>210</v>
      </c>
      <c r="DR59" s="25" t="s">
        <v>210</v>
      </c>
      <c r="DS59" s="25" t="s">
        <v>210</v>
      </c>
      <c r="DT59" s="25" t="s">
        <v>215</v>
      </c>
      <c r="DU59" s="25" t="s">
        <v>215</v>
      </c>
      <c r="DV59" s="32">
        <f t="shared" si="5"/>
        <v>2</v>
      </c>
      <c r="DW59" s="32">
        <f t="shared" si="6"/>
        <v>1</v>
      </c>
      <c r="DX59" s="32">
        <f t="shared" si="7"/>
        <v>1</v>
      </c>
      <c r="DY59" s="32">
        <f t="shared" si="8"/>
        <v>1</v>
      </c>
      <c r="DZ59" s="32">
        <f t="shared" si="9"/>
        <v>2</v>
      </c>
      <c r="EA59" s="32">
        <f t="shared" si="10"/>
        <v>2</v>
      </c>
      <c r="EB59" s="38"/>
      <c r="EC59" s="7">
        <v>3600063</v>
      </c>
      <c r="ED59" s="35" t="s">
        <v>143</v>
      </c>
      <c r="EE59" s="16">
        <v>1</v>
      </c>
      <c r="EQ59" s="16">
        <v>303340101</v>
      </c>
      <c r="ER59" s="16" t="s">
        <v>174</v>
      </c>
      <c r="FD59" s="16">
        <v>5502062</v>
      </c>
      <c r="FE59" s="16">
        <v>5200062</v>
      </c>
      <c r="FF59" s="16">
        <v>5200062</v>
      </c>
      <c r="FG59" s="16">
        <v>5200062</v>
      </c>
      <c r="FH59" s="16">
        <v>5502062</v>
      </c>
      <c r="FI59" s="16">
        <v>5502052</v>
      </c>
      <c r="FJ59" t="str">
        <f t="shared" si="46"/>
        <v>火火枪手</v>
      </c>
      <c r="FK59" t="str">
        <f t="shared" si="47"/>
        <v>火刀客</v>
      </c>
      <c r="FL59" t="str">
        <f t="shared" si="48"/>
        <v>火刀客</v>
      </c>
      <c r="FM59" t="str">
        <f t="shared" si="49"/>
        <v>火刀客</v>
      </c>
      <c r="FN59" t="str">
        <f t="shared" si="50"/>
        <v>火火枪手</v>
      </c>
      <c r="FO59" t="str">
        <f t="shared" si="51"/>
        <v>火火枪手</v>
      </c>
      <c r="FP59" t="str">
        <f t="shared" si="52"/>
        <v>6</v>
      </c>
      <c r="FQ59" t="str">
        <f t="shared" si="53"/>
        <v>6</v>
      </c>
      <c r="FR59" t="str">
        <f t="shared" si="54"/>
        <v>6</v>
      </c>
      <c r="FS59" t="str">
        <f t="shared" si="55"/>
        <v>6</v>
      </c>
      <c r="FT59" t="str">
        <f t="shared" si="56"/>
        <v>6</v>
      </c>
      <c r="FU59" t="str">
        <f t="shared" si="57"/>
        <v>5</v>
      </c>
      <c r="FV59" t="str">
        <f t="shared" si="60"/>
        <v>5</v>
      </c>
      <c r="FW59" t="str">
        <f t="shared" si="61"/>
        <v>5</v>
      </c>
      <c r="FX59" t="str">
        <f t="shared" si="62"/>
        <v>5</v>
      </c>
      <c r="FY59" t="str">
        <f t="shared" si="63"/>
        <v>5</v>
      </c>
      <c r="FZ59" t="str">
        <f t="shared" si="64"/>
        <v>5</v>
      </c>
      <c r="GA59" t="str">
        <f t="shared" si="65"/>
        <v>5</v>
      </c>
    </row>
    <row r="60" spans="1:183" ht="13.5" customHeight="1">
      <c r="A60" s="1">
        <v>607</v>
      </c>
      <c r="B60" s="6">
        <v>10102</v>
      </c>
      <c r="C60" s="23" t="str">
        <f t="shared" si="20"/>
        <v>5402062,5201061,5202061,5201061,5401062,5602064</v>
      </c>
      <c r="D60" s="1" t="str">
        <f t="shared" si="21"/>
        <v>6,6,6,6,6,6</v>
      </c>
      <c r="E60" s="53" t="str">
        <f t="shared" si="22"/>
        <v>333,321,321,321,321,321</v>
      </c>
      <c r="F60" s="1">
        <f t="shared" si="0"/>
        <v>431637</v>
      </c>
      <c r="G60" s="23" t="s">
        <v>34</v>
      </c>
      <c r="H60" s="1" t="s">
        <v>28</v>
      </c>
      <c r="I60" s="1" t="s">
        <v>28</v>
      </c>
      <c r="J60" s="1" t="s">
        <v>28</v>
      </c>
      <c r="K60" s="2" t="s">
        <v>359</v>
      </c>
      <c r="L60" s="1">
        <v>3</v>
      </c>
      <c r="M60" s="1">
        <v>5</v>
      </c>
      <c r="O60" s="25">
        <f t="shared" si="23"/>
        <v>431637</v>
      </c>
      <c r="P60" s="16">
        <v>431637.25</v>
      </c>
      <c r="Q60" s="16">
        <v>5402062</v>
      </c>
      <c r="R60" s="16">
        <v>5201061</v>
      </c>
      <c r="S60" s="16">
        <v>5202061</v>
      </c>
      <c r="T60" s="16">
        <v>5201061</v>
      </c>
      <c r="U60" s="16">
        <v>5401062</v>
      </c>
      <c r="V60" s="16">
        <v>5602064</v>
      </c>
      <c r="W60" s="16">
        <v>6</v>
      </c>
      <c r="X60" s="16">
        <v>6</v>
      </c>
      <c r="Y60" s="16">
        <v>6</v>
      </c>
      <c r="Z60" s="16">
        <v>6</v>
      </c>
      <c r="AA60" s="16">
        <v>6</v>
      </c>
      <c r="AB60" s="16">
        <v>6</v>
      </c>
      <c r="AC60" s="16">
        <f t="shared" si="24"/>
        <v>333</v>
      </c>
      <c r="AD60" s="16">
        <f t="shared" si="59"/>
        <v>321</v>
      </c>
      <c r="AE60" s="16">
        <f t="shared" si="59"/>
        <v>321</v>
      </c>
      <c r="AF60" s="16">
        <f t="shared" si="59"/>
        <v>321</v>
      </c>
      <c r="AG60" s="16">
        <f t="shared" si="59"/>
        <v>321</v>
      </c>
      <c r="AH60" s="16">
        <f t="shared" si="59"/>
        <v>321</v>
      </c>
      <c r="AI60" s="28">
        <f t="shared" si="25"/>
        <v>86327.450000000012</v>
      </c>
      <c r="AJ60" s="28">
        <f t="shared" si="66"/>
        <v>69061.960000000006</v>
      </c>
      <c r="AK60" s="28">
        <f t="shared" si="66"/>
        <v>69061.960000000006</v>
      </c>
      <c r="AL60" s="28">
        <f t="shared" si="66"/>
        <v>69061.960000000006</v>
      </c>
      <c r="AM60" s="28">
        <f t="shared" si="66"/>
        <v>69061.960000000006</v>
      </c>
      <c r="AN60" s="28">
        <f t="shared" si="66"/>
        <v>69061.960000000006</v>
      </c>
      <c r="AO60" s="30"/>
      <c r="AP60" s="28"/>
      <c r="AQ60" s="16">
        <v>4</v>
      </c>
      <c r="AR60" s="16">
        <f t="shared" si="27"/>
        <v>431</v>
      </c>
      <c r="AS60" s="28">
        <f t="shared" si="28"/>
        <v>632</v>
      </c>
      <c r="AT60" s="28"/>
      <c r="AU60" s="30">
        <v>431637.25</v>
      </c>
      <c r="AV60" s="28" t="str">
        <f t="shared" si="29"/>
        <v>小:0</v>
      </c>
      <c r="AW60" s="28"/>
      <c r="AX60" s="28"/>
      <c r="AZ60" s="28"/>
      <c r="BA60" s="16">
        <f t="shared" si="67"/>
        <v>7084.2650000000012</v>
      </c>
      <c r="BC60" s="7">
        <f t="shared" si="30"/>
        <v>311</v>
      </c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28"/>
      <c r="BQ60" s="9"/>
      <c r="BR60" s="9">
        <v>4200044</v>
      </c>
      <c r="BS60" s="9">
        <f>[1]monsters!$N60</f>
        <v>267.83999999999997</v>
      </c>
      <c r="BT60" s="9">
        <f>[1]monsters!$O60</f>
        <v>26.78</v>
      </c>
      <c r="BU60" s="9">
        <f>[1]monsters!$P60</f>
        <v>1114.8399999999999</v>
      </c>
      <c r="BV60" s="9">
        <f>[1]monsters!$Q60</f>
        <v>111.48</v>
      </c>
      <c r="BW60" s="9">
        <f>[1]monsters!$R60</f>
        <v>26.78</v>
      </c>
      <c r="BX60" s="9">
        <f>[1]monsters!$S60</f>
        <v>2.68</v>
      </c>
      <c r="BY60" s="9">
        <f>[1]monsters!$K60</f>
        <v>1.8</v>
      </c>
      <c r="BZ60" s="7">
        <f>[1]monsters!$D60</f>
        <v>6</v>
      </c>
      <c r="CA60" s="7">
        <f t="shared" si="31"/>
        <v>0.1</v>
      </c>
      <c r="CB60" s="7">
        <f t="shared" si="32"/>
        <v>290.64550033670031</v>
      </c>
      <c r="CC60" s="7">
        <f t="shared" si="33"/>
        <v>29.064550033670031</v>
      </c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>
        <v>0</v>
      </c>
      <c r="CR60" s="25" t="b">
        <f t="shared" si="34"/>
        <v>1</v>
      </c>
      <c r="CS60" s="25" t="b">
        <f t="shared" si="35"/>
        <v>1</v>
      </c>
      <c r="CT60" s="25" t="b">
        <f t="shared" si="36"/>
        <v>1</v>
      </c>
      <c r="CU60" s="25" t="b">
        <f t="shared" si="37"/>
        <v>1</v>
      </c>
      <c r="CV60" s="25" t="b">
        <f t="shared" si="38"/>
        <v>1</v>
      </c>
      <c r="CW60" s="25" t="b">
        <f t="shared" si="39"/>
        <v>1</v>
      </c>
      <c r="CX60" s="16" t="str">
        <f t="shared" si="40"/>
        <v>5402062</v>
      </c>
      <c r="CY60" s="16" t="str">
        <f t="shared" si="41"/>
        <v>5201061</v>
      </c>
      <c r="CZ60" s="16" t="str">
        <f t="shared" si="42"/>
        <v>5202061</v>
      </c>
      <c r="DA60" s="16" t="str">
        <f t="shared" si="43"/>
        <v>5201061</v>
      </c>
      <c r="DB60" s="16" t="str">
        <f t="shared" si="44"/>
        <v>5401062</v>
      </c>
      <c r="DC60" s="16" t="str">
        <f t="shared" si="45"/>
        <v>5602064</v>
      </c>
      <c r="DD60" s="16">
        <v>6</v>
      </c>
      <c r="DE60" s="16">
        <v>6</v>
      </c>
      <c r="DF60" s="16">
        <v>6</v>
      </c>
      <c r="DG60" s="16">
        <v>6</v>
      </c>
      <c r="DH60" s="16">
        <v>6</v>
      </c>
      <c r="DI60" s="16">
        <v>6</v>
      </c>
      <c r="DJ60" s="16">
        <v>5</v>
      </c>
      <c r="DK60" s="16">
        <v>5</v>
      </c>
      <c r="DL60" s="16">
        <v>5</v>
      </c>
      <c r="DM60" s="16">
        <v>5</v>
      </c>
      <c r="DN60" s="16">
        <v>5</v>
      </c>
      <c r="DO60" s="16">
        <v>5</v>
      </c>
      <c r="DP60" s="51" t="s">
        <v>214</v>
      </c>
      <c r="DQ60" s="51" t="s">
        <v>206</v>
      </c>
      <c r="DR60" s="51" t="s">
        <v>117</v>
      </c>
      <c r="DS60" s="51" t="s">
        <v>206</v>
      </c>
      <c r="DT60" s="51" t="s">
        <v>213</v>
      </c>
      <c r="DU60" s="51" t="s">
        <v>232</v>
      </c>
      <c r="DV60" s="32">
        <f t="shared" si="5"/>
        <v>2</v>
      </c>
      <c r="DW60" s="32">
        <f t="shared" si="6"/>
        <v>1</v>
      </c>
      <c r="DX60" s="32">
        <f t="shared" si="7"/>
        <v>1</v>
      </c>
      <c r="DY60" s="32">
        <f t="shared" si="8"/>
        <v>1</v>
      </c>
      <c r="DZ60" s="32">
        <f t="shared" si="9"/>
        <v>2</v>
      </c>
      <c r="EA60" s="32">
        <f t="shared" si="10"/>
        <v>2</v>
      </c>
      <c r="EB60" s="38"/>
      <c r="EC60" s="7">
        <v>3602061</v>
      </c>
      <c r="ED60" s="35" t="s">
        <v>145</v>
      </c>
      <c r="EE60" s="16">
        <v>2</v>
      </c>
      <c r="EQ60" s="16">
        <v>303340201</v>
      </c>
      <c r="ER60" s="16" t="s">
        <v>186</v>
      </c>
      <c r="FD60" s="16">
        <v>5402062</v>
      </c>
      <c r="FE60" s="16">
        <v>5201061</v>
      </c>
      <c r="FF60" s="16">
        <v>5202061</v>
      </c>
      <c r="FG60" s="16">
        <v>5201061</v>
      </c>
      <c r="FH60" s="16">
        <v>5401062</v>
      </c>
      <c r="FI60" s="16">
        <v>5602064</v>
      </c>
      <c r="FJ60" t="str">
        <f t="shared" si="46"/>
        <v>火女巫</v>
      </c>
      <c r="FK60" t="str">
        <f t="shared" si="47"/>
        <v>水骑兵</v>
      </c>
      <c r="FL60" t="str">
        <f t="shared" si="48"/>
        <v>水维京</v>
      </c>
      <c r="FM60" t="str">
        <f t="shared" si="49"/>
        <v>水骑兵</v>
      </c>
      <c r="FN60" t="str">
        <f t="shared" si="50"/>
        <v>火魔法师</v>
      </c>
      <c r="FO60" t="str">
        <f t="shared" si="51"/>
        <v>光学者</v>
      </c>
      <c r="FP60" t="str">
        <f t="shared" si="52"/>
        <v>6</v>
      </c>
      <c r="FQ60" t="str">
        <f t="shared" si="53"/>
        <v>6</v>
      </c>
      <c r="FR60" t="str">
        <f t="shared" si="54"/>
        <v>6</v>
      </c>
      <c r="FS60" t="str">
        <f t="shared" si="55"/>
        <v>6</v>
      </c>
      <c r="FT60" t="str">
        <f t="shared" si="56"/>
        <v>6</v>
      </c>
      <c r="FU60" t="str">
        <f t="shared" si="57"/>
        <v>6</v>
      </c>
      <c r="FV60" t="str">
        <f t="shared" si="60"/>
        <v>5</v>
      </c>
      <c r="FW60" t="str">
        <f t="shared" si="61"/>
        <v>5</v>
      </c>
      <c r="FX60" t="str">
        <f t="shared" si="62"/>
        <v>5</v>
      </c>
      <c r="FY60" t="str">
        <f t="shared" si="63"/>
        <v>5</v>
      </c>
      <c r="FZ60" t="str">
        <f t="shared" si="64"/>
        <v>5</v>
      </c>
      <c r="GA60" t="str">
        <f t="shared" si="65"/>
        <v>5</v>
      </c>
    </row>
    <row r="61" spans="1:183" ht="13.5" customHeight="1">
      <c r="A61" s="1">
        <v>608</v>
      </c>
      <c r="B61" s="6">
        <v>10102</v>
      </c>
      <c r="C61" s="23" t="str">
        <f t="shared" si="20"/>
        <v>1101064,5201064,5201064,5402062,5402062,5402062</v>
      </c>
      <c r="D61" s="1" t="str">
        <f t="shared" si="21"/>
        <v>6,6,6,6,6,6</v>
      </c>
      <c r="E61" s="53" t="str">
        <f t="shared" si="22"/>
        <v>335,324,324,324,324,324</v>
      </c>
      <c r="F61" s="1">
        <f t="shared" si="0"/>
        <v>437514</v>
      </c>
      <c r="G61" s="23" t="s">
        <v>34</v>
      </c>
      <c r="H61" s="1" t="s">
        <v>28</v>
      </c>
      <c r="I61" s="1" t="s">
        <v>28</v>
      </c>
      <c r="J61" s="1" t="s">
        <v>28</v>
      </c>
      <c r="K61" s="2" t="s">
        <v>33</v>
      </c>
      <c r="L61" s="1">
        <v>1</v>
      </c>
      <c r="M61" s="1">
        <v>5</v>
      </c>
      <c r="O61" s="25">
        <f t="shared" si="23"/>
        <v>437514</v>
      </c>
      <c r="P61" s="16">
        <v>437514.33</v>
      </c>
      <c r="Q61" s="16">
        <v>1101064</v>
      </c>
      <c r="R61" s="16">
        <v>5201064</v>
      </c>
      <c r="S61" s="16">
        <v>5201064</v>
      </c>
      <c r="T61" s="16">
        <v>5402062</v>
      </c>
      <c r="U61" s="16">
        <v>5402062</v>
      </c>
      <c r="V61" s="16">
        <v>5402062</v>
      </c>
      <c r="W61" s="16">
        <v>6</v>
      </c>
      <c r="X61" s="16">
        <v>6</v>
      </c>
      <c r="Y61" s="16">
        <v>6</v>
      </c>
      <c r="Z61" s="16">
        <v>6</v>
      </c>
      <c r="AA61" s="16">
        <v>6</v>
      </c>
      <c r="AB61" s="16">
        <v>6</v>
      </c>
      <c r="AC61" s="16">
        <f t="shared" si="24"/>
        <v>335</v>
      </c>
      <c r="AD61" s="16">
        <f t="shared" si="59"/>
        <v>324</v>
      </c>
      <c r="AE61" s="16">
        <f t="shared" si="59"/>
        <v>324</v>
      </c>
      <c r="AF61" s="16">
        <f t="shared" si="59"/>
        <v>324</v>
      </c>
      <c r="AG61" s="16">
        <f t="shared" si="59"/>
        <v>324</v>
      </c>
      <c r="AH61" s="16">
        <f t="shared" si="59"/>
        <v>324</v>
      </c>
      <c r="AI61" s="28">
        <f t="shared" si="25"/>
        <v>87502.866000000009</v>
      </c>
      <c r="AJ61" s="28">
        <f t="shared" si="66"/>
        <v>70002.29280000001</v>
      </c>
      <c r="AK61" s="28">
        <f t="shared" si="66"/>
        <v>70002.29280000001</v>
      </c>
      <c r="AL61" s="28">
        <f t="shared" si="66"/>
        <v>70002.29280000001</v>
      </c>
      <c r="AM61" s="28">
        <f t="shared" si="66"/>
        <v>70002.29280000001</v>
      </c>
      <c r="AN61" s="28">
        <f t="shared" si="66"/>
        <v>70002.29280000001</v>
      </c>
      <c r="AO61" s="30"/>
      <c r="AP61" s="28"/>
      <c r="AQ61" s="16">
        <v>4</v>
      </c>
      <c r="AR61" s="16">
        <f t="shared" si="27"/>
        <v>434</v>
      </c>
      <c r="AS61" s="28">
        <f t="shared" si="28"/>
        <v>633</v>
      </c>
      <c r="AT61" s="28"/>
      <c r="AU61" s="30">
        <v>437514.33</v>
      </c>
      <c r="AV61" s="28" t="str">
        <f t="shared" si="29"/>
        <v>小:0</v>
      </c>
      <c r="AW61" s="28"/>
      <c r="AX61" s="28"/>
      <c r="AZ61" s="28"/>
      <c r="BA61" s="16">
        <f t="shared" si="67"/>
        <v>7119.8100000000013</v>
      </c>
      <c r="BC61" s="7">
        <f t="shared" si="30"/>
        <v>313</v>
      </c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28"/>
      <c r="BQ61" s="9"/>
      <c r="BR61" s="9">
        <v>4202045</v>
      </c>
      <c r="BS61" s="9">
        <f>[1]monsters!$N61</f>
        <v>112.32</v>
      </c>
      <c r="BT61" s="9">
        <f>[1]monsters!$O61</f>
        <v>11.23</v>
      </c>
      <c r="BU61" s="9">
        <f>[1]monsters!$P61</f>
        <v>1920</v>
      </c>
      <c r="BV61" s="9">
        <f>[1]monsters!$Q61</f>
        <v>192</v>
      </c>
      <c r="BW61" s="9">
        <f>[1]monsters!$R61</f>
        <v>22.46</v>
      </c>
      <c r="BX61" s="9">
        <f>[1]monsters!$S61</f>
        <v>2.25</v>
      </c>
      <c r="BY61" s="9">
        <f>[1]monsters!$K61</f>
        <v>1.3</v>
      </c>
      <c r="BZ61" s="7">
        <f>[1]monsters!$D61</f>
        <v>3</v>
      </c>
      <c r="CA61" s="7">
        <f t="shared" si="31"/>
        <v>0.1</v>
      </c>
      <c r="CB61" s="7">
        <f t="shared" si="32"/>
        <v>170.78886464646462</v>
      </c>
      <c r="CC61" s="7">
        <f t="shared" si="33"/>
        <v>17.078886464646462</v>
      </c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>
        <v>0</v>
      </c>
      <c r="CR61" s="25" t="b">
        <f t="shared" si="34"/>
        <v>1</v>
      </c>
      <c r="CS61" s="25" t="b">
        <f t="shared" si="35"/>
        <v>1</v>
      </c>
      <c r="CT61" s="25" t="b">
        <f t="shared" si="36"/>
        <v>1</v>
      </c>
      <c r="CU61" s="25" t="b">
        <f t="shared" si="37"/>
        <v>1</v>
      </c>
      <c r="CV61" s="25" t="b">
        <f t="shared" si="38"/>
        <v>1</v>
      </c>
      <c r="CW61" s="25" t="b">
        <f t="shared" si="39"/>
        <v>1</v>
      </c>
      <c r="CX61" s="16" t="str">
        <f t="shared" si="40"/>
        <v>1101064</v>
      </c>
      <c r="CY61" s="16" t="str">
        <f t="shared" si="41"/>
        <v>5201064</v>
      </c>
      <c r="CZ61" s="16" t="str">
        <f t="shared" si="42"/>
        <v>5201064</v>
      </c>
      <c r="DA61" s="16" t="str">
        <f t="shared" si="43"/>
        <v>5402062</v>
      </c>
      <c r="DB61" s="16" t="str">
        <f t="shared" si="44"/>
        <v>5402062</v>
      </c>
      <c r="DC61" s="16" t="str">
        <f t="shared" si="45"/>
        <v>5402062</v>
      </c>
      <c r="DD61" s="16">
        <v>6</v>
      </c>
      <c r="DE61" s="16">
        <v>6</v>
      </c>
      <c r="DF61" s="16">
        <v>6</v>
      </c>
      <c r="DG61" s="16">
        <v>6</v>
      </c>
      <c r="DH61" s="16">
        <v>6</v>
      </c>
      <c r="DI61" s="16">
        <v>6</v>
      </c>
      <c r="DJ61" s="16">
        <v>1</v>
      </c>
      <c r="DK61" s="16">
        <v>5</v>
      </c>
      <c r="DL61" s="16">
        <v>5</v>
      </c>
      <c r="DM61" s="16">
        <v>5</v>
      </c>
      <c r="DN61" s="16">
        <v>5</v>
      </c>
      <c r="DO61" s="16">
        <v>5</v>
      </c>
      <c r="DP61" s="36" t="s">
        <v>301</v>
      </c>
      <c r="DQ61" s="36" t="s">
        <v>236</v>
      </c>
      <c r="DR61" s="36" t="s">
        <v>236</v>
      </c>
      <c r="DS61" s="36" t="s">
        <v>214</v>
      </c>
      <c r="DT61" s="36" t="s">
        <v>214</v>
      </c>
      <c r="DU61" s="36" t="s">
        <v>214</v>
      </c>
      <c r="DV61" s="32">
        <f t="shared" si="5"/>
        <v>1</v>
      </c>
      <c r="DW61" s="32">
        <f t="shared" si="6"/>
        <v>1</v>
      </c>
      <c r="DX61" s="32">
        <f t="shared" si="7"/>
        <v>1</v>
      </c>
      <c r="DY61" s="32">
        <f t="shared" si="8"/>
        <v>2</v>
      </c>
      <c r="DZ61" s="32">
        <f t="shared" si="9"/>
        <v>2</v>
      </c>
      <c r="EA61" s="32">
        <f t="shared" si="10"/>
        <v>2</v>
      </c>
      <c r="EB61" s="38"/>
      <c r="EC61" s="7">
        <v>3300062</v>
      </c>
      <c r="ED61" s="35" t="s">
        <v>147</v>
      </c>
      <c r="EE61" s="16">
        <v>2</v>
      </c>
      <c r="EQ61" s="16">
        <v>303350001</v>
      </c>
      <c r="ER61" s="16" t="s">
        <v>176</v>
      </c>
      <c r="FD61" s="16">
        <v>1101064</v>
      </c>
      <c r="FE61" s="16">
        <v>5201064</v>
      </c>
      <c r="FF61" s="16">
        <v>5201064</v>
      </c>
      <c r="FG61" s="16">
        <v>5402062</v>
      </c>
      <c r="FH61" s="16">
        <v>5402062</v>
      </c>
      <c r="FI61" s="16">
        <v>5402062</v>
      </c>
      <c r="FJ61" t="str">
        <f t="shared" si="46"/>
        <v>光黑骑士</v>
      </c>
      <c r="FK61" t="str">
        <f t="shared" si="47"/>
        <v>光骑兵</v>
      </c>
      <c r="FL61" t="str">
        <f t="shared" si="48"/>
        <v>光骑兵</v>
      </c>
      <c r="FM61" t="str">
        <f t="shared" si="49"/>
        <v>火女巫</v>
      </c>
      <c r="FN61" t="str">
        <f t="shared" si="50"/>
        <v>火女巫</v>
      </c>
      <c r="FO61" t="str">
        <f t="shared" si="51"/>
        <v>火女巫</v>
      </c>
      <c r="FP61" t="str">
        <f t="shared" si="52"/>
        <v>6</v>
      </c>
      <c r="FQ61" t="str">
        <f t="shared" si="53"/>
        <v>6</v>
      </c>
      <c r="FR61" t="str">
        <f t="shared" si="54"/>
        <v>6</v>
      </c>
      <c r="FS61" t="str">
        <f t="shared" si="55"/>
        <v>6</v>
      </c>
      <c r="FT61" t="str">
        <f t="shared" si="56"/>
        <v>6</v>
      </c>
      <c r="FU61" t="str">
        <f t="shared" si="57"/>
        <v>6</v>
      </c>
      <c r="FV61" t="str">
        <f t="shared" si="60"/>
        <v>1</v>
      </c>
      <c r="FW61" t="str">
        <f t="shared" si="61"/>
        <v>5</v>
      </c>
      <c r="FX61" t="str">
        <f t="shared" si="62"/>
        <v>5</v>
      </c>
      <c r="FY61" t="str">
        <f t="shared" si="63"/>
        <v>5</v>
      </c>
      <c r="FZ61" t="str">
        <f t="shared" si="64"/>
        <v>5</v>
      </c>
      <c r="GA61" t="str">
        <f t="shared" si="65"/>
        <v>5</v>
      </c>
    </row>
    <row r="62" spans="1:183" ht="13.5" customHeight="1">
      <c r="A62" s="1">
        <v>609</v>
      </c>
      <c r="B62" s="6">
        <v>10102</v>
      </c>
      <c r="C62" s="23" t="str">
        <f t="shared" si="20"/>
        <v>5601062,5201062,5201062,5201062,5502062,5502062</v>
      </c>
      <c r="D62" s="1" t="str">
        <f t="shared" si="21"/>
        <v>6,6,6,6,6,6</v>
      </c>
      <c r="E62" s="53" t="str">
        <f t="shared" si="22"/>
        <v>338,326,326,326,326,326</v>
      </c>
      <c r="F62" s="1">
        <f t="shared" si="0"/>
        <v>444744</v>
      </c>
      <c r="G62" s="23" t="s">
        <v>34</v>
      </c>
      <c r="H62" s="1" t="s">
        <v>28</v>
      </c>
      <c r="I62" s="1" t="s">
        <v>28</v>
      </c>
      <c r="J62" s="1" t="s">
        <v>28</v>
      </c>
      <c r="K62" s="2" t="s">
        <v>360</v>
      </c>
      <c r="L62" s="1">
        <v>2</v>
      </c>
      <c r="M62" s="1">
        <v>2</v>
      </c>
      <c r="O62" s="25">
        <f t="shared" si="23"/>
        <v>444744</v>
      </c>
      <c r="P62" s="16">
        <v>444743.64</v>
      </c>
      <c r="Q62" s="16">
        <v>5601062</v>
      </c>
      <c r="R62" s="16">
        <v>5201062</v>
      </c>
      <c r="S62" s="16">
        <v>5201062</v>
      </c>
      <c r="T62" s="16">
        <v>5201062</v>
      </c>
      <c r="U62" s="16">
        <v>5502062</v>
      </c>
      <c r="V62" s="16">
        <v>5502062</v>
      </c>
      <c r="W62" s="16">
        <v>6</v>
      </c>
      <c r="X62" s="16">
        <v>6</v>
      </c>
      <c r="Y62" s="16">
        <v>6</v>
      </c>
      <c r="Z62" s="16">
        <v>6</v>
      </c>
      <c r="AA62" s="16">
        <v>6</v>
      </c>
      <c r="AB62" s="16">
        <v>6</v>
      </c>
      <c r="AC62" s="16">
        <f t="shared" si="24"/>
        <v>338</v>
      </c>
      <c r="AD62" s="16">
        <f t="shared" si="59"/>
        <v>326</v>
      </c>
      <c r="AE62" s="16">
        <f t="shared" si="59"/>
        <v>326</v>
      </c>
      <c r="AF62" s="16">
        <f t="shared" si="59"/>
        <v>326</v>
      </c>
      <c r="AG62" s="16">
        <f t="shared" si="59"/>
        <v>326</v>
      </c>
      <c r="AH62" s="16">
        <f t="shared" si="59"/>
        <v>326</v>
      </c>
      <c r="AI62" s="28">
        <f t="shared" si="25"/>
        <v>88948.728000000003</v>
      </c>
      <c r="AJ62" s="28">
        <f t="shared" si="66"/>
        <v>71158.982400000008</v>
      </c>
      <c r="AK62" s="28">
        <f t="shared" si="66"/>
        <v>71158.982400000008</v>
      </c>
      <c r="AL62" s="28">
        <f t="shared" si="66"/>
        <v>71158.982400000008</v>
      </c>
      <c r="AM62" s="28">
        <f t="shared" si="66"/>
        <v>71158.982400000008</v>
      </c>
      <c r="AN62" s="28">
        <f t="shared" si="66"/>
        <v>71158.982400000008</v>
      </c>
      <c r="AO62" s="30"/>
      <c r="AP62" s="28"/>
      <c r="AQ62" s="16">
        <v>4</v>
      </c>
      <c r="AR62" s="16">
        <f t="shared" si="27"/>
        <v>438</v>
      </c>
      <c r="AS62" s="28">
        <f t="shared" si="28"/>
        <v>634</v>
      </c>
      <c r="AT62" s="28"/>
      <c r="AU62" s="30">
        <v>444743.64</v>
      </c>
      <c r="AV62" s="28" t="str">
        <f t="shared" si="29"/>
        <v>小:0</v>
      </c>
      <c r="AW62" s="28"/>
      <c r="AX62" s="28"/>
      <c r="AZ62" s="28"/>
      <c r="BA62" s="16">
        <f t="shared" si="67"/>
        <v>7155.3550000000014</v>
      </c>
      <c r="BC62" s="7">
        <f t="shared" si="30"/>
        <v>316</v>
      </c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28"/>
      <c r="BQ62" s="9"/>
      <c r="BR62" s="9">
        <v>4302045</v>
      </c>
      <c r="BS62" s="9">
        <f>[1]monsters!$N62</f>
        <v>120.96</v>
      </c>
      <c r="BT62" s="9">
        <f>[1]monsters!$O62</f>
        <v>12.1</v>
      </c>
      <c r="BU62" s="9">
        <f>[1]monsters!$P62</f>
        <v>1920</v>
      </c>
      <c r="BV62" s="9">
        <f>[1]monsters!$Q62</f>
        <v>192</v>
      </c>
      <c r="BW62" s="9">
        <f>[1]monsters!$R62</f>
        <v>24.19</v>
      </c>
      <c r="BX62" s="9">
        <f>[1]monsters!$S62</f>
        <v>2.42</v>
      </c>
      <c r="BY62" s="9">
        <f>[1]monsters!$K62</f>
        <v>1.4000000000000001</v>
      </c>
      <c r="BZ62" s="7">
        <f>[1]monsters!$D62</f>
        <v>3</v>
      </c>
      <c r="CA62" s="7">
        <f t="shared" si="31"/>
        <v>0.1</v>
      </c>
      <c r="CB62" s="7">
        <f t="shared" si="32"/>
        <v>178.95366464646463</v>
      </c>
      <c r="CC62" s="7">
        <f t="shared" si="33"/>
        <v>17.895366464646465</v>
      </c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>
        <v>0</v>
      </c>
      <c r="CR62" s="25" t="b">
        <f t="shared" si="34"/>
        <v>1</v>
      </c>
      <c r="CS62" s="25" t="b">
        <f t="shared" si="35"/>
        <v>1</v>
      </c>
      <c r="CT62" s="25" t="b">
        <f t="shared" si="36"/>
        <v>1</v>
      </c>
      <c r="CU62" s="25" t="b">
        <f t="shared" si="37"/>
        <v>1</v>
      </c>
      <c r="CV62" s="25" t="b">
        <f t="shared" si="38"/>
        <v>1</v>
      </c>
      <c r="CW62" s="25" t="b">
        <f t="shared" si="39"/>
        <v>1</v>
      </c>
      <c r="CX62" s="16" t="str">
        <f t="shared" si="40"/>
        <v>5601062</v>
      </c>
      <c r="CY62" s="16" t="str">
        <f t="shared" si="41"/>
        <v>5201062</v>
      </c>
      <c r="CZ62" s="16" t="str">
        <f t="shared" si="42"/>
        <v>5201062</v>
      </c>
      <c r="DA62" s="16" t="str">
        <f t="shared" si="43"/>
        <v>5201062</v>
      </c>
      <c r="DB62" s="16" t="str">
        <f t="shared" si="44"/>
        <v>5502062</v>
      </c>
      <c r="DC62" s="16" t="str">
        <f t="shared" si="45"/>
        <v>5502062</v>
      </c>
      <c r="DD62" s="16">
        <v>6</v>
      </c>
      <c r="DE62" s="16">
        <v>6</v>
      </c>
      <c r="DF62" s="16">
        <v>6</v>
      </c>
      <c r="DG62" s="16">
        <v>6</v>
      </c>
      <c r="DH62" s="16">
        <v>6</v>
      </c>
      <c r="DI62" s="16">
        <v>6</v>
      </c>
      <c r="DJ62" s="16">
        <v>5</v>
      </c>
      <c r="DK62" s="16">
        <v>5</v>
      </c>
      <c r="DL62" s="16">
        <v>5</v>
      </c>
      <c r="DM62" s="16">
        <v>5</v>
      </c>
      <c r="DN62" s="16">
        <v>5</v>
      </c>
      <c r="DO62" s="16">
        <v>5</v>
      </c>
      <c r="DP62" s="51" t="s">
        <v>216</v>
      </c>
      <c r="DQ62" s="51" t="s">
        <v>120</v>
      </c>
      <c r="DR62" s="51" t="s">
        <v>120</v>
      </c>
      <c r="DS62" s="36" t="s">
        <v>120</v>
      </c>
      <c r="DT62" s="36" t="s">
        <v>215</v>
      </c>
      <c r="DU62" s="36" t="s">
        <v>215</v>
      </c>
      <c r="DV62" s="32">
        <f t="shared" si="5"/>
        <v>2</v>
      </c>
      <c r="DW62" s="32">
        <f t="shared" si="6"/>
        <v>1</v>
      </c>
      <c r="DX62" s="32">
        <f t="shared" si="7"/>
        <v>1</v>
      </c>
      <c r="DY62" s="32">
        <f t="shared" si="8"/>
        <v>1</v>
      </c>
      <c r="DZ62" s="32">
        <f t="shared" si="9"/>
        <v>2</v>
      </c>
      <c r="EA62" s="32">
        <f t="shared" si="10"/>
        <v>2</v>
      </c>
      <c r="EB62" s="38"/>
      <c r="EC62" s="7">
        <v>3302063</v>
      </c>
      <c r="ED62" s="35" t="s">
        <v>149</v>
      </c>
      <c r="EE62" s="16">
        <v>1</v>
      </c>
      <c r="EQ62" s="16">
        <v>303350201</v>
      </c>
      <c r="ER62" s="16" t="s">
        <v>180</v>
      </c>
      <c r="FD62" s="16">
        <v>5601062</v>
      </c>
      <c r="FE62" s="16">
        <v>5201062</v>
      </c>
      <c r="FF62" s="16">
        <v>5201062</v>
      </c>
      <c r="FG62" s="16">
        <v>5201062</v>
      </c>
      <c r="FH62" s="16">
        <v>5502062</v>
      </c>
      <c r="FI62" s="16">
        <v>5502062</v>
      </c>
      <c r="FJ62" t="str">
        <f t="shared" si="46"/>
        <v>火修女</v>
      </c>
      <c r="FK62" t="str">
        <f t="shared" si="47"/>
        <v>火骑兵</v>
      </c>
      <c r="FL62" t="str">
        <f t="shared" si="48"/>
        <v>火骑兵</v>
      </c>
      <c r="FM62" t="str">
        <f t="shared" si="49"/>
        <v>火骑兵</v>
      </c>
      <c r="FN62" t="str">
        <f t="shared" si="50"/>
        <v>火火枪手</v>
      </c>
      <c r="FO62" t="str">
        <f t="shared" si="51"/>
        <v>火火枪手</v>
      </c>
      <c r="FP62" t="str">
        <f t="shared" si="52"/>
        <v>6</v>
      </c>
      <c r="FQ62" t="str">
        <f t="shared" si="53"/>
        <v>6</v>
      </c>
      <c r="FR62" t="str">
        <f t="shared" si="54"/>
        <v>6</v>
      </c>
      <c r="FS62" t="str">
        <f t="shared" si="55"/>
        <v>6</v>
      </c>
      <c r="FT62" t="str">
        <f t="shared" si="56"/>
        <v>6</v>
      </c>
      <c r="FU62" t="str">
        <f t="shared" si="57"/>
        <v>6</v>
      </c>
      <c r="FV62" t="str">
        <f t="shared" si="60"/>
        <v>5</v>
      </c>
      <c r="FW62" t="str">
        <f t="shared" si="61"/>
        <v>5</v>
      </c>
      <c r="FX62" t="str">
        <f t="shared" si="62"/>
        <v>5</v>
      </c>
      <c r="FY62" t="str">
        <f t="shared" si="63"/>
        <v>5</v>
      </c>
      <c r="FZ62" t="str">
        <f t="shared" si="64"/>
        <v>5</v>
      </c>
      <c r="GA62" t="str">
        <f t="shared" si="65"/>
        <v>5</v>
      </c>
    </row>
    <row r="63" spans="1:183" ht="13.5" customHeight="1">
      <c r="A63" s="1">
        <v>610</v>
      </c>
      <c r="B63" s="6">
        <v>10102</v>
      </c>
      <c r="C63" s="23" t="str">
        <f t="shared" si="20"/>
        <v>1103062,5202062,5201062,5202062,5601062,5601062</v>
      </c>
      <c r="D63" s="1" t="str">
        <f t="shared" si="21"/>
        <v>6,6,6,6,6,6</v>
      </c>
      <c r="E63" s="53" t="str">
        <f t="shared" si="22"/>
        <v>341,329,329,329,329,329</v>
      </c>
      <c r="F63" s="1">
        <f t="shared" si="0"/>
        <v>450711</v>
      </c>
      <c r="G63" s="23" t="s">
        <v>34</v>
      </c>
      <c r="H63" s="1" t="s">
        <v>28</v>
      </c>
      <c r="I63" s="1" t="s">
        <v>28</v>
      </c>
      <c r="J63" s="1" t="s">
        <v>28</v>
      </c>
      <c r="K63" s="2" t="s">
        <v>361</v>
      </c>
      <c r="L63" s="1">
        <v>3</v>
      </c>
      <c r="M63" s="1">
        <v>2</v>
      </c>
      <c r="O63" s="25">
        <f t="shared" si="23"/>
        <v>450711</v>
      </c>
      <c r="P63" s="16">
        <v>450710.59</v>
      </c>
      <c r="Q63" s="16">
        <v>1103062</v>
      </c>
      <c r="R63" s="16">
        <v>5202062</v>
      </c>
      <c r="S63" s="16">
        <v>5201062</v>
      </c>
      <c r="T63" s="16">
        <v>5202062</v>
      </c>
      <c r="U63" s="16">
        <v>5601062</v>
      </c>
      <c r="V63" s="16">
        <v>5601062</v>
      </c>
      <c r="W63" s="16">
        <v>6</v>
      </c>
      <c r="X63" s="16">
        <v>6</v>
      </c>
      <c r="Y63" s="16">
        <v>6</v>
      </c>
      <c r="Z63" s="16">
        <v>6</v>
      </c>
      <c r="AA63" s="16">
        <v>6</v>
      </c>
      <c r="AB63" s="16">
        <v>6</v>
      </c>
      <c r="AC63" s="16">
        <f t="shared" si="24"/>
        <v>341</v>
      </c>
      <c r="AD63" s="16">
        <f t="shared" si="59"/>
        <v>329</v>
      </c>
      <c r="AE63" s="16">
        <f t="shared" si="59"/>
        <v>329</v>
      </c>
      <c r="AF63" s="16">
        <f t="shared" si="59"/>
        <v>329</v>
      </c>
      <c r="AG63" s="16">
        <f t="shared" si="59"/>
        <v>329</v>
      </c>
      <c r="AH63" s="16">
        <f t="shared" si="59"/>
        <v>329</v>
      </c>
      <c r="AI63" s="28">
        <f t="shared" si="25"/>
        <v>90142.118000000017</v>
      </c>
      <c r="AJ63" s="28">
        <f t="shared" si="66"/>
        <v>72113.694400000008</v>
      </c>
      <c r="AK63" s="28">
        <f t="shared" si="66"/>
        <v>72113.694400000008</v>
      </c>
      <c r="AL63" s="28">
        <f t="shared" si="66"/>
        <v>72113.694400000008</v>
      </c>
      <c r="AM63" s="28">
        <f t="shared" si="66"/>
        <v>72113.694400000008</v>
      </c>
      <c r="AN63" s="28">
        <f t="shared" si="66"/>
        <v>72113.694400000008</v>
      </c>
      <c r="AO63" s="30"/>
      <c r="AP63" s="28"/>
      <c r="AQ63" s="16">
        <v>4</v>
      </c>
      <c r="AR63" s="16">
        <f t="shared" si="27"/>
        <v>441</v>
      </c>
      <c r="AS63" s="28">
        <f t="shared" si="28"/>
        <v>635</v>
      </c>
      <c r="AT63" s="28"/>
      <c r="AU63" s="30">
        <v>450710.59</v>
      </c>
      <c r="AV63" s="28" t="str">
        <f t="shared" si="29"/>
        <v>小:0</v>
      </c>
      <c r="AW63" s="28"/>
      <c r="AX63" s="28"/>
      <c r="AZ63" s="28"/>
      <c r="BA63" s="16">
        <f t="shared" si="67"/>
        <v>7190.9000000000015</v>
      </c>
      <c r="BC63" s="7">
        <f t="shared" si="30"/>
        <v>318</v>
      </c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28"/>
      <c r="BQ63" s="9"/>
      <c r="BR63" s="9">
        <v>4400045</v>
      </c>
      <c r="BS63" s="9">
        <f>[1]monsters!$N63</f>
        <v>161.28</v>
      </c>
      <c r="BT63" s="9">
        <f>[1]monsters!$O63</f>
        <v>16.13</v>
      </c>
      <c r="BU63" s="9">
        <f>[1]monsters!$P63</f>
        <v>1440</v>
      </c>
      <c r="BV63" s="9">
        <f>[1]monsters!$Q63</f>
        <v>144</v>
      </c>
      <c r="BW63" s="9">
        <f>[1]monsters!$R63</f>
        <v>23.04</v>
      </c>
      <c r="BX63" s="9">
        <f>[1]monsters!$S63</f>
        <v>2.2999999999999998</v>
      </c>
      <c r="BY63" s="9">
        <f>[1]monsters!$K63</f>
        <v>1.4000000000000001</v>
      </c>
      <c r="BZ63" s="7">
        <f>[1]monsters!$D63</f>
        <v>4</v>
      </c>
      <c r="CA63" s="7">
        <f t="shared" si="31"/>
        <v>0.1</v>
      </c>
      <c r="CB63" s="7">
        <f t="shared" si="32"/>
        <v>200.89444848484848</v>
      </c>
      <c r="CC63" s="7">
        <f t="shared" si="33"/>
        <v>20.089444848484849</v>
      </c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>
        <v>1</v>
      </c>
      <c r="CR63" s="25" t="b">
        <f t="shared" si="34"/>
        <v>1</v>
      </c>
      <c r="CS63" s="25" t="b">
        <f t="shared" si="35"/>
        <v>1</v>
      </c>
      <c r="CT63" s="25" t="b">
        <f t="shared" si="36"/>
        <v>1</v>
      </c>
      <c r="CU63" s="25" t="b">
        <f t="shared" si="37"/>
        <v>1</v>
      </c>
      <c r="CV63" s="25" t="b">
        <f t="shared" si="38"/>
        <v>1</v>
      </c>
      <c r="CW63" s="25" t="b">
        <f t="shared" si="39"/>
        <v>1</v>
      </c>
      <c r="CX63" s="16" t="str">
        <f t="shared" si="40"/>
        <v>1103062</v>
      </c>
      <c r="CY63" s="16" t="str">
        <f t="shared" si="41"/>
        <v>5202062</v>
      </c>
      <c r="CZ63" s="16" t="str">
        <f t="shared" si="42"/>
        <v>5201062</v>
      </c>
      <c r="DA63" s="16" t="str">
        <f t="shared" si="43"/>
        <v>5202062</v>
      </c>
      <c r="DB63" s="16" t="str">
        <f t="shared" si="44"/>
        <v>5601062</v>
      </c>
      <c r="DC63" s="16" t="str">
        <f t="shared" si="45"/>
        <v>5601062</v>
      </c>
      <c r="DD63" s="16">
        <v>6</v>
      </c>
      <c r="DE63" s="16">
        <v>6</v>
      </c>
      <c r="DF63" s="16">
        <v>6</v>
      </c>
      <c r="DG63" s="16">
        <v>6</v>
      </c>
      <c r="DH63" s="16">
        <v>6</v>
      </c>
      <c r="DI63" s="16">
        <v>6</v>
      </c>
      <c r="DJ63" s="16">
        <v>1</v>
      </c>
      <c r="DK63" s="16">
        <v>5</v>
      </c>
      <c r="DL63" s="16">
        <v>5</v>
      </c>
      <c r="DM63" s="16">
        <v>5</v>
      </c>
      <c r="DN63" s="16">
        <v>5</v>
      </c>
      <c r="DO63" s="16">
        <v>5</v>
      </c>
      <c r="DP63" s="51" t="s">
        <v>309</v>
      </c>
      <c r="DQ63" s="51" t="s">
        <v>211</v>
      </c>
      <c r="DR63" s="51" t="s">
        <v>120</v>
      </c>
      <c r="DS63" s="36" t="s">
        <v>211</v>
      </c>
      <c r="DT63" s="36" t="s">
        <v>216</v>
      </c>
      <c r="DU63" s="36" t="s">
        <v>216</v>
      </c>
      <c r="DV63" s="32">
        <f t="shared" si="5"/>
        <v>2</v>
      </c>
      <c r="DW63" s="32">
        <f t="shared" si="6"/>
        <v>1</v>
      </c>
      <c r="DX63" s="32">
        <f t="shared" si="7"/>
        <v>1</v>
      </c>
      <c r="DY63" s="32">
        <f t="shared" si="8"/>
        <v>1</v>
      </c>
      <c r="DZ63" s="32">
        <f t="shared" si="9"/>
        <v>2</v>
      </c>
      <c r="EA63" s="32">
        <f t="shared" si="10"/>
        <v>2</v>
      </c>
      <c r="EB63" s="38"/>
      <c r="EC63" s="7">
        <v>3400062</v>
      </c>
      <c r="ED63" s="35" t="s">
        <v>151</v>
      </c>
      <c r="EE63" s="16">
        <v>2</v>
      </c>
      <c r="EQ63" s="16">
        <v>303360101</v>
      </c>
      <c r="ER63" s="16" t="s">
        <v>178</v>
      </c>
      <c r="FD63" s="16">
        <v>1103062</v>
      </c>
      <c r="FE63" s="16">
        <v>5202062</v>
      </c>
      <c r="FF63" s="16">
        <v>5201062</v>
      </c>
      <c r="FG63" s="16">
        <v>5202062</v>
      </c>
      <c r="FH63" s="16">
        <v>5601062</v>
      </c>
      <c r="FI63" s="16">
        <v>5601062</v>
      </c>
      <c r="FJ63" t="str">
        <f t="shared" si="46"/>
        <v>火龙王</v>
      </c>
      <c r="FK63" t="str">
        <f t="shared" si="47"/>
        <v>火维京</v>
      </c>
      <c r="FL63" t="str">
        <f t="shared" si="48"/>
        <v>火骑兵</v>
      </c>
      <c r="FM63" t="str">
        <f t="shared" si="49"/>
        <v>火维京</v>
      </c>
      <c r="FN63" t="str">
        <f t="shared" si="50"/>
        <v>火修女</v>
      </c>
      <c r="FO63" t="str">
        <f t="shared" si="51"/>
        <v>火修女</v>
      </c>
      <c r="FP63" t="str">
        <f t="shared" si="52"/>
        <v>6</v>
      </c>
      <c r="FQ63" t="str">
        <f t="shared" si="53"/>
        <v>6</v>
      </c>
      <c r="FR63" t="str">
        <f t="shared" si="54"/>
        <v>6</v>
      </c>
      <c r="FS63" t="str">
        <f t="shared" si="55"/>
        <v>6</v>
      </c>
      <c r="FT63" t="str">
        <f t="shared" si="56"/>
        <v>6</v>
      </c>
      <c r="FU63" t="str">
        <f t="shared" si="57"/>
        <v>6</v>
      </c>
      <c r="FV63" t="str">
        <f t="shared" si="60"/>
        <v>1</v>
      </c>
      <c r="FW63" t="str">
        <f t="shared" si="61"/>
        <v>5</v>
      </c>
      <c r="FX63" t="str">
        <f t="shared" si="62"/>
        <v>5</v>
      </c>
      <c r="FY63" t="str">
        <f t="shared" si="63"/>
        <v>5</v>
      </c>
      <c r="FZ63" t="str">
        <f t="shared" si="64"/>
        <v>5</v>
      </c>
      <c r="GA63" t="str">
        <f t="shared" si="65"/>
        <v>5</v>
      </c>
    </row>
    <row r="64" spans="1:183" ht="13.5" customHeight="1">
      <c r="A64" s="1">
        <v>701</v>
      </c>
      <c r="B64" s="6">
        <v>10042</v>
      </c>
      <c r="C64" s="23" t="str">
        <f t="shared" si="20"/>
        <v>5601073,5201073,5201074,5201064,5502062,5502062</v>
      </c>
      <c r="D64" s="1" t="str">
        <f t="shared" si="21"/>
        <v>7,7,7,6,6,6</v>
      </c>
      <c r="E64" s="53" t="str">
        <f t="shared" si="22"/>
        <v>316,305,305,340,340,340</v>
      </c>
      <c r="F64" s="1">
        <f t="shared" si="0"/>
        <v>482209</v>
      </c>
      <c r="G64" s="23" t="s">
        <v>34</v>
      </c>
      <c r="H64" s="1" t="s">
        <v>28</v>
      </c>
      <c r="I64" s="1" t="s">
        <v>28</v>
      </c>
      <c r="J64" s="1" t="s">
        <v>28</v>
      </c>
      <c r="K64" s="2" t="s">
        <v>362</v>
      </c>
      <c r="L64" s="1">
        <v>0</v>
      </c>
      <c r="M64" s="1">
        <v>4</v>
      </c>
      <c r="O64" s="25">
        <f t="shared" si="23"/>
        <v>482209</v>
      </c>
      <c r="P64" s="16">
        <v>482208.98</v>
      </c>
      <c r="Q64" s="16">
        <v>5601073</v>
      </c>
      <c r="R64" s="16">
        <v>5201073</v>
      </c>
      <c r="S64" s="16">
        <v>5201074</v>
      </c>
      <c r="T64" s="16">
        <v>5201064</v>
      </c>
      <c r="U64" s="16">
        <v>5502062</v>
      </c>
      <c r="V64" s="16">
        <v>5502062</v>
      </c>
      <c r="W64" s="16">
        <v>7</v>
      </c>
      <c r="X64" s="16">
        <v>7</v>
      </c>
      <c r="Y64" s="16">
        <v>7</v>
      </c>
      <c r="Z64" s="16">
        <v>6</v>
      </c>
      <c r="AA64" s="16">
        <v>6</v>
      </c>
      <c r="AB64" s="16">
        <v>6</v>
      </c>
      <c r="AC64" s="16">
        <f t="shared" si="24"/>
        <v>316</v>
      </c>
      <c r="AD64" s="16">
        <f t="shared" si="59"/>
        <v>305</v>
      </c>
      <c r="AE64" s="16">
        <f t="shared" si="59"/>
        <v>305</v>
      </c>
      <c r="AF64" s="16">
        <f t="shared" si="59"/>
        <v>340</v>
      </c>
      <c r="AG64" s="16">
        <f t="shared" si="59"/>
        <v>340</v>
      </c>
      <c r="AH64" s="16">
        <f t="shared" si="59"/>
        <v>340</v>
      </c>
      <c r="AI64" s="28">
        <f t="shared" si="25"/>
        <v>96441.796000000002</v>
      </c>
      <c r="AJ64" s="28">
        <f t="shared" si="66"/>
        <v>77153.436799999996</v>
      </c>
      <c r="AK64" s="28">
        <f t="shared" si="66"/>
        <v>77153.436799999996</v>
      </c>
      <c r="AL64" s="28">
        <f t="shared" si="66"/>
        <v>77153.436799999996</v>
      </c>
      <c r="AM64" s="28">
        <f t="shared" si="66"/>
        <v>77153.436799999996</v>
      </c>
      <c r="AN64" s="28">
        <f t="shared" si="66"/>
        <v>77153.436799999996</v>
      </c>
      <c r="AO64" s="30"/>
      <c r="AP64" s="28"/>
      <c r="AQ64" s="16">
        <v>4</v>
      </c>
      <c r="AR64" s="16">
        <f t="shared" si="27"/>
        <v>456</v>
      </c>
      <c r="AS64" s="28">
        <f t="shared" si="28"/>
        <v>726</v>
      </c>
      <c r="AT64" s="28"/>
      <c r="AU64" s="30">
        <v>482208.98</v>
      </c>
      <c r="AV64" s="28" t="str">
        <f t="shared" si="29"/>
        <v>小:0</v>
      </c>
      <c r="AW64" s="28"/>
      <c r="AX64" s="28"/>
      <c r="AZ64" s="28"/>
      <c r="BA64" s="16">
        <f t="shared" si="67"/>
        <v>7226.4450000000015</v>
      </c>
      <c r="BC64" s="7">
        <f t="shared" si="30"/>
        <v>295</v>
      </c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28"/>
      <c r="BQ64" s="9"/>
      <c r="BR64" s="9">
        <v>4500045</v>
      </c>
      <c r="BS64" s="9">
        <f>[1]monsters!$N64</f>
        <v>172.8</v>
      </c>
      <c r="BT64" s="9">
        <f>[1]monsters!$O64</f>
        <v>17.28</v>
      </c>
      <c r="BU64" s="9">
        <f>[1]monsters!$P64</f>
        <v>2133.33</v>
      </c>
      <c r="BV64" s="9">
        <f>[1]monsters!$Q64</f>
        <v>213.33</v>
      </c>
      <c r="BW64" s="9">
        <f>[1]monsters!$R64</f>
        <v>34.56</v>
      </c>
      <c r="BX64" s="9">
        <f>[1]monsters!$S64</f>
        <v>3.46</v>
      </c>
      <c r="BY64" s="9">
        <f>[1]monsters!$K64</f>
        <v>1.8</v>
      </c>
      <c r="BZ64" s="7">
        <f>[1]monsters!$D64</f>
        <v>2</v>
      </c>
      <c r="CA64" s="7">
        <f t="shared" si="31"/>
        <v>0.1</v>
      </c>
      <c r="CB64" s="7">
        <f t="shared" si="32"/>
        <v>235.12529292929293</v>
      </c>
      <c r="CC64" s="7">
        <f t="shared" si="33"/>
        <v>23.512529292929294</v>
      </c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>
        <v>0</v>
      </c>
      <c r="CR64" s="25" t="b">
        <f t="shared" si="34"/>
        <v>1</v>
      </c>
      <c r="CS64" s="25" t="b">
        <f t="shared" si="35"/>
        <v>1</v>
      </c>
      <c r="CT64" s="25" t="b">
        <f t="shared" si="36"/>
        <v>1</v>
      </c>
      <c r="CU64" s="25" t="b">
        <f t="shared" si="37"/>
        <v>1</v>
      </c>
      <c r="CV64" s="25" t="b">
        <f t="shared" si="38"/>
        <v>1</v>
      </c>
      <c r="CW64" s="25" t="b">
        <f t="shared" si="39"/>
        <v>1</v>
      </c>
      <c r="CX64" s="16" t="str">
        <f t="shared" si="40"/>
        <v>5601073</v>
      </c>
      <c r="CY64" s="16" t="str">
        <f t="shared" si="41"/>
        <v>5201073</v>
      </c>
      <c r="CZ64" s="16" t="str">
        <f t="shared" si="42"/>
        <v>5201074</v>
      </c>
      <c r="DA64" s="16" t="str">
        <f t="shared" si="43"/>
        <v>5201064</v>
      </c>
      <c r="DB64" s="16" t="str">
        <f t="shared" si="44"/>
        <v>5502062</v>
      </c>
      <c r="DC64" s="16" t="str">
        <f t="shared" si="45"/>
        <v>5502062</v>
      </c>
      <c r="DD64" s="16">
        <v>7</v>
      </c>
      <c r="DE64" s="16">
        <v>7</v>
      </c>
      <c r="DF64" s="16">
        <v>7</v>
      </c>
      <c r="DG64" s="16">
        <v>6</v>
      </c>
      <c r="DH64" s="16">
        <v>6</v>
      </c>
      <c r="DI64" s="16">
        <v>6</v>
      </c>
      <c r="DJ64" s="16">
        <v>5</v>
      </c>
      <c r="DK64" s="16">
        <v>5</v>
      </c>
      <c r="DL64" s="16">
        <v>5</v>
      </c>
      <c r="DM64" s="16">
        <v>5</v>
      </c>
      <c r="DN64" s="16">
        <v>5</v>
      </c>
      <c r="DO64" s="16">
        <v>5</v>
      </c>
      <c r="DP64" s="51" t="s">
        <v>228</v>
      </c>
      <c r="DQ64" s="51" t="s">
        <v>217</v>
      </c>
      <c r="DR64" s="51" t="s">
        <v>236</v>
      </c>
      <c r="DS64" s="14" t="s">
        <v>236</v>
      </c>
      <c r="DT64" s="36" t="s">
        <v>215</v>
      </c>
      <c r="DU64" s="36" t="s">
        <v>215</v>
      </c>
      <c r="DV64" s="32">
        <f t="shared" si="5"/>
        <v>2</v>
      </c>
      <c r="DW64" s="32">
        <f t="shared" si="6"/>
        <v>1</v>
      </c>
      <c r="DX64" s="32">
        <f t="shared" si="7"/>
        <v>1</v>
      </c>
      <c r="DY64" s="32">
        <f t="shared" si="8"/>
        <v>1</v>
      </c>
      <c r="DZ64" s="32">
        <f t="shared" si="9"/>
        <v>2</v>
      </c>
      <c r="EA64" s="32">
        <f t="shared" si="10"/>
        <v>2</v>
      </c>
      <c r="EB64" s="38"/>
      <c r="EC64" s="7">
        <v>3202071</v>
      </c>
      <c r="ED64" s="15" t="s">
        <v>117</v>
      </c>
      <c r="EE64" s="16">
        <v>1</v>
      </c>
      <c r="EQ64" s="16">
        <v>303450101</v>
      </c>
      <c r="ER64" s="16" t="s">
        <v>187</v>
      </c>
      <c r="FD64" s="16">
        <v>5601073</v>
      </c>
      <c r="FE64" s="16">
        <v>5201073</v>
      </c>
      <c r="FF64" s="16">
        <v>5201074</v>
      </c>
      <c r="FG64" s="16">
        <v>5201064</v>
      </c>
      <c r="FH64" s="16">
        <v>5502062</v>
      </c>
      <c r="FI64" s="16">
        <v>5502062</v>
      </c>
      <c r="FJ64" t="str">
        <f t="shared" si="46"/>
        <v>木修女</v>
      </c>
      <c r="FK64" t="str">
        <f t="shared" si="47"/>
        <v>木骑兵</v>
      </c>
      <c r="FL64" t="str">
        <f t="shared" si="48"/>
        <v>光骑兵</v>
      </c>
      <c r="FM64" t="str">
        <f t="shared" si="49"/>
        <v>光骑兵</v>
      </c>
      <c r="FN64" t="str">
        <f t="shared" si="50"/>
        <v>火火枪手</v>
      </c>
      <c r="FO64" t="str">
        <f t="shared" si="51"/>
        <v>火火枪手</v>
      </c>
      <c r="FP64" t="str">
        <f t="shared" si="52"/>
        <v>7</v>
      </c>
      <c r="FQ64" t="str">
        <f t="shared" si="53"/>
        <v>7</v>
      </c>
      <c r="FR64" t="str">
        <f t="shared" si="54"/>
        <v>7</v>
      </c>
      <c r="FS64" t="str">
        <f t="shared" si="55"/>
        <v>6</v>
      </c>
      <c r="FT64" t="str">
        <f t="shared" si="56"/>
        <v>6</v>
      </c>
      <c r="FU64" t="str">
        <f t="shared" si="57"/>
        <v>6</v>
      </c>
      <c r="FV64" t="str">
        <f t="shared" si="60"/>
        <v>5</v>
      </c>
      <c r="FW64" t="str">
        <f t="shared" si="61"/>
        <v>5</v>
      </c>
      <c r="FX64" t="str">
        <f t="shared" si="62"/>
        <v>5</v>
      </c>
      <c r="FY64" t="str">
        <f t="shared" si="63"/>
        <v>5</v>
      </c>
      <c r="FZ64" t="str">
        <f t="shared" si="64"/>
        <v>5</v>
      </c>
      <c r="GA64" t="str">
        <f t="shared" si="65"/>
        <v>5</v>
      </c>
    </row>
    <row r="65" spans="1:183" ht="13.5" customHeight="1">
      <c r="A65" s="1">
        <v>702</v>
      </c>
      <c r="B65" s="6">
        <v>10042</v>
      </c>
      <c r="C65" s="23" t="str">
        <f t="shared" si="20"/>
        <v>1102074,5200072,5200072,5500063,5500063,5500063</v>
      </c>
      <c r="D65" s="1" t="str">
        <f t="shared" si="21"/>
        <v>7,7,7,6,6,6</v>
      </c>
      <c r="E65" s="53" t="str">
        <f t="shared" si="22"/>
        <v>325,314,314,350,350,350</v>
      </c>
      <c r="F65" s="1">
        <f t="shared" si="0"/>
        <v>509055</v>
      </c>
      <c r="G65" s="23" t="s">
        <v>34</v>
      </c>
      <c r="H65" s="1" t="s">
        <v>28</v>
      </c>
      <c r="I65" s="1" t="s">
        <v>28</v>
      </c>
      <c r="J65" s="1" t="s">
        <v>28</v>
      </c>
      <c r="K65" s="2" t="s">
        <v>363</v>
      </c>
      <c r="L65" s="1">
        <v>1</v>
      </c>
      <c r="M65" s="1">
        <v>4</v>
      </c>
      <c r="O65" s="25">
        <f t="shared" si="23"/>
        <v>509055</v>
      </c>
      <c r="P65" s="16">
        <v>509055.03</v>
      </c>
      <c r="Q65" s="16">
        <v>1102074</v>
      </c>
      <c r="R65" s="16">
        <v>5200072</v>
      </c>
      <c r="S65" s="16">
        <v>5200072</v>
      </c>
      <c r="T65" s="16">
        <v>5500063</v>
      </c>
      <c r="U65" s="16">
        <v>5500063</v>
      </c>
      <c r="V65" s="16">
        <v>5500063</v>
      </c>
      <c r="W65" s="16">
        <v>7</v>
      </c>
      <c r="X65" s="16">
        <v>7</v>
      </c>
      <c r="Y65" s="16">
        <v>7</v>
      </c>
      <c r="Z65" s="16">
        <v>6</v>
      </c>
      <c r="AA65" s="16">
        <v>6</v>
      </c>
      <c r="AB65" s="16">
        <v>6</v>
      </c>
      <c r="AC65" s="16">
        <f t="shared" si="24"/>
        <v>325</v>
      </c>
      <c r="AD65" s="16">
        <f t="shared" si="59"/>
        <v>314</v>
      </c>
      <c r="AE65" s="16">
        <f t="shared" si="59"/>
        <v>314</v>
      </c>
      <c r="AF65" s="16">
        <f t="shared" si="59"/>
        <v>350</v>
      </c>
      <c r="AG65" s="16">
        <f t="shared" si="59"/>
        <v>350</v>
      </c>
      <c r="AH65" s="16">
        <f t="shared" si="59"/>
        <v>350</v>
      </c>
      <c r="AI65" s="28">
        <f t="shared" si="25"/>
        <v>101811.00600000001</v>
      </c>
      <c r="AJ65" s="28">
        <f t="shared" si="66"/>
        <v>81448.804800000013</v>
      </c>
      <c r="AK65" s="28">
        <f t="shared" si="66"/>
        <v>81448.804800000013</v>
      </c>
      <c r="AL65" s="28">
        <f t="shared" si="66"/>
        <v>81448.804800000013</v>
      </c>
      <c r="AM65" s="28">
        <f t="shared" si="66"/>
        <v>81448.804800000013</v>
      </c>
      <c r="AN65" s="28">
        <f t="shared" si="66"/>
        <v>81448.804800000013</v>
      </c>
      <c r="AO65" s="30"/>
      <c r="AP65" s="28"/>
      <c r="AQ65" s="16">
        <v>4</v>
      </c>
      <c r="AR65" s="16">
        <f t="shared" si="27"/>
        <v>469</v>
      </c>
      <c r="AS65" s="28">
        <f t="shared" si="28"/>
        <v>727</v>
      </c>
      <c r="AT65" s="28"/>
      <c r="AU65" s="30">
        <v>509055.03</v>
      </c>
      <c r="AV65" s="28" t="str">
        <f t="shared" si="29"/>
        <v>小:0</v>
      </c>
      <c r="AW65" s="28"/>
      <c r="AX65" s="28"/>
      <c r="AZ65" s="28"/>
      <c r="BA65" s="16">
        <f t="shared" si="67"/>
        <v>7261.9900000000016</v>
      </c>
      <c r="BC65" s="7">
        <f t="shared" si="30"/>
        <v>304</v>
      </c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28"/>
      <c r="BQ65" s="9"/>
      <c r="BR65" s="9">
        <v>4602045</v>
      </c>
      <c r="BS65" s="9">
        <f>[1]monsters!$N65</f>
        <v>115.2</v>
      </c>
      <c r="BT65" s="9">
        <f>[1]monsters!$O65</f>
        <v>11.52</v>
      </c>
      <c r="BU65" s="9">
        <f>[1]monsters!$P65</f>
        <v>2133.33</v>
      </c>
      <c r="BV65" s="9">
        <f>[1]monsters!$Q65</f>
        <v>213.33</v>
      </c>
      <c r="BW65" s="9">
        <f>[1]monsters!$R65</f>
        <v>23.04</v>
      </c>
      <c r="BX65" s="9">
        <f>[1]monsters!$S65</f>
        <v>2.2999999999999998</v>
      </c>
      <c r="BY65" s="9">
        <f>[1]monsters!$K65</f>
        <v>1.2</v>
      </c>
      <c r="BZ65" s="7">
        <f>[1]monsters!$D65</f>
        <v>3</v>
      </c>
      <c r="CA65" s="7">
        <f t="shared" si="31"/>
        <v>0.1</v>
      </c>
      <c r="CB65" s="7">
        <f t="shared" si="32"/>
        <v>180.69329292929291</v>
      </c>
      <c r="CC65" s="7">
        <f t="shared" si="33"/>
        <v>18.069329292929293</v>
      </c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>
        <v>0</v>
      </c>
      <c r="CR65" s="25" t="b">
        <f t="shared" si="34"/>
        <v>1</v>
      </c>
      <c r="CS65" s="25" t="b">
        <f t="shared" si="35"/>
        <v>1</v>
      </c>
      <c r="CT65" s="25" t="b">
        <f t="shared" si="36"/>
        <v>1</v>
      </c>
      <c r="CU65" s="25" t="b">
        <f t="shared" si="37"/>
        <v>1</v>
      </c>
      <c r="CV65" s="25" t="b">
        <f t="shared" si="38"/>
        <v>1</v>
      </c>
      <c r="CW65" s="25" t="b">
        <f t="shared" si="39"/>
        <v>1</v>
      </c>
      <c r="CX65" s="16" t="str">
        <f t="shared" si="40"/>
        <v>1102074</v>
      </c>
      <c r="CY65" s="16" t="str">
        <f t="shared" si="41"/>
        <v>5200072</v>
      </c>
      <c r="CZ65" s="16" t="str">
        <f t="shared" si="42"/>
        <v>5200072</v>
      </c>
      <c r="DA65" s="16" t="str">
        <f t="shared" si="43"/>
        <v>5500063</v>
      </c>
      <c r="DB65" s="16" t="str">
        <f t="shared" si="44"/>
        <v>5500063</v>
      </c>
      <c r="DC65" s="16" t="str">
        <f t="shared" si="45"/>
        <v>5500063</v>
      </c>
      <c r="DD65" s="16">
        <v>7</v>
      </c>
      <c r="DE65" s="16">
        <v>7</v>
      </c>
      <c r="DF65" s="16">
        <v>7</v>
      </c>
      <c r="DG65" s="16">
        <v>6</v>
      </c>
      <c r="DH65" s="16">
        <v>6</v>
      </c>
      <c r="DI65" s="16">
        <v>6</v>
      </c>
      <c r="DJ65" s="16">
        <v>1</v>
      </c>
      <c r="DK65" s="16">
        <v>5</v>
      </c>
      <c r="DL65" s="16">
        <v>5</v>
      </c>
      <c r="DM65" s="16">
        <v>5</v>
      </c>
      <c r="DN65" s="16">
        <v>5</v>
      </c>
      <c r="DO65" s="16">
        <v>5</v>
      </c>
      <c r="DP65" s="51" t="s">
        <v>306</v>
      </c>
      <c r="DQ65" s="51" t="s">
        <v>210</v>
      </c>
      <c r="DR65" s="51" t="s">
        <v>210</v>
      </c>
      <c r="DS65" s="36" t="s">
        <v>219</v>
      </c>
      <c r="DT65" s="36" t="s">
        <v>219</v>
      </c>
      <c r="DU65" s="36" t="s">
        <v>219</v>
      </c>
      <c r="DV65" s="32">
        <f t="shared" si="5"/>
        <v>1</v>
      </c>
      <c r="DW65" s="32">
        <f t="shared" si="6"/>
        <v>1</v>
      </c>
      <c r="DX65" s="32">
        <f t="shared" si="7"/>
        <v>1</v>
      </c>
      <c r="DY65" s="32">
        <f t="shared" si="8"/>
        <v>2</v>
      </c>
      <c r="DZ65" s="32">
        <f t="shared" si="9"/>
        <v>2</v>
      </c>
      <c r="EA65" s="32">
        <f t="shared" si="10"/>
        <v>2</v>
      </c>
      <c r="EB65" s="38"/>
      <c r="EC65" s="7">
        <v>3301071</v>
      </c>
      <c r="ED65" s="15" t="s">
        <v>113</v>
      </c>
      <c r="EE65" s="16">
        <v>1</v>
      </c>
      <c r="EQ65" s="16">
        <v>303460001</v>
      </c>
      <c r="ER65" s="16" t="s">
        <v>188</v>
      </c>
      <c r="FD65" s="16">
        <v>1102074</v>
      </c>
      <c r="FE65" s="16">
        <v>5200072</v>
      </c>
      <c r="FF65" s="16">
        <v>5200072</v>
      </c>
      <c r="FG65" s="16">
        <v>5500063</v>
      </c>
      <c r="FH65" s="16">
        <v>5500063</v>
      </c>
      <c r="FI65" s="16">
        <v>5500063</v>
      </c>
      <c r="FJ65" t="str">
        <f t="shared" si="46"/>
        <v>光狼骑兵</v>
      </c>
      <c r="FK65" t="str">
        <f t="shared" si="47"/>
        <v>火刀客</v>
      </c>
      <c r="FL65" t="str">
        <f t="shared" si="48"/>
        <v>火刀客</v>
      </c>
      <c r="FM65" t="str">
        <f t="shared" si="49"/>
        <v>木海盗</v>
      </c>
      <c r="FN65" t="str">
        <f t="shared" si="50"/>
        <v>木海盗</v>
      </c>
      <c r="FO65" t="str">
        <f t="shared" si="51"/>
        <v>木海盗</v>
      </c>
      <c r="FP65" t="str">
        <f t="shared" si="52"/>
        <v>7</v>
      </c>
      <c r="FQ65" t="str">
        <f t="shared" si="53"/>
        <v>7</v>
      </c>
      <c r="FR65" t="str">
        <f t="shared" si="54"/>
        <v>7</v>
      </c>
      <c r="FS65" t="str">
        <f t="shared" si="55"/>
        <v>6</v>
      </c>
      <c r="FT65" t="str">
        <f t="shared" si="56"/>
        <v>6</v>
      </c>
      <c r="FU65" t="str">
        <f t="shared" si="57"/>
        <v>6</v>
      </c>
      <c r="FV65" t="str">
        <f t="shared" si="60"/>
        <v>1</v>
      </c>
      <c r="FW65" t="str">
        <f t="shared" si="61"/>
        <v>5</v>
      </c>
      <c r="FX65" t="str">
        <f t="shared" si="62"/>
        <v>5</v>
      </c>
      <c r="FY65" t="str">
        <f t="shared" si="63"/>
        <v>5</v>
      </c>
      <c r="FZ65" t="str">
        <f t="shared" si="64"/>
        <v>5</v>
      </c>
      <c r="GA65" t="str">
        <f t="shared" si="65"/>
        <v>5</v>
      </c>
    </row>
    <row r="66" spans="1:183" ht="13.5" customHeight="1">
      <c r="A66" s="1">
        <v>703</v>
      </c>
      <c r="B66" s="6">
        <v>10042</v>
      </c>
      <c r="C66" s="23" t="str">
        <f t="shared" si="20"/>
        <v>5202075,5202075,5202075,5402062,5402062,5402062</v>
      </c>
      <c r="D66" s="1" t="str">
        <f t="shared" si="21"/>
        <v>7,7,7,6,6,6</v>
      </c>
      <c r="E66" s="53" t="str">
        <f t="shared" si="22"/>
        <v>335,323,323,360,360,360</v>
      </c>
      <c r="F66" s="1">
        <f t="shared" si="0"/>
        <v>537989</v>
      </c>
      <c r="G66" s="23" t="s">
        <v>34</v>
      </c>
      <c r="H66" s="1" t="s">
        <v>28</v>
      </c>
      <c r="I66" s="1" t="s">
        <v>28</v>
      </c>
      <c r="J66" s="1" t="s">
        <v>28</v>
      </c>
      <c r="K66" s="2" t="s">
        <v>364</v>
      </c>
      <c r="L66" s="1">
        <v>2</v>
      </c>
      <c r="M66" s="1">
        <v>5</v>
      </c>
      <c r="O66" s="25">
        <f t="shared" si="23"/>
        <v>537989</v>
      </c>
      <c r="P66" s="16">
        <v>537988.99</v>
      </c>
      <c r="Q66" s="16">
        <v>5202075</v>
      </c>
      <c r="R66" s="16">
        <v>5202075</v>
      </c>
      <c r="S66" s="16">
        <v>5202075</v>
      </c>
      <c r="T66" s="16">
        <v>5402062</v>
      </c>
      <c r="U66" s="16">
        <v>5402062</v>
      </c>
      <c r="V66" s="16">
        <v>5402062</v>
      </c>
      <c r="W66" s="16">
        <v>7</v>
      </c>
      <c r="X66" s="16">
        <v>7</v>
      </c>
      <c r="Y66" s="16">
        <v>7</v>
      </c>
      <c r="Z66" s="16">
        <v>6</v>
      </c>
      <c r="AA66" s="16">
        <v>6</v>
      </c>
      <c r="AB66" s="16">
        <v>6</v>
      </c>
      <c r="AC66" s="16">
        <f t="shared" si="24"/>
        <v>335</v>
      </c>
      <c r="AD66" s="16">
        <f t="shared" si="59"/>
        <v>323</v>
      </c>
      <c r="AE66" s="16">
        <f t="shared" si="59"/>
        <v>323</v>
      </c>
      <c r="AF66" s="16">
        <f t="shared" si="59"/>
        <v>360</v>
      </c>
      <c r="AG66" s="16">
        <f t="shared" si="59"/>
        <v>360</v>
      </c>
      <c r="AH66" s="16">
        <f t="shared" si="59"/>
        <v>360</v>
      </c>
      <c r="AI66" s="28">
        <f t="shared" si="25"/>
        <v>107597.79800000001</v>
      </c>
      <c r="AJ66" s="28">
        <f t="shared" si="66"/>
        <v>86078.238400000002</v>
      </c>
      <c r="AK66" s="28">
        <f t="shared" si="66"/>
        <v>86078.238400000002</v>
      </c>
      <c r="AL66" s="28">
        <f t="shared" si="66"/>
        <v>86078.238400000002</v>
      </c>
      <c r="AM66" s="28">
        <f t="shared" si="66"/>
        <v>86078.238400000002</v>
      </c>
      <c r="AN66" s="28">
        <f t="shared" si="66"/>
        <v>86078.238400000002</v>
      </c>
      <c r="AO66" s="30"/>
      <c r="AP66" s="28"/>
      <c r="AQ66" s="16">
        <v>4</v>
      </c>
      <c r="AR66" s="16">
        <f t="shared" si="27"/>
        <v>483</v>
      </c>
      <c r="AS66" s="28">
        <f t="shared" si="28"/>
        <v>728</v>
      </c>
      <c r="AT66" s="28"/>
      <c r="AU66" s="30">
        <v>537988.99</v>
      </c>
      <c r="AV66" s="28" t="str">
        <f t="shared" si="29"/>
        <v>小:0</v>
      </c>
      <c r="AW66" s="28"/>
      <c r="AX66" s="28"/>
      <c r="AZ66" s="28"/>
      <c r="BA66" s="16">
        <f t="shared" si="67"/>
        <v>7297.5350000000017</v>
      </c>
      <c r="BC66" s="7">
        <f t="shared" si="30"/>
        <v>312</v>
      </c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28"/>
      <c r="BQ66" s="9"/>
      <c r="BR66" s="9">
        <v>4301045</v>
      </c>
      <c r="BS66" s="9">
        <f>[1]monsters!$N66</f>
        <v>209.07</v>
      </c>
      <c r="BT66" s="9">
        <f>[1]monsters!$O66</f>
        <v>20.91</v>
      </c>
      <c r="BU66" s="9">
        <f>[1]monsters!$P66</f>
        <v>1371.43</v>
      </c>
      <c r="BV66" s="9">
        <f>[1]monsters!$Q66</f>
        <v>137.13999999999999</v>
      </c>
      <c r="BW66" s="9">
        <f>[1]monsters!$R66</f>
        <v>26.13</v>
      </c>
      <c r="BX66" s="9">
        <f>[1]monsters!$S66</f>
        <v>2.61</v>
      </c>
      <c r="BY66" s="9">
        <f>[1]monsters!$K66</f>
        <v>1.4000000000000001</v>
      </c>
      <c r="BZ66" s="7">
        <f>[1]monsters!$D66</f>
        <v>5</v>
      </c>
      <c r="CA66" s="7">
        <f t="shared" si="31"/>
        <v>0.1</v>
      </c>
      <c r="CB66" s="7">
        <f t="shared" si="32"/>
        <v>243.74724427609431</v>
      </c>
      <c r="CC66" s="7">
        <f t="shared" si="33"/>
        <v>24.374724427609433</v>
      </c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>
        <v>0</v>
      </c>
      <c r="CR66" s="25" t="b">
        <f t="shared" si="34"/>
        <v>1</v>
      </c>
      <c r="CS66" s="25" t="b">
        <f t="shared" si="35"/>
        <v>1</v>
      </c>
      <c r="CT66" s="25" t="b">
        <f t="shared" si="36"/>
        <v>1</v>
      </c>
      <c r="CU66" s="25" t="b">
        <f t="shared" si="37"/>
        <v>1</v>
      </c>
      <c r="CV66" s="25" t="b">
        <f t="shared" si="38"/>
        <v>1</v>
      </c>
      <c r="CW66" s="25" t="b">
        <f t="shared" si="39"/>
        <v>1</v>
      </c>
      <c r="CX66" s="16" t="str">
        <f t="shared" si="40"/>
        <v>5202075</v>
      </c>
      <c r="CY66" s="16" t="str">
        <f t="shared" si="41"/>
        <v>5202075</v>
      </c>
      <c r="CZ66" s="16" t="str">
        <f t="shared" si="42"/>
        <v>5202075</v>
      </c>
      <c r="DA66" s="16" t="str">
        <f t="shared" si="43"/>
        <v>5402062</v>
      </c>
      <c r="DB66" s="16" t="str">
        <f t="shared" si="44"/>
        <v>5402062</v>
      </c>
      <c r="DC66" s="16" t="str">
        <f t="shared" si="45"/>
        <v>5402062</v>
      </c>
      <c r="DD66" s="16">
        <v>7</v>
      </c>
      <c r="DE66" s="16">
        <v>7</v>
      </c>
      <c r="DF66" s="16">
        <v>7</v>
      </c>
      <c r="DG66" s="16">
        <v>6</v>
      </c>
      <c r="DH66" s="16">
        <v>6</v>
      </c>
      <c r="DI66" s="16">
        <v>6</v>
      </c>
      <c r="DJ66" s="16">
        <v>5</v>
      </c>
      <c r="DK66" s="16">
        <v>5</v>
      </c>
      <c r="DL66" s="16">
        <v>5</v>
      </c>
      <c r="DM66" s="16">
        <v>5</v>
      </c>
      <c r="DN66" s="16">
        <v>5</v>
      </c>
      <c r="DO66" s="16">
        <v>5</v>
      </c>
      <c r="DP66" s="51" t="s">
        <v>225</v>
      </c>
      <c r="DQ66" s="51" t="s">
        <v>225</v>
      </c>
      <c r="DR66" s="51" t="s">
        <v>225</v>
      </c>
      <c r="DS66" s="51" t="s">
        <v>214</v>
      </c>
      <c r="DT66" s="51" t="s">
        <v>214</v>
      </c>
      <c r="DU66" s="51" t="s">
        <v>214</v>
      </c>
      <c r="DV66" s="32">
        <f t="shared" si="5"/>
        <v>1</v>
      </c>
      <c r="DW66" s="32">
        <f t="shared" si="6"/>
        <v>1</v>
      </c>
      <c r="DX66" s="32">
        <f t="shared" si="7"/>
        <v>1</v>
      </c>
      <c r="DY66" s="32">
        <f t="shared" si="8"/>
        <v>2</v>
      </c>
      <c r="DZ66" s="32">
        <f t="shared" si="9"/>
        <v>2</v>
      </c>
      <c r="EA66" s="32">
        <f t="shared" si="10"/>
        <v>2</v>
      </c>
      <c r="EB66" s="38"/>
      <c r="EC66" s="7">
        <v>3502071</v>
      </c>
      <c r="ED66" s="35" t="s">
        <v>125</v>
      </c>
      <c r="EE66" s="16">
        <v>2</v>
      </c>
      <c r="EQ66" s="16">
        <v>303460201</v>
      </c>
      <c r="ER66" s="16" t="s">
        <v>189</v>
      </c>
      <c r="FD66" s="16">
        <v>5202075</v>
      </c>
      <c r="FE66" s="16">
        <v>5202075</v>
      </c>
      <c r="FF66" s="16">
        <v>5202075</v>
      </c>
      <c r="FG66" s="16">
        <v>5402062</v>
      </c>
      <c r="FH66" s="16">
        <v>5402062</v>
      </c>
      <c r="FI66" s="16">
        <v>5402062</v>
      </c>
      <c r="FJ66" t="str">
        <f t="shared" si="46"/>
        <v>暗维京</v>
      </c>
      <c r="FK66" t="str">
        <f t="shared" si="47"/>
        <v>暗维京</v>
      </c>
      <c r="FL66" t="str">
        <f t="shared" si="48"/>
        <v>暗维京</v>
      </c>
      <c r="FM66" t="str">
        <f t="shared" si="49"/>
        <v>火女巫</v>
      </c>
      <c r="FN66" t="str">
        <f t="shared" si="50"/>
        <v>火女巫</v>
      </c>
      <c r="FO66" t="str">
        <f t="shared" si="51"/>
        <v>火女巫</v>
      </c>
      <c r="FP66" t="str">
        <f t="shared" si="52"/>
        <v>7</v>
      </c>
      <c r="FQ66" t="str">
        <f t="shared" si="53"/>
        <v>7</v>
      </c>
      <c r="FR66" t="str">
        <f t="shared" si="54"/>
        <v>7</v>
      </c>
      <c r="FS66" t="str">
        <f t="shared" si="55"/>
        <v>6</v>
      </c>
      <c r="FT66" t="str">
        <f t="shared" si="56"/>
        <v>6</v>
      </c>
      <c r="FU66" t="str">
        <f t="shared" si="57"/>
        <v>6</v>
      </c>
      <c r="FV66" t="str">
        <f t="shared" si="60"/>
        <v>5</v>
      </c>
      <c r="FW66" t="str">
        <f t="shared" si="61"/>
        <v>5</v>
      </c>
      <c r="FX66" t="str">
        <f t="shared" si="62"/>
        <v>5</v>
      </c>
      <c r="FY66" t="str">
        <f t="shared" si="63"/>
        <v>5</v>
      </c>
      <c r="FZ66" t="str">
        <f t="shared" si="64"/>
        <v>5</v>
      </c>
      <c r="GA66" t="str">
        <f t="shared" si="65"/>
        <v>5</v>
      </c>
    </row>
    <row r="67" spans="1:183" ht="13.5" customHeight="1">
      <c r="A67" s="1">
        <v>704</v>
      </c>
      <c r="B67" s="6">
        <v>10042</v>
      </c>
      <c r="C67" s="23" t="str">
        <f t="shared" si="20"/>
        <v>1103075,5201074,5201074,5201064,5401063,5401063</v>
      </c>
      <c r="D67" s="1" t="str">
        <f t="shared" si="21"/>
        <v>7,7,7,6,6,6</v>
      </c>
      <c r="E67" s="53" t="str">
        <f t="shared" si="22"/>
        <v>344,332,332,370,370,370</v>
      </c>
      <c r="F67" s="1">
        <f t="shared" si="0"/>
        <v>566223</v>
      </c>
      <c r="G67" s="23" t="s">
        <v>34</v>
      </c>
      <c r="H67" s="1" t="s">
        <v>28</v>
      </c>
      <c r="I67" s="1" t="s">
        <v>28</v>
      </c>
      <c r="J67" s="1" t="s">
        <v>28</v>
      </c>
      <c r="K67" s="2" t="s">
        <v>365</v>
      </c>
      <c r="L67" s="1">
        <v>3</v>
      </c>
      <c r="M67" s="1">
        <v>5</v>
      </c>
      <c r="O67" s="25">
        <f t="shared" si="23"/>
        <v>566223</v>
      </c>
      <c r="P67" s="16">
        <v>566222.80000000005</v>
      </c>
      <c r="Q67" s="16">
        <v>1103075</v>
      </c>
      <c r="R67" s="16">
        <v>5201074</v>
      </c>
      <c r="S67" s="16">
        <v>5201074</v>
      </c>
      <c r="T67" s="16">
        <v>5201064</v>
      </c>
      <c r="U67" s="16">
        <v>5401063</v>
      </c>
      <c r="V67" s="16">
        <v>5401063</v>
      </c>
      <c r="W67" s="16">
        <v>7</v>
      </c>
      <c r="X67" s="16">
        <v>7</v>
      </c>
      <c r="Y67" s="16">
        <v>7</v>
      </c>
      <c r="Z67" s="16">
        <v>6</v>
      </c>
      <c r="AA67" s="16">
        <v>6</v>
      </c>
      <c r="AB67" s="16">
        <v>6</v>
      </c>
      <c r="AC67" s="16">
        <f t="shared" si="24"/>
        <v>344</v>
      </c>
      <c r="AD67" s="16">
        <f t="shared" si="59"/>
        <v>332</v>
      </c>
      <c r="AE67" s="16">
        <f t="shared" si="59"/>
        <v>332</v>
      </c>
      <c r="AF67" s="16">
        <f t="shared" si="59"/>
        <v>370</v>
      </c>
      <c r="AG67" s="16">
        <f t="shared" si="59"/>
        <v>370</v>
      </c>
      <c r="AH67" s="16">
        <f t="shared" si="59"/>
        <v>370</v>
      </c>
      <c r="AI67" s="28">
        <f t="shared" si="25"/>
        <v>113244.56000000001</v>
      </c>
      <c r="AJ67" s="28">
        <f t="shared" si="66"/>
        <v>90595.648000000016</v>
      </c>
      <c r="AK67" s="28">
        <f t="shared" si="66"/>
        <v>90595.648000000016</v>
      </c>
      <c r="AL67" s="28">
        <f t="shared" si="66"/>
        <v>90595.648000000016</v>
      </c>
      <c r="AM67" s="28">
        <f t="shared" si="66"/>
        <v>90595.648000000016</v>
      </c>
      <c r="AN67" s="28">
        <f t="shared" si="66"/>
        <v>90595.648000000016</v>
      </c>
      <c r="AO67" s="30"/>
      <c r="AP67" s="28"/>
      <c r="AQ67" s="16">
        <v>4</v>
      </c>
      <c r="AR67" s="16">
        <f t="shared" si="27"/>
        <v>495</v>
      </c>
      <c r="AS67" s="28">
        <f t="shared" si="28"/>
        <v>729</v>
      </c>
      <c r="AT67" s="28"/>
      <c r="AU67" s="30">
        <v>566222.80000000005</v>
      </c>
      <c r="AV67" s="28" t="str">
        <f t="shared" si="29"/>
        <v>小:0</v>
      </c>
      <c r="AW67" s="28"/>
      <c r="AX67" s="28"/>
      <c r="AZ67" s="28"/>
      <c r="BA67" s="16">
        <f t="shared" si="67"/>
        <v>7333.0800000000017</v>
      </c>
      <c r="BC67" s="7">
        <f t="shared" si="30"/>
        <v>321</v>
      </c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28"/>
      <c r="BQ67" s="9"/>
      <c r="BR67" s="9">
        <v>4502045</v>
      </c>
      <c r="BS67" s="9">
        <f>[1]monsters!$N67</f>
        <v>153.6</v>
      </c>
      <c r="BT67" s="9">
        <f>[1]monsters!$O67</f>
        <v>15.36</v>
      </c>
      <c r="BU67" s="9">
        <f>[1]monsters!$P67</f>
        <v>2400</v>
      </c>
      <c r="BV67" s="9">
        <f>[1]monsters!$Q67</f>
        <v>240</v>
      </c>
      <c r="BW67" s="9">
        <f>[1]monsters!$R67</f>
        <v>51.2</v>
      </c>
      <c r="BX67" s="9">
        <f>[1]monsters!$S67</f>
        <v>5.12</v>
      </c>
      <c r="BY67" s="9">
        <f>[1]monsters!$K67</f>
        <v>1.8</v>
      </c>
      <c r="BZ67" s="7">
        <f>[1]monsters!$D67</f>
        <v>2</v>
      </c>
      <c r="CA67" s="7">
        <f t="shared" si="31"/>
        <v>0.1</v>
      </c>
      <c r="CB67" s="7">
        <f t="shared" si="32"/>
        <v>225.96008080808082</v>
      </c>
      <c r="CC67" s="7">
        <f t="shared" si="33"/>
        <v>22.596008080808083</v>
      </c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>
        <v>0</v>
      </c>
      <c r="CR67" s="25" t="b">
        <f t="shared" si="34"/>
        <v>1</v>
      </c>
      <c r="CS67" s="25" t="b">
        <f t="shared" si="35"/>
        <v>1</v>
      </c>
      <c r="CT67" s="25" t="b">
        <f t="shared" si="36"/>
        <v>1</v>
      </c>
      <c r="CU67" s="25" t="b">
        <f t="shared" si="37"/>
        <v>1</v>
      </c>
      <c r="CV67" s="25" t="b">
        <f t="shared" si="38"/>
        <v>1</v>
      </c>
      <c r="CW67" s="25" t="b">
        <f t="shared" si="39"/>
        <v>1</v>
      </c>
      <c r="CX67" s="16" t="str">
        <f t="shared" si="40"/>
        <v>1103075</v>
      </c>
      <c r="CY67" s="16" t="str">
        <f t="shared" si="41"/>
        <v>5201074</v>
      </c>
      <c r="CZ67" s="16" t="str">
        <f t="shared" si="42"/>
        <v>5201074</v>
      </c>
      <c r="DA67" s="16" t="str">
        <f t="shared" si="43"/>
        <v>5201064</v>
      </c>
      <c r="DB67" s="16" t="str">
        <f t="shared" si="44"/>
        <v>5401063</v>
      </c>
      <c r="DC67" s="16" t="str">
        <f t="shared" si="45"/>
        <v>5401063</v>
      </c>
      <c r="DD67" s="16">
        <v>7</v>
      </c>
      <c r="DE67" s="16">
        <v>7</v>
      </c>
      <c r="DF67" s="16">
        <v>7</v>
      </c>
      <c r="DG67" s="16">
        <v>6</v>
      </c>
      <c r="DH67" s="16">
        <v>6</v>
      </c>
      <c r="DI67" s="16">
        <v>6</v>
      </c>
      <c r="DJ67" s="16">
        <v>1</v>
      </c>
      <c r="DK67" s="16">
        <v>5</v>
      </c>
      <c r="DL67" s="16">
        <v>5</v>
      </c>
      <c r="DM67" s="16">
        <v>5</v>
      </c>
      <c r="DN67" s="16">
        <v>5</v>
      </c>
      <c r="DO67" s="16">
        <v>5</v>
      </c>
      <c r="DP67" s="36" t="s">
        <v>312</v>
      </c>
      <c r="DQ67" s="36" t="s">
        <v>236</v>
      </c>
      <c r="DR67" s="36" t="s">
        <v>236</v>
      </c>
      <c r="DS67" s="36" t="s">
        <v>236</v>
      </c>
      <c r="DT67" s="36" t="s">
        <v>223</v>
      </c>
      <c r="DU67" s="36" t="s">
        <v>223</v>
      </c>
      <c r="DV67" s="32">
        <f t="shared" si="5"/>
        <v>2</v>
      </c>
      <c r="DW67" s="32">
        <f t="shared" si="6"/>
        <v>1</v>
      </c>
      <c r="DX67" s="32">
        <f t="shared" si="7"/>
        <v>1</v>
      </c>
      <c r="DY67" s="32">
        <f t="shared" si="8"/>
        <v>1</v>
      </c>
      <c r="DZ67" s="32">
        <f t="shared" si="9"/>
        <v>2</v>
      </c>
      <c r="EA67" s="32">
        <f t="shared" si="10"/>
        <v>2</v>
      </c>
      <c r="EB67" s="38"/>
      <c r="EC67" s="7">
        <v>3201072</v>
      </c>
      <c r="ED67" s="35" t="s">
        <v>128</v>
      </c>
      <c r="EE67" s="16">
        <v>1</v>
      </c>
      <c r="EQ67" s="16">
        <v>303530001</v>
      </c>
      <c r="ER67" s="16" t="s">
        <v>190</v>
      </c>
      <c r="FD67" s="16">
        <v>1103075</v>
      </c>
      <c r="FE67" s="16">
        <v>5201074</v>
      </c>
      <c r="FF67" s="16">
        <v>5201074</v>
      </c>
      <c r="FG67" s="16">
        <v>5201064</v>
      </c>
      <c r="FH67" s="16">
        <v>5401063</v>
      </c>
      <c r="FI67" s="16">
        <v>5401063</v>
      </c>
      <c r="FJ67" t="str">
        <f t="shared" si="46"/>
        <v>暗龙王</v>
      </c>
      <c r="FK67" t="str">
        <f t="shared" si="47"/>
        <v>光骑兵</v>
      </c>
      <c r="FL67" t="str">
        <f t="shared" si="48"/>
        <v>光骑兵</v>
      </c>
      <c r="FM67" t="str">
        <f t="shared" si="49"/>
        <v>光骑兵</v>
      </c>
      <c r="FN67" t="str">
        <f t="shared" si="50"/>
        <v>木魔法师</v>
      </c>
      <c r="FO67" t="str">
        <f t="shared" si="51"/>
        <v>木魔法师</v>
      </c>
      <c r="FP67" t="str">
        <f t="shared" si="52"/>
        <v>7</v>
      </c>
      <c r="FQ67" t="str">
        <f t="shared" si="53"/>
        <v>7</v>
      </c>
      <c r="FR67" t="str">
        <f t="shared" si="54"/>
        <v>7</v>
      </c>
      <c r="FS67" t="str">
        <f t="shared" si="55"/>
        <v>6</v>
      </c>
      <c r="FT67" t="str">
        <f t="shared" si="56"/>
        <v>6</v>
      </c>
      <c r="FU67" t="str">
        <f t="shared" si="57"/>
        <v>6</v>
      </c>
      <c r="FV67" t="str">
        <f t="shared" si="60"/>
        <v>1</v>
      </c>
      <c r="FW67" t="str">
        <f t="shared" si="61"/>
        <v>5</v>
      </c>
      <c r="FX67" t="str">
        <f t="shared" si="62"/>
        <v>5</v>
      </c>
      <c r="FY67" t="str">
        <f t="shared" si="63"/>
        <v>5</v>
      </c>
      <c r="FZ67" t="str">
        <f t="shared" si="64"/>
        <v>5</v>
      </c>
      <c r="GA67" t="str">
        <f t="shared" si="65"/>
        <v>5</v>
      </c>
    </row>
    <row r="68" spans="1:183" ht="13.5" customHeight="1">
      <c r="A68" s="1">
        <v>705</v>
      </c>
      <c r="B68" s="6">
        <v>10042</v>
      </c>
      <c r="C68" s="23" t="str">
        <f t="shared" si="20"/>
        <v>1101075,5201074,5201074,5401071,5401071,5401071</v>
      </c>
      <c r="D68" s="1" t="str">
        <f t="shared" si="21"/>
        <v>7,7,7,7,7,7</v>
      </c>
      <c r="E68" s="53" t="str">
        <f t="shared" si="22"/>
        <v>353,341,341,341,341,341</v>
      </c>
      <c r="F68" s="1">
        <f t="shared" ref="F68:F131" si="68">O68</f>
        <v>596611</v>
      </c>
      <c r="G68" s="23" t="s">
        <v>34</v>
      </c>
      <c r="H68" s="1" t="s">
        <v>28</v>
      </c>
      <c r="I68" s="1" t="s">
        <v>28</v>
      </c>
      <c r="J68" s="1" t="s">
        <v>28</v>
      </c>
      <c r="K68" s="2" t="s">
        <v>366</v>
      </c>
      <c r="L68" s="1">
        <v>1</v>
      </c>
      <c r="M68" s="1">
        <v>2</v>
      </c>
      <c r="O68" s="25">
        <f t="shared" si="23"/>
        <v>596611</v>
      </c>
      <c r="P68" s="16">
        <v>596611.4</v>
      </c>
      <c r="Q68" s="16">
        <v>1101075</v>
      </c>
      <c r="R68" s="16">
        <v>5201074</v>
      </c>
      <c r="S68" s="16">
        <v>5201074</v>
      </c>
      <c r="T68" s="16">
        <v>5401071</v>
      </c>
      <c r="U68" s="16">
        <v>5401071</v>
      </c>
      <c r="V68" s="16">
        <v>5401071</v>
      </c>
      <c r="W68" s="16">
        <v>7</v>
      </c>
      <c r="X68" s="16">
        <v>7</v>
      </c>
      <c r="Y68" s="16">
        <v>7</v>
      </c>
      <c r="Z68" s="16">
        <v>7</v>
      </c>
      <c r="AA68" s="16">
        <v>7</v>
      </c>
      <c r="AB68" s="16">
        <v>7</v>
      </c>
      <c r="AC68" s="16">
        <f t="shared" si="24"/>
        <v>353</v>
      </c>
      <c r="AD68" s="16">
        <f t="shared" si="59"/>
        <v>341</v>
      </c>
      <c r="AE68" s="16">
        <f t="shared" si="59"/>
        <v>341</v>
      </c>
      <c r="AF68" s="16">
        <f t="shared" si="59"/>
        <v>341</v>
      </c>
      <c r="AG68" s="16">
        <f t="shared" si="59"/>
        <v>341</v>
      </c>
      <c r="AH68" s="16">
        <f t="shared" si="59"/>
        <v>341</v>
      </c>
      <c r="AI68" s="28">
        <f t="shared" si="25"/>
        <v>119322.28000000001</v>
      </c>
      <c r="AJ68" s="28">
        <f t="shared" si="66"/>
        <v>95457.824000000008</v>
      </c>
      <c r="AK68" s="28">
        <f t="shared" si="66"/>
        <v>95457.824000000008</v>
      </c>
      <c r="AL68" s="28">
        <f t="shared" si="66"/>
        <v>95457.824000000008</v>
      </c>
      <c r="AM68" s="28">
        <f t="shared" si="66"/>
        <v>95457.824000000008</v>
      </c>
      <c r="AN68" s="28">
        <f t="shared" si="66"/>
        <v>95457.824000000008</v>
      </c>
      <c r="AO68" s="30"/>
      <c r="AP68" s="28"/>
      <c r="AQ68" s="16">
        <v>4</v>
      </c>
      <c r="AR68" s="16">
        <f t="shared" si="27"/>
        <v>509</v>
      </c>
      <c r="AS68" s="28">
        <f t="shared" si="28"/>
        <v>730</v>
      </c>
      <c r="AT68" s="28"/>
      <c r="AU68" s="30">
        <v>596611.4</v>
      </c>
      <c r="AV68" s="28" t="str">
        <f t="shared" si="29"/>
        <v>小:0</v>
      </c>
      <c r="AW68" s="28"/>
      <c r="AX68" s="28"/>
      <c r="AZ68" s="28"/>
      <c r="BA68" s="16">
        <f t="shared" si="67"/>
        <v>7368.6250000000018</v>
      </c>
      <c r="BC68" s="7">
        <f t="shared" si="30"/>
        <v>330</v>
      </c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28"/>
      <c r="BQ68" s="9"/>
      <c r="BR68" s="9">
        <v>4201045</v>
      </c>
      <c r="BS68" s="9">
        <f>[1]monsters!$N68</f>
        <v>224</v>
      </c>
      <c r="BT68" s="9">
        <f>[1]monsters!$O68</f>
        <v>22.4</v>
      </c>
      <c r="BU68" s="9">
        <f>[1]monsters!$P68</f>
        <v>1371.43</v>
      </c>
      <c r="BV68" s="9">
        <f>[1]monsters!$Q68</f>
        <v>137.13999999999999</v>
      </c>
      <c r="BW68" s="9">
        <f>[1]monsters!$R68</f>
        <v>28</v>
      </c>
      <c r="BX68" s="9">
        <f>[1]monsters!$S68</f>
        <v>2.8</v>
      </c>
      <c r="BY68" s="9">
        <f>[1]monsters!$K68</f>
        <v>1.5</v>
      </c>
      <c r="BZ68" s="7">
        <f>[1]monsters!$D68</f>
        <v>5</v>
      </c>
      <c r="CA68" s="7">
        <f t="shared" si="31"/>
        <v>0.1</v>
      </c>
      <c r="CB68" s="7">
        <f t="shared" si="32"/>
        <v>257.85609427609427</v>
      </c>
      <c r="CC68" s="7">
        <f t="shared" si="33"/>
        <v>25.78560942760943</v>
      </c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>
        <v>1</v>
      </c>
      <c r="CR68" s="25" t="b">
        <f t="shared" si="34"/>
        <v>1</v>
      </c>
      <c r="CS68" s="25" t="b">
        <f t="shared" si="35"/>
        <v>1</v>
      </c>
      <c r="CT68" s="25" t="b">
        <f t="shared" si="36"/>
        <v>1</v>
      </c>
      <c r="CU68" s="25" t="b">
        <f t="shared" si="37"/>
        <v>1</v>
      </c>
      <c r="CV68" s="25" t="b">
        <f t="shared" si="38"/>
        <v>1</v>
      </c>
      <c r="CW68" s="25" t="b">
        <f t="shared" si="39"/>
        <v>1</v>
      </c>
      <c r="CX68" s="16" t="str">
        <f t="shared" si="40"/>
        <v>1101075</v>
      </c>
      <c r="CY68" s="16" t="str">
        <f t="shared" si="41"/>
        <v>5201074</v>
      </c>
      <c r="CZ68" s="16" t="str">
        <f t="shared" si="42"/>
        <v>5201074</v>
      </c>
      <c r="DA68" s="16" t="str">
        <f t="shared" si="43"/>
        <v>5401071</v>
      </c>
      <c r="DB68" s="16" t="str">
        <f t="shared" si="44"/>
        <v>5401071</v>
      </c>
      <c r="DC68" s="16" t="str">
        <f t="shared" si="45"/>
        <v>5401071</v>
      </c>
      <c r="DD68" s="16">
        <v>7</v>
      </c>
      <c r="DE68" s="16">
        <v>7</v>
      </c>
      <c r="DF68" s="16">
        <v>7</v>
      </c>
      <c r="DG68" s="16">
        <v>7</v>
      </c>
      <c r="DH68" s="16">
        <v>7</v>
      </c>
      <c r="DI68" s="16">
        <v>7</v>
      </c>
      <c r="DJ68" s="16">
        <v>1</v>
      </c>
      <c r="DK68" s="16">
        <v>5</v>
      </c>
      <c r="DL68" s="16">
        <v>5</v>
      </c>
      <c r="DM68" s="16">
        <v>5</v>
      </c>
      <c r="DN68" s="16">
        <v>5</v>
      </c>
      <c r="DO68" s="16">
        <v>5</v>
      </c>
      <c r="DP68" s="51" t="s">
        <v>302</v>
      </c>
      <c r="DQ68" s="51" t="s">
        <v>236</v>
      </c>
      <c r="DR68" s="51" t="s">
        <v>236</v>
      </c>
      <c r="DS68" s="51" t="s">
        <v>123</v>
      </c>
      <c r="DT68" s="51" t="s">
        <v>123</v>
      </c>
      <c r="DU68" s="51" t="s">
        <v>123</v>
      </c>
      <c r="DV68" s="32">
        <f t="shared" ref="DV68:DV131" si="69">INDEX($EE$4:$EE$801,MATCH(DP68,$ED$4:$ED$801,0))</f>
        <v>1</v>
      </c>
      <c r="DW68" s="32">
        <f t="shared" ref="DW68:DW131" si="70">INDEX($EE$4:$EE$801,MATCH(DQ68,$ED$4:$ED$801,0))</f>
        <v>1</v>
      </c>
      <c r="DX68" s="32">
        <f t="shared" ref="DX68:DX131" si="71">INDEX($EE$4:$EE$801,MATCH(DR68,$ED$4:$ED$801,0))</f>
        <v>1</v>
      </c>
      <c r="DY68" s="32">
        <f t="shared" ref="DY68:DY131" si="72">INDEX($EE$4:$EE$801,MATCH(DS68,$ED$4:$ED$801,0))</f>
        <v>2</v>
      </c>
      <c r="DZ68" s="32">
        <f t="shared" ref="DZ68:DZ131" si="73">INDEX($EE$4:$EE$801,MATCH(DT68,$ED$4:$ED$801,0))</f>
        <v>2</v>
      </c>
      <c r="EA68" s="32">
        <f t="shared" ref="EA68:EA131" si="74">INDEX($EE$4:$EE$801,MATCH(DU68,$ED$4:$ED$801,0))</f>
        <v>2</v>
      </c>
      <c r="EB68" s="38"/>
      <c r="EC68" s="7">
        <v>3500072</v>
      </c>
      <c r="ED68" s="35" t="s">
        <v>131</v>
      </c>
      <c r="EE68" s="16">
        <v>2</v>
      </c>
      <c r="EQ68" s="16">
        <v>303530201</v>
      </c>
      <c r="ER68" s="16" t="s">
        <v>191</v>
      </c>
      <c r="FD68" s="16">
        <v>1101075</v>
      </c>
      <c r="FE68" s="16">
        <v>5201074</v>
      </c>
      <c r="FF68" s="16">
        <v>5201074</v>
      </c>
      <c r="FG68" s="16">
        <v>5401071</v>
      </c>
      <c r="FH68" s="16">
        <v>5401071</v>
      </c>
      <c r="FI68" s="16">
        <v>5401071</v>
      </c>
      <c r="FJ68" t="str">
        <f t="shared" si="46"/>
        <v>暗黑骑士</v>
      </c>
      <c r="FK68" t="str">
        <f t="shared" si="47"/>
        <v>光骑兵</v>
      </c>
      <c r="FL68" t="str">
        <f t="shared" si="48"/>
        <v>光骑兵</v>
      </c>
      <c r="FM68" t="str">
        <f t="shared" si="49"/>
        <v>水魔法师</v>
      </c>
      <c r="FN68" t="str">
        <f t="shared" si="50"/>
        <v>水魔法师</v>
      </c>
      <c r="FO68" t="str">
        <f t="shared" si="51"/>
        <v>水魔法师</v>
      </c>
      <c r="FP68" t="str">
        <f t="shared" si="52"/>
        <v>7</v>
      </c>
      <c r="FQ68" t="str">
        <f t="shared" si="53"/>
        <v>7</v>
      </c>
      <c r="FR68" t="str">
        <f t="shared" si="54"/>
        <v>7</v>
      </c>
      <c r="FS68" t="str">
        <f t="shared" si="55"/>
        <v>7</v>
      </c>
      <c r="FT68" t="str">
        <f t="shared" si="56"/>
        <v>7</v>
      </c>
      <c r="FU68" t="str">
        <f t="shared" si="57"/>
        <v>7</v>
      </c>
      <c r="FV68" t="str">
        <f t="shared" ref="FV68:FV99" si="75">LEFT(FD68,1)</f>
        <v>1</v>
      </c>
      <c r="FW68" t="str">
        <f t="shared" ref="FW68:FW99" si="76">LEFT(FE68,1)</f>
        <v>5</v>
      </c>
      <c r="FX68" t="str">
        <f t="shared" ref="FX68:FX99" si="77">LEFT(FF68,1)</f>
        <v>5</v>
      </c>
      <c r="FY68" t="str">
        <f t="shared" ref="FY68:FY99" si="78">LEFT(FG68,1)</f>
        <v>5</v>
      </c>
      <c r="FZ68" t="str">
        <f t="shared" ref="FZ68:FZ99" si="79">LEFT(FH68,1)</f>
        <v>5</v>
      </c>
      <c r="GA68" t="str">
        <f t="shared" ref="GA68:GA99" si="80">LEFT(FI68,1)</f>
        <v>5</v>
      </c>
    </row>
    <row r="69" spans="1:183" ht="13.5" customHeight="1">
      <c r="A69" s="1">
        <v>706</v>
      </c>
      <c r="B69" s="6">
        <v>10042</v>
      </c>
      <c r="C69" s="23" t="str">
        <f t="shared" ref="C69:C132" si="81">Q69&amp;","&amp;R69&amp;","&amp;S69&amp;","&amp;T69&amp;","&amp;U69&amp;","&amp;V69</f>
        <v>5502073,5200073,5200073,5200073,5502073,5502073</v>
      </c>
      <c r="D69" s="1" t="str">
        <f t="shared" ref="D69:D132" si="82">W69&amp;","&amp;X69&amp;","&amp;Y69&amp;","&amp;Z69&amp;","&amp;AA69&amp;","&amp;AB69</f>
        <v>7,7,7,7,7,7</v>
      </c>
      <c r="E69" s="53" t="str">
        <f t="shared" ref="E69:E132" si="83">AC69&amp;","&amp;AD69&amp;","&amp;AE69&amp;","&amp;AF69&amp;","&amp;AG69&amp;","&amp;AH69</f>
        <v>355,343,343,343,343,343</v>
      </c>
      <c r="F69" s="1">
        <f t="shared" si="68"/>
        <v>604415</v>
      </c>
      <c r="G69" s="23" t="s">
        <v>34</v>
      </c>
      <c r="H69" s="1" t="s">
        <v>28</v>
      </c>
      <c r="I69" s="1" t="s">
        <v>28</v>
      </c>
      <c r="J69" s="1" t="s">
        <v>28</v>
      </c>
      <c r="K69" s="2" t="s">
        <v>367</v>
      </c>
      <c r="L69" s="1">
        <v>2</v>
      </c>
      <c r="M69" s="1">
        <v>2</v>
      </c>
      <c r="O69" s="25">
        <f t="shared" ref="O69:O132" si="84">ROUND(P69*1,0)</f>
        <v>604415</v>
      </c>
      <c r="P69" s="16">
        <v>604415.46</v>
      </c>
      <c r="Q69" s="16">
        <v>5502073</v>
      </c>
      <c r="R69" s="16">
        <v>5200073</v>
      </c>
      <c r="S69" s="16">
        <v>5200073</v>
      </c>
      <c r="T69" s="16">
        <v>5200073</v>
      </c>
      <c r="U69" s="16">
        <v>5502073</v>
      </c>
      <c r="V69" s="16">
        <v>5502073</v>
      </c>
      <c r="W69" s="16">
        <v>7</v>
      </c>
      <c r="X69" s="16">
        <v>7</v>
      </c>
      <c r="Y69" s="16">
        <v>7</v>
      </c>
      <c r="Z69" s="16">
        <v>7</v>
      </c>
      <c r="AA69" s="16">
        <v>7</v>
      </c>
      <c r="AB69" s="16">
        <v>7</v>
      </c>
      <c r="AC69" s="16">
        <f t="shared" ref="AC69:AC132" si="85">IF(AI69&gt;0,FLOOR((POWER((AI69/IF(AND(W69&gt;=2,W69&lt;4),1.1,IF(AND(W69&gt;=4,W69&lt;6),1.2,IF(W69&gt;=6,1.4,1)))/$Z$1),0.5)/INDEX($BD$4:$BQ$4,MATCH(W69,$BD$3:$BQ$3,0))-1)*10,1),"")</f>
        <v>355</v>
      </c>
      <c r="AD69" s="16">
        <f t="shared" si="59"/>
        <v>343</v>
      </c>
      <c r="AE69" s="16">
        <f t="shared" si="59"/>
        <v>343</v>
      </c>
      <c r="AF69" s="16">
        <f t="shared" si="59"/>
        <v>343</v>
      </c>
      <c r="AG69" s="16">
        <f t="shared" si="59"/>
        <v>343</v>
      </c>
      <c r="AH69" s="16">
        <f t="shared" si="59"/>
        <v>343</v>
      </c>
      <c r="AI69" s="28">
        <f t="shared" ref="AI69:AI132" si="86">$P69*0.2</f>
        <v>120883.092</v>
      </c>
      <c r="AJ69" s="28">
        <f t="shared" ref="AJ69:AN100" si="87">$P69*0.16</f>
        <v>96706.473599999998</v>
      </c>
      <c r="AK69" s="28">
        <f t="shared" si="87"/>
        <v>96706.473599999998</v>
      </c>
      <c r="AL69" s="28">
        <f t="shared" si="87"/>
        <v>96706.473599999998</v>
      </c>
      <c r="AM69" s="28">
        <f t="shared" si="87"/>
        <v>96706.473599999998</v>
      </c>
      <c r="AN69" s="28">
        <f t="shared" si="87"/>
        <v>96706.473599999998</v>
      </c>
      <c r="AO69" s="30"/>
      <c r="AP69" s="28"/>
      <c r="AQ69" s="16">
        <v>4</v>
      </c>
      <c r="AR69" s="16">
        <f t="shared" ref="AR69:AR132" si="88">IF(AI69&gt;0,FLOOR((POWER((AI69/IF(AND(AQ69&gt;=2,AQ69&lt;4),1.2,IF(AND(AQ69&gt;=4,AQ69&lt;6),1.4,IF(AQ69&gt;=6,1.6,1)))/$Z$1),0.5)/INDEX($BD$4:$BQ$4,MATCH(AQ69,$BD$3:$BQ$3,0))-1)*10,1),"")</f>
        <v>512</v>
      </c>
      <c r="AS69" s="28">
        <f t="shared" ref="AS69:AS132" si="89">FLOOR(A69/1,1)+25</f>
        <v>731</v>
      </c>
      <c r="AT69" s="28"/>
      <c r="AU69" s="30">
        <v>604415.46</v>
      </c>
      <c r="AV69" s="28" t="str">
        <f t="shared" ref="AV69:AV132" si="90">IF(AU69&gt;P69,"大:"&amp;(AU69-P69)/P69,"小:"&amp;(P69-AU69)/P69)</f>
        <v>小:0</v>
      </c>
      <c r="AW69" s="28"/>
      <c r="AX69" s="28"/>
      <c r="AZ69" s="28"/>
      <c r="BA69" s="16">
        <f t="shared" si="67"/>
        <v>7404.1700000000019</v>
      </c>
      <c r="BC69" s="7">
        <f t="shared" ref="BC69:BC132" si="91">FLOOR(POWER(((3000*1.5/0.9/1.05)/(96*INDEX($BD$4:$BO$4,MATCH(W69,$BD$3:$BO$3,0))*8*INDEX($BD$4:$BO$4,MATCH(W69,$BD$3:$BO$3,0)))*AI69/IF(AND(W69&gt;=2,W69&lt;4),1.2,IF(AND(W69&gt;=4,W69&lt;6),1.4,IF(W69&gt;=6,1.6,1)))),1/2)-10,1)</f>
        <v>332</v>
      </c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9"/>
      <c r="BQ69" s="9"/>
      <c r="BR69" s="9">
        <v>4201051</v>
      </c>
      <c r="BS69" s="9">
        <f>[1]monsters!$N69</f>
        <v>248</v>
      </c>
      <c r="BT69" s="9">
        <f>[1]monsters!$O69</f>
        <v>24.8</v>
      </c>
      <c r="BU69" s="9">
        <f>[1]monsters!$P69</f>
        <v>1238.71</v>
      </c>
      <c r="BV69" s="9">
        <f>[1]monsters!$Q69</f>
        <v>123.87</v>
      </c>
      <c r="BW69" s="9">
        <f>[1]monsters!$R69</f>
        <v>24.8</v>
      </c>
      <c r="BX69" s="9">
        <f>[1]monsters!$S69</f>
        <v>2.48</v>
      </c>
      <c r="BY69" s="9">
        <f>[1]monsters!$K69</f>
        <v>1.5</v>
      </c>
      <c r="BZ69" s="7">
        <f>[1]monsters!$D69</f>
        <v>6</v>
      </c>
      <c r="CA69" s="7">
        <f t="shared" ref="CA69:CA132" si="92">INDEX($CH$5:$CH$10,MATCH($BZ69,$CG$5:$CG$10))</f>
        <v>0.1</v>
      </c>
      <c r="CB69" s="7">
        <f t="shared" ref="CB69:CB132" si="93">(BU69/33/(1-CA69)/(1-0)+BS69*(1+0.5*0.1)*0.9)</f>
        <v>276.06740740740747</v>
      </c>
      <c r="CC69" s="7">
        <f t="shared" ref="CC69:CC132" si="94">(BU69/33/(1-CA69)/(1-0)+BS69*(1+0.5*0.1)*0.9)*0.1</f>
        <v>27.606740740740747</v>
      </c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>
        <v>0</v>
      </c>
      <c r="CR69" s="25" t="b">
        <f t="shared" ref="CR69:CR132" si="95">IF(ISERROR(MATCH(INT(CX69),$EC$4:$EC$801,0))=FALSE,TRUE)</f>
        <v>1</v>
      </c>
      <c r="CS69" s="25" t="b">
        <f t="shared" ref="CS69:CS132" si="96">IF(ISERROR(MATCH(INT(CY69),$EC$4:$EC$801,0))=FALSE,TRUE)</f>
        <v>1</v>
      </c>
      <c r="CT69" s="25" t="b">
        <f t="shared" ref="CT69:CT132" si="97">IF(ISERROR(MATCH(INT(CZ69),$EC$4:$EC$801,0))=FALSE,TRUE)</f>
        <v>1</v>
      </c>
      <c r="CU69" s="25" t="b">
        <f t="shared" ref="CU69:CU132" si="98">IF(ISERROR(MATCH(INT(DA69),$EC$4:$EC$801,0))=FALSE,TRUE)</f>
        <v>1</v>
      </c>
      <c r="CV69" s="25" t="b">
        <f t="shared" ref="CV69:CV132" si="99">IF(ISERROR(MATCH(INT(DB69),$EC$4:$EC$801,0))=FALSE,TRUE)</f>
        <v>1</v>
      </c>
      <c r="CW69" s="25" t="b">
        <f t="shared" ref="CW69:CW132" si="100">IF(ISERROR(MATCH(INT(DC69),$EC$4:$EC$801,0))=FALSE,TRUE)</f>
        <v>1</v>
      </c>
      <c r="CX69" s="16" t="str">
        <f t="shared" ref="CX69:CX132" si="101">REPLACE(REPLACE(INDEX($EC$4:$EC$801,MATCH(DP69,$ED$4:$ED$801,0)),IF(DD69&gt;9,5,6),IF(DD69&gt;9,2,1),DD69),1,1,DJ69)</f>
        <v>5502073</v>
      </c>
      <c r="CY69" s="16" t="str">
        <f t="shared" ref="CY69:CY132" si="102">REPLACE(REPLACE(INDEX($EC$4:$EC$801,MATCH(DQ69,$ED$4:$ED$801,0)),IF(DE69&gt;9,5,6),IF(DE69&gt;9,2,1),DE69),1,1,DK69)</f>
        <v>5200073</v>
      </c>
      <c r="CZ69" s="16" t="str">
        <f t="shared" ref="CZ69:CZ132" si="103">REPLACE(REPLACE(INDEX($EC$4:$EC$801,MATCH(DR69,$ED$4:$ED$801,0)),IF(DF69&gt;9,5,6),IF(DF69&gt;9,2,1),DF69),1,1,DL69)</f>
        <v>5200073</v>
      </c>
      <c r="DA69" s="16" t="str">
        <f t="shared" ref="DA69:DA132" si="104">REPLACE(REPLACE(INDEX($EC$4:$EC$801,MATCH(DS69,$ED$4:$ED$801,0)),IF(DG69&gt;9,5,6),IF(DG69&gt;9,2,1),DG69),1,1,DM69)</f>
        <v>5200073</v>
      </c>
      <c r="DB69" s="16" t="str">
        <f t="shared" ref="DB69:DB132" si="105">REPLACE(REPLACE(INDEX($EC$4:$EC$801,MATCH(DT69,$ED$4:$ED$801,0)),IF(DH69&gt;9,5,6),IF(DH69&gt;9,2,1),DH69),1,1,DN69)</f>
        <v>5502073</v>
      </c>
      <c r="DC69" s="16" t="str">
        <f t="shared" ref="DC69:DC132" si="106">REPLACE(REPLACE(INDEX($EC$4:$EC$801,MATCH(DU69,$ED$4:$ED$801,0)),IF(DI69&gt;9,5,6),IF(DI69&gt;9,2,1),DI69),1,1,DO69)</f>
        <v>5502073</v>
      </c>
      <c r="DD69" s="16">
        <v>7</v>
      </c>
      <c r="DE69" s="16">
        <v>7</v>
      </c>
      <c r="DF69" s="16">
        <v>7</v>
      </c>
      <c r="DG69" s="16">
        <v>7</v>
      </c>
      <c r="DH69" s="16">
        <v>7</v>
      </c>
      <c r="DI69" s="16">
        <v>7</v>
      </c>
      <c r="DJ69" s="16">
        <v>5</v>
      </c>
      <c r="DK69" s="16">
        <v>5</v>
      </c>
      <c r="DL69" s="16">
        <v>5</v>
      </c>
      <c r="DM69" s="16">
        <v>5</v>
      </c>
      <c r="DN69" s="16">
        <v>5</v>
      </c>
      <c r="DO69" s="16">
        <v>5</v>
      </c>
      <c r="DP69" s="13" t="s">
        <v>227</v>
      </c>
      <c r="DQ69" s="51" t="s">
        <v>119</v>
      </c>
      <c r="DR69" s="51" t="s">
        <v>119</v>
      </c>
      <c r="DS69" s="51" t="s">
        <v>119</v>
      </c>
      <c r="DT69" s="51" t="s">
        <v>227</v>
      </c>
      <c r="DU69" s="51" t="s">
        <v>227</v>
      </c>
      <c r="DV69" s="32">
        <f t="shared" si="69"/>
        <v>2</v>
      </c>
      <c r="DW69" s="32">
        <f t="shared" si="70"/>
        <v>1</v>
      </c>
      <c r="DX69" s="32">
        <f t="shared" si="71"/>
        <v>1</v>
      </c>
      <c r="DY69" s="32">
        <f t="shared" si="72"/>
        <v>1</v>
      </c>
      <c r="DZ69" s="32">
        <f t="shared" si="73"/>
        <v>2</v>
      </c>
      <c r="EA69" s="32">
        <f t="shared" si="74"/>
        <v>2</v>
      </c>
      <c r="EB69" s="39"/>
      <c r="EC69" s="7">
        <v>3601072</v>
      </c>
      <c r="ED69" s="35" t="s">
        <v>133</v>
      </c>
      <c r="EE69" s="16">
        <v>2</v>
      </c>
      <c r="EQ69" s="16">
        <v>303540001</v>
      </c>
      <c r="ER69" s="16" t="s">
        <v>192</v>
      </c>
      <c r="FD69" s="16">
        <v>5502073</v>
      </c>
      <c r="FE69" s="16">
        <v>5200073</v>
      </c>
      <c r="FF69" s="16">
        <v>5200073</v>
      </c>
      <c r="FG69" s="16">
        <v>5200073</v>
      </c>
      <c r="FH69" s="16">
        <v>5502073</v>
      </c>
      <c r="FI69" s="16">
        <v>5502073</v>
      </c>
      <c r="FJ69" t="str">
        <f t="shared" ref="FJ69:FJ132" si="107">INDEX($ED$4:$ED$801,MATCH(FD69,$EC$4:$EC$801,0))</f>
        <v>木火枪手</v>
      </c>
      <c r="FK69" t="str">
        <f t="shared" ref="FK69:FK132" si="108">INDEX($ED$4:$ED$801,MATCH(FE69,$EC$4:$EC$801,0))</f>
        <v>木刀客</v>
      </c>
      <c r="FL69" t="str">
        <f t="shared" ref="FL69:FL132" si="109">INDEX($ED$4:$ED$801,MATCH(FF69,$EC$4:$EC$801,0))</f>
        <v>木刀客</v>
      </c>
      <c r="FM69" t="str">
        <f t="shared" ref="FM69:FM132" si="110">INDEX($ED$4:$ED$801,MATCH(FG69,$EC$4:$EC$801,0))</f>
        <v>木刀客</v>
      </c>
      <c r="FN69" t="str">
        <f t="shared" ref="FN69:FN132" si="111">INDEX($ED$4:$ED$801,MATCH(FH69,$EC$4:$EC$801,0))</f>
        <v>木火枪手</v>
      </c>
      <c r="FO69" t="str">
        <f t="shared" ref="FO69:FO132" si="112">INDEX($ED$4:$ED$801,MATCH(FI69,$EC$4:$EC$801,0))</f>
        <v>木火枪手</v>
      </c>
      <c r="FP69" t="str">
        <f t="shared" ref="FP69:FP132" si="113">LEFT(RIGHT(FD69,2),1)</f>
        <v>7</v>
      </c>
      <c r="FQ69" t="str">
        <f t="shared" ref="FQ69:FQ132" si="114">LEFT(RIGHT(FE69,2),1)</f>
        <v>7</v>
      </c>
      <c r="FR69" t="str">
        <f t="shared" ref="FR69:FR132" si="115">LEFT(RIGHT(FF69,2),1)</f>
        <v>7</v>
      </c>
      <c r="FS69" t="str">
        <f t="shared" ref="FS69:FS132" si="116">LEFT(RIGHT(FG69,2),1)</f>
        <v>7</v>
      </c>
      <c r="FT69" t="str">
        <f t="shared" ref="FT69:FT132" si="117">LEFT(RIGHT(FH69,2),1)</f>
        <v>7</v>
      </c>
      <c r="FU69" t="str">
        <f t="shared" ref="FU69:FU132" si="118">LEFT(RIGHT(FI69,2),1)</f>
        <v>7</v>
      </c>
      <c r="FV69" t="str">
        <f t="shared" si="75"/>
        <v>5</v>
      </c>
      <c r="FW69" t="str">
        <f t="shared" si="76"/>
        <v>5</v>
      </c>
      <c r="FX69" t="str">
        <f t="shared" si="77"/>
        <v>5</v>
      </c>
      <c r="FY69" t="str">
        <f t="shared" si="78"/>
        <v>5</v>
      </c>
      <c r="FZ69" t="str">
        <f t="shared" si="79"/>
        <v>5</v>
      </c>
      <c r="GA69" t="str">
        <f t="shared" si="80"/>
        <v>5</v>
      </c>
    </row>
    <row r="70" spans="1:183" ht="13.5" customHeight="1">
      <c r="A70" s="1">
        <v>707</v>
      </c>
      <c r="B70" s="6">
        <v>10042</v>
      </c>
      <c r="C70" s="23" t="str">
        <f t="shared" si="81"/>
        <v>5402072,5201071,5202071,5201071,5401072,5602074</v>
      </c>
      <c r="D70" s="1" t="str">
        <f t="shared" si="82"/>
        <v>7,7,7,7,7,7</v>
      </c>
      <c r="E70" s="53" t="str">
        <f t="shared" si="83"/>
        <v>358,346,346,346,346,346</v>
      </c>
      <c r="F70" s="1">
        <f t="shared" si="68"/>
        <v>613747</v>
      </c>
      <c r="G70" s="23" t="s">
        <v>34</v>
      </c>
      <c r="H70" s="1" t="s">
        <v>28</v>
      </c>
      <c r="I70" s="1" t="s">
        <v>28</v>
      </c>
      <c r="J70" s="1" t="s">
        <v>28</v>
      </c>
      <c r="K70" s="2" t="s">
        <v>368</v>
      </c>
      <c r="L70" s="1">
        <v>3</v>
      </c>
      <c r="M70" s="1">
        <v>6</v>
      </c>
      <c r="O70" s="25">
        <f t="shared" si="84"/>
        <v>613747</v>
      </c>
      <c r="P70" s="16">
        <v>613747.31000000006</v>
      </c>
      <c r="Q70" s="16">
        <v>5402072</v>
      </c>
      <c r="R70" s="16">
        <v>5201071</v>
      </c>
      <c r="S70" s="16">
        <v>5202071</v>
      </c>
      <c r="T70" s="16">
        <v>5201071</v>
      </c>
      <c r="U70" s="16">
        <v>5401072</v>
      </c>
      <c r="V70" s="16">
        <v>5602074</v>
      </c>
      <c r="W70" s="16">
        <v>7</v>
      </c>
      <c r="X70" s="16">
        <v>7</v>
      </c>
      <c r="Y70" s="16">
        <v>7</v>
      </c>
      <c r="Z70" s="16">
        <v>7</v>
      </c>
      <c r="AA70" s="16">
        <v>7</v>
      </c>
      <c r="AB70" s="16">
        <v>7</v>
      </c>
      <c r="AC70" s="16">
        <f t="shared" si="85"/>
        <v>358</v>
      </c>
      <c r="AD70" s="16">
        <f t="shared" si="59"/>
        <v>346</v>
      </c>
      <c r="AE70" s="16">
        <f t="shared" si="59"/>
        <v>346</v>
      </c>
      <c r="AF70" s="16">
        <f t="shared" si="59"/>
        <v>346</v>
      </c>
      <c r="AG70" s="16">
        <f t="shared" si="59"/>
        <v>346</v>
      </c>
      <c r="AH70" s="16">
        <f t="shared" si="59"/>
        <v>346</v>
      </c>
      <c r="AI70" s="28">
        <f t="shared" si="86"/>
        <v>122749.46200000001</v>
      </c>
      <c r="AJ70" s="28">
        <f t="shared" si="87"/>
        <v>98199.569600000017</v>
      </c>
      <c r="AK70" s="28">
        <f t="shared" si="87"/>
        <v>98199.569600000017</v>
      </c>
      <c r="AL70" s="28">
        <f t="shared" si="87"/>
        <v>98199.569600000017</v>
      </c>
      <c r="AM70" s="28">
        <f t="shared" si="87"/>
        <v>98199.569600000017</v>
      </c>
      <c r="AN70" s="28">
        <f t="shared" si="87"/>
        <v>98199.569600000017</v>
      </c>
      <c r="AO70" s="30"/>
      <c r="AP70" s="28"/>
      <c r="AQ70" s="16">
        <v>4</v>
      </c>
      <c r="AR70" s="16">
        <f t="shared" si="88"/>
        <v>516</v>
      </c>
      <c r="AS70" s="28">
        <f t="shared" si="89"/>
        <v>732</v>
      </c>
      <c r="AT70" s="28"/>
      <c r="AU70" s="30">
        <v>613747.31000000006</v>
      </c>
      <c r="AV70" s="28" t="str">
        <f t="shared" si="90"/>
        <v>小:0</v>
      </c>
      <c r="AW70" s="28"/>
      <c r="AX70" s="28"/>
      <c r="AZ70" s="28"/>
      <c r="BA70" s="16">
        <f t="shared" si="67"/>
        <v>7439.715000000002</v>
      </c>
      <c r="BC70" s="7">
        <f t="shared" si="91"/>
        <v>334</v>
      </c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9"/>
      <c r="BQ70" s="9"/>
      <c r="BR70" s="9">
        <v>4300051</v>
      </c>
      <c r="BS70" s="9">
        <f>[1]monsters!$N70</f>
        <v>160</v>
      </c>
      <c r="BT70" s="9">
        <f>[1]monsters!$O70</f>
        <v>16</v>
      </c>
      <c r="BU70" s="9">
        <f>[1]monsters!$P70</f>
        <v>1920</v>
      </c>
      <c r="BV70" s="9">
        <f>[1]monsters!$Q70</f>
        <v>192</v>
      </c>
      <c r="BW70" s="9">
        <f>[1]monsters!$R70</f>
        <v>40</v>
      </c>
      <c r="BX70" s="9">
        <f>[1]monsters!$S70</f>
        <v>4</v>
      </c>
      <c r="BY70" s="9">
        <f>[1]monsters!$K70</f>
        <v>1.5</v>
      </c>
      <c r="BZ70" s="7">
        <f>[1]monsters!$D70</f>
        <v>2</v>
      </c>
      <c r="CA70" s="7">
        <f t="shared" si="92"/>
        <v>0.1</v>
      </c>
      <c r="CB70" s="7">
        <f t="shared" si="93"/>
        <v>215.84646464646465</v>
      </c>
      <c r="CC70" s="7">
        <f t="shared" si="94"/>
        <v>21.584646464646468</v>
      </c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>
        <v>0</v>
      </c>
      <c r="CR70" s="25" t="b">
        <f t="shared" si="95"/>
        <v>1</v>
      </c>
      <c r="CS70" s="25" t="b">
        <f t="shared" si="96"/>
        <v>1</v>
      </c>
      <c r="CT70" s="25" t="b">
        <f t="shared" si="97"/>
        <v>1</v>
      </c>
      <c r="CU70" s="25" t="b">
        <f t="shared" si="98"/>
        <v>1</v>
      </c>
      <c r="CV70" s="25" t="b">
        <f t="shared" si="99"/>
        <v>1</v>
      </c>
      <c r="CW70" s="25" t="b">
        <f t="shared" si="100"/>
        <v>1</v>
      </c>
      <c r="CX70" s="16" t="str">
        <f t="shared" si="101"/>
        <v>5402072</v>
      </c>
      <c r="CY70" s="16" t="str">
        <f t="shared" si="102"/>
        <v>5201071</v>
      </c>
      <c r="CZ70" s="16" t="str">
        <f t="shared" si="103"/>
        <v>5202071</v>
      </c>
      <c r="DA70" s="16" t="str">
        <f t="shared" si="104"/>
        <v>5201071</v>
      </c>
      <c r="DB70" s="16" t="str">
        <f t="shared" si="105"/>
        <v>5401072</v>
      </c>
      <c r="DC70" s="16" t="str">
        <f t="shared" si="106"/>
        <v>5602074</v>
      </c>
      <c r="DD70" s="16">
        <v>7</v>
      </c>
      <c r="DE70" s="16">
        <v>7</v>
      </c>
      <c r="DF70" s="16">
        <v>7</v>
      </c>
      <c r="DG70" s="16">
        <v>7</v>
      </c>
      <c r="DH70" s="16">
        <v>7</v>
      </c>
      <c r="DI70" s="16">
        <v>7</v>
      </c>
      <c r="DJ70" s="16">
        <v>5</v>
      </c>
      <c r="DK70" s="16">
        <v>5</v>
      </c>
      <c r="DL70" s="16">
        <v>5</v>
      </c>
      <c r="DM70" s="16">
        <v>5</v>
      </c>
      <c r="DN70" s="16">
        <v>5</v>
      </c>
      <c r="DO70" s="16">
        <v>5</v>
      </c>
      <c r="DP70" s="36" t="s">
        <v>214</v>
      </c>
      <c r="DQ70" s="36" t="s">
        <v>206</v>
      </c>
      <c r="DR70" s="36" t="s">
        <v>117</v>
      </c>
      <c r="DS70" s="36" t="s">
        <v>206</v>
      </c>
      <c r="DT70" s="36" t="s">
        <v>213</v>
      </c>
      <c r="DU70" s="36" t="s">
        <v>232</v>
      </c>
      <c r="DV70" s="32">
        <f t="shared" si="69"/>
        <v>2</v>
      </c>
      <c r="DW70" s="32">
        <f t="shared" si="70"/>
        <v>1</v>
      </c>
      <c r="DX70" s="32">
        <f t="shared" si="71"/>
        <v>1</v>
      </c>
      <c r="DY70" s="32">
        <f t="shared" si="72"/>
        <v>1</v>
      </c>
      <c r="DZ70" s="32">
        <f t="shared" si="73"/>
        <v>2</v>
      </c>
      <c r="EA70" s="32">
        <f t="shared" si="74"/>
        <v>2</v>
      </c>
      <c r="EB70" s="39"/>
      <c r="EC70" s="7">
        <v>3200073</v>
      </c>
      <c r="ED70" s="35" t="s">
        <v>135</v>
      </c>
      <c r="EE70" s="16">
        <v>1</v>
      </c>
      <c r="FD70" s="16">
        <v>5402072</v>
      </c>
      <c r="FE70" s="16">
        <v>5201071</v>
      </c>
      <c r="FF70" s="16">
        <v>5202071</v>
      </c>
      <c r="FG70" s="16">
        <v>5201071</v>
      </c>
      <c r="FH70" s="16">
        <v>5401072</v>
      </c>
      <c r="FI70" s="16">
        <v>5602074</v>
      </c>
      <c r="FJ70" t="str">
        <f t="shared" si="107"/>
        <v>火女巫</v>
      </c>
      <c r="FK70" t="str">
        <f t="shared" si="108"/>
        <v>水骑兵</v>
      </c>
      <c r="FL70" t="str">
        <f t="shared" si="109"/>
        <v>水维京</v>
      </c>
      <c r="FM70" t="str">
        <f t="shared" si="110"/>
        <v>水骑兵</v>
      </c>
      <c r="FN70" t="str">
        <f t="shared" si="111"/>
        <v>火魔法师</v>
      </c>
      <c r="FO70" t="str">
        <f t="shared" si="112"/>
        <v>光学者</v>
      </c>
      <c r="FP70" t="str">
        <f t="shared" si="113"/>
        <v>7</v>
      </c>
      <c r="FQ70" t="str">
        <f t="shared" si="114"/>
        <v>7</v>
      </c>
      <c r="FR70" t="str">
        <f t="shared" si="115"/>
        <v>7</v>
      </c>
      <c r="FS70" t="str">
        <f t="shared" si="116"/>
        <v>7</v>
      </c>
      <c r="FT70" t="str">
        <f t="shared" si="117"/>
        <v>7</v>
      </c>
      <c r="FU70" t="str">
        <f t="shared" si="118"/>
        <v>7</v>
      </c>
      <c r="FV70" t="str">
        <f t="shared" si="75"/>
        <v>5</v>
      </c>
      <c r="FW70" t="str">
        <f t="shared" si="76"/>
        <v>5</v>
      </c>
      <c r="FX70" t="str">
        <f t="shared" si="77"/>
        <v>5</v>
      </c>
      <c r="FY70" t="str">
        <f t="shared" si="78"/>
        <v>5</v>
      </c>
      <c r="FZ70" t="str">
        <f t="shared" si="79"/>
        <v>5</v>
      </c>
      <c r="GA70" t="str">
        <f t="shared" si="80"/>
        <v>5</v>
      </c>
    </row>
    <row r="71" spans="1:183" ht="13.5" customHeight="1">
      <c r="A71" s="1">
        <v>708</v>
      </c>
      <c r="B71" s="6">
        <v>10042</v>
      </c>
      <c r="C71" s="23" t="str">
        <f t="shared" si="81"/>
        <v>1101074,5201074,5201074,5402072,5402072,5402072</v>
      </c>
      <c r="D71" s="1" t="str">
        <f t="shared" si="82"/>
        <v>7,7,7,7,7,7</v>
      </c>
      <c r="E71" s="53" t="str">
        <f t="shared" si="83"/>
        <v>361,348,348,348,348,348</v>
      </c>
      <c r="F71" s="1">
        <f t="shared" si="68"/>
        <v>621666</v>
      </c>
      <c r="G71" s="23" t="s">
        <v>34</v>
      </c>
      <c r="H71" s="1" t="s">
        <v>28</v>
      </c>
      <c r="I71" s="1" t="s">
        <v>28</v>
      </c>
      <c r="J71" s="1" t="s">
        <v>28</v>
      </c>
      <c r="K71" s="2" t="s">
        <v>369</v>
      </c>
      <c r="L71" s="1">
        <v>1</v>
      </c>
      <c r="M71" s="1">
        <v>6</v>
      </c>
      <c r="O71" s="25">
        <f t="shared" si="84"/>
        <v>621666</v>
      </c>
      <c r="P71" s="16">
        <v>621666.31999999995</v>
      </c>
      <c r="Q71" s="16">
        <v>1101074</v>
      </c>
      <c r="R71" s="16">
        <v>5201074</v>
      </c>
      <c r="S71" s="16">
        <v>5201074</v>
      </c>
      <c r="T71" s="16">
        <v>5402072</v>
      </c>
      <c r="U71" s="16">
        <v>5402072</v>
      </c>
      <c r="V71" s="16">
        <v>5402072</v>
      </c>
      <c r="W71" s="16">
        <v>7</v>
      </c>
      <c r="X71" s="16">
        <v>7</v>
      </c>
      <c r="Y71" s="16">
        <v>7</v>
      </c>
      <c r="Z71" s="16">
        <v>7</v>
      </c>
      <c r="AA71" s="16">
        <v>7</v>
      </c>
      <c r="AB71" s="16">
        <v>7</v>
      </c>
      <c r="AC71" s="16">
        <f t="shared" si="85"/>
        <v>361</v>
      </c>
      <c r="AD71" s="16">
        <f t="shared" ref="AD71:AH121" si="119">IF(AJ71&gt;0,FLOOR((POWER((AJ71/IF(AND(X71&gt;=2,X71&lt;4),1.1,IF(AND(X71&gt;=4,X71&lt;6),1.15,IF(X71&gt;=6,1.2,1)))/$Z$1),0.5)/INDEX($BD$4:$BQ$4,MATCH(X71,$BD$3:$BQ$3,0))-1)*10,1),"")</f>
        <v>348</v>
      </c>
      <c r="AE71" s="16">
        <f t="shared" si="119"/>
        <v>348</v>
      </c>
      <c r="AF71" s="16">
        <f t="shared" si="119"/>
        <v>348</v>
      </c>
      <c r="AG71" s="16">
        <f t="shared" si="119"/>
        <v>348</v>
      </c>
      <c r="AH71" s="16">
        <f t="shared" si="119"/>
        <v>348</v>
      </c>
      <c r="AI71" s="28">
        <f t="shared" si="86"/>
        <v>124333.264</v>
      </c>
      <c r="AJ71" s="28">
        <f t="shared" si="87"/>
        <v>99466.611199999999</v>
      </c>
      <c r="AK71" s="28">
        <f t="shared" si="87"/>
        <v>99466.611199999999</v>
      </c>
      <c r="AL71" s="28">
        <f t="shared" si="87"/>
        <v>99466.611199999999</v>
      </c>
      <c r="AM71" s="28">
        <f t="shared" si="87"/>
        <v>99466.611199999999</v>
      </c>
      <c r="AN71" s="28">
        <f t="shared" si="87"/>
        <v>99466.611199999999</v>
      </c>
      <c r="AO71" s="30"/>
      <c r="AP71" s="28"/>
      <c r="AQ71" s="16">
        <v>4</v>
      </c>
      <c r="AR71" s="16">
        <f t="shared" si="88"/>
        <v>520</v>
      </c>
      <c r="AS71" s="28">
        <f t="shared" si="89"/>
        <v>733</v>
      </c>
      <c r="AT71" s="28"/>
      <c r="AU71" s="30">
        <v>621666.31999999995</v>
      </c>
      <c r="AV71" s="28" t="str">
        <f t="shared" si="90"/>
        <v>小:0</v>
      </c>
      <c r="AW71" s="28"/>
      <c r="AX71" s="28"/>
      <c r="AZ71" s="28"/>
      <c r="BA71" s="16">
        <f t="shared" si="67"/>
        <v>7475.260000000002</v>
      </c>
      <c r="BC71" s="7">
        <f t="shared" si="91"/>
        <v>337</v>
      </c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9"/>
      <c r="BQ71" s="9"/>
      <c r="BR71" s="9">
        <v>4401051</v>
      </c>
      <c r="BS71" s="9">
        <f>[1]monsters!$N71</f>
        <v>204.8</v>
      </c>
      <c r="BT71" s="9">
        <f>[1]monsters!$O71</f>
        <v>20.48</v>
      </c>
      <c r="BU71" s="9">
        <f>[1]monsters!$P71</f>
        <v>1600</v>
      </c>
      <c r="BV71" s="9">
        <f>[1]monsters!$Q71</f>
        <v>160</v>
      </c>
      <c r="BW71" s="9">
        <f>[1]monsters!$R71</f>
        <v>29.26</v>
      </c>
      <c r="BX71" s="9">
        <f>[1]monsters!$S71</f>
        <v>2.93</v>
      </c>
      <c r="BY71" s="9">
        <f>[1]monsters!$K71</f>
        <v>1.6</v>
      </c>
      <c r="BZ71" s="7">
        <f>[1]monsters!$D71</f>
        <v>4</v>
      </c>
      <c r="CA71" s="7">
        <f t="shared" si="92"/>
        <v>0.1</v>
      </c>
      <c r="CB71" s="7">
        <f t="shared" si="93"/>
        <v>247.4080538720539</v>
      </c>
      <c r="CC71" s="7">
        <f t="shared" si="94"/>
        <v>24.740805387205391</v>
      </c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>
        <v>0</v>
      </c>
      <c r="CR71" s="25" t="b">
        <f t="shared" si="95"/>
        <v>1</v>
      </c>
      <c r="CS71" s="25" t="b">
        <f t="shared" si="96"/>
        <v>1</v>
      </c>
      <c r="CT71" s="25" t="b">
        <f t="shared" si="97"/>
        <v>1</v>
      </c>
      <c r="CU71" s="25" t="b">
        <f t="shared" si="98"/>
        <v>1</v>
      </c>
      <c r="CV71" s="25" t="b">
        <f t="shared" si="99"/>
        <v>1</v>
      </c>
      <c r="CW71" s="25" t="b">
        <f t="shared" si="100"/>
        <v>1</v>
      </c>
      <c r="CX71" s="16" t="str">
        <f t="shared" si="101"/>
        <v>1101074</v>
      </c>
      <c r="CY71" s="16" t="str">
        <f t="shared" si="102"/>
        <v>5201074</v>
      </c>
      <c r="CZ71" s="16" t="str">
        <f t="shared" si="103"/>
        <v>5201074</v>
      </c>
      <c r="DA71" s="16" t="str">
        <f t="shared" si="104"/>
        <v>5402072</v>
      </c>
      <c r="DB71" s="16" t="str">
        <f t="shared" si="105"/>
        <v>5402072</v>
      </c>
      <c r="DC71" s="16" t="str">
        <f t="shared" si="106"/>
        <v>5402072</v>
      </c>
      <c r="DD71" s="16">
        <v>7</v>
      </c>
      <c r="DE71" s="16">
        <v>7</v>
      </c>
      <c r="DF71" s="16">
        <v>7</v>
      </c>
      <c r="DG71" s="16">
        <v>7</v>
      </c>
      <c r="DH71" s="16">
        <v>7</v>
      </c>
      <c r="DI71" s="16">
        <v>7</v>
      </c>
      <c r="DJ71" s="16">
        <v>1</v>
      </c>
      <c r="DK71" s="16">
        <v>5</v>
      </c>
      <c r="DL71" s="16">
        <v>5</v>
      </c>
      <c r="DM71" s="16">
        <v>5</v>
      </c>
      <c r="DN71" s="16">
        <v>5</v>
      </c>
      <c r="DO71" s="16">
        <v>5</v>
      </c>
      <c r="DP71" s="51" t="s">
        <v>301</v>
      </c>
      <c r="DQ71" s="51" t="s">
        <v>236</v>
      </c>
      <c r="DR71" s="36" t="s">
        <v>236</v>
      </c>
      <c r="DS71" s="36" t="s">
        <v>214</v>
      </c>
      <c r="DT71" s="51" t="s">
        <v>214</v>
      </c>
      <c r="DU71" s="51" t="s">
        <v>214</v>
      </c>
      <c r="DV71" s="32">
        <f t="shared" si="69"/>
        <v>1</v>
      </c>
      <c r="DW71" s="32">
        <f t="shared" si="70"/>
        <v>1</v>
      </c>
      <c r="DX71" s="32">
        <f t="shared" si="71"/>
        <v>1</v>
      </c>
      <c r="DY71" s="32">
        <f t="shared" si="72"/>
        <v>2</v>
      </c>
      <c r="DZ71" s="32">
        <f t="shared" si="73"/>
        <v>2</v>
      </c>
      <c r="EA71" s="32">
        <f t="shared" si="74"/>
        <v>2</v>
      </c>
      <c r="EB71" s="39"/>
      <c r="EC71" s="7">
        <v>3401071</v>
      </c>
      <c r="ED71" s="35" t="s">
        <v>137</v>
      </c>
      <c r="EE71" s="16">
        <v>2</v>
      </c>
      <c r="FD71" s="16">
        <v>1101074</v>
      </c>
      <c r="FE71" s="16">
        <v>5201074</v>
      </c>
      <c r="FF71" s="16">
        <v>5201074</v>
      </c>
      <c r="FG71" s="16">
        <v>5402072</v>
      </c>
      <c r="FH71" s="16">
        <v>5402072</v>
      </c>
      <c r="FI71" s="16">
        <v>5402072</v>
      </c>
      <c r="FJ71" t="str">
        <f t="shared" si="107"/>
        <v>光黑骑士</v>
      </c>
      <c r="FK71" t="str">
        <f t="shared" si="108"/>
        <v>光骑兵</v>
      </c>
      <c r="FL71" t="str">
        <f t="shared" si="109"/>
        <v>光骑兵</v>
      </c>
      <c r="FM71" t="str">
        <f t="shared" si="110"/>
        <v>火女巫</v>
      </c>
      <c r="FN71" t="str">
        <f t="shared" si="111"/>
        <v>火女巫</v>
      </c>
      <c r="FO71" t="str">
        <f t="shared" si="112"/>
        <v>火女巫</v>
      </c>
      <c r="FP71" t="str">
        <f t="shared" si="113"/>
        <v>7</v>
      </c>
      <c r="FQ71" t="str">
        <f t="shared" si="114"/>
        <v>7</v>
      </c>
      <c r="FR71" t="str">
        <f t="shared" si="115"/>
        <v>7</v>
      </c>
      <c r="FS71" t="str">
        <f t="shared" si="116"/>
        <v>7</v>
      </c>
      <c r="FT71" t="str">
        <f t="shared" si="117"/>
        <v>7</v>
      </c>
      <c r="FU71" t="str">
        <f t="shared" si="118"/>
        <v>7</v>
      </c>
      <c r="FV71" t="str">
        <f t="shared" si="75"/>
        <v>1</v>
      </c>
      <c r="FW71" t="str">
        <f t="shared" si="76"/>
        <v>5</v>
      </c>
      <c r="FX71" t="str">
        <f t="shared" si="77"/>
        <v>5</v>
      </c>
      <c r="FY71" t="str">
        <f t="shared" si="78"/>
        <v>5</v>
      </c>
      <c r="FZ71" t="str">
        <f t="shared" si="79"/>
        <v>5</v>
      </c>
      <c r="GA71" t="str">
        <f t="shared" si="80"/>
        <v>5</v>
      </c>
    </row>
    <row r="72" spans="1:183" ht="13.5" customHeight="1">
      <c r="A72" s="1">
        <v>709</v>
      </c>
      <c r="B72" s="6">
        <v>10042</v>
      </c>
      <c r="C72" s="23" t="str">
        <f t="shared" si="81"/>
        <v>5601072,5201072,5201072,5201072,5502072,5502072</v>
      </c>
      <c r="D72" s="1" t="str">
        <f t="shared" si="82"/>
        <v>7,7,7,7,7,7</v>
      </c>
      <c r="E72" s="53" t="str">
        <f t="shared" si="83"/>
        <v>363,351,351,351,351,351</v>
      </c>
      <c r="F72" s="1">
        <f t="shared" si="68"/>
        <v>631128</v>
      </c>
      <c r="G72" s="23" t="s">
        <v>34</v>
      </c>
      <c r="H72" s="1" t="s">
        <v>28</v>
      </c>
      <c r="I72" s="1" t="s">
        <v>28</v>
      </c>
      <c r="J72" s="1" t="s">
        <v>28</v>
      </c>
      <c r="K72" s="2" t="s">
        <v>370</v>
      </c>
      <c r="L72" s="1">
        <v>2</v>
      </c>
      <c r="M72" s="1">
        <v>3</v>
      </c>
      <c r="O72" s="25">
        <f t="shared" si="84"/>
        <v>631128</v>
      </c>
      <c r="P72" s="16">
        <v>631127.75</v>
      </c>
      <c r="Q72" s="16">
        <v>5601072</v>
      </c>
      <c r="R72" s="16">
        <v>5201072</v>
      </c>
      <c r="S72" s="16">
        <v>5201072</v>
      </c>
      <c r="T72" s="16">
        <v>5201072</v>
      </c>
      <c r="U72" s="16">
        <v>5502072</v>
      </c>
      <c r="V72" s="16">
        <v>5502072</v>
      </c>
      <c r="W72" s="16">
        <v>7</v>
      </c>
      <c r="X72" s="16">
        <v>7</v>
      </c>
      <c r="Y72" s="16">
        <v>7</v>
      </c>
      <c r="Z72" s="16">
        <v>7</v>
      </c>
      <c r="AA72" s="16">
        <v>7</v>
      </c>
      <c r="AB72" s="16">
        <v>7</v>
      </c>
      <c r="AC72" s="16">
        <f t="shared" si="85"/>
        <v>363</v>
      </c>
      <c r="AD72" s="16">
        <f t="shared" si="119"/>
        <v>351</v>
      </c>
      <c r="AE72" s="16">
        <f t="shared" si="119"/>
        <v>351</v>
      </c>
      <c r="AF72" s="16">
        <f t="shared" si="119"/>
        <v>351</v>
      </c>
      <c r="AG72" s="16">
        <f t="shared" si="119"/>
        <v>351</v>
      </c>
      <c r="AH72" s="16">
        <f t="shared" si="119"/>
        <v>351</v>
      </c>
      <c r="AI72" s="28">
        <f t="shared" si="86"/>
        <v>126225.55</v>
      </c>
      <c r="AJ72" s="28">
        <f t="shared" si="87"/>
        <v>100980.44</v>
      </c>
      <c r="AK72" s="28">
        <f t="shared" si="87"/>
        <v>100980.44</v>
      </c>
      <c r="AL72" s="28">
        <f t="shared" si="87"/>
        <v>100980.44</v>
      </c>
      <c r="AM72" s="28">
        <f t="shared" si="87"/>
        <v>100980.44</v>
      </c>
      <c r="AN72" s="28">
        <f t="shared" si="87"/>
        <v>100980.44</v>
      </c>
      <c r="AO72" s="30"/>
      <c r="AP72" s="28"/>
      <c r="AQ72" s="16">
        <v>4</v>
      </c>
      <c r="AR72" s="16">
        <f t="shared" si="88"/>
        <v>524</v>
      </c>
      <c r="AS72" s="28">
        <f t="shared" si="89"/>
        <v>734</v>
      </c>
      <c r="AT72" s="28"/>
      <c r="AU72" s="30">
        <v>631127.75</v>
      </c>
      <c r="AV72" s="28" t="str">
        <f t="shared" si="90"/>
        <v>小:0</v>
      </c>
      <c r="AW72" s="28"/>
      <c r="AX72" s="28"/>
      <c r="AZ72" s="28"/>
      <c r="BA72" s="16">
        <f t="shared" si="67"/>
        <v>7510.8050000000021</v>
      </c>
      <c r="BC72" s="7">
        <f t="shared" si="91"/>
        <v>339</v>
      </c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9"/>
      <c r="BQ72" s="9"/>
      <c r="BR72" s="9">
        <v>4500051</v>
      </c>
      <c r="BS72" s="9">
        <f>[1]monsters!$N72</f>
        <v>192</v>
      </c>
      <c r="BT72" s="9">
        <f>[1]monsters!$O72</f>
        <v>19.2</v>
      </c>
      <c r="BU72" s="9">
        <f>[1]monsters!$P72</f>
        <v>1600</v>
      </c>
      <c r="BV72" s="9">
        <f>[1]monsters!$Q72</f>
        <v>160</v>
      </c>
      <c r="BW72" s="9">
        <f>[1]monsters!$R72</f>
        <v>27.43</v>
      </c>
      <c r="BX72" s="9">
        <f>[1]monsters!$S72</f>
        <v>2.74</v>
      </c>
      <c r="BY72" s="9">
        <f>[1]monsters!$K72</f>
        <v>1.5</v>
      </c>
      <c r="BZ72" s="7">
        <f>[1]monsters!$D72</f>
        <v>4</v>
      </c>
      <c r="CA72" s="7">
        <f t="shared" si="92"/>
        <v>0.1</v>
      </c>
      <c r="CB72" s="7">
        <f t="shared" si="93"/>
        <v>235.31205387205389</v>
      </c>
      <c r="CC72" s="7">
        <f t="shared" si="94"/>
        <v>23.531205387205389</v>
      </c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>
        <v>0</v>
      </c>
      <c r="CR72" s="25" t="b">
        <f t="shared" si="95"/>
        <v>1</v>
      </c>
      <c r="CS72" s="25" t="b">
        <f t="shared" si="96"/>
        <v>1</v>
      </c>
      <c r="CT72" s="25" t="b">
        <f t="shared" si="97"/>
        <v>1</v>
      </c>
      <c r="CU72" s="25" t="b">
        <f t="shared" si="98"/>
        <v>1</v>
      </c>
      <c r="CV72" s="25" t="b">
        <f t="shared" si="99"/>
        <v>1</v>
      </c>
      <c r="CW72" s="25" t="b">
        <f t="shared" si="100"/>
        <v>1</v>
      </c>
      <c r="CX72" s="16" t="str">
        <f t="shared" si="101"/>
        <v>5601072</v>
      </c>
      <c r="CY72" s="16" t="str">
        <f t="shared" si="102"/>
        <v>5201072</v>
      </c>
      <c r="CZ72" s="16" t="str">
        <f t="shared" si="103"/>
        <v>5201072</v>
      </c>
      <c r="DA72" s="16" t="str">
        <f t="shared" si="104"/>
        <v>5201072</v>
      </c>
      <c r="DB72" s="16" t="str">
        <f t="shared" si="105"/>
        <v>5502072</v>
      </c>
      <c r="DC72" s="16" t="str">
        <f t="shared" si="106"/>
        <v>5502072</v>
      </c>
      <c r="DD72" s="16">
        <v>7</v>
      </c>
      <c r="DE72" s="16">
        <v>7</v>
      </c>
      <c r="DF72" s="16">
        <v>7</v>
      </c>
      <c r="DG72" s="16">
        <v>7</v>
      </c>
      <c r="DH72" s="16">
        <v>7</v>
      </c>
      <c r="DI72" s="16">
        <v>7</v>
      </c>
      <c r="DJ72" s="16">
        <v>5</v>
      </c>
      <c r="DK72" s="16">
        <v>5</v>
      </c>
      <c r="DL72" s="16">
        <v>5</v>
      </c>
      <c r="DM72" s="16">
        <v>5</v>
      </c>
      <c r="DN72" s="16">
        <v>5</v>
      </c>
      <c r="DO72" s="16">
        <v>5</v>
      </c>
      <c r="DP72" s="51" t="s">
        <v>216</v>
      </c>
      <c r="DQ72" s="51" t="s">
        <v>120</v>
      </c>
      <c r="DR72" s="51" t="s">
        <v>120</v>
      </c>
      <c r="DS72" s="36" t="s">
        <v>120</v>
      </c>
      <c r="DT72" s="36" t="s">
        <v>215</v>
      </c>
      <c r="DU72" s="36" t="s">
        <v>215</v>
      </c>
      <c r="DV72" s="32">
        <f t="shared" si="69"/>
        <v>2</v>
      </c>
      <c r="DW72" s="32">
        <f t="shared" si="70"/>
        <v>1</v>
      </c>
      <c r="DX72" s="32">
        <f t="shared" si="71"/>
        <v>1</v>
      </c>
      <c r="DY72" s="32">
        <f t="shared" si="72"/>
        <v>1</v>
      </c>
      <c r="DZ72" s="32">
        <f t="shared" si="73"/>
        <v>2</v>
      </c>
      <c r="EA72" s="32">
        <f t="shared" si="74"/>
        <v>2</v>
      </c>
      <c r="EB72" s="39"/>
      <c r="EC72" s="7">
        <v>3402073</v>
      </c>
      <c r="ED72" s="35" t="s">
        <v>139</v>
      </c>
      <c r="EE72" s="16">
        <v>2</v>
      </c>
      <c r="FD72" s="16">
        <v>5601072</v>
      </c>
      <c r="FE72" s="16">
        <v>5201072</v>
      </c>
      <c r="FF72" s="16">
        <v>5201072</v>
      </c>
      <c r="FG72" s="16">
        <v>5201072</v>
      </c>
      <c r="FH72" s="16">
        <v>5502072</v>
      </c>
      <c r="FI72" s="16">
        <v>5502072</v>
      </c>
      <c r="FJ72" t="str">
        <f t="shared" si="107"/>
        <v>火修女</v>
      </c>
      <c r="FK72" t="str">
        <f t="shared" si="108"/>
        <v>火骑兵</v>
      </c>
      <c r="FL72" t="str">
        <f t="shared" si="109"/>
        <v>火骑兵</v>
      </c>
      <c r="FM72" t="str">
        <f t="shared" si="110"/>
        <v>火骑兵</v>
      </c>
      <c r="FN72" t="str">
        <f t="shared" si="111"/>
        <v>火火枪手</v>
      </c>
      <c r="FO72" t="str">
        <f t="shared" si="112"/>
        <v>火火枪手</v>
      </c>
      <c r="FP72" t="str">
        <f t="shared" si="113"/>
        <v>7</v>
      </c>
      <c r="FQ72" t="str">
        <f t="shared" si="114"/>
        <v>7</v>
      </c>
      <c r="FR72" t="str">
        <f t="shared" si="115"/>
        <v>7</v>
      </c>
      <c r="FS72" t="str">
        <f t="shared" si="116"/>
        <v>7</v>
      </c>
      <c r="FT72" t="str">
        <f t="shared" si="117"/>
        <v>7</v>
      </c>
      <c r="FU72" t="str">
        <f t="shared" si="118"/>
        <v>7</v>
      </c>
      <c r="FV72" t="str">
        <f t="shared" si="75"/>
        <v>5</v>
      </c>
      <c r="FW72" t="str">
        <f t="shared" si="76"/>
        <v>5</v>
      </c>
      <c r="FX72" t="str">
        <f t="shared" si="77"/>
        <v>5</v>
      </c>
      <c r="FY72" t="str">
        <f t="shared" si="78"/>
        <v>5</v>
      </c>
      <c r="FZ72" t="str">
        <f t="shared" si="79"/>
        <v>5</v>
      </c>
      <c r="GA72" t="str">
        <f t="shared" si="80"/>
        <v>5</v>
      </c>
    </row>
    <row r="73" spans="1:183" ht="13.5" customHeight="1">
      <c r="A73" s="1">
        <v>710</v>
      </c>
      <c r="B73" s="6">
        <v>10042</v>
      </c>
      <c r="C73" s="23" t="str">
        <f t="shared" si="81"/>
        <v>1103071,5202071,5201071,5202071,5601071,5601071</v>
      </c>
      <c r="D73" s="1" t="str">
        <f t="shared" si="82"/>
        <v>7,7,7,7,7,7</v>
      </c>
      <c r="E73" s="53" t="str">
        <f t="shared" si="83"/>
        <v>366,353,353,353,353,353</v>
      </c>
      <c r="F73" s="1">
        <f t="shared" si="68"/>
        <v>639160</v>
      </c>
      <c r="G73" s="23" t="s">
        <v>34</v>
      </c>
      <c r="H73" s="1" t="s">
        <v>28</v>
      </c>
      <c r="I73" s="1" t="s">
        <v>28</v>
      </c>
      <c r="J73" s="1" t="s">
        <v>28</v>
      </c>
      <c r="K73" s="2" t="s">
        <v>371</v>
      </c>
      <c r="L73" s="1">
        <v>3</v>
      </c>
      <c r="M73" s="1">
        <v>3</v>
      </c>
      <c r="O73" s="25">
        <f t="shared" si="84"/>
        <v>639160</v>
      </c>
      <c r="P73" s="16">
        <v>639159.62</v>
      </c>
      <c r="Q73" s="16">
        <v>1103071</v>
      </c>
      <c r="R73" s="16">
        <v>5202071</v>
      </c>
      <c r="S73" s="16">
        <v>5201071</v>
      </c>
      <c r="T73" s="16">
        <v>5202071</v>
      </c>
      <c r="U73" s="16">
        <v>5601071</v>
      </c>
      <c r="V73" s="16">
        <v>5601071</v>
      </c>
      <c r="W73" s="16">
        <v>7</v>
      </c>
      <c r="X73" s="16">
        <v>7</v>
      </c>
      <c r="Y73" s="16">
        <v>7</v>
      </c>
      <c r="Z73" s="16">
        <v>7</v>
      </c>
      <c r="AA73" s="16">
        <v>7</v>
      </c>
      <c r="AB73" s="16">
        <v>7</v>
      </c>
      <c r="AC73" s="16">
        <f t="shared" si="85"/>
        <v>366</v>
      </c>
      <c r="AD73" s="16">
        <f t="shared" si="119"/>
        <v>353</v>
      </c>
      <c r="AE73" s="16">
        <f t="shared" si="119"/>
        <v>353</v>
      </c>
      <c r="AF73" s="16">
        <f t="shared" si="119"/>
        <v>353</v>
      </c>
      <c r="AG73" s="16">
        <f t="shared" si="119"/>
        <v>353</v>
      </c>
      <c r="AH73" s="16">
        <f t="shared" si="119"/>
        <v>353</v>
      </c>
      <c r="AI73" s="28">
        <f t="shared" si="86"/>
        <v>127831.924</v>
      </c>
      <c r="AJ73" s="28">
        <f t="shared" si="87"/>
        <v>102265.5392</v>
      </c>
      <c r="AK73" s="28">
        <f t="shared" si="87"/>
        <v>102265.5392</v>
      </c>
      <c r="AL73" s="28">
        <f t="shared" si="87"/>
        <v>102265.5392</v>
      </c>
      <c r="AM73" s="28">
        <f t="shared" si="87"/>
        <v>102265.5392</v>
      </c>
      <c r="AN73" s="28">
        <f t="shared" si="87"/>
        <v>102265.5392</v>
      </c>
      <c r="AO73" s="30"/>
      <c r="AP73" s="28"/>
      <c r="AQ73" s="16">
        <v>4</v>
      </c>
      <c r="AR73" s="16">
        <f t="shared" si="88"/>
        <v>527</v>
      </c>
      <c r="AS73" s="28">
        <f t="shared" si="89"/>
        <v>735</v>
      </c>
      <c r="AT73" s="28"/>
      <c r="AU73" s="30">
        <v>639159.62</v>
      </c>
      <c r="AV73" s="28" t="str">
        <f t="shared" si="90"/>
        <v>小:0</v>
      </c>
      <c r="AW73" s="28"/>
      <c r="AX73" s="28"/>
      <c r="AZ73" s="28"/>
      <c r="BA73" s="16">
        <f t="shared" si="67"/>
        <v>7546.3500000000022</v>
      </c>
      <c r="BC73" s="7">
        <f t="shared" si="91"/>
        <v>341</v>
      </c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9"/>
      <c r="BQ73" s="9"/>
      <c r="BR73" s="9">
        <v>4601051</v>
      </c>
      <c r="BS73" s="9">
        <f>[1]monsters!$N73</f>
        <v>238.93</v>
      </c>
      <c r="BT73" s="9">
        <f>[1]monsters!$O73</f>
        <v>23.89</v>
      </c>
      <c r="BU73" s="9">
        <f>[1]monsters!$P73</f>
        <v>1371.43</v>
      </c>
      <c r="BV73" s="9">
        <f>[1]monsters!$Q73</f>
        <v>137.13999999999999</v>
      </c>
      <c r="BW73" s="9">
        <f>[1]monsters!$R73</f>
        <v>29.87</v>
      </c>
      <c r="BX73" s="9">
        <f>[1]monsters!$S73</f>
        <v>2.99</v>
      </c>
      <c r="BY73" s="9">
        <f>[1]monsters!$K73</f>
        <v>1.6</v>
      </c>
      <c r="BZ73" s="7">
        <f>[1]monsters!$D73</f>
        <v>5</v>
      </c>
      <c r="CA73" s="7">
        <f t="shared" si="92"/>
        <v>0.1</v>
      </c>
      <c r="CB73" s="7">
        <f t="shared" si="93"/>
        <v>271.96494427609429</v>
      </c>
      <c r="CC73" s="7">
        <f t="shared" si="94"/>
        <v>27.19649442760943</v>
      </c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>
        <v>1</v>
      </c>
      <c r="CR73" s="25" t="b">
        <f t="shared" si="95"/>
        <v>1</v>
      </c>
      <c r="CS73" s="25" t="b">
        <f t="shared" si="96"/>
        <v>1</v>
      </c>
      <c r="CT73" s="25" t="b">
        <f t="shared" si="97"/>
        <v>1</v>
      </c>
      <c r="CU73" s="25" t="b">
        <f t="shared" si="98"/>
        <v>1</v>
      </c>
      <c r="CV73" s="25" t="b">
        <f t="shared" si="99"/>
        <v>1</v>
      </c>
      <c r="CW73" s="25" t="b">
        <f t="shared" si="100"/>
        <v>1</v>
      </c>
      <c r="CX73" s="16" t="str">
        <f t="shared" si="101"/>
        <v>1103071</v>
      </c>
      <c r="CY73" s="16" t="str">
        <f t="shared" si="102"/>
        <v>5202071</v>
      </c>
      <c r="CZ73" s="16" t="str">
        <f t="shared" si="103"/>
        <v>5201071</v>
      </c>
      <c r="DA73" s="16" t="str">
        <f t="shared" si="104"/>
        <v>5202071</v>
      </c>
      <c r="DB73" s="16" t="str">
        <f t="shared" si="105"/>
        <v>5601071</v>
      </c>
      <c r="DC73" s="16" t="str">
        <f t="shared" si="106"/>
        <v>5601071</v>
      </c>
      <c r="DD73" s="16">
        <v>7</v>
      </c>
      <c r="DE73" s="16">
        <v>7</v>
      </c>
      <c r="DF73" s="16">
        <v>7</v>
      </c>
      <c r="DG73" s="16">
        <v>7</v>
      </c>
      <c r="DH73" s="16">
        <v>7</v>
      </c>
      <c r="DI73" s="16">
        <v>7</v>
      </c>
      <c r="DJ73" s="16">
        <v>1</v>
      </c>
      <c r="DK73" s="16">
        <v>5</v>
      </c>
      <c r="DL73" s="16">
        <v>5</v>
      </c>
      <c r="DM73" s="16">
        <v>5</v>
      </c>
      <c r="DN73" s="16">
        <v>5</v>
      </c>
      <c r="DO73" s="16">
        <v>5</v>
      </c>
      <c r="DP73" s="51" t="s">
        <v>308</v>
      </c>
      <c r="DQ73" s="51" t="s">
        <v>117</v>
      </c>
      <c r="DR73" s="51" t="s">
        <v>206</v>
      </c>
      <c r="DS73" s="51" t="s">
        <v>117</v>
      </c>
      <c r="DT73" s="36" t="s">
        <v>209</v>
      </c>
      <c r="DU73" s="36" t="s">
        <v>209</v>
      </c>
      <c r="DV73" s="32">
        <f t="shared" si="69"/>
        <v>2</v>
      </c>
      <c r="DW73" s="32">
        <f t="shared" si="70"/>
        <v>1</v>
      </c>
      <c r="DX73" s="32">
        <f t="shared" si="71"/>
        <v>1</v>
      </c>
      <c r="DY73" s="32">
        <f t="shared" si="72"/>
        <v>1</v>
      </c>
      <c r="DZ73" s="32">
        <f t="shared" si="73"/>
        <v>2</v>
      </c>
      <c r="EA73" s="32">
        <f t="shared" si="74"/>
        <v>2</v>
      </c>
      <c r="EB73" s="39"/>
      <c r="EC73" s="7">
        <v>3501073</v>
      </c>
      <c r="ED73" s="35" t="s">
        <v>141</v>
      </c>
      <c r="EE73" s="16">
        <v>2</v>
      </c>
      <c r="FD73" s="16">
        <v>1103071</v>
      </c>
      <c r="FE73" s="16">
        <v>5202071</v>
      </c>
      <c r="FF73" s="16">
        <v>5201071</v>
      </c>
      <c r="FG73" s="16">
        <v>5202071</v>
      </c>
      <c r="FH73" s="16">
        <v>5601071</v>
      </c>
      <c r="FI73" s="16">
        <v>5601071</v>
      </c>
      <c r="FJ73" t="str">
        <f t="shared" si="107"/>
        <v>水龙王</v>
      </c>
      <c r="FK73" t="str">
        <f t="shared" si="108"/>
        <v>水维京</v>
      </c>
      <c r="FL73" t="str">
        <f t="shared" si="109"/>
        <v>水骑兵</v>
      </c>
      <c r="FM73" t="str">
        <f t="shared" si="110"/>
        <v>水维京</v>
      </c>
      <c r="FN73" t="str">
        <f t="shared" si="111"/>
        <v>水修女</v>
      </c>
      <c r="FO73" t="str">
        <f t="shared" si="112"/>
        <v>水修女</v>
      </c>
      <c r="FP73" t="str">
        <f t="shared" si="113"/>
        <v>7</v>
      </c>
      <c r="FQ73" t="str">
        <f t="shared" si="114"/>
        <v>7</v>
      </c>
      <c r="FR73" t="str">
        <f t="shared" si="115"/>
        <v>7</v>
      </c>
      <c r="FS73" t="str">
        <f t="shared" si="116"/>
        <v>7</v>
      </c>
      <c r="FT73" t="str">
        <f t="shared" si="117"/>
        <v>7</v>
      </c>
      <c r="FU73" t="str">
        <f t="shared" si="118"/>
        <v>7</v>
      </c>
      <c r="FV73" t="str">
        <f t="shared" si="75"/>
        <v>1</v>
      </c>
      <c r="FW73" t="str">
        <f t="shared" si="76"/>
        <v>5</v>
      </c>
      <c r="FX73" t="str">
        <f t="shared" si="77"/>
        <v>5</v>
      </c>
      <c r="FY73" t="str">
        <f t="shared" si="78"/>
        <v>5</v>
      </c>
      <c r="FZ73" t="str">
        <f t="shared" si="79"/>
        <v>5</v>
      </c>
      <c r="GA73" t="str">
        <f t="shared" si="80"/>
        <v>5</v>
      </c>
    </row>
    <row r="74" spans="1:183" ht="13.5" customHeight="1">
      <c r="A74" s="1">
        <v>801</v>
      </c>
      <c r="B74" s="6">
        <v>10202</v>
      </c>
      <c r="C74" s="23" t="str">
        <f t="shared" si="81"/>
        <v>5402071,5201074,5201074,5201074,5502071,5502071</v>
      </c>
      <c r="D74" s="1" t="str">
        <f t="shared" si="82"/>
        <v>7,7,7,7,7,7</v>
      </c>
      <c r="E74" s="53" t="str">
        <f t="shared" si="83"/>
        <v>408,394,394,394,394,394</v>
      </c>
      <c r="F74" s="1">
        <f t="shared" si="68"/>
        <v>789907</v>
      </c>
      <c r="G74" s="23" t="s">
        <v>34</v>
      </c>
      <c r="H74" s="1" t="s">
        <v>28</v>
      </c>
      <c r="I74" s="1" t="s">
        <v>28</v>
      </c>
      <c r="J74" s="1" t="s">
        <v>28</v>
      </c>
      <c r="K74" s="2" t="s">
        <v>372</v>
      </c>
      <c r="L74" s="1">
        <v>0</v>
      </c>
      <c r="M74" s="1">
        <v>5</v>
      </c>
      <c r="O74" s="25">
        <f t="shared" si="84"/>
        <v>789907</v>
      </c>
      <c r="P74" s="16">
        <v>789907.14</v>
      </c>
      <c r="Q74" s="16">
        <v>5402071</v>
      </c>
      <c r="R74" s="16">
        <v>5201074</v>
      </c>
      <c r="S74" s="16">
        <v>5201074</v>
      </c>
      <c r="T74" s="16">
        <v>5201074</v>
      </c>
      <c r="U74" s="16">
        <v>5502071</v>
      </c>
      <c r="V74" s="16">
        <v>5502071</v>
      </c>
      <c r="W74" s="16">
        <v>7</v>
      </c>
      <c r="X74" s="16">
        <v>7</v>
      </c>
      <c r="Y74" s="16">
        <v>7</v>
      </c>
      <c r="Z74" s="16">
        <v>7</v>
      </c>
      <c r="AA74" s="16">
        <v>7</v>
      </c>
      <c r="AB74" s="16">
        <v>7</v>
      </c>
      <c r="AC74" s="16">
        <f t="shared" si="85"/>
        <v>408</v>
      </c>
      <c r="AD74" s="16">
        <f t="shared" si="119"/>
        <v>394</v>
      </c>
      <c r="AE74" s="16">
        <f t="shared" si="119"/>
        <v>394</v>
      </c>
      <c r="AF74" s="16">
        <f t="shared" si="119"/>
        <v>394</v>
      </c>
      <c r="AG74" s="16">
        <f t="shared" si="119"/>
        <v>394</v>
      </c>
      <c r="AH74" s="16">
        <f t="shared" si="119"/>
        <v>394</v>
      </c>
      <c r="AI74" s="28">
        <f t="shared" si="86"/>
        <v>157981.42800000001</v>
      </c>
      <c r="AJ74" s="28">
        <f t="shared" si="87"/>
        <v>126385.14240000001</v>
      </c>
      <c r="AK74" s="28">
        <f t="shared" si="87"/>
        <v>126385.14240000001</v>
      </c>
      <c r="AL74" s="28">
        <f t="shared" si="87"/>
        <v>126385.14240000001</v>
      </c>
      <c r="AM74" s="28">
        <f t="shared" si="87"/>
        <v>126385.14240000001</v>
      </c>
      <c r="AN74" s="28">
        <f t="shared" si="87"/>
        <v>126385.14240000001</v>
      </c>
      <c r="AO74" s="30"/>
      <c r="AP74" s="28"/>
      <c r="AQ74" s="16">
        <v>4</v>
      </c>
      <c r="AR74" s="16">
        <f t="shared" si="88"/>
        <v>587</v>
      </c>
      <c r="AS74" s="28">
        <f t="shared" si="89"/>
        <v>826</v>
      </c>
      <c r="AT74" s="28"/>
      <c r="AU74" s="30">
        <v>789907.14</v>
      </c>
      <c r="AV74" s="28" t="str">
        <f t="shared" si="90"/>
        <v>小:0</v>
      </c>
      <c r="AW74" s="28"/>
      <c r="AX74" s="28"/>
      <c r="AZ74" s="28"/>
      <c r="BA74" s="16">
        <f t="shared" si="67"/>
        <v>7581.8950000000023</v>
      </c>
      <c r="BC74" s="7">
        <f t="shared" si="91"/>
        <v>381</v>
      </c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9"/>
      <c r="BQ74" s="9"/>
      <c r="BR74" s="9">
        <v>4301051</v>
      </c>
      <c r="BS74" s="9">
        <f>[1]monsters!$N74</f>
        <v>231.47</v>
      </c>
      <c r="BT74" s="9">
        <f>[1]monsters!$O74</f>
        <v>23.15</v>
      </c>
      <c r="BU74" s="9">
        <f>[1]monsters!$P74</f>
        <v>1238.71</v>
      </c>
      <c r="BV74" s="9">
        <f>[1]monsters!$Q74</f>
        <v>123.87</v>
      </c>
      <c r="BW74" s="9">
        <f>[1]monsters!$R74</f>
        <v>23.15</v>
      </c>
      <c r="BX74" s="9">
        <f>[1]monsters!$S74</f>
        <v>2.31</v>
      </c>
      <c r="BY74" s="9">
        <f>[1]monsters!$K74</f>
        <v>1.4000000000000001</v>
      </c>
      <c r="BZ74" s="7">
        <f>[1]monsters!$D74</f>
        <v>6</v>
      </c>
      <c r="CA74" s="7">
        <f t="shared" si="92"/>
        <v>0.1</v>
      </c>
      <c r="CB74" s="7">
        <f t="shared" si="93"/>
        <v>260.44655740740745</v>
      </c>
      <c r="CC74" s="7">
        <f t="shared" si="94"/>
        <v>26.044655740740748</v>
      </c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>
        <v>0</v>
      </c>
      <c r="CR74" s="25" t="b">
        <f t="shared" si="95"/>
        <v>1</v>
      </c>
      <c r="CS74" s="25" t="b">
        <f t="shared" si="96"/>
        <v>1</v>
      </c>
      <c r="CT74" s="25" t="b">
        <f t="shared" si="97"/>
        <v>1</v>
      </c>
      <c r="CU74" s="25" t="b">
        <f t="shared" si="98"/>
        <v>1</v>
      </c>
      <c r="CV74" s="25" t="b">
        <f t="shared" si="99"/>
        <v>1</v>
      </c>
      <c r="CW74" s="25" t="b">
        <f t="shared" si="100"/>
        <v>1</v>
      </c>
      <c r="CX74" s="16" t="str">
        <f t="shared" si="101"/>
        <v>5402071</v>
      </c>
      <c r="CY74" s="16" t="str">
        <f t="shared" si="102"/>
        <v>5201074</v>
      </c>
      <c r="CZ74" s="16" t="str">
        <f t="shared" si="103"/>
        <v>5201074</v>
      </c>
      <c r="DA74" s="16" t="str">
        <f t="shared" si="104"/>
        <v>5201074</v>
      </c>
      <c r="DB74" s="16" t="str">
        <f t="shared" si="105"/>
        <v>5502071</v>
      </c>
      <c r="DC74" s="16" t="str">
        <f t="shared" si="106"/>
        <v>5502071</v>
      </c>
      <c r="DD74" s="16">
        <v>7</v>
      </c>
      <c r="DE74" s="16">
        <v>7</v>
      </c>
      <c r="DF74" s="16">
        <v>7</v>
      </c>
      <c r="DG74" s="16">
        <v>7</v>
      </c>
      <c r="DH74" s="16">
        <v>7</v>
      </c>
      <c r="DI74" s="16">
        <v>7</v>
      </c>
      <c r="DJ74" s="16">
        <v>5</v>
      </c>
      <c r="DK74" s="16">
        <v>5</v>
      </c>
      <c r="DL74" s="16">
        <v>5</v>
      </c>
      <c r="DM74" s="16">
        <v>5</v>
      </c>
      <c r="DN74" s="16">
        <v>5</v>
      </c>
      <c r="DO74" s="16">
        <v>5</v>
      </c>
      <c r="DP74" s="51" t="s">
        <v>207</v>
      </c>
      <c r="DQ74" s="13" t="s">
        <v>236</v>
      </c>
      <c r="DR74" s="13" t="s">
        <v>236</v>
      </c>
      <c r="DS74" s="36" t="s">
        <v>236</v>
      </c>
      <c r="DT74" s="36" t="s">
        <v>130</v>
      </c>
      <c r="DU74" s="36" t="s">
        <v>130</v>
      </c>
      <c r="DV74" s="32">
        <f t="shared" si="69"/>
        <v>2</v>
      </c>
      <c r="DW74" s="32">
        <f t="shared" si="70"/>
        <v>1</v>
      </c>
      <c r="DX74" s="32">
        <f t="shared" si="71"/>
        <v>1</v>
      </c>
      <c r="DY74" s="32">
        <f t="shared" si="72"/>
        <v>1</v>
      </c>
      <c r="DZ74" s="32">
        <f t="shared" si="73"/>
        <v>2</v>
      </c>
      <c r="EA74" s="32">
        <f t="shared" si="74"/>
        <v>2</v>
      </c>
      <c r="EB74" s="39"/>
      <c r="EC74" s="7">
        <v>3600073</v>
      </c>
      <c r="ED74" s="35" t="s">
        <v>143</v>
      </c>
      <c r="EE74" s="16">
        <v>1</v>
      </c>
      <c r="FD74" s="16">
        <v>5402071</v>
      </c>
      <c r="FE74" s="16">
        <v>5201074</v>
      </c>
      <c r="FF74" s="16">
        <v>5201074</v>
      </c>
      <c r="FG74" s="16">
        <v>5201074</v>
      </c>
      <c r="FH74" s="16">
        <v>5502071</v>
      </c>
      <c r="FI74" s="16">
        <v>5502071</v>
      </c>
      <c r="FJ74" t="str">
        <f t="shared" si="107"/>
        <v>水女巫</v>
      </c>
      <c r="FK74" t="str">
        <f t="shared" si="108"/>
        <v>光骑兵</v>
      </c>
      <c r="FL74" t="str">
        <f t="shared" si="109"/>
        <v>光骑兵</v>
      </c>
      <c r="FM74" t="str">
        <f t="shared" si="110"/>
        <v>光骑兵</v>
      </c>
      <c r="FN74" t="str">
        <f t="shared" si="111"/>
        <v>水火枪手</v>
      </c>
      <c r="FO74" t="str">
        <f t="shared" si="112"/>
        <v>水火枪手</v>
      </c>
      <c r="FP74" t="str">
        <f t="shared" si="113"/>
        <v>7</v>
      </c>
      <c r="FQ74" t="str">
        <f t="shared" si="114"/>
        <v>7</v>
      </c>
      <c r="FR74" t="str">
        <f t="shared" si="115"/>
        <v>7</v>
      </c>
      <c r="FS74" t="str">
        <f t="shared" si="116"/>
        <v>7</v>
      </c>
      <c r="FT74" t="str">
        <f t="shared" si="117"/>
        <v>7</v>
      </c>
      <c r="FU74" t="str">
        <f t="shared" si="118"/>
        <v>7</v>
      </c>
      <c r="FV74" t="str">
        <f t="shared" si="75"/>
        <v>5</v>
      </c>
      <c r="FW74" t="str">
        <f t="shared" si="76"/>
        <v>5</v>
      </c>
      <c r="FX74" t="str">
        <f t="shared" si="77"/>
        <v>5</v>
      </c>
      <c r="FY74" t="str">
        <f t="shared" si="78"/>
        <v>5</v>
      </c>
      <c r="FZ74" t="str">
        <f t="shared" si="79"/>
        <v>5</v>
      </c>
      <c r="GA74" t="str">
        <f t="shared" si="80"/>
        <v>5</v>
      </c>
    </row>
    <row r="75" spans="1:183" ht="13.5" customHeight="1">
      <c r="A75" s="1">
        <v>802</v>
      </c>
      <c r="B75" s="6">
        <v>10202</v>
      </c>
      <c r="C75" s="23" t="str">
        <f t="shared" si="81"/>
        <v>1102073,5200073,5200073,5500073,5500073,5500073</v>
      </c>
      <c r="D75" s="1" t="str">
        <f t="shared" si="82"/>
        <v>7,7,7,7,7,7</v>
      </c>
      <c r="E75" s="53" t="str">
        <f t="shared" si="83"/>
        <v>418,404,404,404,404,404</v>
      </c>
      <c r="F75" s="1">
        <f t="shared" si="68"/>
        <v>831043</v>
      </c>
      <c r="G75" s="23" t="s">
        <v>34</v>
      </c>
      <c r="H75" s="1" t="s">
        <v>28</v>
      </c>
      <c r="I75" s="1" t="s">
        <v>28</v>
      </c>
      <c r="J75" s="1" t="s">
        <v>28</v>
      </c>
      <c r="K75" s="2" t="s">
        <v>373</v>
      </c>
      <c r="L75" s="1">
        <v>1</v>
      </c>
      <c r="M75" s="1">
        <v>5</v>
      </c>
      <c r="O75" s="25">
        <f t="shared" si="84"/>
        <v>831043</v>
      </c>
      <c r="P75" s="16">
        <v>831042.52</v>
      </c>
      <c r="Q75" s="16">
        <v>1102073</v>
      </c>
      <c r="R75" s="16">
        <v>5200073</v>
      </c>
      <c r="S75" s="16">
        <v>5200073</v>
      </c>
      <c r="T75" s="16">
        <v>5500073</v>
      </c>
      <c r="U75" s="16">
        <v>5500073</v>
      </c>
      <c r="V75" s="16">
        <v>5500073</v>
      </c>
      <c r="W75" s="16">
        <v>7</v>
      </c>
      <c r="X75" s="16">
        <v>7</v>
      </c>
      <c r="Y75" s="16">
        <v>7</v>
      </c>
      <c r="Z75" s="16">
        <v>7</v>
      </c>
      <c r="AA75" s="16">
        <v>7</v>
      </c>
      <c r="AB75" s="16">
        <v>7</v>
      </c>
      <c r="AC75" s="16">
        <f t="shared" si="85"/>
        <v>418</v>
      </c>
      <c r="AD75" s="16">
        <f t="shared" si="119"/>
        <v>404</v>
      </c>
      <c r="AE75" s="16">
        <f t="shared" si="119"/>
        <v>404</v>
      </c>
      <c r="AF75" s="16">
        <f t="shared" si="119"/>
        <v>404</v>
      </c>
      <c r="AG75" s="16">
        <f t="shared" si="119"/>
        <v>404</v>
      </c>
      <c r="AH75" s="16">
        <f t="shared" si="119"/>
        <v>404</v>
      </c>
      <c r="AI75" s="28">
        <f t="shared" si="86"/>
        <v>166208.50400000002</v>
      </c>
      <c r="AJ75" s="28">
        <f t="shared" si="87"/>
        <v>132966.80319999999</v>
      </c>
      <c r="AK75" s="28">
        <f t="shared" si="87"/>
        <v>132966.80319999999</v>
      </c>
      <c r="AL75" s="28">
        <f t="shared" si="87"/>
        <v>132966.80319999999</v>
      </c>
      <c r="AM75" s="28">
        <f t="shared" si="87"/>
        <v>132966.80319999999</v>
      </c>
      <c r="AN75" s="28">
        <f t="shared" si="87"/>
        <v>132966.80319999999</v>
      </c>
      <c r="AO75" s="30"/>
      <c r="AP75" s="28"/>
      <c r="AQ75" s="16">
        <v>4</v>
      </c>
      <c r="AR75" s="16">
        <f t="shared" si="88"/>
        <v>602</v>
      </c>
      <c r="AS75" s="28">
        <f t="shared" si="89"/>
        <v>827</v>
      </c>
      <c r="AT75" s="28"/>
      <c r="AU75" s="30">
        <v>831042.52</v>
      </c>
      <c r="AV75" s="28" t="str">
        <f t="shared" si="90"/>
        <v>小:0</v>
      </c>
      <c r="AW75" s="28"/>
      <c r="AX75" s="28"/>
      <c r="AZ75" s="28"/>
      <c r="BA75" s="16">
        <f t="shared" si="67"/>
        <v>7617.4400000000023</v>
      </c>
      <c r="BC75" s="7">
        <f t="shared" si="91"/>
        <v>391</v>
      </c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9"/>
      <c r="BQ75" s="9"/>
      <c r="BR75" s="9">
        <v>4501051</v>
      </c>
      <c r="BS75" s="9">
        <f>[1]monsters!$N75</f>
        <v>297.60000000000002</v>
      </c>
      <c r="BT75" s="9">
        <f>[1]monsters!$O75</f>
        <v>29.76</v>
      </c>
      <c r="BU75" s="9">
        <f>[1]monsters!$P75</f>
        <v>1238.71</v>
      </c>
      <c r="BV75" s="9">
        <f>[1]monsters!$Q75</f>
        <v>123.87</v>
      </c>
      <c r="BW75" s="9">
        <f>[1]monsters!$R75</f>
        <v>29.76</v>
      </c>
      <c r="BX75" s="9">
        <f>[1]monsters!$S75</f>
        <v>2.98</v>
      </c>
      <c r="BY75" s="9">
        <f>[1]monsters!$K75</f>
        <v>1.8</v>
      </c>
      <c r="BZ75" s="7">
        <f>[1]monsters!$D75</f>
        <v>6</v>
      </c>
      <c r="CA75" s="7">
        <f t="shared" si="92"/>
        <v>0.1</v>
      </c>
      <c r="CB75" s="7">
        <f t="shared" si="93"/>
        <v>322.93940740740743</v>
      </c>
      <c r="CC75" s="7">
        <f t="shared" si="94"/>
        <v>32.293940740740744</v>
      </c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>
        <v>0</v>
      </c>
      <c r="CR75" s="25" t="b">
        <f t="shared" si="95"/>
        <v>1</v>
      </c>
      <c r="CS75" s="25" t="b">
        <f t="shared" si="96"/>
        <v>1</v>
      </c>
      <c r="CT75" s="25" t="b">
        <f t="shared" si="97"/>
        <v>1</v>
      </c>
      <c r="CU75" s="25" t="b">
        <f t="shared" si="98"/>
        <v>1</v>
      </c>
      <c r="CV75" s="25" t="b">
        <f t="shared" si="99"/>
        <v>1</v>
      </c>
      <c r="CW75" s="25" t="b">
        <f t="shared" si="100"/>
        <v>1</v>
      </c>
      <c r="CX75" s="16" t="str">
        <f t="shared" si="101"/>
        <v>1102073</v>
      </c>
      <c r="CY75" s="16" t="str">
        <f t="shared" si="102"/>
        <v>5200073</v>
      </c>
      <c r="CZ75" s="16" t="str">
        <f t="shared" si="103"/>
        <v>5200073</v>
      </c>
      <c r="DA75" s="16" t="str">
        <f t="shared" si="104"/>
        <v>5500073</v>
      </c>
      <c r="DB75" s="16" t="str">
        <f t="shared" si="105"/>
        <v>5500073</v>
      </c>
      <c r="DC75" s="16" t="str">
        <f t="shared" si="106"/>
        <v>5500073</v>
      </c>
      <c r="DD75" s="16">
        <v>7</v>
      </c>
      <c r="DE75" s="16">
        <v>7</v>
      </c>
      <c r="DF75" s="16">
        <v>7</v>
      </c>
      <c r="DG75" s="16">
        <v>7</v>
      </c>
      <c r="DH75" s="16">
        <v>7</v>
      </c>
      <c r="DI75" s="16">
        <v>7</v>
      </c>
      <c r="DJ75" s="16">
        <v>1</v>
      </c>
      <c r="DK75" s="16">
        <v>5</v>
      </c>
      <c r="DL75" s="16">
        <v>5</v>
      </c>
      <c r="DM75" s="16">
        <v>5</v>
      </c>
      <c r="DN75" s="16">
        <v>5</v>
      </c>
      <c r="DO75" s="16">
        <v>5</v>
      </c>
      <c r="DP75" s="51" t="s">
        <v>305</v>
      </c>
      <c r="DQ75" s="51" t="s">
        <v>119</v>
      </c>
      <c r="DR75" s="51" t="s">
        <v>119</v>
      </c>
      <c r="DS75" s="36" t="s">
        <v>219</v>
      </c>
      <c r="DT75" s="36" t="s">
        <v>219</v>
      </c>
      <c r="DU75" s="36" t="s">
        <v>219</v>
      </c>
      <c r="DV75" s="32">
        <f t="shared" si="69"/>
        <v>1</v>
      </c>
      <c r="DW75" s="32">
        <f t="shared" si="70"/>
        <v>1</v>
      </c>
      <c r="DX75" s="32">
        <f t="shared" si="71"/>
        <v>1</v>
      </c>
      <c r="DY75" s="32">
        <f t="shared" si="72"/>
        <v>2</v>
      </c>
      <c r="DZ75" s="32">
        <f t="shared" si="73"/>
        <v>2</v>
      </c>
      <c r="EA75" s="32">
        <f t="shared" si="74"/>
        <v>2</v>
      </c>
      <c r="EB75" s="39"/>
      <c r="EC75" s="7">
        <v>3602071</v>
      </c>
      <c r="ED75" s="35" t="s">
        <v>145</v>
      </c>
      <c r="EE75" s="16">
        <v>2</v>
      </c>
      <c r="FD75" s="16">
        <v>1102073</v>
      </c>
      <c r="FE75" s="16">
        <v>5200073</v>
      </c>
      <c r="FF75" s="16">
        <v>5200073</v>
      </c>
      <c r="FG75" s="16">
        <v>5500073</v>
      </c>
      <c r="FH75" s="16">
        <v>5500073</v>
      </c>
      <c r="FI75" s="16">
        <v>5500073</v>
      </c>
      <c r="FJ75" t="str">
        <f t="shared" si="107"/>
        <v>木狼骑兵</v>
      </c>
      <c r="FK75" t="str">
        <f t="shared" si="108"/>
        <v>木刀客</v>
      </c>
      <c r="FL75" t="str">
        <f t="shared" si="109"/>
        <v>木刀客</v>
      </c>
      <c r="FM75" t="str">
        <f t="shared" si="110"/>
        <v>木海盗</v>
      </c>
      <c r="FN75" t="str">
        <f t="shared" si="111"/>
        <v>木海盗</v>
      </c>
      <c r="FO75" t="str">
        <f t="shared" si="112"/>
        <v>木海盗</v>
      </c>
      <c r="FP75" t="str">
        <f t="shared" si="113"/>
        <v>7</v>
      </c>
      <c r="FQ75" t="str">
        <f t="shared" si="114"/>
        <v>7</v>
      </c>
      <c r="FR75" t="str">
        <f t="shared" si="115"/>
        <v>7</v>
      </c>
      <c r="FS75" t="str">
        <f t="shared" si="116"/>
        <v>7</v>
      </c>
      <c r="FT75" t="str">
        <f t="shared" si="117"/>
        <v>7</v>
      </c>
      <c r="FU75" t="str">
        <f t="shared" si="118"/>
        <v>7</v>
      </c>
      <c r="FV75" t="str">
        <f t="shared" si="75"/>
        <v>1</v>
      </c>
      <c r="FW75" t="str">
        <f t="shared" si="76"/>
        <v>5</v>
      </c>
      <c r="FX75" t="str">
        <f t="shared" si="77"/>
        <v>5</v>
      </c>
      <c r="FY75" t="str">
        <f t="shared" si="78"/>
        <v>5</v>
      </c>
      <c r="FZ75" t="str">
        <f t="shared" si="79"/>
        <v>5</v>
      </c>
      <c r="GA75" t="str">
        <f t="shared" si="80"/>
        <v>5</v>
      </c>
    </row>
    <row r="76" spans="1:183" ht="13.5" customHeight="1">
      <c r="A76" s="1">
        <v>803</v>
      </c>
      <c r="B76" s="6">
        <v>10202</v>
      </c>
      <c r="C76" s="23" t="str">
        <f t="shared" si="81"/>
        <v>5202073,5202073,5202073,5402072,5402072,5402072</v>
      </c>
      <c r="D76" s="1" t="str">
        <f t="shared" si="82"/>
        <v>7,7,7,7,7,7</v>
      </c>
      <c r="E76" s="53" t="str">
        <f t="shared" si="83"/>
        <v>430,415,415,415,415,415</v>
      </c>
      <c r="F76" s="1">
        <f t="shared" si="68"/>
        <v>874801</v>
      </c>
      <c r="G76" s="23" t="s">
        <v>34</v>
      </c>
      <c r="H76" s="1" t="s">
        <v>28</v>
      </c>
      <c r="I76" s="1" t="s">
        <v>28</v>
      </c>
      <c r="J76" s="1" t="s">
        <v>28</v>
      </c>
      <c r="K76" s="2" t="s">
        <v>374</v>
      </c>
      <c r="L76" s="1">
        <v>2</v>
      </c>
      <c r="M76" s="1">
        <v>2</v>
      </c>
      <c r="O76" s="25">
        <f t="shared" si="84"/>
        <v>874801</v>
      </c>
      <c r="P76" s="16">
        <v>874800.85</v>
      </c>
      <c r="Q76" s="16">
        <v>5202073</v>
      </c>
      <c r="R76" s="16">
        <v>5202073</v>
      </c>
      <c r="S76" s="16">
        <v>5202073</v>
      </c>
      <c r="T76" s="16">
        <v>5402072</v>
      </c>
      <c r="U76" s="16">
        <v>5402072</v>
      </c>
      <c r="V76" s="16">
        <v>5402072</v>
      </c>
      <c r="W76" s="16">
        <v>7</v>
      </c>
      <c r="X76" s="16">
        <v>7</v>
      </c>
      <c r="Y76" s="16">
        <v>7</v>
      </c>
      <c r="Z76" s="16">
        <v>7</v>
      </c>
      <c r="AA76" s="16">
        <v>7</v>
      </c>
      <c r="AB76" s="16">
        <v>7</v>
      </c>
      <c r="AC76" s="16">
        <f t="shared" si="85"/>
        <v>430</v>
      </c>
      <c r="AD76" s="16">
        <f t="shared" si="119"/>
        <v>415</v>
      </c>
      <c r="AE76" s="16">
        <f t="shared" si="119"/>
        <v>415</v>
      </c>
      <c r="AF76" s="16">
        <f t="shared" si="119"/>
        <v>415</v>
      </c>
      <c r="AG76" s="16">
        <f t="shared" si="119"/>
        <v>415</v>
      </c>
      <c r="AH76" s="16">
        <f t="shared" si="119"/>
        <v>415</v>
      </c>
      <c r="AI76" s="28">
        <f t="shared" si="86"/>
        <v>174960.17</v>
      </c>
      <c r="AJ76" s="28">
        <f t="shared" si="87"/>
        <v>139968.136</v>
      </c>
      <c r="AK76" s="28">
        <f t="shared" si="87"/>
        <v>139968.136</v>
      </c>
      <c r="AL76" s="28">
        <f t="shared" si="87"/>
        <v>139968.136</v>
      </c>
      <c r="AM76" s="28">
        <f t="shared" si="87"/>
        <v>139968.136</v>
      </c>
      <c r="AN76" s="28">
        <f t="shared" si="87"/>
        <v>139968.136</v>
      </c>
      <c r="AO76" s="30"/>
      <c r="AP76" s="28"/>
      <c r="AQ76" s="16">
        <v>4</v>
      </c>
      <c r="AR76" s="16">
        <f t="shared" si="88"/>
        <v>618</v>
      </c>
      <c r="AS76" s="28">
        <f t="shared" si="89"/>
        <v>828</v>
      </c>
      <c r="AT76" s="28"/>
      <c r="AU76" s="30">
        <v>874800.85</v>
      </c>
      <c r="AV76" s="28" t="str">
        <f t="shared" si="90"/>
        <v>小:0</v>
      </c>
      <c r="AW76" s="28"/>
      <c r="AX76" s="28"/>
      <c r="AZ76" s="28"/>
      <c r="BA76" s="16">
        <f t="shared" si="67"/>
        <v>7652.9850000000024</v>
      </c>
      <c r="BC76" s="7">
        <f t="shared" si="91"/>
        <v>401</v>
      </c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9"/>
      <c r="BQ76" s="9"/>
      <c r="BR76" s="9">
        <v>4202051</v>
      </c>
      <c r="BS76" s="9">
        <f>[1]monsters!$N76</f>
        <v>124.8</v>
      </c>
      <c r="BT76" s="9">
        <f>[1]monsters!$O76</f>
        <v>12.48</v>
      </c>
      <c r="BU76" s="9">
        <f>[1]monsters!$P76</f>
        <v>2133.33</v>
      </c>
      <c r="BV76" s="9">
        <f>[1]monsters!$Q76</f>
        <v>213.33</v>
      </c>
      <c r="BW76" s="9">
        <f>[1]monsters!$R76</f>
        <v>24.96</v>
      </c>
      <c r="BX76" s="9">
        <f>[1]monsters!$S76</f>
        <v>2.5</v>
      </c>
      <c r="BY76" s="9">
        <f>[1]monsters!$K76</f>
        <v>1.3</v>
      </c>
      <c r="BZ76" s="7">
        <f>[1]monsters!$D76</f>
        <v>3</v>
      </c>
      <c r="CA76" s="7">
        <f t="shared" si="92"/>
        <v>0.1</v>
      </c>
      <c r="CB76" s="7">
        <f t="shared" si="93"/>
        <v>189.76529292929291</v>
      </c>
      <c r="CC76" s="7">
        <f t="shared" si="94"/>
        <v>18.976529292929293</v>
      </c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>
        <v>0</v>
      </c>
      <c r="CR76" s="25" t="b">
        <f t="shared" si="95"/>
        <v>1</v>
      </c>
      <c r="CS76" s="25" t="b">
        <f t="shared" si="96"/>
        <v>1</v>
      </c>
      <c r="CT76" s="25" t="b">
        <f t="shared" si="97"/>
        <v>1</v>
      </c>
      <c r="CU76" s="25" t="b">
        <f t="shared" si="98"/>
        <v>1</v>
      </c>
      <c r="CV76" s="25" t="b">
        <f t="shared" si="99"/>
        <v>1</v>
      </c>
      <c r="CW76" s="25" t="b">
        <f t="shared" si="100"/>
        <v>1</v>
      </c>
      <c r="CX76" s="16" t="str">
        <f t="shared" si="101"/>
        <v>5202073</v>
      </c>
      <c r="CY76" s="16" t="str">
        <f t="shared" si="102"/>
        <v>5202073</v>
      </c>
      <c r="CZ76" s="16" t="str">
        <f t="shared" si="103"/>
        <v>5202073</v>
      </c>
      <c r="DA76" s="16" t="str">
        <f t="shared" si="104"/>
        <v>5402072</v>
      </c>
      <c r="DB76" s="16" t="str">
        <f t="shared" si="105"/>
        <v>5402072</v>
      </c>
      <c r="DC76" s="16" t="str">
        <f t="shared" si="106"/>
        <v>5402072</v>
      </c>
      <c r="DD76" s="16">
        <v>7</v>
      </c>
      <c r="DE76" s="16">
        <v>7</v>
      </c>
      <c r="DF76" s="16">
        <v>7</v>
      </c>
      <c r="DG76" s="16">
        <v>7</v>
      </c>
      <c r="DH76" s="16">
        <v>7</v>
      </c>
      <c r="DI76" s="16">
        <v>7</v>
      </c>
      <c r="DJ76" s="16">
        <v>5</v>
      </c>
      <c r="DK76" s="16">
        <v>5</v>
      </c>
      <c r="DL76" s="16">
        <v>5</v>
      </c>
      <c r="DM76" s="16">
        <v>5</v>
      </c>
      <c r="DN76" s="16">
        <v>5</v>
      </c>
      <c r="DO76" s="16">
        <v>5</v>
      </c>
      <c r="DP76" s="51" t="s">
        <v>220</v>
      </c>
      <c r="DQ76" s="51" t="s">
        <v>220</v>
      </c>
      <c r="DR76" s="51" t="s">
        <v>220</v>
      </c>
      <c r="DS76" s="36" t="s">
        <v>214</v>
      </c>
      <c r="DT76" s="36" t="s">
        <v>214</v>
      </c>
      <c r="DU76" s="36" t="s">
        <v>214</v>
      </c>
      <c r="DV76" s="32">
        <f t="shared" si="69"/>
        <v>1</v>
      </c>
      <c r="DW76" s="32">
        <f t="shared" si="70"/>
        <v>1</v>
      </c>
      <c r="DX76" s="32">
        <f t="shared" si="71"/>
        <v>1</v>
      </c>
      <c r="DY76" s="32">
        <f t="shared" si="72"/>
        <v>2</v>
      </c>
      <c r="DZ76" s="32">
        <f t="shared" si="73"/>
        <v>2</v>
      </c>
      <c r="EA76" s="32">
        <f t="shared" si="74"/>
        <v>2</v>
      </c>
      <c r="EB76" s="39"/>
      <c r="EC76" s="7">
        <v>3300072</v>
      </c>
      <c r="ED76" s="35" t="s">
        <v>147</v>
      </c>
      <c r="EE76" s="16">
        <v>2</v>
      </c>
      <c r="FD76" s="16">
        <v>5202073</v>
      </c>
      <c r="FE76" s="16">
        <v>5202073</v>
      </c>
      <c r="FF76" s="16">
        <v>5202073</v>
      </c>
      <c r="FG76" s="16">
        <v>5402072</v>
      </c>
      <c r="FH76" s="16">
        <v>5402072</v>
      </c>
      <c r="FI76" s="16">
        <v>5402072</v>
      </c>
      <c r="FJ76" t="str">
        <f t="shared" si="107"/>
        <v>木维京</v>
      </c>
      <c r="FK76" t="str">
        <f t="shared" si="108"/>
        <v>木维京</v>
      </c>
      <c r="FL76" t="str">
        <f t="shared" si="109"/>
        <v>木维京</v>
      </c>
      <c r="FM76" t="str">
        <f t="shared" si="110"/>
        <v>火女巫</v>
      </c>
      <c r="FN76" t="str">
        <f t="shared" si="111"/>
        <v>火女巫</v>
      </c>
      <c r="FO76" t="str">
        <f t="shared" si="112"/>
        <v>火女巫</v>
      </c>
      <c r="FP76" t="str">
        <f t="shared" si="113"/>
        <v>7</v>
      </c>
      <c r="FQ76" t="str">
        <f t="shared" si="114"/>
        <v>7</v>
      </c>
      <c r="FR76" t="str">
        <f t="shared" si="115"/>
        <v>7</v>
      </c>
      <c r="FS76" t="str">
        <f t="shared" si="116"/>
        <v>7</v>
      </c>
      <c r="FT76" t="str">
        <f t="shared" si="117"/>
        <v>7</v>
      </c>
      <c r="FU76" t="str">
        <f t="shared" si="118"/>
        <v>7</v>
      </c>
      <c r="FV76" t="str">
        <f t="shared" si="75"/>
        <v>5</v>
      </c>
      <c r="FW76" t="str">
        <f t="shared" si="76"/>
        <v>5</v>
      </c>
      <c r="FX76" t="str">
        <f t="shared" si="77"/>
        <v>5</v>
      </c>
      <c r="FY76" t="str">
        <f t="shared" si="78"/>
        <v>5</v>
      </c>
      <c r="FZ76" t="str">
        <f t="shared" si="79"/>
        <v>5</v>
      </c>
      <c r="GA76" t="str">
        <f t="shared" si="80"/>
        <v>5</v>
      </c>
    </row>
    <row r="77" spans="1:183" ht="13.5" customHeight="1">
      <c r="A77" s="1">
        <v>804</v>
      </c>
      <c r="B77" s="6">
        <v>10202</v>
      </c>
      <c r="C77" s="23" t="str">
        <f t="shared" si="81"/>
        <v>1103073,5201073,5201071,5201073,5401073,5401073</v>
      </c>
      <c r="D77" s="1" t="str">
        <f t="shared" si="82"/>
        <v>7,7,7,7,7,7</v>
      </c>
      <c r="E77" s="53" t="str">
        <f t="shared" si="83"/>
        <v>440,425,425,425,425,425</v>
      </c>
      <c r="F77" s="1">
        <f t="shared" si="68"/>
        <v>917905</v>
      </c>
      <c r="G77" s="23" t="s">
        <v>34</v>
      </c>
      <c r="H77" s="1" t="s">
        <v>28</v>
      </c>
      <c r="I77" s="1" t="s">
        <v>28</v>
      </c>
      <c r="J77" s="1" t="s">
        <v>28</v>
      </c>
      <c r="K77" s="2" t="s">
        <v>375</v>
      </c>
      <c r="L77" s="1">
        <v>3</v>
      </c>
      <c r="M77" s="1">
        <v>2</v>
      </c>
      <c r="O77" s="25">
        <f t="shared" si="84"/>
        <v>917905</v>
      </c>
      <c r="P77" s="16">
        <v>917905.01</v>
      </c>
      <c r="Q77" s="16">
        <v>1103073</v>
      </c>
      <c r="R77" s="16">
        <v>5201073</v>
      </c>
      <c r="S77" s="16">
        <v>5201071</v>
      </c>
      <c r="T77" s="16">
        <v>5201073</v>
      </c>
      <c r="U77" s="16">
        <v>5401073</v>
      </c>
      <c r="V77" s="16">
        <v>5401073</v>
      </c>
      <c r="W77" s="16">
        <v>7</v>
      </c>
      <c r="X77" s="16">
        <v>7</v>
      </c>
      <c r="Y77" s="16">
        <v>7</v>
      </c>
      <c r="Z77" s="16">
        <v>7</v>
      </c>
      <c r="AA77" s="16">
        <v>7</v>
      </c>
      <c r="AB77" s="16">
        <v>7</v>
      </c>
      <c r="AC77" s="16">
        <f t="shared" si="85"/>
        <v>440</v>
      </c>
      <c r="AD77" s="16">
        <f t="shared" si="119"/>
        <v>425</v>
      </c>
      <c r="AE77" s="16">
        <f t="shared" si="119"/>
        <v>425</v>
      </c>
      <c r="AF77" s="16">
        <f t="shared" si="119"/>
        <v>425</v>
      </c>
      <c r="AG77" s="16">
        <f t="shared" si="119"/>
        <v>425</v>
      </c>
      <c r="AH77" s="16">
        <f t="shared" si="119"/>
        <v>425</v>
      </c>
      <c r="AI77" s="28">
        <f t="shared" si="86"/>
        <v>183581.00200000001</v>
      </c>
      <c r="AJ77" s="28">
        <f t="shared" si="87"/>
        <v>146864.80160000001</v>
      </c>
      <c r="AK77" s="28">
        <f t="shared" si="87"/>
        <v>146864.80160000001</v>
      </c>
      <c r="AL77" s="28">
        <f t="shared" si="87"/>
        <v>146864.80160000001</v>
      </c>
      <c r="AM77" s="28">
        <f t="shared" si="87"/>
        <v>146864.80160000001</v>
      </c>
      <c r="AN77" s="28">
        <f t="shared" si="87"/>
        <v>146864.80160000001</v>
      </c>
      <c r="AO77" s="30"/>
      <c r="AP77" s="28"/>
      <c r="AQ77" s="16">
        <v>4</v>
      </c>
      <c r="AR77" s="16">
        <f t="shared" si="88"/>
        <v>634</v>
      </c>
      <c r="AS77" s="28">
        <f t="shared" si="89"/>
        <v>829</v>
      </c>
      <c r="AT77" s="28"/>
      <c r="AU77" s="30">
        <v>917905.01</v>
      </c>
      <c r="AV77" s="28" t="str">
        <f t="shared" si="90"/>
        <v>小:0</v>
      </c>
      <c r="AW77" s="28"/>
      <c r="AX77" s="28"/>
      <c r="AZ77" s="28"/>
      <c r="BA77" s="16">
        <f t="shared" si="67"/>
        <v>7688.5300000000025</v>
      </c>
      <c r="BC77" s="7">
        <f t="shared" si="91"/>
        <v>411</v>
      </c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9"/>
      <c r="BQ77" s="9"/>
      <c r="BR77" s="9">
        <v>4200052</v>
      </c>
      <c r="BS77" s="9">
        <f>[1]monsters!$N77</f>
        <v>134.4</v>
      </c>
      <c r="BT77" s="9">
        <f>[1]monsters!$O77</f>
        <v>13.44</v>
      </c>
      <c r="BU77" s="9">
        <f>[1]monsters!$P77</f>
        <v>2133.33</v>
      </c>
      <c r="BV77" s="9">
        <f>[1]monsters!$Q77</f>
        <v>213.33</v>
      </c>
      <c r="BW77" s="9">
        <f>[1]monsters!$R77</f>
        <v>26.88</v>
      </c>
      <c r="BX77" s="9">
        <f>[1]monsters!$S77</f>
        <v>2.69</v>
      </c>
      <c r="BY77" s="9">
        <f>[1]monsters!$K77</f>
        <v>1.4000000000000001</v>
      </c>
      <c r="BZ77" s="7">
        <f>[1]monsters!$D77</f>
        <v>3</v>
      </c>
      <c r="CA77" s="7">
        <f t="shared" si="92"/>
        <v>0.1</v>
      </c>
      <c r="CB77" s="7">
        <f t="shared" si="93"/>
        <v>198.83729292929291</v>
      </c>
      <c r="CC77" s="7">
        <f t="shared" si="94"/>
        <v>19.883729292929292</v>
      </c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>
        <v>0</v>
      </c>
      <c r="CR77" s="25" t="b">
        <f t="shared" si="95"/>
        <v>1</v>
      </c>
      <c r="CS77" s="25" t="b">
        <f t="shared" si="96"/>
        <v>1</v>
      </c>
      <c r="CT77" s="25" t="b">
        <f t="shared" si="97"/>
        <v>1</v>
      </c>
      <c r="CU77" s="25" t="b">
        <f t="shared" si="98"/>
        <v>1</v>
      </c>
      <c r="CV77" s="25" t="b">
        <f t="shared" si="99"/>
        <v>1</v>
      </c>
      <c r="CW77" s="25" t="b">
        <f t="shared" si="100"/>
        <v>1</v>
      </c>
      <c r="CX77" s="16" t="str">
        <f t="shared" si="101"/>
        <v>1103073</v>
      </c>
      <c r="CY77" s="16" t="str">
        <f t="shared" si="102"/>
        <v>5201073</v>
      </c>
      <c r="CZ77" s="16" t="str">
        <f t="shared" si="103"/>
        <v>5201071</v>
      </c>
      <c r="DA77" s="16" t="str">
        <f t="shared" si="104"/>
        <v>5201073</v>
      </c>
      <c r="DB77" s="16" t="str">
        <f t="shared" si="105"/>
        <v>5401073</v>
      </c>
      <c r="DC77" s="16" t="str">
        <f t="shared" si="106"/>
        <v>5401073</v>
      </c>
      <c r="DD77" s="16">
        <v>7</v>
      </c>
      <c r="DE77" s="16">
        <v>7</v>
      </c>
      <c r="DF77" s="16">
        <v>7</v>
      </c>
      <c r="DG77" s="16">
        <v>7</v>
      </c>
      <c r="DH77" s="16">
        <v>7</v>
      </c>
      <c r="DI77" s="16">
        <v>7</v>
      </c>
      <c r="DJ77" s="16">
        <v>1</v>
      </c>
      <c r="DK77" s="16">
        <v>5</v>
      </c>
      <c r="DL77" s="16">
        <v>5</v>
      </c>
      <c r="DM77" s="16">
        <v>5</v>
      </c>
      <c r="DN77" s="16">
        <v>5</v>
      </c>
      <c r="DO77" s="16">
        <v>5</v>
      </c>
      <c r="DP77" s="51" t="s">
        <v>310</v>
      </c>
      <c r="DQ77" s="51" t="s">
        <v>217</v>
      </c>
      <c r="DR77" s="51" t="s">
        <v>206</v>
      </c>
      <c r="DS77" s="36" t="s">
        <v>217</v>
      </c>
      <c r="DT77" s="36" t="s">
        <v>223</v>
      </c>
      <c r="DU77" s="36" t="s">
        <v>223</v>
      </c>
      <c r="DV77" s="32">
        <f t="shared" si="69"/>
        <v>2</v>
      </c>
      <c r="DW77" s="32">
        <f t="shared" si="70"/>
        <v>1</v>
      </c>
      <c r="DX77" s="32">
        <f t="shared" si="71"/>
        <v>1</v>
      </c>
      <c r="DY77" s="32">
        <f t="shared" si="72"/>
        <v>1</v>
      </c>
      <c r="DZ77" s="32">
        <f t="shared" si="73"/>
        <v>2</v>
      </c>
      <c r="EA77" s="32">
        <f t="shared" si="74"/>
        <v>2</v>
      </c>
      <c r="EB77" s="39"/>
      <c r="EC77" s="7">
        <v>3302073</v>
      </c>
      <c r="ED77" s="35" t="s">
        <v>149</v>
      </c>
      <c r="EE77" s="16">
        <v>1</v>
      </c>
      <c r="FD77" s="16">
        <v>1103073</v>
      </c>
      <c r="FE77" s="16">
        <v>5201073</v>
      </c>
      <c r="FF77" s="16">
        <v>5201071</v>
      </c>
      <c r="FG77" s="16">
        <v>5201073</v>
      </c>
      <c r="FH77" s="16">
        <v>5401073</v>
      </c>
      <c r="FI77" s="16">
        <v>5401073</v>
      </c>
      <c r="FJ77" t="str">
        <f t="shared" si="107"/>
        <v>木龙王</v>
      </c>
      <c r="FK77" t="str">
        <f t="shared" si="108"/>
        <v>木骑兵</v>
      </c>
      <c r="FL77" t="str">
        <f t="shared" si="109"/>
        <v>水骑兵</v>
      </c>
      <c r="FM77" t="str">
        <f t="shared" si="110"/>
        <v>木骑兵</v>
      </c>
      <c r="FN77" t="str">
        <f t="shared" si="111"/>
        <v>木魔法师</v>
      </c>
      <c r="FO77" t="str">
        <f t="shared" si="112"/>
        <v>木魔法师</v>
      </c>
      <c r="FP77" t="str">
        <f t="shared" si="113"/>
        <v>7</v>
      </c>
      <c r="FQ77" t="str">
        <f t="shared" si="114"/>
        <v>7</v>
      </c>
      <c r="FR77" t="str">
        <f t="shared" si="115"/>
        <v>7</v>
      </c>
      <c r="FS77" t="str">
        <f t="shared" si="116"/>
        <v>7</v>
      </c>
      <c r="FT77" t="str">
        <f t="shared" si="117"/>
        <v>7</v>
      </c>
      <c r="FU77" t="str">
        <f t="shared" si="118"/>
        <v>7</v>
      </c>
      <c r="FV77" t="str">
        <f t="shared" si="75"/>
        <v>1</v>
      </c>
      <c r="FW77" t="str">
        <f t="shared" si="76"/>
        <v>5</v>
      </c>
      <c r="FX77" t="str">
        <f t="shared" si="77"/>
        <v>5</v>
      </c>
      <c r="FY77" t="str">
        <f t="shared" si="78"/>
        <v>5</v>
      </c>
      <c r="FZ77" t="str">
        <f t="shared" si="79"/>
        <v>5</v>
      </c>
      <c r="GA77" t="str">
        <f t="shared" si="80"/>
        <v>5</v>
      </c>
    </row>
    <row r="78" spans="1:183" ht="13.5" customHeight="1">
      <c r="A78" s="1">
        <v>805</v>
      </c>
      <c r="B78" s="6">
        <v>10202</v>
      </c>
      <c r="C78" s="23" t="str">
        <f t="shared" si="81"/>
        <v>1101073,5201073,5201073,5401073,5401073,5401073</v>
      </c>
      <c r="D78" s="1" t="str">
        <f t="shared" si="82"/>
        <v>7,7,7,7,7,7</v>
      </c>
      <c r="E78" s="53" t="str">
        <f t="shared" si="83"/>
        <v>451,436,436,436,436,436</v>
      </c>
      <c r="F78" s="1">
        <f t="shared" si="68"/>
        <v>963709</v>
      </c>
      <c r="G78" s="23" t="s">
        <v>34</v>
      </c>
      <c r="H78" s="1" t="s">
        <v>28</v>
      </c>
      <c r="I78" s="1" t="s">
        <v>28</v>
      </c>
      <c r="J78" s="1" t="s">
        <v>28</v>
      </c>
      <c r="K78" s="2" t="s">
        <v>376</v>
      </c>
      <c r="L78" s="1">
        <v>1</v>
      </c>
      <c r="M78" s="1">
        <v>6</v>
      </c>
      <c r="O78" s="25">
        <f t="shared" si="84"/>
        <v>963709</v>
      </c>
      <c r="P78" s="16">
        <v>963709.45</v>
      </c>
      <c r="Q78" s="16">
        <v>1101073</v>
      </c>
      <c r="R78" s="16">
        <v>5201073</v>
      </c>
      <c r="S78" s="16">
        <v>5201073</v>
      </c>
      <c r="T78" s="16">
        <v>5401073</v>
      </c>
      <c r="U78" s="16">
        <v>5401073</v>
      </c>
      <c r="V78" s="16">
        <v>5401073</v>
      </c>
      <c r="W78" s="16">
        <v>7</v>
      </c>
      <c r="X78" s="16">
        <v>7</v>
      </c>
      <c r="Y78" s="16">
        <v>7</v>
      </c>
      <c r="Z78" s="16">
        <v>7</v>
      </c>
      <c r="AA78" s="16">
        <v>7</v>
      </c>
      <c r="AB78" s="16">
        <v>7</v>
      </c>
      <c r="AC78" s="16">
        <f t="shared" si="85"/>
        <v>451</v>
      </c>
      <c r="AD78" s="16">
        <f t="shared" si="119"/>
        <v>436</v>
      </c>
      <c r="AE78" s="16">
        <f t="shared" si="119"/>
        <v>436</v>
      </c>
      <c r="AF78" s="16">
        <f t="shared" si="119"/>
        <v>436</v>
      </c>
      <c r="AG78" s="16">
        <f t="shared" si="119"/>
        <v>436</v>
      </c>
      <c r="AH78" s="16">
        <f t="shared" si="119"/>
        <v>436</v>
      </c>
      <c r="AI78" s="28">
        <f t="shared" si="86"/>
        <v>192741.89</v>
      </c>
      <c r="AJ78" s="28">
        <f t="shared" si="87"/>
        <v>154193.51199999999</v>
      </c>
      <c r="AK78" s="28">
        <f t="shared" si="87"/>
        <v>154193.51199999999</v>
      </c>
      <c r="AL78" s="28">
        <f t="shared" si="87"/>
        <v>154193.51199999999</v>
      </c>
      <c r="AM78" s="28">
        <f t="shared" si="87"/>
        <v>154193.51199999999</v>
      </c>
      <c r="AN78" s="28">
        <f t="shared" si="87"/>
        <v>154193.51199999999</v>
      </c>
      <c r="AO78" s="30"/>
      <c r="AP78" s="28"/>
      <c r="AQ78" s="16">
        <v>4</v>
      </c>
      <c r="AR78" s="16">
        <f t="shared" si="88"/>
        <v>649</v>
      </c>
      <c r="AS78" s="28">
        <f t="shared" si="89"/>
        <v>830</v>
      </c>
      <c r="AT78" s="28"/>
      <c r="AU78" s="30">
        <v>963709.45</v>
      </c>
      <c r="AV78" s="28" t="str">
        <f t="shared" si="90"/>
        <v>小:0</v>
      </c>
      <c r="AW78" s="28"/>
      <c r="AX78" s="28"/>
      <c r="AZ78" s="28"/>
      <c r="BA78" s="16">
        <f t="shared" si="67"/>
        <v>7724.0750000000025</v>
      </c>
      <c r="BC78" s="7">
        <f t="shared" si="91"/>
        <v>422</v>
      </c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9"/>
      <c r="BQ78" s="9"/>
      <c r="BR78" s="9">
        <v>4300052</v>
      </c>
      <c r="BS78" s="9">
        <f>[1]monsters!$N78</f>
        <v>179.2</v>
      </c>
      <c r="BT78" s="9">
        <f>[1]monsters!$O78</f>
        <v>17.920000000000002</v>
      </c>
      <c r="BU78" s="9">
        <f>[1]monsters!$P78</f>
        <v>1600</v>
      </c>
      <c r="BV78" s="9">
        <f>[1]monsters!$Q78</f>
        <v>160</v>
      </c>
      <c r="BW78" s="9">
        <f>[1]monsters!$R78</f>
        <v>25.6</v>
      </c>
      <c r="BX78" s="9">
        <f>[1]monsters!$S78</f>
        <v>2.56</v>
      </c>
      <c r="BY78" s="9">
        <f>[1]monsters!$K78</f>
        <v>1.4000000000000001</v>
      </c>
      <c r="BZ78" s="7">
        <f>[1]monsters!$D78</f>
        <v>4</v>
      </c>
      <c r="CA78" s="7">
        <f t="shared" si="92"/>
        <v>0.1</v>
      </c>
      <c r="CB78" s="7">
        <f t="shared" si="93"/>
        <v>223.21605387205386</v>
      </c>
      <c r="CC78" s="7">
        <f t="shared" si="94"/>
        <v>22.321605387205388</v>
      </c>
      <c r="CD78" s="7"/>
      <c r="CE78" s="7"/>
      <c r="CF78" s="7"/>
      <c r="CG78" s="7"/>
      <c r="CH78" s="7">
        <v>1</v>
      </c>
      <c r="CI78" s="7">
        <v>2</v>
      </c>
      <c r="CJ78" s="7">
        <v>3</v>
      </c>
      <c r="CK78" s="7">
        <v>4</v>
      </c>
      <c r="CL78" s="7">
        <v>5</v>
      </c>
      <c r="CM78" s="7">
        <v>6</v>
      </c>
      <c r="CN78" s="7"/>
      <c r="CO78" s="7"/>
      <c r="CP78" s="7">
        <v>1</v>
      </c>
      <c r="CR78" s="25" t="b">
        <f t="shared" si="95"/>
        <v>1</v>
      </c>
      <c r="CS78" s="25" t="b">
        <f t="shared" si="96"/>
        <v>1</v>
      </c>
      <c r="CT78" s="25" t="b">
        <f t="shared" si="97"/>
        <v>1</v>
      </c>
      <c r="CU78" s="25" t="b">
        <f t="shared" si="98"/>
        <v>1</v>
      </c>
      <c r="CV78" s="25" t="b">
        <f t="shared" si="99"/>
        <v>1</v>
      </c>
      <c r="CW78" s="25" t="b">
        <f t="shared" si="100"/>
        <v>1</v>
      </c>
      <c r="CX78" s="16" t="str">
        <f t="shared" si="101"/>
        <v>1101073</v>
      </c>
      <c r="CY78" s="16" t="str">
        <f t="shared" si="102"/>
        <v>5201073</v>
      </c>
      <c r="CZ78" s="16" t="str">
        <f t="shared" si="103"/>
        <v>5201073</v>
      </c>
      <c r="DA78" s="16" t="str">
        <f t="shared" si="104"/>
        <v>5401073</v>
      </c>
      <c r="DB78" s="16" t="str">
        <f t="shared" si="105"/>
        <v>5401073</v>
      </c>
      <c r="DC78" s="16" t="str">
        <f t="shared" si="106"/>
        <v>5401073</v>
      </c>
      <c r="DD78" s="16">
        <v>7</v>
      </c>
      <c r="DE78" s="16">
        <v>7</v>
      </c>
      <c r="DF78" s="16">
        <v>7</v>
      </c>
      <c r="DG78" s="16">
        <v>7</v>
      </c>
      <c r="DH78" s="16">
        <v>7</v>
      </c>
      <c r="DI78" s="16">
        <v>7</v>
      </c>
      <c r="DJ78" s="16">
        <v>1</v>
      </c>
      <c r="DK78" s="16">
        <v>5</v>
      </c>
      <c r="DL78" s="16">
        <v>5</v>
      </c>
      <c r="DM78" s="16">
        <v>5</v>
      </c>
      <c r="DN78" s="16">
        <v>5</v>
      </c>
      <c r="DO78" s="16">
        <v>5</v>
      </c>
      <c r="DP78" s="13" t="s">
        <v>300</v>
      </c>
      <c r="DQ78" s="13" t="s">
        <v>217</v>
      </c>
      <c r="DR78" s="13" t="s">
        <v>217</v>
      </c>
      <c r="DS78" s="51" t="s">
        <v>223</v>
      </c>
      <c r="DT78" s="14" t="s">
        <v>223</v>
      </c>
      <c r="DU78" s="14" t="s">
        <v>223</v>
      </c>
      <c r="DV78" s="32">
        <f t="shared" si="69"/>
        <v>1</v>
      </c>
      <c r="DW78" s="32">
        <f t="shared" si="70"/>
        <v>1</v>
      </c>
      <c r="DX78" s="32">
        <f t="shared" si="71"/>
        <v>1</v>
      </c>
      <c r="DY78" s="32">
        <f t="shared" si="72"/>
        <v>2</v>
      </c>
      <c r="DZ78" s="32">
        <f t="shared" si="73"/>
        <v>2</v>
      </c>
      <c r="EA78" s="32">
        <f t="shared" si="74"/>
        <v>2</v>
      </c>
      <c r="EB78" s="39"/>
      <c r="EC78" s="7">
        <v>3400072</v>
      </c>
      <c r="ED78" s="35" t="s">
        <v>151</v>
      </c>
      <c r="EE78" s="16">
        <v>2</v>
      </c>
      <c r="FD78" s="16">
        <v>1101073</v>
      </c>
      <c r="FE78" s="16">
        <v>5201073</v>
      </c>
      <c r="FF78" s="16">
        <v>5201073</v>
      </c>
      <c r="FG78" s="16">
        <v>5401073</v>
      </c>
      <c r="FH78" s="16">
        <v>5401073</v>
      </c>
      <c r="FI78" s="16">
        <v>5401073</v>
      </c>
      <c r="FJ78" t="str">
        <f t="shared" si="107"/>
        <v>木黑骑士</v>
      </c>
      <c r="FK78" t="str">
        <f t="shared" si="108"/>
        <v>木骑兵</v>
      </c>
      <c r="FL78" t="str">
        <f t="shared" si="109"/>
        <v>木骑兵</v>
      </c>
      <c r="FM78" t="str">
        <f t="shared" si="110"/>
        <v>木魔法师</v>
      </c>
      <c r="FN78" t="str">
        <f t="shared" si="111"/>
        <v>木魔法师</v>
      </c>
      <c r="FO78" t="str">
        <f t="shared" si="112"/>
        <v>木魔法师</v>
      </c>
      <c r="FP78" t="str">
        <f t="shared" si="113"/>
        <v>7</v>
      </c>
      <c r="FQ78" t="str">
        <f t="shared" si="114"/>
        <v>7</v>
      </c>
      <c r="FR78" t="str">
        <f t="shared" si="115"/>
        <v>7</v>
      </c>
      <c r="FS78" t="str">
        <f t="shared" si="116"/>
        <v>7</v>
      </c>
      <c r="FT78" t="str">
        <f t="shared" si="117"/>
        <v>7</v>
      </c>
      <c r="FU78" t="str">
        <f t="shared" si="118"/>
        <v>7</v>
      </c>
      <c r="FV78" t="str">
        <f t="shared" si="75"/>
        <v>1</v>
      </c>
      <c r="FW78" t="str">
        <f t="shared" si="76"/>
        <v>5</v>
      </c>
      <c r="FX78" t="str">
        <f t="shared" si="77"/>
        <v>5</v>
      </c>
      <c r="FY78" t="str">
        <f t="shared" si="78"/>
        <v>5</v>
      </c>
      <c r="FZ78" t="str">
        <f t="shared" si="79"/>
        <v>5</v>
      </c>
      <c r="GA78" t="str">
        <f t="shared" si="80"/>
        <v>5</v>
      </c>
    </row>
    <row r="79" spans="1:183" ht="13.5" customHeight="1">
      <c r="A79" s="1">
        <v>806</v>
      </c>
      <c r="B79" s="6">
        <v>10202</v>
      </c>
      <c r="C79" s="23" t="str">
        <f t="shared" si="81"/>
        <v>5502073,5200071,5200072,5200073,5502071,5502072</v>
      </c>
      <c r="D79" s="1" t="str">
        <f t="shared" si="82"/>
        <v>7,7,7,7,7,7</v>
      </c>
      <c r="E79" s="53" t="str">
        <f t="shared" si="83"/>
        <v>454,439,439,439,439,439</v>
      </c>
      <c r="F79" s="1">
        <f t="shared" si="68"/>
        <v>975825</v>
      </c>
      <c r="G79" s="23" t="s">
        <v>34</v>
      </c>
      <c r="H79" s="1" t="s">
        <v>28</v>
      </c>
      <c r="I79" s="1" t="s">
        <v>28</v>
      </c>
      <c r="J79" s="1" t="s">
        <v>28</v>
      </c>
      <c r="K79" s="2" t="s">
        <v>377</v>
      </c>
      <c r="L79" s="1">
        <v>2</v>
      </c>
      <c r="M79" s="1">
        <v>6</v>
      </c>
      <c r="O79" s="25">
        <f t="shared" si="84"/>
        <v>975825</v>
      </c>
      <c r="P79" s="16">
        <v>975825.18</v>
      </c>
      <c r="Q79" s="16">
        <v>5502073</v>
      </c>
      <c r="R79" s="16">
        <v>5200071</v>
      </c>
      <c r="S79" s="16">
        <v>5200072</v>
      </c>
      <c r="T79" s="16">
        <v>5200073</v>
      </c>
      <c r="U79" s="16">
        <v>5502071</v>
      </c>
      <c r="V79" s="16">
        <v>5502072</v>
      </c>
      <c r="W79" s="16">
        <v>7</v>
      </c>
      <c r="X79" s="16">
        <v>7</v>
      </c>
      <c r="Y79" s="16">
        <v>7</v>
      </c>
      <c r="Z79" s="16">
        <v>7</v>
      </c>
      <c r="AA79" s="16">
        <v>7</v>
      </c>
      <c r="AB79" s="16">
        <v>7</v>
      </c>
      <c r="AC79" s="16">
        <f t="shared" si="85"/>
        <v>454</v>
      </c>
      <c r="AD79" s="16">
        <f t="shared" si="119"/>
        <v>439</v>
      </c>
      <c r="AE79" s="16">
        <f t="shared" si="119"/>
        <v>439</v>
      </c>
      <c r="AF79" s="16">
        <f t="shared" si="119"/>
        <v>439</v>
      </c>
      <c r="AG79" s="16">
        <f t="shared" si="119"/>
        <v>439</v>
      </c>
      <c r="AH79" s="16">
        <f t="shared" si="119"/>
        <v>439</v>
      </c>
      <c r="AI79" s="28">
        <f t="shared" si="86"/>
        <v>195165.03600000002</v>
      </c>
      <c r="AJ79" s="28">
        <f t="shared" si="87"/>
        <v>156132.0288</v>
      </c>
      <c r="AK79" s="28">
        <f t="shared" si="87"/>
        <v>156132.0288</v>
      </c>
      <c r="AL79" s="28">
        <f t="shared" si="87"/>
        <v>156132.0288</v>
      </c>
      <c r="AM79" s="28">
        <f t="shared" si="87"/>
        <v>156132.0288</v>
      </c>
      <c r="AN79" s="28">
        <f t="shared" si="87"/>
        <v>156132.0288</v>
      </c>
      <c r="AO79" s="30"/>
      <c r="AP79" s="28"/>
      <c r="AQ79" s="16">
        <v>4</v>
      </c>
      <c r="AR79" s="16">
        <f t="shared" si="88"/>
        <v>654</v>
      </c>
      <c r="AS79" s="28">
        <f t="shared" si="89"/>
        <v>831</v>
      </c>
      <c r="AT79" s="28"/>
      <c r="AU79" s="30">
        <v>975825.18</v>
      </c>
      <c r="AV79" s="28" t="str">
        <f t="shared" si="90"/>
        <v>小:0</v>
      </c>
      <c r="AW79" s="28"/>
      <c r="AX79" s="28"/>
      <c r="AZ79" s="28"/>
      <c r="BA79" s="16">
        <f t="shared" si="67"/>
        <v>7759.6200000000026</v>
      </c>
      <c r="BC79" s="7">
        <f t="shared" si="91"/>
        <v>424</v>
      </c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9"/>
      <c r="BQ79" s="9"/>
      <c r="BR79" s="9">
        <v>4402052</v>
      </c>
      <c r="BS79" s="9">
        <f>[1]monsters!$N79</f>
        <v>190.08</v>
      </c>
      <c r="BT79" s="9">
        <f>[1]monsters!$O79</f>
        <v>19.010000000000002</v>
      </c>
      <c r="BU79" s="9">
        <f>[1]monsters!$P79</f>
        <v>2346.67</v>
      </c>
      <c r="BV79" s="9">
        <f>[1]monsters!$Q79</f>
        <v>234.67</v>
      </c>
      <c r="BW79" s="9">
        <f>[1]monsters!$R79</f>
        <v>38.020000000000003</v>
      </c>
      <c r="BX79" s="9">
        <f>[1]monsters!$S79</f>
        <v>3.8</v>
      </c>
      <c r="BY79" s="9">
        <f>[1]monsters!$K79</f>
        <v>1.8</v>
      </c>
      <c r="BZ79" s="7">
        <f>[1]monsters!$D79</f>
        <v>2</v>
      </c>
      <c r="CA79" s="7">
        <f t="shared" si="92"/>
        <v>0.1</v>
      </c>
      <c r="CB79" s="7">
        <f t="shared" si="93"/>
        <v>258.63805791245795</v>
      </c>
      <c r="CC79" s="7">
        <f t="shared" si="94"/>
        <v>25.863805791245795</v>
      </c>
      <c r="CD79" s="27" t="s">
        <v>193</v>
      </c>
      <c r="CE79" s="27" t="s">
        <v>194</v>
      </c>
      <c r="CF79" s="7"/>
      <c r="CG79" s="7"/>
      <c r="CH79" s="27" t="s">
        <v>195</v>
      </c>
      <c r="CI79" s="27" t="s">
        <v>196</v>
      </c>
      <c r="CJ79" s="27" t="s">
        <v>196</v>
      </c>
      <c r="CK79" s="27" t="s">
        <v>196</v>
      </c>
      <c r="CL79" s="27" t="s">
        <v>195</v>
      </c>
      <c r="CM79" s="27" t="s">
        <v>195</v>
      </c>
      <c r="CN79" s="7"/>
      <c r="CO79" s="7"/>
      <c r="CP79" s="7">
        <v>0</v>
      </c>
      <c r="CR79" s="25" t="b">
        <f t="shared" si="95"/>
        <v>1</v>
      </c>
      <c r="CS79" s="25" t="b">
        <f t="shared" si="96"/>
        <v>1</v>
      </c>
      <c r="CT79" s="25" t="b">
        <f t="shared" si="97"/>
        <v>1</v>
      </c>
      <c r="CU79" s="25" t="b">
        <f t="shared" si="98"/>
        <v>1</v>
      </c>
      <c r="CV79" s="25" t="b">
        <f t="shared" si="99"/>
        <v>1</v>
      </c>
      <c r="CW79" s="25" t="b">
        <f t="shared" si="100"/>
        <v>1</v>
      </c>
      <c r="CX79" s="16" t="str">
        <f t="shared" si="101"/>
        <v>5502073</v>
      </c>
      <c r="CY79" s="16" t="str">
        <f t="shared" si="102"/>
        <v>5200071</v>
      </c>
      <c r="CZ79" s="16" t="str">
        <f t="shared" si="103"/>
        <v>5200072</v>
      </c>
      <c r="DA79" s="16" t="str">
        <f t="shared" si="104"/>
        <v>5200073</v>
      </c>
      <c r="DB79" s="16" t="str">
        <f t="shared" si="105"/>
        <v>5502071</v>
      </c>
      <c r="DC79" s="16" t="str">
        <f t="shared" si="106"/>
        <v>5502072</v>
      </c>
      <c r="DD79" s="16">
        <v>7</v>
      </c>
      <c r="DE79" s="16">
        <v>7</v>
      </c>
      <c r="DF79" s="16">
        <v>7</v>
      </c>
      <c r="DG79" s="16">
        <v>7</v>
      </c>
      <c r="DH79" s="16">
        <v>7</v>
      </c>
      <c r="DI79" s="16">
        <v>7</v>
      </c>
      <c r="DJ79" s="16">
        <v>5</v>
      </c>
      <c r="DK79" s="16">
        <v>5</v>
      </c>
      <c r="DL79" s="16">
        <v>5</v>
      </c>
      <c r="DM79" s="16">
        <v>5</v>
      </c>
      <c r="DN79" s="16">
        <v>5</v>
      </c>
      <c r="DO79" s="16">
        <v>5</v>
      </c>
      <c r="DP79" s="51" t="s">
        <v>227</v>
      </c>
      <c r="DQ79" s="51" t="s">
        <v>205</v>
      </c>
      <c r="DR79" s="51" t="s">
        <v>210</v>
      </c>
      <c r="DS79" s="36" t="s">
        <v>119</v>
      </c>
      <c r="DT79" s="51" t="s">
        <v>130</v>
      </c>
      <c r="DU79" s="36" t="s">
        <v>215</v>
      </c>
      <c r="DV79" s="32">
        <f t="shared" si="69"/>
        <v>2</v>
      </c>
      <c r="DW79" s="32">
        <f t="shared" si="70"/>
        <v>1</v>
      </c>
      <c r="DX79" s="32">
        <f t="shared" si="71"/>
        <v>1</v>
      </c>
      <c r="DY79" s="32">
        <f t="shared" si="72"/>
        <v>1</v>
      </c>
      <c r="DZ79" s="32">
        <f t="shared" si="73"/>
        <v>2</v>
      </c>
      <c r="EA79" s="32">
        <f t="shared" si="74"/>
        <v>2</v>
      </c>
      <c r="EB79" s="39"/>
      <c r="EC79" s="7">
        <v>3202081</v>
      </c>
      <c r="ED79" s="15" t="s">
        <v>117</v>
      </c>
      <c r="EE79" s="16">
        <v>1</v>
      </c>
      <c r="FD79" s="16">
        <v>5502073</v>
      </c>
      <c r="FE79" s="16">
        <v>5200071</v>
      </c>
      <c r="FF79" s="16">
        <v>5200072</v>
      </c>
      <c r="FG79" s="16">
        <v>5200073</v>
      </c>
      <c r="FH79" s="16">
        <v>5502071</v>
      </c>
      <c r="FI79" s="16">
        <v>5502072</v>
      </c>
      <c r="FJ79" t="str">
        <f t="shared" si="107"/>
        <v>木火枪手</v>
      </c>
      <c r="FK79" t="str">
        <f t="shared" si="108"/>
        <v>水刀客</v>
      </c>
      <c r="FL79" t="str">
        <f t="shared" si="109"/>
        <v>火刀客</v>
      </c>
      <c r="FM79" t="str">
        <f t="shared" si="110"/>
        <v>木刀客</v>
      </c>
      <c r="FN79" t="str">
        <f t="shared" si="111"/>
        <v>水火枪手</v>
      </c>
      <c r="FO79" t="str">
        <f t="shared" si="112"/>
        <v>火火枪手</v>
      </c>
      <c r="FP79" t="str">
        <f t="shared" si="113"/>
        <v>7</v>
      </c>
      <c r="FQ79" t="str">
        <f t="shared" si="114"/>
        <v>7</v>
      </c>
      <c r="FR79" t="str">
        <f t="shared" si="115"/>
        <v>7</v>
      </c>
      <c r="FS79" t="str">
        <f t="shared" si="116"/>
        <v>7</v>
      </c>
      <c r="FT79" t="str">
        <f t="shared" si="117"/>
        <v>7</v>
      </c>
      <c r="FU79" t="str">
        <f t="shared" si="118"/>
        <v>7</v>
      </c>
      <c r="FV79" t="str">
        <f t="shared" si="75"/>
        <v>5</v>
      </c>
      <c r="FW79" t="str">
        <f t="shared" si="76"/>
        <v>5</v>
      </c>
      <c r="FX79" t="str">
        <f t="shared" si="77"/>
        <v>5</v>
      </c>
      <c r="FY79" t="str">
        <f t="shared" si="78"/>
        <v>5</v>
      </c>
      <c r="FZ79" t="str">
        <f t="shared" si="79"/>
        <v>5</v>
      </c>
      <c r="GA79" t="str">
        <f t="shared" si="80"/>
        <v>5</v>
      </c>
    </row>
    <row r="80" spans="1:183" ht="13.5" customHeight="1">
      <c r="A80" s="1">
        <v>807</v>
      </c>
      <c r="B80" s="6">
        <v>10202</v>
      </c>
      <c r="C80" s="23" t="str">
        <f t="shared" si="81"/>
        <v>5402073,5201071,5202072,5201073,5401071,5602074</v>
      </c>
      <c r="D80" s="1" t="str">
        <f t="shared" si="82"/>
        <v>7,7,7,7,7,7</v>
      </c>
      <c r="E80" s="53" t="str">
        <f t="shared" si="83"/>
        <v>458,442,442,442,442,442</v>
      </c>
      <c r="F80" s="1">
        <f t="shared" si="68"/>
        <v>989753</v>
      </c>
      <c r="G80" s="23" t="s">
        <v>34</v>
      </c>
      <c r="H80" s="1" t="s">
        <v>28</v>
      </c>
      <c r="I80" s="1" t="s">
        <v>28</v>
      </c>
      <c r="J80" s="1" t="s">
        <v>28</v>
      </c>
      <c r="K80" s="2" t="s">
        <v>378</v>
      </c>
      <c r="L80" s="1">
        <v>3</v>
      </c>
      <c r="M80" s="1">
        <v>4</v>
      </c>
      <c r="O80" s="25">
        <f t="shared" si="84"/>
        <v>989753</v>
      </c>
      <c r="P80" s="16">
        <v>989752.94</v>
      </c>
      <c r="Q80" s="16">
        <v>5402073</v>
      </c>
      <c r="R80" s="16">
        <v>5201071</v>
      </c>
      <c r="S80" s="16">
        <v>5202072</v>
      </c>
      <c r="T80" s="16">
        <v>5201073</v>
      </c>
      <c r="U80" s="16">
        <v>5401071</v>
      </c>
      <c r="V80" s="16">
        <v>5602074</v>
      </c>
      <c r="W80" s="16">
        <v>7</v>
      </c>
      <c r="X80" s="16">
        <v>7</v>
      </c>
      <c r="Y80" s="16">
        <v>7</v>
      </c>
      <c r="Z80" s="16">
        <v>7</v>
      </c>
      <c r="AA80" s="16">
        <v>7</v>
      </c>
      <c r="AB80" s="16">
        <v>7</v>
      </c>
      <c r="AC80" s="16">
        <f t="shared" si="85"/>
        <v>458</v>
      </c>
      <c r="AD80" s="16">
        <f t="shared" si="119"/>
        <v>442</v>
      </c>
      <c r="AE80" s="16">
        <f t="shared" si="119"/>
        <v>442</v>
      </c>
      <c r="AF80" s="16">
        <f t="shared" si="119"/>
        <v>442</v>
      </c>
      <c r="AG80" s="16">
        <f t="shared" si="119"/>
        <v>442</v>
      </c>
      <c r="AH80" s="16">
        <f t="shared" si="119"/>
        <v>442</v>
      </c>
      <c r="AI80" s="28">
        <f t="shared" si="86"/>
        <v>197950.58799999999</v>
      </c>
      <c r="AJ80" s="28">
        <f t="shared" si="87"/>
        <v>158360.47039999999</v>
      </c>
      <c r="AK80" s="28">
        <f t="shared" si="87"/>
        <v>158360.47039999999</v>
      </c>
      <c r="AL80" s="28">
        <f t="shared" si="87"/>
        <v>158360.47039999999</v>
      </c>
      <c r="AM80" s="28">
        <f t="shared" si="87"/>
        <v>158360.47039999999</v>
      </c>
      <c r="AN80" s="28">
        <f t="shared" si="87"/>
        <v>158360.47039999999</v>
      </c>
      <c r="AO80" s="30"/>
      <c r="AP80" s="28"/>
      <c r="AQ80" s="16">
        <v>4</v>
      </c>
      <c r="AR80" s="16">
        <f t="shared" si="88"/>
        <v>658</v>
      </c>
      <c r="AS80" s="28">
        <f t="shared" si="89"/>
        <v>832</v>
      </c>
      <c r="AT80" s="28"/>
      <c r="AU80" s="30">
        <v>989752.94</v>
      </c>
      <c r="AV80" s="28" t="str">
        <f t="shared" si="90"/>
        <v>小:0</v>
      </c>
      <c r="AW80" s="28"/>
      <c r="AX80" s="28"/>
      <c r="AZ80" s="28"/>
      <c r="BA80" s="16">
        <f t="shared" si="67"/>
        <v>7795.1650000000027</v>
      </c>
      <c r="BC80" s="7">
        <f t="shared" si="91"/>
        <v>427</v>
      </c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9"/>
      <c r="BQ80" s="9"/>
      <c r="BR80" s="9">
        <v>4502052</v>
      </c>
      <c r="BS80" s="9">
        <f>[1]monsters!$N80</f>
        <v>126.72</v>
      </c>
      <c r="BT80" s="9">
        <f>[1]monsters!$O80</f>
        <v>12.67</v>
      </c>
      <c r="BU80" s="9">
        <f>[1]monsters!$P80</f>
        <v>2346.67</v>
      </c>
      <c r="BV80" s="9">
        <f>[1]monsters!$Q80</f>
        <v>234.67</v>
      </c>
      <c r="BW80" s="9">
        <f>[1]monsters!$R80</f>
        <v>25.34</v>
      </c>
      <c r="BX80" s="9">
        <f>[1]monsters!$S80</f>
        <v>2.5299999999999998</v>
      </c>
      <c r="BY80" s="9">
        <f>[1]monsters!$K80</f>
        <v>1.2</v>
      </c>
      <c r="BZ80" s="7">
        <f>[1]monsters!$D80</f>
        <v>3</v>
      </c>
      <c r="CA80" s="7">
        <f t="shared" si="92"/>
        <v>0.1</v>
      </c>
      <c r="CB80" s="7">
        <f t="shared" si="93"/>
        <v>198.76285791245792</v>
      </c>
      <c r="CC80" s="7">
        <f t="shared" si="94"/>
        <v>19.876285791245792</v>
      </c>
      <c r="CD80" s="27"/>
      <c r="CE80" s="27" t="s">
        <v>197</v>
      </c>
      <c r="CF80" s="27"/>
      <c r="CG80" s="7"/>
      <c r="CH80" s="27" t="s">
        <v>196</v>
      </c>
      <c r="CI80" s="27" t="s">
        <v>195</v>
      </c>
      <c r="CJ80" s="27" t="s">
        <v>195</v>
      </c>
      <c r="CK80" s="27" t="s">
        <v>196</v>
      </c>
      <c r="CL80" s="27" t="s">
        <v>196</v>
      </c>
      <c r="CM80" s="27" t="s">
        <v>195</v>
      </c>
      <c r="CN80" s="7"/>
      <c r="CO80" s="7"/>
      <c r="CP80" s="7">
        <v>0</v>
      </c>
      <c r="CR80" s="25" t="b">
        <f t="shared" si="95"/>
        <v>1</v>
      </c>
      <c r="CS80" s="25" t="b">
        <f t="shared" si="96"/>
        <v>1</v>
      </c>
      <c r="CT80" s="25" t="b">
        <f t="shared" si="97"/>
        <v>1</v>
      </c>
      <c r="CU80" s="25" t="b">
        <f t="shared" si="98"/>
        <v>1</v>
      </c>
      <c r="CV80" s="25" t="b">
        <f t="shared" si="99"/>
        <v>1</v>
      </c>
      <c r="CW80" s="25" t="b">
        <f t="shared" si="100"/>
        <v>1</v>
      </c>
      <c r="CX80" s="16" t="str">
        <f t="shared" si="101"/>
        <v>5402073</v>
      </c>
      <c r="CY80" s="16" t="str">
        <f t="shared" si="102"/>
        <v>5201071</v>
      </c>
      <c r="CZ80" s="16" t="str">
        <f t="shared" si="103"/>
        <v>5202072</v>
      </c>
      <c r="DA80" s="16" t="str">
        <f t="shared" si="104"/>
        <v>5201073</v>
      </c>
      <c r="DB80" s="16" t="str">
        <f t="shared" si="105"/>
        <v>5401071</v>
      </c>
      <c r="DC80" s="16" t="str">
        <f t="shared" si="106"/>
        <v>5602074</v>
      </c>
      <c r="DD80" s="16">
        <v>7</v>
      </c>
      <c r="DE80" s="16">
        <v>7</v>
      </c>
      <c r="DF80" s="16">
        <v>7</v>
      </c>
      <c r="DG80" s="16">
        <v>7</v>
      </c>
      <c r="DH80" s="16">
        <v>7</v>
      </c>
      <c r="DI80" s="16">
        <v>7</v>
      </c>
      <c r="DJ80" s="16">
        <v>5</v>
      </c>
      <c r="DK80" s="16">
        <v>5</v>
      </c>
      <c r="DL80" s="16">
        <v>5</v>
      </c>
      <c r="DM80" s="16">
        <v>5</v>
      </c>
      <c r="DN80" s="16">
        <v>5</v>
      </c>
      <c r="DO80" s="16">
        <v>5</v>
      </c>
      <c r="DP80" s="51" t="s">
        <v>124</v>
      </c>
      <c r="DQ80" s="51" t="s">
        <v>206</v>
      </c>
      <c r="DR80" s="51" t="s">
        <v>211</v>
      </c>
      <c r="DS80" s="14" t="s">
        <v>217</v>
      </c>
      <c r="DT80" s="36" t="s">
        <v>123</v>
      </c>
      <c r="DU80" s="14" t="s">
        <v>232</v>
      </c>
      <c r="DV80" s="32">
        <f t="shared" si="69"/>
        <v>2</v>
      </c>
      <c r="DW80" s="32">
        <f t="shared" si="70"/>
        <v>1</v>
      </c>
      <c r="DX80" s="32">
        <f t="shared" si="71"/>
        <v>1</v>
      </c>
      <c r="DY80" s="32">
        <f t="shared" si="72"/>
        <v>1</v>
      </c>
      <c r="DZ80" s="32">
        <f t="shared" si="73"/>
        <v>2</v>
      </c>
      <c r="EA80" s="32">
        <f t="shared" si="74"/>
        <v>2</v>
      </c>
      <c r="EB80" s="39"/>
      <c r="EC80" s="7">
        <v>3301081</v>
      </c>
      <c r="ED80" s="15" t="s">
        <v>113</v>
      </c>
      <c r="EE80" s="16">
        <v>1</v>
      </c>
      <c r="FD80" s="16">
        <v>5402073</v>
      </c>
      <c r="FE80" s="16">
        <v>5201071</v>
      </c>
      <c r="FF80" s="16">
        <v>5202072</v>
      </c>
      <c r="FG80" s="16">
        <v>5201073</v>
      </c>
      <c r="FH80" s="16">
        <v>5401071</v>
      </c>
      <c r="FI80" s="16">
        <v>5602074</v>
      </c>
      <c r="FJ80" t="str">
        <f t="shared" si="107"/>
        <v>木女巫</v>
      </c>
      <c r="FK80" t="str">
        <f t="shared" si="108"/>
        <v>水骑兵</v>
      </c>
      <c r="FL80" t="str">
        <f t="shared" si="109"/>
        <v>火维京</v>
      </c>
      <c r="FM80" t="str">
        <f t="shared" si="110"/>
        <v>木骑兵</v>
      </c>
      <c r="FN80" t="str">
        <f t="shared" si="111"/>
        <v>水魔法师</v>
      </c>
      <c r="FO80" t="str">
        <f t="shared" si="112"/>
        <v>光学者</v>
      </c>
      <c r="FP80" t="str">
        <f t="shared" si="113"/>
        <v>7</v>
      </c>
      <c r="FQ80" t="str">
        <f t="shared" si="114"/>
        <v>7</v>
      </c>
      <c r="FR80" t="str">
        <f t="shared" si="115"/>
        <v>7</v>
      </c>
      <c r="FS80" t="str">
        <f t="shared" si="116"/>
        <v>7</v>
      </c>
      <c r="FT80" t="str">
        <f t="shared" si="117"/>
        <v>7</v>
      </c>
      <c r="FU80" t="str">
        <f t="shared" si="118"/>
        <v>7</v>
      </c>
      <c r="FV80" t="str">
        <f t="shared" si="75"/>
        <v>5</v>
      </c>
      <c r="FW80" t="str">
        <f t="shared" si="76"/>
        <v>5</v>
      </c>
      <c r="FX80" t="str">
        <f t="shared" si="77"/>
        <v>5</v>
      </c>
      <c r="FY80" t="str">
        <f t="shared" si="78"/>
        <v>5</v>
      </c>
      <c r="FZ80" t="str">
        <f t="shared" si="79"/>
        <v>5</v>
      </c>
      <c r="GA80" t="str">
        <f t="shared" si="80"/>
        <v>5</v>
      </c>
    </row>
    <row r="81" spans="1:183" ht="13.5" customHeight="1">
      <c r="A81" s="1">
        <v>808</v>
      </c>
      <c r="B81" s="6">
        <v>10202</v>
      </c>
      <c r="C81" s="23" t="str">
        <f t="shared" si="81"/>
        <v>1101073,5201073,5201073,5402073,5402073,5402073</v>
      </c>
      <c r="D81" s="1" t="str">
        <f t="shared" si="82"/>
        <v>7,7,7,7,7,7</v>
      </c>
      <c r="E81" s="53" t="str">
        <f t="shared" si="83"/>
        <v>461,445,445,445,445,445</v>
      </c>
      <c r="F81" s="1">
        <f t="shared" si="68"/>
        <v>1002032</v>
      </c>
      <c r="G81" s="23" t="s">
        <v>34</v>
      </c>
      <c r="H81" s="1" t="s">
        <v>28</v>
      </c>
      <c r="I81" s="1" t="s">
        <v>28</v>
      </c>
      <c r="J81" s="1" t="s">
        <v>28</v>
      </c>
      <c r="K81" s="2" t="s">
        <v>379</v>
      </c>
      <c r="L81" s="1">
        <v>1</v>
      </c>
      <c r="M81" s="1">
        <v>4</v>
      </c>
      <c r="O81" s="25">
        <f t="shared" si="84"/>
        <v>1002032</v>
      </c>
      <c r="P81" s="16">
        <v>1002031.69</v>
      </c>
      <c r="Q81" s="16">
        <v>1101073</v>
      </c>
      <c r="R81" s="16">
        <v>5201073</v>
      </c>
      <c r="S81" s="16">
        <v>5201073</v>
      </c>
      <c r="T81" s="16">
        <v>5402073</v>
      </c>
      <c r="U81" s="16">
        <v>5402073</v>
      </c>
      <c r="V81" s="16">
        <v>5402073</v>
      </c>
      <c r="W81" s="16">
        <v>7</v>
      </c>
      <c r="X81" s="16">
        <v>7</v>
      </c>
      <c r="Y81" s="16">
        <v>7</v>
      </c>
      <c r="Z81" s="16">
        <v>7</v>
      </c>
      <c r="AA81" s="16">
        <v>7</v>
      </c>
      <c r="AB81" s="16">
        <v>7</v>
      </c>
      <c r="AC81" s="16">
        <f t="shared" si="85"/>
        <v>461</v>
      </c>
      <c r="AD81" s="16">
        <f t="shared" si="119"/>
        <v>445</v>
      </c>
      <c r="AE81" s="16">
        <f t="shared" si="119"/>
        <v>445</v>
      </c>
      <c r="AF81" s="16">
        <f t="shared" si="119"/>
        <v>445</v>
      </c>
      <c r="AG81" s="16">
        <f t="shared" si="119"/>
        <v>445</v>
      </c>
      <c r="AH81" s="16">
        <f t="shared" si="119"/>
        <v>445</v>
      </c>
      <c r="AI81" s="28">
        <f t="shared" si="86"/>
        <v>200406.33799999999</v>
      </c>
      <c r="AJ81" s="28">
        <f t="shared" si="87"/>
        <v>160325.0704</v>
      </c>
      <c r="AK81" s="28">
        <f t="shared" si="87"/>
        <v>160325.0704</v>
      </c>
      <c r="AL81" s="28">
        <f t="shared" si="87"/>
        <v>160325.0704</v>
      </c>
      <c r="AM81" s="28">
        <f t="shared" si="87"/>
        <v>160325.0704</v>
      </c>
      <c r="AN81" s="28">
        <f t="shared" si="87"/>
        <v>160325.0704</v>
      </c>
      <c r="AO81" s="30"/>
      <c r="AP81" s="28"/>
      <c r="AQ81" s="16">
        <v>4</v>
      </c>
      <c r="AR81" s="16">
        <f t="shared" si="88"/>
        <v>662</v>
      </c>
      <c r="AS81" s="28">
        <f t="shared" si="89"/>
        <v>833</v>
      </c>
      <c r="AT81" s="28"/>
      <c r="AU81" s="30">
        <v>1002031.69</v>
      </c>
      <c r="AV81" s="28" t="str">
        <f t="shared" si="90"/>
        <v>小:0</v>
      </c>
      <c r="AW81" s="28"/>
      <c r="AX81" s="28"/>
      <c r="AZ81" s="28"/>
      <c r="BA81" s="16">
        <f t="shared" si="67"/>
        <v>7830.7100000000028</v>
      </c>
      <c r="BC81" s="7">
        <f t="shared" si="91"/>
        <v>430</v>
      </c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9"/>
      <c r="BQ81" s="9"/>
      <c r="BR81" s="9">
        <v>4602052</v>
      </c>
      <c r="BS81" s="9">
        <f>[1]monsters!$N81</f>
        <v>229.97</v>
      </c>
      <c r="BT81" s="9">
        <f>[1]monsters!$O81</f>
        <v>23</v>
      </c>
      <c r="BU81" s="9">
        <f>[1]monsters!$P81</f>
        <v>1508.57</v>
      </c>
      <c r="BV81" s="9">
        <f>[1]monsters!$Q81</f>
        <v>150.86000000000001</v>
      </c>
      <c r="BW81" s="9">
        <f>[1]monsters!$R81</f>
        <v>28.75</v>
      </c>
      <c r="BX81" s="9">
        <f>[1]monsters!$S81</f>
        <v>2.87</v>
      </c>
      <c r="BY81" s="9">
        <f>[1]monsters!$K81</f>
        <v>1.4000000000000001</v>
      </c>
      <c r="BZ81" s="7">
        <f>[1]monsters!$D81</f>
        <v>5</v>
      </c>
      <c r="CA81" s="7">
        <f t="shared" si="92"/>
        <v>0.1</v>
      </c>
      <c r="CB81" s="7">
        <f t="shared" si="93"/>
        <v>268.11525269360271</v>
      </c>
      <c r="CC81" s="7">
        <f t="shared" si="94"/>
        <v>26.811525269360274</v>
      </c>
      <c r="CD81" s="27" t="s">
        <v>198</v>
      </c>
      <c r="CE81" s="27" t="s">
        <v>199</v>
      </c>
      <c r="CF81" s="7"/>
      <c r="CG81" s="7"/>
      <c r="CH81" s="27" t="s">
        <v>196</v>
      </c>
      <c r="CI81" s="27" t="s">
        <v>196</v>
      </c>
      <c r="CJ81" s="27" t="s">
        <v>196</v>
      </c>
      <c r="CK81" s="27" t="s">
        <v>196</v>
      </c>
      <c r="CL81" s="27" t="s">
        <v>196</v>
      </c>
      <c r="CM81" s="27" t="s">
        <v>196</v>
      </c>
      <c r="CN81" s="7"/>
      <c r="CO81" s="7"/>
      <c r="CP81" s="7">
        <v>0</v>
      </c>
      <c r="CR81" s="25" t="b">
        <f t="shared" si="95"/>
        <v>1</v>
      </c>
      <c r="CS81" s="25" t="b">
        <f t="shared" si="96"/>
        <v>1</v>
      </c>
      <c r="CT81" s="25" t="b">
        <f t="shared" si="97"/>
        <v>1</v>
      </c>
      <c r="CU81" s="25" t="b">
        <f t="shared" si="98"/>
        <v>1</v>
      </c>
      <c r="CV81" s="25" t="b">
        <f t="shared" si="99"/>
        <v>1</v>
      </c>
      <c r="CW81" s="25" t="b">
        <f t="shared" si="100"/>
        <v>1</v>
      </c>
      <c r="CX81" s="16" t="str">
        <f t="shared" si="101"/>
        <v>1101073</v>
      </c>
      <c r="CY81" s="16" t="str">
        <f t="shared" si="102"/>
        <v>5201073</v>
      </c>
      <c r="CZ81" s="16" t="str">
        <f t="shared" si="103"/>
        <v>5201073</v>
      </c>
      <c r="DA81" s="16" t="str">
        <f t="shared" si="104"/>
        <v>5402073</v>
      </c>
      <c r="DB81" s="16" t="str">
        <f t="shared" si="105"/>
        <v>5402073</v>
      </c>
      <c r="DC81" s="16" t="str">
        <f t="shared" si="106"/>
        <v>5402073</v>
      </c>
      <c r="DD81" s="16">
        <v>7</v>
      </c>
      <c r="DE81" s="16">
        <v>7</v>
      </c>
      <c r="DF81" s="16">
        <v>7</v>
      </c>
      <c r="DG81" s="16">
        <v>7</v>
      </c>
      <c r="DH81" s="16">
        <v>7</v>
      </c>
      <c r="DI81" s="16">
        <v>7</v>
      </c>
      <c r="DJ81" s="16">
        <v>1</v>
      </c>
      <c r="DK81" s="16">
        <v>5</v>
      </c>
      <c r="DL81" s="16">
        <v>5</v>
      </c>
      <c r="DM81" s="16">
        <v>5</v>
      </c>
      <c r="DN81" s="16">
        <v>5</v>
      </c>
      <c r="DO81" s="16">
        <v>5</v>
      </c>
      <c r="DP81" s="51" t="s">
        <v>300</v>
      </c>
      <c r="DQ81" s="51" t="s">
        <v>217</v>
      </c>
      <c r="DR81" s="51" t="s">
        <v>217</v>
      </c>
      <c r="DS81" s="36" t="s">
        <v>124</v>
      </c>
      <c r="DT81" s="51" t="s">
        <v>124</v>
      </c>
      <c r="DU81" s="51" t="s">
        <v>124</v>
      </c>
      <c r="DV81" s="32">
        <f t="shared" si="69"/>
        <v>1</v>
      </c>
      <c r="DW81" s="32">
        <f t="shared" si="70"/>
        <v>1</v>
      </c>
      <c r="DX81" s="32">
        <f t="shared" si="71"/>
        <v>1</v>
      </c>
      <c r="DY81" s="32">
        <f t="shared" si="72"/>
        <v>2</v>
      </c>
      <c r="DZ81" s="32">
        <f t="shared" si="73"/>
        <v>2</v>
      </c>
      <c r="EA81" s="32">
        <f t="shared" si="74"/>
        <v>2</v>
      </c>
      <c r="EB81" s="39"/>
      <c r="EC81" s="7">
        <v>3502081</v>
      </c>
      <c r="ED81" s="35" t="s">
        <v>125</v>
      </c>
      <c r="EE81" s="16">
        <v>2</v>
      </c>
      <c r="FD81" s="16">
        <v>1101073</v>
      </c>
      <c r="FE81" s="16">
        <v>5201073</v>
      </c>
      <c r="FF81" s="16">
        <v>5201073</v>
      </c>
      <c r="FG81" s="16">
        <v>5402073</v>
      </c>
      <c r="FH81" s="16">
        <v>5402073</v>
      </c>
      <c r="FI81" s="16">
        <v>5402073</v>
      </c>
      <c r="FJ81" t="str">
        <f t="shared" si="107"/>
        <v>木黑骑士</v>
      </c>
      <c r="FK81" t="str">
        <f t="shared" si="108"/>
        <v>木骑兵</v>
      </c>
      <c r="FL81" t="str">
        <f t="shared" si="109"/>
        <v>木骑兵</v>
      </c>
      <c r="FM81" t="str">
        <f t="shared" si="110"/>
        <v>木女巫</v>
      </c>
      <c r="FN81" t="str">
        <f t="shared" si="111"/>
        <v>木女巫</v>
      </c>
      <c r="FO81" t="str">
        <f t="shared" si="112"/>
        <v>木女巫</v>
      </c>
      <c r="FP81" t="str">
        <f t="shared" si="113"/>
        <v>7</v>
      </c>
      <c r="FQ81" t="str">
        <f t="shared" si="114"/>
        <v>7</v>
      </c>
      <c r="FR81" t="str">
        <f t="shared" si="115"/>
        <v>7</v>
      </c>
      <c r="FS81" t="str">
        <f t="shared" si="116"/>
        <v>7</v>
      </c>
      <c r="FT81" t="str">
        <f t="shared" si="117"/>
        <v>7</v>
      </c>
      <c r="FU81" t="str">
        <f t="shared" si="118"/>
        <v>7</v>
      </c>
      <c r="FV81" t="str">
        <f t="shared" si="75"/>
        <v>1</v>
      </c>
      <c r="FW81" t="str">
        <f t="shared" si="76"/>
        <v>5</v>
      </c>
      <c r="FX81" t="str">
        <f t="shared" si="77"/>
        <v>5</v>
      </c>
      <c r="FY81" t="str">
        <f t="shared" si="78"/>
        <v>5</v>
      </c>
      <c r="FZ81" t="str">
        <f t="shared" si="79"/>
        <v>5</v>
      </c>
      <c r="GA81" t="str">
        <f t="shared" si="80"/>
        <v>5</v>
      </c>
    </row>
    <row r="82" spans="1:183" ht="13.5" customHeight="1">
      <c r="A82" s="1">
        <v>809</v>
      </c>
      <c r="B82" s="6">
        <v>10202</v>
      </c>
      <c r="C82" s="23" t="str">
        <f t="shared" si="81"/>
        <v>5601073,5201071,5201072,5201073,5502071,5502072</v>
      </c>
      <c r="D82" s="1" t="str">
        <f t="shared" si="82"/>
        <v>7,7,7,7,7,7</v>
      </c>
      <c r="E82" s="53" t="str">
        <f t="shared" si="83"/>
        <v>464,448,448,448,448,448</v>
      </c>
      <c r="F82" s="1">
        <f t="shared" si="68"/>
        <v>1016143</v>
      </c>
      <c r="G82" s="23" t="s">
        <v>34</v>
      </c>
      <c r="H82" s="1" t="s">
        <v>28</v>
      </c>
      <c r="I82" s="1" t="s">
        <v>28</v>
      </c>
      <c r="J82" s="1" t="s">
        <v>28</v>
      </c>
      <c r="K82" s="2" t="s">
        <v>380</v>
      </c>
      <c r="L82" s="1">
        <v>2</v>
      </c>
      <c r="M82" s="1">
        <v>3</v>
      </c>
      <c r="O82" s="25">
        <f t="shared" si="84"/>
        <v>1016143</v>
      </c>
      <c r="P82" s="16">
        <v>1016143.37</v>
      </c>
      <c r="Q82" s="16">
        <v>5601073</v>
      </c>
      <c r="R82" s="16">
        <v>5201071</v>
      </c>
      <c r="S82" s="16">
        <v>5201072</v>
      </c>
      <c r="T82" s="16">
        <v>5201073</v>
      </c>
      <c r="U82" s="16">
        <v>5502071</v>
      </c>
      <c r="V82" s="16">
        <v>5502072</v>
      </c>
      <c r="W82" s="16">
        <v>7</v>
      </c>
      <c r="X82" s="16">
        <v>7</v>
      </c>
      <c r="Y82" s="16">
        <v>7</v>
      </c>
      <c r="Z82" s="16">
        <v>7</v>
      </c>
      <c r="AA82" s="16">
        <v>7</v>
      </c>
      <c r="AB82" s="16">
        <v>7</v>
      </c>
      <c r="AC82" s="16">
        <f t="shared" si="85"/>
        <v>464</v>
      </c>
      <c r="AD82" s="16">
        <f t="shared" si="119"/>
        <v>448</v>
      </c>
      <c r="AE82" s="16">
        <f t="shared" si="119"/>
        <v>448</v>
      </c>
      <c r="AF82" s="16">
        <f t="shared" si="119"/>
        <v>448</v>
      </c>
      <c r="AG82" s="16">
        <f t="shared" si="119"/>
        <v>448</v>
      </c>
      <c r="AH82" s="16">
        <f t="shared" si="119"/>
        <v>448</v>
      </c>
      <c r="AI82" s="28">
        <f t="shared" si="86"/>
        <v>203228.674</v>
      </c>
      <c r="AJ82" s="28">
        <f t="shared" si="87"/>
        <v>162582.93919999999</v>
      </c>
      <c r="AK82" s="28">
        <f t="shared" si="87"/>
        <v>162582.93919999999</v>
      </c>
      <c r="AL82" s="28">
        <f t="shared" si="87"/>
        <v>162582.93919999999</v>
      </c>
      <c r="AM82" s="28">
        <f t="shared" si="87"/>
        <v>162582.93919999999</v>
      </c>
      <c r="AN82" s="28">
        <f t="shared" si="87"/>
        <v>162582.93919999999</v>
      </c>
      <c r="AO82" s="30"/>
      <c r="AP82" s="28"/>
      <c r="AQ82" s="16">
        <v>4</v>
      </c>
      <c r="AR82" s="16">
        <f t="shared" si="88"/>
        <v>667</v>
      </c>
      <c r="AS82" s="28">
        <f t="shared" si="89"/>
        <v>834</v>
      </c>
      <c r="AT82" s="28"/>
      <c r="AU82" s="30">
        <v>1016143.37</v>
      </c>
      <c r="AV82" s="28" t="str">
        <f t="shared" si="90"/>
        <v>小:0</v>
      </c>
      <c r="AW82" s="28"/>
      <c r="AX82" s="28"/>
      <c r="AZ82" s="28"/>
      <c r="BA82" s="16">
        <f t="shared" si="67"/>
        <v>7866.2550000000028</v>
      </c>
      <c r="BC82" s="7">
        <f t="shared" si="91"/>
        <v>433</v>
      </c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9"/>
      <c r="BQ82" s="9"/>
      <c r="BR82" s="9">
        <v>4601052</v>
      </c>
      <c r="BS82" s="9">
        <f>[1]monsters!$N82</f>
        <v>168.96</v>
      </c>
      <c r="BT82" s="9">
        <f>[1]monsters!$O82</f>
        <v>16.899999999999999</v>
      </c>
      <c r="BU82" s="9">
        <f>[1]monsters!$P82</f>
        <v>2640</v>
      </c>
      <c r="BV82" s="9">
        <f>[1]monsters!$Q82</f>
        <v>264</v>
      </c>
      <c r="BW82" s="9">
        <f>[1]monsters!$R82</f>
        <v>56.32</v>
      </c>
      <c r="BX82" s="9">
        <f>[1]monsters!$S82</f>
        <v>5.63</v>
      </c>
      <c r="BY82" s="9">
        <f>[1]monsters!$K82</f>
        <v>1.8</v>
      </c>
      <c r="BZ82" s="7">
        <f>[1]monsters!$D82</f>
        <v>2</v>
      </c>
      <c r="CA82" s="7">
        <f t="shared" si="92"/>
        <v>0.1</v>
      </c>
      <c r="CB82" s="7">
        <f t="shared" si="93"/>
        <v>248.55608888888889</v>
      </c>
      <c r="CC82" s="7">
        <f t="shared" si="94"/>
        <v>24.855608888888892</v>
      </c>
      <c r="CD82" s="7"/>
      <c r="CE82" s="27" t="s">
        <v>200</v>
      </c>
      <c r="CF82" s="7"/>
      <c r="CG82" s="7"/>
      <c r="CH82" s="27" t="s">
        <v>195</v>
      </c>
      <c r="CI82" s="27" t="s">
        <v>195</v>
      </c>
      <c r="CJ82" s="27" t="s">
        <v>195</v>
      </c>
      <c r="CK82" s="27" t="s">
        <v>195</v>
      </c>
      <c r="CL82" s="27" t="s">
        <v>195</v>
      </c>
      <c r="CM82" s="27" t="s">
        <v>195</v>
      </c>
      <c r="CN82" s="7"/>
      <c r="CO82" s="7"/>
      <c r="CP82" s="7">
        <v>0</v>
      </c>
      <c r="CR82" s="25" t="b">
        <f t="shared" si="95"/>
        <v>1</v>
      </c>
      <c r="CS82" s="25" t="b">
        <f t="shared" si="96"/>
        <v>1</v>
      </c>
      <c r="CT82" s="25" t="b">
        <f t="shared" si="97"/>
        <v>1</v>
      </c>
      <c r="CU82" s="25" t="b">
        <f t="shared" si="98"/>
        <v>1</v>
      </c>
      <c r="CV82" s="25" t="b">
        <f t="shared" si="99"/>
        <v>1</v>
      </c>
      <c r="CW82" s="25" t="b">
        <f t="shared" si="100"/>
        <v>1</v>
      </c>
      <c r="CX82" s="16" t="str">
        <f t="shared" si="101"/>
        <v>5601073</v>
      </c>
      <c r="CY82" s="16" t="str">
        <f t="shared" si="102"/>
        <v>5201071</v>
      </c>
      <c r="CZ82" s="16" t="str">
        <f t="shared" si="103"/>
        <v>5201072</v>
      </c>
      <c r="DA82" s="16" t="str">
        <f t="shared" si="104"/>
        <v>5201073</v>
      </c>
      <c r="DB82" s="16" t="str">
        <f t="shared" si="105"/>
        <v>5502071</v>
      </c>
      <c r="DC82" s="16" t="str">
        <f t="shared" si="106"/>
        <v>5502072</v>
      </c>
      <c r="DD82" s="16">
        <v>7</v>
      </c>
      <c r="DE82" s="16">
        <v>7</v>
      </c>
      <c r="DF82" s="16">
        <v>7</v>
      </c>
      <c r="DG82" s="16">
        <v>7</v>
      </c>
      <c r="DH82" s="16">
        <v>7</v>
      </c>
      <c r="DI82" s="16">
        <v>7</v>
      </c>
      <c r="DJ82" s="16">
        <v>5</v>
      </c>
      <c r="DK82" s="16">
        <v>5</v>
      </c>
      <c r="DL82" s="16">
        <v>5</v>
      </c>
      <c r="DM82" s="16">
        <v>5</v>
      </c>
      <c r="DN82" s="16">
        <v>5</v>
      </c>
      <c r="DO82" s="16">
        <v>5</v>
      </c>
      <c r="DP82" s="51" t="s">
        <v>228</v>
      </c>
      <c r="DQ82" s="51" t="s">
        <v>206</v>
      </c>
      <c r="DR82" s="51" t="s">
        <v>120</v>
      </c>
      <c r="DS82" s="36" t="s">
        <v>217</v>
      </c>
      <c r="DT82" s="36" t="s">
        <v>130</v>
      </c>
      <c r="DU82" s="36" t="s">
        <v>215</v>
      </c>
      <c r="DV82" s="32">
        <f t="shared" si="69"/>
        <v>2</v>
      </c>
      <c r="DW82" s="32">
        <f t="shared" si="70"/>
        <v>1</v>
      </c>
      <c r="DX82" s="32">
        <f t="shared" si="71"/>
        <v>1</v>
      </c>
      <c r="DY82" s="32">
        <f t="shared" si="72"/>
        <v>1</v>
      </c>
      <c r="DZ82" s="32">
        <f t="shared" si="73"/>
        <v>2</v>
      </c>
      <c r="EA82" s="32">
        <f t="shared" si="74"/>
        <v>2</v>
      </c>
      <c r="EB82" s="39"/>
      <c r="EC82" s="7">
        <v>3201082</v>
      </c>
      <c r="ED82" s="35" t="s">
        <v>128</v>
      </c>
      <c r="EE82" s="16">
        <v>1</v>
      </c>
      <c r="FD82" s="16">
        <v>5601073</v>
      </c>
      <c r="FE82" s="16">
        <v>5201071</v>
      </c>
      <c r="FF82" s="16">
        <v>5201072</v>
      </c>
      <c r="FG82" s="16">
        <v>5201073</v>
      </c>
      <c r="FH82" s="16">
        <v>5502071</v>
      </c>
      <c r="FI82" s="16">
        <v>5502072</v>
      </c>
      <c r="FJ82" t="str">
        <f t="shared" si="107"/>
        <v>木修女</v>
      </c>
      <c r="FK82" t="str">
        <f t="shared" si="108"/>
        <v>水骑兵</v>
      </c>
      <c r="FL82" t="str">
        <f t="shared" si="109"/>
        <v>火骑兵</v>
      </c>
      <c r="FM82" t="str">
        <f t="shared" si="110"/>
        <v>木骑兵</v>
      </c>
      <c r="FN82" t="str">
        <f t="shared" si="111"/>
        <v>水火枪手</v>
      </c>
      <c r="FO82" t="str">
        <f t="shared" si="112"/>
        <v>火火枪手</v>
      </c>
      <c r="FP82" t="str">
        <f t="shared" si="113"/>
        <v>7</v>
      </c>
      <c r="FQ82" t="str">
        <f t="shared" si="114"/>
        <v>7</v>
      </c>
      <c r="FR82" t="str">
        <f t="shared" si="115"/>
        <v>7</v>
      </c>
      <c r="FS82" t="str">
        <f t="shared" si="116"/>
        <v>7</v>
      </c>
      <c r="FT82" t="str">
        <f t="shared" si="117"/>
        <v>7</v>
      </c>
      <c r="FU82" t="str">
        <f t="shared" si="118"/>
        <v>7</v>
      </c>
      <c r="FV82" t="str">
        <f t="shared" si="75"/>
        <v>5</v>
      </c>
      <c r="FW82" t="str">
        <f t="shared" si="76"/>
        <v>5</v>
      </c>
      <c r="FX82" t="str">
        <f t="shared" si="77"/>
        <v>5</v>
      </c>
      <c r="FY82" t="str">
        <f t="shared" si="78"/>
        <v>5</v>
      </c>
      <c r="FZ82" t="str">
        <f t="shared" si="79"/>
        <v>5</v>
      </c>
      <c r="GA82" t="str">
        <f t="shared" si="80"/>
        <v>5</v>
      </c>
    </row>
    <row r="83" spans="1:183" ht="13.5" customHeight="1">
      <c r="A83" s="1">
        <v>810</v>
      </c>
      <c r="B83" s="6">
        <v>10202</v>
      </c>
      <c r="C83" s="23" t="str">
        <f t="shared" si="81"/>
        <v>1103073,5202073,5201073,5202073,5601073,5601073</v>
      </c>
      <c r="D83" s="1" t="str">
        <f t="shared" si="82"/>
        <v>7,7,7,7,7,7</v>
      </c>
      <c r="E83" s="53" t="str">
        <f t="shared" si="83"/>
        <v>467,451,451,451,451,451</v>
      </c>
      <c r="F83" s="1">
        <f t="shared" si="68"/>
        <v>1028587</v>
      </c>
      <c r="G83" s="23" t="s">
        <v>34</v>
      </c>
      <c r="H83" s="1" t="s">
        <v>28</v>
      </c>
      <c r="I83" s="1" t="s">
        <v>28</v>
      </c>
      <c r="J83" s="1" t="s">
        <v>28</v>
      </c>
      <c r="K83" s="2" t="s">
        <v>381</v>
      </c>
      <c r="L83" s="1">
        <v>3</v>
      </c>
      <c r="M83" s="1">
        <v>3</v>
      </c>
      <c r="O83" s="25">
        <f t="shared" si="84"/>
        <v>1028587</v>
      </c>
      <c r="P83" s="16">
        <v>1028587.23</v>
      </c>
      <c r="Q83" s="16">
        <v>1103073</v>
      </c>
      <c r="R83" s="16">
        <v>5202073</v>
      </c>
      <c r="S83" s="16">
        <v>5201073</v>
      </c>
      <c r="T83" s="16">
        <v>5202073</v>
      </c>
      <c r="U83" s="16">
        <v>5601073</v>
      </c>
      <c r="V83" s="16">
        <v>5601073</v>
      </c>
      <c r="W83" s="16">
        <v>7</v>
      </c>
      <c r="X83" s="16">
        <v>7</v>
      </c>
      <c r="Y83" s="16">
        <v>7</v>
      </c>
      <c r="Z83" s="16">
        <v>7</v>
      </c>
      <c r="AA83" s="16">
        <v>7</v>
      </c>
      <c r="AB83" s="16">
        <v>7</v>
      </c>
      <c r="AC83" s="16">
        <f t="shared" si="85"/>
        <v>467</v>
      </c>
      <c r="AD83" s="16">
        <f t="shared" si="119"/>
        <v>451</v>
      </c>
      <c r="AE83" s="16">
        <f t="shared" si="119"/>
        <v>451</v>
      </c>
      <c r="AF83" s="16">
        <f t="shared" si="119"/>
        <v>451</v>
      </c>
      <c r="AG83" s="16">
        <f t="shared" si="119"/>
        <v>451</v>
      </c>
      <c r="AH83" s="16">
        <f t="shared" si="119"/>
        <v>451</v>
      </c>
      <c r="AI83" s="28">
        <f t="shared" si="86"/>
        <v>205717.446</v>
      </c>
      <c r="AJ83" s="28">
        <f t="shared" si="87"/>
        <v>164573.95680000001</v>
      </c>
      <c r="AK83" s="28">
        <f t="shared" si="87"/>
        <v>164573.95680000001</v>
      </c>
      <c r="AL83" s="28">
        <f t="shared" si="87"/>
        <v>164573.95680000001</v>
      </c>
      <c r="AM83" s="28">
        <f t="shared" si="87"/>
        <v>164573.95680000001</v>
      </c>
      <c r="AN83" s="28">
        <f t="shared" si="87"/>
        <v>164573.95680000001</v>
      </c>
      <c r="AO83" s="30"/>
      <c r="AP83" s="28"/>
      <c r="AQ83" s="16">
        <v>4</v>
      </c>
      <c r="AR83" s="16">
        <f t="shared" si="88"/>
        <v>671</v>
      </c>
      <c r="AS83" s="28">
        <f t="shared" si="89"/>
        <v>835</v>
      </c>
      <c r="AT83" s="28"/>
      <c r="AU83" s="30">
        <v>1028587.23</v>
      </c>
      <c r="AV83" s="28" t="str">
        <f t="shared" si="90"/>
        <v>小:0</v>
      </c>
      <c r="AW83" s="28"/>
      <c r="AX83" s="28"/>
      <c r="AY83" s="16">
        <v>4</v>
      </c>
      <c r="AZ83" s="28">
        <v>80</v>
      </c>
      <c r="BA83" s="16">
        <v>20698</v>
      </c>
      <c r="BC83" s="7">
        <f t="shared" si="91"/>
        <v>436</v>
      </c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9"/>
      <c r="BQ83" s="9"/>
      <c r="BR83" s="9">
        <v>4500052</v>
      </c>
      <c r="BS83" s="9">
        <f>[1]monsters!$N83</f>
        <v>246.4</v>
      </c>
      <c r="BT83" s="9">
        <f>[1]monsters!$O83</f>
        <v>24.64</v>
      </c>
      <c r="BU83" s="9">
        <f>[1]monsters!$P83</f>
        <v>1508.57</v>
      </c>
      <c r="BV83" s="9">
        <f>[1]monsters!$Q83</f>
        <v>150.86000000000001</v>
      </c>
      <c r="BW83" s="9">
        <f>[1]monsters!$R83</f>
        <v>30.8</v>
      </c>
      <c r="BX83" s="9">
        <f>[1]monsters!$S83</f>
        <v>3.08</v>
      </c>
      <c r="BY83" s="9">
        <f>[1]monsters!$K83</f>
        <v>1.5</v>
      </c>
      <c r="BZ83" s="7">
        <f>[1]monsters!$D83</f>
        <v>5</v>
      </c>
      <c r="CA83" s="7">
        <f t="shared" si="92"/>
        <v>0.1</v>
      </c>
      <c r="CB83" s="7">
        <f t="shared" si="93"/>
        <v>283.64160269360275</v>
      </c>
      <c r="CC83" s="7">
        <f t="shared" si="94"/>
        <v>28.364160269360276</v>
      </c>
      <c r="CD83" s="7"/>
      <c r="CE83" s="27" t="s">
        <v>201</v>
      </c>
      <c r="CF83" s="7"/>
      <c r="CG83" s="7"/>
      <c r="CH83" s="27" t="s">
        <v>195</v>
      </c>
      <c r="CI83" s="27" t="s">
        <v>195</v>
      </c>
      <c r="CJ83" s="27" t="s">
        <v>195</v>
      </c>
      <c r="CK83" s="27" t="s">
        <v>195</v>
      </c>
      <c r="CL83" s="27" t="s">
        <v>195</v>
      </c>
      <c r="CM83" s="27" t="s">
        <v>195</v>
      </c>
      <c r="CN83" s="7"/>
      <c r="CO83" s="7"/>
      <c r="CP83" s="7">
        <v>1</v>
      </c>
      <c r="CR83" s="25" t="b">
        <f t="shared" si="95"/>
        <v>1</v>
      </c>
      <c r="CS83" s="25" t="b">
        <f t="shared" si="96"/>
        <v>1</v>
      </c>
      <c r="CT83" s="25" t="b">
        <f t="shared" si="97"/>
        <v>1</v>
      </c>
      <c r="CU83" s="25" t="b">
        <f t="shared" si="98"/>
        <v>1</v>
      </c>
      <c r="CV83" s="25" t="b">
        <f t="shared" si="99"/>
        <v>1</v>
      </c>
      <c r="CW83" s="25" t="b">
        <f t="shared" si="100"/>
        <v>1</v>
      </c>
      <c r="CX83" s="16" t="str">
        <f t="shared" si="101"/>
        <v>1103073</v>
      </c>
      <c r="CY83" s="16" t="str">
        <f t="shared" si="102"/>
        <v>5202073</v>
      </c>
      <c r="CZ83" s="16" t="str">
        <f t="shared" si="103"/>
        <v>5201073</v>
      </c>
      <c r="DA83" s="16" t="str">
        <f t="shared" si="104"/>
        <v>5202073</v>
      </c>
      <c r="DB83" s="16" t="str">
        <f t="shared" si="105"/>
        <v>5601073</v>
      </c>
      <c r="DC83" s="16" t="str">
        <f t="shared" si="106"/>
        <v>5601073</v>
      </c>
      <c r="DD83" s="16">
        <v>7</v>
      </c>
      <c r="DE83" s="16">
        <v>7</v>
      </c>
      <c r="DF83" s="16">
        <v>7</v>
      </c>
      <c r="DG83" s="16">
        <v>7</v>
      </c>
      <c r="DH83" s="16">
        <v>7</v>
      </c>
      <c r="DI83" s="16">
        <v>7</v>
      </c>
      <c r="DJ83" s="16">
        <v>1</v>
      </c>
      <c r="DK83" s="16">
        <v>5</v>
      </c>
      <c r="DL83" s="16">
        <v>5</v>
      </c>
      <c r="DM83" s="16">
        <v>5</v>
      </c>
      <c r="DN83" s="16">
        <v>5</v>
      </c>
      <c r="DO83" s="16">
        <v>5</v>
      </c>
      <c r="DP83" s="51" t="s">
        <v>310</v>
      </c>
      <c r="DQ83" s="36" t="s">
        <v>220</v>
      </c>
      <c r="DR83" s="51" t="s">
        <v>217</v>
      </c>
      <c r="DS83" s="36" t="s">
        <v>220</v>
      </c>
      <c r="DT83" s="36" t="s">
        <v>228</v>
      </c>
      <c r="DU83" s="14" t="s">
        <v>228</v>
      </c>
      <c r="DV83" s="32">
        <f t="shared" si="69"/>
        <v>2</v>
      </c>
      <c r="DW83" s="32">
        <f t="shared" si="70"/>
        <v>1</v>
      </c>
      <c r="DX83" s="32">
        <f t="shared" si="71"/>
        <v>1</v>
      </c>
      <c r="DY83" s="32">
        <f t="shared" si="72"/>
        <v>1</v>
      </c>
      <c r="DZ83" s="32">
        <f t="shared" si="73"/>
        <v>2</v>
      </c>
      <c r="EA83" s="32">
        <f t="shared" si="74"/>
        <v>2</v>
      </c>
      <c r="EB83" s="39"/>
      <c r="EC83" s="7">
        <v>3500082</v>
      </c>
      <c r="ED83" s="35" t="s">
        <v>131</v>
      </c>
      <c r="EE83" s="16">
        <v>2</v>
      </c>
      <c r="FD83" s="16">
        <v>1103073</v>
      </c>
      <c r="FE83" s="16">
        <v>5202073</v>
      </c>
      <c r="FF83" s="16">
        <v>5201073</v>
      </c>
      <c r="FG83" s="16">
        <v>5202073</v>
      </c>
      <c r="FH83" s="16">
        <v>5601073</v>
      </c>
      <c r="FI83" s="16">
        <v>5601073</v>
      </c>
      <c r="FJ83" t="str">
        <f t="shared" si="107"/>
        <v>木龙王</v>
      </c>
      <c r="FK83" t="str">
        <f t="shared" si="108"/>
        <v>木维京</v>
      </c>
      <c r="FL83" t="str">
        <f t="shared" si="109"/>
        <v>木骑兵</v>
      </c>
      <c r="FM83" t="str">
        <f t="shared" si="110"/>
        <v>木维京</v>
      </c>
      <c r="FN83" t="str">
        <f t="shared" si="111"/>
        <v>木修女</v>
      </c>
      <c r="FO83" t="str">
        <f t="shared" si="112"/>
        <v>木修女</v>
      </c>
      <c r="FP83" t="str">
        <f t="shared" si="113"/>
        <v>7</v>
      </c>
      <c r="FQ83" t="str">
        <f t="shared" si="114"/>
        <v>7</v>
      </c>
      <c r="FR83" t="str">
        <f t="shared" si="115"/>
        <v>7</v>
      </c>
      <c r="FS83" t="str">
        <f t="shared" si="116"/>
        <v>7</v>
      </c>
      <c r="FT83" t="str">
        <f t="shared" si="117"/>
        <v>7</v>
      </c>
      <c r="FU83" t="str">
        <f t="shared" si="118"/>
        <v>7</v>
      </c>
      <c r="FV83" t="str">
        <f t="shared" si="75"/>
        <v>1</v>
      </c>
      <c r="FW83" t="str">
        <f t="shared" si="76"/>
        <v>5</v>
      </c>
      <c r="FX83" t="str">
        <f t="shared" si="77"/>
        <v>5</v>
      </c>
      <c r="FY83" t="str">
        <f t="shared" si="78"/>
        <v>5</v>
      </c>
      <c r="FZ83" t="str">
        <f t="shared" si="79"/>
        <v>5</v>
      </c>
      <c r="GA83" t="str">
        <f t="shared" si="80"/>
        <v>5</v>
      </c>
    </row>
    <row r="84" spans="1:183" ht="13.5" customHeight="1">
      <c r="A84" s="1">
        <v>901</v>
      </c>
      <c r="B84" s="6">
        <v>10062</v>
      </c>
      <c r="C84" s="23" t="str">
        <f t="shared" si="81"/>
        <v>5600074,5201072,5201072,5401073,5401072,5401073</v>
      </c>
      <c r="D84" s="1" t="str">
        <f t="shared" si="82"/>
        <v>7,7,7,7,7,7</v>
      </c>
      <c r="E84" s="53" t="str">
        <f t="shared" si="83"/>
        <v>471,455,455,455,455,455</v>
      </c>
      <c r="F84" s="1">
        <f t="shared" si="68"/>
        <v>1048242</v>
      </c>
      <c r="G84" s="23" t="s">
        <v>34</v>
      </c>
      <c r="H84" s="1" t="s">
        <v>28</v>
      </c>
      <c r="I84" s="1" t="s">
        <v>28</v>
      </c>
      <c r="J84" s="1" t="s">
        <v>28</v>
      </c>
      <c r="K84" s="2" t="s">
        <v>382</v>
      </c>
      <c r="L84" s="1">
        <v>0</v>
      </c>
      <c r="M84" s="1">
        <v>2</v>
      </c>
      <c r="O84" s="25">
        <f t="shared" si="84"/>
        <v>1048242</v>
      </c>
      <c r="P84" s="16">
        <v>1048241.59</v>
      </c>
      <c r="Q84" s="16">
        <v>5600074</v>
      </c>
      <c r="R84" s="16">
        <v>5201072</v>
      </c>
      <c r="S84" s="16">
        <v>5201072</v>
      </c>
      <c r="T84" s="16">
        <v>5401073</v>
      </c>
      <c r="U84" s="16">
        <v>5401072</v>
      </c>
      <c r="V84" s="16">
        <v>5401073</v>
      </c>
      <c r="W84" s="16">
        <v>7</v>
      </c>
      <c r="X84" s="16">
        <v>7</v>
      </c>
      <c r="Y84" s="16">
        <v>7</v>
      </c>
      <c r="Z84" s="16">
        <v>7</v>
      </c>
      <c r="AA84" s="16">
        <v>7</v>
      </c>
      <c r="AB84" s="16">
        <v>7</v>
      </c>
      <c r="AC84" s="16">
        <f t="shared" si="85"/>
        <v>471</v>
      </c>
      <c r="AD84" s="16">
        <f t="shared" si="119"/>
        <v>455</v>
      </c>
      <c r="AE84" s="16">
        <f t="shared" si="119"/>
        <v>455</v>
      </c>
      <c r="AF84" s="16">
        <f t="shared" si="119"/>
        <v>455</v>
      </c>
      <c r="AG84" s="16">
        <f t="shared" si="119"/>
        <v>455</v>
      </c>
      <c r="AH84" s="16">
        <f t="shared" si="119"/>
        <v>455</v>
      </c>
      <c r="AI84" s="28">
        <f t="shared" si="86"/>
        <v>209648.318</v>
      </c>
      <c r="AJ84" s="28">
        <f t="shared" si="87"/>
        <v>167718.6544</v>
      </c>
      <c r="AK84" s="28">
        <f t="shared" si="87"/>
        <v>167718.6544</v>
      </c>
      <c r="AL84" s="28">
        <f t="shared" si="87"/>
        <v>167718.6544</v>
      </c>
      <c r="AM84" s="28">
        <f t="shared" si="87"/>
        <v>167718.6544</v>
      </c>
      <c r="AN84" s="28">
        <f t="shared" si="87"/>
        <v>167718.6544</v>
      </c>
      <c r="AO84" s="30"/>
      <c r="AP84" s="28"/>
      <c r="AQ84" s="16">
        <v>4</v>
      </c>
      <c r="AR84" s="16">
        <f t="shared" si="88"/>
        <v>678</v>
      </c>
      <c r="AS84" s="28">
        <f t="shared" si="89"/>
        <v>926</v>
      </c>
      <c r="AT84" s="28"/>
      <c r="AU84" s="30">
        <v>1048241.59</v>
      </c>
      <c r="AV84" s="28" t="str">
        <f t="shared" si="90"/>
        <v>小:0</v>
      </c>
      <c r="AW84" s="28"/>
      <c r="AX84" s="28"/>
      <c r="AZ84" s="28"/>
      <c r="BA84" s="16">
        <f>BA83+($BA$153-$BA$83)/($A$153-$A$83)</f>
        <v>20750.275714285715</v>
      </c>
      <c r="BC84" s="7">
        <f t="shared" si="91"/>
        <v>440</v>
      </c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9"/>
      <c r="BQ84" s="9"/>
      <c r="BR84" s="9">
        <v>4301052</v>
      </c>
      <c r="BS84" s="9">
        <f>[1]monsters!$N84</f>
        <v>272.8</v>
      </c>
      <c r="BT84" s="9">
        <f>[1]monsters!$O84</f>
        <v>27.28</v>
      </c>
      <c r="BU84" s="9">
        <f>[1]monsters!$P84</f>
        <v>1362.58</v>
      </c>
      <c r="BV84" s="9">
        <f>[1]monsters!$Q84</f>
        <v>136.26</v>
      </c>
      <c r="BW84" s="9">
        <f>[1]monsters!$R84</f>
        <v>27.28</v>
      </c>
      <c r="BX84" s="9">
        <f>[1]monsters!$S84</f>
        <v>2.73</v>
      </c>
      <c r="BY84" s="9">
        <f>[1]monsters!$K84</f>
        <v>1.5</v>
      </c>
      <c r="BZ84" s="7">
        <f>[1]monsters!$D84</f>
        <v>6</v>
      </c>
      <c r="CA84" s="7">
        <f t="shared" si="92"/>
        <v>0.1</v>
      </c>
      <c r="CB84" s="7">
        <f t="shared" si="93"/>
        <v>303.67411447811446</v>
      </c>
      <c r="CC84" s="7">
        <f t="shared" si="94"/>
        <v>30.367411447811449</v>
      </c>
      <c r="CD84" s="7"/>
      <c r="CE84" s="27" t="s">
        <v>202</v>
      </c>
      <c r="CF84" s="7"/>
      <c r="CG84" s="7"/>
      <c r="CH84" s="27" t="s">
        <v>196</v>
      </c>
      <c r="CI84" s="27" t="s">
        <v>196</v>
      </c>
      <c r="CJ84" s="27" t="s">
        <v>196</v>
      </c>
      <c r="CK84" s="27" t="s">
        <v>196</v>
      </c>
      <c r="CL84" s="27" t="s">
        <v>196</v>
      </c>
      <c r="CM84" s="27" t="s">
        <v>196</v>
      </c>
      <c r="CN84" s="7"/>
      <c r="CO84" s="7"/>
      <c r="CP84" s="7">
        <v>0</v>
      </c>
      <c r="CR84" s="25" t="b">
        <f t="shared" si="95"/>
        <v>1</v>
      </c>
      <c r="CS84" s="25" t="b">
        <f t="shared" si="96"/>
        <v>1</v>
      </c>
      <c r="CT84" s="25" t="b">
        <f t="shared" si="97"/>
        <v>1</v>
      </c>
      <c r="CU84" s="25" t="b">
        <f t="shared" si="98"/>
        <v>1</v>
      </c>
      <c r="CV84" s="25" t="b">
        <f t="shared" si="99"/>
        <v>1</v>
      </c>
      <c r="CW84" s="25" t="b">
        <f t="shared" si="100"/>
        <v>1</v>
      </c>
      <c r="CX84" s="16" t="str">
        <f t="shared" si="101"/>
        <v>5600074</v>
      </c>
      <c r="CY84" s="16" t="str">
        <f t="shared" si="102"/>
        <v>5201072</v>
      </c>
      <c r="CZ84" s="16" t="str">
        <f t="shared" si="103"/>
        <v>5201072</v>
      </c>
      <c r="DA84" s="16" t="str">
        <f t="shared" si="104"/>
        <v>5401073</v>
      </c>
      <c r="DB84" s="16" t="str">
        <f t="shared" si="105"/>
        <v>5401072</v>
      </c>
      <c r="DC84" s="16" t="str">
        <f t="shared" si="106"/>
        <v>5401073</v>
      </c>
      <c r="DD84" s="16">
        <v>7</v>
      </c>
      <c r="DE84" s="16">
        <v>7</v>
      </c>
      <c r="DF84" s="16">
        <v>7</v>
      </c>
      <c r="DG84" s="16">
        <v>7</v>
      </c>
      <c r="DH84" s="16">
        <v>7</v>
      </c>
      <c r="DI84" s="16">
        <v>7</v>
      </c>
      <c r="DJ84" s="16">
        <v>5</v>
      </c>
      <c r="DK84" s="16">
        <v>5</v>
      </c>
      <c r="DL84" s="16">
        <v>5</v>
      </c>
      <c r="DM84" s="16">
        <v>5</v>
      </c>
      <c r="DN84" s="16">
        <v>5</v>
      </c>
      <c r="DO84" s="16">
        <v>5</v>
      </c>
      <c r="DP84" s="51" t="s">
        <v>231</v>
      </c>
      <c r="DQ84" s="51" t="s">
        <v>120</v>
      </c>
      <c r="DR84" s="51" t="s">
        <v>120</v>
      </c>
      <c r="DS84" s="36" t="s">
        <v>223</v>
      </c>
      <c r="DT84" s="51" t="s">
        <v>213</v>
      </c>
      <c r="DU84" s="36" t="s">
        <v>223</v>
      </c>
      <c r="DV84" s="32">
        <f t="shared" si="69"/>
        <v>1</v>
      </c>
      <c r="DW84" s="32">
        <f t="shared" si="70"/>
        <v>1</v>
      </c>
      <c r="DX84" s="32">
        <f t="shared" si="71"/>
        <v>1</v>
      </c>
      <c r="DY84" s="32">
        <f t="shared" si="72"/>
        <v>2</v>
      </c>
      <c r="DZ84" s="32">
        <f t="shared" si="73"/>
        <v>2</v>
      </c>
      <c r="EA84" s="32">
        <f t="shared" si="74"/>
        <v>2</v>
      </c>
      <c r="EB84" s="39"/>
      <c r="EC84" s="7">
        <v>3601082</v>
      </c>
      <c r="ED84" s="35" t="s">
        <v>133</v>
      </c>
      <c r="EE84" s="16">
        <v>2</v>
      </c>
      <c r="FD84" s="16">
        <v>5600074</v>
      </c>
      <c r="FE84" s="16">
        <v>5201072</v>
      </c>
      <c r="FF84" s="16">
        <v>5201072</v>
      </c>
      <c r="FG84" s="16">
        <v>5401073</v>
      </c>
      <c r="FH84" s="16">
        <v>5401072</v>
      </c>
      <c r="FI84" s="16">
        <v>5401073</v>
      </c>
      <c r="FJ84" t="str">
        <f t="shared" si="107"/>
        <v>光武僧</v>
      </c>
      <c r="FK84" t="str">
        <f t="shared" si="108"/>
        <v>火骑兵</v>
      </c>
      <c r="FL84" t="str">
        <f t="shared" si="109"/>
        <v>火骑兵</v>
      </c>
      <c r="FM84" t="str">
        <f t="shared" si="110"/>
        <v>木魔法师</v>
      </c>
      <c r="FN84" t="str">
        <f t="shared" si="111"/>
        <v>火魔法师</v>
      </c>
      <c r="FO84" t="str">
        <f t="shared" si="112"/>
        <v>木魔法师</v>
      </c>
      <c r="FP84" t="str">
        <f t="shared" si="113"/>
        <v>7</v>
      </c>
      <c r="FQ84" t="str">
        <f t="shared" si="114"/>
        <v>7</v>
      </c>
      <c r="FR84" t="str">
        <f t="shared" si="115"/>
        <v>7</v>
      </c>
      <c r="FS84" t="str">
        <f t="shared" si="116"/>
        <v>7</v>
      </c>
      <c r="FT84" t="str">
        <f t="shared" si="117"/>
        <v>7</v>
      </c>
      <c r="FU84" t="str">
        <f t="shared" si="118"/>
        <v>7</v>
      </c>
      <c r="FV84" t="str">
        <f t="shared" si="75"/>
        <v>5</v>
      </c>
      <c r="FW84" t="str">
        <f t="shared" si="76"/>
        <v>5</v>
      </c>
      <c r="FX84" t="str">
        <f t="shared" si="77"/>
        <v>5</v>
      </c>
      <c r="FY84" t="str">
        <f t="shared" si="78"/>
        <v>5</v>
      </c>
      <c r="FZ84" t="str">
        <f t="shared" si="79"/>
        <v>5</v>
      </c>
      <c r="GA84" t="str">
        <f t="shared" si="80"/>
        <v>5</v>
      </c>
    </row>
    <row r="85" spans="1:183" ht="13.5" customHeight="1">
      <c r="A85" s="1">
        <v>902</v>
      </c>
      <c r="B85" s="6">
        <v>10062</v>
      </c>
      <c r="C85" s="23" t="str">
        <f t="shared" si="81"/>
        <v>5602074,5201072,5201073,5202072,5502072,5502072</v>
      </c>
      <c r="D85" s="1" t="str">
        <f t="shared" si="82"/>
        <v>7,7,7,7,7,7</v>
      </c>
      <c r="E85" s="53" t="str">
        <f t="shared" si="83"/>
        <v>474,458,458,458,458,458</v>
      </c>
      <c r="F85" s="1">
        <f t="shared" si="68"/>
        <v>1060871</v>
      </c>
      <c r="G85" s="23" t="s">
        <v>34</v>
      </c>
      <c r="H85" s="1" t="s">
        <v>28</v>
      </c>
      <c r="I85" s="1" t="s">
        <v>28</v>
      </c>
      <c r="J85" s="1" t="s">
        <v>28</v>
      </c>
      <c r="K85" s="2" t="s">
        <v>383</v>
      </c>
      <c r="L85" s="1">
        <v>1</v>
      </c>
      <c r="M85" s="1">
        <v>2</v>
      </c>
      <c r="O85" s="25">
        <f t="shared" si="84"/>
        <v>1060871</v>
      </c>
      <c r="P85" s="16">
        <v>1060871.46</v>
      </c>
      <c r="Q85" s="16">
        <v>5602074</v>
      </c>
      <c r="R85" s="16">
        <v>5201072</v>
      </c>
      <c r="S85" s="16">
        <v>5201073</v>
      </c>
      <c r="T85" s="16">
        <v>5202072</v>
      </c>
      <c r="U85" s="16">
        <v>5502072</v>
      </c>
      <c r="V85" s="16">
        <v>5502072</v>
      </c>
      <c r="W85" s="16">
        <v>7</v>
      </c>
      <c r="X85" s="16">
        <v>7</v>
      </c>
      <c r="Y85" s="16">
        <v>7</v>
      </c>
      <c r="Z85" s="16">
        <v>7</v>
      </c>
      <c r="AA85" s="16">
        <v>7</v>
      </c>
      <c r="AB85" s="16">
        <v>7</v>
      </c>
      <c r="AC85" s="16">
        <f t="shared" si="85"/>
        <v>474</v>
      </c>
      <c r="AD85" s="16">
        <f t="shared" si="119"/>
        <v>458</v>
      </c>
      <c r="AE85" s="16">
        <f t="shared" si="119"/>
        <v>458</v>
      </c>
      <c r="AF85" s="16">
        <f t="shared" si="119"/>
        <v>458</v>
      </c>
      <c r="AG85" s="16">
        <f t="shared" si="119"/>
        <v>458</v>
      </c>
      <c r="AH85" s="16">
        <f t="shared" si="119"/>
        <v>458</v>
      </c>
      <c r="AI85" s="28">
        <f t="shared" si="86"/>
        <v>212174.29200000002</v>
      </c>
      <c r="AJ85" s="28">
        <f t="shared" si="87"/>
        <v>169739.43359999999</v>
      </c>
      <c r="AK85" s="28">
        <f t="shared" si="87"/>
        <v>169739.43359999999</v>
      </c>
      <c r="AL85" s="28">
        <f t="shared" si="87"/>
        <v>169739.43359999999</v>
      </c>
      <c r="AM85" s="28">
        <f t="shared" si="87"/>
        <v>169739.43359999999</v>
      </c>
      <c r="AN85" s="28">
        <f t="shared" si="87"/>
        <v>169739.43359999999</v>
      </c>
      <c r="AO85" s="30"/>
      <c r="AP85" s="28"/>
      <c r="AQ85" s="16">
        <v>4</v>
      </c>
      <c r="AR85" s="16">
        <f t="shared" si="88"/>
        <v>682</v>
      </c>
      <c r="AS85" s="28">
        <f t="shared" si="89"/>
        <v>927</v>
      </c>
      <c r="AT85" s="28"/>
      <c r="AU85" s="30">
        <v>1060871.46</v>
      </c>
      <c r="AV85" s="28" t="str">
        <f t="shared" si="90"/>
        <v>小:0</v>
      </c>
      <c r="AW85" s="28"/>
      <c r="AX85" s="28"/>
      <c r="AZ85" s="28"/>
      <c r="BA85" s="16">
        <f t="shared" ref="BA85:BA146" si="120">BA84+($BA$153-$BA$83)/($A$153-$A$83)</f>
        <v>20802.551428571431</v>
      </c>
      <c r="BC85" s="7">
        <f t="shared" si="91"/>
        <v>443</v>
      </c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9"/>
      <c r="BQ85" s="9"/>
      <c r="BR85" s="9">
        <v>4202053</v>
      </c>
      <c r="BS85" s="9">
        <f>[1]monsters!$N85</f>
        <v>176</v>
      </c>
      <c r="BT85" s="9">
        <f>[1]monsters!$O85</f>
        <v>17.600000000000001</v>
      </c>
      <c r="BU85" s="9">
        <f>[1]monsters!$P85</f>
        <v>2112</v>
      </c>
      <c r="BV85" s="9">
        <f>[1]monsters!$Q85</f>
        <v>211.2</v>
      </c>
      <c r="BW85" s="9">
        <f>[1]monsters!$R85</f>
        <v>44</v>
      </c>
      <c r="BX85" s="9">
        <f>[1]monsters!$S85</f>
        <v>4.4000000000000004</v>
      </c>
      <c r="BY85" s="9">
        <f>[1]monsters!$K85</f>
        <v>1.5</v>
      </c>
      <c r="BZ85" s="7">
        <f>[1]monsters!$D85</f>
        <v>2</v>
      </c>
      <c r="CA85" s="7">
        <f t="shared" si="92"/>
        <v>0.1</v>
      </c>
      <c r="CB85" s="7">
        <f t="shared" si="93"/>
        <v>237.43111111111114</v>
      </c>
      <c r="CC85" s="7">
        <f t="shared" si="94"/>
        <v>23.743111111111116</v>
      </c>
      <c r="CD85" s="27" t="s">
        <v>203</v>
      </c>
      <c r="CE85" s="27" t="s">
        <v>204</v>
      </c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>
        <v>0</v>
      </c>
      <c r="CR85" s="25" t="b">
        <f t="shared" si="95"/>
        <v>1</v>
      </c>
      <c r="CS85" s="25" t="b">
        <f t="shared" si="96"/>
        <v>1</v>
      </c>
      <c r="CT85" s="25" t="b">
        <f t="shared" si="97"/>
        <v>1</v>
      </c>
      <c r="CU85" s="25" t="b">
        <f t="shared" si="98"/>
        <v>1</v>
      </c>
      <c r="CV85" s="25" t="b">
        <f t="shared" si="99"/>
        <v>1</v>
      </c>
      <c r="CW85" s="25" t="b">
        <f t="shared" si="100"/>
        <v>1</v>
      </c>
      <c r="CX85" s="16" t="str">
        <f t="shared" si="101"/>
        <v>5602074</v>
      </c>
      <c r="CY85" s="16" t="str">
        <f t="shared" si="102"/>
        <v>5201072</v>
      </c>
      <c r="CZ85" s="16" t="str">
        <f t="shared" si="103"/>
        <v>5201073</v>
      </c>
      <c r="DA85" s="16" t="str">
        <f t="shared" si="104"/>
        <v>5202072</v>
      </c>
      <c r="DB85" s="16" t="str">
        <f t="shared" si="105"/>
        <v>5502072</v>
      </c>
      <c r="DC85" s="16" t="str">
        <f t="shared" si="106"/>
        <v>5502072</v>
      </c>
      <c r="DD85" s="16">
        <v>7</v>
      </c>
      <c r="DE85" s="16">
        <v>7</v>
      </c>
      <c r="DF85" s="16">
        <v>7</v>
      </c>
      <c r="DG85" s="16">
        <v>7</v>
      </c>
      <c r="DH85" s="16">
        <v>7</v>
      </c>
      <c r="DI85" s="16">
        <v>7</v>
      </c>
      <c r="DJ85" s="16">
        <v>5</v>
      </c>
      <c r="DK85" s="16">
        <v>5</v>
      </c>
      <c r="DL85" s="16">
        <v>5</v>
      </c>
      <c r="DM85" s="16">
        <v>5</v>
      </c>
      <c r="DN85" s="16">
        <v>5</v>
      </c>
      <c r="DO85" s="16">
        <v>5</v>
      </c>
      <c r="DP85" s="51" t="s">
        <v>232</v>
      </c>
      <c r="DQ85" s="51" t="s">
        <v>120</v>
      </c>
      <c r="DR85" s="51" t="s">
        <v>217</v>
      </c>
      <c r="DS85" s="51" t="s">
        <v>211</v>
      </c>
      <c r="DT85" s="51" t="s">
        <v>215</v>
      </c>
      <c r="DU85" s="51" t="s">
        <v>215</v>
      </c>
      <c r="DV85" s="32">
        <f t="shared" si="69"/>
        <v>2</v>
      </c>
      <c r="DW85" s="32">
        <f t="shared" si="70"/>
        <v>1</v>
      </c>
      <c r="DX85" s="32">
        <f t="shared" si="71"/>
        <v>1</v>
      </c>
      <c r="DY85" s="32">
        <f t="shared" si="72"/>
        <v>1</v>
      </c>
      <c r="DZ85" s="32">
        <f t="shared" si="73"/>
        <v>2</v>
      </c>
      <c r="EA85" s="32">
        <f t="shared" si="74"/>
        <v>2</v>
      </c>
      <c r="EB85" s="39"/>
      <c r="EC85" s="7">
        <v>3200083</v>
      </c>
      <c r="ED85" s="35" t="s">
        <v>135</v>
      </c>
      <c r="EE85" s="16">
        <v>1</v>
      </c>
      <c r="FD85" s="16">
        <v>5602074</v>
      </c>
      <c r="FE85" s="16">
        <v>5201072</v>
      </c>
      <c r="FF85" s="16">
        <v>5201073</v>
      </c>
      <c r="FG85" s="16">
        <v>5202072</v>
      </c>
      <c r="FH85" s="16">
        <v>5502072</v>
      </c>
      <c r="FI85" s="16">
        <v>5502072</v>
      </c>
      <c r="FJ85" t="str">
        <f t="shared" si="107"/>
        <v>光学者</v>
      </c>
      <c r="FK85" t="str">
        <f t="shared" si="108"/>
        <v>火骑兵</v>
      </c>
      <c r="FL85" t="str">
        <f t="shared" si="109"/>
        <v>木骑兵</v>
      </c>
      <c r="FM85" t="str">
        <f t="shared" si="110"/>
        <v>火维京</v>
      </c>
      <c r="FN85" t="str">
        <f t="shared" si="111"/>
        <v>火火枪手</v>
      </c>
      <c r="FO85" t="str">
        <f t="shared" si="112"/>
        <v>火火枪手</v>
      </c>
      <c r="FP85" t="str">
        <f t="shared" si="113"/>
        <v>7</v>
      </c>
      <c r="FQ85" t="str">
        <f t="shared" si="114"/>
        <v>7</v>
      </c>
      <c r="FR85" t="str">
        <f t="shared" si="115"/>
        <v>7</v>
      </c>
      <c r="FS85" t="str">
        <f t="shared" si="116"/>
        <v>7</v>
      </c>
      <c r="FT85" t="str">
        <f t="shared" si="117"/>
        <v>7</v>
      </c>
      <c r="FU85" t="str">
        <f t="shared" si="118"/>
        <v>7</v>
      </c>
      <c r="FV85" t="str">
        <f t="shared" si="75"/>
        <v>5</v>
      </c>
      <c r="FW85" t="str">
        <f t="shared" si="76"/>
        <v>5</v>
      </c>
      <c r="FX85" t="str">
        <f t="shared" si="77"/>
        <v>5</v>
      </c>
      <c r="FY85" t="str">
        <f t="shared" si="78"/>
        <v>5</v>
      </c>
      <c r="FZ85" t="str">
        <f t="shared" si="79"/>
        <v>5</v>
      </c>
      <c r="GA85" t="str">
        <f t="shared" si="80"/>
        <v>5</v>
      </c>
    </row>
    <row r="86" spans="1:183" ht="13.5" customHeight="1">
      <c r="A86" s="1">
        <v>903</v>
      </c>
      <c r="B86" s="6">
        <v>10062</v>
      </c>
      <c r="C86" s="23" t="str">
        <f t="shared" si="81"/>
        <v>5301072,5202073,5202073,5402073,5401073,5402073</v>
      </c>
      <c r="D86" s="1" t="str">
        <f t="shared" si="82"/>
        <v>7,7,7,7,7,7</v>
      </c>
      <c r="E86" s="53" t="str">
        <f t="shared" si="83"/>
        <v>477,461,461,461,461,461</v>
      </c>
      <c r="F86" s="1">
        <f t="shared" si="68"/>
        <v>1075391</v>
      </c>
      <c r="G86" s="23" t="s">
        <v>34</v>
      </c>
      <c r="H86" s="1" t="s">
        <v>28</v>
      </c>
      <c r="I86" s="1" t="s">
        <v>28</v>
      </c>
      <c r="J86" s="1" t="s">
        <v>28</v>
      </c>
      <c r="K86" s="2" t="s">
        <v>384</v>
      </c>
      <c r="L86" s="1">
        <v>2</v>
      </c>
      <c r="M86" s="1">
        <v>4</v>
      </c>
      <c r="O86" s="25">
        <f t="shared" si="84"/>
        <v>1075391</v>
      </c>
      <c r="P86" s="16">
        <v>1075390.69</v>
      </c>
      <c r="Q86" s="16">
        <v>5301072</v>
      </c>
      <c r="R86" s="16">
        <v>5202073</v>
      </c>
      <c r="S86" s="16">
        <v>5202073</v>
      </c>
      <c r="T86" s="16">
        <v>5402073</v>
      </c>
      <c r="U86" s="16">
        <v>5401073</v>
      </c>
      <c r="V86" s="16">
        <v>5402073</v>
      </c>
      <c r="W86" s="16">
        <v>7</v>
      </c>
      <c r="X86" s="16">
        <v>7</v>
      </c>
      <c r="Y86" s="16">
        <v>7</v>
      </c>
      <c r="Z86" s="16">
        <v>7</v>
      </c>
      <c r="AA86" s="16">
        <v>7</v>
      </c>
      <c r="AB86" s="16">
        <v>7</v>
      </c>
      <c r="AC86" s="16">
        <f t="shared" si="85"/>
        <v>477</v>
      </c>
      <c r="AD86" s="16">
        <f t="shared" si="119"/>
        <v>461</v>
      </c>
      <c r="AE86" s="16">
        <f t="shared" si="119"/>
        <v>461</v>
      </c>
      <c r="AF86" s="16">
        <f t="shared" si="119"/>
        <v>461</v>
      </c>
      <c r="AG86" s="16">
        <f t="shared" si="119"/>
        <v>461</v>
      </c>
      <c r="AH86" s="16">
        <f t="shared" si="119"/>
        <v>461</v>
      </c>
      <c r="AI86" s="28">
        <f t="shared" si="86"/>
        <v>215078.13800000001</v>
      </c>
      <c r="AJ86" s="28">
        <f t="shared" si="87"/>
        <v>172062.5104</v>
      </c>
      <c r="AK86" s="28">
        <f t="shared" si="87"/>
        <v>172062.5104</v>
      </c>
      <c r="AL86" s="28">
        <f t="shared" si="87"/>
        <v>172062.5104</v>
      </c>
      <c r="AM86" s="28">
        <f t="shared" si="87"/>
        <v>172062.5104</v>
      </c>
      <c r="AN86" s="28">
        <f t="shared" si="87"/>
        <v>172062.5104</v>
      </c>
      <c r="AO86" s="30"/>
      <c r="AP86" s="28"/>
      <c r="AQ86" s="16">
        <v>4</v>
      </c>
      <c r="AR86" s="16">
        <f t="shared" si="88"/>
        <v>687</v>
      </c>
      <c r="AS86" s="28">
        <f t="shared" si="89"/>
        <v>928</v>
      </c>
      <c r="AT86" s="28"/>
      <c r="AU86" s="30">
        <v>1075390.69</v>
      </c>
      <c r="AV86" s="28" t="str">
        <f t="shared" si="90"/>
        <v>小:0</v>
      </c>
      <c r="AW86" s="28"/>
      <c r="AX86" s="28"/>
      <c r="AZ86" s="28"/>
      <c r="BA86" s="16">
        <f t="shared" si="120"/>
        <v>20854.827142857146</v>
      </c>
      <c r="BC86" s="7">
        <f t="shared" si="91"/>
        <v>446</v>
      </c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9"/>
      <c r="BQ86" s="9"/>
      <c r="BR86" s="9">
        <v>4302053</v>
      </c>
      <c r="BS86" s="9">
        <f>[1]monsters!$N86</f>
        <v>225.28</v>
      </c>
      <c r="BT86" s="9">
        <f>[1]monsters!$O86</f>
        <v>22.53</v>
      </c>
      <c r="BU86" s="9">
        <f>[1]monsters!$P86</f>
        <v>1760</v>
      </c>
      <c r="BV86" s="9">
        <f>[1]monsters!$Q86</f>
        <v>176</v>
      </c>
      <c r="BW86" s="9">
        <f>[1]monsters!$R86</f>
        <v>32.18</v>
      </c>
      <c r="BX86" s="9">
        <f>[1]monsters!$S86</f>
        <v>3.22</v>
      </c>
      <c r="BY86" s="9">
        <f>[1]monsters!$K86</f>
        <v>1.6</v>
      </c>
      <c r="BZ86" s="7">
        <f>[1]monsters!$D86</f>
        <v>4</v>
      </c>
      <c r="CA86" s="7">
        <f t="shared" si="92"/>
        <v>0.1</v>
      </c>
      <c r="CB86" s="7">
        <f t="shared" si="93"/>
        <v>272.14885925925927</v>
      </c>
      <c r="CC86" s="7">
        <f t="shared" si="94"/>
        <v>27.214885925925927</v>
      </c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>
        <v>0</v>
      </c>
      <c r="CR86" s="25" t="b">
        <f t="shared" si="95"/>
        <v>1</v>
      </c>
      <c r="CS86" s="25" t="b">
        <f t="shared" si="96"/>
        <v>1</v>
      </c>
      <c r="CT86" s="25" t="b">
        <f t="shared" si="97"/>
        <v>1</v>
      </c>
      <c r="CU86" s="25" t="b">
        <f t="shared" si="98"/>
        <v>1</v>
      </c>
      <c r="CV86" s="25" t="b">
        <f t="shared" si="99"/>
        <v>1</v>
      </c>
      <c r="CW86" s="25" t="b">
        <f t="shared" si="100"/>
        <v>1</v>
      </c>
      <c r="CX86" s="16" t="str">
        <f t="shared" si="101"/>
        <v>5301072</v>
      </c>
      <c r="CY86" s="16" t="str">
        <f t="shared" si="102"/>
        <v>5202073</v>
      </c>
      <c r="CZ86" s="16" t="str">
        <f t="shared" si="103"/>
        <v>5202073</v>
      </c>
      <c r="DA86" s="16" t="str">
        <f t="shared" si="104"/>
        <v>5402073</v>
      </c>
      <c r="DB86" s="16" t="str">
        <f t="shared" si="105"/>
        <v>5401073</v>
      </c>
      <c r="DC86" s="16" t="str">
        <f t="shared" si="106"/>
        <v>5402073</v>
      </c>
      <c r="DD86" s="16">
        <v>7</v>
      </c>
      <c r="DE86" s="16">
        <v>7</v>
      </c>
      <c r="DF86" s="16">
        <v>7</v>
      </c>
      <c r="DG86" s="16">
        <v>7</v>
      </c>
      <c r="DH86" s="16">
        <v>7</v>
      </c>
      <c r="DI86" s="16">
        <v>7</v>
      </c>
      <c r="DJ86" s="16">
        <v>5</v>
      </c>
      <c r="DK86" s="16">
        <v>5</v>
      </c>
      <c r="DL86" s="16">
        <v>5</v>
      </c>
      <c r="DM86" s="16">
        <v>5</v>
      </c>
      <c r="DN86" s="16">
        <v>5</v>
      </c>
      <c r="DO86" s="16">
        <v>5</v>
      </c>
      <c r="DP86" s="51" t="s">
        <v>212</v>
      </c>
      <c r="DQ86" s="51" t="s">
        <v>220</v>
      </c>
      <c r="DR86" s="51" t="s">
        <v>220</v>
      </c>
      <c r="DS86" s="51" t="s">
        <v>124</v>
      </c>
      <c r="DT86" s="36" t="s">
        <v>223</v>
      </c>
      <c r="DU86" s="51" t="s">
        <v>124</v>
      </c>
      <c r="DV86" s="32">
        <f t="shared" si="69"/>
        <v>1</v>
      </c>
      <c r="DW86" s="32">
        <f t="shared" si="70"/>
        <v>1</v>
      </c>
      <c r="DX86" s="32">
        <f t="shared" si="71"/>
        <v>1</v>
      </c>
      <c r="DY86" s="32">
        <f t="shared" si="72"/>
        <v>2</v>
      </c>
      <c r="DZ86" s="32">
        <f t="shared" si="73"/>
        <v>2</v>
      </c>
      <c r="EA86" s="32">
        <f t="shared" si="74"/>
        <v>2</v>
      </c>
      <c r="EB86" s="39"/>
      <c r="EC86" s="7">
        <v>3401081</v>
      </c>
      <c r="ED86" s="35" t="s">
        <v>137</v>
      </c>
      <c r="EE86" s="16">
        <v>2</v>
      </c>
      <c r="FD86" s="16">
        <v>5301072</v>
      </c>
      <c r="FE86" s="16">
        <v>5202073</v>
      </c>
      <c r="FF86" s="16">
        <v>5202073</v>
      </c>
      <c r="FG86" s="16">
        <v>5402073</v>
      </c>
      <c r="FH86" s="16">
        <v>5401073</v>
      </c>
      <c r="FI86" s="16">
        <v>5402073</v>
      </c>
      <c r="FJ86" t="str">
        <f t="shared" si="107"/>
        <v>火剑士</v>
      </c>
      <c r="FK86" t="str">
        <f t="shared" si="108"/>
        <v>木维京</v>
      </c>
      <c r="FL86" t="str">
        <f t="shared" si="109"/>
        <v>木维京</v>
      </c>
      <c r="FM86" t="str">
        <f t="shared" si="110"/>
        <v>木女巫</v>
      </c>
      <c r="FN86" t="str">
        <f t="shared" si="111"/>
        <v>木魔法师</v>
      </c>
      <c r="FO86" t="str">
        <f t="shared" si="112"/>
        <v>木女巫</v>
      </c>
      <c r="FP86" t="str">
        <f t="shared" si="113"/>
        <v>7</v>
      </c>
      <c r="FQ86" t="str">
        <f t="shared" si="114"/>
        <v>7</v>
      </c>
      <c r="FR86" t="str">
        <f t="shared" si="115"/>
        <v>7</v>
      </c>
      <c r="FS86" t="str">
        <f t="shared" si="116"/>
        <v>7</v>
      </c>
      <c r="FT86" t="str">
        <f t="shared" si="117"/>
        <v>7</v>
      </c>
      <c r="FU86" t="str">
        <f t="shared" si="118"/>
        <v>7</v>
      </c>
      <c r="FV86" t="str">
        <f t="shared" si="75"/>
        <v>5</v>
      </c>
      <c r="FW86" t="str">
        <f t="shared" si="76"/>
        <v>5</v>
      </c>
      <c r="FX86" t="str">
        <f t="shared" si="77"/>
        <v>5</v>
      </c>
      <c r="FY86" t="str">
        <f t="shared" si="78"/>
        <v>5</v>
      </c>
      <c r="FZ86" t="str">
        <f t="shared" si="79"/>
        <v>5</v>
      </c>
      <c r="GA86" t="str">
        <f t="shared" si="80"/>
        <v>5</v>
      </c>
    </row>
    <row r="87" spans="1:183" ht="13.5" customHeight="1">
      <c r="A87" s="1">
        <v>904</v>
      </c>
      <c r="B87" s="6">
        <v>10062</v>
      </c>
      <c r="C87" s="23" t="str">
        <f t="shared" si="81"/>
        <v>5502072,5200073,5200073,5302074,5501074,5501074</v>
      </c>
      <c r="D87" s="1" t="str">
        <f t="shared" si="82"/>
        <v>7,7,7,7,7,7</v>
      </c>
      <c r="E87" s="53" t="str">
        <f t="shared" si="83"/>
        <v>480,464,464,464,464,464</v>
      </c>
      <c r="F87" s="1">
        <f t="shared" si="68"/>
        <v>1088184</v>
      </c>
      <c r="G87" s="23" t="s">
        <v>34</v>
      </c>
      <c r="H87" s="1" t="s">
        <v>28</v>
      </c>
      <c r="I87" s="1" t="s">
        <v>28</v>
      </c>
      <c r="J87" s="1" t="s">
        <v>28</v>
      </c>
      <c r="K87" s="2" t="s">
        <v>385</v>
      </c>
      <c r="L87" s="1">
        <v>3</v>
      </c>
      <c r="M87" s="1">
        <v>4</v>
      </c>
      <c r="O87" s="25">
        <f t="shared" si="84"/>
        <v>1088184</v>
      </c>
      <c r="P87" s="16">
        <v>1088183.58</v>
      </c>
      <c r="Q87" s="16">
        <v>5502072</v>
      </c>
      <c r="R87" s="16">
        <v>5200073</v>
      </c>
      <c r="S87" s="16">
        <v>5200073</v>
      </c>
      <c r="T87" s="16">
        <v>5302074</v>
      </c>
      <c r="U87" s="16">
        <v>5501074</v>
      </c>
      <c r="V87" s="16">
        <v>5501074</v>
      </c>
      <c r="W87" s="16">
        <v>7</v>
      </c>
      <c r="X87" s="16">
        <v>7</v>
      </c>
      <c r="Y87" s="16">
        <v>7</v>
      </c>
      <c r="Z87" s="16">
        <v>7</v>
      </c>
      <c r="AA87" s="16">
        <v>7</v>
      </c>
      <c r="AB87" s="16">
        <v>7</v>
      </c>
      <c r="AC87" s="16">
        <f t="shared" si="85"/>
        <v>480</v>
      </c>
      <c r="AD87" s="16">
        <f t="shared" si="119"/>
        <v>464</v>
      </c>
      <c r="AE87" s="16">
        <f t="shared" si="119"/>
        <v>464</v>
      </c>
      <c r="AF87" s="16">
        <f t="shared" si="119"/>
        <v>464</v>
      </c>
      <c r="AG87" s="16">
        <f t="shared" si="119"/>
        <v>464</v>
      </c>
      <c r="AH87" s="16">
        <f t="shared" si="119"/>
        <v>464</v>
      </c>
      <c r="AI87" s="28">
        <f t="shared" si="86"/>
        <v>217636.71600000001</v>
      </c>
      <c r="AJ87" s="28">
        <f t="shared" si="87"/>
        <v>174109.37280000001</v>
      </c>
      <c r="AK87" s="28">
        <f t="shared" si="87"/>
        <v>174109.37280000001</v>
      </c>
      <c r="AL87" s="28">
        <f t="shared" si="87"/>
        <v>174109.37280000001</v>
      </c>
      <c r="AM87" s="28">
        <f t="shared" si="87"/>
        <v>174109.37280000001</v>
      </c>
      <c r="AN87" s="28">
        <f t="shared" si="87"/>
        <v>174109.37280000001</v>
      </c>
      <c r="AO87" s="30"/>
      <c r="AP87" s="28"/>
      <c r="AQ87" s="16">
        <v>4</v>
      </c>
      <c r="AR87" s="16">
        <f t="shared" si="88"/>
        <v>691</v>
      </c>
      <c r="AS87" s="28">
        <f t="shared" si="89"/>
        <v>929</v>
      </c>
      <c r="AT87" s="28"/>
      <c r="AU87" s="30">
        <v>1088183.58</v>
      </c>
      <c r="AV87" s="28" t="str">
        <f t="shared" si="90"/>
        <v>小:0</v>
      </c>
      <c r="AW87" s="28"/>
      <c r="AX87" s="28"/>
      <c r="AZ87" s="28"/>
      <c r="BA87" s="16">
        <f t="shared" si="120"/>
        <v>20907.102857142861</v>
      </c>
      <c r="BC87" s="7">
        <f t="shared" si="91"/>
        <v>449</v>
      </c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9"/>
      <c r="BQ87" s="9"/>
      <c r="BR87" s="9">
        <v>4400053</v>
      </c>
      <c r="BS87" s="9">
        <f>[1]monsters!$N87</f>
        <v>211.2</v>
      </c>
      <c r="BT87" s="9">
        <f>[1]monsters!$O87</f>
        <v>21.12</v>
      </c>
      <c r="BU87" s="9">
        <f>[1]monsters!$P87</f>
        <v>1760</v>
      </c>
      <c r="BV87" s="9">
        <f>[1]monsters!$Q87</f>
        <v>176</v>
      </c>
      <c r="BW87" s="9">
        <f>[1]monsters!$R87</f>
        <v>30.17</v>
      </c>
      <c r="BX87" s="9">
        <f>[1]monsters!$S87</f>
        <v>3.02</v>
      </c>
      <c r="BY87" s="9">
        <f>[1]monsters!$K87</f>
        <v>1.5</v>
      </c>
      <c r="BZ87" s="7">
        <f>[1]monsters!$D87</f>
        <v>4</v>
      </c>
      <c r="CA87" s="7">
        <f t="shared" si="92"/>
        <v>0.1</v>
      </c>
      <c r="CB87" s="7">
        <f t="shared" si="93"/>
        <v>258.84325925925924</v>
      </c>
      <c r="CC87" s="7">
        <f t="shared" si="94"/>
        <v>25.884325925925925</v>
      </c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>
        <v>0</v>
      </c>
      <c r="CR87" s="25" t="b">
        <f t="shared" si="95"/>
        <v>1</v>
      </c>
      <c r="CS87" s="25" t="b">
        <f t="shared" si="96"/>
        <v>1</v>
      </c>
      <c r="CT87" s="25" t="b">
        <f t="shared" si="97"/>
        <v>1</v>
      </c>
      <c r="CU87" s="25" t="b">
        <f t="shared" si="98"/>
        <v>1</v>
      </c>
      <c r="CV87" s="25" t="b">
        <f t="shared" si="99"/>
        <v>1</v>
      </c>
      <c r="CW87" s="25" t="b">
        <f t="shared" si="100"/>
        <v>1</v>
      </c>
      <c r="CX87" s="16" t="str">
        <f t="shared" si="101"/>
        <v>5502072</v>
      </c>
      <c r="CY87" s="16" t="str">
        <f t="shared" si="102"/>
        <v>5200073</v>
      </c>
      <c r="CZ87" s="16" t="str">
        <f t="shared" si="103"/>
        <v>5200073</v>
      </c>
      <c r="DA87" s="16" t="str">
        <f t="shared" si="104"/>
        <v>5302074</v>
      </c>
      <c r="DB87" s="16" t="str">
        <f t="shared" si="105"/>
        <v>5501074</v>
      </c>
      <c r="DC87" s="16" t="str">
        <f t="shared" si="106"/>
        <v>5501074</v>
      </c>
      <c r="DD87" s="16">
        <v>7</v>
      </c>
      <c r="DE87" s="16">
        <v>7</v>
      </c>
      <c r="DF87" s="16">
        <v>7</v>
      </c>
      <c r="DG87" s="16">
        <v>7</v>
      </c>
      <c r="DH87" s="16">
        <v>7</v>
      </c>
      <c r="DI87" s="16">
        <v>7</v>
      </c>
      <c r="DJ87" s="16">
        <v>5</v>
      </c>
      <c r="DK87" s="16">
        <v>5</v>
      </c>
      <c r="DL87" s="16">
        <v>5</v>
      </c>
      <c r="DM87" s="16">
        <v>5</v>
      </c>
      <c r="DN87" s="16">
        <v>5</v>
      </c>
      <c r="DO87" s="16">
        <v>5</v>
      </c>
      <c r="DP87" s="51" t="s">
        <v>215</v>
      </c>
      <c r="DQ87" s="51" t="s">
        <v>119</v>
      </c>
      <c r="DR87" s="51" t="s">
        <v>119</v>
      </c>
      <c r="DS87" s="51" t="s">
        <v>237</v>
      </c>
      <c r="DT87" s="51" t="s">
        <v>226</v>
      </c>
      <c r="DU87" s="51" t="s">
        <v>226</v>
      </c>
      <c r="DV87" s="32">
        <f t="shared" si="69"/>
        <v>2</v>
      </c>
      <c r="DW87" s="32">
        <f t="shared" si="70"/>
        <v>1</v>
      </c>
      <c r="DX87" s="32">
        <f t="shared" si="71"/>
        <v>1</v>
      </c>
      <c r="DY87" s="32">
        <f t="shared" si="72"/>
        <v>1</v>
      </c>
      <c r="DZ87" s="32">
        <f t="shared" si="73"/>
        <v>2</v>
      </c>
      <c r="EA87" s="32">
        <f t="shared" si="74"/>
        <v>2</v>
      </c>
      <c r="EB87" s="39"/>
      <c r="EC87" s="7">
        <v>3402083</v>
      </c>
      <c r="ED87" s="35" t="s">
        <v>139</v>
      </c>
      <c r="EE87" s="16">
        <v>2</v>
      </c>
      <c r="FD87" s="16">
        <v>5502072</v>
      </c>
      <c r="FE87" s="16">
        <v>5200073</v>
      </c>
      <c r="FF87" s="16">
        <v>5200073</v>
      </c>
      <c r="FG87" s="16">
        <v>5302074</v>
      </c>
      <c r="FH87" s="16">
        <v>5501074</v>
      </c>
      <c r="FI87" s="16">
        <v>5501074</v>
      </c>
      <c r="FJ87" t="str">
        <f t="shared" si="107"/>
        <v>火火枪手</v>
      </c>
      <c r="FK87" t="str">
        <f t="shared" si="108"/>
        <v>木刀客</v>
      </c>
      <c r="FL87" t="str">
        <f t="shared" si="109"/>
        <v>木刀客</v>
      </c>
      <c r="FM87" t="str">
        <f t="shared" si="110"/>
        <v>光盗贼</v>
      </c>
      <c r="FN87" t="str">
        <f t="shared" si="111"/>
        <v>光猎人</v>
      </c>
      <c r="FO87" t="str">
        <f t="shared" si="112"/>
        <v>光猎人</v>
      </c>
      <c r="FP87" t="str">
        <f t="shared" si="113"/>
        <v>7</v>
      </c>
      <c r="FQ87" t="str">
        <f t="shared" si="114"/>
        <v>7</v>
      </c>
      <c r="FR87" t="str">
        <f t="shared" si="115"/>
        <v>7</v>
      </c>
      <c r="FS87" t="str">
        <f t="shared" si="116"/>
        <v>7</v>
      </c>
      <c r="FT87" t="str">
        <f t="shared" si="117"/>
        <v>7</v>
      </c>
      <c r="FU87" t="str">
        <f t="shared" si="118"/>
        <v>7</v>
      </c>
      <c r="FV87" t="str">
        <f t="shared" si="75"/>
        <v>5</v>
      </c>
      <c r="FW87" t="str">
        <f t="shared" si="76"/>
        <v>5</v>
      </c>
      <c r="FX87" t="str">
        <f t="shared" si="77"/>
        <v>5</v>
      </c>
      <c r="FY87" t="str">
        <f t="shared" si="78"/>
        <v>5</v>
      </c>
      <c r="FZ87" t="str">
        <f t="shared" si="79"/>
        <v>5</v>
      </c>
      <c r="GA87" t="str">
        <f t="shared" si="80"/>
        <v>5</v>
      </c>
    </row>
    <row r="88" spans="1:183" ht="13.5" customHeight="1">
      <c r="A88" s="1">
        <v>905</v>
      </c>
      <c r="B88" s="6">
        <v>10062</v>
      </c>
      <c r="C88" s="23" t="str">
        <f t="shared" si="81"/>
        <v>5200072,5200072,5200072,5502072,5502072,5502072</v>
      </c>
      <c r="D88" s="1" t="str">
        <f t="shared" si="82"/>
        <v>7,7,7,7,7,7</v>
      </c>
      <c r="E88" s="53" t="str">
        <f t="shared" si="83"/>
        <v>484,467,467,467,467,467</v>
      </c>
      <c r="F88" s="1">
        <f t="shared" si="68"/>
        <v>1102889</v>
      </c>
      <c r="G88" s="23" t="s">
        <v>34</v>
      </c>
      <c r="H88" s="1" t="s">
        <v>28</v>
      </c>
      <c r="I88" s="1" t="s">
        <v>28</v>
      </c>
      <c r="J88" s="1" t="s">
        <v>28</v>
      </c>
      <c r="K88" s="2" t="s">
        <v>386</v>
      </c>
      <c r="L88" s="1">
        <v>1</v>
      </c>
      <c r="M88" s="1">
        <v>3</v>
      </c>
      <c r="O88" s="25">
        <f t="shared" si="84"/>
        <v>1102889</v>
      </c>
      <c r="P88" s="16">
        <v>1102888.82</v>
      </c>
      <c r="Q88" s="16">
        <v>5200072</v>
      </c>
      <c r="R88" s="16">
        <v>5200072</v>
      </c>
      <c r="S88" s="16">
        <v>5200072</v>
      </c>
      <c r="T88" s="16">
        <v>5502072</v>
      </c>
      <c r="U88" s="16">
        <v>5502072</v>
      </c>
      <c r="V88" s="16">
        <v>5502072</v>
      </c>
      <c r="W88" s="16">
        <v>7</v>
      </c>
      <c r="X88" s="16">
        <v>7</v>
      </c>
      <c r="Y88" s="16">
        <v>7</v>
      </c>
      <c r="Z88" s="16">
        <v>7</v>
      </c>
      <c r="AA88" s="16">
        <v>7</v>
      </c>
      <c r="AB88" s="16">
        <v>7</v>
      </c>
      <c r="AC88" s="16">
        <f t="shared" si="85"/>
        <v>484</v>
      </c>
      <c r="AD88" s="16">
        <f t="shared" si="119"/>
        <v>467</v>
      </c>
      <c r="AE88" s="16">
        <f t="shared" si="119"/>
        <v>467</v>
      </c>
      <c r="AF88" s="16">
        <f t="shared" si="119"/>
        <v>467</v>
      </c>
      <c r="AG88" s="16">
        <f t="shared" si="119"/>
        <v>467</v>
      </c>
      <c r="AH88" s="16">
        <f t="shared" si="119"/>
        <v>467</v>
      </c>
      <c r="AI88" s="28">
        <f t="shared" si="86"/>
        <v>220577.76400000002</v>
      </c>
      <c r="AJ88" s="28">
        <f t="shared" si="87"/>
        <v>176462.21120000002</v>
      </c>
      <c r="AK88" s="28">
        <f t="shared" si="87"/>
        <v>176462.21120000002</v>
      </c>
      <c r="AL88" s="28">
        <f t="shared" si="87"/>
        <v>176462.21120000002</v>
      </c>
      <c r="AM88" s="28">
        <f t="shared" si="87"/>
        <v>176462.21120000002</v>
      </c>
      <c r="AN88" s="28">
        <f t="shared" si="87"/>
        <v>176462.21120000002</v>
      </c>
      <c r="AO88" s="30"/>
      <c r="AP88" s="28"/>
      <c r="AQ88" s="16">
        <v>4</v>
      </c>
      <c r="AR88" s="16">
        <f t="shared" si="88"/>
        <v>695</v>
      </c>
      <c r="AS88" s="28">
        <f t="shared" si="89"/>
        <v>930</v>
      </c>
      <c r="AT88" s="28"/>
      <c r="AU88" s="30">
        <v>1102888.82</v>
      </c>
      <c r="AV88" s="28" t="str">
        <f t="shared" si="90"/>
        <v>小:0</v>
      </c>
      <c r="AW88" s="28"/>
      <c r="AX88" s="28"/>
      <c r="AZ88" s="28"/>
      <c r="BA88" s="16">
        <f t="shared" si="120"/>
        <v>20959.378571428577</v>
      </c>
      <c r="BC88" s="7">
        <f t="shared" si="91"/>
        <v>452</v>
      </c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9"/>
      <c r="BQ88" s="9"/>
      <c r="BR88" s="9">
        <v>4501053</v>
      </c>
      <c r="BS88" s="9">
        <f>[1]monsters!$N88</f>
        <v>262.83</v>
      </c>
      <c r="BT88" s="9">
        <f>[1]monsters!$O88</f>
        <v>26.28</v>
      </c>
      <c r="BU88" s="9">
        <f>[1]monsters!$P88</f>
        <v>1508.57</v>
      </c>
      <c r="BV88" s="9">
        <f>[1]monsters!$Q88</f>
        <v>150.86000000000001</v>
      </c>
      <c r="BW88" s="9">
        <f>[1]monsters!$R88</f>
        <v>32.85</v>
      </c>
      <c r="BX88" s="9">
        <f>[1]monsters!$S88</f>
        <v>3.29</v>
      </c>
      <c r="BY88" s="9">
        <f>[1]monsters!$K88</f>
        <v>1.6</v>
      </c>
      <c r="BZ88" s="7">
        <f>[1]monsters!$D88</f>
        <v>5</v>
      </c>
      <c r="CA88" s="7">
        <f t="shared" si="92"/>
        <v>0.1</v>
      </c>
      <c r="CB88" s="7">
        <f t="shared" si="93"/>
        <v>299.16795269360267</v>
      </c>
      <c r="CC88" s="7">
        <f t="shared" si="94"/>
        <v>29.916795269360268</v>
      </c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>
        <v>1</v>
      </c>
      <c r="CR88" s="25" t="b">
        <f t="shared" si="95"/>
        <v>1</v>
      </c>
      <c r="CS88" s="25" t="b">
        <f t="shared" si="96"/>
        <v>1</v>
      </c>
      <c r="CT88" s="25" t="b">
        <f t="shared" si="97"/>
        <v>1</v>
      </c>
      <c r="CU88" s="25" t="b">
        <f t="shared" si="98"/>
        <v>1</v>
      </c>
      <c r="CV88" s="25" t="b">
        <f t="shared" si="99"/>
        <v>1</v>
      </c>
      <c r="CW88" s="25" t="b">
        <f t="shared" si="100"/>
        <v>1</v>
      </c>
      <c r="CX88" s="16" t="str">
        <f t="shared" si="101"/>
        <v>5200072</v>
      </c>
      <c r="CY88" s="16" t="str">
        <f t="shared" si="102"/>
        <v>5200072</v>
      </c>
      <c r="CZ88" s="16" t="str">
        <f t="shared" si="103"/>
        <v>5200072</v>
      </c>
      <c r="DA88" s="16" t="str">
        <f t="shared" si="104"/>
        <v>5502072</v>
      </c>
      <c r="DB88" s="16" t="str">
        <f t="shared" si="105"/>
        <v>5502072</v>
      </c>
      <c r="DC88" s="16" t="str">
        <f t="shared" si="106"/>
        <v>5502072</v>
      </c>
      <c r="DD88" s="16">
        <v>7</v>
      </c>
      <c r="DE88" s="16">
        <v>7</v>
      </c>
      <c r="DF88" s="16">
        <v>7</v>
      </c>
      <c r="DG88" s="16">
        <v>7</v>
      </c>
      <c r="DH88" s="16">
        <v>7</v>
      </c>
      <c r="DI88" s="16">
        <v>7</v>
      </c>
      <c r="DJ88" s="16">
        <v>5</v>
      </c>
      <c r="DK88" s="16">
        <v>5</v>
      </c>
      <c r="DL88" s="16">
        <v>5</v>
      </c>
      <c r="DM88" s="16">
        <v>5</v>
      </c>
      <c r="DN88" s="16">
        <v>5</v>
      </c>
      <c r="DO88" s="16">
        <v>5</v>
      </c>
      <c r="DP88" s="51" t="s">
        <v>210</v>
      </c>
      <c r="DQ88" s="51" t="s">
        <v>210</v>
      </c>
      <c r="DR88" s="51" t="s">
        <v>210</v>
      </c>
      <c r="DS88" s="51" t="s">
        <v>215</v>
      </c>
      <c r="DT88" s="51" t="s">
        <v>215</v>
      </c>
      <c r="DU88" s="51" t="s">
        <v>215</v>
      </c>
      <c r="DV88" s="32">
        <f t="shared" si="69"/>
        <v>1</v>
      </c>
      <c r="DW88" s="32">
        <f t="shared" si="70"/>
        <v>1</v>
      </c>
      <c r="DX88" s="32">
        <f t="shared" si="71"/>
        <v>1</v>
      </c>
      <c r="DY88" s="32">
        <f t="shared" si="72"/>
        <v>2</v>
      </c>
      <c r="DZ88" s="32">
        <f t="shared" si="73"/>
        <v>2</v>
      </c>
      <c r="EA88" s="32">
        <f t="shared" si="74"/>
        <v>2</v>
      </c>
      <c r="EB88" s="39"/>
      <c r="EC88" s="7">
        <v>3501083</v>
      </c>
      <c r="ED88" s="35" t="s">
        <v>141</v>
      </c>
      <c r="EE88" s="16">
        <v>2</v>
      </c>
      <c r="FD88" s="16">
        <v>5200072</v>
      </c>
      <c r="FE88" s="16">
        <v>5200072</v>
      </c>
      <c r="FF88" s="16">
        <v>5200072</v>
      </c>
      <c r="FG88" s="16">
        <v>5502072</v>
      </c>
      <c r="FH88" s="16">
        <v>5502072</v>
      </c>
      <c r="FI88" s="16">
        <v>5502072</v>
      </c>
      <c r="FJ88" t="str">
        <f t="shared" si="107"/>
        <v>火刀客</v>
      </c>
      <c r="FK88" t="str">
        <f t="shared" si="108"/>
        <v>火刀客</v>
      </c>
      <c r="FL88" t="str">
        <f t="shared" si="109"/>
        <v>火刀客</v>
      </c>
      <c r="FM88" t="str">
        <f t="shared" si="110"/>
        <v>火火枪手</v>
      </c>
      <c r="FN88" t="str">
        <f t="shared" si="111"/>
        <v>火火枪手</v>
      </c>
      <c r="FO88" t="str">
        <f t="shared" si="112"/>
        <v>火火枪手</v>
      </c>
      <c r="FP88" t="str">
        <f t="shared" si="113"/>
        <v>7</v>
      </c>
      <c r="FQ88" t="str">
        <f t="shared" si="114"/>
        <v>7</v>
      </c>
      <c r="FR88" t="str">
        <f t="shared" si="115"/>
        <v>7</v>
      </c>
      <c r="FS88" t="str">
        <f t="shared" si="116"/>
        <v>7</v>
      </c>
      <c r="FT88" t="str">
        <f t="shared" si="117"/>
        <v>7</v>
      </c>
      <c r="FU88" t="str">
        <f t="shared" si="118"/>
        <v>7</v>
      </c>
      <c r="FV88" t="str">
        <f t="shared" si="75"/>
        <v>5</v>
      </c>
      <c r="FW88" t="str">
        <f t="shared" si="76"/>
        <v>5</v>
      </c>
      <c r="FX88" t="str">
        <f t="shared" si="77"/>
        <v>5</v>
      </c>
      <c r="FY88" t="str">
        <f t="shared" si="78"/>
        <v>5</v>
      </c>
      <c r="FZ88" t="str">
        <f t="shared" si="79"/>
        <v>5</v>
      </c>
      <c r="GA88" t="str">
        <f t="shared" si="80"/>
        <v>5</v>
      </c>
    </row>
    <row r="89" spans="1:183" ht="13.5" customHeight="1">
      <c r="A89" s="1">
        <v>906</v>
      </c>
      <c r="B89" s="6">
        <v>10062</v>
      </c>
      <c r="C89" s="23" t="str">
        <f t="shared" si="81"/>
        <v>5201072,5201073,5201073,5501074,5602074,5501074</v>
      </c>
      <c r="D89" s="1" t="str">
        <f t="shared" si="82"/>
        <v>7,7,7,7,7,7</v>
      </c>
      <c r="E89" s="53" t="str">
        <f t="shared" si="83"/>
        <v>487,470,470,470,470,470</v>
      </c>
      <c r="F89" s="1">
        <f t="shared" si="68"/>
        <v>1115847</v>
      </c>
      <c r="G89" s="23" t="s">
        <v>34</v>
      </c>
      <c r="H89" s="1" t="s">
        <v>28</v>
      </c>
      <c r="I89" s="1" t="s">
        <v>28</v>
      </c>
      <c r="J89" s="1" t="s">
        <v>28</v>
      </c>
      <c r="K89" s="2" t="s">
        <v>387</v>
      </c>
      <c r="L89" s="1">
        <v>2</v>
      </c>
      <c r="M89" s="1">
        <v>3</v>
      </c>
      <c r="O89" s="25">
        <f t="shared" si="84"/>
        <v>1115847</v>
      </c>
      <c r="P89" s="16">
        <v>1115846.82</v>
      </c>
      <c r="Q89" s="16">
        <v>5201072</v>
      </c>
      <c r="R89" s="16">
        <v>5201073</v>
      </c>
      <c r="S89" s="16">
        <v>5201073</v>
      </c>
      <c r="T89" s="16">
        <v>5501074</v>
      </c>
      <c r="U89" s="16">
        <v>5602074</v>
      </c>
      <c r="V89" s="16">
        <v>5501074</v>
      </c>
      <c r="W89" s="16">
        <v>7</v>
      </c>
      <c r="X89" s="16">
        <v>7</v>
      </c>
      <c r="Y89" s="16">
        <v>7</v>
      </c>
      <c r="Z89" s="16">
        <v>7</v>
      </c>
      <c r="AA89" s="16">
        <v>7</v>
      </c>
      <c r="AB89" s="16">
        <v>7</v>
      </c>
      <c r="AC89" s="16">
        <f t="shared" si="85"/>
        <v>487</v>
      </c>
      <c r="AD89" s="16">
        <f t="shared" si="119"/>
        <v>470</v>
      </c>
      <c r="AE89" s="16">
        <f t="shared" si="119"/>
        <v>470</v>
      </c>
      <c r="AF89" s="16">
        <f t="shared" si="119"/>
        <v>470</v>
      </c>
      <c r="AG89" s="16">
        <f t="shared" si="119"/>
        <v>470</v>
      </c>
      <c r="AH89" s="16">
        <f t="shared" si="119"/>
        <v>470</v>
      </c>
      <c r="AI89" s="28">
        <f t="shared" si="86"/>
        <v>223169.36400000003</v>
      </c>
      <c r="AJ89" s="28">
        <f t="shared" si="87"/>
        <v>178535.49120000002</v>
      </c>
      <c r="AK89" s="28">
        <f t="shared" si="87"/>
        <v>178535.49120000002</v>
      </c>
      <c r="AL89" s="28">
        <f t="shared" si="87"/>
        <v>178535.49120000002</v>
      </c>
      <c r="AM89" s="28">
        <f t="shared" si="87"/>
        <v>178535.49120000002</v>
      </c>
      <c r="AN89" s="28">
        <f t="shared" si="87"/>
        <v>178535.49120000002</v>
      </c>
      <c r="AO89" s="30"/>
      <c r="AP89" s="28"/>
      <c r="AQ89" s="16">
        <v>4</v>
      </c>
      <c r="AR89" s="16">
        <f t="shared" si="88"/>
        <v>700</v>
      </c>
      <c r="AS89" s="28">
        <f t="shared" si="89"/>
        <v>931</v>
      </c>
      <c r="AT89" s="28"/>
      <c r="AU89" s="30">
        <v>1115846.82</v>
      </c>
      <c r="AV89" s="28" t="str">
        <f t="shared" si="90"/>
        <v>小:0</v>
      </c>
      <c r="AW89" s="28"/>
      <c r="AX89" s="28"/>
      <c r="AZ89" s="28"/>
      <c r="BA89" s="16">
        <f t="shared" si="120"/>
        <v>21011.654285714292</v>
      </c>
      <c r="BC89" s="7">
        <f t="shared" si="91"/>
        <v>454</v>
      </c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9"/>
      <c r="BQ89" s="9"/>
      <c r="BR89" s="9">
        <v>4600053</v>
      </c>
      <c r="BS89" s="9">
        <f>[1]monsters!$N89</f>
        <v>254.61</v>
      </c>
      <c r="BT89" s="9">
        <f>[1]monsters!$O89</f>
        <v>25.46</v>
      </c>
      <c r="BU89" s="9">
        <f>[1]monsters!$P89</f>
        <v>1362.58</v>
      </c>
      <c r="BV89" s="9">
        <f>[1]monsters!$Q89</f>
        <v>136.26</v>
      </c>
      <c r="BW89" s="9">
        <f>[1]monsters!$R89</f>
        <v>25.46</v>
      </c>
      <c r="BX89" s="9">
        <f>[1]monsters!$S89</f>
        <v>2.5499999999999998</v>
      </c>
      <c r="BY89" s="9">
        <f>[1]monsters!$K89</f>
        <v>1.4000000000000001</v>
      </c>
      <c r="BZ89" s="7">
        <f>[1]monsters!$D89</f>
        <v>6</v>
      </c>
      <c r="CA89" s="7">
        <f t="shared" si="92"/>
        <v>0.1</v>
      </c>
      <c r="CB89" s="7">
        <f t="shared" si="93"/>
        <v>286.48456447811452</v>
      </c>
      <c r="CC89" s="7">
        <f t="shared" si="94"/>
        <v>28.648456447811455</v>
      </c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>
        <v>0</v>
      </c>
      <c r="CR89" s="25" t="b">
        <f t="shared" si="95"/>
        <v>1</v>
      </c>
      <c r="CS89" s="25" t="b">
        <f t="shared" si="96"/>
        <v>1</v>
      </c>
      <c r="CT89" s="25" t="b">
        <f t="shared" si="97"/>
        <v>1</v>
      </c>
      <c r="CU89" s="25" t="b">
        <f t="shared" si="98"/>
        <v>1</v>
      </c>
      <c r="CV89" s="25" t="b">
        <f t="shared" si="99"/>
        <v>1</v>
      </c>
      <c r="CW89" s="25" t="b">
        <f t="shared" si="100"/>
        <v>1</v>
      </c>
      <c r="CX89" s="16" t="str">
        <f t="shared" si="101"/>
        <v>5201072</v>
      </c>
      <c r="CY89" s="16" t="str">
        <f t="shared" si="102"/>
        <v>5201073</v>
      </c>
      <c r="CZ89" s="16" t="str">
        <f t="shared" si="103"/>
        <v>5201073</v>
      </c>
      <c r="DA89" s="16" t="str">
        <f t="shared" si="104"/>
        <v>5501074</v>
      </c>
      <c r="DB89" s="16" t="str">
        <f t="shared" si="105"/>
        <v>5602074</v>
      </c>
      <c r="DC89" s="16" t="str">
        <f t="shared" si="106"/>
        <v>5501074</v>
      </c>
      <c r="DD89" s="16">
        <v>7</v>
      </c>
      <c r="DE89" s="16">
        <v>7</v>
      </c>
      <c r="DF89" s="16">
        <v>7</v>
      </c>
      <c r="DG89" s="16">
        <v>7</v>
      </c>
      <c r="DH89" s="16">
        <v>7</v>
      </c>
      <c r="DI89" s="16">
        <v>7</v>
      </c>
      <c r="DJ89" s="16">
        <v>5</v>
      </c>
      <c r="DK89" s="16">
        <v>5</v>
      </c>
      <c r="DL89" s="16">
        <v>5</v>
      </c>
      <c r="DM89" s="16">
        <v>5</v>
      </c>
      <c r="DN89" s="16">
        <v>5</v>
      </c>
      <c r="DO89" s="16">
        <v>5</v>
      </c>
      <c r="DP89" s="51" t="s">
        <v>120</v>
      </c>
      <c r="DQ89" s="51" t="s">
        <v>217</v>
      </c>
      <c r="DR89" s="51" t="s">
        <v>217</v>
      </c>
      <c r="DS89" s="51" t="s">
        <v>226</v>
      </c>
      <c r="DT89" s="51" t="s">
        <v>232</v>
      </c>
      <c r="DU89" s="51" t="s">
        <v>226</v>
      </c>
      <c r="DV89" s="32">
        <f t="shared" si="69"/>
        <v>1</v>
      </c>
      <c r="DW89" s="32">
        <f t="shared" si="70"/>
        <v>1</v>
      </c>
      <c r="DX89" s="32">
        <f t="shared" si="71"/>
        <v>1</v>
      </c>
      <c r="DY89" s="32">
        <f t="shared" si="72"/>
        <v>2</v>
      </c>
      <c r="DZ89" s="32">
        <f t="shared" si="73"/>
        <v>2</v>
      </c>
      <c r="EA89" s="32">
        <f t="shared" si="74"/>
        <v>2</v>
      </c>
      <c r="EB89" s="39"/>
      <c r="EC89" s="16">
        <v>3600083</v>
      </c>
      <c r="ED89" s="35" t="s">
        <v>143</v>
      </c>
      <c r="EE89" s="16">
        <v>1</v>
      </c>
      <c r="FD89" s="16">
        <v>5201072</v>
      </c>
      <c r="FE89" s="16">
        <v>5201073</v>
      </c>
      <c r="FF89" s="16">
        <v>5201073</v>
      </c>
      <c r="FG89" s="16">
        <v>5501074</v>
      </c>
      <c r="FH89" s="16">
        <v>5602074</v>
      </c>
      <c r="FI89" s="16">
        <v>5501074</v>
      </c>
      <c r="FJ89" t="str">
        <f t="shared" si="107"/>
        <v>火骑兵</v>
      </c>
      <c r="FK89" t="str">
        <f t="shared" si="108"/>
        <v>木骑兵</v>
      </c>
      <c r="FL89" t="str">
        <f t="shared" si="109"/>
        <v>木骑兵</v>
      </c>
      <c r="FM89" t="str">
        <f t="shared" si="110"/>
        <v>光猎人</v>
      </c>
      <c r="FN89" t="str">
        <f t="shared" si="111"/>
        <v>光学者</v>
      </c>
      <c r="FO89" t="str">
        <f t="shared" si="112"/>
        <v>光猎人</v>
      </c>
      <c r="FP89" t="str">
        <f t="shared" si="113"/>
        <v>7</v>
      </c>
      <c r="FQ89" t="str">
        <f t="shared" si="114"/>
        <v>7</v>
      </c>
      <c r="FR89" t="str">
        <f t="shared" si="115"/>
        <v>7</v>
      </c>
      <c r="FS89" t="str">
        <f t="shared" si="116"/>
        <v>7</v>
      </c>
      <c r="FT89" t="str">
        <f t="shared" si="117"/>
        <v>7</v>
      </c>
      <c r="FU89" t="str">
        <f t="shared" si="118"/>
        <v>7</v>
      </c>
      <c r="FV89" t="str">
        <f t="shared" si="75"/>
        <v>5</v>
      </c>
      <c r="FW89" t="str">
        <f t="shared" si="76"/>
        <v>5</v>
      </c>
      <c r="FX89" t="str">
        <f t="shared" si="77"/>
        <v>5</v>
      </c>
      <c r="FY89" t="str">
        <f t="shared" si="78"/>
        <v>5</v>
      </c>
      <c r="FZ89" t="str">
        <f t="shared" si="79"/>
        <v>5</v>
      </c>
      <c r="GA89" t="str">
        <f t="shared" si="80"/>
        <v>5</v>
      </c>
    </row>
    <row r="90" spans="1:183" ht="13.5" customHeight="1">
      <c r="A90" s="1">
        <v>907</v>
      </c>
      <c r="B90" s="6">
        <v>10062</v>
      </c>
      <c r="C90" s="23" t="str">
        <f t="shared" si="81"/>
        <v>5601072,5200073,5200073,5200073,5401072,5401072</v>
      </c>
      <c r="D90" s="1" t="str">
        <f t="shared" si="82"/>
        <v>7,7,7,7,7,7</v>
      </c>
      <c r="E90" s="53" t="str">
        <f t="shared" si="83"/>
        <v>490,473,473,473,473,473</v>
      </c>
      <c r="F90" s="1">
        <f t="shared" si="68"/>
        <v>1130736</v>
      </c>
      <c r="G90" s="23" t="s">
        <v>34</v>
      </c>
      <c r="H90" s="1" t="s">
        <v>28</v>
      </c>
      <c r="I90" s="1" t="s">
        <v>28</v>
      </c>
      <c r="J90" s="1" t="s">
        <v>28</v>
      </c>
      <c r="K90" s="2" t="s">
        <v>388</v>
      </c>
      <c r="L90" s="1">
        <v>3</v>
      </c>
      <c r="M90" s="1">
        <v>6</v>
      </c>
      <c r="O90" s="25">
        <f t="shared" si="84"/>
        <v>1130736</v>
      </c>
      <c r="P90" s="16">
        <v>1130735.98</v>
      </c>
      <c r="Q90" s="16">
        <v>5601072</v>
      </c>
      <c r="R90" s="16">
        <v>5200073</v>
      </c>
      <c r="S90" s="16">
        <v>5200073</v>
      </c>
      <c r="T90" s="16">
        <v>5200073</v>
      </c>
      <c r="U90" s="16">
        <v>5401072</v>
      </c>
      <c r="V90" s="16">
        <v>5401072</v>
      </c>
      <c r="W90" s="16">
        <v>7</v>
      </c>
      <c r="X90" s="16">
        <v>7</v>
      </c>
      <c r="Y90" s="16">
        <v>7</v>
      </c>
      <c r="Z90" s="16">
        <v>7</v>
      </c>
      <c r="AA90" s="16">
        <v>7</v>
      </c>
      <c r="AB90" s="16">
        <v>7</v>
      </c>
      <c r="AC90" s="16">
        <f t="shared" si="85"/>
        <v>490</v>
      </c>
      <c r="AD90" s="16">
        <f t="shared" si="119"/>
        <v>473</v>
      </c>
      <c r="AE90" s="16">
        <f t="shared" si="119"/>
        <v>473</v>
      </c>
      <c r="AF90" s="16">
        <f t="shared" si="119"/>
        <v>473</v>
      </c>
      <c r="AG90" s="16">
        <f t="shared" si="119"/>
        <v>473</v>
      </c>
      <c r="AH90" s="16">
        <f t="shared" si="119"/>
        <v>473</v>
      </c>
      <c r="AI90" s="28">
        <f t="shared" si="86"/>
        <v>226147.196</v>
      </c>
      <c r="AJ90" s="28">
        <f t="shared" si="87"/>
        <v>180917.7568</v>
      </c>
      <c r="AK90" s="28">
        <f t="shared" si="87"/>
        <v>180917.7568</v>
      </c>
      <c r="AL90" s="28">
        <f t="shared" si="87"/>
        <v>180917.7568</v>
      </c>
      <c r="AM90" s="28">
        <f t="shared" si="87"/>
        <v>180917.7568</v>
      </c>
      <c r="AN90" s="28">
        <f t="shared" si="87"/>
        <v>180917.7568</v>
      </c>
      <c r="AO90" s="30"/>
      <c r="AP90" s="28"/>
      <c r="AQ90" s="16">
        <v>4</v>
      </c>
      <c r="AR90" s="16">
        <f t="shared" si="88"/>
        <v>704</v>
      </c>
      <c r="AS90" s="28">
        <f t="shared" si="89"/>
        <v>932</v>
      </c>
      <c r="AT90" s="28"/>
      <c r="AU90" s="30">
        <v>1130735.98</v>
      </c>
      <c r="AV90" s="28" t="str">
        <f t="shared" si="90"/>
        <v>小:0</v>
      </c>
      <c r="AW90" s="28"/>
      <c r="AX90" s="28"/>
      <c r="AZ90" s="28"/>
      <c r="BA90" s="16">
        <f t="shared" si="120"/>
        <v>21063.930000000008</v>
      </c>
      <c r="BC90" s="7">
        <f t="shared" si="91"/>
        <v>458</v>
      </c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9"/>
      <c r="BQ90" s="9"/>
      <c r="BR90" s="9">
        <v>4201053</v>
      </c>
      <c r="BS90" s="9">
        <f>[1]monsters!$N90</f>
        <v>327.36</v>
      </c>
      <c r="BT90" s="9">
        <f>[1]monsters!$O90</f>
        <v>32.74</v>
      </c>
      <c r="BU90" s="9">
        <f>[1]monsters!$P90</f>
        <v>1362.58</v>
      </c>
      <c r="BV90" s="9">
        <f>[1]monsters!$Q90</f>
        <v>136.26</v>
      </c>
      <c r="BW90" s="9">
        <f>[1]monsters!$R90</f>
        <v>32.74</v>
      </c>
      <c r="BX90" s="9">
        <f>[1]monsters!$S90</f>
        <v>3.27</v>
      </c>
      <c r="BY90" s="9">
        <f>[1]monsters!$K90</f>
        <v>1.8</v>
      </c>
      <c r="BZ90" s="7">
        <f>[1]monsters!$D90</f>
        <v>6</v>
      </c>
      <c r="CA90" s="7">
        <f t="shared" si="92"/>
        <v>0.1</v>
      </c>
      <c r="CB90" s="7">
        <f t="shared" si="93"/>
        <v>355.23331447811449</v>
      </c>
      <c r="CC90" s="7">
        <f t="shared" si="94"/>
        <v>35.523331447811451</v>
      </c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>
        <v>0</v>
      </c>
      <c r="CR90" s="25" t="b">
        <f t="shared" si="95"/>
        <v>1</v>
      </c>
      <c r="CS90" s="25" t="b">
        <f t="shared" si="96"/>
        <v>1</v>
      </c>
      <c r="CT90" s="25" t="b">
        <f t="shared" si="97"/>
        <v>1</v>
      </c>
      <c r="CU90" s="25" t="b">
        <f t="shared" si="98"/>
        <v>1</v>
      </c>
      <c r="CV90" s="25" t="b">
        <f t="shared" si="99"/>
        <v>1</v>
      </c>
      <c r="CW90" s="25" t="b">
        <f t="shared" si="100"/>
        <v>1</v>
      </c>
      <c r="CX90" s="16" t="str">
        <f t="shared" si="101"/>
        <v>5601072</v>
      </c>
      <c r="CY90" s="16" t="str">
        <f t="shared" si="102"/>
        <v>5200073</v>
      </c>
      <c r="CZ90" s="16" t="str">
        <f t="shared" si="103"/>
        <v>5200073</v>
      </c>
      <c r="DA90" s="16" t="str">
        <f t="shared" si="104"/>
        <v>5200073</v>
      </c>
      <c r="DB90" s="16" t="str">
        <f t="shared" si="105"/>
        <v>5401072</v>
      </c>
      <c r="DC90" s="16" t="str">
        <f t="shared" si="106"/>
        <v>5401072</v>
      </c>
      <c r="DD90" s="16">
        <v>7</v>
      </c>
      <c r="DE90" s="16">
        <v>7</v>
      </c>
      <c r="DF90" s="16">
        <v>7</v>
      </c>
      <c r="DG90" s="16">
        <v>7</v>
      </c>
      <c r="DH90" s="16">
        <v>7</v>
      </c>
      <c r="DI90" s="16">
        <v>7</v>
      </c>
      <c r="DJ90" s="16">
        <v>5</v>
      </c>
      <c r="DK90" s="16">
        <v>5</v>
      </c>
      <c r="DL90" s="16">
        <v>5</v>
      </c>
      <c r="DM90" s="16">
        <v>5</v>
      </c>
      <c r="DN90" s="16">
        <v>5</v>
      </c>
      <c r="DO90" s="16">
        <v>5</v>
      </c>
      <c r="DP90" s="51" t="s">
        <v>216</v>
      </c>
      <c r="DQ90" s="51" t="s">
        <v>119</v>
      </c>
      <c r="DR90" s="51" t="s">
        <v>119</v>
      </c>
      <c r="DS90" s="51" t="s">
        <v>119</v>
      </c>
      <c r="DT90" s="51" t="s">
        <v>213</v>
      </c>
      <c r="DU90" s="51" t="s">
        <v>213</v>
      </c>
      <c r="DV90" s="32">
        <f t="shared" si="69"/>
        <v>2</v>
      </c>
      <c r="DW90" s="32">
        <f t="shared" si="70"/>
        <v>1</v>
      </c>
      <c r="DX90" s="32">
        <f t="shared" si="71"/>
        <v>1</v>
      </c>
      <c r="DY90" s="32">
        <f t="shared" si="72"/>
        <v>1</v>
      </c>
      <c r="DZ90" s="32">
        <f t="shared" si="73"/>
        <v>2</v>
      </c>
      <c r="EA90" s="32">
        <f t="shared" si="74"/>
        <v>2</v>
      </c>
      <c r="EB90" s="39"/>
      <c r="EC90" s="16">
        <v>3602081</v>
      </c>
      <c r="ED90" s="35" t="s">
        <v>145</v>
      </c>
      <c r="EE90" s="16">
        <v>2</v>
      </c>
      <c r="FD90" s="16">
        <v>5601072</v>
      </c>
      <c r="FE90" s="16">
        <v>5200073</v>
      </c>
      <c r="FF90" s="16">
        <v>5200073</v>
      </c>
      <c r="FG90" s="16">
        <v>5200073</v>
      </c>
      <c r="FH90" s="16">
        <v>5401072</v>
      </c>
      <c r="FI90" s="16">
        <v>5401072</v>
      </c>
      <c r="FJ90" t="str">
        <f t="shared" si="107"/>
        <v>火修女</v>
      </c>
      <c r="FK90" t="str">
        <f t="shared" si="108"/>
        <v>木刀客</v>
      </c>
      <c r="FL90" t="str">
        <f t="shared" si="109"/>
        <v>木刀客</v>
      </c>
      <c r="FM90" t="str">
        <f t="shared" si="110"/>
        <v>木刀客</v>
      </c>
      <c r="FN90" t="str">
        <f t="shared" si="111"/>
        <v>火魔法师</v>
      </c>
      <c r="FO90" t="str">
        <f t="shared" si="112"/>
        <v>火魔法师</v>
      </c>
      <c r="FP90" t="str">
        <f t="shared" si="113"/>
        <v>7</v>
      </c>
      <c r="FQ90" t="str">
        <f t="shared" si="114"/>
        <v>7</v>
      </c>
      <c r="FR90" t="str">
        <f t="shared" si="115"/>
        <v>7</v>
      </c>
      <c r="FS90" t="str">
        <f t="shared" si="116"/>
        <v>7</v>
      </c>
      <c r="FT90" t="str">
        <f t="shared" si="117"/>
        <v>7</v>
      </c>
      <c r="FU90" t="str">
        <f t="shared" si="118"/>
        <v>7</v>
      </c>
      <c r="FV90" t="str">
        <f t="shared" si="75"/>
        <v>5</v>
      </c>
      <c r="FW90" t="str">
        <f t="shared" si="76"/>
        <v>5</v>
      </c>
      <c r="FX90" t="str">
        <f t="shared" si="77"/>
        <v>5</v>
      </c>
      <c r="FY90" t="str">
        <f t="shared" si="78"/>
        <v>5</v>
      </c>
      <c r="FZ90" t="str">
        <f t="shared" si="79"/>
        <v>5</v>
      </c>
      <c r="GA90" t="str">
        <f t="shared" si="80"/>
        <v>5</v>
      </c>
    </row>
    <row r="91" spans="1:183" ht="13.5" customHeight="1">
      <c r="A91" s="1">
        <v>908</v>
      </c>
      <c r="B91" s="6">
        <v>10062</v>
      </c>
      <c r="C91" s="23" t="str">
        <f t="shared" si="81"/>
        <v>5200072,5200073,5200071,5500073,5502072,5500071</v>
      </c>
      <c r="D91" s="1" t="str">
        <f t="shared" si="82"/>
        <v>7,7,7,7,7,7</v>
      </c>
      <c r="E91" s="53" t="str">
        <f t="shared" si="83"/>
        <v>493,476,476,476,476,476</v>
      </c>
      <c r="F91" s="1">
        <f t="shared" si="68"/>
        <v>1143857</v>
      </c>
      <c r="G91" s="23" t="s">
        <v>34</v>
      </c>
      <c r="H91" s="1" t="s">
        <v>28</v>
      </c>
      <c r="I91" s="1" t="s">
        <v>28</v>
      </c>
      <c r="J91" s="1" t="s">
        <v>28</v>
      </c>
      <c r="K91" s="2" t="s">
        <v>389</v>
      </c>
      <c r="L91" s="1">
        <v>1</v>
      </c>
      <c r="M91" s="1">
        <v>6</v>
      </c>
      <c r="O91" s="25">
        <f t="shared" si="84"/>
        <v>1143857</v>
      </c>
      <c r="P91" s="16">
        <v>1143857</v>
      </c>
      <c r="Q91" s="16">
        <v>5200072</v>
      </c>
      <c r="R91" s="16">
        <v>5200073</v>
      </c>
      <c r="S91" s="16">
        <v>5200071</v>
      </c>
      <c r="T91" s="16">
        <v>5500073</v>
      </c>
      <c r="U91" s="16">
        <v>5502072</v>
      </c>
      <c r="V91" s="16">
        <v>5500071</v>
      </c>
      <c r="W91" s="16">
        <v>7</v>
      </c>
      <c r="X91" s="16">
        <v>7</v>
      </c>
      <c r="Y91" s="16">
        <v>7</v>
      </c>
      <c r="Z91" s="16">
        <v>7</v>
      </c>
      <c r="AA91" s="16">
        <v>7</v>
      </c>
      <c r="AB91" s="16">
        <v>7</v>
      </c>
      <c r="AC91" s="16">
        <f t="shared" si="85"/>
        <v>493</v>
      </c>
      <c r="AD91" s="16">
        <f t="shared" si="119"/>
        <v>476</v>
      </c>
      <c r="AE91" s="16">
        <f t="shared" si="119"/>
        <v>476</v>
      </c>
      <c r="AF91" s="16">
        <f t="shared" si="119"/>
        <v>476</v>
      </c>
      <c r="AG91" s="16">
        <f t="shared" si="119"/>
        <v>476</v>
      </c>
      <c r="AH91" s="16">
        <f t="shared" si="119"/>
        <v>476</v>
      </c>
      <c r="AI91" s="28">
        <f t="shared" si="86"/>
        <v>228771.40000000002</v>
      </c>
      <c r="AJ91" s="28">
        <f t="shared" si="87"/>
        <v>183017.12</v>
      </c>
      <c r="AK91" s="28">
        <f t="shared" si="87"/>
        <v>183017.12</v>
      </c>
      <c r="AL91" s="28">
        <f t="shared" si="87"/>
        <v>183017.12</v>
      </c>
      <c r="AM91" s="28">
        <f t="shared" si="87"/>
        <v>183017.12</v>
      </c>
      <c r="AN91" s="28">
        <f t="shared" si="87"/>
        <v>183017.12</v>
      </c>
      <c r="AO91" s="30"/>
      <c r="AP91" s="28"/>
      <c r="AQ91" s="16">
        <v>4</v>
      </c>
      <c r="AR91" s="16">
        <f t="shared" si="88"/>
        <v>708</v>
      </c>
      <c r="AS91" s="28">
        <f t="shared" si="89"/>
        <v>933</v>
      </c>
      <c r="AT91" s="28"/>
      <c r="AU91" s="30">
        <v>1143857</v>
      </c>
      <c r="AV91" s="28" t="str">
        <f t="shared" si="90"/>
        <v>小:0</v>
      </c>
      <c r="AW91" s="28"/>
      <c r="AX91" s="28"/>
      <c r="AZ91" s="28"/>
      <c r="BA91" s="16">
        <f t="shared" si="120"/>
        <v>21116.205714285723</v>
      </c>
      <c r="BC91" s="7">
        <f t="shared" si="91"/>
        <v>460</v>
      </c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9"/>
      <c r="BQ91" s="9"/>
      <c r="BR91" s="9">
        <v>4502053</v>
      </c>
      <c r="BS91" s="9">
        <f>[1]monsters!$N91</f>
        <v>137.28</v>
      </c>
      <c r="BT91" s="9">
        <f>[1]monsters!$O91</f>
        <v>13.73</v>
      </c>
      <c r="BU91" s="9">
        <f>[1]monsters!$P91</f>
        <v>2346.67</v>
      </c>
      <c r="BV91" s="9">
        <f>[1]monsters!$Q91</f>
        <v>234.67</v>
      </c>
      <c r="BW91" s="9">
        <f>[1]monsters!$R91</f>
        <v>27.46</v>
      </c>
      <c r="BX91" s="9">
        <f>[1]monsters!$S91</f>
        <v>2.75</v>
      </c>
      <c r="BY91" s="9">
        <f>[1]monsters!$K91</f>
        <v>1.3</v>
      </c>
      <c r="BZ91" s="7">
        <f>[1]monsters!$D91</f>
        <v>3</v>
      </c>
      <c r="CA91" s="7">
        <f t="shared" si="92"/>
        <v>0.1</v>
      </c>
      <c r="CB91" s="7">
        <f t="shared" si="93"/>
        <v>208.74205791245791</v>
      </c>
      <c r="CC91" s="7">
        <f t="shared" si="94"/>
        <v>20.874205791245792</v>
      </c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>
        <v>0</v>
      </c>
      <c r="CR91" s="25" t="b">
        <f t="shared" si="95"/>
        <v>1</v>
      </c>
      <c r="CS91" s="25" t="b">
        <f t="shared" si="96"/>
        <v>1</v>
      </c>
      <c r="CT91" s="25" t="b">
        <f t="shared" si="97"/>
        <v>1</v>
      </c>
      <c r="CU91" s="25" t="b">
        <f t="shared" si="98"/>
        <v>1</v>
      </c>
      <c r="CV91" s="25" t="b">
        <f t="shared" si="99"/>
        <v>1</v>
      </c>
      <c r="CW91" s="25" t="b">
        <f t="shared" si="100"/>
        <v>1</v>
      </c>
      <c r="CX91" s="16" t="str">
        <f t="shared" si="101"/>
        <v>5200072</v>
      </c>
      <c r="CY91" s="16" t="str">
        <f t="shared" si="102"/>
        <v>5200073</v>
      </c>
      <c r="CZ91" s="16" t="str">
        <f t="shared" si="103"/>
        <v>5200071</v>
      </c>
      <c r="DA91" s="16" t="str">
        <f t="shared" si="104"/>
        <v>5500073</v>
      </c>
      <c r="DB91" s="16" t="str">
        <f t="shared" si="105"/>
        <v>5502072</v>
      </c>
      <c r="DC91" s="16" t="str">
        <f t="shared" si="106"/>
        <v>5500071</v>
      </c>
      <c r="DD91" s="16">
        <v>7</v>
      </c>
      <c r="DE91" s="16">
        <v>7</v>
      </c>
      <c r="DF91" s="16">
        <v>7</v>
      </c>
      <c r="DG91" s="16">
        <v>7</v>
      </c>
      <c r="DH91" s="16">
        <v>7</v>
      </c>
      <c r="DI91" s="16">
        <v>7</v>
      </c>
      <c r="DJ91" s="16">
        <v>5</v>
      </c>
      <c r="DK91" s="16">
        <v>5</v>
      </c>
      <c r="DL91" s="16">
        <v>5</v>
      </c>
      <c r="DM91" s="16">
        <v>5</v>
      </c>
      <c r="DN91" s="16">
        <v>5</v>
      </c>
      <c r="DO91" s="16">
        <v>5</v>
      </c>
      <c r="DP91" s="36" t="s">
        <v>210</v>
      </c>
      <c r="DQ91" s="36" t="s">
        <v>119</v>
      </c>
      <c r="DR91" s="36" t="s">
        <v>205</v>
      </c>
      <c r="DS91" s="51" t="s">
        <v>219</v>
      </c>
      <c r="DT91" s="51" t="s">
        <v>215</v>
      </c>
      <c r="DU91" s="51" t="s">
        <v>208</v>
      </c>
      <c r="DV91" s="32">
        <f t="shared" si="69"/>
        <v>1</v>
      </c>
      <c r="DW91" s="32">
        <f t="shared" si="70"/>
        <v>1</v>
      </c>
      <c r="DX91" s="32">
        <f t="shared" si="71"/>
        <v>1</v>
      </c>
      <c r="DY91" s="32">
        <f t="shared" si="72"/>
        <v>2</v>
      </c>
      <c r="DZ91" s="32">
        <f t="shared" si="73"/>
        <v>2</v>
      </c>
      <c r="EA91" s="32">
        <f t="shared" si="74"/>
        <v>2</v>
      </c>
      <c r="EB91" s="39"/>
      <c r="EC91" s="16">
        <v>3300082</v>
      </c>
      <c r="ED91" s="35" t="s">
        <v>147</v>
      </c>
      <c r="EE91" s="16">
        <v>2</v>
      </c>
      <c r="FD91" s="16">
        <v>5200072</v>
      </c>
      <c r="FE91" s="16">
        <v>5200073</v>
      </c>
      <c r="FF91" s="16">
        <v>5200071</v>
      </c>
      <c r="FG91" s="16">
        <v>5500073</v>
      </c>
      <c r="FH91" s="16">
        <v>5502072</v>
      </c>
      <c r="FI91" s="16">
        <v>5500071</v>
      </c>
      <c r="FJ91" t="str">
        <f t="shared" si="107"/>
        <v>火刀客</v>
      </c>
      <c r="FK91" t="str">
        <f t="shared" si="108"/>
        <v>木刀客</v>
      </c>
      <c r="FL91" t="str">
        <f t="shared" si="109"/>
        <v>水刀客</v>
      </c>
      <c r="FM91" t="str">
        <f t="shared" si="110"/>
        <v>木海盗</v>
      </c>
      <c r="FN91" t="str">
        <f t="shared" si="111"/>
        <v>火火枪手</v>
      </c>
      <c r="FO91" t="str">
        <f t="shared" si="112"/>
        <v>水海盗</v>
      </c>
      <c r="FP91" t="str">
        <f t="shared" si="113"/>
        <v>7</v>
      </c>
      <c r="FQ91" t="str">
        <f t="shared" si="114"/>
        <v>7</v>
      </c>
      <c r="FR91" t="str">
        <f t="shared" si="115"/>
        <v>7</v>
      </c>
      <c r="FS91" t="str">
        <f t="shared" si="116"/>
        <v>7</v>
      </c>
      <c r="FT91" t="str">
        <f t="shared" si="117"/>
        <v>7</v>
      </c>
      <c r="FU91" t="str">
        <f t="shared" si="118"/>
        <v>7</v>
      </c>
      <c r="FV91" t="str">
        <f t="shared" si="75"/>
        <v>5</v>
      </c>
      <c r="FW91" t="str">
        <f t="shared" si="76"/>
        <v>5</v>
      </c>
      <c r="FX91" t="str">
        <f t="shared" si="77"/>
        <v>5</v>
      </c>
      <c r="FY91" t="str">
        <f t="shared" si="78"/>
        <v>5</v>
      </c>
      <c r="FZ91" t="str">
        <f t="shared" si="79"/>
        <v>5</v>
      </c>
      <c r="GA91" t="str">
        <f t="shared" si="80"/>
        <v>5</v>
      </c>
    </row>
    <row r="92" spans="1:183" ht="13.5" customHeight="1">
      <c r="A92" s="1">
        <v>909</v>
      </c>
      <c r="B92" s="6">
        <v>10062</v>
      </c>
      <c r="C92" s="23" t="str">
        <f t="shared" si="81"/>
        <v>5502072,5201072,5202073,5201072,5502072,5502073</v>
      </c>
      <c r="D92" s="1" t="str">
        <f t="shared" si="82"/>
        <v>7,7,7,7,7,7</v>
      </c>
      <c r="E92" s="53" t="str">
        <f t="shared" si="83"/>
        <v>496,479,479,479,479,479</v>
      </c>
      <c r="F92" s="1">
        <f t="shared" si="68"/>
        <v>1158930</v>
      </c>
      <c r="G92" s="23" t="s">
        <v>34</v>
      </c>
      <c r="H92" s="1" t="s">
        <v>28</v>
      </c>
      <c r="I92" s="1" t="s">
        <v>28</v>
      </c>
      <c r="J92" s="1" t="s">
        <v>28</v>
      </c>
      <c r="K92" s="2" t="s">
        <v>390</v>
      </c>
      <c r="L92" s="1">
        <v>2</v>
      </c>
      <c r="M92" s="1">
        <v>5</v>
      </c>
      <c r="O92" s="25">
        <f t="shared" si="84"/>
        <v>1158930</v>
      </c>
      <c r="P92" s="16">
        <v>1158930.08</v>
      </c>
      <c r="Q92" s="16">
        <v>5502072</v>
      </c>
      <c r="R92" s="16">
        <v>5201072</v>
      </c>
      <c r="S92" s="16">
        <v>5202073</v>
      </c>
      <c r="T92" s="16">
        <v>5201072</v>
      </c>
      <c r="U92" s="16">
        <v>5502072</v>
      </c>
      <c r="V92" s="16">
        <v>5502073</v>
      </c>
      <c r="W92" s="16">
        <v>7</v>
      </c>
      <c r="X92" s="16">
        <v>7</v>
      </c>
      <c r="Y92" s="16">
        <v>7</v>
      </c>
      <c r="Z92" s="16">
        <v>7</v>
      </c>
      <c r="AA92" s="16">
        <v>7</v>
      </c>
      <c r="AB92" s="16">
        <v>7</v>
      </c>
      <c r="AC92" s="16">
        <f t="shared" si="85"/>
        <v>496</v>
      </c>
      <c r="AD92" s="16">
        <f t="shared" si="119"/>
        <v>479</v>
      </c>
      <c r="AE92" s="16">
        <f t="shared" si="119"/>
        <v>479</v>
      </c>
      <c r="AF92" s="16">
        <f t="shared" si="119"/>
        <v>479</v>
      </c>
      <c r="AG92" s="16">
        <f t="shared" si="119"/>
        <v>479</v>
      </c>
      <c r="AH92" s="16">
        <f t="shared" si="119"/>
        <v>479</v>
      </c>
      <c r="AI92" s="28">
        <f t="shared" si="86"/>
        <v>231786.01600000003</v>
      </c>
      <c r="AJ92" s="28">
        <f t="shared" si="87"/>
        <v>185428.81280000001</v>
      </c>
      <c r="AK92" s="28">
        <f t="shared" si="87"/>
        <v>185428.81280000001</v>
      </c>
      <c r="AL92" s="28">
        <f t="shared" si="87"/>
        <v>185428.81280000001</v>
      </c>
      <c r="AM92" s="28">
        <f t="shared" si="87"/>
        <v>185428.81280000001</v>
      </c>
      <c r="AN92" s="28">
        <f t="shared" si="87"/>
        <v>185428.81280000001</v>
      </c>
      <c r="AO92" s="30"/>
      <c r="AP92" s="28"/>
      <c r="AQ92" s="16">
        <v>4</v>
      </c>
      <c r="AR92" s="16">
        <f t="shared" si="88"/>
        <v>713</v>
      </c>
      <c r="AS92" s="28">
        <f t="shared" si="89"/>
        <v>934</v>
      </c>
      <c r="AT92" s="28"/>
      <c r="AU92" s="30">
        <v>1158930.08</v>
      </c>
      <c r="AV92" s="28" t="str">
        <f t="shared" si="90"/>
        <v>小:0</v>
      </c>
      <c r="AW92" s="28"/>
      <c r="AX92" s="28"/>
      <c r="AZ92" s="28"/>
      <c r="BA92" s="16">
        <f t="shared" si="120"/>
        <v>21168.481428571438</v>
      </c>
      <c r="BC92" s="7">
        <f t="shared" si="91"/>
        <v>463</v>
      </c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9"/>
      <c r="BQ92" s="9"/>
      <c r="BR92" s="9">
        <v>4401053</v>
      </c>
      <c r="BS92" s="9">
        <f>[1]monsters!$N92</f>
        <v>147.84</v>
      </c>
      <c r="BT92" s="9">
        <f>[1]monsters!$O92</f>
        <v>14.78</v>
      </c>
      <c r="BU92" s="9">
        <f>[1]monsters!$P92</f>
        <v>2346.67</v>
      </c>
      <c r="BV92" s="9">
        <f>[1]monsters!$Q92</f>
        <v>234.67</v>
      </c>
      <c r="BW92" s="9">
        <f>[1]monsters!$R92</f>
        <v>29.57</v>
      </c>
      <c r="BX92" s="9">
        <f>[1]monsters!$S92</f>
        <v>2.96</v>
      </c>
      <c r="BY92" s="9">
        <f>[1]monsters!$K92</f>
        <v>1.4000000000000001</v>
      </c>
      <c r="BZ92" s="7">
        <f>[1]monsters!$D92</f>
        <v>3</v>
      </c>
      <c r="CA92" s="7">
        <f t="shared" si="92"/>
        <v>0.1</v>
      </c>
      <c r="CB92" s="7">
        <f t="shared" si="93"/>
        <v>218.7212579124579</v>
      </c>
      <c r="CC92" s="7">
        <f t="shared" si="94"/>
        <v>21.872125791245793</v>
      </c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>
        <v>0</v>
      </c>
      <c r="CR92" s="25" t="b">
        <f t="shared" si="95"/>
        <v>1</v>
      </c>
      <c r="CS92" s="25" t="b">
        <f t="shared" si="96"/>
        <v>1</v>
      </c>
      <c r="CT92" s="25" t="b">
        <f t="shared" si="97"/>
        <v>1</v>
      </c>
      <c r="CU92" s="25" t="b">
        <f t="shared" si="98"/>
        <v>1</v>
      </c>
      <c r="CV92" s="25" t="b">
        <f t="shared" si="99"/>
        <v>1</v>
      </c>
      <c r="CW92" s="25" t="b">
        <f t="shared" si="100"/>
        <v>1</v>
      </c>
      <c r="CX92" s="16" t="str">
        <f t="shared" si="101"/>
        <v>5502072</v>
      </c>
      <c r="CY92" s="16" t="str">
        <f t="shared" si="102"/>
        <v>5201072</v>
      </c>
      <c r="CZ92" s="16" t="str">
        <f t="shared" si="103"/>
        <v>5202073</v>
      </c>
      <c r="DA92" s="16" t="str">
        <f t="shared" si="104"/>
        <v>5201072</v>
      </c>
      <c r="DB92" s="16" t="str">
        <f t="shared" si="105"/>
        <v>5502072</v>
      </c>
      <c r="DC92" s="16" t="str">
        <f t="shared" si="106"/>
        <v>5502073</v>
      </c>
      <c r="DD92" s="16">
        <v>7</v>
      </c>
      <c r="DE92" s="16">
        <v>7</v>
      </c>
      <c r="DF92" s="16">
        <v>7</v>
      </c>
      <c r="DG92" s="16">
        <v>7</v>
      </c>
      <c r="DH92" s="16">
        <v>7</v>
      </c>
      <c r="DI92" s="16">
        <v>7</v>
      </c>
      <c r="DJ92" s="16">
        <v>5</v>
      </c>
      <c r="DK92" s="16">
        <v>5</v>
      </c>
      <c r="DL92" s="16">
        <v>5</v>
      </c>
      <c r="DM92" s="16">
        <v>5</v>
      </c>
      <c r="DN92" s="16">
        <v>5</v>
      </c>
      <c r="DO92" s="16">
        <v>5</v>
      </c>
      <c r="DP92" s="51" t="s">
        <v>215</v>
      </c>
      <c r="DQ92" s="51" t="s">
        <v>120</v>
      </c>
      <c r="DR92" s="51" t="s">
        <v>220</v>
      </c>
      <c r="DS92" s="51" t="s">
        <v>120</v>
      </c>
      <c r="DT92" s="51" t="s">
        <v>215</v>
      </c>
      <c r="DU92" s="51" t="s">
        <v>227</v>
      </c>
      <c r="DV92" s="32">
        <f t="shared" si="69"/>
        <v>2</v>
      </c>
      <c r="DW92" s="32">
        <f t="shared" si="70"/>
        <v>1</v>
      </c>
      <c r="DX92" s="32">
        <f t="shared" si="71"/>
        <v>1</v>
      </c>
      <c r="DY92" s="32">
        <f t="shared" si="72"/>
        <v>1</v>
      </c>
      <c r="DZ92" s="32">
        <f t="shared" si="73"/>
        <v>2</v>
      </c>
      <c r="EA92" s="32">
        <f t="shared" si="74"/>
        <v>2</v>
      </c>
      <c r="EB92" s="39"/>
      <c r="EC92" s="16">
        <v>3302083</v>
      </c>
      <c r="ED92" s="35" t="s">
        <v>149</v>
      </c>
      <c r="EE92" s="16">
        <v>1</v>
      </c>
      <c r="FD92" s="16">
        <v>5502072</v>
      </c>
      <c r="FE92" s="16">
        <v>5201072</v>
      </c>
      <c r="FF92" s="16">
        <v>5202073</v>
      </c>
      <c r="FG92" s="16">
        <v>5201072</v>
      </c>
      <c r="FH92" s="16">
        <v>5502072</v>
      </c>
      <c r="FI92" s="16">
        <v>5502073</v>
      </c>
      <c r="FJ92" t="str">
        <f t="shared" si="107"/>
        <v>火火枪手</v>
      </c>
      <c r="FK92" t="str">
        <f t="shared" si="108"/>
        <v>火骑兵</v>
      </c>
      <c r="FL92" t="str">
        <f t="shared" si="109"/>
        <v>木维京</v>
      </c>
      <c r="FM92" t="str">
        <f t="shared" si="110"/>
        <v>火骑兵</v>
      </c>
      <c r="FN92" t="str">
        <f t="shared" si="111"/>
        <v>火火枪手</v>
      </c>
      <c r="FO92" t="str">
        <f t="shared" si="112"/>
        <v>木火枪手</v>
      </c>
      <c r="FP92" t="str">
        <f t="shared" si="113"/>
        <v>7</v>
      </c>
      <c r="FQ92" t="str">
        <f t="shared" si="114"/>
        <v>7</v>
      </c>
      <c r="FR92" t="str">
        <f t="shared" si="115"/>
        <v>7</v>
      </c>
      <c r="FS92" t="str">
        <f t="shared" si="116"/>
        <v>7</v>
      </c>
      <c r="FT92" t="str">
        <f t="shared" si="117"/>
        <v>7</v>
      </c>
      <c r="FU92" t="str">
        <f t="shared" si="118"/>
        <v>7</v>
      </c>
      <c r="FV92" t="str">
        <f t="shared" si="75"/>
        <v>5</v>
      </c>
      <c r="FW92" t="str">
        <f t="shared" si="76"/>
        <v>5</v>
      </c>
      <c r="FX92" t="str">
        <f t="shared" si="77"/>
        <v>5</v>
      </c>
      <c r="FY92" t="str">
        <f t="shared" si="78"/>
        <v>5</v>
      </c>
      <c r="FZ92" t="str">
        <f t="shared" si="79"/>
        <v>5</v>
      </c>
      <c r="GA92" t="str">
        <f t="shared" si="80"/>
        <v>5</v>
      </c>
    </row>
    <row r="93" spans="1:183" ht="13.5" customHeight="1">
      <c r="A93" s="1">
        <v>910</v>
      </c>
      <c r="B93" s="6">
        <v>10062</v>
      </c>
      <c r="C93" s="23" t="str">
        <f t="shared" si="81"/>
        <v>5401072,5200072,5200072,5200072,5500072,5500072</v>
      </c>
      <c r="D93" s="1" t="str">
        <f t="shared" si="82"/>
        <v>7,7,7,7,7,7</v>
      </c>
      <c r="E93" s="53" t="str">
        <f t="shared" si="83"/>
        <v>499,482,482,482,482,482</v>
      </c>
      <c r="F93" s="1">
        <f t="shared" si="68"/>
        <v>1172218</v>
      </c>
      <c r="G93" s="23" t="s">
        <v>34</v>
      </c>
      <c r="H93" s="1" t="s">
        <v>28</v>
      </c>
      <c r="I93" s="1" t="s">
        <v>28</v>
      </c>
      <c r="J93" s="1" t="s">
        <v>28</v>
      </c>
      <c r="K93" s="2" t="s">
        <v>391</v>
      </c>
      <c r="L93" s="1">
        <v>3</v>
      </c>
      <c r="M93" s="1">
        <v>5</v>
      </c>
      <c r="O93" s="25">
        <f t="shared" si="84"/>
        <v>1172218</v>
      </c>
      <c r="P93" s="16">
        <v>1172218.3</v>
      </c>
      <c r="Q93" s="16">
        <v>5401072</v>
      </c>
      <c r="R93" s="16">
        <v>5200072</v>
      </c>
      <c r="S93" s="16">
        <v>5200072</v>
      </c>
      <c r="T93" s="16">
        <v>5200072</v>
      </c>
      <c r="U93" s="16">
        <v>5500072</v>
      </c>
      <c r="V93" s="16">
        <v>5500072</v>
      </c>
      <c r="W93" s="16">
        <v>7</v>
      </c>
      <c r="X93" s="16">
        <v>7</v>
      </c>
      <c r="Y93" s="16">
        <v>7</v>
      </c>
      <c r="Z93" s="16">
        <v>7</v>
      </c>
      <c r="AA93" s="16">
        <v>7</v>
      </c>
      <c r="AB93" s="16">
        <v>7</v>
      </c>
      <c r="AC93" s="16">
        <f t="shared" si="85"/>
        <v>499</v>
      </c>
      <c r="AD93" s="16">
        <f t="shared" si="119"/>
        <v>482</v>
      </c>
      <c r="AE93" s="16">
        <f t="shared" si="119"/>
        <v>482</v>
      </c>
      <c r="AF93" s="16">
        <f t="shared" si="119"/>
        <v>482</v>
      </c>
      <c r="AG93" s="16">
        <f t="shared" si="119"/>
        <v>482</v>
      </c>
      <c r="AH93" s="16">
        <f t="shared" si="119"/>
        <v>482</v>
      </c>
      <c r="AI93" s="28">
        <f t="shared" si="86"/>
        <v>234443.66000000003</v>
      </c>
      <c r="AJ93" s="28">
        <f t="shared" si="87"/>
        <v>187554.92800000001</v>
      </c>
      <c r="AK93" s="28">
        <f t="shared" si="87"/>
        <v>187554.92800000001</v>
      </c>
      <c r="AL93" s="28">
        <f t="shared" si="87"/>
        <v>187554.92800000001</v>
      </c>
      <c r="AM93" s="28">
        <f t="shared" si="87"/>
        <v>187554.92800000001</v>
      </c>
      <c r="AN93" s="28">
        <f t="shared" si="87"/>
        <v>187554.92800000001</v>
      </c>
      <c r="AO93" s="30"/>
      <c r="AP93" s="28"/>
      <c r="AQ93" s="16">
        <v>5</v>
      </c>
      <c r="AR93" s="16">
        <f t="shared" si="88"/>
        <v>626</v>
      </c>
      <c r="AS93" s="28">
        <f t="shared" si="89"/>
        <v>935</v>
      </c>
      <c r="AT93" s="28"/>
      <c r="AU93" s="30">
        <v>1172218.3</v>
      </c>
      <c r="AV93" s="28" t="str">
        <f t="shared" si="90"/>
        <v>小:0</v>
      </c>
      <c r="AW93" s="28"/>
      <c r="AX93" s="28"/>
      <c r="AZ93" s="28"/>
      <c r="BA93" s="16">
        <f t="shared" si="120"/>
        <v>21220.757142857154</v>
      </c>
      <c r="BC93" s="7">
        <f t="shared" si="91"/>
        <v>466</v>
      </c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28"/>
      <c r="BQ93" s="9"/>
      <c r="BR93" s="9">
        <v>4201054</v>
      </c>
      <c r="BS93" s="9">
        <f>[1]monsters!$N93</f>
        <v>197.12</v>
      </c>
      <c r="BT93" s="9">
        <f>[1]monsters!$O93</f>
        <v>19.71</v>
      </c>
      <c r="BU93" s="9">
        <f>[1]monsters!$P93</f>
        <v>1760</v>
      </c>
      <c r="BV93" s="9">
        <f>[1]monsters!$Q93</f>
        <v>176</v>
      </c>
      <c r="BW93" s="9">
        <f>[1]monsters!$R93</f>
        <v>28.16</v>
      </c>
      <c r="BX93" s="9">
        <f>[1]monsters!$S93</f>
        <v>2.82</v>
      </c>
      <c r="BY93" s="9">
        <f>[1]monsters!$K93</f>
        <v>1.4000000000000001</v>
      </c>
      <c r="BZ93" s="7">
        <f>[1]monsters!$D93</f>
        <v>4</v>
      </c>
      <c r="CA93" s="7">
        <f t="shared" si="92"/>
        <v>0.1</v>
      </c>
      <c r="CB93" s="7">
        <f t="shared" si="93"/>
        <v>245.5376592592593</v>
      </c>
      <c r="CC93" s="7">
        <f t="shared" si="94"/>
        <v>24.55376592592593</v>
      </c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>
        <v>1</v>
      </c>
      <c r="CR93" s="25" t="b">
        <f t="shared" si="95"/>
        <v>1</v>
      </c>
      <c r="CS93" s="25" t="b">
        <f t="shared" si="96"/>
        <v>1</v>
      </c>
      <c r="CT93" s="25" t="b">
        <f t="shared" si="97"/>
        <v>1</v>
      </c>
      <c r="CU93" s="25" t="b">
        <f t="shared" si="98"/>
        <v>1</v>
      </c>
      <c r="CV93" s="25" t="b">
        <f t="shared" si="99"/>
        <v>1</v>
      </c>
      <c r="CW93" s="25" t="b">
        <f t="shared" si="100"/>
        <v>1</v>
      </c>
      <c r="CX93" s="16" t="str">
        <f t="shared" si="101"/>
        <v>5401072</v>
      </c>
      <c r="CY93" s="16" t="str">
        <f t="shared" si="102"/>
        <v>5200072</v>
      </c>
      <c r="CZ93" s="16" t="str">
        <f t="shared" si="103"/>
        <v>5200072</v>
      </c>
      <c r="DA93" s="16" t="str">
        <f t="shared" si="104"/>
        <v>5200072</v>
      </c>
      <c r="DB93" s="16" t="str">
        <f t="shared" si="105"/>
        <v>5500072</v>
      </c>
      <c r="DC93" s="16" t="str">
        <f t="shared" si="106"/>
        <v>5500072</v>
      </c>
      <c r="DD93" s="16">
        <v>7</v>
      </c>
      <c r="DE93" s="16">
        <v>7</v>
      </c>
      <c r="DF93" s="16">
        <v>7</v>
      </c>
      <c r="DG93" s="16">
        <v>7</v>
      </c>
      <c r="DH93" s="16">
        <v>7</v>
      </c>
      <c r="DI93" s="16">
        <v>7</v>
      </c>
      <c r="DJ93" s="16">
        <v>5</v>
      </c>
      <c r="DK93" s="16">
        <v>5</v>
      </c>
      <c r="DL93" s="16">
        <v>5</v>
      </c>
      <c r="DM93" s="16">
        <v>5</v>
      </c>
      <c r="DN93" s="16">
        <v>5</v>
      </c>
      <c r="DO93" s="16">
        <v>5</v>
      </c>
      <c r="DP93" s="51" t="s">
        <v>213</v>
      </c>
      <c r="DQ93" s="51" t="s">
        <v>210</v>
      </c>
      <c r="DR93" s="51" t="s">
        <v>210</v>
      </c>
      <c r="DS93" s="51" t="s">
        <v>210</v>
      </c>
      <c r="DT93" s="51" t="s">
        <v>115</v>
      </c>
      <c r="DU93" s="51" t="s">
        <v>115</v>
      </c>
      <c r="DV93" s="32">
        <f t="shared" si="69"/>
        <v>2</v>
      </c>
      <c r="DW93" s="32">
        <f t="shared" si="70"/>
        <v>1</v>
      </c>
      <c r="DX93" s="32">
        <f t="shared" si="71"/>
        <v>1</v>
      </c>
      <c r="DY93" s="32">
        <f t="shared" si="72"/>
        <v>1</v>
      </c>
      <c r="DZ93" s="32">
        <f t="shared" si="73"/>
        <v>2</v>
      </c>
      <c r="EA93" s="32">
        <f t="shared" si="74"/>
        <v>2</v>
      </c>
      <c r="EB93" s="39"/>
      <c r="EC93" s="16">
        <v>3400082</v>
      </c>
      <c r="ED93" s="35" t="s">
        <v>151</v>
      </c>
      <c r="EE93" s="16">
        <v>2</v>
      </c>
      <c r="FD93" s="16">
        <v>5401072</v>
      </c>
      <c r="FE93" s="16">
        <v>5200072</v>
      </c>
      <c r="FF93" s="16">
        <v>5200072</v>
      </c>
      <c r="FG93" s="16">
        <v>5200072</v>
      </c>
      <c r="FH93" s="16">
        <v>5500072</v>
      </c>
      <c r="FI93" s="16">
        <v>5500072</v>
      </c>
      <c r="FJ93" t="str">
        <f t="shared" si="107"/>
        <v>火魔法师</v>
      </c>
      <c r="FK93" t="str">
        <f t="shared" si="108"/>
        <v>火刀客</v>
      </c>
      <c r="FL93" t="str">
        <f t="shared" si="109"/>
        <v>火刀客</v>
      </c>
      <c r="FM93" t="str">
        <f t="shared" si="110"/>
        <v>火刀客</v>
      </c>
      <c r="FN93" t="str">
        <f t="shared" si="111"/>
        <v>火海盗</v>
      </c>
      <c r="FO93" t="str">
        <f t="shared" si="112"/>
        <v>火海盗</v>
      </c>
      <c r="FP93" t="str">
        <f t="shared" si="113"/>
        <v>7</v>
      </c>
      <c r="FQ93" t="str">
        <f t="shared" si="114"/>
        <v>7</v>
      </c>
      <c r="FR93" t="str">
        <f t="shared" si="115"/>
        <v>7</v>
      </c>
      <c r="FS93" t="str">
        <f t="shared" si="116"/>
        <v>7</v>
      </c>
      <c r="FT93" t="str">
        <f t="shared" si="117"/>
        <v>7</v>
      </c>
      <c r="FU93" t="str">
        <f t="shared" si="118"/>
        <v>7</v>
      </c>
      <c r="FV93" t="str">
        <f t="shared" si="75"/>
        <v>5</v>
      </c>
      <c r="FW93" t="str">
        <f t="shared" si="76"/>
        <v>5</v>
      </c>
      <c r="FX93" t="str">
        <f t="shared" si="77"/>
        <v>5</v>
      </c>
      <c r="FY93" t="str">
        <f t="shared" si="78"/>
        <v>5</v>
      </c>
      <c r="FZ93" t="str">
        <f t="shared" si="79"/>
        <v>5</v>
      </c>
      <c r="GA93" t="str">
        <f t="shared" si="80"/>
        <v>5</v>
      </c>
    </row>
    <row r="94" spans="1:183" ht="13.5" customHeight="1">
      <c r="A94" s="1">
        <v>1001</v>
      </c>
      <c r="B94" s="6">
        <v>10022</v>
      </c>
      <c r="C94" s="23" t="str">
        <f t="shared" si="81"/>
        <v>5401072,5200073,5301073,5302074,5400075,5400075</v>
      </c>
      <c r="D94" s="1" t="str">
        <f t="shared" si="82"/>
        <v>7,7,7,7,7,7</v>
      </c>
      <c r="E94" s="53" t="str">
        <f t="shared" si="83"/>
        <v>542,523,523,523,523,523</v>
      </c>
      <c r="F94" s="1">
        <f t="shared" si="68"/>
        <v>1376836</v>
      </c>
      <c r="G94" s="23" t="s">
        <v>34</v>
      </c>
      <c r="H94" s="1" t="s">
        <v>28</v>
      </c>
      <c r="I94" s="1" t="s">
        <v>28</v>
      </c>
      <c r="J94" s="1" t="s">
        <v>28</v>
      </c>
      <c r="K94" s="2" t="s">
        <v>392</v>
      </c>
      <c r="L94" s="1">
        <v>0</v>
      </c>
      <c r="M94" s="1">
        <v>3</v>
      </c>
      <c r="O94" s="25">
        <f t="shared" si="84"/>
        <v>1376836</v>
      </c>
      <c r="P94" s="16">
        <v>1376835.57</v>
      </c>
      <c r="Q94" s="16">
        <v>5401072</v>
      </c>
      <c r="R94" s="16">
        <v>5200073</v>
      </c>
      <c r="S94" s="16">
        <v>5301073</v>
      </c>
      <c r="T94" s="16">
        <v>5302074</v>
      </c>
      <c r="U94" s="16">
        <v>5400075</v>
      </c>
      <c r="V94" s="16">
        <v>5400075</v>
      </c>
      <c r="W94" s="16">
        <v>7</v>
      </c>
      <c r="X94" s="16">
        <v>7</v>
      </c>
      <c r="Y94" s="16">
        <v>7</v>
      </c>
      <c r="Z94" s="16">
        <v>7</v>
      </c>
      <c r="AA94" s="16">
        <v>7</v>
      </c>
      <c r="AB94" s="16">
        <v>7</v>
      </c>
      <c r="AC94" s="16">
        <f t="shared" si="85"/>
        <v>542</v>
      </c>
      <c r="AD94" s="16">
        <f t="shared" si="119"/>
        <v>523</v>
      </c>
      <c r="AE94" s="16">
        <f t="shared" si="119"/>
        <v>523</v>
      </c>
      <c r="AF94" s="16">
        <f t="shared" si="119"/>
        <v>523</v>
      </c>
      <c r="AG94" s="16">
        <f t="shared" si="119"/>
        <v>523</v>
      </c>
      <c r="AH94" s="16">
        <f t="shared" si="119"/>
        <v>523</v>
      </c>
      <c r="AI94" s="28">
        <f t="shared" si="86"/>
        <v>275367.114</v>
      </c>
      <c r="AJ94" s="28">
        <f t="shared" si="87"/>
        <v>220293.6912</v>
      </c>
      <c r="AK94" s="28">
        <f t="shared" si="87"/>
        <v>220293.6912</v>
      </c>
      <c r="AL94" s="28">
        <f t="shared" si="87"/>
        <v>220293.6912</v>
      </c>
      <c r="AM94" s="28">
        <f t="shared" si="87"/>
        <v>220293.6912</v>
      </c>
      <c r="AN94" s="28">
        <f t="shared" si="87"/>
        <v>220293.6912</v>
      </c>
      <c r="AO94" s="30"/>
      <c r="AP94" s="28"/>
      <c r="AQ94" s="16">
        <v>5</v>
      </c>
      <c r="AR94" s="16">
        <f t="shared" si="88"/>
        <v>680</v>
      </c>
      <c r="AS94" s="28">
        <f t="shared" si="89"/>
        <v>1026</v>
      </c>
      <c r="AT94" s="28"/>
      <c r="AU94" s="30">
        <v>1376835.57</v>
      </c>
      <c r="AV94" s="28" t="str">
        <f t="shared" si="90"/>
        <v>小:0</v>
      </c>
      <c r="AW94" s="28"/>
      <c r="AX94" s="28"/>
      <c r="AZ94" s="28"/>
      <c r="BA94" s="16">
        <f t="shared" si="120"/>
        <v>21273.032857142869</v>
      </c>
      <c r="BC94" s="7">
        <f t="shared" si="91"/>
        <v>506</v>
      </c>
      <c r="BP94" s="28"/>
      <c r="BQ94" s="9"/>
      <c r="BR94" s="9">
        <v>4301054</v>
      </c>
      <c r="BS94" s="9">
        <f>[1]monsters!$N94</f>
        <v>128</v>
      </c>
      <c r="BT94" s="9">
        <f>[1]monsters!$O94</f>
        <v>12.8</v>
      </c>
      <c r="BU94" s="9">
        <f>[1]monsters!$P94</f>
        <v>1536</v>
      </c>
      <c r="BV94" s="9">
        <f>[1]monsters!$Q94</f>
        <v>153.6</v>
      </c>
      <c r="BW94" s="9">
        <f>[1]monsters!$R94</f>
        <v>32</v>
      </c>
      <c r="BX94" s="9">
        <f>[1]monsters!$S94</f>
        <v>3.2</v>
      </c>
      <c r="BY94" s="9">
        <f>[1]monsters!$K94</f>
        <v>1.5</v>
      </c>
      <c r="BZ94" s="7">
        <f>[1]monsters!$D94</f>
        <v>2</v>
      </c>
      <c r="CA94" s="7">
        <f t="shared" si="92"/>
        <v>0.1</v>
      </c>
      <c r="CB94" s="7">
        <f t="shared" si="93"/>
        <v>172.67717171717172</v>
      </c>
      <c r="CC94" s="7">
        <f t="shared" si="94"/>
        <v>17.267717171717173</v>
      </c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>
        <v>0</v>
      </c>
      <c r="CR94" s="25" t="b">
        <f t="shared" si="95"/>
        <v>1</v>
      </c>
      <c r="CS94" s="25" t="b">
        <f t="shared" si="96"/>
        <v>1</v>
      </c>
      <c r="CT94" s="25" t="b">
        <f t="shared" si="97"/>
        <v>1</v>
      </c>
      <c r="CU94" s="25" t="b">
        <f t="shared" si="98"/>
        <v>1</v>
      </c>
      <c r="CV94" s="25" t="b">
        <f t="shared" si="99"/>
        <v>1</v>
      </c>
      <c r="CW94" s="25" t="b">
        <f t="shared" si="100"/>
        <v>1</v>
      </c>
      <c r="CX94" s="16" t="str">
        <f t="shared" si="101"/>
        <v>5401072</v>
      </c>
      <c r="CY94" s="16" t="str">
        <f t="shared" si="102"/>
        <v>5200073</v>
      </c>
      <c r="CZ94" s="16" t="str">
        <f t="shared" si="103"/>
        <v>5301073</v>
      </c>
      <c r="DA94" s="16" t="str">
        <f t="shared" si="104"/>
        <v>5302074</v>
      </c>
      <c r="DB94" s="16" t="str">
        <f t="shared" si="105"/>
        <v>5400075</v>
      </c>
      <c r="DC94" s="16" t="str">
        <f t="shared" si="106"/>
        <v>5400075</v>
      </c>
      <c r="DD94" s="16">
        <v>7</v>
      </c>
      <c r="DE94" s="16">
        <v>7</v>
      </c>
      <c r="DF94" s="16">
        <v>7</v>
      </c>
      <c r="DG94" s="16">
        <v>7</v>
      </c>
      <c r="DH94" s="16">
        <v>7</v>
      </c>
      <c r="DI94" s="16">
        <v>7</v>
      </c>
      <c r="DJ94" s="16">
        <v>5</v>
      </c>
      <c r="DK94" s="16">
        <v>5</v>
      </c>
      <c r="DL94" s="16">
        <v>5</v>
      </c>
      <c r="DM94" s="16">
        <v>5</v>
      </c>
      <c r="DN94" s="16">
        <v>5</v>
      </c>
      <c r="DO94" s="16">
        <v>5</v>
      </c>
      <c r="DP94" s="51" t="s">
        <v>213</v>
      </c>
      <c r="DQ94" s="51" t="s">
        <v>119</v>
      </c>
      <c r="DR94" s="51" t="s">
        <v>218</v>
      </c>
      <c r="DS94" s="51" t="s">
        <v>237</v>
      </c>
      <c r="DT94" s="51" t="s">
        <v>222</v>
      </c>
      <c r="DU94" s="51" t="s">
        <v>222</v>
      </c>
      <c r="DV94" s="32">
        <f t="shared" si="69"/>
        <v>2</v>
      </c>
      <c r="DW94" s="32">
        <f t="shared" si="70"/>
        <v>1</v>
      </c>
      <c r="DX94" s="32">
        <f t="shared" si="71"/>
        <v>1</v>
      </c>
      <c r="DY94" s="32">
        <f t="shared" si="72"/>
        <v>1</v>
      </c>
      <c r="DZ94" s="32">
        <f t="shared" si="73"/>
        <v>2</v>
      </c>
      <c r="EA94" s="32">
        <f t="shared" si="74"/>
        <v>2</v>
      </c>
      <c r="EB94" s="39"/>
      <c r="EC94" s="7">
        <v>5200051</v>
      </c>
      <c r="ED94" s="40" t="s">
        <v>205</v>
      </c>
      <c r="EE94" s="16">
        <v>1</v>
      </c>
      <c r="FD94" s="16">
        <v>5401072</v>
      </c>
      <c r="FE94" s="16">
        <v>5200073</v>
      </c>
      <c r="FF94" s="16">
        <v>5301073</v>
      </c>
      <c r="FG94" s="16">
        <v>5302074</v>
      </c>
      <c r="FH94" s="16">
        <v>5400075</v>
      </c>
      <c r="FI94" s="16">
        <v>5400075</v>
      </c>
      <c r="FJ94" t="str">
        <f t="shared" si="107"/>
        <v>火魔法师</v>
      </c>
      <c r="FK94" t="str">
        <f t="shared" si="108"/>
        <v>木刀客</v>
      </c>
      <c r="FL94" t="str">
        <f t="shared" si="109"/>
        <v>木剑士</v>
      </c>
      <c r="FM94" t="str">
        <f t="shared" si="110"/>
        <v>光盗贼</v>
      </c>
      <c r="FN94" t="str">
        <f t="shared" si="111"/>
        <v>暗巫师</v>
      </c>
      <c r="FO94" t="str">
        <f t="shared" si="112"/>
        <v>暗巫师</v>
      </c>
      <c r="FP94" t="str">
        <f t="shared" si="113"/>
        <v>7</v>
      </c>
      <c r="FQ94" t="str">
        <f t="shared" si="114"/>
        <v>7</v>
      </c>
      <c r="FR94" t="str">
        <f t="shared" si="115"/>
        <v>7</v>
      </c>
      <c r="FS94" t="str">
        <f t="shared" si="116"/>
        <v>7</v>
      </c>
      <c r="FT94" t="str">
        <f t="shared" si="117"/>
        <v>7</v>
      </c>
      <c r="FU94" t="str">
        <f t="shared" si="118"/>
        <v>7</v>
      </c>
      <c r="FV94" t="str">
        <f t="shared" si="75"/>
        <v>5</v>
      </c>
      <c r="FW94" t="str">
        <f t="shared" si="76"/>
        <v>5</v>
      </c>
      <c r="FX94" t="str">
        <f t="shared" si="77"/>
        <v>5</v>
      </c>
      <c r="FY94" t="str">
        <f t="shared" si="78"/>
        <v>5</v>
      </c>
      <c r="FZ94" t="str">
        <f t="shared" si="79"/>
        <v>5</v>
      </c>
      <c r="GA94" t="str">
        <f t="shared" si="80"/>
        <v>5</v>
      </c>
    </row>
    <row r="95" spans="1:183" ht="13.5" customHeight="1">
      <c r="A95" s="1">
        <v>1002</v>
      </c>
      <c r="B95" s="6">
        <v>10022</v>
      </c>
      <c r="C95" s="23" t="str">
        <f t="shared" si="81"/>
        <v>5201071,5301072,5300075,5501075,5500073,5502072</v>
      </c>
      <c r="D95" s="1" t="str">
        <f t="shared" si="82"/>
        <v>7,7,7,7,7,7</v>
      </c>
      <c r="E95" s="53" t="str">
        <f t="shared" si="83"/>
        <v>545,526,526,526,526,526</v>
      </c>
      <c r="F95" s="1">
        <f t="shared" si="68"/>
        <v>1392567</v>
      </c>
      <c r="G95" s="23" t="s">
        <v>34</v>
      </c>
      <c r="H95" s="1" t="s">
        <v>28</v>
      </c>
      <c r="I95" s="1" t="s">
        <v>28</v>
      </c>
      <c r="J95" s="1" t="s">
        <v>28</v>
      </c>
      <c r="K95" s="2" t="s">
        <v>393</v>
      </c>
      <c r="L95" s="1">
        <v>1</v>
      </c>
      <c r="M95" s="1">
        <v>3</v>
      </c>
      <c r="O95" s="25">
        <f t="shared" si="84"/>
        <v>1392567</v>
      </c>
      <c r="P95" s="16">
        <v>1392567</v>
      </c>
      <c r="Q95" s="16">
        <v>5201071</v>
      </c>
      <c r="R95" s="16">
        <v>5301072</v>
      </c>
      <c r="S95" s="16">
        <v>5300075</v>
      </c>
      <c r="T95" s="16">
        <v>5501075</v>
      </c>
      <c r="U95" s="16">
        <v>5500073</v>
      </c>
      <c r="V95" s="16">
        <v>5502072</v>
      </c>
      <c r="W95" s="16">
        <v>7</v>
      </c>
      <c r="X95" s="16">
        <v>7</v>
      </c>
      <c r="Y95" s="16">
        <v>7</v>
      </c>
      <c r="Z95" s="16">
        <v>7</v>
      </c>
      <c r="AA95" s="16">
        <v>7</v>
      </c>
      <c r="AB95" s="16">
        <v>7</v>
      </c>
      <c r="AC95" s="16">
        <f t="shared" si="85"/>
        <v>545</v>
      </c>
      <c r="AD95" s="16">
        <f t="shared" si="119"/>
        <v>526</v>
      </c>
      <c r="AE95" s="16">
        <f t="shared" si="119"/>
        <v>526</v>
      </c>
      <c r="AF95" s="16">
        <f t="shared" si="119"/>
        <v>526</v>
      </c>
      <c r="AG95" s="16">
        <f t="shared" si="119"/>
        <v>526</v>
      </c>
      <c r="AH95" s="16">
        <f t="shared" si="119"/>
        <v>526</v>
      </c>
      <c r="AI95" s="28">
        <f t="shared" si="86"/>
        <v>278513.40000000002</v>
      </c>
      <c r="AJ95" s="28">
        <f t="shared" si="87"/>
        <v>222810.72</v>
      </c>
      <c r="AK95" s="28">
        <f t="shared" si="87"/>
        <v>222810.72</v>
      </c>
      <c r="AL95" s="28">
        <f t="shared" si="87"/>
        <v>222810.72</v>
      </c>
      <c r="AM95" s="28">
        <f t="shared" si="87"/>
        <v>222810.72</v>
      </c>
      <c r="AN95" s="28">
        <f t="shared" si="87"/>
        <v>222810.72</v>
      </c>
      <c r="AO95" s="30"/>
      <c r="AP95" s="28"/>
      <c r="AQ95" s="16">
        <v>5</v>
      </c>
      <c r="AR95" s="16">
        <f t="shared" si="88"/>
        <v>684</v>
      </c>
      <c r="AS95" s="28">
        <f t="shared" si="89"/>
        <v>1027</v>
      </c>
      <c r="AT95" s="28"/>
      <c r="AU95" s="30">
        <v>1392567</v>
      </c>
      <c r="AV95" s="28" t="str">
        <f t="shared" si="90"/>
        <v>小:0</v>
      </c>
      <c r="AW95" s="28"/>
      <c r="AX95" s="28"/>
      <c r="AZ95" s="28"/>
      <c r="BA95" s="16">
        <f t="shared" si="120"/>
        <v>21325.308571428584</v>
      </c>
      <c r="BC95" s="7">
        <f t="shared" si="91"/>
        <v>509</v>
      </c>
      <c r="BP95" s="28"/>
      <c r="BQ95" s="9"/>
      <c r="BR95" s="9">
        <v>4401054</v>
      </c>
      <c r="BS95" s="9">
        <f>[1]monsters!$N95</f>
        <v>122.88</v>
      </c>
      <c r="BT95" s="9">
        <f>[1]monsters!$O95</f>
        <v>12.29</v>
      </c>
      <c r="BU95" s="9">
        <f>[1]monsters!$P95</f>
        <v>1920</v>
      </c>
      <c r="BV95" s="9">
        <f>[1]monsters!$Q95</f>
        <v>192</v>
      </c>
      <c r="BW95" s="9">
        <f>[1]monsters!$R95</f>
        <v>40.96</v>
      </c>
      <c r="BX95" s="9">
        <f>[1]monsters!$S95</f>
        <v>4.0999999999999996</v>
      </c>
      <c r="BY95" s="9">
        <f>[1]monsters!$K95</f>
        <v>1.8</v>
      </c>
      <c r="BZ95" s="7">
        <f>[1]monsters!$D95</f>
        <v>2</v>
      </c>
      <c r="CA95" s="7">
        <f t="shared" si="92"/>
        <v>0.1</v>
      </c>
      <c r="CB95" s="7">
        <f t="shared" si="93"/>
        <v>180.76806464646464</v>
      </c>
      <c r="CC95" s="7">
        <f t="shared" si="94"/>
        <v>18.076806464646463</v>
      </c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>
        <v>0</v>
      </c>
      <c r="CR95" s="25" t="b">
        <f t="shared" si="95"/>
        <v>1</v>
      </c>
      <c r="CS95" s="25" t="b">
        <f t="shared" si="96"/>
        <v>1</v>
      </c>
      <c r="CT95" s="25" t="b">
        <f t="shared" si="97"/>
        <v>1</v>
      </c>
      <c r="CU95" s="25" t="b">
        <f t="shared" si="98"/>
        <v>1</v>
      </c>
      <c r="CV95" s="25" t="b">
        <f t="shared" si="99"/>
        <v>1</v>
      </c>
      <c r="CW95" s="25" t="b">
        <f t="shared" si="100"/>
        <v>1</v>
      </c>
      <c r="CX95" s="16" t="str">
        <f t="shared" si="101"/>
        <v>5201071</v>
      </c>
      <c r="CY95" s="16" t="str">
        <f t="shared" si="102"/>
        <v>5301072</v>
      </c>
      <c r="CZ95" s="16" t="str">
        <f t="shared" si="103"/>
        <v>5300075</v>
      </c>
      <c r="DA95" s="16" t="str">
        <f t="shared" si="104"/>
        <v>5501075</v>
      </c>
      <c r="DB95" s="16" t="str">
        <f t="shared" si="105"/>
        <v>5500073</v>
      </c>
      <c r="DC95" s="16" t="str">
        <f t="shared" si="106"/>
        <v>5502072</v>
      </c>
      <c r="DD95" s="16">
        <v>7</v>
      </c>
      <c r="DE95" s="16">
        <v>7</v>
      </c>
      <c r="DF95" s="16">
        <v>7</v>
      </c>
      <c r="DG95" s="16">
        <v>7</v>
      </c>
      <c r="DH95" s="16">
        <v>7</v>
      </c>
      <c r="DI95" s="16">
        <v>7</v>
      </c>
      <c r="DJ95" s="16">
        <v>5</v>
      </c>
      <c r="DK95" s="16">
        <v>5</v>
      </c>
      <c r="DL95" s="16">
        <v>5</v>
      </c>
      <c r="DM95" s="16">
        <v>5</v>
      </c>
      <c r="DN95" s="16">
        <v>5</v>
      </c>
      <c r="DO95" s="16">
        <v>5</v>
      </c>
      <c r="DP95" s="51" t="s">
        <v>206</v>
      </c>
      <c r="DQ95" s="51" t="s">
        <v>212</v>
      </c>
      <c r="DR95" s="51" t="s">
        <v>224</v>
      </c>
      <c r="DS95" s="51" t="s">
        <v>221</v>
      </c>
      <c r="DT95" s="51" t="s">
        <v>219</v>
      </c>
      <c r="DU95" s="51" t="s">
        <v>215</v>
      </c>
      <c r="DV95" s="32">
        <f t="shared" si="69"/>
        <v>1</v>
      </c>
      <c r="DW95" s="32">
        <f t="shared" si="70"/>
        <v>1</v>
      </c>
      <c r="DX95" s="32">
        <f t="shared" si="71"/>
        <v>1</v>
      </c>
      <c r="DY95" s="32">
        <f t="shared" si="72"/>
        <v>2</v>
      </c>
      <c r="DZ95" s="32">
        <f t="shared" si="73"/>
        <v>2</v>
      </c>
      <c r="EA95" s="32">
        <f t="shared" si="74"/>
        <v>2</v>
      </c>
      <c r="EB95" s="39"/>
      <c r="EC95" s="7">
        <v>5201051</v>
      </c>
      <c r="ED95" s="40" t="s">
        <v>206</v>
      </c>
      <c r="EE95" s="16">
        <v>1</v>
      </c>
      <c r="FD95" s="16">
        <v>5201071</v>
      </c>
      <c r="FE95" s="16">
        <v>5301072</v>
      </c>
      <c r="FF95" s="16">
        <v>5300075</v>
      </c>
      <c r="FG95" s="16">
        <v>5501075</v>
      </c>
      <c r="FH95" s="16">
        <v>5500073</v>
      </c>
      <c r="FI95" s="16">
        <v>5502072</v>
      </c>
      <c r="FJ95" t="str">
        <f t="shared" si="107"/>
        <v>水骑兵</v>
      </c>
      <c r="FK95" t="str">
        <f t="shared" si="108"/>
        <v>火剑士</v>
      </c>
      <c r="FL95" t="str">
        <f t="shared" si="109"/>
        <v>暗武士</v>
      </c>
      <c r="FM95" t="str">
        <f t="shared" si="110"/>
        <v>暗猎人</v>
      </c>
      <c r="FN95" t="str">
        <f t="shared" si="111"/>
        <v>木海盗</v>
      </c>
      <c r="FO95" t="str">
        <f t="shared" si="112"/>
        <v>火火枪手</v>
      </c>
      <c r="FP95" t="str">
        <f t="shared" si="113"/>
        <v>7</v>
      </c>
      <c r="FQ95" t="str">
        <f t="shared" si="114"/>
        <v>7</v>
      </c>
      <c r="FR95" t="str">
        <f t="shared" si="115"/>
        <v>7</v>
      </c>
      <c r="FS95" t="str">
        <f t="shared" si="116"/>
        <v>7</v>
      </c>
      <c r="FT95" t="str">
        <f t="shared" si="117"/>
        <v>7</v>
      </c>
      <c r="FU95" t="str">
        <f t="shared" si="118"/>
        <v>7</v>
      </c>
      <c r="FV95" t="str">
        <f t="shared" si="75"/>
        <v>5</v>
      </c>
      <c r="FW95" t="str">
        <f t="shared" si="76"/>
        <v>5</v>
      </c>
      <c r="FX95" t="str">
        <f t="shared" si="77"/>
        <v>5</v>
      </c>
      <c r="FY95" t="str">
        <f t="shared" si="78"/>
        <v>5</v>
      </c>
      <c r="FZ95" t="str">
        <f t="shared" si="79"/>
        <v>5</v>
      </c>
      <c r="GA95" t="str">
        <f t="shared" si="80"/>
        <v>5</v>
      </c>
    </row>
    <row r="96" spans="1:183" ht="13.5" customHeight="1">
      <c r="A96" s="1">
        <v>1003</v>
      </c>
      <c r="B96" s="6">
        <v>10022</v>
      </c>
      <c r="C96" s="23" t="str">
        <f t="shared" si="81"/>
        <v>5400075,5201071,5201071,5200072,5501074,5401073</v>
      </c>
      <c r="D96" s="1" t="str">
        <f t="shared" si="82"/>
        <v>7,7,7,7,7,7</v>
      </c>
      <c r="E96" s="53" t="str">
        <f t="shared" si="83"/>
        <v>548,529,529,529,529,529</v>
      </c>
      <c r="F96" s="1">
        <f t="shared" si="68"/>
        <v>1410401</v>
      </c>
      <c r="G96" s="23" t="s">
        <v>34</v>
      </c>
      <c r="H96" s="1" t="s">
        <v>28</v>
      </c>
      <c r="I96" s="1" t="s">
        <v>28</v>
      </c>
      <c r="J96" s="1" t="s">
        <v>28</v>
      </c>
      <c r="K96" s="2" t="s">
        <v>394</v>
      </c>
      <c r="L96" s="1">
        <v>2</v>
      </c>
      <c r="M96" s="1">
        <v>6</v>
      </c>
      <c r="O96" s="25">
        <f t="shared" si="84"/>
        <v>1410401</v>
      </c>
      <c r="P96" s="16">
        <v>1410400.97</v>
      </c>
      <c r="Q96" s="16">
        <v>5400075</v>
      </c>
      <c r="R96" s="16">
        <v>5201071</v>
      </c>
      <c r="S96" s="16">
        <v>5201071</v>
      </c>
      <c r="T96" s="16">
        <v>5200072</v>
      </c>
      <c r="U96" s="16">
        <v>5501074</v>
      </c>
      <c r="V96" s="16">
        <v>5401073</v>
      </c>
      <c r="W96" s="16">
        <v>7</v>
      </c>
      <c r="X96" s="16">
        <v>7</v>
      </c>
      <c r="Y96" s="16">
        <v>7</v>
      </c>
      <c r="Z96" s="16">
        <v>7</v>
      </c>
      <c r="AA96" s="16">
        <v>7</v>
      </c>
      <c r="AB96" s="16">
        <v>7</v>
      </c>
      <c r="AC96" s="16">
        <f t="shared" si="85"/>
        <v>548</v>
      </c>
      <c r="AD96" s="16">
        <f t="shared" si="119"/>
        <v>529</v>
      </c>
      <c r="AE96" s="16">
        <f t="shared" si="119"/>
        <v>529</v>
      </c>
      <c r="AF96" s="16">
        <f t="shared" si="119"/>
        <v>529</v>
      </c>
      <c r="AG96" s="16">
        <f t="shared" si="119"/>
        <v>529</v>
      </c>
      <c r="AH96" s="16">
        <f t="shared" si="119"/>
        <v>529</v>
      </c>
      <c r="AI96" s="28">
        <f t="shared" si="86"/>
        <v>282080.19400000002</v>
      </c>
      <c r="AJ96" s="28">
        <f t="shared" si="87"/>
        <v>225664.15520000001</v>
      </c>
      <c r="AK96" s="28">
        <f t="shared" si="87"/>
        <v>225664.15520000001</v>
      </c>
      <c r="AL96" s="28">
        <f t="shared" si="87"/>
        <v>225664.15520000001</v>
      </c>
      <c r="AM96" s="28">
        <f t="shared" si="87"/>
        <v>225664.15520000001</v>
      </c>
      <c r="AN96" s="28">
        <f t="shared" si="87"/>
        <v>225664.15520000001</v>
      </c>
      <c r="AO96" s="30"/>
      <c r="AP96" s="28"/>
      <c r="AQ96" s="16">
        <v>5</v>
      </c>
      <c r="AR96" s="16">
        <f t="shared" si="88"/>
        <v>688</v>
      </c>
      <c r="AS96" s="28">
        <f t="shared" si="89"/>
        <v>1028</v>
      </c>
      <c r="AT96" s="28"/>
      <c r="AU96" s="30">
        <v>1410400.97</v>
      </c>
      <c r="AV96" s="28" t="str">
        <f t="shared" si="90"/>
        <v>小:0</v>
      </c>
      <c r="AW96" s="28"/>
      <c r="AX96" s="28"/>
      <c r="AZ96" s="28"/>
      <c r="BA96" s="16">
        <f t="shared" si="120"/>
        <v>21377.5842857143</v>
      </c>
      <c r="BC96" s="7">
        <f t="shared" si="91"/>
        <v>512</v>
      </c>
      <c r="BP96" s="28"/>
      <c r="BQ96" s="9"/>
      <c r="BR96" s="9">
        <v>4501054</v>
      </c>
      <c r="BS96" s="9">
        <f>[1]monsters!$N96</f>
        <v>138.24</v>
      </c>
      <c r="BT96" s="9">
        <f>[1]monsters!$O96</f>
        <v>13.82</v>
      </c>
      <c r="BU96" s="9">
        <f>[1]monsters!$P96</f>
        <v>1706.67</v>
      </c>
      <c r="BV96" s="9">
        <f>[1]monsters!$Q96</f>
        <v>170.67</v>
      </c>
      <c r="BW96" s="9">
        <f>[1]monsters!$R96</f>
        <v>27.65</v>
      </c>
      <c r="BX96" s="9">
        <f>[1]monsters!$S96</f>
        <v>2.76</v>
      </c>
      <c r="BY96" s="9">
        <f>[1]monsters!$K96</f>
        <v>1.8</v>
      </c>
      <c r="BZ96" s="7">
        <f>[1]monsters!$D96</f>
        <v>2</v>
      </c>
      <c r="CA96" s="7">
        <f t="shared" si="92"/>
        <v>0.1</v>
      </c>
      <c r="CB96" s="7">
        <f t="shared" si="93"/>
        <v>188.10043636363639</v>
      </c>
      <c r="CC96" s="7">
        <f t="shared" si="94"/>
        <v>18.810043636363641</v>
      </c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>
        <v>0</v>
      </c>
      <c r="CR96" s="25" t="b">
        <f t="shared" si="95"/>
        <v>1</v>
      </c>
      <c r="CS96" s="25" t="b">
        <f t="shared" si="96"/>
        <v>1</v>
      </c>
      <c r="CT96" s="25" t="b">
        <f t="shared" si="97"/>
        <v>1</v>
      </c>
      <c r="CU96" s="25" t="b">
        <f t="shared" si="98"/>
        <v>1</v>
      </c>
      <c r="CV96" s="25" t="b">
        <f t="shared" si="99"/>
        <v>1</v>
      </c>
      <c r="CW96" s="25" t="b">
        <f t="shared" si="100"/>
        <v>1</v>
      </c>
      <c r="CX96" s="16" t="str">
        <f t="shared" si="101"/>
        <v>5400075</v>
      </c>
      <c r="CY96" s="16" t="str">
        <f t="shared" si="102"/>
        <v>5201071</v>
      </c>
      <c r="CZ96" s="16" t="str">
        <f t="shared" si="103"/>
        <v>5201071</v>
      </c>
      <c r="DA96" s="16" t="str">
        <f t="shared" si="104"/>
        <v>5200072</v>
      </c>
      <c r="DB96" s="16" t="str">
        <f t="shared" si="105"/>
        <v>5501074</v>
      </c>
      <c r="DC96" s="16" t="str">
        <f t="shared" si="106"/>
        <v>5401073</v>
      </c>
      <c r="DD96" s="16">
        <v>7</v>
      </c>
      <c r="DE96" s="16">
        <v>7</v>
      </c>
      <c r="DF96" s="16">
        <v>7</v>
      </c>
      <c r="DG96" s="16">
        <v>7</v>
      </c>
      <c r="DH96" s="16">
        <v>7</v>
      </c>
      <c r="DI96" s="16">
        <v>7</v>
      </c>
      <c r="DJ96" s="16">
        <v>5</v>
      </c>
      <c r="DK96" s="16">
        <v>5</v>
      </c>
      <c r="DL96" s="16">
        <v>5</v>
      </c>
      <c r="DM96" s="16">
        <v>5</v>
      </c>
      <c r="DN96" s="16">
        <v>5</v>
      </c>
      <c r="DO96" s="16">
        <v>5</v>
      </c>
      <c r="DP96" s="51" t="s">
        <v>222</v>
      </c>
      <c r="DQ96" s="51" t="s">
        <v>206</v>
      </c>
      <c r="DR96" s="51" t="s">
        <v>206</v>
      </c>
      <c r="DS96" s="51" t="s">
        <v>210</v>
      </c>
      <c r="DT96" s="51" t="s">
        <v>226</v>
      </c>
      <c r="DU96" s="51" t="s">
        <v>223</v>
      </c>
      <c r="DV96" s="32">
        <f t="shared" si="69"/>
        <v>2</v>
      </c>
      <c r="DW96" s="32">
        <f t="shared" si="70"/>
        <v>1</v>
      </c>
      <c r="DX96" s="32">
        <f t="shared" si="71"/>
        <v>1</v>
      </c>
      <c r="DY96" s="32">
        <f t="shared" si="72"/>
        <v>1</v>
      </c>
      <c r="DZ96" s="32">
        <f t="shared" si="73"/>
        <v>2</v>
      </c>
      <c r="EA96" s="32">
        <f t="shared" si="74"/>
        <v>2</v>
      </c>
      <c r="EB96" s="39"/>
      <c r="EC96" s="7">
        <v>5202051</v>
      </c>
      <c r="ED96" s="40" t="s">
        <v>117</v>
      </c>
      <c r="EE96" s="16">
        <v>1</v>
      </c>
      <c r="FD96" s="16">
        <v>5400075</v>
      </c>
      <c r="FE96" s="16">
        <v>5201071</v>
      </c>
      <c r="FF96" s="16">
        <v>5201071</v>
      </c>
      <c r="FG96" s="16">
        <v>5200072</v>
      </c>
      <c r="FH96" s="16">
        <v>5501074</v>
      </c>
      <c r="FI96" s="16">
        <v>5401073</v>
      </c>
      <c r="FJ96" t="str">
        <f t="shared" si="107"/>
        <v>暗巫师</v>
      </c>
      <c r="FK96" t="str">
        <f t="shared" si="108"/>
        <v>水骑兵</v>
      </c>
      <c r="FL96" t="str">
        <f t="shared" si="109"/>
        <v>水骑兵</v>
      </c>
      <c r="FM96" t="str">
        <f t="shared" si="110"/>
        <v>火刀客</v>
      </c>
      <c r="FN96" t="str">
        <f t="shared" si="111"/>
        <v>光猎人</v>
      </c>
      <c r="FO96" t="str">
        <f t="shared" si="112"/>
        <v>木魔法师</v>
      </c>
      <c r="FP96" t="str">
        <f t="shared" si="113"/>
        <v>7</v>
      </c>
      <c r="FQ96" t="str">
        <f t="shared" si="114"/>
        <v>7</v>
      </c>
      <c r="FR96" t="str">
        <f t="shared" si="115"/>
        <v>7</v>
      </c>
      <c r="FS96" t="str">
        <f t="shared" si="116"/>
        <v>7</v>
      </c>
      <c r="FT96" t="str">
        <f t="shared" si="117"/>
        <v>7</v>
      </c>
      <c r="FU96" t="str">
        <f t="shared" si="118"/>
        <v>7</v>
      </c>
      <c r="FV96" t="str">
        <f t="shared" si="75"/>
        <v>5</v>
      </c>
      <c r="FW96" t="str">
        <f t="shared" si="76"/>
        <v>5</v>
      </c>
      <c r="FX96" t="str">
        <f t="shared" si="77"/>
        <v>5</v>
      </c>
      <c r="FY96" t="str">
        <f t="shared" si="78"/>
        <v>5</v>
      </c>
      <c r="FZ96" t="str">
        <f t="shared" si="79"/>
        <v>5</v>
      </c>
      <c r="GA96" t="str">
        <f t="shared" si="80"/>
        <v>5</v>
      </c>
    </row>
    <row r="97" spans="1:183" ht="13.5" customHeight="1">
      <c r="A97" s="1">
        <v>1004</v>
      </c>
      <c r="B97" s="6">
        <v>10022</v>
      </c>
      <c r="C97" s="23" t="str">
        <f t="shared" si="81"/>
        <v>5201071,5301071,5201073,5402073,5400075,5501075</v>
      </c>
      <c r="D97" s="1" t="str">
        <f t="shared" si="82"/>
        <v>7,7,7,7,7,7</v>
      </c>
      <c r="E97" s="53" t="str">
        <f t="shared" si="83"/>
        <v>552,532,532,532,532,532</v>
      </c>
      <c r="F97" s="1">
        <f t="shared" si="68"/>
        <v>1426325</v>
      </c>
      <c r="G97" s="23" t="s">
        <v>34</v>
      </c>
      <c r="H97" s="1" t="s">
        <v>28</v>
      </c>
      <c r="I97" s="1" t="s">
        <v>28</v>
      </c>
      <c r="J97" s="1" t="s">
        <v>28</v>
      </c>
      <c r="K97" s="2" t="s">
        <v>395</v>
      </c>
      <c r="L97" s="1">
        <v>3</v>
      </c>
      <c r="M97" s="1">
        <v>6</v>
      </c>
      <c r="O97" s="25">
        <f t="shared" si="84"/>
        <v>1426325</v>
      </c>
      <c r="P97" s="16">
        <v>1426324.68</v>
      </c>
      <c r="Q97" s="16">
        <v>5201071</v>
      </c>
      <c r="R97" s="16">
        <v>5301071</v>
      </c>
      <c r="S97" s="16">
        <v>5201073</v>
      </c>
      <c r="T97" s="16">
        <v>5402073</v>
      </c>
      <c r="U97" s="16">
        <v>5400075</v>
      </c>
      <c r="V97" s="16">
        <v>5501075</v>
      </c>
      <c r="W97" s="16">
        <v>7</v>
      </c>
      <c r="X97" s="16">
        <v>7</v>
      </c>
      <c r="Y97" s="16">
        <v>7</v>
      </c>
      <c r="Z97" s="16">
        <v>7</v>
      </c>
      <c r="AA97" s="16">
        <v>7</v>
      </c>
      <c r="AB97" s="16">
        <v>7</v>
      </c>
      <c r="AC97" s="16">
        <f t="shared" si="85"/>
        <v>552</v>
      </c>
      <c r="AD97" s="16">
        <f t="shared" si="119"/>
        <v>532</v>
      </c>
      <c r="AE97" s="16">
        <f t="shared" si="119"/>
        <v>532</v>
      </c>
      <c r="AF97" s="16">
        <f t="shared" si="119"/>
        <v>532</v>
      </c>
      <c r="AG97" s="16">
        <f t="shared" si="119"/>
        <v>532</v>
      </c>
      <c r="AH97" s="16">
        <f t="shared" si="119"/>
        <v>532</v>
      </c>
      <c r="AI97" s="28">
        <f t="shared" si="86"/>
        <v>285264.93599999999</v>
      </c>
      <c r="AJ97" s="28">
        <f t="shared" si="87"/>
        <v>228211.94879999998</v>
      </c>
      <c r="AK97" s="28">
        <f t="shared" si="87"/>
        <v>228211.94879999998</v>
      </c>
      <c r="AL97" s="28">
        <f t="shared" si="87"/>
        <v>228211.94879999998</v>
      </c>
      <c r="AM97" s="28">
        <f t="shared" si="87"/>
        <v>228211.94879999998</v>
      </c>
      <c r="AN97" s="28">
        <f t="shared" si="87"/>
        <v>228211.94879999998</v>
      </c>
      <c r="AO97" s="30"/>
      <c r="AP97" s="28"/>
      <c r="AQ97" s="16">
        <v>5</v>
      </c>
      <c r="AR97" s="16">
        <f t="shared" si="88"/>
        <v>692</v>
      </c>
      <c r="AS97" s="28">
        <f t="shared" si="89"/>
        <v>1029</v>
      </c>
      <c r="AT97" s="28"/>
      <c r="AU97" s="30">
        <v>1426324.68</v>
      </c>
      <c r="AV97" s="28" t="str">
        <f t="shared" si="90"/>
        <v>小:0</v>
      </c>
      <c r="AW97" s="28"/>
      <c r="AX97" s="28"/>
      <c r="AZ97" s="28"/>
      <c r="BA97" s="16">
        <f t="shared" si="120"/>
        <v>21429.860000000015</v>
      </c>
      <c r="BC97" s="7">
        <f t="shared" si="91"/>
        <v>515</v>
      </c>
      <c r="BP97" s="28"/>
      <c r="BQ97" s="9"/>
      <c r="BR97" s="9">
        <v>4601054</v>
      </c>
      <c r="BS97" s="9">
        <f>[1]monsters!$N97</f>
        <v>92.16</v>
      </c>
      <c r="BT97" s="9">
        <f>[1]monsters!$O97</f>
        <v>9.2200000000000006</v>
      </c>
      <c r="BU97" s="9">
        <f>[1]monsters!$P97</f>
        <v>1706.67</v>
      </c>
      <c r="BV97" s="9">
        <f>[1]monsters!$Q97</f>
        <v>170.67</v>
      </c>
      <c r="BW97" s="9">
        <f>[1]monsters!$R97</f>
        <v>18.43</v>
      </c>
      <c r="BX97" s="9">
        <f>[1]monsters!$S97</f>
        <v>1.84</v>
      </c>
      <c r="BY97" s="9">
        <f>[1]monsters!$K97</f>
        <v>1.2</v>
      </c>
      <c r="BZ97" s="7">
        <f>[1]monsters!$D97</f>
        <v>3</v>
      </c>
      <c r="CA97" s="7">
        <f t="shared" si="92"/>
        <v>0.1</v>
      </c>
      <c r="CB97" s="7">
        <f t="shared" si="93"/>
        <v>144.55483636363635</v>
      </c>
      <c r="CC97" s="7">
        <f t="shared" si="94"/>
        <v>14.455483636363637</v>
      </c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>
        <v>0</v>
      </c>
      <c r="CR97" s="25" t="b">
        <f t="shared" si="95"/>
        <v>1</v>
      </c>
      <c r="CS97" s="25" t="b">
        <f t="shared" si="96"/>
        <v>1</v>
      </c>
      <c r="CT97" s="25" t="b">
        <f t="shared" si="97"/>
        <v>1</v>
      </c>
      <c r="CU97" s="25" t="b">
        <f t="shared" si="98"/>
        <v>1</v>
      </c>
      <c r="CV97" s="25" t="b">
        <f t="shared" si="99"/>
        <v>1</v>
      </c>
      <c r="CW97" s="25" t="b">
        <f t="shared" si="100"/>
        <v>1</v>
      </c>
      <c r="CX97" s="16" t="str">
        <f t="shared" si="101"/>
        <v>5201071</v>
      </c>
      <c r="CY97" s="16" t="str">
        <f t="shared" si="102"/>
        <v>5301071</v>
      </c>
      <c r="CZ97" s="16" t="str">
        <f t="shared" si="103"/>
        <v>5201073</v>
      </c>
      <c r="DA97" s="16" t="str">
        <f t="shared" si="104"/>
        <v>5402073</v>
      </c>
      <c r="DB97" s="16" t="str">
        <f t="shared" si="105"/>
        <v>5400075</v>
      </c>
      <c r="DC97" s="16" t="str">
        <f t="shared" si="106"/>
        <v>5501075</v>
      </c>
      <c r="DD97" s="16">
        <v>7</v>
      </c>
      <c r="DE97" s="16">
        <v>7</v>
      </c>
      <c r="DF97" s="16">
        <v>7</v>
      </c>
      <c r="DG97" s="16">
        <v>7</v>
      </c>
      <c r="DH97" s="16">
        <v>7</v>
      </c>
      <c r="DI97" s="16">
        <v>7</v>
      </c>
      <c r="DJ97" s="16">
        <v>5</v>
      </c>
      <c r="DK97" s="16">
        <v>5</v>
      </c>
      <c r="DL97" s="16">
        <v>5</v>
      </c>
      <c r="DM97" s="16">
        <v>5</v>
      </c>
      <c r="DN97" s="16">
        <v>5</v>
      </c>
      <c r="DO97" s="16">
        <v>5</v>
      </c>
      <c r="DP97" s="51" t="s">
        <v>206</v>
      </c>
      <c r="DQ97" s="51" t="s">
        <v>113</v>
      </c>
      <c r="DR97" s="51" t="s">
        <v>217</v>
      </c>
      <c r="DS97" s="51" t="s">
        <v>124</v>
      </c>
      <c r="DT97" s="51" t="s">
        <v>222</v>
      </c>
      <c r="DU97" s="51" t="s">
        <v>221</v>
      </c>
      <c r="DV97" s="32">
        <f t="shared" si="69"/>
        <v>1</v>
      </c>
      <c r="DW97" s="32">
        <f t="shared" si="70"/>
        <v>1</v>
      </c>
      <c r="DX97" s="32">
        <f t="shared" si="71"/>
        <v>1</v>
      </c>
      <c r="DY97" s="32">
        <f t="shared" si="72"/>
        <v>2</v>
      </c>
      <c r="DZ97" s="32">
        <f t="shared" si="73"/>
        <v>2</v>
      </c>
      <c r="EA97" s="32">
        <f t="shared" si="74"/>
        <v>2</v>
      </c>
      <c r="EB97" s="39"/>
      <c r="EC97" s="7">
        <v>5301051</v>
      </c>
      <c r="ED97" s="40" t="s">
        <v>113</v>
      </c>
      <c r="EE97" s="16">
        <v>1</v>
      </c>
      <c r="FD97" s="16">
        <v>5201071</v>
      </c>
      <c r="FE97" s="16">
        <v>5301071</v>
      </c>
      <c r="FF97" s="16">
        <v>5201073</v>
      </c>
      <c r="FG97" s="16">
        <v>5402073</v>
      </c>
      <c r="FH97" s="16">
        <v>5400075</v>
      </c>
      <c r="FI97" s="16">
        <v>5501075</v>
      </c>
      <c r="FJ97" t="str">
        <f t="shared" si="107"/>
        <v>水骑兵</v>
      </c>
      <c r="FK97" t="str">
        <f t="shared" si="108"/>
        <v>水剑士</v>
      </c>
      <c r="FL97" t="str">
        <f t="shared" si="109"/>
        <v>木骑兵</v>
      </c>
      <c r="FM97" t="str">
        <f t="shared" si="110"/>
        <v>木女巫</v>
      </c>
      <c r="FN97" t="str">
        <f t="shared" si="111"/>
        <v>暗巫师</v>
      </c>
      <c r="FO97" t="str">
        <f t="shared" si="112"/>
        <v>暗猎人</v>
      </c>
      <c r="FP97" t="str">
        <f t="shared" si="113"/>
        <v>7</v>
      </c>
      <c r="FQ97" t="str">
        <f t="shared" si="114"/>
        <v>7</v>
      </c>
      <c r="FR97" t="str">
        <f t="shared" si="115"/>
        <v>7</v>
      </c>
      <c r="FS97" t="str">
        <f t="shared" si="116"/>
        <v>7</v>
      </c>
      <c r="FT97" t="str">
        <f t="shared" si="117"/>
        <v>7</v>
      </c>
      <c r="FU97" t="str">
        <f t="shared" si="118"/>
        <v>7</v>
      </c>
      <c r="FV97" t="str">
        <f t="shared" si="75"/>
        <v>5</v>
      </c>
      <c r="FW97" t="str">
        <f t="shared" si="76"/>
        <v>5</v>
      </c>
      <c r="FX97" t="str">
        <f t="shared" si="77"/>
        <v>5</v>
      </c>
      <c r="FY97" t="str">
        <f t="shared" si="78"/>
        <v>5</v>
      </c>
      <c r="FZ97" t="str">
        <f t="shared" si="79"/>
        <v>5</v>
      </c>
      <c r="GA97" t="str">
        <f t="shared" si="80"/>
        <v>5</v>
      </c>
    </row>
    <row r="98" spans="1:183" ht="13.5" customHeight="1">
      <c r="A98" s="1">
        <v>1005</v>
      </c>
      <c r="B98" s="6">
        <v>10022</v>
      </c>
      <c r="C98" s="23" t="str">
        <f t="shared" si="81"/>
        <v>5401072,5200073,5301073,5302074,5400075,5400075</v>
      </c>
      <c r="D98" s="1" t="str">
        <f t="shared" si="82"/>
        <v>7,7,7,7,7,7</v>
      </c>
      <c r="E98" s="53" t="str">
        <f t="shared" si="83"/>
        <v>555,536,536,536,536,536</v>
      </c>
      <c r="F98" s="1">
        <f t="shared" si="68"/>
        <v>1444372</v>
      </c>
      <c r="G98" s="23" t="s">
        <v>34</v>
      </c>
      <c r="H98" s="1" t="s">
        <v>28</v>
      </c>
      <c r="I98" s="1" t="s">
        <v>28</v>
      </c>
      <c r="J98" s="1" t="s">
        <v>28</v>
      </c>
      <c r="K98" s="2" t="s">
        <v>396</v>
      </c>
      <c r="L98" s="1">
        <v>1</v>
      </c>
      <c r="M98" s="1">
        <v>5</v>
      </c>
      <c r="O98" s="25">
        <f t="shared" si="84"/>
        <v>1444372</v>
      </c>
      <c r="P98" s="16">
        <v>1444371.83</v>
      </c>
      <c r="Q98" s="16">
        <v>5401072</v>
      </c>
      <c r="R98" s="16">
        <v>5200073</v>
      </c>
      <c r="S98" s="16">
        <v>5301073</v>
      </c>
      <c r="T98" s="16">
        <v>5302074</v>
      </c>
      <c r="U98" s="16">
        <v>5400075</v>
      </c>
      <c r="V98" s="16">
        <v>5400075</v>
      </c>
      <c r="W98" s="16">
        <v>7</v>
      </c>
      <c r="X98" s="16">
        <v>7</v>
      </c>
      <c r="Y98" s="16">
        <v>7</v>
      </c>
      <c r="Z98" s="16">
        <v>7</v>
      </c>
      <c r="AA98" s="16">
        <v>7</v>
      </c>
      <c r="AB98" s="16">
        <v>7</v>
      </c>
      <c r="AC98" s="16">
        <f t="shared" si="85"/>
        <v>555</v>
      </c>
      <c r="AD98" s="16">
        <f t="shared" si="119"/>
        <v>536</v>
      </c>
      <c r="AE98" s="16">
        <f t="shared" si="119"/>
        <v>536</v>
      </c>
      <c r="AF98" s="16">
        <f t="shared" si="119"/>
        <v>536</v>
      </c>
      <c r="AG98" s="16">
        <f t="shared" si="119"/>
        <v>536</v>
      </c>
      <c r="AH98" s="16">
        <f t="shared" si="119"/>
        <v>536</v>
      </c>
      <c r="AI98" s="28">
        <f t="shared" si="86"/>
        <v>288874.36600000004</v>
      </c>
      <c r="AJ98" s="28">
        <f t="shared" si="87"/>
        <v>231099.49280000001</v>
      </c>
      <c r="AK98" s="28">
        <f t="shared" si="87"/>
        <v>231099.49280000001</v>
      </c>
      <c r="AL98" s="28">
        <f t="shared" si="87"/>
        <v>231099.49280000001</v>
      </c>
      <c r="AM98" s="28">
        <f t="shared" si="87"/>
        <v>231099.49280000001</v>
      </c>
      <c r="AN98" s="28">
        <f t="shared" si="87"/>
        <v>231099.49280000001</v>
      </c>
      <c r="AO98" s="30"/>
      <c r="AP98" s="28"/>
      <c r="AQ98" s="16">
        <v>5</v>
      </c>
      <c r="AR98" s="16">
        <f t="shared" si="88"/>
        <v>696</v>
      </c>
      <c r="AS98" s="28">
        <f t="shared" si="89"/>
        <v>1030</v>
      </c>
      <c r="AT98" s="28"/>
      <c r="AU98" s="30">
        <v>1444371.83</v>
      </c>
      <c r="AV98" s="28" t="str">
        <f t="shared" si="90"/>
        <v>小:0</v>
      </c>
      <c r="AW98" s="28"/>
      <c r="AX98" s="28"/>
      <c r="AZ98" s="28"/>
      <c r="BA98" s="16">
        <f t="shared" si="120"/>
        <v>21482.135714285731</v>
      </c>
      <c r="BC98" s="7">
        <f t="shared" si="91"/>
        <v>519</v>
      </c>
      <c r="BP98" s="28"/>
      <c r="BQ98" s="9"/>
      <c r="BR98" s="9">
        <v>4502054</v>
      </c>
      <c r="BS98" s="9">
        <f>[1]monsters!$N98</f>
        <v>163.84</v>
      </c>
      <c r="BT98" s="9">
        <f>[1]monsters!$O98</f>
        <v>16.38</v>
      </c>
      <c r="BU98" s="9">
        <f>[1]monsters!$P98</f>
        <v>1280</v>
      </c>
      <c r="BV98" s="9">
        <f>[1]monsters!$Q98</f>
        <v>128</v>
      </c>
      <c r="BW98" s="9">
        <f>[1]monsters!$R98</f>
        <v>23.41</v>
      </c>
      <c r="BX98" s="9">
        <f>[1]monsters!$S98</f>
        <v>2.34</v>
      </c>
      <c r="BY98" s="9">
        <f>[1]monsters!$K98</f>
        <v>1.6</v>
      </c>
      <c r="BZ98" s="7">
        <f>[1]monsters!$D98</f>
        <v>4</v>
      </c>
      <c r="CA98" s="7">
        <f t="shared" si="92"/>
        <v>0.1</v>
      </c>
      <c r="CB98" s="7">
        <f t="shared" si="93"/>
        <v>197.9264430976431</v>
      </c>
      <c r="CC98" s="7">
        <f t="shared" si="94"/>
        <v>19.792644309764313</v>
      </c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>
        <v>1</v>
      </c>
      <c r="CR98" s="25" t="b">
        <f t="shared" si="95"/>
        <v>1</v>
      </c>
      <c r="CS98" s="25" t="b">
        <f t="shared" si="96"/>
        <v>1</v>
      </c>
      <c r="CT98" s="25" t="b">
        <f t="shared" si="97"/>
        <v>1</v>
      </c>
      <c r="CU98" s="25" t="b">
        <f t="shared" si="98"/>
        <v>1</v>
      </c>
      <c r="CV98" s="25" t="b">
        <f t="shared" si="99"/>
        <v>1</v>
      </c>
      <c r="CW98" s="25" t="b">
        <f t="shared" si="100"/>
        <v>1</v>
      </c>
      <c r="CX98" s="16" t="str">
        <f t="shared" si="101"/>
        <v>5401072</v>
      </c>
      <c r="CY98" s="16" t="str">
        <f t="shared" si="102"/>
        <v>5200073</v>
      </c>
      <c r="CZ98" s="16" t="str">
        <f t="shared" si="103"/>
        <v>5301073</v>
      </c>
      <c r="DA98" s="16" t="str">
        <f t="shared" si="104"/>
        <v>5302074</v>
      </c>
      <c r="DB98" s="16" t="str">
        <f t="shared" si="105"/>
        <v>5400075</v>
      </c>
      <c r="DC98" s="16" t="str">
        <f t="shared" si="106"/>
        <v>5400075</v>
      </c>
      <c r="DD98" s="16">
        <v>7</v>
      </c>
      <c r="DE98" s="16">
        <v>7</v>
      </c>
      <c r="DF98" s="16">
        <v>7</v>
      </c>
      <c r="DG98" s="16">
        <v>7</v>
      </c>
      <c r="DH98" s="16">
        <v>7</v>
      </c>
      <c r="DI98" s="16">
        <v>7</v>
      </c>
      <c r="DJ98" s="16">
        <v>5</v>
      </c>
      <c r="DK98" s="16">
        <v>5</v>
      </c>
      <c r="DL98" s="16">
        <v>5</v>
      </c>
      <c r="DM98" s="16">
        <v>5</v>
      </c>
      <c r="DN98" s="16">
        <v>5</v>
      </c>
      <c r="DO98" s="16">
        <v>5</v>
      </c>
      <c r="DP98" s="51" t="s">
        <v>213</v>
      </c>
      <c r="DQ98" s="51" t="s">
        <v>119</v>
      </c>
      <c r="DR98" s="51" t="s">
        <v>218</v>
      </c>
      <c r="DS98" s="51" t="s">
        <v>237</v>
      </c>
      <c r="DT98" s="51" t="s">
        <v>222</v>
      </c>
      <c r="DU98" s="51" t="s">
        <v>222</v>
      </c>
      <c r="DV98" s="32">
        <f t="shared" si="69"/>
        <v>2</v>
      </c>
      <c r="DW98" s="32">
        <f t="shared" si="70"/>
        <v>1</v>
      </c>
      <c r="DX98" s="32">
        <f t="shared" si="71"/>
        <v>1</v>
      </c>
      <c r="DY98" s="32">
        <f t="shared" si="72"/>
        <v>1</v>
      </c>
      <c r="DZ98" s="32">
        <f t="shared" si="73"/>
        <v>2</v>
      </c>
      <c r="EA98" s="32">
        <f t="shared" si="74"/>
        <v>2</v>
      </c>
      <c r="EB98" s="39"/>
      <c r="EC98" s="7">
        <v>5401051</v>
      </c>
      <c r="ED98" s="40" t="s">
        <v>123</v>
      </c>
      <c r="EE98" s="16">
        <v>2</v>
      </c>
      <c r="FD98" s="16">
        <v>5401072</v>
      </c>
      <c r="FE98" s="16">
        <v>5200073</v>
      </c>
      <c r="FF98" s="16">
        <v>5301073</v>
      </c>
      <c r="FG98" s="16">
        <v>5302074</v>
      </c>
      <c r="FH98" s="16">
        <v>5400075</v>
      </c>
      <c r="FI98" s="16">
        <v>5400075</v>
      </c>
      <c r="FJ98" t="str">
        <f t="shared" si="107"/>
        <v>火魔法师</v>
      </c>
      <c r="FK98" t="str">
        <f t="shared" si="108"/>
        <v>木刀客</v>
      </c>
      <c r="FL98" t="str">
        <f t="shared" si="109"/>
        <v>木剑士</v>
      </c>
      <c r="FM98" t="str">
        <f t="shared" si="110"/>
        <v>光盗贼</v>
      </c>
      <c r="FN98" t="str">
        <f t="shared" si="111"/>
        <v>暗巫师</v>
      </c>
      <c r="FO98" t="str">
        <f t="shared" si="112"/>
        <v>暗巫师</v>
      </c>
      <c r="FP98" t="str">
        <f t="shared" si="113"/>
        <v>7</v>
      </c>
      <c r="FQ98" t="str">
        <f t="shared" si="114"/>
        <v>7</v>
      </c>
      <c r="FR98" t="str">
        <f t="shared" si="115"/>
        <v>7</v>
      </c>
      <c r="FS98" t="str">
        <f t="shared" si="116"/>
        <v>7</v>
      </c>
      <c r="FT98" t="str">
        <f t="shared" si="117"/>
        <v>7</v>
      </c>
      <c r="FU98" t="str">
        <f t="shared" si="118"/>
        <v>7</v>
      </c>
      <c r="FV98" t="str">
        <f t="shared" si="75"/>
        <v>5</v>
      </c>
      <c r="FW98" t="str">
        <f t="shared" si="76"/>
        <v>5</v>
      </c>
      <c r="FX98" t="str">
        <f t="shared" si="77"/>
        <v>5</v>
      </c>
      <c r="FY98" t="str">
        <f t="shared" si="78"/>
        <v>5</v>
      </c>
      <c r="FZ98" t="str">
        <f t="shared" si="79"/>
        <v>5</v>
      </c>
      <c r="GA98" t="str">
        <f t="shared" si="80"/>
        <v>5</v>
      </c>
    </row>
    <row r="99" spans="1:183" ht="13.5" customHeight="1">
      <c r="A99" s="1">
        <v>1006</v>
      </c>
      <c r="B99" s="6">
        <v>10022</v>
      </c>
      <c r="C99" s="23" t="str">
        <f t="shared" si="81"/>
        <v>5201071,5301072,5302075,5501075,5500073,5502072</v>
      </c>
      <c r="D99" s="1" t="str">
        <f t="shared" si="82"/>
        <v>7,7,7,7,7,7</v>
      </c>
      <c r="E99" s="53" t="str">
        <f t="shared" si="83"/>
        <v>558,539,539,539,539,539</v>
      </c>
      <c r="F99" s="1">
        <f t="shared" si="68"/>
        <v>1460488</v>
      </c>
      <c r="G99" s="23" t="s">
        <v>34</v>
      </c>
      <c r="H99" s="1" t="s">
        <v>28</v>
      </c>
      <c r="I99" s="1" t="s">
        <v>28</v>
      </c>
      <c r="J99" s="1" t="s">
        <v>28</v>
      </c>
      <c r="K99" s="2" t="s">
        <v>397</v>
      </c>
      <c r="L99" s="1">
        <v>2</v>
      </c>
      <c r="M99" s="1">
        <v>5</v>
      </c>
      <c r="O99" s="25">
        <f t="shared" si="84"/>
        <v>1460488</v>
      </c>
      <c r="P99" s="16">
        <v>1460487.82</v>
      </c>
      <c r="Q99" s="16">
        <v>5201071</v>
      </c>
      <c r="R99" s="16">
        <v>5301072</v>
      </c>
      <c r="S99" s="16">
        <v>5302075</v>
      </c>
      <c r="T99" s="16">
        <v>5501075</v>
      </c>
      <c r="U99" s="16">
        <v>5500073</v>
      </c>
      <c r="V99" s="16">
        <v>5502072</v>
      </c>
      <c r="W99" s="16">
        <v>7</v>
      </c>
      <c r="X99" s="16">
        <v>7</v>
      </c>
      <c r="Y99" s="16">
        <v>7</v>
      </c>
      <c r="Z99" s="16">
        <v>7</v>
      </c>
      <c r="AA99" s="16">
        <v>7</v>
      </c>
      <c r="AB99" s="16">
        <v>7</v>
      </c>
      <c r="AC99" s="16">
        <f t="shared" si="85"/>
        <v>558</v>
      </c>
      <c r="AD99" s="16">
        <f t="shared" si="119"/>
        <v>539</v>
      </c>
      <c r="AE99" s="16">
        <f t="shared" si="119"/>
        <v>539</v>
      </c>
      <c r="AF99" s="16">
        <f t="shared" si="119"/>
        <v>539</v>
      </c>
      <c r="AG99" s="16">
        <f t="shared" si="119"/>
        <v>539</v>
      </c>
      <c r="AH99" s="16">
        <f t="shared" si="119"/>
        <v>539</v>
      </c>
      <c r="AI99" s="28">
        <f t="shared" si="86"/>
        <v>292097.56400000001</v>
      </c>
      <c r="AJ99" s="28">
        <f t="shared" si="87"/>
        <v>233678.05120000002</v>
      </c>
      <c r="AK99" s="28">
        <f t="shared" si="87"/>
        <v>233678.05120000002</v>
      </c>
      <c r="AL99" s="28">
        <f t="shared" si="87"/>
        <v>233678.05120000002</v>
      </c>
      <c r="AM99" s="28">
        <f t="shared" si="87"/>
        <v>233678.05120000002</v>
      </c>
      <c r="AN99" s="28">
        <f t="shared" si="87"/>
        <v>233678.05120000002</v>
      </c>
      <c r="AO99" s="30"/>
      <c r="AP99" s="28"/>
      <c r="AQ99" s="16">
        <v>5</v>
      </c>
      <c r="AR99" s="16">
        <f t="shared" si="88"/>
        <v>700</v>
      </c>
      <c r="AS99" s="28">
        <f t="shared" si="89"/>
        <v>1031</v>
      </c>
      <c r="AT99" s="28"/>
      <c r="AU99" s="30">
        <v>1460487.82</v>
      </c>
      <c r="AV99" s="28" t="str">
        <f t="shared" si="90"/>
        <v>小:0</v>
      </c>
      <c r="AW99" s="28"/>
      <c r="AX99" s="28"/>
      <c r="AZ99" s="28"/>
      <c r="BA99" s="16">
        <f t="shared" si="120"/>
        <v>21534.411428571446</v>
      </c>
      <c r="BC99" s="7">
        <f t="shared" si="91"/>
        <v>521</v>
      </c>
      <c r="BP99" s="28"/>
      <c r="BQ99" s="9"/>
      <c r="BR99" s="9">
        <v>4600054</v>
      </c>
      <c r="BS99" s="9">
        <f>[1]monsters!$N99</f>
        <v>153.6</v>
      </c>
      <c r="BT99" s="9">
        <f>[1]monsters!$O99</f>
        <v>15.36</v>
      </c>
      <c r="BU99" s="9">
        <f>[1]monsters!$P99</f>
        <v>1280</v>
      </c>
      <c r="BV99" s="9">
        <f>[1]monsters!$Q99</f>
        <v>128</v>
      </c>
      <c r="BW99" s="9">
        <f>[1]monsters!$R99</f>
        <v>21.94</v>
      </c>
      <c r="BX99" s="9">
        <f>[1]monsters!$S99</f>
        <v>2.19</v>
      </c>
      <c r="BY99" s="9">
        <f>[1]monsters!$K99</f>
        <v>1.5</v>
      </c>
      <c r="BZ99" s="7">
        <f>[1]monsters!$D99</f>
        <v>4</v>
      </c>
      <c r="CA99" s="7">
        <f t="shared" si="92"/>
        <v>0.1</v>
      </c>
      <c r="CB99" s="7">
        <f t="shared" si="93"/>
        <v>188.24964309764312</v>
      </c>
      <c r="CC99" s="7">
        <f t="shared" si="94"/>
        <v>18.824964309764312</v>
      </c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>
        <v>0</v>
      </c>
      <c r="CR99" s="25" t="b">
        <f t="shared" si="95"/>
        <v>1</v>
      </c>
      <c r="CS99" s="25" t="b">
        <f t="shared" si="96"/>
        <v>1</v>
      </c>
      <c r="CT99" s="25" t="b">
        <f t="shared" si="97"/>
        <v>1</v>
      </c>
      <c r="CU99" s="25" t="b">
        <f t="shared" si="98"/>
        <v>1</v>
      </c>
      <c r="CV99" s="25" t="b">
        <f t="shared" si="99"/>
        <v>1</v>
      </c>
      <c r="CW99" s="25" t="b">
        <f t="shared" si="100"/>
        <v>1</v>
      </c>
      <c r="CX99" s="16" t="str">
        <f t="shared" si="101"/>
        <v>5201071</v>
      </c>
      <c r="CY99" s="16" t="str">
        <f t="shared" si="102"/>
        <v>5301072</v>
      </c>
      <c r="CZ99" s="16" t="str">
        <f t="shared" si="103"/>
        <v>5302075</v>
      </c>
      <c r="DA99" s="16" t="str">
        <f t="shared" si="104"/>
        <v>5501075</v>
      </c>
      <c r="DB99" s="16" t="str">
        <f t="shared" si="105"/>
        <v>5500073</v>
      </c>
      <c r="DC99" s="16" t="str">
        <f t="shared" si="106"/>
        <v>5502072</v>
      </c>
      <c r="DD99" s="16">
        <v>7</v>
      </c>
      <c r="DE99" s="16">
        <v>7</v>
      </c>
      <c r="DF99" s="16">
        <v>7</v>
      </c>
      <c r="DG99" s="16">
        <v>7</v>
      </c>
      <c r="DH99" s="16">
        <v>7</v>
      </c>
      <c r="DI99" s="16">
        <v>7</v>
      </c>
      <c r="DJ99" s="16">
        <v>5</v>
      </c>
      <c r="DK99" s="16">
        <v>5</v>
      </c>
      <c r="DL99" s="16">
        <v>5</v>
      </c>
      <c r="DM99" s="16">
        <v>5</v>
      </c>
      <c r="DN99" s="16">
        <v>5</v>
      </c>
      <c r="DO99" s="16">
        <v>5</v>
      </c>
      <c r="DP99" s="51" t="s">
        <v>206</v>
      </c>
      <c r="DQ99" s="51" t="s">
        <v>212</v>
      </c>
      <c r="DR99" s="51" t="s">
        <v>234</v>
      </c>
      <c r="DS99" s="51" t="s">
        <v>221</v>
      </c>
      <c r="DT99" s="51" t="s">
        <v>219</v>
      </c>
      <c r="DU99" s="51" t="s">
        <v>215</v>
      </c>
      <c r="DV99" s="32">
        <f t="shared" si="69"/>
        <v>1</v>
      </c>
      <c r="DW99" s="32">
        <f t="shared" si="70"/>
        <v>1</v>
      </c>
      <c r="DX99" s="32">
        <f t="shared" si="71"/>
        <v>1</v>
      </c>
      <c r="DY99" s="32">
        <f t="shared" si="72"/>
        <v>2</v>
      </c>
      <c r="DZ99" s="32">
        <f t="shared" si="73"/>
        <v>2</v>
      </c>
      <c r="EA99" s="32">
        <f t="shared" si="74"/>
        <v>2</v>
      </c>
      <c r="EB99" s="39"/>
      <c r="EC99" s="7">
        <v>5402051</v>
      </c>
      <c r="ED99" s="40" t="s">
        <v>207</v>
      </c>
      <c r="EE99" s="16">
        <v>2</v>
      </c>
      <c r="FD99" s="16">
        <v>5201071</v>
      </c>
      <c r="FE99" s="16">
        <v>5301072</v>
      </c>
      <c r="FF99" s="16">
        <v>5302075</v>
      </c>
      <c r="FG99" s="16">
        <v>5501075</v>
      </c>
      <c r="FH99" s="16">
        <v>5500073</v>
      </c>
      <c r="FI99" s="16">
        <v>5502072</v>
      </c>
      <c r="FJ99" t="str">
        <f t="shared" si="107"/>
        <v>水骑兵</v>
      </c>
      <c r="FK99" t="str">
        <f t="shared" si="108"/>
        <v>火剑士</v>
      </c>
      <c r="FL99" t="str">
        <f t="shared" si="109"/>
        <v>暗盗贼</v>
      </c>
      <c r="FM99" t="str">
        <f t="shared" si="110"/>
        <v>暗猎人</v>
      </c>
      <c r="FN99" t="str">
        <f t="shared" si="111"/>
        <v>木海盗</v>
      </c>
      <c r="FO99" t="str">
        <f t="shared" si="112"/>
        <v>火火枪手</v>
      </c>
      <c r="FP99" t="str">
        <f t="shared" si="113"/>
        <v>7</v>
      </c>
      <c r="FQ99" t="str">
        <f t="shared" si="114"/>
        <v>7</v>
      </c>
      <c r="FR99" t="str">
        <f t="shared" si="115"/>
        <v>7</v>
      </c>
      <c r="FS99" t="str">
        <f t="shared" si="116"/>
        <v>7</v>
      </c>
      <c r="FT99" t="str">
        <f t="shared" si="117"/>
        <v>7</v>
      </c>
      <c r="FU99" t="str">
        <f t="shared" si="118"/>
        <v>7</v>
      </c>
      <c r="FV99" t="str">
        <f t="shared" si="75"/>
        <v>5</v>
      </c>
      <c r="FW99" t="str">
        <f t="shared" si="76"/>
        <v>5</v>
      </c>
      <c r="FX99" t="str">
        <f t="shared" si="77"/>
        <v>5</v>
      </c>
      <c r="FY99" t="str">
        <f t="shared" si="78"/>
        <v>5</v>
      </c>
      <c r="FZ99" t="str">
        <f t="shared" si="79"/>
        <v>5</v>
      </c>
      <c r="GA99" t="str">
        <f t="shared" si="80"/>
        <v>5</v>
      </c>
    </row>
    <row r="100" spans="1:183" ht="13.5" customHeight="1">
      <c r="A100" s="1">
        <v>1007</v>
      </c>
      <c r="B100" s="6">
        <v>10022</v>
      </c>
      <c r="C100" s="23" t="str">
        <f t="shared" si="81"/>
        <v>5200072,5200072,5301073,5501074,5501075,5502071</v>
      </c>
      <c r="D100" s="1" t="str">
        <f t="shared" si="82"/>
        <v>7,7,7,7,7,7</v>
      </c>
      <c r="E100" s="53" t="str">
        <f t="shared" si="83"/>
        <v>562,542,542,542,542,542</v>
      </c>
      <c r="F100" s="1">
        <f t="shared" si="68"/>
        <v>1478748</v>
      </c>
      <c r="G100" s="23" t="s">
        <v>34</v>
      </c>
      <c r="H100" s="1" t="s">
        <v>28</v>
      </c>
      <c r="I100" s="1" t="s">
        <v>28</v>
      </c>
      <c r="J100" s="1" t="s">
        <v>28</v>
      </c>
      <c r="K100" s="2" t="s">
        <v>398</v>
      </c>
      <c r="L100" s="1">
        <v>3</v>
      </c>
      <c r="M100" s="1">
        <v>2</v>
      </c>
      <c r="O100" s="25">
        <f t="shared" si="84"/>
        <v>1478748</v>
      </c>
      <c r="P100" s="16">
        <v>1478748.15</v>
      </c>
      <c r="Q100" s="16">
        <v>5200072</v>
      </c>
      <c r="R100" s="16">
        <v>5200072</v>
      </c>
      <c r="S100" s="16">
        <v>5301073</v>
      </c>
      <c r="T100" s="16">
        <v>5501074</v>
      </c>
      <c r="U100" s="16">
        <v>5501075</v>
      </c>
      <c r="V100" s="16">
        <v>5502071</v>
      </c>
      <c r="W100" s="16">
        <v>7</v>
      </c>
      <c r="X100" s="16">
        <v>7</v>
      </c>
      <c r="Y100" s="16">
        <v>7</v>
      </c>
      <c r="Z100" s="16">
        <v>7</v>
      </c>
      <c r="AA100" s="16">
        <v>7</v>
      </c>
      <c r="AB100" s="16">
        <v>7</v>
      </c>
      <c r="AC100" s="16">
        <f t="shared" si="85"/>
        <v>562</v>
      </c>
      <c r="AD100" s="16">
        <f t="shared" si="119"/>
        <v>542</v>
      </c>
      <c r="AE100" s="16">
        <f t="shared" si="119"/>
        <v>542</v>
      </c>
      <c r="AF100" s="16">
        <f t="shared" si="119"/>
        <v>542</v>
      </c>
      <c r="AG100" s="16">
        <f t="shared" si="119"/>
        <v>542</v>
      </c>
      <c r="AH100" s="16">
        <f t="shared" si="119"/>
        <v>542</v>
      </c>
      <c r="AI100" s="28">
        <f t="shared" si="86"/>
        <v>295749.63</v>
      </c>
      <c r="AJ100" s="28">
        <f t="shared" si="87"/>
        <v>236599.704</v>
      </c>
      <c r="AK100" s="28">
        <f t="shared" si="87"/>
        <v>236599.704</v>
      </c>
      <c r="AL100" s="28">
        <f t="shared" si="87"/>
        <v>236599.704</v>
      </c>
      <c r="AM100" s="28">
        <f t="shared" si="87"/>
        <v>236599.704</v>
      </c>
      <c r="AN100" s="28">
        <f t="shared" si="87"/>
        <v>236599.704</v>
      </c>
      <c r="AO100" s="30"/>
      <c r="AP100" s="28"/>
      <c r="AQ100" s="16">
        <v>5</v>
      </c>
      <c r="AR100" s="16">
        <f t="shared" si="88"/>
        <v>705</v>
      </c>
      <c r="AS100" s="28">
        <f t="shared" si="89"/>
        <v>1032</v>
      </c>
      <c r="AT100" s="28"/>
      <c r="AU100" s="30">
        <v>1478748.15</v>
      </c>
      <c r="AV100" s="28" t="str">
        <f t="shared" si="90"/>
        <v>小:0</v>
      </c>
      <c r="AW100" s="28"/>
      <c r="AX100" s="28"/>
      <c r="AZ100" s="28"/>
      <c r="BA100" s="16">
        <f t="shared" si="120"/>
        <v>21586.687142857161</v>
      </c>
      <c r="BC100" s="7">
        <f t="shared" si="91"/>
        <v>525</v>
      </c>
      <c r="BP100" s="28"/>
      <c r="BQ100" s="9"/>
      <c r="BR100" s="9">
        <v>4200054</v>
      </c>
      <c r="BS100" s="9">
        <f>[1]monsters!$N100</f>
        <v>179.2</v>
      </c>
      <c r="BT100" s="9">
        <f>[1]monsters!$O100</f>
        <v>17.920000000000002</v>
      </c>
      <c r="BU100" s="9">
        <f>[1]monsters!$P100</f>
        <v>1097.1400000000001</v>
      </c>
      <c r="BV100" s="9">
        <f>[1]monsters!$Q100</f>
        <v>109.71</v>
      </c>
      <c r="BW100" s="9">
        <f>[1]monsters!$R100</f>
        <v>22.4</v>
      </c>
      <c r="BX100" s="9">
        <f>[1]monsters!$S100</f>
        <v>2.2400000000000002</v>
      </c>
      <c r="BY100" s="9">
        <f>[1]monsters!$K100</f>
        <v>1.5</v>
      </c>
      <c r="BZ100" s="7">
        <f>[1]monsters!$D100</f>
        <v>5</v>
      </c>
      <c r="CA100" s="7">
        <f t="shared" si="92"/>
        <v>0.1</v>
      </c>
      <c r="CB100" s="7">
        <f t="shared" si="93"/>
        <v>206.28474074074074</v>
      </c>
      <c r="CC100" s="7">
        <f t="shared" si="94"/>
        <v>20.628474074074077</v>
      </c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>
        <v>0</v>
      </c>
      <c r="CR100" s="25" t="b">
        <f t="shared" si="95"/>
        <v>1</v>
      </c>
      <c r="CS100" s="25" t="b">
        <f t="shared" si="96"/>
        <v>1</v>
      </c>
      <c r="CT100" s="25" t="b">
        <f t="shared" si="97"/>
        <v>1</v>
      </c>
      <c r="CU100" s="25" t="b">
        <f t="shared" si="98"/>
        <v>1</v>
      </c>
      <c r="CV100" s="25" t="b">
        <f t="shared" si="99"/>
        <v>1</v>
      </c>
      <c r="CW100" s="25" t="b">
        <f t="shared" si="100"/>
        <v>1</v>
      </c>
      <c r="CX100" s="16" t="str">
        <f t="shared" si="101"/>
        <v>5200072</v>
      </c>
      <c r="CY100" s="16" t="str">
        <f t="shared" si="102"/>
        <v>5200072</v>
      </c>
      <c r="CZ100" s="16" t="str">
        <f t="shared" si="103"/>
        <v>5301073</v>
      </c>
      <c r="DA100" s="16" t="str">
        <f t="shared" si="104"/>
        <v>5501074</v>
      </c>
      <c r="DB100" s="16" t="str">
        <f t="shared" si="105"/>
        <v>5501075</v>
      </c>
      <c r="DC100" s="16" t="str">
        <f t="shared" si="106"/>
        <v>5502071</v>
      </c>
      <c r="DD100" s="16">
        <v>7</v>
      </c>
      <c r="DE100" s="16">
        <v>7</v>
      </c>
      <c r="DF100" s="16">
        <v>7</v>
      </c>
      <c r="DG100" s="16">
        <v>7</v>
      </c>
      <c r="DH100" s="16">
        <v>7</v>
      </c>
      <c r="DI100" s="16">
        <v>7</v>
      </c>
      <c r="DJ100" s="16">
        <v>5</v>
      </c>
      <c r="DK100" s="16">
        <v>5</v>
      </c>
      <c r="DL100" s="16">
        <v>5</v>
      </c>
      <c r="DM100" s="16">
        <v>5</v>
      </c>
      <c r="DN100" s="16">
        <v>5</v>
      </c>
      <c r="DO100" s="16">
        <v>5</v>
      </c>
      <c r="DP100" s="51" t="s">
        <v>210</v>
      </c>
      <c r="DQ100" s="51" t="s">
        <v>210</v>
      </c>
      <c r="DR100" s="51" t="s">
        <v>218</v>
      </c>
      <c r="DS100" s="51" t="s">
        <v>226</v>
      </c>
      <c r="DT100" s="51" t="s">
        <v>221</v>
      </c>
      <c r="DU100" s="51" t="s">
        <v>130</v>
      </c>
      <c r="DV100" s="32">
        <f t="shared" si="69"/>
        <v>1</v>
      </c>
      <c r="DW100" s="32">
        <f t="shared" si="70"/>
        <v>1</v>
      </c>
      <c r="DX100" s="32">
        <f t="shared" si="71"/>
        <v>1</v>
      </c>
      <c r="DY100" s="32">
        <f t="shared" si="72"/>
        <v>2</v>
      </c>
      <c r="DZ100" s="32">
        <f t="shared" si="73"/>
        <v>2</v>
      </c>
      <c r="EA100" s="32">
        <f t="shared" si="74"/>
        <v>2</v>
      </c>
      <c r="EB100" s="39"/>
      <c r="EC100" s="7">
        <v>5500051</v>
      </c>
      <c r="ED100" s="40" t="s">
        <v>208</v>
      </c>
      <c r="EE100" s="16">
        <v>2</v>
      </c>
      <c r="FD100" s="16">
        <v>5200072</v>
      </c>
      <c r="FE100" s="16">
        <v>5200072</v>
      </c>
      <c r="FF100" s="16">
        <v>5301073</v>
      </c>
      <c r="FG100" s="16">
        <v>5501074</v>
      </c>
      <c r="FH100" s="16">
        <v>5501075</v>
      </c>
      <c r="FI100" s="16">
        <v>5502071</v>
      </c>
      <c r="FJ100" t="str">
        <f t="shared" si="107"/>
        <v>火刀客</v>
      </c>
      <c r="FK100" t="str">
        <f t="shared" si="108"/>
        <v>火刀客</v>
      </c>
      <c r="FL100" t="str">
        <f t="shared" si="109"/>
        <v>木剑士</v>
      </c>
      <c r="FM100" t="str">
        <f t="shared" si="110"/>
        <v>光猎人</v>
      </c>
      <c r="FN100" t="str">
        <f t="shared" si="111"/>
        <v>暗猎人</v>
      </c>
      <c r="FO100" t="str">
        <f t="shared" si="112"/>
        <v>水火枪手</v>
      </c>
      <c r="FP100" t="str">
        <f t="shared" si="113"/>
        <v>7</v>
      </c>
      <c r="FQ100" t="str">
        <f t="shared" si="114"/>
        <v>7</v>
      </c>
      <c r="FR100" t="str">
        <f t="shared" si="115"/>
        <v>7</v>
      </c>
      <c r="FS100" t="str">
        <f t="shared" si="116"/>
        <v>7</v>
      </c>
      <c r="FT100" t="str">
        <f t="shared" si="117"/>
        <v>7</v>
      </c>
      <c r="FU100" t="str">
        <f t="shared" si="118"/>
        <v>7</v>
      </c>
      <c r="FV100" t="str">
        <f t="shared" ref="FV100:FV131" si="121">LEFT(FD100,1)</f>
        <v>5</v>
      </c>
      <c r="FW100" t="str">
        <f t="shared" ref="FW100:FW131" si="122">LEFT(FE100,1)</f>
        <v>5</v>
      </c>
      <c r="FX100" t="str">
        <f t="shared" ref="FX100:FX131" si="123">LEFT(FF100,1)</f>
        <v>5</v>
      </c>
      <c r="FY100" t="str">
        <f t="shared" ref="FY100:FY131" si="124">LEFT(FG100,1)</f>
        <v>5</v>
      </c>
      <c r="FZ100" t="str">
        <f t="shared" ref="FZ100:FZ131" si="125">LEFT(FH100,1)</f>
        <v>5</v>
      </c>
      <c r="GA100" t="str">
        <f t="shared" ref="GA100:GA131" si="126">LEFT(FI100,1)</f>
        <v>5</v>
      </c>
    </row>
    <row r="101" spans="1:183" ht="13.5" customHeight="1">
      <c r="A101" s="1">
        <v>1008</v>
      </c>
      <c r="B101" s="6">
        <v>10022</v>
      </c>
      <c r="C101" s="23" t="str">
        <f t="shared" si="81"/>
        <v>5500071,5200072,5200072,5302074,5400075,5502071</v>
      </c>
      <c r="D101" s="1" t="str">
        <f t="shared" si="82"/>
        <v>7,7,7,7,7,7</v>
      </c>
      <c r="E101" s="53" t="str">
        <f t="shared" si="83"/>
        <v>565,545,545,545,545,545</v>
      </c>
      <c r="F101" s="1">
        <f t="shared" si="68"/>
        <v>1495056</v>
      </c>
      <c r="G101" s="23" t="s">
        <v>34</v>
      </c>
      <c r="H101" s="1" t="s">
        <v>28</v>
      </c>
      <c r="I101" s="1" t="s">
        <v>28</v>
      </c>
      <c r="J101" s="1" t="s">
        <v>28</v>
      </c>
      <c r="K101" s="2" t="s">
        <v>399</v>
      </c>
      <c r="L101" s="1">
        <v>1</v>
      </c>
      <c r="M101" s="1">
        <v>2</v>
      </c>
      <c r="O101" s="25">
        <f t="shared" si="84"/>
        <v>1495056</v>
      </c>
      <c r="P101" s="16">
        <v>1495056.42</v>
      </c>
      <c r="Q101" s="16">
        <v>5500071</v>
      </c>
      <c r="R101" s="16">
        <v>5200072</v>
      </c>
      <c r="S101" s="16">
        <v>5200072</v>
      </c>
      <c r="T101" s="16">
        <v>5302074</v>
      </c>
      <c r="U101" s="16">
        <v>5400075</v>
      </c>
      <c r="V101" s="16">
        <v>5502071</v>
      </c>
      <c r="W101" s="16">
        <v>7</v>
      </c>
      <c r="X101" s="16">
        <v>7</v>
      </c>
      <c r="Y101" s="16">
        <v>7</v>
      </c>
      <c r="Z101" s="16">
        <v>7</v>
      </c>
      <c r="AA101" s="16">
        <v>7</v>
      </c>
      <c r="AB101" s="16">
        <v>7</v>
      </c>
      <c r="AC101" s="16">
        <f t="shared" si="85"/>
        <v>565</v>
      </c>
      <c r="AD101" s="16">
        <f t="shared" si="119"/>
        <v>545</v>
      </c>
      <c r="AE101" s="16">
        <f t="shared" si="119"/>
        <v>545</v>
      </c>
      <c r="AF101" s="16">
        <f t="shared" si="119"/>
        <v>545</v>
      </c>
      <c r="AG101" s="16">
        <f t="shared" si="119"/>
        <v>545</v>
      </c>
      <c r="AH101" s="16">
        <f t="shared" si="119"/>
        <v>545</v>
      </c>
      <c r="AI101" s="28">
        <f t="shared" si="86"/>
        <v>299011.28399999999</v>
      </c>
      <c r="AJ101" s="28">
        <f t="shared" ref="AJ101:AN132" si="127">$P101*0.16</f>
        <v>239209.02719999998</v>
      </c>
      <c r="AK101" s="28">
        <f t="shared" si="127"/>
        <v>239209.02719999998</v>
      </c>
      <c r="AL101" s="28">
        <f t="shared" si="127"/>
        <v>239209.02719999998</v>
      </c>
      <c r="AM101" s="28">
        <f t="shared" si="127"/>
        <v>239209.02719999998</v>
      </c>
      <c r="AN101" s="28">
        <f t="shared" si="127"/>
        <v>239209.02719999998</v>
      </c>
      <c r="AO101" s="30"/>
      <c r="AP101" s="28"/>
      <c r="AQ101" s="16">
        <v>5</v>
      </c>
      <c r="AR101" s="16">
        <f t="shared" si="88"/>
        <v>709</v>
      </c>
      <c r="AS101" s="28">
        <f t="shared" si="89"/>
        <v>1033</v>
      </c>
      <c r="AT101" s="28"/>
      <c r="AU101" s="30">
        <v>1495056.42</v>
      </c>
      <c r="AV101" s="28" t="str">
        <f t="shared" si="90"/>
        <v>小:0</v>
      </c>
      <c r="AW101" s="28"/>
      <c r="AX101" s="28"/>
      <c r="AZ101" s="28"/>
      <c r="BA101" s="16">
        <f t="shared" si="120"/>
        <v>21638.962857142877</v>
      </c>
      <c r="BC101" s="7">
        <f t="shared" si="91"/>
        <v>528</v>
      </c>
      <c r="BP101" s="28"/>
      <c r="BQ101" s="9"/>
      <c r="BR101" s="9">
        <v>4202055</v>
      </c>
      <c r="BS101" s="9">
        <f>[1]monsters!$N101</f>
        <v>167.25</v>
      </c>
      <c r="BT101" s="9">
        <f>[1]monsters!$O101</f>
        <v>16.73</v>
      </c>
      <c r="BU101" s="9">
        <f>[1]monsters!$P101</f>
        <v>1097.1400000000001</v>
      </c>
      <c r="BV101" s="9">
        <f>[1]monsters!$Q101</f>
        <v>109.71</v>
      </c>
      <c r="BW101" s="9">
        <f>[1]monsters!$R101</f>
        <v>20.91</v>
      </c>
      <c r="BX101" s="9">
        <f>[1]monsters!$S101</f>
        <v>2.09</v>
      </c>
      <c r="BY101" s="9">
        <f>[1]monsters!$K101</f>
        <v>1.4000000000000001</v>
      </c>
      <c r="BZ101" s="7">
        <f>[1]monsters!$D101</f>
        <v>5</v>
      </c>
      <c r="CA101" s="7">
        <f t="shared" si="92"/>
        <v>0.1</v>
      </c>
      <c r="CB101" s="7">
        <f t="shared" si="93"/>
        <v>194.99199074074076</v>
      </c>
      <c r="CC101" s="7">
        <f t="shared" si="94"/>
        <v>19.499199074074077</v>
      </c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>
        <v>0</v>
      </c>
      <c r="CR101" s="25" t="b">
        <f t="shared" si="95"/>
        <v>1</v>
      </c>
      <c r="CS101" s="25" t="b">
        <f t="shared" si="96"/>
        <v>1</v>
      </c>
      <c r="CT101" s="25" t="b">
        <f t="shared" si="97"/>
        <v>1</v>
      </c>
      <c r="CU101" s="25" t="b">
        <f t="shared" si="98"/>
        <v>1</v>
      </c>
      <c r="CV101" s="25" t="b">
        <f t="shared" si="99"/>
        <v>1</v>
      </c>
      <c r="CW101" s="25" t="b">
        <f t="shared" si="100"/>
        <v>1</v>
      </c>
      <c r="CX101" s="16" t="str">
        <f t="shared" si="101"/>
        <v>5500071</v>
      </c>
      <c r="CY101" s="16" t="str">
        <f t="shared" si="102"/>
        <v>5200072</v>
      </c>
      <c r="CZ101" s="16" t="str">
        <f t="shared" si="103"/>
        <v>5200072</v>
      </c>
      <c r="DA101" s="16" t="str">
        <f t="shared" si="104"/>
        <v>5302074</v>
      </c>
      <c r="DB101" s="16" t="str">
        <f t="shared" si="105"/>
        <v>5400075</v>
      </c>
      <c r="DC101" s="16" t="str">
        <f t="shared" si="106"/>
        <v>5502071</v>
      </c>
      <c r="DD101" s="16">
        <v>7</v>
      </c>
      <c r="DE101" s="16">
        <v>7</v>
      </c>
      <c r="DF101" s="16">
        <v>7</v>
      </c>
      <c r="DG101" s="16">
        <v>7</v>
      </c>
      <c r="DH101" s="16">
        <v>7</v>
      </c>
      <c r="DI101" s="16">
        <v>7</v>
      </c>
      <c r="DJ101" s="16">
        <v>5</v>
      </c>
      <c r="DK101" s="16">
        <v>5</v>
      </c>
      <c r="DL101" s="16">
        <v>5</v>
      </c>
      <c r="DM101" s="16">
        <v>5</v>
      </c>
      <c r="DN101" s="16">
        <v>5</v>
      </c>
      <c r="DO101" s="16">
        <v>5</v>
      </c>
      <c r="DP101" s="51" t="s">
        <v>208</v>
      </c>
      <c r="DQ101" s="51" t="s">
        <v>210</v>
      </c>
      <c r="DR101" s="51" t="s">
        <v>210</v>
      </c>
      <c r="DS101" s="51" t="s">
        <v>237</v>
      </c>
      <c r="DT101" s="51" t="s">
        <v>222</v>
      </c>
      <c r="DU101" s="51" t="s">
        <v>130</v>
      </c>
      <c r="DV101" s="32">
        <f t="shared" si="69"/>
        <v>2</v>
      </c>
      <c r="DW101" s="32">
        <f t="shared" si="70"/>
        <v>1</v>
      </c>
      <c r="DX101" s="32">
        <f t="shared" si="71"/>
        <v>1</v>
      </c>
      <c r="DY101" s="32">
        <f t="shared" si="72"/>
        <v>1</v>
      </c>
      <c r="DZ101" s="32">
        <f t="shared" si="73"/>
        <v>2</v>
      </c>
      <c r="EA101" s="32">
        <f t="shared" si="74"/>
        <v>2</v>
      </c>
      <c r="EB101" s="39"/>
      <c r="EC101" s="7">
        <v>5502051</v>
      </c>
      <c r="ED101" s="40" t="s">
        <v>130</v>
      </c>
      <c r="EE101" s="16">
        <v>2</v>
      </c>
      <c r="FD101" s="16">
        <v>5500071</v>
      </c>
      <c r="FE101" s="16">
        <v>5200072</v>
      </c>
      <c r="FF101" s="16">
        <v>5200072</v>
      </c>
      <c r="FG101" s="16">
        <v>5302074</v>
      </c>
      <c r="FH101" s="16">
        <v>5400075</v>
      </c>
      <c r="FI101" s="16">
        <v>5502071</v>
      </c>
      <c r="FJ101" t="str">
        <f t="shared" si="107"/>
        <v>水海盗</v>
      </c>
      <c r="FK101" t="str">
        <f t="shared" si="108"/>
        <v>火刀客</v>
      </c>
      <c r="FL101" t="str">
        <f t="shared" si="109"/>
        <v>火刀客</v>
      </c>
      <c r="FM101" t="str">
        <f t="shared" si="110"/>
        <v>光盗贼</v>
      </c>
      <c r="FN101" t="str">
        <f t="shared" si="111"/>
        <v>暗巫师</v>
      </c>
      <c r="FO101" t="str">
        <f t="shared" si="112"/>
        <v>水火枪手</v>
      </c>
      <c r="FP101" t="str">
        <f t="shared" si="113"/>
        <v>7</v>
      </c>
      <c r="FQ101" t="str">
        <f t="shared" si="114"/>
        <v>7</v>
      </c>
      <c r="FR101" t="str">
        <f t="shared" si="115"/>
        <v>7</v>
      </c>
      <c r="FS101" t="str">
        <f t="shared" si="116"/>
        <v>7</v>
      </c>
      <c r="FT101" t="str">
        <f t="shared" si="117"/>
        <v>7</v>
      </c>
      <c r="FU101" t="str">
        <f t="shared" si="118"/>
        <v>7</v>
      </c>
      <c r="FV101" t="str">
        <f t="shared" si="121"/>
        <v>5</v>
      </c>
      <c r="FW101" t="str">
        <f t="shared" si="122"/>
        <v>5</v>
      </c>
      <c r="FX101" t="str">
        <f t="shared" si="123"/>
        <v>5</v>
      </c>
      <c r="FY101" t="str">
        <f t="shared" si="124"/>
        <v>5</v>
      </c>
      <c r="FZ101" t="str">
        <f t="shared" si="125"/>
        <v>5</v>
      </c>
      <c r="GA101" t="str">
        <f t="shared" si="126"/>
        <v>5</v>
      </c>
    </row>
    <row r="102" spans="1:183" ht="13.5" customHeight="1">
      <c r="A102" s="1">
        <v>1009</v>
      </c>
      <c r="B102" s="6">
        <v>10022</v>
      </c>
      <c r="C102" s="23" t="str">
        <f t="shared" si="81"/>
        <v>5201071,5301072,5300075,5501075,5500073,5502072</v>
      </c>
      <c r="D102" s="1" t="str">
        <f t="shared" si="82"/>
        <v>7,7,7,7,7,7</v>
      </c>
      <c r="E102" s="53" t="str">
        <f t="shared" si="83"/>
        <v>568,549,549,549,549,549</v>
      </c>
      <c r="F102" s="1">
        <f t="shared" si="68"/>
        <v>1513530</v>
      </c>
      <c r="G102" s="23" t="s">
        <v>34</v>
      </c>
      <c r="H102" s="1" t="s">
        <v>28</v>
      </c>
      <c r="I102" s="1" t="s">
        <v>28</v>
      </c>
      <c r="J102" s="1" t="s">
        <v>28</v>
      </c>
      <c r="K102" s="2" t="s">
        <v>400</v>
      </c>
      <c r="L102" s="1">
        <v>2</v>
      </c>
      <c r="M102" s="1">
        <v>4</v>
      </c>
      <c r="O102" s="25">
        <f t="shared" si="84"/>
        <v>1513530</v>
      </c>
      <c r="P102" s="16">
        <v>1513529.93</v>
      </c>
      <c r="Q102" s="16">
        <v>5201071</v>
      </c>
      <c r="R102" s="16">
        <v>5301072</v>
      </c>
      <c r="S102" s="16">
        <v>5300075</v>
      </c>
      <c r="T102" s="16">
        <v>5501075</v>
      </c>
      <c r="U102" s="16">
        <v>5500073</v>
      </c>
      <c r="V102" s="16">
        <v>5502072</v>
      </c>
      <c r="W102" s="16">
        <v>7</v>
      </c>
      <c r="X102" s="16">
        <v>7</v>
      </c>
      <c r="Y102" s="16">
        <v>7</v>
      </c>
      <c r="Z102" s="16">
        <v>7</v>
      </c>
      <c r="AA102" s="16">
        <v>7</v>
      </c>
      <c r="AB102" s="16">
        <v>7</v>
      </c>
      <c r="AC102" s="16">
        <f t="shared" si="85"/>
        <v>568</v>
      </c>
      <c r="AD102" s="16">
        <f t="shared" si="119"/>
        <v>549</v>
      </c>
      <c r="AE102" s="16">
        <f t="shared" si="119"/>
        <v>549</v>
      </c>
      <c r="AF102" s="16">
        <f t="shared" si="119"/>
        <v>549</v>
      </c>
      <c r="AG102" s="16">
        <f t="shared" si="119"/>
        <v>549</v>
      </c>
      <c r="AH102" s="16">
        <f t="shared" si="119"/>
        <v>549</v>
      </c>
      <c r="AI102" s="28">
        <f t="shared" si="86"/>
        <v>302705.98599999998</v>
      </c>
      <c r="AJ102" s="28">
        <f t="shared" si="127"/>
        <v>242164.78879999998</v>
      </c>
      <c r="AK102" s="28">
        <f t="shared" si="127"/>
        <v>242164.78879999998</v>
      </c>
      <c r="AL102" s="28">
        <f t="shared" si="127"/>
        <v>242164.78879999998</v>
      </c>
      <c r="AM102" s="28">
        <f t="shared" si="127"/>
        <v>242164.78879999998</v>
      </c>
      <c r="AN102" s="28">
        <f t="shared" si="127"/>
        <v>242164.78879999998</v>
      </c>
      <c r="AO102" s="30"/>
      <c r="AP102" s="28"/>
      <c r="AQ102" s="16">
        <v>5</v>
      </c>
      <c r="AR102" s="16">
        <f t="shared" si="88"/>
        <v>713</v>
      </c>
      <c r="AS102" s="28">
        <f t="shared" si="89"/>
        <v>1034</v>
      </c>
      <c r="AT102" s="28"/>
      <c r="AU102" s="30">
        <v>1513529.93</v>
      </c>
      <c r="AV102" s="28" t="str">
        <f t="shared" si="90"/>
        <v>小:0</v>
      </c>
      <c r="AW102" s="28"/>
      <c r="AX102" s="28"/>
      <c r="AZ102" s="28"/>
      <c r="BA102" s="16">
        <f t="shared" si="120"/>
        <v>21691.238571428592</v>
      </c>
      <c r="BC102" s="7">
        <f t="shared" si="91"/>
        <v>531</v>
      </c>
      <c r="BP102" s="28"/>
      <c r="BQ102" s="9"/>
      <c r="BR102" s="9">
        <v>4302055</v>
      </c>
      <c r="BS102" s="9">
        <f>[1]monsters!$N102</f>
        <v>198.4</v>
      </c>
      <c r="BT102" s="9">
        <f>[1]monsters!$O102</f>
        <v>19.84</v>
      </c>
      <c r="BU102" s="9">
        <f>[1]monsters!$P102</f>
        <v>990.97</v>
      </c>
      <c r="BV102" s="9">
        <f>[1]monsters!$Q102</f>
        <v>99.1</v>
      </c>
      <c r="BW102" s="9">
        <f>[1]monsters!$R102</f>
        <v>19.84</v>
      </c>
      <c r="BX102" s="9">
        <f>[1]monsters!$S102</f>
        <v>1.98</v>
      </c>
      <c r="BY102" s="9">
        <f>[1]monsters!$K102</f>
        <v>1.5</v>
      </c>
      <c r="BZ102" s="7">
        <f>[1]monsters!$D102</f>
        <v>6</v>
      </c>
      <c r="CA102" s="7">
        <f t="shared" si="92"/>
        <v>0.1</v>
      </c>
      <c r="CB102" s="7">
        <f t="shared" si="93"/>
        <v>220.8539932659933</v>
      </c>
      <c r="CC102" s="7">
        <f t="shared" si="94"/>
        <v>22.08539932659933</v>
      </c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>
        <v>0</v>
      </c>
      <c r="CR102" s="25" t="b">
        <f t="shared" si="95"/>
        <v>1</v>
      </c>
      <c r="CS102" s="25" t="b">
        <f t="shared" si="96"/>
        <v>1</v>
      </c>
      <c r="CT102" s="25" t="b">
        <f t="shared" si="97"/>
        <v>1</v>
      </c>
      <c r="CU102" s="25" t="b">
        <f t="shared" si="98"/>
        <v>1</v>
      </c>
      <c r="CV102" s="25" t="b">
        <f t="shared" si="99"/>
        <v>1</v>
      </c>
      <c r="CW102" s="25" t="b">
        <f t="shared" si="100"/>
        <v>1</v>
      </c>
      <c r="CX102" s="16" t="str">
        <f t="shared" si="101"/>
        <v>5201071</v>
      </c>
      <c r="CY102" s="16" t="str">
        <f t="shared" si="102"/>
        <v>5301072</v>
      </c>
      <c r="CZ102" s="16" t="str">
        <f t="shared" si="103"/>
        <v>5300075</v>
      </c>
      <c r="DA102" s="16" t="str">
        <f t="shared" si="104"/>
        <v>5501075</v>
      </c>
      <c r="DB102" s="16" t="str">
        <f t="shared" si="105"/>
        <v>5500073</v>
      </c>
      <c r="DC102" s="16" t="str">
        <f t="shared" si="106"/>
        <v>5502072</v>
      </c>
      <c r="DD102" s="16">
        <v>7</v>
      </c>
      <c r="DE102" s="16">
        <v>7</v>
      </c>
      <c r="DF102" s="16">
        <v>7</v>
      </c>
      <c r="DG102" s="16">
        <v>7</v>
      </c>
      <c r="DH102" s="16">
        <v>7</v>
      </c>
      <c r="DI102" s="16">
        <v>7</v>
      </c>
      <c r="DJ102" s="16">
        <v>5</v>
      </c>
      <c r="DK102" s="16">
        <v>5</v>
      </c>
      <c r="DL102" s="16">
        <v>5</v>
      </c>
      <c r="DM102" s="16">
        <v>5</v>
      </c>
      <c r="DN102" s="16">
        <v>5</v>
      </c>
      <c r="DO102" s="16">
        <v>5</v>
      </c>
      <c r="DP102" s="51" t="s">
        <v>206</v>
      </c>
      <c r="DQ102" s="51" t="s">
        <v>212</v>
      </c>
      <c r="DR102" s="51" t="s">
        <v>224</v>
      </c>
      <c r="DS102" s="51" t="s">
        <v>221</v>
      </c>
      <c r="DT102" s="51" t="s">
        <v>219</v>
      </c>
      <c r="DU102" s="51" t="s">
        <v>215</v>
      </c>
      <c r="DV102" s="32">
        <f t="shared" si="69"/>
        <v>1</v>
      </c>
      <c r="DW102" s="32">
        <f t="shared" si="70"/>
        <v>1</v>
      </c>
      <c r="DX102" s="32">
        <f t="shared" si="71"/>
        <v>1</v>
      </c>
      <c r="DY102" s="32">
        <f t="shared" si="72"/>
        <v>2</v>
      </c>
      <c r="DZ102" s="32">
        <f t="shared" si="73"/>
        <v>2</v>
      </c>
      <c r="EA102" s="32">
        <f t="shared" si="74"/>
        <v>2</v>
      </c>
      <c r="EB102" s="39"/>
      <c r="EC102" s="7">
        <v>5601051</v>
      </c>
      <c r="ED102" s="40" t="s">
        <v>209</v>
      </c>
      <c r="EE102" s="16">
        <v>2</v>
      </c>
      <c r="FD102" s="16">
        <v>5201071</v>
      </c>
      <c r="FE102" s="16">
        <v>5301072</v>
      </c>
      <c r="FF102" s="16">
        <v>5300075</v>
      </c>
      <c r="FG102" s="16">
        <v>5501075</v>
      </c>
      <c r="FH102" s="16">
        <v>5500073</v>
      </c>
      <c r="FI102" s="16">
        <v>5502072</v>
      </c>
      <c r="FJ102" t="str">
        <f t="shared" si="107"/>
        <v>水骑兵</v>
      </c>
      <c r="FK102" t="str">
        <f t="shared" si="108"/>
        <v>火剑士</v>
      </c>
      <c r="FL102" t="str">
        <f t="shared" si="109"/>
        <v>暗武士</v>
      </c>
      <c r="FM102" t="str">
        <f t="shared" si="110"/>
        <v>暗猎人</v>
      </c>
      <c r="FN102" t="str">
        <f t="shared" si="111"/>
        <v>木海盗</v>
      </c>
      <c r="FO102" t="str">
        <f t="shared" si="112"/>
        <v>火火枪手</v>
      </c>
      <c r="FP102" t="str">
        <f t="shared" si="113"/>
        <v>7</v>
      </c>
      <c r="FQ102" t="str">
        <f t="shared" si="114"/>
        <v>7</v>
      </c>
      <c r="FR102" t="str">
        <f t="shared" si="115"/>
        <v>7</v>
      </c>
      <c r="FS102" t="str">
        <f t="shared" si="116"/>
        <v>7</v>
      </c>
      <c r="FT102" t="str">
        <f t="shared" si="117"/>
        <v>7</v>
      </c>
      <c r="FU102" t="str">
        <f t="shared" si="118"/>
        <v>7</v>
      </c>
      <c r="FV102" t="str">
        <f t="shared" si="121"/>
        <v>5</v>
      </c>
      <c r="FW102" t="str">
        <f t="shared" si="122"/>
        <v>5</v>
      </c>
      <c r="FX102" t="str">
        <f t="shared" si="123"/>
        <v>5</v>
      </c>
      <c r="FY102" t="str">
        <f t="shared" si="124"/>
        <v>5</v>
      </c>
      <c r="FZ102" t="str">
        <f t="shared" si="125"/>
        <v>5</v>
      </c>
      <c r="GA102" t="str">
        <f t="shared" si="126"/>
        <v>5</v>
      </c>
    </row>
    <row r="103" spans="1:183" ht="13.5" customHeight="1">
      <c r="A103" s="1">
        <v>1010</v>
      </c>
      <c r="B103" s="6">
        <v>10022</v>
      </c>
      <c r="C103" s="23" t="str">
        <f t="shared" si="81"/>
        <v>5200072,5200072,5301073,5501074,5501075,5502071</v>
      </c>
      <c r="D103" s="1" t="str">
        <f t="shared" si="82"/>
        <v>7,7,7,7,7,7</v>
      </c>
      <c r="E103" s="53" t="str">
        <f t="shared" si="83"/>
        <v>572,552,552,552,552,552</v>
      </c>
      <c r="F103" s="1">
        <f t="shared" si="68"/>
        <v>1530033</v>
      </c>
      <c r="G103" s="23" t="s">
        <v>34</v>
      </c>
      <c r="H103" s="1" t="s">
        <v>28</v>
      </c>
      <c r="I103" s="1" t="s">
        <v>28</v>
      </c>
      <c r="J103" s="1" t="s">
        <v>28</v>
      </c>
      <c r="K103" s="2" t="s">
        <v>401</v>
      </c>
      <c r="L103" s="1">
        <v>3</v>
      </c>
      <c r="M103" s="1">
        <v>4</v>
      </c>
      <c r="O103" s="25">
        <f t="shared" si="84"/>
        <v>1530033</v>
      </c>
      <c r="P103" s="16">
        <v>1530032.57</v>
      </c>
      <c r="Q103" s="16">
        <v>5200072</v>
      </c>
      <c r="R103" s="16">
        <v>5200072</v>
      </c>
      <c r="S103" s="16">
        <v>5301073</v>
      </c>
      <c r="T103" s="16">
        <v>5501074</v>
      </c>
      <c r="U103" s="16">
        <v>5501075</v>
      </c>
      <c r="V103" s="16">
        <v>5502071</v>
      </c>
      <c r="W103" s="16">
        <v>7</v>
      </c>
      <c r="X103" s="16">
        <v>7</v>
      </c>
      <c r="Y103" s="16">
        <v>7</v>
      </c>
      <c r="Z103" s="16">
        <v>7</v>
      </c>
      <c r="AA103" s="16">
        <v>7</v>
      </c>
      <c r="AB103" s="16">
        <v>7</v>
      </c>
      <c r="AC103" s="16">
        <f t="shared" si="85"/>
        <v>572</v>
      </c>
      <c r="AD103" s="16">
        <f t="shared" si="119"/>
        <v>552</v>
      </c>
      <c r="AE103" s="16">
        <f t="shared" si="119"/>
        <v>552</v>
      </c>
      <c r="AF103" s="16">
        <f t="shared" si="119"/>
        <v>552</v>
      </c>
      <c r="AG103" s="16">
        <f t="shared" si="119"/>
        <v>552</v>
      </c>
      <c r="AH103" s="16">
        <f t="shared" si="119"/>
        <v>552</v>
      </c>
      <c r="AI103" s="28">
        <f t="shared" si="86"/>
        <v>306006.51400000002</v>
      </c>
      <c r="AJ103" s="28">
        <f t="shared" si="127"/>
        <v>244805.21120000002</v>
      </c>
      <c r="AK103" s="28">
        <f t="shared" si="127"/>
        <v>244805.21120000002</v>
      </c>
      <c r="AL103" s="28">
        <f t="shared" si="127"/>
        <v>244805.21120000002</v>
      </c>
      <c r="AM103" s="28">
        <f t="shared" si="127"/>
        <v>244805.21120000002</v>
      </c>
      <c r="AN103" s="28">
        <f t="shared" si="127"/>
        <v>244805.21120000002</v>
      </c>
      <c r="AO103" s="30"/>
      <c r="AP103" s="28"/>
      <c r="AQ103" s="16">
        <v>5</v>
      </c>
      <c r="AR103" s="16">
        <f t="shared" si="88"/>
        <v>717</v>
      </c>
      <c r="AS103" s="28">
        <f t="shared" si="89"/>
        <v>1035</v>
      </c>
      <c r="AT103" s="28"/>
      <c r="AU103" s="30">
        <v>1530032.57</v>
      </c>
      <c r="AV103" s="28" t="str">
        <f t="shared" si="90"/>
        <v>小:0</v>
      </c>
      <c r="AW103" s="28"/>
      <c r="AX103" s="28"/>
      <c r="AZ103" s="28"/>
      <c r="BA103" s="16">
        <f t="shared" si="120"/>
        <v>21743.514285714307</v>
      </c>
      <c r="BC103" s="7">
        <f t="shared" si="91"/>
        <v>534</v>
      </c>
      <c r="BP103" s="28"/>
      <c r="BQ103" s="9"/>
      <c r="BR103" s="9">
        <v>4400055</v>
      </c>
      <c r="BS103" s="9">
        <f>[1]monsters!$N103</f>
        <v>128</v>
      </c>
      <c r="BT103" s="9">
        <f>[1]monsters!$O103</f>
        <v>12.8</v>
      </c>
      <c r="BU103" s="9">
        <f>[1]monsters!$P103</f>
        <v>1536</v>
      </c>
      <c r="BV103" s="9">
        <f>[1]monsters!$Q103</f>
        <v>153.6</v>
      </c>
      <c r="BW103" s="9">
        <f>[1]monsters!$R103</f>
        <v>32</v>
      </c>
      <c r="BX103" s="9">
        <f>[1]monsters!$S103</f>
        <v>3.2</v>
      </c>
      <c r="BY103" s="9">
        <f>[1]monsters!$K103</f>
        <v>1.5</v>
      </c>
      <c r="BZ103" s="7">
        <f>[1]monsters!$D103</f>
        <v>2</v>
      </c>
      <c r="CA103" s="7">
        <f t="shared" si="92"/>
        <v>0.1</v>
      </c>
      <c r="CB103" s="7">
        <f t="shared" si="93"/>
        <v>172.67717171717172</v>
      </c>
      <c r="CC103" s="7">
        <f t="shared" si="94"/>
        <v>17.267717171717173</v>
      </c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>
        <v>1</v>
      </c>
      <c r="CR103" s="25" t="b">
        <f t="shared" si="95"/>
        <v>1</v>
      </c>
      <c r="CS103" s="25" t="b">
        <f t="shared" si="96"/>
        <v>1</v>
      </c>
      <c r="CT103" s="25" t="b">
        <f t="shared" si="97"/>
        <v>1</v>
      </c>
      <c r="CU103" s="25" t="b">
        <f t="shared" si="98"/>
        <v>1</v>
      </c>
      <c r="CV103" s="25" t="b">
        <f t="shared" si="99"/>
        <v>1</v>
      </c>
      <c r="CW103" s="25" t="b">
        <f t="shared" si="100"/>
        <v>1</v>
      </c>
      <c r="CX103" s="16" t="str">
        <f t="shared" si="101"/>
        <v>5200072</v>
      </c>
      <c r="CY103" s="16" t="str">
        <f t="shared" si="102"/>
        <v>5200072</v>
      </c>
      <c r="CZ103" s="16" t="str">
        <f t="shared" si="103"/>
        <v>5301073</v>
      </c>
      <c r="DA103" s="16" t="str">
        <f t="shared" si="104"/>
        <v>5501074</v>
      </c>
      <c r="DB103" s="16" t="str">
        <f t="shared" si="105"/>
        <v>5501075</v>
      </c>
      <c r="DC103" s="16" t="str">
        <f t="shared" si="106"/>
        <v>5502071</v>
      </c>
      <c r="DD103" s="16">
        <v>7</v>
      </c>
      <c r="DE103" s="16">
        <v>7</v>
      </c>
      <c r="DF103" s="16">
        <v>7</v>
      </c>
      <c r="DG103" s="16">
        <v>7</v>
      </c>
      <c r="DH103" s="16">
        <v>7</v>
      </c>
      <c r="DI103" s="16">
        <v>7</v>
      </c>
      <c r="DJ103" s="16">
        <v>5</v>
      </c>
      <c r="DK103" s="16">
        <v>5</v>
      </c>
      <c r="DL103" s="16">
        <v>5</v>
      </c>
      <c r="DM103" s="16">
        <v>5</v>
      </c>
      <c r="DN103" s="16">
        <v>5</v>
      </c>
      <c r="DO103" s="16">
        <v>5</v>
      </c>
      <c r="DP103" s="51" t="s">
        <v>210</v>
      </c>
      <c r="DQ103" s="51" t="s">
        <v>210</v>
      </c>
      <c r="DR103" s="51" t="s">
        <v>218</v>
      </c>
      <c r="DS103" s="51" t="s">
        <v>226</v>
      </c>
      <c r="DT103" s="51" t="s">
        <v>221</v>
      </c>
      <c r="DU103" s="51" t="s">
        <v>130</v>
      </c>
      <c r="DV103" s="32">
        <f t="shared" si="69"/>
        <v>1</v>
      </c>
      <c r="DW103" s="32">
        <f t="shared" si="70"/>
        <v>1</v>
      </c>
      <c r="DX103" s="32">
        <f t="shared" si="71"/>
        <v>1</v>
      </c>
      <c r="DY103" s="32">
        <f t="shared" si="72"/>
        <v>2</v>
      </c>
      <c r="DZ103" s="32">
        <f t="shared" si="73"/>
        <v>2</v>
      </c>
      <c r="EA103" s="32">
        <f t="shared" si="74"/>
        <v>2</v>
      </c>
      <c r="EB103" s="39"/>
      <c r="EC103" s="7">
        <v>5200052</v>
      </c>
      <c r="ED103" s="40" t="s">
        <v>210</v>
      </c>
      <c r="EE103" s="16">
        <v>1</v>
      </c>
      <c r="FD103" s="16">
        <v>5200072</v>
      </c>
      <c r="FE103" s="16">
        <v>5200072</v>
      </c>
      <c r="FF103" s="16">
        <v>5301073</v>
      </c>
      <c r="FG103" s="16">
        <v>5501074</v>
      </c>
      <c r="FH103" s="16">
        <v>5501075</v>
      </c>
      <c r="FI103" s="16">
        <v>5502071</v>
      </c>
      <c r="FJ103" t="str">
        <f t="shared" si="107"/>
        <v>火刀客</v>
      </c>
      <c r="FK103" t="str">
        <f t="shared" si="108"/>
        <v>火刀客</v>
      </c>
      <c r="FL103" t="str">
        <f t="shared" si="109"/>
        <v>木剑士</v>
      </c>
      <c r="FM103" t="str">
        <f t="shared" si="110"/>
        <v>光猎人</v>
      </c>
      <c r="FN103" t="str">
        <f t="shared" si="111"/>
        <v>暗猎人</v>
      </c>
      <c r="FO103" t="str">
        <f t="shared" si="112"/>
        <v>水火枪手</v>
      </c>
      <c r="FP103" t="str">
        <f t="shared" si="113"/>
        <v>7</v>
      </c>
      <c r="FQ103" t="str">
        <f t="shared" si="114"/>
        <v>7</v>
      </c>
      <c r="FR103" t="str">
        <f t="shared" si="115"/>
        <v>7</v>
      </c>
      <c r="FS103" t="str">
        <f t="shared" si="116"/>
        <v>7</v>
      </c>
      <c r="FT103" t="str">
        <f t="shared" si="117"/>
        <v>7</v>
      </c>
      <c r="FU103" t="str">
        <f t="shared" si="118"/>
        <v>7</v>
      </c>
      <c r="FV103" t="str">
        <f t="shared" si="121"/>
        <v>5</v>
      </c>
      <c r="FW103" t="str">
        <f t="shared" si="122"/>
        <v>5</v>
      </c>
      <c r="FX103" t="str">
        <f t="shared" si="123"/>
        <v>5</v>
      </c>
      <c r="FY103" t="str">
        <f t="shared" si="124"/>
        <v>5</v>
      </c>
      <c r="FZ103" t="str">
        <f t="shared" si="125"/>
        <v>5</v>
      </c>
      <c r="GA103" t="str">
        <f t="shared" si="126"/>
        <v>5</v>
      </c>
    </row>
    <row r="104" spans="1:183" ht="13.5" customHeight="1">
      <c r="A104" s="1">
        <v>1101</v>
      </c>
      <c r="B104" s="6">
        <v>10162</v>
      </c>
      <c r="C104" s="23" t="str">
        <f t="shared" si="81"/>
        <v>5301072,5302075,5202073,5402071,5400075,5500073</v>
      </c>
      <c r="D104" s="1" t="str">
        <f t="shared" si="82"/>
        <v>7,7,7,7,7,7</v>
      </c>
      <c r="E104" s="53" t="str">
        <f t="shared" si="83"/>
        <v>576,556,556,556,556,556</v>
      </c>
      <c r="F104" s="1">
        <f t="shared" si="68"/>
        <v>1555046</v>
      </c>
      <c r="G104" s="23" t="s">
        <v>34</v>
      </c>
      <c r="H104" s="1" t="s">
        <v>28</v>
      </c>
      <c r="I104" s="1" t="s">
        <v>28</v>
      </c>
      <c r="J104" s="1" t="s">
        <v>28</v>
      </c>
      <c r="K104" s="2" t="s">
        <v>402</v>
      </c>
      <c r="L104" s="1">
        <v>0</v>
      </c>
      <c r="M104" s="1">
        <v>6</v>
      </c>
      <c r="O104" s="25">
        <f t="shared" si="84"/>
        <v>1555046</v>
      </c>
      <c r="P104" s="16">
        <v>1555045.69</v>
      </c>
      <c r="Q104" s="16">
        <v>5301072</v>
      </c>
      <c r="R104" s="16">
        <v>5302075</v>
      </c>
      <c r="S104" s="16">
        <v>5202073</v>
      </c>
      <c r="T104" s="16">
        <v>5402071</v>
      </c>
      <c r="U104" s="16">
        <v>5400075</v>
      </c>
      <c r="V104" s="16">
        <v>5500073</v>
      </c>
      <c r="W104" s="16">
        <v>7</v>
      </c>
      <c r="X104" s="16">
        <v>7</v>
      </c>
      <c r="Y104" s="16">
        <v>7</v>
      </c>
      <c r="Z104" s="16">
        <v>7</v>
      </c>
      <c r="AA104" s="16">
        <v>7</v>
      </c>
      <c r="AB104" s="16">
        <v>7</v>
      </c>
      <c r="AC104" s="16">
        <f t="shared" si="85"/>
        <v>576</v>
      </c>
      <c r="AD104" s="16">
        <f t="shared" si="119"/>
        <v>556</v>
      </c>
      <c r="AE104" s="16">
        <f t="shared" si="119"/>
        <v>556</v>
      </c>
      <c r="AF104" s="16">
        <f t="shared" si="119"/>
        <v>556</v>
      </c>
      <c r="AG104" s="16">
        <f t="shared" si="119"/>
        <v>556</v>
      </c>
      <c r="AH104" s="16">
        <f t="shared" si="119"/>
        <v>556</v>
      </c>
      <c r="AI104" s="28">
        <f t="shared" si="86"/>
        <v>311009.13799999998</v>
      </c>
      <c r="AJ104" s="28">
        <f t="shared" si="127"/>
        <v>248807.31039999999</v>
      </c>
      <c r="AK104" s="28">
        <f t="shared" si="127"/>
        <v>248807.31039999999</v>
      </c>
      <c r="AL104" s="28">
        <f t="shared" si="127"/>
        <v>248807.31039999999</v>
      </c>
      <c r="AM104" s="28">
        <f t="shared" si="127"/>
        <v>248807.31039999999</v>
      </c>
      <c r="AN104" s="28">
        <f t="shared" si="127"/>
        <v>248807.31039999999</v>
      </c>
      <c r="AO104" s="30"/>
      <c r="AP104" s="28"/>
      <c r="AQ104" s="16">
        <v>5</v>
      </c>
      <c r="AR104" s="16">
        <f t="shared" si="88"/>
        <v>723</v>
      </c>
      <c r="AS104" s="28">
        <f t="shared" si="89"/>
        <v>1126</v>
      </c>
      <c r="AT104" s="28"/>
      <c r="AU104" s="30">
        <v>1555045.69</v>
      </c>
      <c r="AV104" s="28" t="str">
        <f t="shared" si="90"/>
        <v>小:0</v>
      </c>
      <c r="AW104" s="28"/>
      <c r="AX104" s="28"/>
      <c r="AZ104" s="28"/>
      <c r="BA104" s="16">
        <f t="shared" si="120"/>
        <v>21795.790000000023</v>
      </c>
      <c r="BC104" s="7">
        <f t="shared" si="91"/>
        <v>538</v>
      </c>
      <c r="BP104" s="28"/>
      <c r="BQ104" s="9"/>
      <c r="BR104" s="9">
        <v>4500055</v>
      </c>
      <c r="BS104" s="9">
        <f>[1]monsters!$N104</f>
        <v>122.88</v>
      </c>
      <c r="BT104" s="9">
        <f>[1]monsters!$O104</f>
        <v>12.29</v>
      </c>
      <c r="BU104" s="9">
        <f>[1]monsters!$P104</f>
        <v>1920</v>
      </c>
      <c r="BV104" s="9">
        <f>[1]monsters!$Q104</f>
        <v>192</v>
      </c>
      <c r="BW104" s="9">
        <f>[1]monsters!$R104</f>
        <v>40.96</v>
      </c>
      <c r="BX104" s="9">
        <f>[1]monsters!$S104</f>
        <v>4.0999999999999996</v>
      </c>
      <c r="BY104" s="9">
        <f>[1]monsters!$K104</f>
        <v>1.8</v>
      </c>
      <c r="BZ104" s="7">
        <f>[1]monsters!$D104</f>
        <v>2</v>
      </c>
      <c r="CA104" s="7">
        <f t="shared" si="92"/>
        <v>0.1</v>
      </c>
      <c r="CB104" s="7">
        <f t="shared" si="93"/>
        <v>180.76806464646464</v>
      </c>
      <c r="CC104" s="7">
        <f t="shared" si="94"/>
        <v>18.076806464646463</v>
      </c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>
        <v>0</v>
      </c>
      <c r="CR104" s="25" t="b">
        <f t="shared" si="95"/>
        <v>1</v>
      </c>
      <c r="CS104" s="25" t="b">
        <f t="shared" si="96"/>
        <v>1</v>
      </c>
      <c r="CT104" s="25" t="b">
        <f t="shared" si="97"/>
        <v>1</v>
      </c>
      <c r="CU104" s="25" t="b">
        <f t="shared" si="98"/>
        <v>1</v>
      </c>
      <c r="CV104" s="25" t="b">
        <f t="shared" si="99"/>
        <v>1</v>
      </c>
      <c r="CW104" s="25" t="b">
        <f t="shared" si="100"/>
        <v>1</v>
      </c>
      <c r="CX104" s="16" t="str">
        <f t="shared" si="101"/>
        <v>5301072</v>
      </c>
      <c r="CY104" s="16" t="str">
        <f t="shared" si="102"/>
        <v>5302075</v>
      </c>
      <c r="CZ104" s="16" t="str">
        <f t="shared" si="103"/>
        <v>5202073</v>
      </c>
      <c r="DA104" s="16" t="str">
        <f t="shared" si="104"/>
        <v>5402071</v>
      </c>
      <c r="DB104" s="16" t="str">
        <f t="shared" si="105"/>
        <v>5400075</v>
      </c>
      <c r="DC104" s="16" t="str">
        <f t="shared" si="106"/>
        <v>5500073</v>
      </c>
      <c r="DD104" s="16">
        <v>7</v>
      </c>
      <c r="DE104" s="16">
        <v>7</v>
      </c>
      <c r="DF104" s="16">
        <v>7</v>
      </c>
      <c r="DG104" s="16">
        <v>7</v>
      </c>
      <c r="DH104" s="16">
        <v>7</v>
      </c>
      <c r="DI104" s="16">
        <v>7</v>
      </c>
      <c r="DJ104" s="16">
        <v>5</v>
      </c>
      <c r="DK104" s="16">
        <v>5</v>
      </c>
      <c r="DL104" s="16">
        <v>5</v>
      </c>
      <c r="DM104" s="16">
        <v>5</v>
      </c>
      <c r="DN104" s="16">
        <v>5</v>
      </c>
      <c r="DO104" s="16">
        <v>5</v>
      </c>
      <c r="DP104" s="51" t="s">
        <v>212</v>
      </c>
      <c r="DQ104" s="51" t="s">
        <v>234</v>
      </c>
      <c r="DR104" s="51" t="s">
        <v>220</v>
      </c>
      <c r="DS104" s="51" t="s">
        <v>207</v>
      </c>
      <c r="DT104" s="51" t="s">
        <v>222</v>
      </c>
      <c r="DU104" s="51" t="s">
        <v>219</v>
      </c>
      <c r="DV104" s="32">
        <f t="shared" si="69"/>
        <v>1</v>
      </c>
      <c r="DW104" s="32">
        <f t="shared" si="70"/>
        <v>1</v>
      </c>
      <c r="DX104" s="32">
        <f t="shared" si="71"/>
        <v>1</v>
      </c>
      <c r="DY104" s="32">
        <f t="shared" si="72"/>
        <v>2</v>
      </c>
      <c r="DZ104" s="32">
        <f t="shared" si="73"/>
        <v>2</v>
      </c>
      <c r="EA104" s="32">
        <f t="shared" si="74"/>
        <v>2</v>
      </c>
      <c r="EB104" s="39"/>
      <c r="EC104" s="7">
        <v>5201052</v>
      </c>
      <c r="ED104" s="40" t="s">
        <v>120</v>
      </c>
      <c r="EE104" s="16">
        <v>1</v>
      </c>
      <c r="FD104" s="16">
        <v>5301072</v>
      </c>
      <c r="FE104" s="16">
        <v>5302075</v>
      </c>
      <c r="FF104" s="16">
        <v>5202073</v>
      </c>
      <c r="FG104" s="16">
        <v>5402071</v>
      </c>
      <c r="FH104" s="16">
        <v>5400075</v>
      </c>
      <c r="FI104" s="16">
        <v>5500073</v>
      </c>
      <c r="FJ104" t="str">
        <f t="shared" si="107"/>
        <v>火剑士</v>
      </c>
      <c r="FK104" t="str">
        <f t="shared" si="108"/>
        <v>暗盗贼</v>
      </c>
      <c r="FL104" t="str">
        <f t="shared" si="109"/>
        <v>木维京</v>
      </c>
      <c r="FM104" t="str">
        <f t="shared" si="110"/>
        <v>水女巫</v>
      </c>
      <c r="FN104" t="str">
        <f t="shared" si="111"/>
        <v>暗巫师</v>
      </c>
      <c r="FO104" t="str">
        <f t="shared" si="112"/>
        <v>木海盗</v>
      </c>
      <c r="FP104" t="str">
        <f t="shared" si="113"/>
        <v>7</v>
      </c>
      <c r="FQ104" t="str">
        <f t="shared" si="114"/>
        <v>7</v>
      </c>
      <c r="FR104" t="str">
        <f t="shared" si="115"/>
        <v>7</v>
      </c>
      <c r="FS104" t="str">
        <f t="shared" si="116"/>
        <v>7</v>
      </c>
      <c r="FT104" t="str">
        <f t="shared" si="117"/>
        <v>7</v>
      </c>
      <c r="FU104" t="str">
        <f t="shared" si="118"/>
        <v>7</v>
      </c>
      <c r="FV104" t="str">
        <f t="shared" si="121"/>
        <v>5</v>
      </c>
      <c r="FW104" t="str">
        <f t="shared" si="122"/>
        <v>5</v>
      </c>
      <c r="FX104" t="str">
        <f t="shared" si="123"/>
        <v>5</v>
      </c>
      <c r="FY104" t="str">
        <f t="shared" si="124"/>
        <v>5</v>
      </c>
      <c r="FZ104" t="str">
        <f t="shared" si="125"/>
        <v>5</v>
      </c>
      <c r="GA104" t="str">
        <f t="shared" si="126"/>
        <v>5</v>
      </c>
    </row>
    <row r="105" spans="1:183" ht="13.5" customHeight="1">
      <c r="A105" s="1">
        <v>1102</v>
      </c>
      <c r="B105" s="6">
        <v>10162</v>
      </c>
      <c r="C105" s="23" t="str">
        <f t="shared" si="81"/>
        <v>5301071,5200072,5202071,5401073,5500071,5500073</v>
      </c>
      <c r="D105" s="1" t="str">
        <f t="shared" si="82"/>
        <v>7,7,7,7,7,7</v>
      </c>
      <c r="E105" s="53" t="str">
        <f t="shared" si="83"/>
        <v>579,559,559,559,559,559</v>
      </c>
      <c r="F105" s="1">
        <f t="shared" si="68"/>
        <v>1571759</v>
      </c>
      <c r="G105" s="23" t="s">
        <v>34</v>
      </c>
      <c r="H105" s="1" t="s">
        <v>28</v>
      </c>
      <c r="I105" s="1" t="s">
        <v>28</v>
      </c>
      <c r="J105" s="1" t="s">
        <v>28</v>
      </c>
      <c r="K105" s="2" t="s">
        <v>403</v>
      </c>
      <c r="L105" s="1">
        <v>1</v>
      </c>
      <c r="M105" s="1">
        <v>6</v>
      </c>
      <c r="O105" s="25">
        <f t="shared" si="84"/>
        <v>1571759</v>
      </c>
      <c r="P105" s="16">
        <v>1571759.42</v>
      </c>
      <c r="Q105" s="16">
        <v>5301071</v>
      </c>
      <c r="R105" s="16">
        <v>5200072</v>
      </c>
      <c r="S105" s="16">
        <v>5202071</v>
      </c>
      <c r="T105" s="16">
        <v>5401073</v>
      </c>
      <c r="U105" s="16">
        <v>5500071</v>
      </c>
      <c r="V105" s="16">
        <v>5500073</v>
      </c>
      <c r="W105" s="16">
        <v>7</v>
      </c>
      <c r="X105" s="16">
        <v>7</v>
      </c>
      <c r="Y105" s="16">
        <v>7</v>
      </c>
      <c r="Z105" s="16">
        <v>7</v>
      </c>
      <c r="AA105" s="16">
        <v>7</v>
      </c>
      <c r="AB105" s="16">
        <v>7</v>
      </c>
      <c r="AC105" s="16">
        <f t="shared" si="85"/>
        <v>579</v>
      </c>
      <c r="AD105" s="16">
        <f t="shared" si="119"/>
        <v>559</v>
      </c>
      <c r="AE105" s="16">
        <f t="shared" si="119"/>
        <v>559</v>
      </c>
      <c r="AF105" s="16">
        <f t="shared" si="119"/>
        <v>559</v>
      </c>
      <c r="AG105" s="16">
        <f t="shared" si="119"/>
        <v>559</v>
      </c>
      <c r="AH105" s="16">
        <f t="shared" si="119"/>
        <v>559</v>
      </c>
      <c r="AI105" s="28">
        <f t="shared" si="86"/>
        <v>314351.88400000002</v>
      </c>
      <c r="AJ105" s="28">
        <f t="shared" si="127"/>
        <v>251481.50719999999</v>
      </c>
      <c r="AK105" s="28">
        <f t="shared" si="127"/>
        <v>251481.50719999999</v>
      </c>
      <c r="AL105" s="28">
        <f t="shared" si="127"/>
        <v>251481.50719999999</v>
      </c>
      <c r="AM105" s="28">
        <f t="shared" si="127"/>
        <v>251481.50719999999</v>
      </c>
      <c r="AN105" s="28">
        <f t="shared" si="127"/>
        <v>251481.50719999999</v>
      </c>
      <c r="AO105" s="30"/>
      <c r="AP105" s="28"/>
      <c r="AQ105" s="16">
        <v>5</v>
      </c>
      <c r="AR105" s="16">
        <f t="shared" si="88"/>
        <v>727</v>
      </c>
      <c r="AS105" s="28">
        <f t="shared" si="89"/>
        <v>1127</v>
      </c>
      <c r="AT105" s="28"/>
      <c r="AU105" s="30">
        <v>1571759.42</v>
      </c>
      <c r="AV105" s="28" t="str">
        <f t="shared" si="90"/>
        <v>小:0</v>
      </c>
      <c r="AW105" s="28"/>
      <c r="AX105" s="28"/>
      <c r="AZ105" s="28"/>
      <c r="BA105" s="16">
        <f t="shared" si="120"/>
        <v>21848.065714285738</v>
      </c>
      <c r="BC105" s="7">
        <f t="shared" si="91"/>
        <v>541</v>
      </c>
      <c r="BP105" s="9"/>
      <c r="BQ105" s="9"/>
      <c r="BR105" s="9">
        <v>4602055</v>
      </c>
      <c r="BS105" s="9">
        <f>[1]monsters!$N105</f>
        <v>138.24</v>
      </c>
      <c r="BT105" s="9">
        <f>[1]monsters!$O105</f>
        <v>13.82</v>
      </c>
      <c r="BU105" s="9">
        <f>[1]monsters!$P105</f>
        <v>1706.67</v>
      </c>
      <c r="BV105" s="9">
        <f>[1]monsters!$Q105</f>
        <v>170.67</v>
      </c>
      <c r="BW105" s="9">
        <f>[1]monsters!$R105</f>
        <v>27.65</v>
      </c>
      <c r="BX105" s="9">
        <f>[1]monsters!$S105</f>
        <v>2.76</v>
      </c>
      <c r="BY105" s="9">
        <f>[1]monsters!$K105</f>
        <v>1.8</v>
      </c>
      <c r="BZ105" s="7">
        <f>[1]monsters!$D105</f>
        <v>2</v>
      </c>
      <c r="CA105" s="7">
        <f t="shared" si="92"/>
        <v>0.1</v>
      </c>
      <c r="CB105" s="7">
        <f t="shared" si="93"/>
        <v>188.10043636363639</v>
      </c>
      <c r="CC105" s="7">
        <f t="shared" si="94"/>
        <v>18.810043636363641</v>
      </c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>
        <v>0</v>
      </c>
      <c r="CR105" s="25" t="b">
        <f t="shared" si="95"/>
        <v>1</v>
      </c>
      <c r="CS105" s="25" t="b">
        <f t="shared" si="96"/>
        <v>1</v>
      </c>
      <c r="CT105" s="25" t="b">
        <f t="shared" si="97"/>
        <v>1</v>
      </c>
      <c r="CU105" s="25" t="b">
        <f t="shared" si="98"/>
        <v>1</v>
      </c>
      <c r="CV105" s="25" t="b">
        <f t="shared" si="99"/>
        <v>1</v>
      </c>
      <c r="CW105" s="25" t="b">
        <f t="shared" si="100"/>
        <v>1</v>
      </c>
      <c r="CX105" s="16" t="str">
        <f t="shared" si="101"/>
        <v>5301071</v>
      </c>
      <c r="CY105" s="16" t="str">
        <f t="shared" si="102"/>
        <v>5200072</v>
      </c>
      <c r="CZ105" s="16" t="str">
        <f t="shared" si="103"/>
        <v>5202071</v>
      </c>
      <c r="DA105" s="16" t="str">
        <f t="shared" si="104"/>
        <v>5401073</v>
      </c>
      <c r="DB105" s="16" t="str">
        <f t="shared" si="105"/>
        <v>5500071</v>
      </c>
      <c r="DC105" s="16" t="str">
        <f t="shared" si="106"/>
        <v>5500073</v>
      </c>
      <c r="DD105" s="16">
        <v>7</v>
      </c>
      <c r="DE105" s="16">
        <v>7</v>
      </c>
      <c r="DF105" s="16">
        <v>7</v>
      </c>
      <c r="DG105" s="16">
        <v>7</v>
      </c>
      <c r="DH105" s="16">
        <v>7</v>
      </c>
      <c r="DI105" s="16">
        <v>7</v>
      </c>
      <c r="DJ105" s="16">
        <v>5</v>
      </c>
      <c r="DK105" s="16">
        <v>5</v>
      </c>
      <c r="DL105" s="16">
        <v>5</v>
      </c>
      <c r="DM105" s="16">
        <v>5</v>
      </c>
      <c r="DN105" s="16">
        <v>5</v>
      </c>
      <c r="DO105" s="16">
        <v>5</v>
      </c>
      <c r="DP105" s="51" t="s">
        <v>113</v>
      </c>
      <c r="DQ105" s="51" t="s">
        <v>210</v>
      </c>
      <c r="DR105" s="51" t="s">
        <v>117</v>
      </c>
      <c r="DS105" s="51" t="s">
        <v>223</v>
      </c>
      <c r="DT105" s="51" t="s">
        <v>208</v>
      </c>
      <c r="DU105" s="51" t="s">
        <v>219</v>
      </c>
      <c r="DV105" s="32">
        <f t="shared" si="69"/>
        <v>1</v>
      </c>
      <c r="DW105" s="32">
        <f t="shared" si="70"/>
        <v>1</v>
      </c>
      <c r="DX105" s="32">
        <f t="shared" si="71"/>
        <v>1</v>
      </c>
      <c r="DY105" s="32">
        <f t="shared" si="72"/>
        <v>2</v>
      </c>
      <c r="DZ105" s="32">
        <f t="shared" si="73"/>
        <v>2</v>
      </c>
      <c r="EA105" s="32">
        <f t="shared" si="74"/>
        <v>2</v>
      </c>
      <c r="EB105" s="39"/>
      <c r="EC105" s="7">
        <v>5202052</v>
      </c>
      <c r="ED105" s="40" t="s">
        <v>211</v>
      </c>
      <c r="EE105" s="16">
        <v>1</v>
      </c>
      <c r="FD105" s="16">
        <v>5301071</v>
      </c>
      <c r="FE105" s="16">
        <v>5200072</v>
      </c>
      <c r="FF105" s="16">
        <v>5202071</v>
      </c>
      <c r="FG105" s="16">
        <v>5401073</v>
      </c>
      <c r="FH105" s="16">
        <v>5500071</v>
      </c>
      <c r="FI105" s="16">
        <v>5500073</v>
      </c>
      <c r="FJ105" t="str">
        <f t="shared" si="107"/>
        <v>水剑士</v>
      </c>
      <c r="FK105" t="str">
        <f t="shared" si="108"/>
        <v>火刀客</v>
      </c>
      <c r="FL105" t="str">
        <f t="shared" si="109"/>
        <v>水维京</v>
      </c>
      <c r="FM105" t="str">
        <f t="shared" si="110"/>
        <v>木魔法师</v>
      </c>
      <c r="FN105" t="str">
        <f t="shared" si="111"/>
        <v>水海盗</v>
      </c>
      <c r="FO105" t="str">
        <f t="shared" si="112"/>
        <v>木海盗</v>
      </c>
      <c r="FP105" t="str">
        <f t="shared" si="113"/>
        <v>7</v>
      </c>
      <c r="FQ105" t="str">
        <f t="shared" si="114"/>
        <v>7</v>
      </c>
      <c r="FR105" t="str">
        <f t="shared" si="115"/>
        <v>7</v>
      </c>
      <c r="FS105" t="str">
        <f t="shared" si="116"/>
        <v>7</v>
      </c>
      <c r="FT105" t="str">
        <f t="shared" si="117"/>
        <v>7</v>
      </c>
      <c r="FU105" t="str">
        <f t="shared" si="118"/>
        <v>7</v>
      </c>
      <c r="FV105" t="str">
        <f t="shared" si="121"/>
        <v>5</v>
      </c>
      <c r="FW105" t="str">
        <f t="shared" si="122"/>
        <v>5</v>
      </c>
      <c r="FX105" t="str">
        <f t="shared" si="123"/>
        <v>5</v>
      </c>
      <c r="FY105" t="str">
        <f t="shared" si="124"/>
        <v>5</v>
      </c>
      <c r="FZ105" t="str">
        <f t="shared" si="125"/>
        <v>5</v>
      </c>
      <c r="GA105" t="str">
        <f t="shared" si="126"/>
        <v>5</v>
      </c>
    </row>
    <row r="106" spans="1:183" ht="13.5" customHeight="1">
      <c r="A106" s="1">
        <v>1103</v>
      </c>
      <c r="B106" s="6">
        <v>10162</v>
      </c>
      <c r="C106" s="23" t="str">
        <f t="shared" si="81"/>
        <v>5201071,5202073,5200072,5401072,5400075,5501075</v>
      </c>
      <c r="D106" s="1" t="str">
        <f t="shared" si="82"/>
        <v>7,7,7,7,7,7</v>
      </c>
      <c r="E106" s="53" t="str">
        <f t="shared" si="83"/>
        <v>583,563,563,563,563,563</v>
      </c>
      <c r="F106" s="1">
        <f t="shared" si="68"/>
        <v>1590701</v>
      </c>
      <c r="G106" s="23" t="s">
        <v>34</v>
      </c>
      <c r="H106" s="1" t="s">
        <v>28</v>
      </c>
      <c r="I106" s="1" t="s">
        <v>28</v>
      </c>
      <c r="J106" s="1" t="s">
        <v>28</v>
      </c>
      <c r="K106" s="2" t="s">
        <v>404</v>
      </c>
      <c r="L106" s="1">
        <v>2</v>
      </c>
      <c r="M106" s="1">
        <v>4</v>
      </c>
      <c r="O106" s="25">
        <f t="shared" si="84"/>
        <v>1590701</v>
      </c>
      <c r="P106" s="16">
        <v>1590701.09</v>
      </c>
      <c r="Q106" s="16">
        <v>5201071</v>
      </c>
      <c r="R106" s="16">
        <v>5202073</v>
      </c>
      <c r="S106" s="16">
        <v>5200072</v>
      </c>
      <c r="T106" s="16">
        <v>5401072</v>
      </c>
      <c r="U106" s="16">
        <v>5400075</v>
      </c>
      <c r="V106" s="16">
        <v>5501075</v>
      </c>
      <c r="W106" s="16">
        <v>7</v>
      </c>
      <c r="X106" s="16">
        <v>7</v>
      </c>
      <c r="Y106" s="16">
        <v>7</v>
      </c>
      <c r="Z106" s="16">
        <v>7</v>
      </c>
      <c r="AA106" s="16">
        <v>7</v>
      </c>
      <c r="AB106" s="16">
        <v>7</v>
      </c>
      <c r="AC106" s="16">
        <f t="shared" si="85"/>
        <v>583</v>
      </c>
      <c r="AD106" s="16">
        <f t="shared" si="119"/>
        <v>563</v>
      </c>
      <c r="AE106" s="16">
        <f t="shared" si="119"/>
        <v>563</v>
      </c>
      <c r="AF106" s="16">
        <f t="shared" si="119"/>
        <v>563</v>
      </c>
      <c r="AG106" s="16">
        <f t="shared" si="119"/>
        <v>563</v>
      </c>
      <c r="AH106" s="16">
        <f t="shared" si="119"/>
        <v>563</v>
      </c>
      <c r="AI106" s="28">
        <f t="shared" si="86"/>
        <v>318140.21800000005</v>
      </c>
      <c r="AJ106" s="28">
        <f t="shared" si="127"/>
        <v>254512.17440000002</v>
      </c>
      <c r="AK106" s="28">
        <f t="shared" si="127"/>
        <v>254512.17440000002</v>
      </c>
      <c r="AL106" s="28">
        <f t="shared" si="127"/>
        <v>254512.17440000002</v>
      </c>
      <c r="AM106" s="28">
        <f t="shared" si="127"/>
        <v>254512.17440000002</v>
      </c>
      <c r="AN106" s="28">
        <f t="shared" si="127"/>
        <v>254512.17440000002</v>
      </c>
      <c r="AO106" s="30"/>
      <c r="AP106" s="28"/>
      <c r="AQ106" s="16">
        <v>5</v>
      </c>
      <c r="AR106" s="16">
        <f t="shared" si="88"/>
        <v>731</v>
      </c>
      <c r="AS106" s="28">
        <f t="shared" si="89"/>
        <v>1128</v>
      </c>
      <c r="AT106" s="28"/>
      <c r="AU106" s="30">
        <v>1590701.09</v>
      </c>
      <c r="AV106" s="28" t="str">
        <f t="shared" si="90"/>
        <v>小:0</v>
      </c>
      <c r="AW106" s="28"/>
      <c r="AX106" s="28"/>
      <c r="AZ106" s="28"/>
      <c r="BA106" s="16">
        <f t="shared" si="120"/>
        <v>21900.341428571453</v>
      </c>
      <c r="BC106" s="7">
        <f t="shared" si="91"/>
        <v>545</v>
      </c>
      <c r="BP106" s="9"/>
      <c r="BQ106" s="9"/>
      <c r="BR106" s="9">
        <v>4301055</v>
      </c>
      <c r="BS106" s="9">
        <f>[1]monsters!$N106</f>
        <v>92.16</v>
      </c>
      <c r="BT106" s="9">
        <f>[1]monsters!$O106</f>
        <v>9.2200000000000006</v>
      </c>
      <c r="BU106" s="9">
        <f>[1]monsters!$P106</f>
        <v>1706.67</v>
      </c>
      <c r="BV106" s="9">
        <f>[1]monsters!$Q106</f>
        <v>170.67</v>
      </c>
      <c r="BW106" s="9">
        <f>[1]monsters!$R106</f>
        <v>18.43</v>
      </c>
      <c r="BX106" s="9">
        <f>[1]monsters!$S106</f>
        <v>1.84</v>
      </c>
      <c r="BY106" s="9">
        <f>[1]monsters!$K106</f>
        <v>1.2</v>
      </c>
      <c r="BZ106" s="7">
        <f>[1]monsters!$D106</f>
        <v>3</v>
      </c>
      <c r="CA106" s="7">
        <f t="shared" si="92"/>
        <v>0.1</v>
      </c>
      <c r="CB106" s="7">
        <f t="shared" si="93"/>
        <v>144.55483636363635</v>
      </c>
      <c r="CC106" s="7">
        <f t="shared" si="94"/>
        <v>14.455483636363637</v>
      </c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>
        <v>0</v>
      </c>
      <c r="CR106" s="25" t="b">
        <f t="shared" si="95"/>
        <v>1</v>
      </c>
      <c r="CS106" s="25" t="b">
        <f t="shared" si="96"/>
        <v>1</v>
      </c>
      <c r="CT106" s="25" t="b">
        <f t="shared" si="97"/>
        <v>1</v>
      </c>
      <c r="CU106" s="25" t="b">
        <f t="shared" si="98"/>
        <v>1</v>
      </c>
      <c r="CV106" s="25" t="b">
        <f t="shared" si="99"/>
        <v>1</v>
      </c>
      <c r="CW106" s="25" t="b">
        <f t="shared" si="100"/>
        <v>1</v>
      </c>
      <c r="CX106" s="16" t="str">
        <f t="shared" si="101"/>
        <v>5201071</v>
      </c>
      <c r="CY106" s="16" t="str">
        <f t="shared" si="102"/>
        <v>5202073</v>
      </c>
      <c r="CZ106" s="16" t="str">
        <f t="shared" si="103"/>
        <v>5200072</v>
      </c>
      <c r="DA106" s="16" t="str">
        <f t="shared" si="104"/>
        <v>5401072</v>
      </c>
      <c r="DB106" s="16" t="str">
        <f t="shared" si="105"/>
        <v>5400075</v>
      </c>
      <c r="DC106" s="16" t="str">
        <f t="shared" si="106"/>
        <v>5501075</v>
      </c>
      <c r="DD106" s="16">
        <v>7</v>
      </c>
      <c r="DE106" s="16">
        <v>7</v>
      </c>
      <c r="DF106" s="16">
        <v>7</v>
      </c>
      <c r="DG106" s="16">
        <v>7</v>
      </c>
      <c r="DH106" s="16">
        <v>7</v>
      </c>
      <c r="DI106" s="16">
        <v>7</v>
      </c>
      <c r="DJ106" s="16">
        <v>5</v>
      </c>
      <c r="DK106" s="16">
        <v>5</v>
      </c>
      <c r="DL106" s="16">
        <v>5</v>
      </c>
      <c r="DM106" s="16">
        <v>5</v>
      </c>
      <c r="DN106" s="16">
        <v>5</v>
      </c>
      <c r="DO106" s="16">
        <v>5</v>
      </c>
      <c r="DP106" s="51" t="s">
        <v>206</v>
      </c>
      <c r="DQ106" s="51" t="s">
        <v>220</v>
      </c>
      <c r="DR106" s="51" t="s">
        <v>210</v>
      </c>
      <c r="DS106" s="51" t="s">
        <v>213</v>
      </c>
      <c r="DT106" s="51" t="s">
        <v>222</v>
      </c>
      <c r="DU106" s="51" t="s">
        <v>221</v>
      </c>
      <c r="DV106" s="32">
        <f t="shared" si="69"/>
        <v>1</v>
      </c>
      <c r="DW106" s="32">
        <f t="shared" si="70"/>
        <v>1</v>
      </c>
      <c r="DX106" s="32">
        <f t="shared" si="71"/>
        <v>1</v>
      </c>
      <c r="DY106" s="32">
        <f t="shared" si="72"/>
        <v>2</v>
      </c>
      <c r="DZ106" s="32">
        <f t="shared" si="73"/>
        <v>2</v>
      </c>
      <c r="EA106" s="32">
        <f t="shared" si="74"/>
        <v>2</v>
      </c>
      <c r="EB106" s="39"/>
      <c r="EC106" s="7">
        <v>5301052</v>
      </c>
      <c r="ED106" s="40" t="s">
        <v>212</v>
      </c>
      <c r="EE106" s="16">
        <v>1</v>
      </c>
      <c r="FD106" s="16">
        <v>5201071</v>
      </c>
      <c r="FE106" s="16">
        <v>5202073</v>
      </c>
      <c r="FF106" s="16">
        <v>5200072</v>
      </c>
      <c r="FG106" s="16">
        <v>5401072</v>
      </c>
      <c r="FH106" s="16">
        <v>5400075</v>
      </c>
      <c r="FI106" s="16">
        <v>5501075</v>
      </c>
      <c r="FJ106" t="str">
        <f t="shared" si="107"/>
        <v>水骑兵</v>
      </c>
      <c r="FK106" t="str">
        <f t="shared" si="108"/>
        <v>木维京</v>
      </c>
      <c r="FL106" t="str">
        <f t="shared" si="109"/>
        <v>火刀客</v>
      </c>
      <c r="FM106" t="str">
        <f t="shared" si="110"/>
        <v>火魔法师</v>
      </c>
      <c r="FN106" t="str">
        <f t="shared" si="111"/>
        <v>暗巫师</v>
      </c>
      <c r="FO106" t="str">
        <f t="shared" si="112"/>
        <v>暗猎人</v>
      </c>
      <c r="FP106" t="str">
        <f t="shared" si="113"/>
        <v>7</v>
      </c>
      <c r="FQ106" t="str">
        <f t="shared" si="114"/>
        <v>7</v>
      </c>
      <c r="FR106" t="str">
        <f t="shared" si="115"/>
        <v>7</v>
      </c>
      <c r="FS106" t="str">
        <f t="shared" si="116"/>
        <v>7</v>
      </c>
      <c r="FT106" t="str">
        <f t="shared" si="117"/>
        <v>7</v>
      </c>
      <c r="FU106" t="str">
        <f t="shared" si="118"/>
        <v>7</v>
      </c>
      <c r="FV106" t="str">
        <f t="shared" si="121"/>
        <v>5</v>
      </c>
      <c r="FW106" t="str">
        <f t="shared" si="122"/>
        <v>5</v>
      </c>
      <c r="FX106" t="str">
        <f t="shared" si="123"/>
        <v>5</v>
      </c>
      <c r="FY106" t="str">
        <f t="shared" si="124"/>
        <v>5</v>
      </c>
      <c r="FZ106" t="str">
        <f t="shared" si="125"/>
        <v>5</v>
      </c>
      <c r="GA106" t="str">
        <f t="shared" si="126"/>
        <v>5</v>
      </c>
    </row>
    <row r="107" spans="1:183" ht="13.5" customHeight="1">
      <c r="A107" s="1">
        <v>1104</v>
      </c>
      <c r="B107" s="6">
        <v>10162</v>
      </c>
      <c r="C107" s="23" t="str">
        <f t="shared" si="81"/>
        <v>5301071,5200071,5202072,5500072,5502073,5402071</v>
      </c>
      <c r="D107" s="1" t="str">
        <f t="shared" si="82"/>
        <v>7,7,7,7,7,7</v>
      </c>
      <c r="E107" s="53" t="str">
        <f t="shared" si="83"/>
        <v>586,566,566,566,566,566</v>
      </c>
      <c r="F107" s="1">
        <f t="shared" si="68"/>
        <v>1607609</v>
      </c>
      <c r="G107" s="23" t="s">
        <v>34</v>
      </c>
      <c r="H107" s="1" t="s">
        <v>28</v>
      </c>
      <c r="I107" s="1" t="s">
        <v>28</v>
      </c>
      <c r="J107" s="1" t="s">
        <v>28</v>
      </c>
      <c r="K107" s="2" t="s">
        <v>405</v>
      </c>
      <c r="L107" s="1">
        <v>3</v>
      </c>
      <c r="M107" s="1">
        <v>4</v>
      </c>
      <c r="O107" s="25">
        <f t="shared" si="84"/>
        <v>1607609</v>
      </c>
      <c r="P107" s="16">
        <v>1607609.19</v>
      </c>
      <c r="Q107" s="16">
        <v>5301071</v>
      </c>
      <c r="R107" s="16">
        <v>5200071</v>
      </c>
      <c r="S107" s="16">
        <v>5202072</v>
      </c>
      <c r="T107" s="16">
        <v>5500072</v>
      </c>
      <c r="U107" s="16">
        <v>5502073</v>
      </c>
      <c r="V107" s="16">
        <v>5402071</v>
      </c>
      <c r="W107" s="16">
        <v>7</v>
      </c>
      <c r="X107" s="16">
        <v>7</v>
      </c>
      <c r="Y107" s="16">
        <v>7</v>
      </c>
      <c r="Z107" s="16">
        <v>7</v>
      </c>
      <c r="AA107" s="16">
        <v>7</v>
      </c>
      <c r="AB107" s="16">
        <v>7</v>
      </c>
      <c r="AC107" s="16">
        <f t="shared" si="85"/>
        <v>586</v>
      </c>
      <c r="AD107" s="16">
        <f t="shared" si="119"/>
        <v>566</v>
      </c>
      <c r="AE107" s="16">
        <f t="shared" si="119"/>
        <v>566</v>
      </c>
      <c r="AF107" s="16">
        <f t="shared" si="119"/>
        <v>566</v>
      </c>
      <c r="AG107" s="16">
        <f t="shared" si="119"/>
        <v>566</v>
      </c>
      <c r="AH107" s="16">
        <f t="shared" si="119"/>
        <v>566</v>
      </c>
      <c r="AI107" s="28">
        <f t="shared" si="86"/>
        <v>321521.83799999999</v>
      </c>
      <c r="AJ107" s="28">
        <f t="shared" si="127"/>
        <v>257217.47039999999</v>
      </c>
      <c r="AK107" s="28">
        <f t="shared" si="127"/>
        <v>257217.47039999999</v>
      </c>
      <c r="AL107" s="28">
        <f t="shared" si="127"/>
        <v>257217.47039999999</v>
      </c>
      <c r="AM107" s="28">
        <f t="shared" si="127"/>
        <v>257217.47039999999</v>
      </c>
      <c r="AN107" s="28">
        <f t="shared" si="127"/>
        <v>257217.47039999999</v>
      </c>
      <c r="AO107" s="30"/>
      <c r="AP107" s="28"/>
      <c r="AQ107" s="16">
        <v>5</v>
      </c>
      <c r="AR107" s="16">
        <f t="shared" si="88"/>
        <v>735</v>
      </c>
      <c r="AS107" s="28">
        <f t="shared" si="89"/>
        <v>1129</v>
      </c>
      <c r="AT107" s="28"/>
      <c r="AU107" s="30">
        <v>1607609.19</v>
      </c>
      <c r="AV107" s="28" t="str">
        <f t="shared" si="90"/>
        <v>小:0</v>
      </c>
      <c r="AW107" s="28"/>
      <c r="AX107" s="28"/>
      <c r="AZ107" s="28"/>
      <c r="BA107" s="16">
        <f t="shared" si="120"/>
        <v>21952.617142857169</v>
      </c>
      <c r="BC107" s="7">
        <f t="shared" si="91"/>
        <v>548</v>
      </c>
      <c r="BP107" s="9"/>
      <c r="BQ107" s="9"/>
      <c r="BR107" s="9">
        <v>4502055</v>
      </c>
      <c r="BS107" s="9">
        <f>[1]monsters!$N107</f>
        <v>163.84</v>
      </c>
      <c r="BT107" s="9">
        <f>[1]monsters!$O107</f>
        <v>16.38</v>
      </c>
      <c r="BU107" s="9">
        <f>[1]monsters!$P107</f>
        <v>1280</v>
      </c>
      <c r="BV107" s="9">
        <f>[1]monsters!$Q107</f>
        <v>128</v>
      </c>
      <c r="BW107" s="9">
        <f>[1]monsters!$R107</f>
        <v>23.41</v>
      </c>
      <c r="BX107" s="9">
        <f>[1]monsters!$S107</f>
        <v>2.34</v>
      </c>
      <c r="BY107" s="9">
        <f>[1]monsters!$K107</f>
        <v>1.6</v>
      </c>
      <c r="BZ107" s="7">
        <f>[1]monsters!$D107</f>
        <v>4</v>
      </c>
      <c r="CA107" s="7">
        <f t="shared" si="92"/>
        <v>0.1</v>
      </c>
      <c r="CB107" s="7">
        <f t="shared" si="93"/>
        <v>197.9264430976431</v>
      </c>
      <c r="CC107" s="7">
        <f t="shared" si="94"/>
        <v>19.792644309764313</v>
      </c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>
        <v>0</v>
      </c>
      <c r="CR107" s="25" t="b">
        <f t="shared" si="95"/>
        <v>1</v>
      </c>
      <c r="CS107" s="25" t="b">
        <f t="shared" si="96"/>
        <v>1</v>
      </c>
      <c r="CT107" s="25" t="b">
        <f t="shared" si="97"/>
        <v>1</v>
      </c>
      <c r="CU107" s="25" t="b">
        <f t="shared" si="98"/>
        <v>1</v>
      </c>
      <c r="CV107" s="25" t="b">
        <f t="shared" si="99"/>
        <v>1</v>
      </c>
      <c r="CW107" s="25" t="b">
        <f t="shared" si="100"/>
        <v>1</v>
      </c>
      <c r="CX107" s="16" t="str">
        <f t="shared" si="101"/>
        <v>5301071</v>
      </c>
      <c r="CY107" s="16" t="str">
        <f t="shared" si="102"/>
        <v>5200071</v>
      </c>
      <c r="CZ107" s="16" t="str">
        <f t="shared" si="103"/>
        <v>5202072</v>
      </c>
      <c r="DA107" s="16" t="str">
        <f t="shared" si="104"/>
        <v>5500072</v>
      </c>
      <c r="DB107" s="16" t="str">
        <f t="shared" si="105"/>
        <v>5502073</v>
      </c>
      <c r="DC107" s="16" t="str">
        <f t="shared" si="106"/>
        <v>5402071</v>
      </c>
      <c r="DD107" s="16">
        <v>7</v>
      </c>
      <c r="DE107" s="16">
        <v>7</v>
      </c>
      <c r="DF107" s="16">
        <v>7</v>
      </c>
      <c r="DG107" s="16">
        <v>7</v>
      </c>
      <c r="DH107" s="16">
        <v>7</v>
      </c>
      <c r="DI107" s="16">
        <v>7</v>
      </c>
      <c r="DJ107" s="16">
        <v>5</v>
      </c>
      <c r="DK107" s="16">
        <v>5</v>
      </c>
      <c r="DL107" s="16">
        <v>5</v>
      </c>
      <c r="DM107" s="16">
        <v>5</v>
      </c>
      <c r="DN107" s="16">
        <v>5</v>
      </c>
      <c r="DO107" s="16">
        <v>5</v>
      </c>
      <c r="DP107" s="51" t="s">
        <v>113</v>
      </c>
      <c r="DQ107" s="51" t="s">
        <v>205</v>
      </c>
      <c r="DR107" s="13" t="s">
        <v>211</v>
      </c>
      <c r="DS107" s="51" t="s">
        <v>115</v>
      </c>
      <c r="DT107" s="51" t="s">
        <v>227</v>
      </c>
      <c r="DU107" s="51" t="s">
        <v>207</v>
      </c>
      <c r="DV107" s="32">
        <f t="shared" si="69"/>
        <v>1</v>
      </c>
      <c r="DW107" s="32">
        <f t="shared" si="70"/>
        <v>1</v>
      </c>
      <c r="DX107" s="32">
        <f t="shared" si="71"/>
        <v>1</v>
      </c>
      <c r="DY107" s="32">
        <f t="shared" si="72"/>
        <v>2</v>
      </c>
      <c r="DZ107" s="32">
        <f t="shared" si="73"/>
        <v>2</v>
      </c>
      <c r="EA107" s="32">
        <f t="shared" si="74"/>
        <v>2</v>
      </c>
      <c r="EB107" s="39"/>
      <c r="EC107" s="7">
        <v>5401052</v>
      </c>
      <c r="ED107" s="40" t="s">
        <v>213</v>
      </c>
      <c r="EE107" s="16">
        <v>2</v>
      </c>
      <c r="FD107" s="16">
        <v>5301071</v>
      </c>
      <c r="FE107" s="16">
        <v>5200071</v>
      </c>
      <c r="FF107" s="16">
        <v>5202072</v>
      </c>
      <c r="FG107" s="16">
        <v>5500072</v>
      </c>
      <c r="FH107" s="16">
        <v>5502073</v>
      </c>
      <c r="FI107" s="16">
        <v>5402071</v>
      </c>
      <c r="FJ107" t="str">
        <f t="shared" si="107"/>
        <v>水剑士</v>
      </c>
      <c r="FK107" t="str">
        <f t="shared" si="108"/>
        <v>水刀客</v>
      </c>
      <c r="FL107" t="str">
        <f t="shared" si="109"/>
        <v>火维京</v>
      </c>
      <c r="FM107" t="str">
        <f t="shared" si="110"/>
        <v>火海盗</v>
      </c>
      <c r="FN107" t="str">
        <f t="shared" si="111"/>
        <v>木火枪手</v>
      </c>
      <c r="FO107" t="str">
        <f t="shared" si="112"/>
        <v>水女巫</v>
      </c>
      <c r="FP107" t="str">
        <f t="shared" si="113"/>
        <v>7</v>
      </c>
      <c r="FQ107" t="str">
        <f t="shared" si="114"/>
        <v>7</v>
      </c>
      <c r="FR107" t="str">
        <f t="shared" si="115"/>
        <v>7</v>
      </c>
      <c r="FS107" t="str">
        <f t="shared" si="116"/>
        <v>7</v>
      </c>
      <c r="FT107" t="str">
        <f t="shared" si="117"/>
        <v>7</v>
      </c>
      <c r="FU107" t="str">
        <f t="shared" si="118"/>
        <v>7</v>
      </c>
      <c r="FV107" t="str">
        <f t="shared" si="121"/>
        <v>5</v>
      </c>
      <c r="FW107" t="str">
        <f t="shared" si="122"/>
        <v>5</v>
      </c>
      <c r="FX107" t="str">
        <f t="shared" si="123"/>
        <v>5</v>
      </c>
      <c r="FY107" t="str">
        <f t="shared" si="124"/>
        <v>5</v>
      </c>
      <c r="FZ107" t="str">
        <f t="shared" si="125"/>
        <v>5</v>
      </c>
      <c r="GA107" t="str">
        <f t="shared" si="126"/>
        <v>5</v>
      </c>
    </row>
    <row r="108" spans="1:183" ht="13.5" customHeight="1">
      <c r="A108" s="1">
        <v>1105</v>
      </c>
      <c r="B108" s="6">
        <v>10162</v>
      </c>
      <c r="C108" s="23" t="str">
        <f t="shared" si="81"/>
        <v>5301072,5302075,5202073,5402071,5400075,5500073</v>
      </c>
      <c r="D108" s="1" t="str">
        <f t="shared" si="82"/>
        <v>7,7,7,7,7,7</v>
      </c>
      <c r="E108" s="53" t="str">
        <f t="shared" si="83"/>
        <v>590,569,569,569,569,569</v>
      </c>
      <c r="F108" s="1">
        <f t="shared" si="68"/>
        <v>1626766</v>
      </c>
      <c r="G108" s="23" t="s">
        <v>34</v>
      </c>
      <c r="H108" s="1" t="s">
        <v>28</v>
      </c>
      <c r="I108" s="1" t="s">
        <v>28</v>
      </c>
      <c r="J108" s="1" t="s">
        <v>28</v>
      </c>
      <c r="K108" s="2" t="s">
        <v>406</v>
      </c>
      <c r="L108" s="1">
        <v>1</v>
      </c>
      <c r="M108" s="1">
        <v>3</v>
      </c>
      <c r="O108" s="25">
        <f t="shared" si="84"/>
        <v>1626766</v>
      </c>
      <c r="P108" s="16">
        <v>1626766.13</v>
      </c>
      <c r="Q108" s="16">
        <v>5301072</v>
      </c>
      <c r="R108" s="16">
        <v>5302075</v>
      </c>
      <c r="S108" s="16">
        <v>5202073</v>
      </c>
      <c r="T108" s="16">
        <v>5402071</v>
      </c>
      <c r="U108" s="16">
        <v>5400075</v>
      </c>
      <c r="V108" s="16">
        <v>5500073</v>
      </c>
      <c r="W108" s="16">
        <v>7</v>
      </c>
      <c r="X108" s="16">
        <v>7</v>
      </c>
      <c r="Y108" s="16">
        <v>7</v>
      </c>
      <c r="Z108" s="16">
        <v>7</v>
      </c>
      <c r="AA108" s="16">
        <v>7</v>
      </c>
      <c r="AB108" s="16">
        <v>7</v>
      </c>
      <c r="AC108" s="16">
        <f t="shared" si="85"/>
        <v>590</v>
      </c>
      <c r="AD108" s="16">
        <f t="shared" si="119"/>
        <v>569</v>
      </c>
      <c r="AE108" s="16">
        <f t="shared" si="119"/>
        <v>569</v>
      </c>
      <c r="AF108" s="16">
        <f t="shared" si="119"/>
        <v>569</v>
      </c>
      <c r="AG108" s="16">
        <f t="shared" si="119"/>
        <v>569</v>
      </c>
      <c r="AH108" s="16">
        <f t="shared" si="119"/>
        <v>569</v>
      </c>
      <c r="AI108" s="28">
        <f t="shared" si="86"/>
        <v>325353.22600000002</v>
      </c>
      <c r="AJ108" s="28">
        <f t="shared" si="127"/>
        <v>260282.5808</v>
      </c>
      <c r="AK108" s="28">
        <f t="shared" si="127"/>
        <v>260282.5808</v>
      </c>
      <c r="AL108" s="28">
        <f t="shared" si="127"/>
        <v>260282.5808</v>
      </c>
      <c r="AM108" s="28">
        <f t="shared" si="127"/>
        <v>260282.5808</v>
      </c>
      <c r="AN108" s="28">
        <f t="shared" si="127"/>
        <v>260282.5808</v>
      </c>
      <c r="AO108" s="30"/>
      <c r="AP108" s="28"/>
      <c r="AQ108" s="16">
        <v>5</v>
      </c>
      <c r="AR108" s="16">
        <f t="shared" si="88"/>
        <v>740</v>
      </c>
      <c r="AS108" s="28">
        <f t="shared" si="89"/>
        <v>1130</v>
      </c>
      <c r="AT108" s="28"/>
      <c r="AU108" s="30">
        <v>1626766.13</v>
      </c>
      <c r="AV108" s="28" t="str">
        <f t="shared" si="90"/>
        <v>小:0</v>
      </c>
      <c r="AW108" s="28"/>
      <c r="AX108" s="28"/>
      <c r="AZ108" s="28"/>
      <c r="BA108" s="16">
        <f t="shared" si="120"/>
        <v>22004.892857142884</v>
      </c>
      <c r="BC108" s="7">
        <f t="shared" si="91"/>
        <v>551</v>
      </c>
      <c r="BP108" s="9"/>
      <c r="BQ108" s="9"/>
      <c r="BR108" s="9">
        <v>4201055</v>
      </c>
      <c r="BS108" s="9">
        <f>[1]monsters!$N108</f>
        <v>153.6</v>
      </c>
      <c r="BT108" s="9">
        <f>[1]monsters!$O108</f>
        <v>15.36</v>
      </c>
      <c r="BU108" s="9">
        <f>[1]monsters!$P108</f>
        <v>1280</v>
      </c>
      <c r="BV108" s="9">
        <f>[1]monsters!$Q108</f>
        <v>128</v>
      </c>
      <c r="BW108" s="9">
        <f>[1]monsters!$R108</f>
        <v>21.94</v>
      </c>
      <c r="BX108" s="9">
        <f>[1]monsters!$S108</f>
        <v>2.19</v>
      </c>
      <c r="BY108" s="9">
        <f>[1]monsters!$K108</f>
        <v>1.5</v>
      </c>
      <c r="BZ108" s="7">
        <f>[1]monsters!$D108</f>
        <v>4</v>
      </c>
      <c r="CA108" s="7">
        <f t="shared" si="92"/>
        <v>0.1</v>
      </c>
      <c r="CB108" s="7">
        <f t="shared" si="93"/>
        <v>188.24964309764312</v>
      </c>
      <c r="CC108" s="7">
        <f t="shared" si="94"/>
        <v>18.824964309764312</v>
      </c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>
        <v>1</v>
      </c>
      <c r="CR108" s="25" t="b">
        <f t="shared" si="95"/>
        <v>1</v>
      </c>
      <c r="CS108" s="25" t="b">
        <f t="shared" si="96"/>
        <v>1</v>
      </c>
      <c r="CT108" s="25" t="b">
        <f t="shared" si="97"/>
        <v>1</v>
      </c>
      <c r="CU108" s="25" t="b">
        <f t="shared" si="98"/>
        <v>1</v>
      </c>
      <c r="CV108" s="25" t="b">
        <f t="shared" si="99"/>
        <v>1</v>
      </c>
      <c r="CW108" s="25" t="b">
        <f t="shared" si="100"/>
        <v>1</v>
      </c>
      <c r="CX108" s="16" t="str">
        <f t="shared" si="101"/>
        <v>5301072</v>
      </c>
      <c r="CY108" s="16" t="str">
        <f t="shared" si="102"/>
        <v>5302075</v>
      </c>
      <c r="CZ108" s="16" t="str">
        <f t="shared" si="103"/>
        <v>5202073</v>
      </c>
      <c r="DA108" s="16" t="str">
        <f t="shared" si="104"/>
        <v>5402071</v>
      </c>
      <c r="DB108" s="16" t="str">
        <f t="shared" si="105"/>
        <v>5400075</v>
      </c>
      <c r="DC108" s="16" t="str">
        <f t="shared" si="106"/>
        <v>5500073</v>
      </c>
      <c r="DD108" s="16">
        <v>7</v>
      </c>
      <c r="DE108" s="16">
        <v>7</v>
      </c>
      <c r="DF108" s="16">
        <v>7</v>
      </c>
      <c r="DG108" s="16">
        <v>7</v>
      </c>
      <c r="DH108" s="16">
        <v>7</v>
      </c>
      <c r="DI108" s="16">
        <v>7</v>
      </c>
      <c r="DJ108" s="16">
        <v>5</v>
      </c>
      <c r="DK108" s="16">
        <v>5</v>
      </c>
      <c r="DL108" s="16">
        <v>5</v>
      </c>
      <c r="DM108" s="16">
        <v>5</v>
      </c>
      <c r="DN108" s="16">
        <v>5</v>
      </c>
      <c r="DO108" s="16">
        <v>5</v>
      </c>
      <c r="DP108" s="51" t="s">
        <v>212</v>
      </c>
      <c r="DQ108" s="13" t="s">
        <v>234</v>
      </c>
      <c r="DR108" s="13" t="s">
        <v>220</v>
      </c>
      <c r="DS108" s="13" t="s">
        <v>207</v>
      </c>
      <c r="DT108" s="51" t="s">
        <v>222</v>
      </c>
      <c r="DU108" s="51" t="s">
        <v>219</v>
      </c>
      <c r="DV108" s="32">
        <f t="shared" si="69"/>
        <v>1</v>
      </c>
      <c r="DW108" s="32">
        <f t="shared" si="70"/>
        <v>1</v>
      </c>
      <c r="DX108" s="32">
        <f t="shared" si="71"/>
        <v>1</v>
      </c>
      <c r="DY108" s="32">
        <f t="shared" si="72"/>
        <v>2</v>
      </c>
      <c r="DZ108" s="32">
        <f t="shared" si="73"/>
        <v>2</v>
      </c>
      <c r="EA108" s="32">
        <f t="shared" si="74"/>
        <v>2</v>
      </c>
      <c r="EB108" s="39"/>
      <c r="EC108" s="7">
        <v>5402052</v>
      </c>
      <c r="ED108" s="40" t="s">
        <v>214</v>
      </c>
      <c r="EE108" s="16">
        <v>2</v>
      </c>
      <c r="FD108" s="16">
        <v>5301072</v>
      </c>
      <c r="FE108" s="16">
        <v>5302075</v>
      </c>
      <c r="FF108" s="16">
        <v>5202073</v>
      </c>
      <c r="FG108" s="16">
        <v>5402071</v>
      </c>
      <c r="FH108" s="16">
        <v>5400075</v>
      </c>
      <c r="FI108" s="16">
        <v>5500073</v>
      </c>
      <c r="FJ108" t="str">
        <f t="shared" si="107"/>
        <v>火剑士</v>
      </c>
      <c r="FK108" t="str">
        <f t="shared" si="108"/>
        <v>暗盗贼</v>
      </c>
      <c r="FL108" t="str">
        <f t="shared" si="109"/>
        <v>木维京</v>
      </c>
      <c r="FM108" t="str">
        <f t="shared" si="110"/>
        <v>水女巫</v>
      </c>
      <c r="FN108" t="str">
        <f t="shared" si="111"/>
        <v>暗巫师</v>
      </c>
      <c r="FO108" t="str">
        <f t="shared" si="112"/>
        <v>木海盗</v>
      </c>
      <c r="FP108" t="str">
        <f t="shared" si="113"/>
        <v>7</v>
      </c>
      <c r="FQ108" t="str">
        <f t="shared" si="114"/>
        <v>7</v>
      </c>
      <c r="FR108" t="str">
        <f t="shared" si="115"/>
        <v>7</v>
      </c>
      <c r="FS108" t="str">
        <f t="shared" si="116"/>
        <v>7</v>
      </c>
      <c r="FT108" t="str">
        <f t="shared" si="117"/>
        <v>7</v>
      </c>
      <c r="FU108" t="str">
        <f t="shared" si="118"/>
        <v>7</v>
      </c>
      <c r="FV108" t="str">
        <f t="shared" si="121"/>
        <v>5</v>
      </c>
      <c r="FW108" t="str">
        <f t="shared" si="122"/>
        <v>5</v>
      </c>
      <c r="FX108" t="str">
        <f t="shared" si="123"/>
        <v>5</v>
      </c>
      <c r="FY108" t="str">
        <f t="shared" si="124"/>
        <v>5</v>
      </c>
      <c r="FZ108" t="str">
        <f t="shared" si="125"/>
        <v>5</v>
      </c>
      <c r="GA108" t="str">
        <f t="shared" si="126"/>
        <v>5</v>
      </c>
    </row>
    <row r="109" spans="1:183" ht="13.5" customHeight="1">
      <c r="A109" s="1">
        <v>1106</v>
      </c>
      <c r="B109" s="6">
        <v>10162</v>
      </c>
      <c r="C109" s="23" t="str">
        <f t="shared" si="81"/>
        <v>5301071,5200072,5202071,5401073,5500071,5500073</v>
      </c>
      <c r="D109" s="1" t="str">
        <f t="shared" si="82"/>
        <v>7,7,7,7,7,7</v>
      </c>
      <c r="E109" s="53" t="str">
        <f t="shared" si="83"/>
        <v>593,572,572,572,572,572</v>
      </c>
      <c r="F109" s="1">
        <f t="shared" si="68"/>
        <v>1643864</v>
      </c>
      <c r="G109" s="23" t="s">
        <v>34</v>
      </c>
      <c r="H109" s="1" t="s">
        <v>28</v>
      </c>
      <c r="I109" s="1" t="s">
        <v>28</v>
      </c>
      <c r="J109" s="1" t="s">
        <v>28</v>
      </c>
      <c r="K109" s="2" t="s">
        <v>407</v>
      </c>
      <c r="L109" s="1">
        <v>2</v>
      </c>
      <c r="M109" s="1">
        <v>3</v>
      </c>
      <c r="O109" s="25">
        <f t="shared" si="84"/>
        <v>1643864</v>
      </c>
      <c r="P109" s="16">
        <v>1643864.42</v>
      </c>
      <c r="Q109" s="16">
        <v>5301071</v>
      </c>
      <c r="R109" s="16">
        <v>5200072</v>
      </c>
      <c r="S109" s="16">
        <v>5202071</v>
      </c>
      <c r="T109" s="16">
        <v>5401073</v>
      </c>
      <c r="U109" s="16">
        <v>5500071</v>
      </c>
      <c r="V109" s="16">
        <v>5500073</v>
      </c>
      <c r="W109" s="16">
        <v>7</v>
      </c>
      <c r="X109" s="16">
        <v>7</v>
      </c>
      <c r="Y109" s="16">
        <v>7</v>
      </c>
      <c r="Z109" s="16">
        <v>7</v>
      </c>
      <c r="AA109" s="16">
        <v>7</v>
      </c>
      <c r="AB109" s="16">
        <v>7</v>
      </c>
      <c r="AC109" s="16">
        <f t="shared" si="85"/>
        <v>593</v>
      </c>
      <c r="AD109" s="16">
        <f t="shared" si="119"/>
        <v>572</v>
      </c>
      <c r="AE109" s="16">
        <f t="shared" si="119"/>
        <v>572</v>
      </c>
      <c r="AF109" s="16">
        <f t="shared" si="119"/>
        <v>572</v>
      </c>
      <c r="AG109" s="16">
        <f t="shared" si="119"/>
        <v>572</v>
      </c>
      <c r="AH109" s="16">
        <f t="shared" si="119"/>
        <v>572</v>
      </c>
      <c r="AI109" s="28">
        <f t="shared" si="86"/>
        <v>328772.88400000002</v>
      </c>
      <c r="AJ109" s="28">
        <f t="shared" si="127"/>
        <v>263018.30719999998</v>
      </c>
      <c r="AK109" s="28">
        <f t="shared" si="127"/>
        <v>263018.30719999998</v>
      </c>
      <c r="AL109" s="28">
        <f t="shared" si="127"/>
        <v>263018.30719999998</v>
      </c>
      <c r="AM109" s="28">
        <f t="shared" si="127"/>
        <v>263018.30719999998</v>
      </c>
      <c r="AN109" s="28">
        <f t="shared" si="127"/>
        <v>263018.30719999998</v>
      </c>
      <c r="AO109" s="30"/>
      <c r="AP109" s="28"/>
      <c r="AQ109" s="16">
        <v>5</v>
      </c>
      <c r="AR109" s="16">
        <f t="shared" si="88"/>
        <v>744</v>
      </c>
      <c r="AS109" s="28">
        <f t="shared" si="89"/>
        <v>1131</v>
      </c>
      <c r="AT109" s="28"/>
      <c r="AU109" s="30">
        <v>1643864.42</v>
      </c>
      <c r="AV109" s="28" t="str">
        <f t="shared" si="90"/>
        <v>小:0</v>
      </c>
      <c r="AW109" s="28"/>
      <c r="AX109" s="28"/>
      <c r="AZ109" s="28"/>
      <c r="BA109" s="16">
        <f t="shared" si="120"/>
        <v>22057.1685714286</v>
      </c>
      <c r="BC109" s="7">
        <f t="shared" si="91"/>
        <v>554</v>
      </c>
      <c r="BQ109" s="9"/>
      <c r="BR109" s="9">
        <v>5200051</v>
      </c>
      <c r="BS109" s="9">
        <f>[1]monsters!$N109</f>
        <v>179.2</v>
      </c>
      <c r="BT109" s="9">
        <f>[1]monsters!$O109</f>
        <v>17.920000000000002</v>
      </c>
      <c r="BU109" s="9">
        <f>[1]monsters!$P109</f>
        <v>1097.1400000000001</v>
      </c>
      <c r="BV109" s="9">
        <f>[1]monsters!$Q109</f>
        <v>109.71</v>
      </c>
      <c r="BW109" s="9">
        <f>[1]monsters!$R109</f>
        <v>22.4</v>
      </c>
      <c r="BX109" s="9">
        <f>[1]monsters!$S109</f>
        <v>2.2400000000000002</v>
      </c>
      <c r="BY109" s="9">
        <f>[1]monsters!$K109</f>
        <v>1.5</v>
      </c>
      <c r="BZ109" s="7">
        <f>[1]monsters!$D109</f>
        <v>5</v>
      </c>
      <c r="CA109" s="7">
        <f t="shared" si="92"/>
        <v>0.1</v>
      </c>
      <c r="CB109" s="7">
        <f t="shared" si="93"/>
        <v>206.28474074074074</v>
      </c>
      <c r="CC109" s="7">
        <f t="shared" si="94"/>
        <v>20.628474074074077</v>
      </c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>
        <v>0</v>
      </c>
      <c r="CR109" s="25" t="b">
        <f t="shared" si="95"/>
        <v>1</v>
      </c>
      <c r="CS109" s="25" t="b">
        <f t="shared" si="96"/>
        <v>1</v>
      </c>
      <c r="CT109" s="25" t="b">
        <f t="shared" si="97"/>
        <v>1</v>
      </c>
      <c r="CU109" s="25" t="b">
        <f t="shared" si="98"/>
        <v>1</v>
      </c>
      <c r="CV109" s="25" t="b">
        <f t="shared" si="99"/>
        <v>1</v>
      </c>
      <c r="CW109" s="25" t="b">
        <f t="shared" si="100"/>
        <v>1</v>
      </c>
      <c r="CX109" s="16" t="str">
        <f t="shared" si="101"/>
        <v>5301071</v>
      </c>
      <c r="CY109" s="16" t="str">
        <f t="shared" si="102"/>
        <v>5200072</v>
      </c>
      <c r="CZ109" s="16" t="str">
        <f t="shared" si="103"/>
        <v>5202071</v>
      </c>
      <c r="DA109" s="16" t="str">
        <f t="shared" si="104"/>
        <v>5401073</v>
      </c>
      <c r="DB109" s="16" t="str">
        <f t="shared" si="105"/>
        <v>5500071</v>
      </c>
      <c r="DC109" s="16" t="str">
        <f t="shared" si="106"/>
        <v>5500073</v>
      </c>
      <c r="DD109" s="16">
        <v>7</v>
      </c>
      <c r="DE109" s="16">
        <v>7</v>
      </c>
      <c r="DF109" s="16">
        <v>7</v>
      </c>
      <c r="DG109" s="16">
        <v>7</v>
      </c>
      <c r="DH109" s="16">
        <v>7</v>
      </c>
      <c r="DI109" s="16">
        <v>7</v>
      </c>
      <c r="DJ109" s="16">
        <v>5</v>
      </c>
      <c r="DK109" s="16">
        <v>5</v>
      </c>
      <c r="DL109" s="16">
        <v>5</v>
      </c>
      <c r="DM109" s="16">
        <v>5</v>
      </c>
      <c r="DN109" s="16">
        <v>5</v>
      </c>
      <c r="DO109" s="16">
        <v>5</v>
      </c>
      <c r="DP109" s="51" t="s">
        <v>113</v>
      </c>
      <c r="DQ109" s="51" t="s">
        <v>210</v>
      </c>
      <c r="DR109" s="51" t="s">
        <v>117</v>
      </c>
      <c r="DS109" s="51" t="s">
        <v>223</v>
      </c>
      <c r="DT109" s="51" t="s">
        <v>208</v>
      </c>
      <c r="DU109" s="51" t="s">
        <v>219</v>
      </c>
      <c r="DV109" s="32">
        <f t="shared" si="69"/>
        <v>1</v>
      </c>
      <c r="DW109" s="32">
        <f t="shared" si="70"/>
        <v>1</v>
      </c>
      <c r="DX109" s="32">
        <f t="shared" si="71"/>
        <v>1</v>
      </c>
      <c r="DY109" s="32">
        <f t="shared" si="72"/>
        <v>2</v>
      </c>
      <c r="DZ109" s="32">
        <f t="shared" si="73"/>
        <v>2</v>
      </c>
      <c r="EA109" s="32">
        <f t="shared" si="74"/>
        <v>2</v>
      </c>
      <c r="EB109" s="40"/>
      <c r="EC109" s="7">
        <v>5500052</v>
      </c>
      <c r="ED109" s="40" t="s">
        <v>115</v>
      </c>
      <c r="EE109" s="16">
        <v>2</v>
      </c>
      <c r="FD109" s="16">
        <v>5301071</v>
      </c>
      <c r="FE109" s="16">
        <v>5200072</v>
      </c>
      <c r="FF109" s="16">
        <v>5202071</v>
      </c>
      <c r="FG109" s="16">
        <v>5401073</v>
      </c>
      <c r="FH109" s="16">
        <v>5500071</v>
      </c>
      <c r="FI109" s="16">
        <v>5500073</v>
      </c>
      <c r="FJ109" t="str">
        <f t="shared" si="107"/>
        <v>水剑士</v>
      </c>
      <c r="FK109" t="str">
        <f t="shared" si="108"/>
        <v>火刀客</v>
      </c>
      <c r="FL109" t="str">
        <f t="shared" si="109"/>
        <v>水维京</v>
      </c>
      <c r="FM109" t="str">
        <f t="shared" si="110"/>
        <v>木魔法师</v>
      </c>
      <c r="FN109" t="str">
        <f t="shared" si="111"/>
        <v>水海盗</v>
      </c>
      <c r="FO109" t="str">
        <f t="shared" si="112"/>
        <v>木海盗</v>
      </c>
      <c r="FP109" t="str">
        <f t="shared" si="113"/>
        <v>7</v>
      </c>
      <c r="FQ109" t="str">
        <f t="shared" si="114"/>
        <v>7</v>
      </c>
      <c r="FR109" t="str">
        <f t="shared" si="115"/>
        <v>7</v>
      </c>
      <c r="FS109" t="str">
        <f t="shared" si="116"/>
        <v>7</v>
      </c>
      <c r="FT109" t="str">
        <f t="shared" si="117"/>
        <v>7</v>
      </c>
      <c r="FU109" t="str">
        <f t="shared" si="118"/>
        <v>7</v>
      </c>
      <c r="FV109" t="str">
        <f t="shared" si="121"/>
        <v>5</v>
      </c>
      <c r="FW109" t="str">
        <f t="shared" si="122"/>
        <v>5</v>
      </c>
      <c r="FX109" t="str">
        <f t="shared" si="123"/>
        <v>5</v>
      </c>
      <c r="FY109" t="str">
        <f t="shared" si="124"/>
        <v>5</v>
      </c>
      <c r="FZ109" t="str">
        <f t="shared" si="125"/>
        <v>5</v>
      </c>
      <c r="GA109" t="str">
        <f t="shared" si="126"/>
        <v>5</v>
      </c>
    </row>
    <row r="110" spans="1:183" ht="13.5" customHeight="1">
      <c r="A110" s="1">
        <v>1107</v>
      </c>
      <c r="B110" s="6">
        <v>10162</v>
      </c>
      <c r="C110" s="23" t="str">
        <f t="shared" si="81"/>
        <v>5202073,5302075,5301071,5500072,5501074,5402072</v>
      </c>
      <c r="D110" s="1" t="str">
        <f t="shared" si="82"/>
        <v>7,7,7,7,7,7</v>
      </c>
      <c r="E110" s="53" t="str">
        <f t="shared" si="83"/>
        <v>596,576,576,576,576,576</v>
      </c>
      <c r="F110" s="1">
        <f t="shared" si="68"/>
        <v>1663235</v>
      </c>
      <c r="G110" s="23" t="s">
        <v>34</v>
      </c>
      <c r="H110" s="1" t="s">
        <v>28</v>
      </c>
      <c r="I110" s="1" t="s">
        <v>28</v>
      </c>
      <c r="J110" s="1" t="s">
        <v>28</v>
      </c>
      <c r="K110" s="2" t="s">
        <v>408</v>
      </c>
      <c r="L110" s="1">
        <v>3</v>
      </c>
      <c r="M110" s="1">
        <v>5</v>
      </c>
      <c r="O110" s="25">
        <f t="shared" si="84"/>
        <v>1663235</v>
      </c>
      <c r="P110" s="16">
        <v>1663234.54</v>
      </c>
      <c r="Q110" s="16">
        <v>5202073</v>
      </c>
      <c r="R110" s="16">
        <v>5302075</v>
      </c>
      <c r="S110" s="16">
        <v>5301071</v>
      </c>
      <c r="T110" s="16">
        <v>5500072</v>
      </c>
      <c r="U110" s="16">
        <v>5501074</v>
      </c>
      <c r="V110" s="16">
        <v>5402072</v>
      </c>
      <c r="W110" s="16">
        <v>7</v>
      </c>
      <c r="X110" s="16">
        <v>7</v>
      </c>
      <c r="Y110" s="16">
        <v>7</v>
      </c>
      <c r="Z110" s="16">
        <v>7</v>
      </c>
      <c r="AA110" s="16">
        <v>7</v>
      </c>
      <c r="AB110" s="16">
        <v>7</v>
      </c>
      <c r="AC110" s="16">
        <f t="shared" si="85"/>
        <v>596</v>
      </c>
      <c r="AD110" s="16">
        <f t="shared" si="119"/>
        <v>576</v>
      </c>
      <c r="AE110" s="16">
        <f t="shared" si="119"/>
        <v>576</v>
      </c>
      <c r="AF110" s="16">
        <f t="shared" si="119"/>
        <v>576</v>
      </c>
      <c r="AG110" s="16">
        <f t="shared" si="119"/>
        <v>576</v>
      </c>
      <c r="AH110" s="16">
        <f t="shared" si="119"/>
        <v>576</v>
      </c>
      <c r="AI110" s="28">
        <f t="shared" si="86"/>
        <v>332646.90800000005</v>
      </c>
      <c r="AJ110" s="28">
        <f t="shared" si="127"/>
        <v>266117.52640000003</v>
      </c>
      <c r="AK110" s="28">
        <f t="shared" si="127"/>
        <v>266117.52640000003</v>
      </c>
      <c r="AL110" s="28">
        <f t="shared" si="127"/>
        <v>266117.52640000003</v>
      </c>
      <c r="AM110" s="28">
        <f t="shared" si="127"/>
        <v>266117.52640000003</v>
      </c>
      <c r="AN110" s="28">
        <f t="shared" si="127"/>
        <v>266117.52640000003</v>
      </c>
      <c r="AO110" s="30"/>
      <c r="AP110" s="28"/>
      <c r="AQ110" s="16">
        <v>5</v>
      </c>
      <c r="AR110" s="16">
        <f t="shared" si="88"/>
        <v>748</v>
      </c>
      <c r="AS110" s="28">
        <f t="shared" si="89"/>
        <v>1132</v>
      </c>
      <c r="AT110" s="28"/>
      <c r="AU110" s="30">
        <v>1663234.54</v>
      </c>
      <c r="AV110" s="28" t="str">
        <f t="shared" si="90"/>
        <v>小:0</v>
      </c>
      <c r="AW110" s="28"/>
      <c r="AX110" s="28"/>
      <c r="AZ110" s="28"/>
      <c r="BA110" s="16">
        <f t="shared" si="120"/>
        <v>22109.444285714315</v>
      </c>
      <c r="BC110" s="7">
        <f t="shared" si="91"/>
        <v>557</v>
      </c>
      <c r="BQ110" s="9"/>
      <c r="BR110" s="9">
        <v>5201051</v>
      </c>
      <c r="BS110" s="9">
        <f>[1]monsters!$N110</f>
        <v>167.25</v>
      </c>
      <c r="BT110" s="9">
        <f>[1]monsters!$O110</f>
        <v>16.73</v>
      </c>
      <c r="BU110" s="9">
        <f>[1]monsters!$P110</f>
        <v>1097.1400000000001</v>
      </c>
      <c r="BV110" s="9">
        <f>[1]monsters!$Q110</f>
        <v>109.71</v>
      </c>
      <c r="BW110" s="9">
        <f>[1]monsters!$R110</f>
        <v>20.91</v>
      </c>
      <c r="BX110" s="9">
        <f>[1]monsters!$S110</f>
        <v>2.09</v>
      </c>
      <c r="BY110" s="9">
        <f>[1]monsters!$K110</f>
        <v>1.4000000000000001</v>
      </c>
      <c r="BZ110" s="7">
        <f>[1]monsters!$D110</f>
        <v>5</v>
      </c>
      <c r="CA110" s="7">
        <f t="shared" si="92"/>
        <v>0.1</v>
      </c>
      <c r="CB110" s="7">
        <f t="shared" si="93"/>
        <v>194.99199074074076</v>
      </c>
      <c r="CC110" s="7">
        <f t="shared" si="94"/>
        <v>19.499199074074077</v>
      </c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>
        <v>0</v>
      </c>
      <c r="CR110" s="25" t="b">
        <f t="shared" si="95"/>
        <v>1</v>
      </c>
      <c r="CS110" s="25" t="b">
        <f t="shared" si="96"/>
        <v>1</v>
      </c>
      <c r="CT110" s="25" t="b">
        <f t="shared" si="97"/>
        <v>1</v>
      </c>
      <c r="CU110" s="25" t="b">
        <f t="shared" si="98"/>
        <v>1</v>
      </c>
      <c r="CV110" s="25" t="b">
        <f t="shared" si="99"/>
        <v>1</v>
      </c>
      <c r="CW110" s="25" t="b">
        <f t="shared" si="100"/>
        <v>1</v>
      </c>
      <c r="CX110" s="16" t="str">
        <f t="shared" si="101"/>
        <v>5202073</v>
      </c>
      <c r="CY110" s="16" t="str">
        <f t="shared" si="102"/>
        <v>5302075</v>
      </c>
      <c r="CZ110" s="16" t="str">
        <f t="shared" si="103"/>
        <v>5301071</v>
      </c>
      <c r="DA110" s="16" t="str">
        <f t="shared" si="104"/>
        <v>5500072</v>
      </c>
      <c r="DB110" s="16" t="str">
        <f t="shared" si="105"/>
        <v>5501074</v>
      </c>
      <c r="DC110" s="16" t="str">
        <f t="shared" si="106"/>
        <v>5402072</v>
      </c>
      <c r="DD110" s="16">
        <v>7</v>
      </c>
      <c r="DE110" s="16">
        <v>7</v>
      </c>
      <c r="DF110" s="16">
        <v>7</v>
      </c>
      <c r="DG110" s="16">
        <v>7</v>
      </c>
      <c r="DH110" s="16">
        <v>7</v>
      </c>
      <c r="DI110" s="16">
        <v>7</v>
      </c>
      <c r="DJ110" s="16">
        <v>5</v>
      </c>
      <c r="DK110" s="16">
        <v>5</v>
      </c>
      <c r="DL110" s="16">
        <v>5</v>
      </c>
      <c r="DM110" s="16">
        <v>5</v>
      </c>
      <c r="DN110" s="16">
        <v>5</v>
      </c>
      <c r="DO110" s="16">
        <v>5</v>
      </c>
      <c r="DP110" s="51" t="s">
        <v>220</v>
      </c>
      <c r="DQ110" s="51" t="s">
        <v>234</v>
      </c>
      <c r="DR110" s="51" t="s">
        <v>113</v>
      </c>
      <c r="DS110" s="51" t="s">
        <v>115</v>
      </c>
      <c r="DT110" s="51" t="s">
        <v>226</v>
      </c>
      <c r="DU110" s="51" t="s">
        <v>214</v>
      </c>
      <c r="DV110" s="32">
        <f t="shared" si="69"/>
        <v>1</v>
      </c>
      <c r="DW110" s="32">
        <f t="shared" si="70"/>
        <v>1</v>
      </c>
      <c r="DX110" s="32">
        <f t="shared" si="71"/>
        <v>1</v>
      </c>
      <c r="DY110" s="32">
        <f t="shared" si="72"/>
        <v>2</v>
      </c>
      <c r="DZ110" s="32">
        <f t="shared" si="73"/>
        <v>2</v>
      </c>
      <c r="EA110" s="32">
        <f t="shared" si="74"/>
        <v>2</v>
      </c>
      <c r="EB110" s="41"/>
      <c r="EC110" s="7">
        <v>5502052</v>
      </c>
      <c r="ED110" s="40" t="s">
        <v>215</v>
      </c>
      <c r="EE110" s="16">
        <v>2</v>
      </c>
      <c r="FD110" s="16">
        <v>5202073</v>
      </c>
      <c r="FE110" s="16">
        <v>5302075</v>
      </c>
      <c r="FF110" s="16">
        <v>5301071</v>
      </c>
      <c r="FG110" s="16">
        <v>5500072</v>
      </c>
      <c r="FH110" s="16">
        <v>5501074</v>
      </c>
      <c r="FI110" s="16">
        <v>5402072</v>
      </c>
      <c r="FJ110" t="str">
        <f t="shared" si="107"/>
        <v>木维京</v>
      </c>
      <c r="FK110" t="str">
        <f t="shared" si="108"/>
        <v>暗盗贼</v>
      </c>
      <c r="FL110" t="str">
        <f t="shared" si="109"/>
        <v>水剑士</v>
      </c>
      <c r="FM110" t="str">
        <f t="shared" si="110"/>
        <v>火海盗</v>
      </c>
      <c r="FN110" t="str">
        <f t="shared" si="111"/>
        <v>光猎人</v>
      </c>
      <c r="FO110" t="str">
        <f t="shared" si="112"/>
        <v>火女巫</v>
      </c>
      <c r="FP110" t="str">
        <f t="shared" si="113"/>
        <v>7</v>
      </c>
      <c r="FQ110" t="str">
        <f t="shared" si="114"/>
        <v>7</v>
      </c>
      <c r="FR110" t="str">
        <f t="shared" si="115"/>
        <v>7</v>
      </c>
      <c r="FS110" t="str">
        <f t="shared" si="116"/>
        <v>7</v>
      </c>
      <c r="FT110" t="str">
        <f t="shared" si="117"/>
        <v>7</v>
      </c>
      <c r="FU110" t="str">
        <f t="shared" si="118"/>
        <v>7</v>
      </c>
      <c r="FV110" t="str">
        <f t="shared" si="121"/>
        <v>5</v>
      </c>
      <c r="FW110" t="str">
        <f t="shared" si="122"/>
        <v>5</v>
      </c>
      <c r="FX110" t="str">
        <f t="shared" si="123"/>
        <v>5</v>
      </c>
      <c r="FY110" t="str">
        <f t="shared" si="124"/>
        <v>5</v>
      </c>
      <c r="FZ110" t="str">
        <f t="shared" si="125"/>
        <v>5</v>
      </c>
      <c r="GA110" t="str">
        <f t="shared" si="126"/>
        <v>5</v>
      </c>
    </row>
    <row r="111" spans="1:183" ht="13.5" customHeight="1">
      <c r="A111" s="1">
        <v>1108</v>
      </c>
      <c r="B111" s="6">
        <v>10162</v>
      </c>
      <c r="C111" s="23" t="str">
        <f t="shared" si="81"/>
        <v>5202073,5302075,5301071,5500072,5501074,5402072</v>
      </c>
      <c r="D111" s="1" t="str">
        <f t="shared" si="82"/>
        <v>7,7,7,7,7,7</v>
      </c>
      <c r="E111" s="53" t="str">
        <f t="shared" si="83"/>
        <v>600,579,579,579,579,579</v>
      </c>
      <c r="F111" s="1">
        <f t="shared" si="68"/>
        <v>1680527</v>
      </c>
      <c r="G111" s="23" t="s">
        <v>34</v>
      </c>
      <c r="H111" s="1" t="s">
        <v>28</v>
      </c>
      <c r="I111" s="1" t="s">
        <v>28</v>
      </c>
      <c r="J111" s="1" t="s">
        <v>28</v>
      </c>
      <c r="K111" s="2" t="s">
        <v>409</v>
      </c>
      <c r="L111" s="1">
        <v>1</v>
      </c>
      <c r="M111" s="1">
        <v>5</v>
      </c>
      <c r="O111" s="25">
        <f t="shared" si="84"/>
        <v>1680527</v>
      </c>
      <c r="P111" s="16">
        <v>1680527.2</v>
      </c>
      <c r="Q111" s="16">
        <v>5202073</v>
      </c>
      <c r="R111" s="16">
        <v>5302075</v>
      </c>
      <c r="S111" s="16">
        <v>5301071</v>
      </c>
      <c r="T111" s="16">
        <v>5500072</v>
      </c>
      <c r="U111" s="16">
        <v>5501074</v>
      </c>
      <c r="V111" s="16">
        <v>5402072</v>
      </c>
      <c r="W111" s="16">
        <v>7</v>
      </c>
      <c r="X111" s="16">
        <v>7</v>
      </c>
      <c r="Y111" s="16">
        <v>7</v>
      </c>
      <c r="Z111" s="16">
        <v>7</v>
      </c>
      <c r="AA111" s="16">
        <v>7</v>
      </c>
      <c r="AB111" s="16">
        <v>7</v>
      </c>
      <c r="AC111" s="16">
        <f t="shared" si="85"/>
        <v>600</v>
      </c>
      <c r="AD111" s="16">
        <f t="shared" si="119"/>
        <v>579</v>
      </c>
      <c r="AE111" s="16">
        <f t="shared" si="119"/>
        <v>579</v>
      </c>
      <c r="AF111" s="16">
        <f t="shared" si="119"/>
        <v>579</v>
      </c>
      <c r="AG111" s="16">
        <f t="shared" si="119"/>
        <v>579</v>
      </c>
      <c r="AH111" s="16">
        <f t="shared" si="119"/>
        <v>579</v>
      </c>
      <c r="AI111" s="28">
        <f t="shared" si="86"/>
        <v>336105.44</v>
      </c>
      <c r="AJ111" s="28">
        <f t="shared" si="127"/>
        <v>268884.35200000001</v>
      </c>
      <c r="AK111" s="28">
        <f t="shared" si="127"/>
        <v>268884.35200000001</v>
      </c>
      <c r="AL111" s="28">
        <f t="shared" si="127"/>
        <v>268884.35200000001</v>
      </c>
      <c r="AM111" s="28">
        <f t="shared" si="127"/>
        <v>268884.35200000001</v>
      </c>
      <c r="AN111" s="28">
        <f t="shared" si="127"/>
        <v>268884.35200000001</v>
      </c>
      <c r="AO111" s="30"/>
      <c r="AP111" s="28"/>
      <c r="AQ111" s="16">
        <v>5</v>
      </c>
      <c r="AR111" s="16">
        <f t="shared" si="88"/>
        <v>752</v>
      </c>
      <c r="AS111" s="28">
        <f t="shared" si="89"/>
        <v>1133</v>
      </c>
      <c r="AT111" s="28"/>
      <c r="AU111" s="30">
        <v>1680527.2</v>
      </c>
      <c r="AV111" s="28" t="str">
        <f t="shared" si="90"/>
        <v>小:0</v>
      </c>
      <c r="AW111" s="28"/>
      <c r="AX111" s="28"/>
      <c r="AZ111" s="28"/>
      <c r="BA111" s="16">
        <f t="shared" si="120"/>
        <v>22161.72000000003</v>
      </c>
      <c r="BC111" s="7">
        <f t="shared" si="91"/>
        <v>560</v>
      </c>
      <c r="BQ111" s="9"/>
      <c r="BR111" s="9">
        <v>5300051</v>
      </c>
      <c r="BS111" s="9">
        <f>[1]monsters!$N111</f>
        <v>198.4</v>
      </c>
      <c r="BT111" s="9">
        <f>[1]monsters!$O111</f>
        <v>19.84</v>
      </c>
      <c r="BU111" s="9">
        <f>[1]monsters!$P111</f>
        <v>990.97</v>
      </c>
      <c r="BV111" s="9">
        <f>[1]monsters!$Q111</f>
        <v>99.1</v>
      </c>
      <c r="BW111" s="9">
        <f>[1]monsters!$R111</f>
        <v>19.84</v>
      </c>
      <c r="BX111" s="9">
        <f>[1]monsters!$S111</f>
        <v>1.98</v>
      </c>
      <c r="BY111" s="9">
        <f>[1]monsters!$K111</f>
        <v>1.5</v>
      </c>
      <c r="BZ111" s="7">
        <f>[1]monsters!$D111</f>
        <v>6</v>
      </c>
      <c r="CA111" s="7">
        <f t="shared" si="92"/>
        <v>0.1</v>
      </c>
      <c r="CB111" s="7">
        <f t="shared" si="93"/>
        <v>220.8539932659933</v>
      </c>
      <c r="CC111" s="7">
        <f t="shared" si="94"/>
        <v>22.08539932659933</v>
      </c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>
        <v>0</v>
      </c>
      <c r="CR111" s="25" t="b">
        <f t="shared" si="95"/>
        <v>1</v>
      </c>
      <c r="CS111" s="25" t="b">
        <f t="shared" si="96"/>
        <v>1</v>
      </c>
      <c r="CT111" s="25" t="b">
        <f t="shared" si="97"/>
        <v>1</v>
      </c>
      <c r="CU111" s="25" t="b">
        <f t="shared" si="98"/>
        <v>1</v>
      </c>
      <c r="CV111" s="25" t="b">
        <f t="shared" si="99"/>
        <v>1</v>
      </c>
      <c r="CW111" s="25" t="b">
        <f t="shared" si="100"/>
        <v>1</v>
      </c>
      <c r="CX111" s="16" t="str">
        <f t="shared" si="101"/>
        <v>5202073</v>
      </c>
      <c r="CY111" s="16" t="str">
        <f t="shared" si="102"/>
        <v>5302075</v>
      </c>
      <c r="CZ111" s="16" t="str">
        <f t="shared" si="103"/>
        <v>5301071</v>
      </c>
      <c r="DA111" s="16" t="str">
        <f t="shared" si="104"/>
        <v>5500072</v>
      </c>
      <c r="DB111" s="16" t="str">
        <f t="shared" si="105"/>
        <v>5501074</v>
      </c>
      <c r="DC111" s="16" t="str">
        <f t="shared" si="106"/>
        <v>5402072</v>
      </c>
      <c r="DD111" s="16">
        <v>7</v>
      </c>
      <c r="DE111" s="16">
        <v>7</v>
      </c>
      <c r="DF111" s="16">
        <v>7</v>
      </c>
      <c r="DG111" s="16">
        <v>7</v>
      </c>
      <c r="DH111" s="16">
        <v>7</v>
      </c>
      <c r="DI111" s="16">
        <v>7</v>
      </c>
      <c r="DJ111" s="16">
        <v>5</v>
      </c>
      <c r="DK111" s="16">
        <v>5</v>
      </c>
      <c r="DL111" s="16">
        <v>5</v>
      </c>
      <c r="DM111" s="16">
        <v>5</v>
      </c>
      <c r="DN111" s="16">
        <v>5</v>
      </c>
      <c r="DO111" s="16">
        <v>5</v>
      </c>
      <c r="DP111" s="51" t="s">
        <v>220</v>
      </c>
      <c r="DQ111" s="51" t="s">
        <v>234</v>
      </c>
      <c r="DR111" s="51" t="s">
        <v>113</v>
      </c>
      <c r="DS111" s="51" t="s">
        <v>115</v>
      </c>
      <c r="DT111" s="51" t="s">
        <v>226</v>
      </c>
      <c r="DU111" s="51" t="s">
        <v>214</v>
      </c>
      <c r="DV111" s="32">
        <f t="shared" si="69"/>
        <v>1</v>
      </c>
      <c r="DW111" s="32">
        <f t="shared" si="70"/>
        <v>1</v>
      </c>
      <c r="DX111" s="32">
        <f t="shared" si="71"/>
        <v>1</v>
      </c>
      <c r="DY111" s="32">
        <f t="shared" si="72"/>
        <v>2</v>
      </c>
      <c r="DZ111" s="32">
        <f t="shared" si="73"/>
        <v>2</v>
      </c>
      <c r="EA111" s="32">
        <f t="shared" si="74"/>
        <v>2</v>
      </c>
      <c r="EB111" s="41"/>
      <c r="EC111" s="7">
        <v>5601052</v>
      </c>
      <c r="ED111" s="40" t="s">
        <v>216</v>
      </c>
      <c r="EE111" s="16">
        <v>2</v>
      </c>
      <c r="FD111" s="16">
        <v>5202073</v>
      </c>
      <c r="FE111" s="16">
        <v>5302075</v>
      </c>
      <c r="FF111" s="16">
        <v>5301071</v>
      </c>
      <c r="FG111" s="16">
        <v>5500072</v>
      </c>
      <c r="FH111" s="16">
        <v>5501074</v>
      </c>
      <c r="FI111" s="16">
        <v>5402072</v>
      </c>
      <c r="FJ111" t="str">
        <f t="shared" si="107"/>
        <v>木维京</v>
      </c>
      <c r="FK111" t="str">
        <f t="shared" si="108"/>
        <v>暗盗贼</v>
      </c>
      <c r="FL111" t="str">
        <f t="shared" si="109"/>
        <v>水剑士</v>
      </c>
      <c r="FM111" t="str">
        <f t="shared" si="110"/>
        <v>火海盗</v>
      </c>
      <c r="FN111" t="str">
        <f t="shared" si="111"/>
        <v>光猎人</v>
      </c>
      <c r="FO111" t="str">
        <f t="shared" si="112"/>
        <v>火女巫</v>
      </c>
      <c r="FP111" t="str">
        <f t="shared" si="113"/>
        <v>7</v>
      </c>
      <c r="FQ111" t="str">
        <f t="shared" si="114"/>
        <v>7</v>
      </c>
      <c r="FR111" t="str">
        <f t="shared" si="115"/>
        <v>7</v>
      </c>
      <c r="FS111" t="str">
        <f t="shared" si="116"/>
        <v>7</v>
      </c>
      <c r="FT111" t="str">
        <f t="shared" si="117"/>
        <v>7</v>
      </c>
      <c r="FU111" t="str">
        <f t="shared" si="118"/>
        <v>7</v>
      </c>
      <c r="FV111" t="str">
        <f t="shared" si="121"/>
        <v>5</v>
      </c>
      <c r="FW111" t="str">
        <f t="shared" si="122"/>
        <v>5</v>
      </c>
      <c r="FX111" t="str">
        <f t="shared" si="123"/>
        <v>5</v>
      </c>
      <c r="FY111" t="str">
        <f t="shared" si="124"/>
        <v>5</v>
      </c>
      <c r="FZ111" t="str">
        <f t="shared" si="125"/>
        <v>5</v>
      </c>
      <c r="GA111" t="str">
        <f t="shared" si="126"/>
        <v>5</v>
      </c>
    </row>
    <row r="112" spans="1:183" ht="13.5" customHeight="1">
      <c r="A112" s="1">
        <v>1109</v>
      </c>
      <c r="B112" s="6">
        <v>10162</v>
      </c>
      <c r="C112" s="23" t="str">
        <f t="shared" si="81"/>
        <v>5301071,5200072,5202071,5401073,5500071,5500073</v>
      </c>
      <c r="D112" s="1" t="str">
        <f t="shared" si="82"/>
        <v>7,7,7,7,7,7</v>
      </c>
      <c r="E112" s="53" t="str">
        <f t="shared" si="83"/>
        <v>603,582,582,582,582,582</v>
      </c>
      <c r="F112" s="1">
        <f t="shared" si="68"/>
        <v>1700111</v>
      </c>
      <c r="G112" s="23" t="s">
        <v>34</v>
      </c>
      <c r="H112" s="1" t="s">
        <v>28</v>
      </c>
      <c r="I112" s="1" t="s">
        <v>28</v>
      </c>
      <c r="J112" s="1" t="s">
        <v>28</v>
      </c>
      <c r="K112" s="2" t="s">
        <v>410</v>
      </c>
      <c r="L112" s="1">
        <v>2</v>
      </c>
      <c r="M112" s="1">
        <v>2</v>
      </c>
      <c r="O112" s="25">
        <f t="shared" si="84"/>
        <v>1700111</v>
      </c>
      <c r="P112" s="16">
        <v>1700110.5</v>
      </c>
      <c r="Q112" s="16">
        <v>5301071</v>
      </c>
      <c r="R112" s="16">
        <v>5200072</v>
      </c>
      <c r="S112" s="16">
        <v>5202071</v>
      </c>
      <c r="T112" s="16">
        <v>5401073</v>
      </c>
      <c r="U112" s="16">
        <v>5500071</v>
      </c>
      <c r="V112" s="16">
        <v>5500073</v>
      </c>
      <c r="W112" s="16">
        <v>7</v>
      </c>
      <c r="X112" s="16">
        <v>7</v>
      </c>
      <c r="Y112" s="16">
        <v>7</v>
      </c>
      <c r="Z112" s="16">
        <v>7</v>
      </c>
      <c r="AA112" s="16">
        <v>7</v>
      </c>
      <c r="AB112" s="16">
        <v>7</v>
      </c>
      <c r="AC112" s="16">
        <f t="shared" si="85"/>
        <v>603</v>
      </c>
      <c r="AD112" s="16">
        <f t="shared" si="119"/>
        <v>582</v>
      </c>
      <c r="AE112" s="16">
        <f t="shared" si="119"/>
        <v>582</v>
      </c>
      <c r="AF112" s="16">
        <f t="shared" si="119"/>
        <v>582</v>
      </c>
      <c r="AG112" s="16">
        <f t="shared" si="119"/>
        <v>582</v>
      </c>
      <c r="AH112" s="16">
        <f t="shared" si="119"/>
        <v>582</v>
      </c>
      <c r="AI112" s="28">
        <f t="shared" si="86"/>
        <v>340022.10000000003</v>
      </c>
      <c r="AJ112" s="28">
        <f t="shared" si="127"/>
        <v>272017.68</v>
      </c>
      <c r="AK112" s="28">
        <f t="shared" si="127"/>
        <v>272017.68</v>
      </c>
      <c r="AL112" s="28">
        <f t="shared" si="127"/>
        <v>272017.68</v>
      </c>
      <c r="AM112" s="28">
        <f t="shared" si="127"/>
        <v>272017.68</v>
      </c>
      <c r="AN112" s="28">
        <f t="shared" si="127"/>
        <v>272017.68</v>
      </c>
      <c r="AO112" s="30"/>
      <c r="AP112" s="28"/>
      <c r="AQ112" s="16">
        <v>5</v>
      </c>
      <c r="AR112" s="16">
        <f t="shared" si="88"/>
        <v>756</v>
      </c>
      <c r="AS112" s="28">
        <f t="shared" si="89"/>
        <v>1134</v>
      </c>
      <c r="AT112" s="28"/>
      <c r="AU112" s="30">
        <v>1700110.5</v>
      </c>
      <c r="AV112" s="28" t="str">
        <f t="shared" si="90"/>
        <v>小:0</v>
      </c>
      <c r="AW112" s="28"/>
      <c r="AX112" s="28"/>
      <c r="AZ112" s="28"/>
      <c r="BA112" s="16">
        <f t="shared" si="120"/>
        <v>22213.995714285746</v>
      </c>
      <c r="BC112" s="7">
        <f t="shared" si="91"/>
        <v>563</v>
      </c>
      <c r="BQ112" s="9"/>
      <c r="BR112" s="9">
        <v>5301051</v>
      </c>
      <c r="BS112" s="9">
        <f>[1]monsters!$N112</f>
        <v>128</v>
      </c>
      <c r="BT112" s="9">
        <f>[1]monsters!$O112</f>
        <v>12.8</v>
      </c>
      <c r="BU112" s="9">
        <f>[1]monsters!$P112</f>
        <v>1536</v>
      </c>
      <c r="BV112" s="9">
        <f>[1]monsters!$Q112</f>
        <v>153.6</v>
      </c>
      <c r="BW112" s="9">
        <f>[1]monsters!$R112</f>
        <v>32</v>
      </c>
      <c r="BX112" s="9">
        <f>[1]monsters!$S112</f>
        <v>3.2</v>
      </c>
      <c r="BY112" s="9">
        <f>[1]monsters!$K112</f>
        <v>1.5</v>
      </c>
      <c r="BZ112" s="7">
        <f>[1]monsters!$D112</f>
        <v>2</v>
      </c>
      <c r="CA112" s="7">
        <f t="shared" si="92"/>
        <v>0.1</v>
      </c>
      <c r="CB112" s="7">
        <f t="shared" si="93"/>
        <v>172.67717171717172</v>
      </c>
      <c r="CC112" s="7">
        <f t="shared" si="94"/>
        <v>17.267717171717173</v>
      </c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>
        <v>0</v>
      </c>
      <c r="CR112" s="25" t="b">
        <f t="shared" si="95"/>
        <v>1</v>
      </c>
      <c r="CS112" s="25" t="b">
        <f t="shared" si="96"/>
        <v>1</v>
      </c>
      <c r="CT112" s="25" t="b">
        <f t="shared" si="97"/>
        <v>1</v>
      </c>
      <c r="CU112" s="25" t="b">
        <f t="shared" si="98"/>
        <v>1</v>
      </c>
      <c r="CV112" s="25" t="b">
        <f t="shared" si="99"/>
        <v>1</v>
      </c>
      <c r="CW112" s="25" t="b">
        <f t="shared" si="100"/>
        <v>1</v>
      </c>
      <c r="CX112" s="16" t="str">
        <f t="shared" si="101"/>
        <v>5301071</v>
      </c>
      <c r="CY112" s="16" t="str">
        <f t="shared" si="102"/>
        <v>5200072</v>
      </c>
      <c r="CZ112" s="16" t="str">
        <f t="shared" si="103"/>
        <v>5202071</v>
      </c>
      <c r="DA112" s="16" t="str">
        <f t="shared" si="104"/>
        <v>5401073</v>
      </c>
      <c r="DB112" s="16" t="str">
        <f t="shared" si="105"/>
        <v>5500071</v>
      </c>
      <c r="DC112" s="16" t="str">
        <f t="shared" si="106"/>
        <v>5500073</v>
      </c>
      <c r="DD112" s="16">
        <v>7</v>
      </c>
      <c r="DE112" s="16">
        <v>7</v>
      </c>
      <c r="DF112" s="16">
        <v>7</v>
      </c>
      <c r="DG112" s="16">
        <v>7</v>
      </c>
      <c r="DH112" s="16">
        <v>7</v>
      </c>
      <c r="DI112" s="16">
        <v>7</v>
      </c>
      <c r="DJ112" s="16">
        <v>5</v>
      </c>
      <c r="DK112" s="16">
        <v>5</v>
      </c>
      <c r="DL112" s="16">
        <v>5</v>
      </c>
      <c r="DM112" s="16">
        <v>5</v>
      </c>
      <c r="DN112" s="16">
        <v>5</v>
      </c>
      <c r="DO112" s="16">
        <v>5</v>
      </c>
      <c r="DP112" s="51" t="s">
        <v>113</v>
      </c>
      <c r="DQ112" s="51" t="s">
        <v>210</v>
      </c>
      <c r="DR112" s="51" t="s">
        <v>117</v>
      </c>
      <c r="DS112" s="51" t="s">
        <v>223</v>
      </c>
      <c r="DT112" s="51" t="s">
        <v>208</v>
      </c>
      <c r="DU112" s="51" t="s">
        <v>219</v>
      </c>
      <c r="DV112" s="32">
        <f t="shared" si="69"/>
        <v>1</v>
      </c>
      <c r="DW112" s="32">
        <f t="shared" si="70"/>
        <v>1</v>
      </c>
      <c r="DX112" s="32">
        <f t="shared" si="71"/>
        <v>1</v>
      </c>
      <c r="DY112" s="32">
        <f t="shared" si="72"/>
        <v>2</v>
      </c>
      <c r="DZ112" s="32">
        <f t="shared" si="73"/>
        <v>2</v>
      </c>
      <c r="EA112" s="32">
        <f t="shared" si="74"/>
        <v>2</v>
      </c>
      <c r="EB112" s="41"/>
      <c r="EC112" s="7">
        <v>5200053</v>
      </c>
      <c r="ED112" s="40" t="s">
        <v>119</v>
      </c>
      <c r="EE112" s="16">
        <v>1</v>
      </c>
      <c r="FD112" s="16">
        <v>5301071</v>
      </c>
      <c r="FE112" s="16">
        <v>5200072</v>
      </c>
      <c r="FF112" s="16">
        <v>5202071</v>
      </c>
      <c r="FG112" s="16">
        <v>5401073</v>
      </c>
      <c r="FH112" s="16">
        <v>5500071</v>
      </c>
      <c r="FI112" s="16">
        <v>5500073</v>
      </c>
      <c r="FJ112" t="str">
        <f t="shared" si="107"/>
        <v>水剑士</v>
      </c>
      <c r="FK112" t="str">
        <f t="shared" si="108"/>
        <v>火刀客</v>
      </c>
      <c r="FL112" t="str">
        <f t="shared" si="109"/>
        <v>水维京</v>
      </c>
      <c r="FM112" t="str">
        <f t="shared" si="110"/>
        <v>木魔法师</v>
      </c>
      <c r="FN112" t="str">
        <f t="shared" si="111"/>
        <v>水海盗</v>
      </c>
      <c r="FO112" t="str">
        <f t="shared" si="112"/>
        <v>木海盗</v>
      </c>
      <c r="FP112" t="str">
        <f t="shared" si="113"/>
        <v>7</v>
      </c>
      <c r="FQ112" t="str">
        <f t="shared" si="114"/>
        <v>7</v>
      </c>
      <c r="FR112" t="str">
        <f t="shared" si="115"/>
        <v>7</v>
      </c>
      <c r="FS112" t="str">
        <f t="shared" si="116"/>
        <v>7</v>
      </c>
      <c r="FT112" t="str">
        <f t="shared" si="117"/>
        <v>7</v>
      </c>
      <c r="FU112" t="str">
        <f t="shared" si="118"/>
        <v>7</v>
      </c>
      <c r="FV112" t="str">
        <f t="shared" si="121"/>
        <v>5</v>
      </c>
      <c r="FW112" t="str">
        <f t="shared" si="122"/>
        <v>5</v>
      </c>
      <c r="FX112" t="str">
        <f t="shared" si="123"/>
        <v>5</v>
      </c>
      <c r="FY112" t="str">
        <f t="shared" si="124"/>
        <v>5</v>
      </c>
      <c r="FZ112" t="str">
        <f t="shared" si="125"/>
        <v>5</v>
      </c>
      <c r="GA112" t="str">
        <f t="shared" si="126"/>
        <v>5</v>
      </c>
    </row>
    <row r="113" spans="1:183" ht="13.5" customHeight="1">
      <c r="A113" s="1">
        <v>1110</v>
      </c>
      <c r="B113" s="6">
        <v>10162</v>
      </c>
      <c r="C113" s="23" t="str">
        <f t="shared" si="81"/>
        <v>5202073,5302075,5301071,5500072,5501074,5402072</v>
      </c>
      <c r="D113" s="1" t="str">
        <f t="shared" si="82"/>
        <v>7,7,7,7,7,7</v>
      </c>
      <c r="E113" s="53" t="str">
        <f t="shared" si="83"/>
        <v>606,585,585,585,585,585</v>
      </c>
      <c r="F113" s="1">
        <f t="shared" si="68"/>
        <v>1717595</v>
      </c>
      <c r="G113" s="23" t="s">
        <v>34</v>
      </c>
      <c r="H113" s="1" t="s">
        <v>28</v>
      </c>
      <c r="I113" s="1" t="s">
        <v>28</v>
      </c>
      <c r="J113" s="1" t="s">
        <v>28</v>
      </c>
      <c r="K113" s="2" t="s">
        <v>411</v>
      </c>
      <c r="L113" s="1">
        <v>3</v>
      </c>
      <c r="M113" s="1">
        <v>2</v>
      </c>
      <c r="O113" s="25">
        <f t="shared" si="84"/>
        <v>1717595</v>
      </c>
      <c r="P113" s="16">
        <v>1717595.44</v>
      </c>
      <c r="Q113" s="16">
        <v>5202073</v>
      </c>
      <c r="R113" s="16">
        <v>5302075</v>
      </c>
      <c r="S113" s="16">
        <v>5301071</v>
      </c>
      <c r="T113" s="16">
        <v>5500072</v>
      </c>
      <c r="U113" s="16">
        <v>5501074</v>
      </c>
      <c r="V113" s="16">
        <v>5402072</v>
      </c>
      <c r="W113" s="16">
        <v>7</v>
      </c>
      <c r="X113" s="16">
        <v>7</v>
      </c>
      <c r="Y113" s="16">
        <v>7</v>
      </c>
      <c r="Z113" s="16">
        <v>7</v>
      </c>
      <c r="AA113" s="16">
        <v>7</v>
      </c>
      <c r="AB113" s="16">
        <v>7</v>
      </c>
      <c r="AC113" s="16">
        <f t="shared" si="85"/>
        <v>606</v>
      </c>
      <c r="AD113" s="16">
        <f t="shared" si="119"/>
        <v>585</v>
      </c>
      <c r="AE113" s="16">
        <f t="shared" si="119"/>
        <v>585</v>
      </c>
      <c r="AF113" s="16">
        <f t="shared" si="119"/>
        <v>585</v>
      </c>
      <c r="AG113" s="16">
        <f t="shared" si="119"/>
        <v>585</v>
      </c>
      <c r="AH113" s="16">
        <f t="shared" si="119"/>
        <v>585</v>
      </c>
      <c r="AI113" s="28">
        <f t="shared" si="86"/>
        <v>343519.08799999999</v>
      </c>
      <c r="AJ113" s="28">
        <f t="shared" si="127"/>
        <v>274815.27039999998</v>
      </c>
      <c r="AK113" s="28">
        <f t="shared" si="127"/>
        <v>274815.27039999998</v>
      </c>
      <c r="AL113" s="28">
        <f t="shared" si="127"/>
        <v>274815.27039999998</v>
      </c>
      <c r="AM113" s="28">
        <f t="shared" si="127"/>
        <v>274815.27039999998</v>
      </c>
      <c r="AN113" s="28">
        <f t="shared" si="127"/>
        <v>274815.27039999998</v>
      </c>
      <c r="AO113" s="30"/>
      <c r="AP113" s="28"/>
      <c r="AQ113" s="16">
        <v>5</v>
      </c>
      <c r="AR113" s="16">
        <f t="shared" si="88"/>
        <v>760</v>
      </c>
      <c r="AS113" s="28">
        <f t="shared" si="89"/>
        <v>1135</v>
      </c>
      <c r="AT113" s="28"/>
      <c r="AU113" s="30">
        <v>1717595.44</v>
      </c>
      <c r="AV113" s="28" t="str">
        <f t="shared" si="90"/>
        <v>小:0</v>
      </c>
      <c r="AW113" s="28"/>
      <c r="AX113" s="28"/>
      <c r="AZ113" s="28"/>
      <c r="BA113" s="16">
        <f t="shared" si="120"/>
        <v>22266.271428571461</v>
      </c>
      <c r="BC113" s="7">
        <f t="shared" si="91"/>
        <v>566</v>
      </c>
      <c r="BQ113" s="9"/>
      <c r="BR113" s="9">
        <v>5401051</v>
      </c>
      <c r="BS113" s="9">
        <f>[1]monsters!$N113</f>
        <v>122.88</v>
      </c>
      <c r="BT113" s="9">
        <f>[1]monsters!$O113</f>
        <v>12.29</v>
      </c>
      <c r="BU113" s="9">
        <f>[1]monsters!$P113</f>
        <v>1920</v>
      </c>
      <c r="BV113" s="9">
        <f>[1]monsters!$Q113</f>
        <v>192</v>
      </c>
      <c r="BW113" s="9">
        <f>[1]monsters!$R113</f>
        <v>40.96</v>
      </c>
      <c r="BX113" s="9">
        <f>[1]monsters!$S113</f>
        <v>4.0999999999999996</v>
      </c>
      <c r="BY113" s="9">
        <f>[1]monsters!$K113</f>
        <v>1.8</v>
      </c>
      <c r="BZ113" s="7">
        <f>[1]monsters!$D113</f>
        <v>2</v>
      </c>
      <c r="CA113" s="7">
        <f t="shared" si="92"/>
        <v>0.1</v>
      </c>
      <c r="CB113" s="7">
        <f t="shared" si="93"/>
        <v>180.76806464646464</v>
      </c>
      <c r="CC113" s="7">
        <f t="shared" si="94"/>
        <v>18.076806464646463</v>
      </c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>
        <v>1</v>
      </c>
      <c r="CR113" s="25" t="b">
        <f t="shared" si="95"/>
        <v>1</v>
      </c>
      <c r="CS113" s="25" t="b">
        <f t="shared" si="96"/>
        <v>1</v>
      </c>
      <c r="CT113" s="25" t="b">
        <f t="shared" si="97"/>
        <v>1</v>
      </c>
      <c r="CU113" s="25" t="b">
        <f t="shared" si="98"/>
        <v>1</v>
      </c>
      <c r="CV113" s="25" t="b">
        <f t="shared" si="99"/>
        <v>1</v>
      </c>
      <c r="CW113" s="25" t="b">
        <f t="shared" si="100"/>
        <v>1</v>
      </c>
      <c r="CX113" s="16" t="str">
        <f t="shared" si="101"/>
        <v>5202073</v>
      </c>
      <c r="CY113" s="16" t="str">
        <f t="shared" si="102"/>
        <v>5302075</v>
      </c>
      <c r="CZ113" s="16" t="str">
        <f t="shared" si="103"/>
        <v>5301071</v>
      </c>
      <c r="DA113" s="16" t="str">
        <f t="shared" si="104"/>
        <v>5500072</v>
      </c>
      <c r="DB113" s="16" t="str">
        <f t="shared" si="105"/>
        <v>5501074</v>
      </c>
      <c r="DC113" s="16" t="str">
        <f t="shared" si="106"/>
        <v>5402072</v>
      </c>
      <c r="DD113" s="16">
        <v>7</v>
      </c>
      <c r="DE113" s="16">
        <v>7</v>
      </c>
      <c r="DF113" s="16">
        <v>7</v>
      </c>
      <c r="DG113" s="16">
        <v>7</v>
      </c>
      <c r="DH113" s="16">
        <v>7</v>
      </c>
      <c r="DI113" s="16">
        <v>7</v>
      </c>
      <c r="DJ113" s="16">
        <v>5</v>
      </c>
      <c r="DK113" s="16">
        <v>5</v>
      </c>
      <c r="DL113" s="16">
        <v>5</v>
      </c>
      <c r="DM113" s="16">
        <v>5</v>
      </c>
      <c r="DN113" s="16">
        <v>5</v>
      </c>
      <c r="DO113" s="16">
        <v>5</v>
      </c>
      <c r="DP113" s="51" t="s">
        <v>220</v>
      </c>
      <c r="DQ113" s="51" t="s">
        <v>234</v>
      </c>
      <c r="DR113" s="51" t="s">
        <v>113</v>
      </c>
      <c r="DS113" s="51" t="s">
        <v>115</v>
      </c>
      <c r="DT113" s="51" t="s">
        <v>226</v>
      </c>
      <c r="DU113" s="51" t="s">
        <v>214</v>
      </c>
      <c r="DV113" s="32">
        <f t="shared" si="69"/>
        <v>1</v>
      </c>
      <c r="DW113" s="32">
        <f t="shared" si="70"/>
        <v>1</v>
      </c>
      <c r="DX113" s="32">
        <f t="shared" si="71"/>
        <v>1</v>
      </c>
      <c r="DY113" s="32">
        <f t="shared" si="72"/>
        <v>2</v>
      </c>
      <c r="DZ113" s="32">
        <f t="shared" si="73"/>
        <v>2</v>
      </c>
      <c r="EA113" s="32">
        <f t="shared" si="74"/>
        <v>2</v>
      </c>
      <c r="EB113" s="41"/>
      <c r="EC113" s="7">
        <v>5201053</v>
      </c>
      <c r="ED113" s="40" t="s">
        <v>217</v>
      </c>
      <c r="EE113" s="16">
        <v>1</v>
      </c>
      <c r="FD113" s="16">
        <v>5202073</v>
      </c>
      <c r="FE113" s="16">
        <v>5302075</v>
      </c>
      <c r="FF113" s="16">
        <v>5301071</v>
      </c>
      <c r="FG113" s="16">
        <v>5500072</v>
      </c>
      <c r="FH113" s="16">
        <v>5501074</v>
      </c>
      <c r="FI113" s="16">
        <v>5402072</v>
      </c>
      <c r="FJ113" t="str">
        <f t="shared" si="107"/>
        <v>木维京</v>
      </c>
      <c r="FK113" t="str">
        <f t="shared" si="108"/>
        <v>暗盗贼</v>
      </c>
      <c r="FL113" t="str">
        <f t="shared" si="109"/>
        <v>水剑士</v>
      </c>
      <c r="FM113" t="str">
        <f t="shared" si="110"/>
        <v>火海盗</v>
      </c>
      <c r="FN113" t="str">
        <f t="shared" si="111"/>
        <v>光猎人</v>
      </c>
      <c r="FO113" t="str">
        <f t="shared" si="112"/>
        <v>火女巫</v>
      </c>
      <c r="FP113" t="str">
        <f t="shared" si="113"/>
        <v>7</v>
      </c>
      <c r="FQ113" t="str">
        <f t="shared" si="114"/>
        <v>7</v>
      </c>
      <c r="FR113" t="str">
        <f t="shared" si="115"/>
        <v>7</v>
      </c>
      <c r="FS113" t="str">
        <f t="shared" si="116"/>
        <v>7</v>
      </c>
      <c r="FT113" t="str">
        <f t="shared" si="117"/>
        <v>7</v>
      </c>
      <c r="FU113" t="str">
        <f t="shared" si="118"/>
        <v>7</v>
      </c>
      <c r="FV113" t="str">
        <f t="shared" si="121"/>
        <v>5</v>
      </c>
      <c r="FW113" t="str">
        <f t="shared" si="122"/>
        <v>5</v>
      </c>
      <c r="FX113" t="str">
        <f t="shared" si="123"/>
        <v>5</v>
      </c>
      <c r="FY113" t="str">
        <f t="shared" si="124"/>
        <v>5</v>
      </c>
      <c r="FZ113" t="str">
        <f t="shared" si="125"/>
        <v>5</v>
      </c>
      <c r="GA113" t="str">
        <f t="shared" si="126"/>
        <v>5</v>
      </c>
    </row>
    <row r="114" spans="1:183" ht="13.5" customHeight="1">
      <c r="A114" s="1">
        <v>1201</v>
      </c>
      <c r="B114" s="6">
        <v>10082</v>
      </c>
      <c r="C114" s="23" t="str">
        <f t="shared" si="81"/>
        <v>5201071,5200071,5301073,5401073,5502072,5500072</v>
      </c>
      <c r="D114" s="1" t="str">
        <f t="shared" si="82"/>
        <v>7,7,7,7,7,7</v>
      </c>
      <c r="E114" s="53" t="str">
        <f t="shared" si="83"/>
        <v>664,641,641,641,641,641</v>
      </c>
      <c r="F114" s="1">
        <f t="shared" si="68"/>
        <v>2051758</v>
      </c>
      <c r="G114" s="23" t="s">
        <v>34</v>
      </c>
      <c r="H114" s="1" t="s">
        <v>28</v>
      </c>
      <c r="I114" s="1" t="s">
        <v>28</v>
      </c>
      <c r="J114" s="1" t="s">
        <v>28</v>
      </c>
      <c r="K114" s="2" t="s">
        <v>412</v>
      </c>
      <c r="L114" s="1">
        <v>0</v>
      </c>
      <c r="M114" s="1">
        <v>4</v>
      </c>
      <c r="O114" s="25">
        <f t="shared" si="84"/>
        <v>2051758</v>
      </c>
      <c r="P114" s="16">
        <v>2051757.9</v>
      </c>
      <c r="Q114" s="16">
        <v>5201071</v>
      </c>
      <c r="R114" s="16">
        <v>5200071</v>
      </c>
      <c r="S114" s="16">
        <v>5301073</v>
      </c>
      <c r="T114" s="16">
        <v>5401073</v>
      </c>
      <c r="U114" s="16">
        <v>5502072</v>
      </c>
      <c r="V114" s="16">
        <v>5500072</v>
      </c>
      <c r="W114" s="16">
        <v>7</v>
      </c>
      <c r="X114" s="16">
        <v>7</v>
      </c>
      <c r="Y114" s="16">
        <v>7</v>
      </c>
      <c r="Z114" s="16">
        <v>7</v>
      </c>
      <c r="AA114" s="16">
        <v>7</v>
      </c>
      <c r="AB114" s="16">
        <v>7</v>
      </c>
      <c r="AC114" s="16">
        <f t="shared" si="85"/>
        <v>664</v>
      </c>
      <c r="AD114" s="16">
        <f t="shared" si="119"/>
        <v>641</v>
      </c>
      <c r="AE114" s="16">
        <f t="shared" si="119"/>
        <v>641</v>
      </c>
      <c r="AF114" s="16">
        <f t="shared" si="119"/>
        <v>641</v>
      </c>
      <c r="AG114" s="16">
        <f t="shared" si="119"/>
        <v>641</v>
      </c>
      <c r="AH114" s="16">
        <f t="shared" si="119"/>
        <v>641</v>
      </c>
      <c r="AI114" s="28">
        <f t="shared" si="86"/>
        <v>410351.58</v>
      </c>
      <c r="AJ114" s="28">
        <f t="shared" si="127"/>
        <v>328281.26399999997</v>
      </c>
      <c r="AK114" s="28">
        <f t="shared" si="127"/>
        <v>328281.26399999997</v>
      </c>
      <c r="AL114" s="28">
        <f t="shared" si="127"/>
        <v>328281.26399999997</v>
      </c>
      <c r="AM114" s="28">
        <f t="shared" si="127"/>
        <v>328281.26399999997</v>
      </c>
      <c r="AN114" s="28">
        <f t="shared" si="127"/>
        <v>328281.26399999997</v>
      </c>
      <c r="AO114" s="30"/>
      <c r="AP114" s="28"/>
      <c r="AQ114" s="16">
        <v>5</v>
      </c>
      <c r="AR114" s="16">
        <f t="shared" si="88"/>
        <v>832</v>
      </c>
      <c r="AS114" s="28">
        <f t="shared" si="89"/>
        <v>1226</v>
      </c>
      <c r="AT114" s="28"/>
      <c r="AU114" s="30">
        <v>2051757.9</v>
      </c>
      <c r="AV114" s="28" t="str">
        <f t="shared" si="90"/>
        <v>小:0</v>
      </c>
      <c r="AW114" s="28"/>
      <c r="AX114" s="28"/>
      <c r="AZ114" s="28"/>
      <c r="BA114" s="16">
        <f t="shared" si="120"/>
        <v>22318.547142857176</v>
      </c>
      <c r="BC114" s="7">
        <f t="shared" si="91"/>
        <v>620</v>
      </c>
      <c r="BQ114" s="9"/>
      <c r="BR114" s="9">
        <v>5402051</v>
      </c>
      <c r="BS114" s="9">
        <f>[1]monsters!$N114</f>
        <v>138.24</v>
      </c>
      <c r="BT114" s="9">
        <f>[1]monsters!$O114</f>
        <v>13.82</v>
      </c>
      <c r="BU114" s="9">
        <f>[1]monsters!$P114</f>
        <v>1706.67</v>
      </c>
      <c r="BV114" s="9">
        <f>[1]monsters!$Q114</f>
        <v>170.67</v>
      </c>
      <c r="BW114" s="9">
        <f>[1]monsters!$R114</f>
        <v>27.65</v>
      </c>
      <c r="BX114" s="9">
        <f>[1]monsters!$S114</f>
        <v>2.76</v>
      </c>
      <c r="BY114" s="9">
        <f>[1]monsters!$K114</f>
        <v>1.8</v>
      </c>
      <c r="BZ114" s="7">
        <f>[1]monsters!$D114</f>
        <v>2</v>
      </c>
      <c r="CA114" s="7">
        <f t="shared" si="92"/>
        <v>0.1</v>
      </c>
      <c r="CB114" s="7">
        <f t="shared" si="93"/>
        <v>188.10043636363639</v>
      </c>
      <c r="CC114" s="7">
        <f t="shared" si="94"/>
        <v>18.810043636363641</v>
      </c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>
        <v>0</v>
      </c>
      <c r="CR114" s="25" t="b">
        <f t="shared" si="95"/>
        <v>1</v>
      </c>
      <c r="CS114" s="25" t="b">
        <f t="shared" si="96"/>
        <v>1</v>
      </c>
      <c r="CT114" s="25" t="b">
        <f t="shared" si="97"/>
        <v>1</v>
      </c>
      <c r="CU114" s="25" t="b">
        <f t="shared" si="98"/>
        <v>1</v>
      </c>
      <c r="CV114" s="25" t="b">
        <f t="shared" si="99"/>
        <v>1</v>
      </c>
      <c r="CW114" s="25" t="b">
        <f t="shared" si="100"/>
        <v>1</v>
      </c>
      <c r="CX114" s="16" t="str">
        <f t="shared" si="101"/>
        <v>5201071</v>
      </c>
      <c r="CY114" s="16" t="str">
        <f t="shared" si="102"/>
        <v>5200071</v>
      </c>
      <c r="CZ114" s="16" t="str">
        <f t="shared" si="103"/>
        <v>5301073</v>
      </c>
      <c r="DA114" s="16" t="str">
        <f t="shared" si="104"/>
        <v>5401073</v>
      </c>
      <c r="DB114" s="16" t="str">
        <f t="shared" si="105"/>
        <v>5502072</v>
      </c>
      <c r="DC114" s="16" t="str">
        <f t="shared" si="106"/>
        <v>5500072</v>
      </c>
      <c r="DD114" s="16">
        <v>7</v>
      </c>
      <c r="DE114" s="16">
        <v>7</v>
      </c>
      <c r="DF114" s="16">
        <v>7</v>
      </c>
      <c r="DG114" s="16">
        <v>7</v>
      </c>
      <c r="DH114" s="16">
        <v>7</v>
      </c>
      <c r="DI114" s="16">
        <v>7</v>
      </c>
      <c r="DJ114" s="16">
        <v>5</v>
      </c>
      <c r="DK114" s="16">
        <v>5</v>
      </c>
      <c r="DL114" s="16">
        <v>5</v>
      </c>
      <c r="DM114" s="16">
        <v>5</v>
      </c>
      <c r="DN114" s="16">
        <v>5</v>
      </c>
      <c r="DO114" s="16">
        <v>5</v>
      </c>
      <c r="DP114" s="25" t="s">
        <v>206</v>
      </c>
      <c r="DQ114" s="25" t="s">
        <v>205</v>
      </c>
      <c r="DR114" s="25" t="s">
        <v>218</v>
      </c>
      <c r="DS114" s="25" t="s">
        <v>223</v>
      </c>
      <c r="DT114" s="25" t="s">
        <v>215</v>
      </c>
      <c r="DU114" s="25" t="s">
        <v>115</v>
      </c>
      <c r="DV114" s="32">
        <f t="shared" si="69"/>
        <v>1</v>
      </c>
      <c r="DW114" s="32">
        <f t="shared" si="70"/>
        <v>1</v>
      </c>
      <c r="DX114" s="32">
        <f t="shared" si="71"/>
        <v>1</v>
      </c>
      <c r="DY114" s="32">
        <f t="shared" si="72"/>
        <v>2</v>
      </c>
      <c r="DZ114" s="32">
        <f t="shared" si="73"/>
        <v>2</v>
      </c>
      <c r="EA114" s="32">
        <f t="shared" si="74"/>
        <v>2</v>
      </c>
      <c r="EB114" s="41"/>
      <c r="EC114" s="7">
        <v>5202053</v>
      </c>
      <c r="ED114" s="40" t="s">
        <v>220</v>
      </c>
      <c r="EE114" s="16">
        <v>1</v>
      </c>
      <c r="FD114" s="16">
        <v>5201071</v>
      </c>
      <c r="FE114" s="16">
        <v>5200071</v>
      </c>
      <c r="FF114" s="16">
        <v>5301073</v>
      </c>
      <c r="FG114" s="16">
        <v>5401073</v>
      </c>
      <c r="FH114" s="16">
        <v>5502072</v>
      </c>
      <c r="FI114" s="16">
        <v>5500072</v>
      </c>
      <c r="FJ114" t="str">
        <f t="shared" si="107"/>
        <v>水骑兵</v>
      </c>
      <c r="FK114" t="str">
        <f t="shared" si="108"/>
        <v>水刀客</v>
      </c>
      <c r="FL114" t="str">
        <f t="shared" si="109"/>
        <v>木剑士</v>
      </c>
      <c r="FM114" t="str">
        <f t="shared" si="110"/>
        <v>木魔法师</v>
      </c>
      <c r="FN114" t="str">
        <f t="shared" si="111"/>
        <v>火火枪手</v>
      </c>
      <c r="FO114" t="str">
        <f t="shared" si="112"/>
        <v>火海盗</v>
      </c>
      <c r="FP114" t="str">
        <f t="shared" si="113"/>
        <v>7</v>
      </c>
      <c r="FQ114" t="str">
        <f t="shared" si="114"/>
        <v>7</v>
      </c>
      <c r="FR114" t="str">
        <f t="shared" si="115"/>
        <v>7</v>
      </c>
      <c r="FS114" t="str">
        <f t="shared" si="116"/>
        <v>7</v>
      </c>
      <c r="FT114" t="str">
        <f t="shared" si="117"/>
        <v>7</v>
      </c>
      <c r="FU114" t="str">
        <f t="shared" si="118"/>
        <v>7</v>
      </c>
      <c r="FV114" t="str">
        <f t="shared" si="121"/>
        <v>5</v>
      </c>
      <c r="FW114" t="str">
        <f t="shared" si="122"/>
        <v>5</v>
      </c>
      <c r="FX114" t="str">
        <f t="shared" si="123"/>
        <v>5</v>
      </c>
      <c r="FY114" t="str">
        <f t="shared" si="124"/>
        <v>5</v>
      </c>
      <c r="FZ114" t="str">
        <f t="shared" si="125"/>
        <v>5</v>
      </c>
      <c r="GA114" t="str">
        <f t="shared" si="126"/>
        <v>5</v>
      </c>
    </row>
    <row r="115" spans="1:183" ht="13.5" customHeight="1">
      <c r="A115" s="1">
        <v>1202</v>
      </c>
      <c r="B115" s="6">
        <v>10082</v>
      </c>
      <c r="C115" s="23" t="str">
        <f t="shared" si="81"/>
        <v>5200071,5202072,5301072,5400075,5400075,5401073</v>
      </c>
      <c r="D115" s="1" t="str">
        <f t="shared" si="82"/>
        <v>7,7,7,7,7,7</v>
      </c>
      <c r="E115" s="53" t="str">
        <f t="shared" si="83"/>
        <v>667,644,644,644,644,644</v>
      </c>
      <c r="F115" s="1">
        <f t="shared" si="68"/>
        <v>2072783</v>
      </c>
      <c r="G115" s="23" t="s">
        <v>34</v>
      </c>
      <c r="H115" s="1" t="s">
        <v>28</v>
      </c>
      <c r="I115" s="1" t="s">
        <v>28</v>
      </c>
      <c r="J115" s="1" t="s">
        <v>28</v>
      </c>
      <c r="K115" s="2" t="s">
        <v>413</v>
      </c>
      <c r="L115" s="1">
        <v>1</v>
      </c>
      <c r="M115" s="1">
        <v>4</v>
      </c>
      <c r="O115" s="25">
        <f t="shared" si="84"/>
        <v>2072783</v>
      </c>
      <c r="P115" s="16">
        <v>2072782.75</v>
      </c>
      <c r="Q115" s="16">
        <v>5200071</v>
      </c>
      <c r="R115" s="16">
        <v>5202072</v>
      </c>
      <c r="S115" s="16">
        <v>5301072</v>
      </c>
      <c r="T115" s="16">
        <v>5400075</v>
      </c>
      <c r="U115" s="16">
        <v>5400075</v>
      </c>
      <c r="V115" s="16">
        <v>5401073</v>
      </c>
      <c r="W115" s="16">
        <v>7</v>
      </c>
      <c r="X115" s="16">
        <v>7</v>
      </c>
      <c r="Y115" s="16">
        <v>7</v>
      </c>
      <c r="Z115" s="16">
        <v>7</v>
      </c>
      <c r="AA115" s="16">
        <v>7</v>
      </c>
      <c r="AB115" s="16">
        <v>7</v>
      </c>
      <c r="AC115" s="16">
        <f t="shared" si="85"/>
        <v>667</v>
      </c>
      <c r="AD115" s="16">
        <f t="shared" si="119"/>
        <v>644</v>
      </c>
      <c r="AE115" s="16">
        <f t="shared" si="119"/>
        <v>644</v>
      </c>
      <c r="AF115" s="16">
        <f t="shared" si="119"/>
        <v>644</v>
      </c>
      <c r="AG115" s="16">
        <f t="shared" si="119"/>
        <v>644</v>
      </c>
      <c r="AH115" s="16">
        <f t="shared" si="119"/>
        <v>644</v>
      </c>
      <c r="AI115" s="28">
        <f t="shared" si="86"/>
        <v>414556.55000000005</v>
      </c>
      <c r="AJ115" s="28">
        <f t="shared" si="127"/>
        <v>331645.24</v>
      </c>
      <c r="AK115" s="28">
        <f t="shared" si="127"/>
        <v>331645.24</v>
      </c>
      <c r="AL115" s="28">
        <f t="shared" si="127"/>
        <v>331645.24</v>
      </c>
      <c r="AM115" s="28">
        <f t="shared" si="127"/>
        <v>331645.24</v>
      </c>
      <c r="AN115" s="28">
        <f t="shared" si="127"/>
        <v>331645.24</v>
      </c>
      <c r="AO115" s="30"/>
      <c r="AP115" s="28"/>
      <c r="AQ115" s="16">
        <v>5</v>
      </c>
      <c r="AR115" s="16">
        <f t="shared" si="88"/>
        <v>836</v>
      </c>
      <c r="AS115" s="28">
        <f t="shared" si="89"/>
        <v>1227</v>
      </c>
      <c r="AT115" s="28"/>
      <c r="AU115" s="30">
        <v>2072782.75</v>
      </c>
      <c r="AV115" s="28" t="str">
        <f t="shared" si="90"/>
        <v>小:0</v>
      </c>
      <c r="AW115" s="28"/>
      <c r="AX115" s="28"/>
      <c r="AZ115" s="28"/>
      <c r="BA115" s="16">
        <f t="shared" si="120"/>
        <v>22370.822857142892</v>
      </c>
      <c r="BC115" s="7">
        <f t="shared" si="91"/>
        <v>623</v>
      </c>
      <c r="BQ115" s="9"/>
      <c r="BR115" s="9">
        <v>5500051</v>
      </c>
      <c r="BS115" s="9">
        <f>[1]monsters!$N115</f>
        <v>92.16</v>
      </c>
      <c r="BT115" s="9">
        <f>[1]monsters!$O115</f>
        <v>9.2200000000000006</v>
      </c>
      <c r="BU115" s="9">
        <f>[1]monsters!$P115</f>
        <v>1706.67</v>
      </c>
      <c r="BV115" s="9">
        <f>[1]monsters!$Q115</f>
        <v>170.67</v>
      </c>
      <c r="BW115" s="9">
        <f>[1]monsters!$R115</f>
        <v>18.43</v>
      </c>
      <c r="BX115" s="9">
        <f>[1]monsters!$S115</f>
        <v>1.84</v>
      </c>
      <c r="BY115" s="9">
        <f>[1]monsters!$K115</f>
        <v>1.2</v>
      </c>
      <c r="BZ115" s="7">
        <f>[1]monsters!$D115</f>
        <v>3</v>
      </c>
      <c r="CA115" s="7">
        <f t="shared" si="92"/>
        <v>0.1</v>
      </c>
      <c r="CB115" s="7">
        <f t="shared" si="93"/>
        <v>144.55483636363635</v>
      </c>
      <c r="CC115" s="7">
        <f t="shared" si="94"/>
        <v>14.455483636363637</v>
      </c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>
        <v>0</v>
      </c>
      <c r="CR115" s="25" t="b">
        <f t="shared" si="95"/>
        <v>1</v>
      </c>
      <c r="CS115" s="25" t="b">
        <f t="shared" si="96"/>
        <v>1</v>
      </c>
      <c r="CT115" s="25" t="b">
        <f t="shared" si="97"/>
        <v>1</v>
      </c>
      <c r="CU115" s="25" t="b">
        <f t="shared" si="98"/>
        <v>1</v>
      </c>
      <c r="CV115" s="25" t="b">
        <f t="shared" si="99"/>
        <v>1</v>
      </c>
      <c r="CW115" s="25" t="b">
        <f t="shared" si="100"/>
        <v>1</v>
      </c>
      <c r="CX115" s="16" t="str">
        <f t="shared" si="101"/>
        <v>5200071</v>
      </c>
      <c r="CY115" s="16" t="str">
        <f t="shared" si="102"/>
        <v>5202072</v>
      </c>
      <c r="CZ115" s="16" t="str">
        <f t="shared" si="103"/>
        <v>5301072</v>
      </c>
      <c r="DA115" s="16" t="str">
        <f t="shared" si="104"/>
        <v>5400075</v>
      </c>
      <c r="DB115" s="16" t="str">
        <f t="shared" si="105"/>
        <v>5400075</v>
      </c>
      <c r="DC115" s="16" t="str">
        <f t="shared" si="106"/>
        <v>5401073</v>
      </c>
      <c r="DD115" s="16">
        <v>7</v>
      </c>
      <c r="DE115" s="16">
        <v>7</v>
      </c>
      <c r="DF115" s="16">
        <v>7</v>
      </c>
      <c r="DG115" s="16">
        <v>7</v>
      </c>
      <c r="DH115" s="16">
        <v>7</v>
      </c>
      <c r="DI115" s="16">
        <v>7</v>
      </c>
      <c r="DJ115" s="16">
        <v>5</v>
      </c>
      <c r="DK115" s="16">
        <v>5</v>
      </c>
      <c r="DL115" s="16">
        <v>5</v>
      </c>
      <c r="DM115" s="16">
        <v>5</v>
      </c>
      <c r="DN115" s="16">
        <v>5</v>
      </c>
      <c r="DO115" s="16">
        <v>5</v>
      </c>
      <c r="DP115" s="25" t="s">
        <v>205</v>
      </c>
      <c r="DQ115" s="25" t="s">
        <v>211</v>
      </c>
      <c r="DR115" s="25" t="s">
        <v>212</v>
      </c>
      <c r="DS115" s="51" t="s">
        <v>222</v>
      </c>
      <c r="DT115" s="51" t="s">
        <v>222</v>
      </c>
      <c r="DU115" s="51" t="s">
        <v>223</v>
      </c>
      <c r="DV115" s="32">
        <f t="shared" si="69"/>
        <v>1</v>
      </c>
      <c r="DW115" s="32">
        <f t="shared" si="70"/>
        <v>1</v>
      </c>
      <c r="DX115" s="32">
        <f t="shared" si="71"/>
        <v>1</v>
      </c>
      <c r="DY115" s="32">
        <f t="shared" si="72"/>
        <v>2</v>
      </c>
      <c r="DZ115" s="32">
        <f t="shared" si="73"/>
        <v>2</v>
      </c>
      <c r="EA115" s="32">
        <f t="shared" si="74"/>
        <v>2</v>
      </c>
      <c r="EB115" s="41"/>
      <c r="EC115" s="7">
        <v>5301053</v>
      </c>
      <c r="ED115" s="40" t="s">
        <v>218</v>
      </c>
      <c r="EE115" s="16">
        <v>1</v>
      </c>
      <c r="FD115" s="16">
        <v>5200071</v>
      </c>
      <c r="FE115" s="16">
        <v>5202072</v>
      </c>
      <c r="FF115" s="16">
        <v>5301072</v>
      </c>
      <c r="FG115" s="16">
        <v>5400075</v>
      </c>
      <c r="FH115" s="16">
        <v>5400075</v>
      </c>
      <c r="FI115" s="16">
        <v>5401073</v>
      </c>
      <c r="FJ115" t="str">
        <f t="shared" si="107"/>
        <v>水刀客</v>
      </c>
      <c r="FK115" t="str">
        <f t="shared" si="108"/>
        <v>火维京</v>
      </c>
      <c r="FL115" t="str">
        <f t="shared" si="109"/>
        <v>火剑士</v>
      </c>
      <c r="FM115" t="str">
        <f t="shared" si="110"/>
        <v>暗巫师</v>
      </c>
      <c r="FN115" t="str">
        <f t="shared" si="111"/>
        <v>暗巫师</v>
      </c>
      <c r="FO115" t="str">
        <f t="shared" si="112"/>
        <v>木魔法师</v>
      </c>
      <c r="FP115" t="str">
        <f t="shared" si="113"/>
        <v>7</v>
      </c>
      <c r="FQ115" t="str">
        <f t="shared" si="114"/>
        <v>7</v>
      </c>
      <c r="FR115" t="str">
        <f t="shared" si="115"/>
        <v>7</v>
      </c>
      <c r="FS115" t="str">
        <f t="shared" si="116"/>
        <v>7</v>
      </c>
      <c r="FT115" t="str">
        <f t="shared" si="117"/>
        <v>7</v>
      </c>
      <c r="FU115" t="str">
        <f t="shared" si="118"/>
        <v>7</v>
      </c>
      <c r="FV115" t="str">
        <f t="shared" si="121"/>
        <v>5</v>
      </c>
      <c r="FW115" t="str">
        <f t="shared" si="122"/>
        <v>5</v>
      </c>
      <c r="FX115" t="str">
        <f t="shared" si="123"/>
        <v>5</v>
      </c>
      <c r="FY115" t="str">
        <f t="shared" si="124"/>
        <v>5</v>
      </c>
      <c r="FZ115" t="str">
        <f t="shared" si="125"/>
        <v>5</v>
      </c>
      <c r="GA115" t="str">
        <f t="shared" si="126"/>
        <v>5</v>
      </c>
    </row>
    <row r="116" spans="1:183" ht="13.5" customHeight="1">
      <c r="A116" s="1">
        <v>1203</v>
      </c>
      <c r="B116" s="6">
        <v>10082</v>
      </c>
      <c r="C116" s="23" t="str">
        <f t="shared" si="81"/>
        <v>5501074,5200073,5301072,5300075,5500071,5500071</v>
      </c>
      <c r="D116" s="1" t="str">
        <f t="shared" si="82"/>
        <v>7,7,7,7,7,7</v>
      </c>
      <c r="E116" s="53" t="str">
        <f t="shared" si="83"/>
        <v>671,648,648,648,648,648</v>
      </c>
      <c r="F116" s="1">
        <f t="shared" si="68"/>
        <v>2096336</v>
      </c>
      <c r="G116" s="23" t="s">
        <v>34</v>
      </c>
      <c r="H116" s="1" t="s">
        <v>28</v>
      </c>
      <c r="I116" s="1" t="s">
        <v>28</v>
      </c>
      <c r="J116" s="1" t="s">
        <v>28</v>
      </c>
      <c r="K116" s="2" t="s">
        <v>414</v>
      </c>
      <c r="L116" s="1">
        <v>2</v>
      </c>
      <c r="M116" s="1">
        <v>5</v>
      </c>
      <c r="O116" s="25">
        <f t="shared" si="84"/>
        <v>2096336</v>
      </c>
      <c r="P116" s="16">
        <v>2096336</v>
      </c>
      <c r="Q116" s="16">
        <v>5501074</v>
      </c>
      <c r="R116" s="16">
        <v>5200073</v>
      </c>
      <c r="S116" s="16">
        <v>5301072</v>
      </c>
      <c r="T116" s="16">
        <v>5300075</v>
      </c>
      <c r="U116" s="16">
        <v>5500071</v>
      </c>
      <c r="V116" s="16">
        <v>5500071</v>
      </c>
      <c r="W116" s="16">
        <v>7</v>
      </c>
      <c r="X116" s="16">
        <v>7</v>
      </c>
      <c r="Y116" s="16">
        <v>7</v>
      </c>
      <c r="Z116" s="16">
        <v>7</v>
      </c>
      <c r="AA116" s="16">
        <v>7</v>
      </c>
      <c r="AB116" s="16">
        <v>7</v>
      </c>
      <c r="AC116" s="16">
        <f t="shared" si="85"/>
        <v>671</v>
      </c>
      <c r="AD116" s="16">
        <f t="shared" si="119"/>
        <v>648</v>
      </c>
      <c r="AE116" s="16">
        <f t="shared" si="119"/>
        <v>648</v>
      </c>
      <c r="AF116" s="16">
        <f t="shared" si="119"/>
        <v>648</v>
      </c>
      <c r="AG116" s="16">
        <f t="shared" si="119"/>
        <v>648</v>
      </c>
      <c r="AH116" s="16">
        <f t="shared" si="119"/>
        <v>648</v>
      </c>
      <c r="AI116" s="28">
        <f t="shared" si="86"/>
        <v>419267.2</v>
      </c>
      <c r="AJ116" s="28">
        <f t="shared" si="127"/>
        <v>335413.76000000001</v>
      </c>
      <c r="AK116" s="28">
        <f t="shared" si="127"/>
        <v>335413.76000000001</v>
      </c>
      <c r="AL116" s="28">
        <f t="shared" si="127"/>
        <v>335413.76000000001</v>
      </c>
      <c r="AM116" s="28">
        <f t="shared" si="127"/>
        <v>335413.76000000001</v>
      </c>
      <c r="AN116" s="28">
        <f t="shared" si="127"/>
        <v>335413.76000000001</v>
      </c>
      <c r="AO116" s="30"/>
      <c r="AP116" s="28"/>
      <c r="AQ116" s="16">
        <v>5</v>
      </c>
      <c r="AR116" s="16">
        <f t="shared" si="88"/>
        <v>841</v>
      </c>
      <c r="AS116" s="28">
        <f t="shared" si="89"/>
        <v>1228</v>
      </c>
      <c r="AT116" s="28"/>
      <c r="AU116" s="30">
        <v>2096336</v>
      </c>
      <c r="AV116" s="28" t="str">
        <f t="shared" si="90"/>
        <v>小:0</v>
      </c>
      <c r="AW116" s="28"/>
      <c r="AX116" s="28"/>
      <c r="AZ116" s="28"/>
      <c r="BA116" s="16">
        <f t="shared" si="120"/>
        <v>22423.098571428607</v>
      </c>
      <c r="BC116" s="7">
        <f t="shared" si="91"/>
        <v>627</v>
      </c>
      <c r="BQ116" s="9"/>
      <c r="BR116" s="9">
        <v>5501051</v>
      </c>
      <c r="BS116" s="9">
        <f>[1]monsters!$N116</f>
        <v>163.84</v>
      </c>
      <c r="BT116" s="9">
        <f>[1]monsters!$O116</f>
        <v>16.38</v>
      </c>
      <c r="BU116" s="9">
        <f>[1]monsters!$P116</f>
        <v>1280</v>
      </c>
      <c r="BV116" s="9">
        <f>[1]monsters!$Q116</f>
        <v>128</v>
      </c>
      <c r="BW116" s="9">
        <f>[1]monsters!$R116</f>
        <v>23.41</v>
      </c>
      <c r="BX116" s="9">
        <f>[1]monsters!$S116</f>
        <v>2.34</v>
      </c>
      <c r="BY116" s="9">
        <f>[1]monsters!$K116</f>
        <v>1.6</v>
      </c>
      <c r="BZ116" s="7">
        <f>[1]monsters!$D116</f>
        <v>4</v>
      </c>
      <c r="CA116" s="7">
        <f t="shared" si="92"/>
        <v>0.1</v>
      </c>
      <c r="CB116" s="7">
        <f t="shared" si="93"/>
        <v>197.9264430976431</v>
      </c>
      <c r="CC116" s="7">
        <f t="shared" si="94"/>
        <v>19.792644309764313</v>
      </c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>
        <v>0</v>
      </c>
      <c r="CR116" s="25" t="b">
        <f t="shared" si="95"/>
        <v>1</v>
      </c>
      <c r="CS116" s="25" t="b">
        <f t="shared" si="96"/>
        <v>1</v>
      </c>
      <c r="CT116" s="25" t="b">
        <f t="shared" si="97"/>
        <v>1</v>
      </c>
      <c r="CU116" s="25" t="b">
        <f t="shared" si="98"/>
        <v>1</v>
      </c>
      <c r="CV116" s="25" t="b">
        <f t="shared" si="99"/>
        <v>1</v>
      </c>
      <c r="CW116" s="25" t="b">
        <f t="shared" si="100"/>
        <v>1</v>
      </c>
      <c r="CX116" s="16" t="str">
        <f t="shared" si="101"/>
        <v>5501074</v>
      </c>
      <c r="CY116" s="16" t="str">
        <f t="shared" si="102"/>
        <v>5200073</v>
      </c>
      <c r="CZ116" s="16" t="str">
        <f t="shared" si="103"/>
        <v>5301072</v>
      </c>
      <c r="DA116" s="16" t="str">
        <f t="shared" si="104"/>
        <v>5300075</v>
      </c>
      <c r="DB116" s="16" t="str">
        <f t="shared" si="105"/>
        <v>5500071</v>
      </c>
      <c r="DC116" s="16" t="str">
        <f t="shared" si="106"/>
        <v>5500071</v>
      </c>
      <c r="DD116" s="16">
        <v>7</v>
      </c>
      <c r="DE116" s="16">
        <v>7</v>
      </c>
      <c r="DF116" s="16">
        <v>7</v>
      </c>
      <c r="DG116" s="16">
        <v>7</v>
      </c>
      <c r="DH116" s="16">
        <v>7</v>
      </c>
      <c r="DI116" s="16">
        <v>7</v>
      </c>
      <c r="DJ116" s="16">
        <v>5</v>
      </c>
      <c r="DK116" s="16">
        <v>5</v>
      </c>
      <c r="DL116" s="16">
        <v>5</v>
      </c>
      <c r="DM116" s="16">
        <v>5</v>
      </c>
      <c r="DN116" s="16">
        <v>5</v>
      </c>
      <c r="DO116" s="16">
        <v>5</v>
      </c>
      <c r="DP116" s="25" t="s">
        <v>226</v>
      </c>
      <c r="DQ116" s="25" t="s">
        <v>119</v>
      </c>
      <c r="DR116" s="25" t="s">
        <v>212</v>
      </c>
      <c r="DS116" s="25" t="s">
        <v>224</v>
      </c>
      <c r="DT116" s="25" t="s">
        <v>208</v>
      </c>
      <c r="DU116" s="25" t="s">
        <v>208</v>
      </c>
      <c r="DV116" s="32">
        <f t="shared" si="69"/>
        <v>2</v>
      </c>
      <c r="DW116" s="32">
        <f t="shared" si="70"/>
        <v>1</v>
      </c>
      <c r="DX116" s="32">
        <f t="shared" si="71"/>
        <v>1</v>
      </c>
      <c r="DY116" s="32">
        <f t="shared" si="72"/>
        <v>1</v>
      </c>
      <c r="DZ116" s="32">
        <f t="shared" si="73"/>
        <v>2</v>
      </c>
      <c r="EA116" s="32">
        <f t="shared" si="74"/>
        <v>2</v>
      </c>
      <c r="EB116" s="41"/>
      <c r="EC116" s="7">
        <v>5401053</v>
      </c>
      <c r="ED116" s="40" t="s">
        <v>223</v>
      </c>
      <c r="EE116" s="16">
        <v>2</v>
      </c>
      <c r="FD116" s="16">
        <v>5501074</v>
      </c>
      <c r="FE116" s="16">
        <v>5200073</v>
      </c>
      <c r="FF116" s="16">
        <v>5301072</v>
      </c>
      <c r="FG116" s="16">
        <v>5300075</v>
      </c>
      <c r="FH116" s="16">
        <v>5500071</v>
      </c>
      <c r="FI116" s="16">
        <v>5500071</v>
      </c>
      <c r="FJ116" t="str">
        <f t="shared" si="107"/>
        <v>光猎人</v>
      </c>
      <c r="FK116" t="str">
        <f t="shared" si="108"/>
        <v>木刀客</v>
      </c>
      <c r="FL116" t="str">
        <f t="shared" si="109"/>
        <v>火剑士</v>
      </c>
      <c r="FM116" t="str">
        <f t="shared" si="110"/>
        <v>暗武士</v>
      </c>
      <c r="FN116" t="str">
        <f t="shared" si="111"/>
        <v>水海盗</v>
      </c>
      <c r="FO116" t="str">
        <f t="shared" si="112"/>
        <v>水海盗</v>
      </c>
      <c r="FP116" t="str">
        <f t="shared" si="113"/>
        <v>7</v>
      </c>
      <c r="FQ116" t="str">
        <f t="shared" si="114"/>
        <v>7</v>
      </c>
      <c r="FR116" t="str">
        <f t="shared" si="115"/>
        <v>7</v>
      </c>
      <c r="FS116" t="str">
        <f t="shared" si="116"/>
        <v>7</v>
      </c>
      <c r="FT116" t="str">
        <f t="shared" si="117"/>
        <v>7</v>
      </c>
      <c r="FU116" t="str">
        <f t="shared" si="118"/>
        <v>7</v>
      </c>
      <c r="FV116" t="str">
        <f t="shared" si="121"/>
        <v>5</v>
      </c>
      <c r="FW116" t="str">
        <f t="shared" si="122"/>
        <v>5</v>
      </c>
      <c r="FX116" t="str">
        <f t="shared" si="123"/>
        <v>5</v>
      </c>
      <c r="FY116" t="str">
        <f t="shared" si="124"/>
        <v>5</v>
      </c>
      <c r="FZ116" t="str">
        <f t="shared" si="125"/>
        <v>5</v>
      </c>
      <c r="GA116" t="str">
        <f t="shared" si="126"/>
        <v>5</v>
      </c>
    </row>
    <row r="117" spans="1:183" ht="13.5" customHeight="1">
      <c r="A117" s="1">
        <v>1204</v>
      </c>
      <c r="B117" s="6">
        <v>10082</v>
      </c>
      <c r="C117" s="23" t="str">
        <f t="shared" si="81"/>
        <v>5200071,5302075,5301073,5401073,5501074,5502073</v>
      </c>
      <c r="D117" s="1" t="str">
        <f t="shared" si="82"/>
        <v>7,7,7,7,7,7</v>
      </c>
      <c r="E117" s="53" t="str">
        <f t="shared" si="83"/>
        <v>674,651,651,651,651,651</v>
      </c>
      <c r="F117" s="1">
        <f t="shared" si="68"/>
        <v>2117589</v>
      </c>
      <c r="G117" s="23" t="s">
        <v>34</v>
      </c>
      <c r="H117" s="1" t="s">
        <v>28</v>
      </c>
      <c r="I117" s="1" t="s">
        <v>28</v>
      </c>
      <c r="J117" s="1" t="s">
        <v>28</v>
      </c>
      <c r="K117" s="2" t="s">
        <v>415</v>
      </c>
      <c r="L117" s="1">
        <v>3</v>
      </c>
      <c r="M117" s="1">
        <v>5</v>
      </c>
      <c r="O117" s="25">
        <f t="shared" si="84"/>
        <v>2117589</v>
      </c>
      <c r="P117" s="16">
        <v>2117588.75</v>
      </c>
      <c r="Q117" s="16">
        <v>5200071</v>
      </c>
      <c r="R117" s="16">
        <v>5302075</v>
      </c>
      <c r="S117" s="16">
        <v>5301073</v>
      </c>
      <c r="T117" s="16">
        <v>5401073</v>
      </c>
      <c r="U117" s="16">
        <v>5501074</v>
      </c>
      <c r="V117" s="16">
        <v>5502073</v>
      </c>
      <c r="W117" s="16">
        <v>7</v>
      </c>
      <c r="X117" s="16">
        <v>7</v>
      </c>
      <c r="Y117" s="16">
        <v>7</v>
      </c>
      <c r="Z117" s="16">
        <v>7</v>
      </c>
      <c r="AA117" s="16">
        <v>7</v>
      </c>
      <c r="AB117" s="16">
        <v>7</v>
      </c>
      <c r="AC117" s="16">
        <f t="shared" si="85"/>
        <v>674</v>
      </c>
      <c r="AD117" s="16">
        <f t="shared" si="119"/>
        <v>651</v>
      </c>
      <c r="AE117" s="16">
        <f t="shared" si="119"/>
        <v>651</v>
      </c>
      <c r="AF117" s="16">
        <f t="shared" si="119"/>
        <v>651</v>
      </c>
      <c r="AG117" s="16">
        <f t="shared" si="119"/>
        <v>651</v>
      </c>
      <c r="AH117" s="16">
        <f t="shared" si="119"/>
        <v>651</v>
      </c>
      <c r="AI117" s="28">
        <f t="shared" si="86"/>
        <v>423517.75</v>
      </c>
      <c r="AJ117" s="28">
        <f t="shared" si="127"/>
        <v>338814.2</v>
      </c>
      <c r="AK117" s="28">
        <f t="shared" si="127"/>
        <v>338814.2</v>
      </c>
      <c r="AL117" s="28">
        <f t="shared" si="127"/>
        <v>338814.2</v>
      </c>
      <c r="AM117" s="28">
        <f t="shared" si="127"/>
        <v>338814.2</v>
      </c>
      <c r="AN117" s="28">
        <f t="shared" si="127"/>
        <v>338814.2</v>
      </c>
      <c r="AO117" s="30"/>
      <c r="AP117" s="28"/>
      <c r="AQ117" s="16">
        <v>5</v>
      </c>
      <c r="AR117" s="16">
        <f t="shared" si="88"/>
        <v>845</v>
      </c>
      <c r="AS117" s="28">
        <f t="shared" si="89"/>
        <v>1229</v>
      </c>
      <c r="AT117" s="28"/>
      <c r="AU117" s="30">
        <v>2117588.75</v>
      </c>
      <c r="AV117" s="28" t="str">
        <f t="shared" si="90"/>
        <v>小:0</v>
      </c>
      <c r="AW117" s="28"/>
      <c r="AX117" s="28"/>
      <c r="AZ117" s="28"/>
      <c r="BA117" s="16">
        <f t="shared" si="120"/>
        <v>22475.374285714322</v>
      </c>
      <c r="BC117" s="7">
        <f t="shared" si="91"/>
        <v>630</v>
      </c>
      <c r="BQ117" s="9"/>
      <c r="BR117" s="9">
        <v>5600051</v>
      </c>
      <c r="BS117" s="9">
        <f>[1]monsters!$N117</f>
        <v>153.6</v>
      </c>
      <c r="BT117" s="9">
        <f>[1]monsters!$O117</f>
        <v>15.36</v>
      </c>
      <c r="BU117" s="9">
        <f>[1]monsters!$P117</f>
        <v>1280</v>
      </c>
      <c r="BV117" s="9">
        <f>[1]monsters!$Q117</f>
        <v>128</v>
      </c>
      <c r="BW117" s="9">
        <f>[1]monsters!$R117</f>
        <v>21.94</v>
      </c>
      <c r="BX117" s="9">
        <f>[1]monsters!$S117</f>
        <v>2.19</v>
      </c>
      <c r="BY117" s="9">
        <f>[1]monsters!$K117</f>
        <v>1.5</v>
      </c>
      <c r="BZ117" s="7">
        <f>[1]monsters!$D117</f>
        <v>4</v>
      </c>
      <c r="CA117" s="7">
        <f t="shared" si="92"/>
        <v>0.1</v>
      </c>
      <c r="CB117" s="7">
        <f t="shared" si="93"/>
        <v>188.24964309764312</v>
      </c>
      <c r="CC117" s="7">
        <f t="shared" si="94"/>
        <v>18.824964309764312</v>
      </c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>
        <v>0</v>
      </c>
      <c r="CR117" s="25" t="b">
        <f t="shared" si="95"/>
        <v>1</v>
      </c>
      <c r="CS117" s="25" t="b">
        <f t="shared" si="96"/>
        <v>1</v>
      </c>
      <c r="CT117" s="25" t="b">
        <f t="shared" si="97"/>
        <v>1</v>
      </c>
      <c r="CU117" s="25" t="b">
        <f t="shared" si="98"/>
        <v>1</v>
      </c>
      <c r="CV117" s="25" t="b">
        <f t="shared" si="99"/>
        <v>1</v>
      </c>
      <c r="CW117" s="25" t="b">
        <f t="shared" si="100"/>
        <v>1</v>
      </c>
      <c r="CX117" s="16" t="str">
        <f t="shared" si="101"/>
        <v>5200071</v>
      </c>
      <c r="CY117" s="16" t="str">
        <f t="shared" si="102"/>
        <v>5302075</v>
      </c>
      <c r="CZ117" s="16" t="str">
        <f t="shared" si="103"/>
        <v>5301073</v>
      </c>
      <c r="DA117" s="16" t="str">
        <f t="shared" si="104"/>
        <v>5401073</v>
      </c>
      <c r="DB117" s="16" t="str">
        <f t="shared" si="105"/>
        <v>5501074</v>
      </c>
      <c r="DC117" s="16" t="str">
        <f t="shared" si="106"/>
        <v>5502073</v>
      </c>
      <c r="DD117" s="16">
        <v>7</v>
      </c>
      <c r="DE117" s="16">
        <v>7</v>
      </c>
      <c r="DF117" s="16">
        <v>7</v>
      </c>
      <c r="DG117" s="16">
        <v>7</v>
      </c>
      <c r="DH117" s="16">
        <v>7</v>
      </c>
      <c r="DI117" s="16">
        <v>7</v>
      </c>
      <c r="DJ117" s="16">
        <v>5</v>
      </c>
      <c r="DK117" s="16">
        <v>5</v>
      </c>
      <c r="DL117" s="16">
        <v>5</v>
      </c>
      <c r="DM117" s="16">
        <v>5</v>
      </c>
      <c r="DN117" s="16">
        <v>5</v>
      </c>
      <c r="DO117" s="16">
        <v>5</v>
      </c>
      <c r="DP117" s="25" t="s">
        <v>205</v>
      </c>
      <c r="DQ117" s="25" t="s">
        <v>234</v>
      </c>
      <c r="DR117" s="25" t="s">
        <v>218</v>
      </c>
      <c r="DS117" s="25" t="s">
        <v>223</v>
      </c>
      <c r="DT117" s="25" t="s">
        <v>226</v>
      </c>
      <c r="DU117" s="25" t="s">
        <v>227</v>
      </c>
      <c r="DV117" s="32">
        <f t="shared" si="69"/>
        <v>1</v>
      </c>
      <c r="DW117" s="32">
        <f t="shared" si="70"/>
        <v>1</v>
      </c>
      <c r="DX117" s="32">
        <f t="shared" si="71"/>
        <v>1</v>
      </c>
      <c r="DY117" s="32">
        <f t="shared" si="72"/>
        <v>2</v>
      </c>
      <c r="DZ117" s="32">
        <f t="shared" si="73"/>
        <v>2</v>
      </c>
      <c r="EA117" s="32">
        <f t="shared" si="74"/>
        <v>2</v>
      </c>
      <c r="EB117" s="41"/>
      <c r="EC117" s="7">
        <v>5402053</v>
      </c>
      <c r="ED117" s="40" t="s">
        <v>124</v>
      </c>
      <c r="EE117" s="16">
        <v>2</v>
      </c>
      <c r="FD117" s="16">
        <v>5200071</v>
      </c>
      <c r="FE117" s="16">
        <v>5302075</v>
      </c>
      <c r="FF117" s="16">
        <v>5301073</v>
      </c>
      <c r="FG117" s="16">
        <v>5401073</v>
      </c>
      <c r="FH117" s="16">
        <v>5501074</v>
      </c>
      <c r="FI117" s="16">
        <v>5502073</v>
      </c>
      <c r="FJ117" t="str">
        <f t="shared" si="107"/>
        <v>水刀客</v>
      </c>
      <c r="FK117" t="str">
        <f t="shared" si="108"/>
        <v>暗盗贼</v>
      </c>
      <c r="FL117" t="str">
        <f t="shared" si="109"/>
        <v>木剑士</v>
      </c>
      <c r="FM117" t="str">
        <f t="shared" si="110"/>
        <v>木魔法师</v>
      </c>
      <c r="FN117" t="str">
        <f t="shared" si="111"/>
        <v>光猎人</v>
      </c>
      <c r="FO117" t="str">
        <f t="shared" si="112"/>
        <v>木火枪手</v>
      </c>
      <c r="FP117" t="str">
        <f t="shared" si="113"/>
        <v>7</v>
      </c>
      <c r="FQ117" t="str">
        <f t="shared" si="114"/>
        <v>7</v>
      </c>
      <c r="FR117" t="str">
        <f t="shared" si="115"/>
        <v>7</v>
      </c>
      <c r="FS117" t="str">
        <f t="shared" si="116"/>
        <v>7</v>
      </c>
      <c r="FT117" t="str">
        <f t="shared" si="117"/>
        <v>7</v>
      </c>
      <c r="FU117" t="str">
        <f t="shared" si="118"/>
        <v>7</v>
      </c>
      <c r="FV117" t="str">
        <f t="shared" si="121"/>
        <v>5</v>
      </c>
      <c r="FW117" t="str">
        <f t="shared" si="122"/>
        <v>5</v>
      </c>
      <c r="FX117" t="str">
        <f t="shared" si="123"/>
        <v>5</v>
      </c>
      <c r="FY117" t="str">
        <f t="shared" si="124"/>
        <v>5</v>
      </c>
      <c r="FZ117" t="str">
        <f t="shared" si="125"/>
        <v>5</v>
      </c>
      <c r="GA117" t="str">
        <f t="shared" si="126"/>
        <v>5</v>
      </c>
    </row>
    <row r="118" spans="1:183" ht="13.5" customHeight="1">
      <c r="A118" s="1">
        <v>1205</v>
      </c>
      <c r="B118" s="6">
        <v>10082</v>
      </c>
      <c r="C118" s="23" t="str">
        <f t="shared" si="81"/>
        <v>5201071,5200071,5301073,5401073,5502072,5500072</v>
      </c>
      <c r="D118" s="1" t="str">
        <f t="shared" si="82"/>
        <v>7,7,7,7,7,7</v>
      </c>
      <c r="E118" s="53" t="str">
        <f t="shared" si="83"/>
        <v>678,655,655,655,655,655</v>
      </c>
      <c r="F118" s="1">
        <f t="shared" si="68"/>
        <v>2141394</v>
      </c>
      <c r="G118" s="23" t="s">
        <v>34</v>
      </c>
      <c r="H118" s="1" t="s">
        <v>28</v>
      </c>
      <c r="I118" s="1" t="s">
        <v>28</v>
      </c>
      <c r="J118" s="1" t="s">
        <v>28</v>
      </c>
      <c r="K118" s="2" t="s">
        <v>416</v>
      </c>
      <c r="L118" s="1">
        <v>1</v>
      </c>
      <c r="M118" s="1">
        <v>2</v>
      </c>
      <c r="O118" s="25">
        <f t="shared" si="84"/>
        <v>2141394</v>
      </c>
      <c r="P118" s="16">
        <v>2141393.5499999998</v>
      </c>
      <c r="Q118" s="16">
        <v>5201071</v>
      </c>
      <c r="R118" s="16">
        <v>5200071</v>
      </c>
      <c r="S118" s="16">
        <v>5301073</v>
      </c>
      <c r="T118" s="16">
        <v>5401073</v>
      </c>
      <c r="U118" s="16">
        <v>5502072</v>
      </c>
      <c r="V118" s="16">
        <v>5500072</v>
      </c>
      <c r="W118" s="16">
        <v>7</v>
      </c>
      <c r="X118" s="16">
        <v>7</v>
      </c>
      <c r="Y118" s="16">
        <v>7</v>
      </c>
      <c r="Z118" s="16">
        <v>7</v>
      </c>
      <c r="AA118" s="16">
        <v>7</v>
      </c>
      <c r="AB118" s="16">
        <v>7</v>
      </c>
      <c r="AC118" s="16">
        <f t="shared" si="85"/>
        <v>678</v>
      </c>
      <c r="AD118" s="16">
        <f t="shared" si="119"/>
        <v>655</v>
      </c>
      <c r="AE118" s="16">
        <f t="shared" si="119"/>
        <v>655</v>
      </c>
      <c r="AF118" s="16">
        <f t="shared" si="119"/>
        <v>655</v>
      </c>
      <c r="AG118" s="16">
        <f t="shared" si="119"/>
        <v>655</v>
      </c>
      <c r="AH118" s="16">
        <f t="shared" si="119"/>
        <v>655</v>
      </c>
      <c r="AI118" s="28">
        <f t="shared" si="86"/>
        <v>428278.70999999996</v>
      </c>
      <c r="AJ118" s="28">
        <f t="shared" si="127"/>
        <v>342622.96799999999</v>
      </c>
      <c r="AK118" s="28">
        <f t="shared" si="127"/>
        <v>342622.96799999999</v>
      </c>
      <c r="AL118" s="28">
        <f t="shared" si="127"/>
        <v>342622.96799999999</v>
      </c>
      <c r="AM118" s="28">
        <f t="shared" si="127"/>
        <v>342622.96799999999</v>
      </c>
      <c r="AN118" s="28">
        <f t="shared" si="127"/>
        <v>342622.96799999999</v>
      </c>
      <c r="AO118" s="30"/>
      <c r="AP118" s="28"/>
      <c r="AQ118" s="16">
        <v>5</v>
      </c>
      <c r="AR118" s="16">
        <f t="shared" si="88"/>
        <v>850</v>
      </c>
      <c r="AS118" s="28">
        <f t="shared" si="89"/>
        <v>1230</v>
      </c>
      <c r="AT118" s="28"/>
      <c r="AU118" s="30">
        <v>2141393.5499999998</v>
      </c>
      <c r="AV118" s="28" t="str">
        <f t="shared" si="90"/>
        <v>小:0</v>
      </c>
      <c r="AW118" s="28"/>
      <c r="AX118" s="28"/>
      <c r="AZ118" s="28"/>
      <c r="BA118" s="16">
        <f t="shared" si="120"/>
        <v>22527.650000000038</v>
      </c>
      <c r="BC118" s="7">
        <f t="shared" si="91"/>
        <v>634</v>
      </c>
      <c r="BQ118" s="9"/>
      <c r="BR118" s="9">
        <v>5601051</v>
      </c>
      <c r="BS118" s="9">
        <f>[1]monsters!$N118</f>
        <v>179.2</v>
      </c>
      <c r="BT118" s="9">
        <f>[1]monsters!$O118</f>
        <v>17.920000000000002</v>
      </c>
      <c r="BU118" s="9">
        <f>[1]monsters!$P118</f>
        <v>1097.1400000000001</v>
      </c>
      <c r="BV118" s="9">
        <f>[1]monsters!$Q118</f>
        <v>109.71</v>
      </c>
      <c r="BW118" s="9">
        <f>[1]monsters!$R118</f>
        <v>22.4</v>
      </c>
      <c r="BX118" s="9">
        <f>[1]monsters!$S118</f>
        <v>2.2400000000000002</v>
      </c>
      <c r="BY118" s="9">
        <f>[1]monsters!$K118</f>
        <v>1.5</v>
      </c>
      <c r="BZ118" s="7">
        <f>[1]monsters!$D118</f>
        <v>5</v>
      </c>
      <c r="CA118" s="7">
        <f t="shared" si="92"/>
        <v>0.1</v>
      </c>
      <c r="CB118" s="7">
        <f t="shared" si="93"/>
        <v>206.28474074074074</v>
      </c>
      <c r="CC118" s="7">
        <f t="shared" si="94"/>
        <v>20.628474074074077</v>
      </c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>
        <v>1</v>
      </c>
      <c r="CR118" s="25" t="b">
        <f t="shared" si="95"/>
        <v>1</v>
      </c>
      <c r="CS118" s="25" t="b">
        <f t="shared" si="96"/>
        <v>1</v>
      </c>
      <c r="CT118" s="25" t="b">
        <f t="shared" si="97"/>
        <v>1</v>
      </c>
      <c r="CU118" s="25" t="b">
        <f t="shared" si="98"/>
        <v>1</v>
      </c>
      <c r="CV118" s="25" t="b">
        <f t="shared" si="99"/>
        <v>1</v>
      </c>
      <c r="CW118" s="25" t="b">
        <f t="shared" si="100"/>
        <v>1</v>
      </c>
      <c r="CX118" s="16" t="str">
        <f t="shared" si="101"/>
        <v>5201071</v>
      </c>
      <c r="CY118" s="16" t="str">
        <f t="shared" si="102"/>
        <v>5200071</v>
      </c>
      <c r="CZ118" s="16" t="str">
        <f t="shared" si="103"/>
        <v>5301073</v>
      </c>
      <c r="DA118" s="16" t="str">
        <f t="shared" si="104"/>
        <v>5401073</v>
      </c>
      <c r="DB118" s="16" t="str">
        <f t="shared" si="105"/>
        <v>5502072</v>
      </c>
      <c r="DC118" s="16" t="str">
        <f t="shared" si="106"/>
        <v>5500072</v>
      </c>
      <c r="DD118" s="16">
        <v>7</v>
      </c>
      <c r="DE118" s="16">
        <v>7</v>
      </c>
      <c r="DF118" s="16">
        <v>7</v>
      </c>
      <c r="DG118" s="16">
        <v>7</v>
      </c>
      <c r="DH118" s="16">
        <v>7</v>
      </c>
      <c r="DI118" s="16">
        <v>7</v>
      </c>
      <c r="DJ118" s="16">
        <v>5</v>
      </c>
      <c r="DK118" s="16">
        <v>5</v>
      </c>
      <c r="DL118" s="16">
        <v>5</v>
      </c>
      <c r="DM118" s="16">
        <v>5</v>
      </c>
      <c r="DN118" s="16">
        <v>5</v>
      </c>
      <c r="DO118" s="16">
        <v>5</v>
      </c>
      <c r="DP118" s="25" t="s">
        <v>206</v>
      </c>
      <c r="DQ118" s="25" t="s">
        <v>205</v>
      </c>
      <c r="DR118" s="25" t="s">
        <v>218</v>
      </c>
      <c r="DS118" s="25" t="s">
        <v>223</v>
      </c>
      <c r="DT118" s="25" t="s">
        <v>215</v>
      </c>
      <c r="DU118" s="25" t="s">
        <v>115</v>
      </c>
      <c r="DV118" s="32">
        <f t="shared" si="69"/>
        <v>1</v>
      </c>
      <c r="DW118" s="32">
        <f t="shared" si="70"/>
        <v>1</v>
      </c>
      <c r="DX118" s="32">
        <f t="shared" si="71"/>
        <v>1</v>
      </c>
      <c r="DY118" s="32">
        <f t="shared" si="72"/>
        <v>2</v>
      </c>
      <c r="DZ118" s="32">
        <f t="shared" si="73"/>
        <v>2</v>
      </c>
      <c r="EA118" s="32">
        <f t="shared" si="74"/>
        <v>2</v>
      </c>
      <c r="EB118" s="41"/>
      <c r="EC118" s="7">
        <v>5500053</v>
      </c>
      <c r="ED118" s="40" t="s">
        <v>219</v>
      </c>
      <c r="EE118" s="16">
        <v>2</v>
      </c>
      <c r="FD118" s="16">
        <v>5201071</v>
      </c>
      <c r="FE118" s="16">
        <v>5200071</v>
      </c>
      <c r="FF118" s="16">
        <v>5301073</v>
      </c>
      <c r="FG118" s="16">
        <v>5401073</v>
      </c>
      <c r="FH118" s="16">
        <v>5502072</v>
      </c>
      <c r="FI118" s="16">
        <v>5500072</v>
      </c>
      <c r="FJ118" t="str">
        <f t="shared" si="107"/>
        <v>水骑兵</v>
      </c>
      <c r="FK118" t="str">
        <f t="shared" si="108"/>
        <v>水刀客</v>
      </c>
      <c r="FL118" t="str">
        <f t="shared" si="109"/>
        <v>木剑士</v>
      </c>
      <c r="FM118" t="str">
        <f t="shared" si="110"/>
        <v>木魔法师</v>
      </c>
      <c r="FN118" t="str">
        <f t="shared" si="111"/>
        <v>火火枪手</v>
      </c>
      <c r="FO118" t="str">
        <f t="shared" si="112"/>
        <v>火海盗</v>
      </c>
      <c r="FP118" t="str">
        <f t="shared" si="113"/>
        <v>7</v>
      </c>
      <c r="FQ118" t="str">
        <f t="shared" si="114"/>
        <v>7</v>
      </c>
      <c r="FR118" t="str">
        <f t="shared" si="115"/>
        <v>7</v>
      </c>
      <c r="FS118" t="str">
        <f t="shared" si="116"/>
        <v>7</v>
      </c>
      <c r="FT118" t="str">
        <f t="shared" si="117"/>
        <v>7</v>
      </c>
      <c r="FU118" t="str">
        <f t="shared" si="118"/>
        <v>7</v>
      </c>
      <c r="FV118" t="str">
        <f t="shared" si="121"/>
        <v>5</v>
      </c>
      <c r="FW118" t="str">
        <f t="shared" si="122"/>
        <v>5</v>
      </c>
      <c r="FX118" t="str">
        <f t="shared" si="123"/>
        <v>5</v>
      </c>
      <c r="FY118" t="str">
        <f t="shared" si="124"/>
        <v>5</v>
      </c>
      <c r="FZ118" t="str">
        <f t="shared" si="125"/>
        <v>5</v>
      </c>
      <c r="GA118" t="str">
        <f t="shared" si="126"/>
        <v>5</v>
      </c>
    </row>
    <row r="119" spans="1:183" ht="13.5" customHeight="1">
      <c r="A119" s="1">
        <v>1206</v>
      </c>
      <c r="B119" s="6">
        <v>10082</v>
      </c>
      <c r="C119" s="23" t="str">
        <f t="shared" si="81"/>
        <v>5200071,5202072,5301072,5501075,5400075,5401073</v>
      </c>
      <c r="D119" s="1" t="str">
        <f t="shared" si="82"/>
        <v>7,7,7,7,7,7</v>
      </c>
      <c r="E119" s="53" t="str">
        <f t="shared" si="83"/>
        <v>682,658,658,658,658,658</v>
      </c>
      <c r="F119" s="1">
        <f t="shared" si="68"/>
        <v>2162879</v>
      </c>
      <c r="G119" s="23" t="s">
        <v>34</v>
      </c>
      <c r="H119" s="1" t="s">
        <v>28</v>
      </c>
      <c r="I119" s="1" t="s">
        <v>28</v>
      </c>
      <c r="J119" s="1" t="s">
        <v>28</v>
      </c>
      <c r="K119" s="2" t="s">
        <v>417</v>
      </c>
      <c r="L119" s="1">
        <v>2</v>
      </c>
      <c r="M119" s="1">
        <v>2</v>
      </c>
      <c r="O119" s="25">
        <f t="shared" si="84"/>
        <v>2162879</v>
      </c>
      <c r="P119" s="16">
        <v>2162878.5</v>
      </c>
      <c r="Q119" s="16">
        <v>5200071</v>
      </c>
      <c r="R119" s="16">
        <v>5202072</v>
      </c>
      <c r="S119" s="16">
        <v>5301072</v>
      </c>
      <c r="T119" s="16">
        <v>5501075</v>
      </c>
      <c r="U119" s="16">
        <v>5400075</v>
      </c>
      <c r="V119" s="16">
        <v>5401073</v>
      </c>
      <c r="W119" s="16">
        <v>7</v>
      </c>
      <c r="X119" s="16">
        <v>7</v>
      </c>
      <c r="Y119" s="16">
        <v>7</v>
      </c>
      <c r="Z119" s="16">
        <v>7</v>
      </c>
      <c r="AA119" s="16">
        <v>7</v>
      </c>
      <c r="AB119" s="16">
        <v>7</v>
      </c>
      <c r="AC119" s="16">
        <f t="shared" si="85"/>
        <v>682</v>
      </c>
      <c r="AD119" s="16">
        <f t="shared" si="119"/>
        <v>658</v>
      </c>
      <c r="AE119" s="16">
        <f t="shared" si="119"/>
        <v>658</v>
      </c>
      <c r="AF119" s="16">
        <f t="shared" si="119"/>
        <v>658</v>
      </c>
      <c r="AG119" s="16">
        <f t="shared" si="119"/>
        <v>658</v>
      </c>
      <c r="AH119" s="16">
        <f t="shared" si="119"/>
        <v>658</v>
      </c>
      <c r="AI119" s="28">
        <f t="shared" si="86"/>
        <v>432575.7</v>
      </c>
      <c r="AJ119" s="28">
        <f t="shared" si="127"/>
        <v>346060.56</v>
      </c>
      <c r="AK119" s="28">
        <f t="shared" si="127"/>
        <v>346060.56</v>
      </c>
      <c r="AL119" s="28">
        <f t="shared" si="127"/>
        <v>346060.56</v>
      </c>
      <c r="AM119" s="28">
        <f t="shared" si="127"/>
        <v>346060.56</v>
      </c>
      <c r="AN119" s="28">
        <f t="shared" si="127"/>
        <v>346060.56</v>
      </c>
      <c r="AO119" s="30"/>
      <c r="AP119" s="28"/>
      <c r="AQ119" s="16">
        <v>5</v>
      </c>
      <c r="AR119" s="16">
        <f t="shared" si="88"/>
        <v>855</v>
      </c>
      <c r="AS119" s="28">
        <f t="shared" si="89"/>
        <v>1231</v>
      </c>
      <c r="AT119" s="28"/>
      <c r="AU119" s="30">
        <v>2162878.5</v>
      </c>
      <c r="AV119" s="28" t="str">
        <f t="shared" si="90"/>
        <v>小:0</v>
      </c>
      <c r="AW119" s="28"/>
      <c r="AX119" s="28"/>
      <c r="AZ119" s="28"/>
      <c r="BA119" s="16">
        <f t="shared" si="120"/>
        <v>22579.925714285753</v>
      </c>
      <c r="BC119" s="7">
        <f t="shared" si="91"/>
        <v>637</v>
      </c>
      <c r="BQ119" s="9"/>
      <c r="BR119" s="9">
        <v>5200052</v>
      </c>
      <c r="BS119" s="9">
        <f>[1]monsters!$N119</f>
        <v>167.25</v>
      </c>
      <c r="BT119" s="9">
        <f>[1]monsters!$O119</f>
        <v>16.73</v>
      </c>
      <c r="BU119" s="9">
        <f>[1]monsters!$P119</f>
        <v>1097.1400000000001</v>
      </c>
      <c r="BV119" s="9">
        <f>[1]monsters!$Q119</f>
        <v>109.71</v>
      </c>
      <c r="BW119" s="9">
        <f>[1]monsters!$R119</f>
        <v>20.91</v>
      </c>
      <c r="BX119" s="9">
        <f>[1]monsters!$S119</f>
        <v>2.09</v>
      </c>
      <c r="BY119" s="9">
        <f>[1]monsters!$K119</f>
        <v>1.4000000000000001</v>
      </c>
      <c r="BZ119" s="7">
        <f>[1]monsters!$D119</f>
        <v>5</v>
      </c>
      <c r="CA119" s="7">
        <f t="shared" si="92"/>
        <v>0.1</v>
      </c>
      <c r="CB119" s="7">
        <f t="shared" si="93"/>
        <v>194.99199074074076</v>
      </c>
      <c r="CC119" s="7">
        <f t="shared" si="94"/>
        <v>19.499199074074077</v>
      </c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>
        <v>0</v>
      </c>
      <c r="CR119" s="25" t="b">
        <f t="shared" si="95"/>
        <v>1</v>
      </c>
      <c r="CS119" s="25" t="b">
        <f t="shared" si="96"/>
        <v>1</v>
      </c>
      <c r="CT119" s="25" t="b">
        <f t="shared" si="97"/>
        <v>1</v>
      </c>
      <c r="CU119" s="25" t="b">
        <f t="shared" si="98"/>
        <v>1</v>
      </c>
      <c r="CV119" s="25" t="b">
        <f t="shared" si="99"/>
        <v>1</v>
      </c>
      <c r="CW119" s="25" t="b">
        <f t="shared" si="100"/>
        <v>1</v>
      </c>
      <c r="CX119" s="16" t="str">
        <f t="shared" si="101"/>
        <v>5200071</v>
      </c>
      <c r="CY119" s="16" t="str">
        <f t="shared" si="102"/>
        <v>5202072</v>
      </c>
      <c r="CZ119" s="16" t="str">
        <f t="shared" si="103"/>
        <v>5301072</v>
      </c>
      <c r="DA119" s="16" t="str">
        <f t="shared" si="104"/>
        <v>5501075</v>
      </c>
      <c r="DB119" s="16" t="str">
        <f t="shared" si="105"/>
        <v>5400075</v>
      </c>
      <c r="DC119" s="16" t="str">
        <f t="shared" si="106"/>
        <v>5401073</v>
      </c>
      <c r="DD119" s="16">
        <v>7</v>
      </c>
      <c r="DE119" s="16">
        <v>7</v>
      </c>
      <c r="DF119" s="16">
        <v>7</v>
      </c>
      <c r="DG119" s="16">
        <v>7</v>
      </c>
      <c r="DH119" s="16">
        <v>7</v>
      </c>
      <c r="DI119" s="16">
        <v>7</v>
      </c>
      <c r="DJ119" s="16">
        <v>5</v>
      </c>
      <c r="DK119" s="16">
        <v>5</v>
      </c>
      <c r="DL119" s="16">
        <v>5</v>
      </c>
      <c r="DM119" s="16">
        <v>5</v>
      </c>
      <c r="DN119" s="16">
        <v>5</v>
      </c>
      <c r="DO119" s="16">
        <v>5</v>
      </c>
      <c r="DP119" s="51" t="s">
        <v>205</v>
      </c>
      <c r="DQ119" s="51" t="s">
        <v>211</v>
      </c>
      <c r="DR119" s="51" t="s">
        <v>212</v>
      </c>
      <c r="DS119" s="51" t="s">
        <v>221</v>
      </c>
      <c r="DT119" s="51" t="s">
        <v>222</v>
      </c>
      <c r="DU119" s="51" t="s">
        <v>223</v>
      </c>
      <c r="DV119" s="32">
        <f t="shared" si="69"/>
        <v>1</v>
      </c>
      <c r="DW119" s="32">
        <f t="shared" si="70"/>
        <v>1</v>
      </c>
      <c r="DX119" s="32">
        <f t="shared" si="71"/>
        <v>1</v>
      </c>
      <c r="DY119" s="32">
        <f t="shared" si="72"/>
        <v>2</v>
      </c>
      <c r="DZ119" s="32">
        <f t="shared" si="73"/>
        <v>2</v>
      </c>
      <c r="EA119" s="32">
        <f t="shared" si="74"/>
        <v>2</v>
      </c>
      <c r="EB119" s="40"/>
      <c r="EC119" s="7">
        <v>5502053</v>
      </c>
      <c r="ED119" s="40" t="s">
        <v>227</v>
      </c>
      <c r="EE119" s="16">
        <v>2</v>
      </c>
      <c r="FD119" s="16">
        <v>5200071</v>
      </c>
      <c r="FE119" s="16">
        <v>5202072</v>
      </c>
      <c r="FF119" s="16">
        <v>5301072</v>
      </c>
      <c r="FG119" s="16">
        <v>5501075</v>
      </c>
      <c r="FH119" s="16">
        <v>5400075</v>
      </c>
      <c r="FI119" s="16">
        <v>5401073</v>
      </c>
      <c r="FJ119" t="str">
        <f t="shared" si="107"/>
        <v>水刀客</v>
      </c>
      <c r="FK119" t="str">
        <f t="shared" si="108"/>
        <v>火维京</v>
      </c>
      <c r="FL119" t="str">
        <f t="shared" si="109"/>
        <v>火剑士</v>
      </c>
      <c r="FM119" t="str">
        <f t="shared" si="110"/>
        <v>暗猎人</v>
      </c>
      <c r="FN119" t="str">
        <f t="shared" si="111"/>
        <v>暗巫师</v>
      </c>
      <c r="FO119" t="str">
        <f t="shared" si="112"/>
        <v>木魔法师</v>
      </c>
      <c r="FP119" t="str">
        <f t="shared" si="113"/>
        <v>7</v>
      </c>
      <c r="FQ119" t="str">
        <f t="shared" si="114"/>
        <v>7</v>
      </c>
      <c r="FR119" t="str">
        <f t="shared" si="115"/>
        <v>7</v>
      </c>
      <c r="FS119" t="str">
        <f t="shared" si="116"/>
        <v>7</v>
      </c>
      <c r="FT119" t="str">
        <f t="shared" si="117"/>
        <v>7</v>
      </c>
      <c r="FU119" t="str">
        <f t="shared" si="118"/>
        <v>7</v>
      </c>
      <c r="FV119" t="str">
        <f t="shared" si="121"/>
        <v>5</v>
      </c>
      <c r="FW119" t="str">
        <f t="shared" si="122"/>
        <v>5</v>
      </c>
      <c r="FX119" t="str">
        <f t="shared" si="123"/>
        <v>5</v>
      </c>
      <c r="FY119" t="str">
        <f t="shared" si="124"/>
        <v>5</v>
      </c>
      <c r="FZ119" t="str">
        <f t="shared" si="125"/>
        <v>5</v>
      </c>
      <c r="GA119" t="str">
        <f t="shared" si="126"/>
        <v>5</v>
      </c>
    </row>
    <row r="120" spans="1:183" ht="13.5" customHeight="1">
      <c r="A120" s="1">
        <v>1207</v>
      </c>
      <c r="B120" s="6">
        <v>10082</v>
      </c>
      <c r="C120" s="23" t="str">
        <f t="shared" si="81"/>
        <v>5401071,5201073,5201073,5302075,5400075,5502071</v>
      </c>
      <c r="D120" s="1" t="str">
        <f t="shared" si="82"/>
        <v>7,7,7,7,7,7</v>
      </c>
      <c r="E120" s="53" t="str">
        <f t="shared" si="83"/>
        <v>685,662,662,662,662,662</v>
      </c>
      <c r="F120" s="1">
        <f t="shared" si="68"/>
        <v>2186935</v>
      </c>
      <c r="G120" s="23" t="s">
        <v>34</v>
      </c>
      <c r="H120" s="1" t="s">
        <v>28</v>
      </c>
      <c r="I120" s="1" t="s">
        <v>28</v>
      </c>
      <c r="J120" s="1" t="s">
        <v>28</v>
      </c>
      <c r="K120" s="2" t="s">
        <v>418</v>
      </c>
      <c r="L120" s="1">
        <v>3</v>
      </c>
      <c r="M120" s="1">
        <v>6</v>
      </c>
      <c r="O120" s="25">
        <f t="shared" si="84"/>
        <v>2186935</v>
      </c>
      <c r="P120" s="16">
        <v>2186934.85</v>
      </c>
      <c r="Q120" s="16">
        <v>5401071</v>
      </c>
      <c r="R120" s="16">
        <v>5201073</v>
      </c>
      <c r="S120" s="16">
        <v>5201073</v>
      </c>
      <c r="T120" s="16">
        <v>5302075</v>
      </c>
      <c r="U120" s="16">
        <v>5400075</v>
      </c>
      <c r="V120" s="16">
        <v>5502071</v>
      </c>
      <c r="W120" s="16">
        <v>7</v>
      </c>
      <c r="X120" s="16">
        <v>7</v>
      </c>
      <c r="Y120" s="16">
        <v>7</v>
      </c>
      <c r="Z120" s="16">
        <v>7</v>
      </c>
      <c r="AA120" s="16">
        <v>7</v>
      </c>
      <c r="AB120" s="16">
        <v>7</v>
      </c>
      <c r="AC120" s="16">
        <f t="shared" si="85"/>
        <v>685</v>
      </c>
      <c r="AD120" s="16">
        <f t="shared" si="119"/>
        <v>662</v>
      </c>
      <c r="AE120" s="16">
        <f t="shared" si="119"/>
        <v>662</v>
      </c>
      <c r="AF120" s="16">
        <f t="shared" si="119"/>
        <v>662</v>
      </c>
      <c r="AG120" s="16">
        <f t="shared" si="119"/>
        <v>662</v>
      </c>
      <c r="AH120" s="16">
        <f t="shared" si="119"/>
        <v>662</v>
      </c>
      <c r="AI120" s="28">
        <f t="shared" si="86"/>
        <v>437386.97000000003</v>
      </c>
      <c r="AJ120" s="28">
        <f t="shared" si="127"/>
        <v>349909.576</v>
      </c>
      <c r="AK120" s="28">
        <f t="shared" si="127"/>
        <v>349909.576</v>
      </c>
      <c r="AL120" s="28">
        <f t="shared" si="127"/>
        <v>349909.576</v>
      </c>
      <c r="AM120" s="28">
        <f t="shared" si="127"/>
        <v>349909.576</v>
      </c>
      <c r="AN120" s="28">
        <f t="shared" si="127"/>
        <v>349909.576</v>
      </c>
      <c r="AO120" s="30"/>
      <c r="AP120" s="28"/>
      <c r="AQ120" s="16">
        <v>5</v>
      </c>
      <c r="AR120" s="16">
        <f t="shared" si="88"/>
        <v>859</v>
      </c>
      <c r="AS120" s="28">
        <f t="shared" si="89"/>
        <v>1232</v>
      </c>
      <c r="AT120" s="28"/>
      <c r="AU120" s="30">
        <v>2186934.85</v>
      </c>
      <c r="AV120" s="28" t="str">
        <f t="shared" si="90"/>
        <v>小:0</v>
      </c>
      <c r="AW120" s="28"/>
      <c r="AX120" s="28"/>
      <c r="AZ120" s="28"/>
      <c r="BA120" s="16">
        <f t="shared" si="120"/>
        <v>22632.201428571469</v>
      </c>
      <c r="BC120" s="7">
        <f t="shared" si="91"/>
        <v>640</v>
      </c>
      <c r="BQ120" s="9"/>
      <c r="BR120" s="9">
        <v>5202052</v>
      </c>
      <c r="BS120" s="9">
        <f>[1]monsters!$N120</f>
        <v>198.4</v>
      </c>
      <c r="BT120" s="9">
        <f>[1]monsters!$O120</f>
        <v>19.84</v>
      </c>
      <c r="BU120" s="9">
        <f>[1]monsters!$P120</f>
        <v>990.97</v>
      </c>
      <c r="BV120" s="9">
        <f>[1]monsters!$Q120</f>
        <v>99.1</v>
      </c>
      <c r="BW120" s="9">
        <f>[1]monsters!$R120</f>
        <v>19.84</v>
      </c>
      <c r="BX120" s="9">
        <f>[1]monsters!$S120</f>
        <v>1.98</v>
      </c>
      <c r="BY120" s="9">
        <f>[1]monsters!$K120</f>
        <v>1.5</v>
      </c>
      <c r="BZ120" s="7">
        <f>[1]monsters!$D120</f>
        <v>6</v>
      </c>
      <c r="CA120" s="7">
        <f t="shared" si="92"/>
        <v>0.1</v>
      </c>
      <c r="CB120" s="7">
        <f t="shared" si="93"/>
        <v>220.8539932659933</v>
      </c>
      <c r="CC120" s="7">
        <f t="shared" si="94"/>
        <v>22.08539932659933</v>
      </c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>
        <v>0</v>
      </c>
      <c r="CR120" s="25" t="b">
        <f t="shared" si="95"/>
        <v>1</v>
      </c>
      <c r="CS120" s="25" t="b">
        <f t="shared" si="96"/>
        <v>1</v>
      </c>
      <c r="CT120" s="25" t="b">
        <f t="shared" si="97"/>
        <v>1</v>
      </c>
      <c r="CU120" s="25" t="b">
        <f t="shared" si="98"/>
        <v>1</v>
      </c>
      <c r="CV120" s="25" t="b">
        <f t="shared" si="99"/>
        <v>1</v>
      </c>
      <c r="CW120" s="25" t="b">
        <f t="shared" si="100"/>
        <v>1</v>
      </c>
      <c r="CX120" s="16" t="str">
        <f t="shared" si="101"/>
        <v>5401071</v>
      </c>
      <c r="CY120" s="16" t="str">
        <f t="shared" si="102"/>
        <v>5201073</v>
      </c>
      <c r="CZ120" s="16" t="str">
        <f t="shared" si="103"/>
        <v>5201073</v>
      </c>
      <c r="DA120" s="16" t="str">
        <f t="shared" si="104"/>
        <v>5302075</v>
      </c>
      <c r="DB120" s="16" t="str">
        <f t="shared" si="105"/>
        <v>5400075</v>
      </c>
      <c r="DC120" s="16" t="str">
        <f t="shared" si="106"/>
        <v>5502071</v>
      </c>
      <c r="DD120" s="16">
        <v>7</v>
      </c>
      <c r="DE120" s="16">
        <v>7</v>
      </c>
      <c r="DF120" s="16">
        <v>7</v>
      </c>
      <c r="DG120" s="16">
        <v>7</v>
      </c>
      <c r="DH120" s="16">
        <v>7</v>
      </c>
      <c r="DI120" s="16">
        <v>7</v>
      </c>
      <c r="DJ120" s="16">
        <v>5</v>
      </c>
      <c r="DK120" s="16">
        <v>5</v>
      </c>
      <c r="DL120" s="16">
        <v>5</v>
      </c>
      <c r="DM120" s="16">
        <v>5</v>
      </c>
      <c r="DN120" s="16">
        <v>5</v>
      </c>
      <c r="DO120" s="16">
        <v>5</v>
      </c>
      <c r="DP120" s="36" t="s">
        <v>123</v>
      </c>
      <c r="DQ120" s="36" t="s">
        <v>217</v>
      </c>
      <c r="DR120" s="36" t="s">
        <v>217</v>
      </c>
      <c r="DS120" s="36" t="s">
        <v>234</v>
      </c>
      <c r="DT120" s="36" t="s">
        <v>222</v>
      </c>
      <c r="DU120" s="36" t="s">
        <v>130</v>
      </c>
      <c r="DV120" s="32">
        <f t="shared" si="69"/>
        <v>2</v>
      </c>
      <c r="DW120" s="32">
        <f t="shared" si="70"/>
        <v>1</v>
      </c>
      <c r="DX120" s="32">
        <f t="shared" si="71"/>
        <v>1</v>
      </c>
      <c r="DY120" s="32">
        <f t="shared" si="72"/>
        <v>1</v>
      </c>
      <c r="DZ120" s="32">
        <f t="shared" si="73"/>
        <v>2</v>
      </c>
      <c r="EA120" s="32">
        <f t="shared" si="74"/>
        <v>2</v>
      </c>
      <c r="EB120" s="41"/>
      <c r="EC120" s="7">
        <v>5601053</v>
      </c>
      <c r="ED120" s="40" t="s">
        <v>228</v>
      </c>
      <c r="EE120" s="16">
        <v>2</v>
      </c>
      <c r="FD120" s="16">
        <v>5401071</v>
      </c>
      <c r="FE120" s="16">
        <v>5201073</v>
      </c>
      <c r="FF120" s="16">
        <v>5201073</v>
      </c>
      <c r="FG120" s="16">
        <v>5302075</v>
      </c>
      <c r="FH120" s="16">
        <v>5400075</v>
      </c>
      <c r="FI120" s="16">
        <v>5502071</v>
      </c>
      <c r="FJ120" t="str">
        <f t="shared" si="107"/>
        <v>水魔法师</v>
      </c>
      <c r="FK120" t="str">
        <f t="shared" si="108"/>
        <v>木骑兵</v>
      </c>
      <c r="FL120" t="str">
        <f t="shared" si="109"/>
        <v>木骑兵</v>
      </c>
      <c r="FM120" t="str">
        <f t="shared" si="110"/>
        <v>暗盗贼</v>
      </c>
      <c r="FN120" t="str">
        <f t="shared" si="111"/>
        <v>暗巫师</v>
      </c>
      <c r="FO120" t="str">
        <f t="shared" si="112"/>
        <v>水火枪手</v>
      </c>
      <c r="FP120" t="str">
        <f t="shared" si="113"/>
        <v>7</v>
      </c>
      <c r="FQ120" t="str">
        <f t="shared" si="114"/>
        <v>7</v>
      </c>
      <c r="FR120" t="str">
        <f t="shared" si="115"/>
        <v>7</v>
      </c>
      <c r="FS120" t="str">
        <f t="shared" si="116"/>
        <v>7</v>
      </c>
      <c r="FT120" t="str">
        <f t="shared" si="117"/>
        <v>7</v>
      </c>
      <c r="FU120" t="str">
        <f t="shared" si="118"/>
        <v>7</v>
      </c>
      <c r="FV120" t="str">
        <f t="shared" si="121"/>
        <v>5</v>
      </c>
      <c r="FW120" t="str">
        <f t="shared" si="122"/>
        <v>5</v>
      </c>
      <c r="FX120" t="str">
        <f t="shared" si="123"/>
        <v>5</v>
      </c>
      <c r="FY120" t="str">
        <f t="shared" si="124"/>
        <v>5</v>
      </c>
      <c r="FZ120" t="str">
        <f t="shared" si="125"/>
        <v>5</v>
      </c>
      <c r="GA120" t="str">
        <f t="shared" si="126"/>
        <v>5</v>
      </c>
    </row>
    <row r="121" spans="1:183" ht="13.5" customHeight="1">
      <c r="A121" s="1">
        <v>1208</v>
      </c>
      <c r="B121" s="6">
        <v>10082</v>
      </c>
      <c r="C121" s="23" t="str">
        <f t="shared" si="81"/>
        <v>5401071,5201073,5201073,5302075,5400075,5502071</v>
      </c>
      <c r="D121" s="1" t="str">
        <f t="shared" si="82"/>
        <v>7,7,7,7,7,7</v>
      </c>
      <c r="E121" s="53" t="str">
        <f t="shared" si="83"/>
        <v>689,665,665,665,665,665</v>
      </c>
      <c r="F121" s="1">
        <f t="shared" si="68"/>
        <v>2208648</v>
      </c>
      <c r="G121" s="23" t="s">
        <v>34</v>
      </c>
      <c r="H121" s="1" t="s">
        <v>28</v>
      </c>
      <c r="I121" s="1" t="s">
        <v>28</v>
      </c>
      <c r="J121" s="1" t="s">
        <v>28</v>
      </c>
      <c r="K121" s="2" t="s">
        <v>419</v>
      </c>
      <c r="L121" s="1">
        <v>1</v>
      </c>
      <c r="M121" s="1">
        <v>6</v>
      </c>
      <c r="O121" s="25">
        <f t="shared" si="84"/>
        <v>2208648</v>
      </c>
      <c r="P121" s="16">
        <v>2208647.7000000002</v>
      </c>
      <c r="Q121" s="16">
        <v>5401071</v>
      </c>
      <c r="R121" s="16">
        <v>5201073</v>
      </c>
      <c r="S121" s="16">
        <v>5201073</v>
      </c>
      <c r="T121" s="16">
        <v>5302075</v>
      </c>
      <c r="U121" s="16">
        <v>5400075</v>
      </c>
      <c r="V121" s="16">
        <v>5502071</v>
      </c>
      <c r="W121" s="16">
        <v>7</v>
      </c>
      <c r="X121" s="16">
        <v>7</v>
      </c>
      <c r="Y121" s="16">
        <v>7</v>
      </c>
      <c r="Z121" s="16">
        <v>7</v>
      </c>
      <c r="AA121" s="16">
        <v>7</v>
      </c>
      <c r="AB121" s="16">
        <v>7</v>
      </c>
      <c r="AC121" s="16">
        <f t="shared" si="85"/>
        <v>689</v>
      </c>
      <c r="AD121" s="16">
        <f t="shared" si="119"/>
        <v>665</v>
      </c>
      <c r="AE121" s="16">
        <f t="shared" si="119"/>
        <v>665</v>
      </c>
      <c r="AF121" s="16">
        <f t="shared" si="119"/>
        <v>665</v>
      </c>
      <c r="AG121" s="16">
        <f t="shared" si="119"/>
        <v>665</v>
      </c>
      <c r="AH121" s="16">
        <f t="shared" si="119"/>
        <v>665</v>
      </c>
      <c r="AI121" s="28">
        <f t="shared" si="86"/>
        <v>441729.54000000004</v>
      </c>
      <c r="AJ121" s="28">
        <f t="shared" si="127"/>
        <v>353383.63200000004</v>
      </c>
      <c r="AK121" s="28">
        <f t="shared" si="127"/>
        <v>353383.63200000004</v>
      </c>
      <c r="AL121" s="28">
        <f t="shared" si="127"/>
        <v>353383.63200000004</v>
      </c>
      <c r="AM121" s="28">
        <f t="shared" si="127"/>
        <v>353383.63200000004</v>
      </c>
      <c r="AN121" s="28">
        <f t="shared" si="127"/>
        <v>353383.63200000004</v>
      </c>
      <c r="AO121" s="30"/>
      <c r="AP121" s="28"/>
      <c r="AQ121" s="16">
        <v>5</v>
      </c>
      <c r="AR121" s="16">
        <f t="shared" si="88"/>
        <v>864</v>
      </c>
      <c r="AS121" s="28">
        <f t="shared" si="89"/>
        <v>1233</v>
      </c>
      <c r="AT121" s="28"/>
      <c r="AU121" s="30">
        <v>2208647.7000000002</v>
      </c>
      <c r="AV121" s="28" t="str">
        <f t="shared" si="90"/>
        <v>小:0</v>
      </c>
      <c r="AW121" s="28"/>
      <c r="AX121" s="28"/>
      <c r="AZ121" s="28"/>
      <c r="BA121" s="16">
        <f t="shared" si="120"/>
        <v>22684.477142857184</v>
      </c>
      <c r="BC121" s="7">
        <f t="shared" si="91"/>
        <v>644</v>
      </c>
      <c r="BQ121" s="9"/>
      <c r="BR121" s="9">
        <v>5302052</v>
      </c>
      <c r="BS121" s="9">
        <f>[1]monsters!$N121</f>
        <v>122.88</v>
      </c>
      <c r="BT121" s="9">
        <f>[1]monsters!$O121</f>
        <v>12.29</v>
      </c>
      <c r="BU121" s="9">
        <f>[1]monsters!$P121</f>
        <v>1920</v>
      </c>
      <c r="BV121" s="9">
        <f>[1]monsters!$Q121</f>
        <v>192</v>
      </c>
      <c r="BW121" s="9">
        <f>[1]monsters!$R121</f>
        <v>40.96</v>
      </c>
      <c r="BX121" s="9">
        <f>[1]monsters!$S121</f>
        <v>4.0999999999999996</v>
      </c>
      <c r="BY121" s="9">
        <f>[1]monsters!$K121</f>
        <v>1.8</v>
      </c>
      <c r="BZ121" s="7">
        <f>[1]monsters!$D121</f>
        <v>2</v>
      </c>
      <c r="CA121" s="7">
        <f t="shared" si="92"/>
        <v>0.1</v>
      </c>
      <c r="CB121" s="7">
        <f t="shared" si="93"/>
        <v>180.76806464646464</v>
      </c>
      <c r="CC121" s="7">
        <f t="shared" si="94"/>
        <v>18.076806464646463</v>
      </c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>
        <v>0</v>
      </c>
      <c r="CR121" s="25" t="b">
        <f t="shared" si="95"/>
        <v>1</v>
      </c>
      <c r="CS121" s="25" t="b">
        <f t="shared" si="96"/>
        <v>1</v>
      </c>
      <c r="CT121" s="25" t="b">
        <f t="shared" si="97"/>
        <v>1</v>
      </c>
      <c r="CU121" s="25" t="b">
        <f t="shared" si="98"/>
        <v>1</v>
      </c>
      <c r="CV121" s="25" t="b">
        <f t="shared" si="99"/>
        <v>1</v>
      </c>
      <c r="CW121" s="25" t="b">
        <f t="shared" si="100"/>
        <v>1</v>
      </c>
      <c r="CX121" s="16" t="str">
        <f t="shared" si="101"/>
        <v>5401071</v>
      </c>
      <c r="CY121" s="16" t="str">
        <f t="shared" si="102"/>
        <v>5201073</v>
      </c>
      <c r="CZ121" s="16" t="str">
        <f t="shared" si="103"/>
        <v>5201073</v>
      </c>
      <c r="DA121" s="16" t="str">
        <f t="shared" si="104"/>
        <v>5302075</v>
      </c>
      <c r="DB121" s="16" t="str">
        <f t="shared" si="105"/>
        <v>5400075</v>
      </c>
      <c r="DC121" s="16" t="str">
        <f t="shared" si="106"/>
        <v>5502071</v>
      </c>
      <c r="DD121" s="16">
        <v>7</v>
      </c>
      <c r="DE121" s="16">
        <v>7</v>
      </c>
      <c r="DF121" s="16">
        <v>7</v>
      </c>
      <c r="DG121" s="16">
        <v>7</v>
      </c>
      <c r="DH121" s="16">
        <v>7</v>
      </c>
      <c r="DI121" s="16">
        <v>7</v>
      </c>
      <c r="DJ121" s="16">
        <v>5</v>
      </c>
      <c r="DK121" s="16">
        <v>5</v>
      </c>
      <c r="DL121" s="16">
        <v>5</v>
      </c>
      <c r="DM121" s="16">
        <v>5</v>
      </c>
      <c r="DN121" s="16">
        <v>5</v>
      </c>
      <c r="DO121" s="16">
        <v>5</v>
      </c>
      <c r="DP121" s="51" t="s">
        <v>123</v>
      </c>
      <c r="DQ121" s="51" t="s">
        <v>217</v>
      </c>
      <c r="DR121" s="51" t="s">
        <v>217</v>
      </c>
      <c r="DS121" s="36" t="s">
        <v>234</v>
      </c>
      <c r="DT121" s="36" t="s">
        <v>222</v>
      </c>
      <c r="DU121" s="36" t="s">
        <v>130</v>
      </c>
      <c r="DV121" s="32">
        <f t="shared" si="69"/>
        <v>2</v>
      </c>
      <c r="DW121" s="32">
        <f t="shared" si="70"/>
        <v>1</v>
      </c>
      <c r="DX121" s="32">
        <f t="shared" si="71"/>
        <v>1</v>
      </c>
      <c r="DY121" s="32">
        <f t="shared" si="72"/>
        <v>1</v>
      </c>
      <c r="DZ121" s="32">
        <f t="shared" si="73"/>
        <v>2</v>
      </c>
      <c r="EA121" s="32">
        <f t="shared" si="74"/>
        <v>2</v>
      </c>
      <c r="EB121" s="41"/>
      <c r="EC121" s="7">
        <v>5201054</v>
      </c>
      <c r="ED121" s="40" t="s">
        <v>229</v>
      </c>
      <c r="EE121" s="16">
        <v>1</v>
      </c>
      <c r="FD121" s="16">
        <v>5401071</v>
      </c>
      <c r="FE121" s="16">
        <v>5201073</v>
      </c>
      <c r="FF121" s="16">
        <v>5201073</v>
      </c>
      <c r="FG121" s="16">
        <v>5302075</v>
      </c>
      <c r="FH121" s="16">
        <v>5400075</v>
      </c>
      <c r="FI121" s="16">
        <v>5502071</v>
      </c>
      <c r="FJ121" t="str">
        <f t="shared" si="107"/>
        <v>水魔法师</v>
      </c>
      <c r="FK121" t="str">
        <f t="shared" si="108"/>
        <v>木骑兵</v>
      </c>
      <c r="FL121" t="str">
        <f t="shared" si="109"/>
        <v>木骑兵</v>
      </c>
      <c r="FM121" t="str">
        <f t="shared" si="110"/>
        <v>暗盗贼</v>
      </c>
      <c r="FN121" t="str">
        <f t="shared" si="111"/>
        <v>暗巫师</v>
      </c>
      <c r="FO121" t="str">
        <f t="shared" si="112"/>
        <v>水火枪手</v>
      </c>
      <c r="FP121" t="str">
        <f t="shared" si="113"/>
        <v>7</v>
      </c>
      <c r="FQ121" t="str">
        <f t="shared" si="114"/>
        <v>7</v>
      </c>
      <c r="FR121" t="str">
        <f t="shared" si="115"/>
        <v>7</v>
      </c>
      <c r="FS121" t="str">
        <f t="shared" si="116"/>
        <v>7</v>
      </c>
      <c r="FT121" t="str">
        <f t="shared" si="117"/>
        <v>7</v>
      </c>
      <c r="FU121" t="str">
        <f t="shared" si="118"/>
        <v>7</v>
      </c>
      <c r="FV121" t="str">
        <f t="shared" si="121"/>
        <v>5</v>
      </c>
      <c r="FW121" t="str">
        <f t="shared" si="122"/>
        <v>5</v>
      </c>
      <c r="FX121" t="str">
        <f t="shared" si="123"/>
        <v>5</v>
      </c>
      <c r="FY121" t="str">
        <f t="shared" si="124"/>
        <v>5</v>
      </c>
      <c r="FZ121" t="str">
        <f t="shared" si="125"/>
        <v>5</v>
      </c>
      <c r="GA121" t="str">
        <f t="shared" si="126"/>
        <v>5</v>
      </c>
    </row>
    <row r="122" spans="1:183" ht="13.5" customHeight="1">
      <c r="A122" s="1">
        <v>1209</v>
      </c>
      <c r="B122" s="6">
        <v>10082</v>
      </c>
      <c r="C122" s="23" t="str">
        <f t="shared" si="81"/>
        <v>5200071,5202072,5301072,5501075,5400075,5401073</v>
      </c>
      <c r="D122" s="1" t="str">
        <f t="shared" si="82"/>
        <v>7,7,7,7,7,7</v>
      </c>
      <c r="E122" s="53" t="str">
        <f t="shared" si="83"/>
        <v>693,669,669,669,669,669</v>
      </c>
      <c r="F122" s="1">
        <f t="shared" si="68"/>
        <v>2232956</v>
      </c>
      <c r="G122" s="23" t="s">
        <v>34</v>
      </c>
      <c r="H122" s="1" t="s">
        <v>28</v>
      </c>
      <c r="I122" s="1" t="s">
        <v>28</v>
      </c>
      <c r="J122" s="1" t="s">
        <v>28</v>
      </c>
      <c r="K122" s="2" t="s">
        <v>420</v>
      </c>
      <c r="L122" s="1">
        <v>2</v>
      </c>
      <c r="M122" s="1">
        <v>3</v>
      </c>
      <c r="O122" s="25">
        <f t="shared" si="84"/>
        <v>2232956</v>
      </c>
      <c r="P122" s="16">
        <v>2232955.6</v>
      </c>
      <c r="Q122" s="16">
        <v>5200071</v>
      </c>
      <c r="R122" s="16">
        <v>5202072</v>
      </c>
      <c r="S122" s="16">
        <v>5301072</v>
      </c>
      <c r="T122" s="16">
        <v>5501075</v>
      </c>
      <c r="U122" s="16">
        <v>5400075</v>
      </c>
      <c r="V122" s="16">
        <v>5401073</v>
      </c>
      <c r="W122" s="16">
        <v>7</v>
      </c>
      <c r="X122" s="16">
        <v>7</v>
      </c>
      <c r="Y122" s="16">
        <v>7</v>
      </c>
      <c r="Z122" s="16">
        <v>7</v>
      </c>
      <c r="AA122" s="16">
        <v>7</v>
      </c>
      <c r="AB122" s="16">
        <v>7</v>
      </c>
      <c r="AC122" s="16">
        <f t="shared" si="85"/>
        <v>693</v>
      </c>
      <c r="AD122" s="16">
        <f t="shared" ref="AD122:AH163" si="128">IF(AJ122&gt;0,FLOOR((POWER((AJ122/IF(AND(X122&gt;=2,X122&lt;4),1.1,IF(AND(X122&gt;=4,X122&lt;6),1.15,IF(X122&gt;=6,1.2,1)))/$Z$1),0.5)/INDEX($BD$4:$BQ$4,MATCH(X122,$BD$3:$BQ$3,0))-1)*10,1),"")</f>
        <v>669</v>
      </c>
      <c r="AE122" s="16">
        <f t="shared" si="128"/>
        <v>669</v>
      </c>
      <c r="AF122" s="16">
        <f t="shared" si="128"/>
        <v>669</v>
      </c>
      <c r="AG122" s="16">
        <f t="shared" si="128"/>
        <v>669</v>
      </c>
      <c r="AH122" s="16">
        <f t="shared" si="128"/>
        <v>669</v>
      </c>
      <c r="AI122" s="28">
        <f t="shared" si="86"/>
        <v>446591.12000000005</v>
      </c>
      <c r="AJ122" s="28">
        <f t="shared" si="127"/>
        <v>357272.89600000001</v>
      </c>
      <c r="AK122" s="28">
        <f t="shared" si="127"/>
        <v>357272.89600000001</v>
      </c>
      <c r="AL122" s="28">
        <f t="shared" si="127"/>
        <v>357272.89600000001</v>
      </c>
      <c r="AM122" s="28">
        <f t="shared" si="127"/>
        <v>357272.89600000001</v>
      </c>
      <c r="AN122" s="28">
        <f t="shared" si="127"/>
        <v>357272.89600000001</v>
      </c>
      <c r="AO122" s="30"/>
      <c r="AP122" s="28"/>
      <c r="AQ122" s="16">
        <v>5</v>
      </c>
      <c r="AR122" s="16">
        <f t="shared" si="88"/>
        <v>868</v>
      </c>
      <c r="AS122" s="28">
        <f t="shared" si="89"/>
        <v>1234</v>
      </c>
      <c r="AT122" s="28"/>
      <c r="AU122" s="30">
        <v>2232955.6</v>
      </c>
      <c r="AV122" s="28" t="str">
        <f t="shared" si="90"/>
        <v>小:0</v>
      </c>
      <c r="AW122" s="28"/>
      <c r="AX122" s="28"/>
      <c r="AZ122" s="28"/>
      <c r="BA122" s="16">
        <f t="shared" si="120"/>
        <v>22736.752857142899</v>
      </c>
      <c r="BC122" s="7">
        <f t="shared" si="91"/>
        <v>647</v>
      </c>
      <c r="BQ122" s="9"/>
      <c r="BR122" s="9">
        <v>5300052</v>
      </c>
      <c r="BS122" s="9">
        <f>[1]monsters!$N122</f>
        <v>107.52</v>
      </c>
      <c r="BT122" s="9">
        <f>[1]monsters!$O122</f>
        <v>10.75</v>
      </c>
      <c r="BU122" s="9">
        <f>[1]monsters!$P122</f>
        <v>1706.67</v>
      </c>
      <c r="BV122" s="9">
        <f>[1]monsters!$Q122</f>
        <v>170.67</v>
      </c>
      <c r="BW122" s="9">
        <f>[1]monsters!$R122</f>
        <v>21.5</v>
      </c>
      <c r="BX122" s="9">
        <f>[1]monsters!$S122</f>
        <v>2.15</v>
      </c>
      <c r="BY122" s="9">
        <f>[1]monsters!$K122</f>
        <v>1.4000000000000001</v>
      </c>
      <c r="BZ122" s="7">
        <f>[1]monsters!$D122</f>
        <v>3</v>
      </c>
      <c r="CA122" s="7">
        <f t="shared" si="92"/>
        <v>0.1</v>
      </c>
      <c r="CB122" s="7">
        <f t="shared" si="93"/>
        <v>159.07003636363638</v>
      </c>
      <c r="CC122" s="7">
        <f t="shared" si="94"/>
        <v>15.907003636363639</v>
      </c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>
        <v>0</v>
      </c>
      <c r="CR122" s="25" t="b">
        <f t="shared" si="95"/>
        <v>1</v>
      </c>
      <c r="CS122" s="25" t="b">
        <f t="shared" si="96"/>
        <v>1</v>
      </c>
      <c r="CT122" s="25" t="b">
        <f t="shared" si="97"/>
        <v>1</v>
      </c>
      <c r="CU122" s="25" t="b">
        <f t="shared" si="98"/>
        <v>1</v>
      </c>
      <c r="CV122" s="25" t="b">
        <f t="shared" si="99"/>
        <v>1</v>
      </c>
      <c r="CW122" s="25" t="b">
        <f t="shared" si="100"/>
        <v>1</v>
      </c>
      <c r="CX122" s="16" t="str">
        <f t="shared" si="101"/>
        <v>5200071</v>
      </c>
      <c r="CY122" s="16" t="str">
        <f t="shared" si="102"/>
        <v>5202072</v>
      </c>
      <c r="CZ122" s="16" t="str">
        <f t="shared" si="103"/>
        <v>5301072</v>
      </c>
      <c r="DA122" s="16" t="str">
        <f t="shared" si="104"/>
        <v>5501075</v>
      </c>
      <c r="DB122" s="16" t="str">
        <f t="shared" si="105"/>
        <v>5400075</v>
      </c>
      <c r="DC122" s="16" t="str">
        <f t="shared" si="106"/>
        <v>5401073</v>
      </c>
      <c r="DD122" s="16">
        <v>7</v>
      </c>
      <c r="DE122" s="16">
        <v>7</v>
      </c>
      <c r="DF122" s="16">
        <v>7</v>
      </c>
      <c r="DG122" s="16">
        <v>7</v>
      </c>
      <c r="DH122" s="16">
        <v>7</v>
      </c>
      <c r="DI122" s="16">
        <v>7</v>
      </c>
      <c r="DJ122" s="16">
        <v>5</v>
      </c>
      <c r="DK122" s="16">
        <v>5</v>
      </c>
      <c r="DL122" s="16">
        <v>5</v>
      </c>
      <c r="DM122" s="16">
        <v>5</v>
      </c>
      <c r="DN122" s="16">
        <v>5</v>
      </c>
      <c r="DO122" s="16">
        <v>5</v>
      </c>
      <c r="DP122" s="51" t="s">
        <v>205</v>
      </c>
      <c r="DQ122" s="51" t="s">
        <v>211</v>
      </c>
      <c r="DR122" s="51" t="s">
        <v>212</v>
      </c>
      <c r="DS122" s="36" t="s">
        <v>221</v>
      </c>
      <c r="DT122" s="36" t="s">
        <v>222</v>
      </c>
      <c r="DU122" s="36" t="s">
        <v>223</v>
      </c>
      <c r="DV122" s="32">
        <f t="shared" si="69"/>
        <v>1</v>
      </c>
      <c r="DW122" s="32">
        <f t="shared" si="70"/>
        <v>1</v>
      </c>
      <c r="DX122" s="32">
        <f t="shared" si="71"/>
        <v>1</v>
      </c>
      <c r="DY122" s="32">
        <f t="shared" si="72"/>
        <v>2</v>
      </c>
      <c r="DZ122" s="32">
        <f t="shared" si="73"/>
        <v>2</v>
      </c>
      <c r="EA122" s="32">
        <f t="shared" si="74"/>
        <v>2</v>
      </c>
      <c r="EB122" s="41"/>
      <c r="EC122" s="7">
        <v>5302054</v>
      </c>
      <c r="ED122" s="40" t="s">
        <v>230</v>
      </c>
      <c r="EE122" s="16">
        <v>1</v>
      </c>
      <c r="FD122" s="16">
        <v>5200071</v>
      </c>
      <c r="FE122" s="16">
        <v>5202072</v>
      </c>
      <c r="FF122" s="16">
        <v>5301072</v>
      </c>
      <c r="FG122" s="16">
        <v>5501075</v>
      </c>
      <c r="FH122" s="16">
        <v>5400075</v>
      </c>
      <c r="FI122" s="16">
        <v>5401073</v>
      </c>
      <c r="FJ122" t="str">
        <f t="shared" si="107"/>
        <v>水刀客</v>
      </c>
      <c r="FK122" t="str">
        <f t="shared" si="108"/>
        <v>火维京</v>
      </c>
      <c r="FL122" t="str">
        <f t="shared" si="109"/>
        <v>火剑士</v>
      </c>
      <c r="FM122" t="str">
        <f t="shared" si="110"/>
        <v>暗猎人</v>
      </c>
      <c r="FN122" t="str">
        <f t="shared" si="111"/>
        <v>暗巫师</v>
      </c>
      <c r="FO122" t="str">
        <f t="shared" si="112"/>
        <v>木魔法师</v>
      </c>
      <c r="FP122" t="str">
        <f t="shared" si="113"/>
        <v>7</v>
      </c>
      <c r="FQ122" t="str">
        <f t="shared" si="114"/>
        <v>7</v>
      </c>
      <c r="FR122" t="str">
        <f t="shared" si="115"/>
        <v>7</v>
      </c>
      <c r="FS122" t="str">
        <f t="shared" si="116"/>
        <v>7</v>
      </c>
      <c r="FT122" t="str">
        <f t="shared" si="117"/>
        <v>7</v>
      </c>
      <c r="FU122" t="str">
        <f t="shared" si="118"/>
        <v>7</v>
      </c>
      <c r="FV122" t="str">
        <f t="shared" si="121"/>
        <v>5</v>
      </c>
      <c r="FW122" t="str">
        <f t="shared" si="122"/>
        <v>5</v>
      </c>
      <c r="FX122" t="str">
        <f t="shared" si="123"/>
        <v>5</v>
      </c>
      <c r="FY122" t="str">
        <f t="shared" si="124"/>
        <v>5</v>
      </c>
      <c r="FZ122" t="str">
        <f t="shared" si="125"/>
        <v>5</v>
      </c>
      <c r="GA122" t="str">
        <f t="shared" si="126"/>
        <v>5</v>
      </c>
    </row>
    <row r="123" spans="1:183" ht="13.5" customHeight="1">
      <c r="A123" s="1">
        <v>1210</v>
      </c>
      <c r="B123" s="6">
        <v>10082</v>
      </c>
      <c r="C123" s="23" t="str">
        <f t="shared" si="81"/>
        <v>5401071,5201073,5201073,5300075,5400075,5502071</v>
      </c>
      <c r="D123" s="1" t="str">
        <f t="shared" si="82"/>
        <v>7,7,7,7,7,7</v>
      </c>
      <c r="E123" s="53" t="str">
        <f t="shared" si="83"/>
        <v>696,672,672,672,672,672</v>
      </c>
      <c r="F123" s="1">
        <f t="shared" si="68"/>
        <v>2254899</v>
      </c>
      <c r="G123" s="23" t="s">
        <v>34</v>
      </c>
      <c r="H123" s="1" t="s">
        <v>28</v>
      </c>
      <c r="I123" s="1" t="s">
        <v>28</v>
      </c>
      <c r="J123" s="1" t="s">
        <v>28</v>
      </c>
      <c r="K123" s="2" t="s">
        <v>421</v>
      </c>
      <c r="L123" s="1">
        <v>3</v>
      </c>
      <c r="M123" s="1">
        <v>3</v>
      </c>
      <c r="O123" s="25">
        <f t="shared" si="84"/>
        <v>2254899</v>
      </c>
      <c r="P123" s="16">
        <v>2254898.5</v>
      </c>
      <c r="Q123" s="16">
        <v>5401071</v>
      </c>
      <c r="R123" s="16">
        <v>5201073</v>
      </c>
      <c r="S123" s="16">
        <v>5201073</v>
      </c>
      <c r="T123" s="16">
        <v>5300075</v>
      </c>
      <c r="U123" s="16">
        <v>5400075</v>
      </c>
      <c r="V123" s="16">
        <v>5502071</v>
      </c>
      <c r="W123" s="16">
        <v>7</v>
      </c>
      <c r="X123" s="16">
        <v>7</v>
      </c>
      <c r="Y123" s="16">
        <v>7</v>
      </c>
      <c r="Z123" s="16">
        <v>7</v>
      </c>
      <c r="AA123" s="16">
        <v>7</v>
      </c>
      <c r="AB123" s="16">
        <v>7</v>
      </c>
      <c r="AC123" s="16">
        <f t="shared" si="85"/>
        <v>696</v>
      </c>
      <c r="AD123" s="16">
        <f t="shared" si="128"/>
        <v>672</v>
      </c>
      <c r="AE123" s="16">
        <f t="shared" si="128"/>
        <v>672</v>
      </c>
      <c r="AF123" s="16">
        <f t="shared" si="128"/>
        <v>672</v>
      </c>
      <c r="AG123" s="16">
        <f t="shared" si="128"/>
        <v>672</v>
      </c>
      <c r="AH123" s="16">
        <f t="shared" si="128"/>
        <v>672</v>
      </c>
      <c r="AI123" s="28">
        <f t="shared" si="86"/>
        <v>450979.7</v>
      </c>
      <c r="AJ123" s="28">
        <f t="shared" si="127"/>
        <v>360783.76</v>
      </c>
      <c r="AK123" s="28">
        <f t="shared" si="127"/>
        <v>360783.76</v>
      </c>
      <c r="AL123" s="28">
        <f t="shared" si="127"/>
        <v>360783.76</v>
      </c>
      <c r="AM123" s="28">
        <f t="shared" si="127"/>
        <v>360783.76</v>
      </c>
      <c r="AN123" s="28">
        <f t="shared" si="127"/>
        <v>360783.76</v>
      </c>
      <c r="AO123" s="30"/>
      <c r="AP123" s="28"/>
      <c r="AQ123" s="16">
        <v>5</v>
      </c>
      <c r="AR123" s="16">
        <f t="shared" si="88"/>
        <v>873</v>
      </c>
      <c r="AS123" s="28">
        <f t="shared" si="89"/>
        <v>1235</v>
      </c>
      <c r="AT123" s="28"/>
      <c r="AU123" s="30">
        <v>2254898.5</v>
      </c>
      <c r="AV123" s="28" t="str">
        <f t="shared" si="90"/>
        <v>小:0</v>
      </c>
      <c r="AW123" s="28"/>
      <c r="AX123" s="28"/>
      <c r="AZ123" s="28"/>
      <c r="BA123" s="16">
        <f t="shared" si="120"/>
        <v>22789.028571428615</v>
      </c>
      <c r="BC123" s="7">
        <f t="shared" si="91"/>
        <v>650</v>
      </c>
      <c r="BQ123" s="9"/>
      <c r="BR123" s="9">
        <v>5400052</v>
      </c>
      <c r="BS123" s="9">
        <f>[1]monsters!$N123</f>
        <v>191.15</v>
      </c>
      <c r="BT123" s="9">
        <f>[1]monsters!$O123</f>
        <v>19.11</v>
      </c>
      <c r="BU123" s="9">
        <f>[1]monsters!$P123</f>
        <v>1097.1400000000001</v>
      </c>
      <c r="BV123" s="9">
        <f>[1]monsters!$Q123</f>
        <v>109.71</v>
      </c>
      <c r="BW123" s="9">
        <f>[1]monsters!$R123</f>
        <v>23.89</v>
      </c>
      <c r="BX123" s="9">
        <f>[1]monsters!$S123</f>
        <v>2.39</v>
      </c>
      <c r="BY123" s="9">
        <f>[1]monsters!$K123</f>
        <v>1.6</v>
      </c>
      <c r="BZ123" s="7">
        <f>[1]monsters!$D123</f>
        <v>5</v>
      </c>
      <c r="CA123" s="7">
        <f t="shared" si="92"/>
        <v>0.1</v>
      </c>
      <c r="CB123" s="7">
        <f t="shared" si="93"/>
        <v>217.57749074074076</v>
      </c>
      <c r="CC123" s="7">
        <f t="shared" si="94"/>
        <v>21.757749074074077</v>
      </c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>
        <v>1</v>
      </c>
      <c r="CR123" s="25" t="b">
        <f t="shared" si="95"/>
        <v>1</v>
      </c>
      <c r="CS123" s="25" t="b">
        <f t="shared" si="96"/>
        <v>1</v>
      </c>
      <c r="CT123" s="25" t="b">
        <f t="shared" si="97"/>
        <v>1</v>
      </c>
      <c r="CU123" s="25" t="b">
        <f t="shared" si="98"/>
        <v>1</v>
      </c>
      <c r="CV123" s="25" t="b">
        <f t="shared" si="99"/>
        <v>1</v>
      </c>
      <c r="CW123" s="25" t="b">
        <f t="shared" si="100"/>
        <v>1</v>
      </c>
      <c r="CX123" s="16" t="str">
        <f t="shared" si="101"/>
        <v>5401071</v>
      </c>
      <c r="CY123" s="16" t="str">
        <f t="shared" si="102"/>
        <v>5201073</v>
      </c>
      <c r="CZ123" s="16" t="str">
        <f t="shared" si="103"/>
        <v>5201073</v>
      </c>
      <c r="DA123" s="16" t="str">
        <f t="shared" si="104"/>
        <v>5300075</v>
      </c>
      <c r="DB123" s="16" t="str">
        <f t="shared" si="105"/>
        <v>5400075</v>
      </c>
      <c r="DC123" s="16" t="str">
        <f t="shared" si="106"/>
        <v>5502071</v>
      </c>
      <c r="DD123" s="16">
        <v>7</v>
      </c>
      <c r="DE123" s="16">
        <v>7</v>
      </c>
      <c r="DF123" s="16">
        <v>7</v>
      </c>
      <c r="DG123" s="16">
        <v>7</v>
      </c>
      <c r="DH123" s="16">
        <v>7</v>
      </c>
      <c r="DI123" s="16">
        <v>7</v>
      </c>
      <c r="DJ123" s="16">
        <v>5</v>
      </c>
      <c r="DK123" s="16">
        <v>5</v>
      </c>
      <c r="DL123" s="16">
        <v>5</v>
      </c>
      <c r="DM123" s="16">
        <v>5</v>
      </c>
      <c r="DN123" s="16">
        <v>5</v>
      </c>
      <c r="DO123" s="16">
        <v>5</v>
      </c>
      <c r="DP123" s="51" t="s">
        <v>123</v>
      </c>
      <c r="DQ123" s="51" t="s">
        <v>217</v>
      </c>
      <c r="DR123" s="51" t="s">
        <v>217</v>
      </c>
      <c r="DS123" s="14" t="s">
        <v>224</v>
      </c>
      <c r="DT123" s="36" t="s">
        <v>222</v>
      </c>
      <c r="DU123" s="36" t="s">
        <v>130</v>
      </c>
      <c r="DV123" s="32">
        <f t="shared" si="69"/>
        <v>2</v>
      </c>
      <c r="DW123" s="32">
        <f t="shared" si="70"/>
        <v>1</v>
      </c>
      <c r="DX123" s="32">
        <f t="shared" si="71"/>
        <v>1</v>
      </c>
      <c r="DY123" s="32">
        <f t="shared" si="72"/>
        <v>1</v>
      </c>
      <c r="DZ123" s="32">
        <f t="shared" si="73"/>
        <v>2</v>
      </c>
      <c r="EA123" s="32">
        <f t="shared" si="74"/>
        <v>2</v>
      </c>
      <c r="EB123" s="41"/>
      <c r="EC123" s="7">
        <v>5501054</v>
      </c>
      <c r="ED123" s="40" t="s">
        <v>226</v>
      </c>
      <c r="EE123" s="16">
        <v>2</v>
      </c>
      <c r="FD123" s="16">
        <v>5401071</v>
      </c>
      <c r="FE123" s="16">
        <v>5201073</v>
      </c>
      <c r="FF123" s="16">
        <v>5201073</v>
      </c>
      <c r="FG123" s="16">
        <v>5300075</v>
      </c>
      <c r="FH123" s="16">
        <v>5400075</v>
      </c>
      <c r="FI123" s="16">
        <v>5502071</v>
      </c>
      <c r="FJ123" t="str">
        <f t="shared" si="107"/>
        <v>水魔法师</v>
      </c>
      <c r="FK123" t="str">
        <f t="shared" si="108"/>
        <v>木骑兵</v>
      </c>
      <c r="FL123" t="str">
        <f t="shared" si="109"/>
        <v>木骑兵</v>
      </c>
      <c r="FM123" t="str">
        <f t="shared" si="110"/>
        <v>暗武士</v>
      </c>
      <c r="FN123" t="str">
        <f t="shared" si="111"/>
        <v>暗巫师</v>
      </c>
      <c r="FO123" t="str">
        <f t="shared" si="112"/>
        <v>水火枪手</v>
      </c>
      <c r="FP123" t="str">
        <f t="shared" si="113"/>
        <v>7</v>
      </c>
      <c r="FQ123" t="str">
        <f t="shared" si="114"/>
        <v>7</v>
      </c>
      <c r="FR123" t="str">
        <f t="shared" si="115"/>
        <v>7</v>
      </c>
      <c r="FS123" t="str">
        <f t="shared" si="116"/>
        <v>7</v>
      </c>
      <c r="FT123" t="str">
        <f t="shared" si="117"/>
        <v>7</v>
      </c>
      <c r="FU123" t="str">
        <f t="shared" si="118"/>
        <v>7</v>
      </c>
      <c r="FV123" t="str">
        <f t="shared" si="121"/>
        <v>5</v>
      </c>
      <c r="FW123" t="str">
        <f t="shared" si="122"/>
        <v>5</v>
      </c>
      <c r="FX123" t="str">
        <f t="shared" si="123"/>
        <v>5</v>
      </c>
      <c r="FY123" t="str">
        <f t="shared" si="124"/>
        <v>5</v>
      </c>
      <c r="FZ123" t="str">
        <f t="shared" si="125"/>
        <v>5</v>
      </c>
      <c r="GA123" t="str">
        <f t="shared" si="126"/>
        <v>5</v>
      </c>
    </row>
    <row r="124" spans="1:183" ht="13.5" customHeight="1">
      <c r="A124" s="1">
        <v>1301</v>
      </c>
      <c r="B124" s="6">
        <v>10122</v>
      </c>
      <c r="C124" s="23" t="str">
        <f t="shared" si="81"/>
        <v>5200072,5201072,5302075,5400075,5501074,5400075</v>
      </c>
      <c r="D124" s="1" t="str">
        <f t="shared" si="82"/>
        <v>7,7,7,7,7,7</v>
      </c>
      <c r="E124" s="53" t="str">
        <f t="shared" si="83"/>
        <v>714,689,689,689,689,689</v>
      </c>
      <c r="F124" s="1">
        <f t="shared" si="68"/>
        <v>2370399</v>
      </c>
      <c r="G124" s="23" t="s">
        <v>34</v>
      </c>
      <c r="H124" s="1" t="s">
        <v>28</v>
      </c>
      <c r="I124" s="1" t="s">
        <v>28</v>
      </c>
      <c r="J124" s="1" t="s">
        <v>28</v>
      </c>
      <c r="K124" s="2" t="s">
        <v>422</v>
      </c>
      <c r="L124" s="1">
        <v>0</v>
      </c>
      <c r="M124" s="1">
        <v>5</v>
      </c>
      <c r="O124" s="25">
        <f t="shared" si="84"/>
        <v>2370399</v>
      </c>
      <c r="P124" s="16">
        <v>2370398.65</v>
      </c>
      <c r="Q124" s="16">
        <v>5200072</v>
      </c>
      <c r="R124" s="16">
        <v>5201072</v>
      </c>
      <c r="S124" s="16">
        <v>5302075</v>
      </c>
      <c r="T124" s="16">
        <v>5400075</v>
      </c>
      <c r="U124" s="16">
        <v>5501074</v>
      </c>
      <c r="V124" s="16">
        <v>5400075</v>
      </c>
      <c r="W124" s="16">
        <v>7</v>
      </c>
      <c r="X124" s="16">
        <v>7</v>
      </c>
      <c r="Y124" s="16">
        <v>7</v>
      </c>
      <c r="Z124" s="16">
        <v>7</v>
      </c>
      <c r="AA124" s="16">
        <v>7</v>
      </c>
      <c r="AB124" s="16">
        <v>7</v>
      </c>
      <c r="AC124" s="16">
        <f t="shared" si="85"/>
        <v>714</v>
      </c>
      <c r="AD124" s="16">
        <f t="shared" si="128"/>
        <v>689</v>
      </c>
      <c r="AE124" s="16">
        <f t="shared" si="128"/>
        <v>689</v>
      </c>
      <c r="AF124" s="16">
        <f t="shared" si="128"/>
        <v>689</v>
      </c>
      <c r="AG124" s="16">
        <f t="shared" si="128"/>
        <v>689</v>
      </c>
      <c r="AH124" s="16">
        <f t="shared" si="128"/>
        <v>689</v>
      </c>
      <c r="AI124" s="28">
        <f t="shared" si="86"/>
        <v>474079.73</v>
      </c>
      <c r="AJ124" s="28">
        <f t="shared" si="127"/>
        <v>379263.78399999999</v>
      </c>
      <c r="AK124" s="28">
        <f t="shared" si="127"/>
        <v>379263.78399999999</v>
      </c>
      <c r="AL124" s="28">
        <f t="shared" si="127"/>
        <v>379263.78399999999</v>
      </c>
      <c r="AM124" s="28">
        <f t="shared" si="127"/>
        <v>379263.78399999999</v>
      </c>
      <c r="AN124" s="28">
        <f t="shared" si="127"/>
        <v>379263.78399999999</v>
      </c>
      <c r="AO124" s="30"/>
      <c r="AP124" s="28"/>
      <c r="AQ124" s="16">
        <v>5</v>
      </c>
      <c r="AR124" s="16">
        <f t="shared" si="88"/>
        <v>895</v>
      </c>
      <c r="AS124" s="28">
        <f t="shared" si="89"/>
        <v>1326</v>
      </c>
      <c r="AT124" s="28"/>
      <c r="AU124" s="30">
        <v>2370398.65</v>
      </c>
      <c r="AV124" s="28" t="str">
        <f t="shared" si="90"/>
        <v>小:0</v>
      </c>
      <c r="AW124" s="28"/>
      <c r="AX124" s="28"/>
      <c r="AZ124" s="28"/>
      <c r="BA124" s="16">
        <f t="shared" si="120"/>
        <v>22841.30428571433</v>
      </c>
      <c r="BC124" s="7">
        <f t="shared" si="91"/>
        <v>667</v>
      </c>
      <c r="BQ124" s="9"/>
      <c r="BR124" s="9">
        <v>5402052</v>
      </c>
      <c r="BS124" s="9">
        <f>[1]monsters!$N124</f>
        <v>185.17</v>
      </c>
      <c r="BT124" s="9">
        <f>[1]monsters!$O124</f>
        <v>18.52</v>
      </c>
      <c r="BU124" s="9">
        <f>[1]monsters!$P124</f>
        <v>990.97</v>
      </c>
      <c r="BV124" s="9">
        <f>[1]monsters!$Q124</f>
        <v>99.1</v>
      </c>
      <c r="BW124" s="9">
        <f>[1]monsters!$R124</f>
        <v>18.52</v>
      </c>
      <c r="BX124" s="9">
        <f>[1]monsters!$S124</f>
        <v>1.85</v>
      </c>
      <c r="BY124" s="9">
        <f>[1]monsters!$K124</f>
        <v>1.4000000000000001</v>
      </c>
      <c r="BZ124" s="7">
        <f>[1]monsters!$D124</f>
        <v>6</v>
      </c>
      <c r="CA124" s="7">
        <f t="shared" si="92"/>
        <v>0.1</v>
      </c>
      <c r="CB124" s="7">
        <f t="shared" si="93"/>
        <v>208.35164326599326</v>
      </c>
      <c r="CC124" s="7">
        <f t="shared" si="94"/>
        <v>20.835164326599326</v>
      </c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>
        <v>0</v>
      </c>
      <c r="CR124" s="25" t="b">
        <f t="shared" si="95"/>
        <v>1</v>
      </c>
      <c r="CS124" s="25" t="b">
        <f t="shared" si="96"/>
        <v>1</v>
      </c>
      <c r="CT124" s="25" t="b">
        <f t="shared" si="97"/>
        <v>1</v>
      </c>
      <c r="CU124" s="25" t="b">
        <f t="shared" si="98"/>
        <v>1</v>
      </c>
      <c r="CV124" s="25" t="b">
        <f t="shared" si="99"/>
        <v>1</v>
      </c>
      <c r="CW124" s="25" t="b">
        <f t="shared" si="100"/>
        <v>1</v>
      </c>
      <c r="CX124" s="16" t="str">
        <f t="shared" si="101"/>
        <v>5200072</v>
      </c>
      <c r="CY124" s="16" t="str">
        <f t="shared" si="102"/>
        <v>5201072</v>
      </c>
      <c r="CZ124" s="16" t="str">
        <f t="shared" si="103"/>
        <v>5302075</v>
      </c>
      <c r="DA124" s="16" t="str">
        <f t="shared" si="104"/>
        <v>5400075</v>
      </c>
      <c r="DB124" s="16" t="str">
        <f t="shared" si="105"/>
        <v>5501074</v>
      </c>
      <c r="DC124" s="16" t="str">
        <f t="shared" si="106"/>
        <v>5400075</v>
      </c>
      <c r="DD124" s="16">
        <v>7</v>
      </c>
      <c r="DE124" s="16">
        <v>7</v>
      </c>
      <c r="DF124" s="16">
        <v>7</v>
      </c>
      <c r="DG124" s="16">
        <v>7</v>
      </c>
      <c r="DH124" s="16">
        <v>7</v>
      </c>
      <c r="DI124" s="16">
        <v>7</v>
      </c>
      <c r="DJ124" s="16">
        <v>5</v>
      </c>
      <c r="DK124" s="16">
        <v>5</v>
      </c>
      <c r="DL124" s="16">
        <v>5</v>
      </c>
      <c r="DM124" s="16">
        <v>5</v>
      </c>
      <c r="DN124" s="16">
        <v>5</v>
      </c>
      <c r="DO124" s="16">
        <v>5</v>
      </c>
      <c r="DP124" s="51" t="s">
        <v>210</v>
      </c>
      <c r="DQ124" s="51" t="s">
        <v>120</v>
      </c>
      <c r="DR124" s="51" t="s">
        <v>234</v>
      </c>
      <c r="DS124" s="36" t="s">
        <v>222</v>
      </c>
      <c r="DT124" s="36" t="s">
        <v>226</v>
      </c>
      <c r="DU124" s="36" t="s">
        <v>222</v>
      </c>
      <c r="DV124" s="32">
        <f t="shared" si="69"/>
        <v>1</v>
      </c>
      <c r="DW124" s="32">
        <f t="shared" si="70"/>
        <v>1</v>
      </c>
      <c r="DX124" s="32">
        <f t="shared" si="71"/>
        <v>1</v>
      </c>
      <c r="DY124" s="32">
        <f t="shared" si="72"/>
        <v>2</v>
      </c>
      <c r="DZ124" s="32">
        <f t="shared" si="73"/>
        <v>2</v>
      </c>
      <c r="EA124" s="32">
        <f t="shared" si="74"/>
        <v>2</v>
      </c>
      <c r="EB124" s="41"/>
      <c r="EC124" s="7">
        <v>5600054</v>
      </c>
      <c r="ED124" s="40" t="s">
        <v>231</v>
      </c>
      <c r="EE124" s="16">
        <v>1</v>
      </c>
      <c r="FD124" s="16">
        <v>5200072</v>
      </c>
      <c r="FE124" s="16">
        <v>5201072</v>
      </c>
      <c r="FF124" s="16">
        <v>5302075</v>
      </c>
      <c r="FG124" s="16">
        <v>5400075</v>
      </c>
      <c r="FH124" s="16">
        <v>5501074</v>
      </c>
      <c r="FI124" s="16">
        <v>5400075</v>
      </c>
      <c r="FJ124" t="str">
        <f t="shared" si="107"/>
        <v>火刀客</v>
      </c>
      <c r="FK124" t="str">
        <f t="shared" si="108"/>
        <v>火骑兵</v>
      </c>
      <c r="FL124" t="str">
        <f t="shared" si="109"/>
        <v>暗盗贼</v>
      </c>
      <c r="FM124" t="str">
        <f t="shared" si="110"/>
        <v>暗巫师</v>
      </c>
      <c r="FN124" t="str">
        <f t="shared" si="111"/>
        <v>光猎人</v>
      </c>
      <c r="FO124" t="str">
        <f t="shared" si="112"/>
        <v>暗巫师</v>
      </c>
      <c r="FP124" t="str">
        <f t="shared" si="113"/>
        <v>7</v>
      </c>
      <c r="FQ124" t="str">
        <f t="shared" si="114"/>
        <v>7</v>
      </c>
      <c r="FR124" t="str">
        <f t="shared" si="115"/>
        <v>7</v>
      </c>
      <c r="FS124" t="str">
        <f t="shared" si="116"/>
        <v>7</v>
      </c>
      <c r="FT124" t="str">
        <f t="shared" si="117"/>
        <v>7</v>
      </c>
      <c r="FU124" t="str">
        <f t="shared" si="118"/>
        <v>7</v>
      </c>
      <c r="FV124" t="str">
        <f t="shared" si="121"/>
        <v>5</v>
      </c>
      <c r="FW124" t="str">
        <f t="shared" si="122"/>
        <v>5</v>
      </c>
      <c r="FX124" t="str">
        <f t="shared" si="123"/>
        <v>5</v>
      </c>
      <c r="FY124" t="str">
        <f t="shared" si="124"/>
        <v>5</v>
      </c>
      <c r="FZ124" t="str">
        <f t="shared" si="125"/>
        <v>5</v>
      </c>
      <c r="GA124" t="str">
        <f t="shared" si="126"/>
        <v>5</v>
      </c>
    </row>
    <row r="125" spans="1:183" ht="13.5" customHeight="1">
      <c r="A125" s="1">
        <v>1302</v>
      </c>
      <c r="B125" s="6">
        <v>10122</v>
      </c>
      <c r="C125" s="23" t="str">
        <f t="shared" si="81"/>
        <v>5301072,5302075,5201071,5501074,5502073,5400075</v>
      </c>
      <c r="D125" s="1" t="str">
        <f t="shared" si="82"/>
        <v>7,7,7,7,7,7</v>
      </c>
      <c r="E125" s="53" t="str">
        <f t="shared" si="83"/>
        <v>731,705,705,705,705,705</v>
      </c>
      <c r="F125" s="1">
        <f t="shared" si="68"/>
        <v>2480369</v>
      </c>
      <c r="G125" s="23" t="s">
        <v>34</v>
      </c>
      <c r="H125" s="1" t="s">
        <v>28</v>
      </c>
      <c r="I125" s="1" t="s">
        <v>28</v>
      </c>
      <c r="J125" s="1" t="s">
        <v>28</v>
      </c>
      <c r="K125" s="2" t="s">
        <v>423</v>
      </c>
      <c r="L125" s="1">
        <v>1</v>
      </c>
      <c r="M125" s="1">
        <v>5</v>
      </c>
      <c r="O125" s="25">
        <f t="shared" si="84"/>
        <v>2480369</v>
      </c>
      <c r="P125" s="16">
        <v>2480369</v>
      </c>
      <c r="Q125" s="16">
        <v>5301072</v>
      </c>
      <c r="R125" s="16">
        <v>5302075</v>
      </c>
      <c r="S125" s="16">
        <v>5201071</v>
      </c>
      <c r="T125" s="16">
        <v>5501074</v>
      </c>
      <c r="U125" s="16">
        <v>5502073</v>
      </c>
      <c r="V125" s="16">
        <v>5400075</v>
      </c>
      <c r="W125" s="16">
        <v>7</v>
      </c>
      <c r="X125" s="16">
        <v>7</v>
      </c>
      <c r="Y125" s="16">
        <v>7</v>
      </c>
      <c r="Z125" s="16">
        <v>7</v>
      </c>
      <c r="AA125" s="16">
        <v>7</v>
      </c>
      <c r="AB125" s="16">
        <v>7</v>
      </c>
      <c r="AC125" s="16">
        <f t="shared" si="85"/>
        <v>731</v>
      </c>
      <c r="AD125" s="16">
        <f t="shared" si="128"/>
        <v>705</v>
      </c>
      <c r="AE125" s="16">
        <f t="shared" si="128"/>
        <v>705</v>
      </c>
      <c r="AF125" s="16">
        <f t="shared" si="128"/>
        <v>705</v>
      </c>
      <c r="AG125" s="16">
        <f t="shared" si="128"/>
        <v>705</v>
      </c>
      <c r="AH125" s="16">
        <f t="shared" si="128"/>
        <v>705</v>
      </c>
      <c r="AI125" s="28">
        <f t="shared" si="86"/>
        <v>496073.80000000005</v>
      </c>
      <c r="AJ125" s="28">
        <f t="shared" si="127"/>
        <v>396859.04000000004</v>
      </c>
      <c r="AK125" s="28">
        <f t="shared" si="127"/>
        <v>396859.04000000004</v>
      </c>
      <c r="AL125" s="28">
        <f t="shared" si="127"/>
        <v>396859.04000000004</v>
      </c>
      <c r="AM125" s="28">
        <f t="shared" si="127"/>
        <v>396859.04000000004</v>
      </c>
      <c r="AN125" s="28">
        <f t="shared" si="127"/>
        <v>396859.04000000004</v>
      </c>
      <c r="AO125" s="30"/>
      <c r="AP125" s="28"/>
      <c r="AQ125" s="16">
        <v>5</v>
      </c>
      <c r="AR125" s="16">
        <f t="shared" si="88"/>
        <v>916</v>
      </c>
      <c r="AS125" s="28">
        <f t="shared" si="89"/>
        <v>1327</v>
      </c>
      <c r="AT125" s="28"/>
      <c r="AU125" s="30">
        <v>2480369</v>
      </c>
      <c r="AV125" s="28" t="str">
        <f t="shared" si="90"/>
        <v>小:0</v>
      </c>
      <c r="AW125" s="28"/>
      <c r="AX125" s="28"/>
      <c r="AZ125" s="28"/>
      <c r="BA125" s="16">
        <f t="shared" si="120"/>
        <v>22893.580000000045</v>
      </c>
      <c r="BC125" s="7">
        <f t="shared" si="91"/>
        <v>683</v>
      </c>
      <c r="BQ125" s="9"/>
      <c r="BR125" s="9">
        <v>5500052</v>
      </c>
      <c r="BS125" s="9">
        <f>[1]monsters!$N125</f>
        <v>238.08</v>
      </c>
      <c r="BT125" s="9">
        <f>[1]monsters!$O125</f>
        <v>23.81</v>
      </c>
      <c r="BU125" s="9">
        <f>[1]monsters!$P125</f>
        <v>990.97</v>
      </c>
      <c r="BV125" s="9">
        <f>[1]monsters!$Q125</f>
        <v>99.1</v>
      </c>
      <c r="BW125" s="9">
        <f>[1]monsters!$R125</f>
        <v>23.81</v>
      </c>
      <c r="BX125" s="9">
        <f>[1]monsters!$S125</f>
        <v>2.38</v>
      </c>
      <c r="BY125" s="9">
        <f>[1]monsters!$K125</f>
        <v>1.8</v>
      </c>
      <c r="BZ125" s="7">
        <f>[1]monsters!$D125</f>
        <v>6</v>
      </c>
      <c r="CA125" s="7">
        <f t="shared" si="92"/>
        <v>0.1</v>
      </c>
      <c r="CB125" s="7">
        <f t="shared" si="93"/>
        <v>258.3515932659933</v>
      </c>
      <c r="CC125" s="7">
        <f t="shared" si="94"/>
        <v>25.835159326599332</v>
      </c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>
        <v>0</v>
      </c>
      <c r="CR125" s="25" t="b">
        <f t="shared" si="95"/>
        <v>1</v>
      </c>
      <c r="CS125" s="25" t="b">
        <f t="shared" si="96"/>
        <v>1</v>
      </c>
      <c r="CT125" s="25" t="b">
        <f t="shared" si="97"/>
        <v>1</v>
      </c>
      <c r="CU125" s="25" t="b">
        <f t="shared" si="98"/>
        <v>1</v>
      </c>
      <c r="CV125" s="25" t="b">
        <f t="shared" si="99"/>
        <v>1</v>
      </c>
      <c r="CW125" s="25" t="b">
        <f t="shared" si="100"/>
        <v>1</v>
      </c>
      <c r="CX125" s="16" t="str">
        <f t="shared" si="101"/>
        <v>5301072</v>
      </c>
      <c r="CY125" s="16" t="str">
        <f t="shared" si="102"/>
        <v>5302075</v>
      </c>
      <c r="CZ125" s="16" t="str">
        <f t="shared" si="103"/>
        <v>5201071</v>
      </c>
      <c r="DA125" s="16" t="str">
        <f t="shared" si="104"/>
        <v>5501074</v>
      </c>
      <c r="DB125" s="16" t="str">
        <f t="shared" si="105"/>
        <v>5502073</v>
      </c>
      <c r="DC125" s="16" t="str">
        <f t="shared" si="106"/>
        <v>5400075</v>
      </c>
      <c r="DD125" s="16">
        <v>7</v>
      </c>
      <c r="DE125" s="16">
        <v>7</v>
      </c>
      <c r="DF125" s="16">
        <v>7</v>
      </c>
      <c r="DG125" s="16">
        <v>7</v>
      </c>
      <c r="DH125" s="16">
        <v>7</v>
      </c>
      <c r="DI125" s="16">
        <v>7</v>
      </c>
      <c r="DJ125" s="16">
        <v>5</v>
      </c>
      <c r="DK125" s="16">
        <v>5</v>
      </c>
      <c r="DL125" s="16">
        <v>5</v>
      </c>
      <c r="DM125" s="16">
        <v>5</v>
      </c>
      <c r="DN125" s="16">
        <v>5</v>
      </c>
      <c r="DO125" s="16">
        <v>5</v>
      </c>
      <c r="DP125" s="51" t="s">
        <v>212</v>
      </c>
      <c r="DQ125" s="51" t="s">
        <v>234</v>
      </c>
      <c r="DR125" s="51" t="s">
        <v>206</v>
      </c>
      <c r="DS125" s="51" t="s">
        <v>226</v>
      </c>
      <c r="DT125" s="51" t="s">
        <v>227</v>
      </c>
      <c r="DU125" s="51" t="s">
        <v>222</v>
      </c>
      <c r="DV125" s="32">
        <f t="shared" si="69"/>
        <v>1</v>
      </c>
      <c r="DW125" s="32">
        <f t="shared" si="70"/>
        <v>1</v>
      </c>
      <c r="DX125" s="32">
        <f t="shared" si="71"/>
        <v>1</v>
      </c>
      <c r="DY125" s="32">
        <f t="shared" si="72"/>
        <v>2</v>
      </c>
      <c r="DZ125" s="32">
        <f t="shared" si="73"/>
        <v>2</v>
      </c>
      <c r="EA125" s="32">
        <f t="shared" si="74"/>
        <v>2</v>
      </c>
      <c r="EB125" s="41"/>
      <c r="EC125" s="7">
        <v>5602054</v>
      </c>
      <c r="ED125" s="40" t="s">
        <v>232</v>
      </c>
      <c r="EE125" s="16">
        <v>2</v>
      </c>
      <c r="FD125" s="16">
        <v>5301072</v>
      </c>
      <c r="FE125" s="16">
        <v>5302075</v>
      </c>
      <c r="FF125" s="16">
        <v>5201071</v>
      </c>
      <c r="FG125" s="16">
        <v>5501074</v>
      </c>
      <c r="FH125" s="16">
        <v>5502073</v>
      </c>
      <c r="FI125" s="16">
        <v>5400075</v>
      </c>
      <c r="FJ125" t="str">
        <f t="shared" si="107"/>
        <v>火剑士</v>
      </c>
      <c r="FK125" t="str">
        <f t="shared" si="108"/>
        <v>暗盗贼</v>
      </c>
      <c r="FL125" t="str">
        <f t="shared" si="109"/>
        <v>水骑兵</v>
      </c>
      <c r="FM125" t="str">
        <f t="shared" si="110"/>
        <v>光猎人</v>
      </c>
      <c r="FN125" t="str">
        <f t="shared" si="111"/>
        <v>木火枪手</v>
      </c>
      <c r="FO125" t="str">
        <f t="shared" si="112"/>
        <v>暗巫师</v>
      </c>
      <c r="FP125" t="str">
        <f t="shared" si="113"/>
        <v>7</v>
      </c>
      <c r="FQ125" t="str">
        <f t="shared" si="114"/>
        <v>7</v>
      </c>
      <c r="FR125" t="str">
        <f t="shared" si="115"/>
        <v>7</v>
      </c>
      <c r="FS125" t="str">
        <f t="shared" si="116"/>
        <v>7</v>
      </c>
      <c r="FT125" t="str">
        <f t="shared" si="117"/>
        <v>7</v>
      </c>
      <c r="FU125" t="str">
        <f t="shared" si="118"/>
        <v>7</v>
      </c>
      <c r="FV125" t="str">
        <f t="shared" si="121"/>
        <v>5</v>
      </c>
      <c r="FW125" t="str">
        <f t="shared" si="122"/>
        <v>5</v>
      </c>
      <c r="FX125" t="str">
        <f t="shared" si="123"/>
        <v>5</v>
      </c>
      <c r="FY125" t="str">
        <f t="shared" si="124"/>
        <v>5</v>
      </c>
      <c r="FZ125" t="str">
        <f t="shared" si="125"/>
        <v>5</v>
      </c>
      <c r="GA125" t="str">
        <f t="shared" si="126"/>
        <v>5</v>
      </c>
    </row>
    <row r="126" spans="1:183" ht="13.5" customHeight="1">
      <c r="A126" s="1">
        <v>1303</v>
      </c>
      <c r="B126" s="6">
        <v>10122</v>
      </c>
      <c r="C126" s="23" t="str">
        <f t="shared" si="81"/>
        <v>5500072,5200071,5200071,5301073,5502073,5402072</v>
      </c>
      <c r="D126" s="1" t="str">
        <f t="shared" si="82"/>
        <v>7,7,7,7,7,7</v>
      </c>
      <c r="E126" s="53" t="str">
        <f t="shared" si="83"/>
        <v>748,722,722,722,722,722</v>
      </c>
      <c r="F126" s="1">
        <f t="shared" si="68"/>
        <v>2594973</v>
      </c>
      <c r="G126" s="23" t="s">
        <v>34</v>
      </c>
      <c r="H126" s="1" t="s">
        <v>28</v>
      </c>
      <c r="I126" s="1" t="s">
        <v>28</v>
      </c>
      <c r="J126" s="1" t="s">
        <v>28</v>
      </c>
      <c r="K126" s="2" t="s">
        <v>424</v>
      </c>
      <c r="L126" s="1">
        <v>2</v>
      </c>
      <c r="M126" s="1">
        <v>2</v>
      </c>
      <c r="O126" s="25">
        <f t="shared" si="84"/>
        <v>2594973</v>
      </c>
      <c r="P126" s="16">
        <v>2594972.6</v>
      </c>
      <c r="Q126" s="16">
        <v>5500072</v>
      </c>
      <c r="R126" s="16">
        <v>5200071</v>
      </c>
      <c r="S126" s="16">
        <v>5200071</v>
      </c>
      <c r="T126" s="16">
        <v>5301073</v>
      </c>
      <c r="U126" s="16">
        <v>5502073</v>
      </c>
      <c r="V126" s="16">
        <v>5402072</v>
      </c>
      <c r="W126" s="16">
        <v>7</v>
      </c>
      <c r="X126" s="16">
        <v>7</v>
      </c>
      <c r="Y126" s="16">
        <v>7</v>
      </c>
      <c r="Z126" s="16">
        <v>7</v>
      </c>
      <c r="AA126" s="16">
        <v>7</v>
      </c>
      <c r="AB126" s="16">
        <v>7</v>
      </c>
      <c r="AC126" s="16">
        <f t="shared" si="85"/>
        <v>748</v>
      </c>
      <c r="AD126" s="16">
        <f t="shared" si="128"/>
        <v>722</v>
      </c>
      <c r="AE126" s="16">
        <f t="shared" si="128"/>
        <v>722</v>
      </c>
      <c r="AF126" s="16">
        <f t="shared" si="128"/>
        <v>722</v>
      </c>
      <c r="AG126" s="16">
        <f t="shared" si="128"/>
        <v>722</v>
      </c>
      <c r="AH126" s="16">
        <f t="shared" si="128"/>
        <v>722</v>
      </c>
      <c r="AI126" s="28">
        <f t="shared" si="86"/>
        <v>518994.52</v>
      </c>
      <c r="AJ126" s="28">
        <f t="shared" si="127"/>
        <v>415195.61600000004</v>
      </c>
      <c r="AK126" s="28">
        <f t="shared" si="127"/>
        <v>415195.61600000004</v>
      </c>
      <c r="AL126" s="28">
        <f t="shared" si="127"/>
        <v>415195.61600000004</v>
      </c>
      <c r="AM126" s="28">
        <f t="shared" si="127"/>
        <v>415195.61600000004</v>
      </c>
      <c r="AN126" s="28">
        <f t="shared" si="127"/>
        <v>415195.61600000004</v>
      </c>
      <c r="AO126" s="30"/>
      <c r="AP126" s="28"/>
      <c r="AQ126" s="16">
        <v>5</v>
      </c>
      <c r="AR126" s="16">
        <f t="shared" si="88"/>
        <v>937</v>
      </c>
      <c r="AS126" s="28">
        <f t="shared" si="89"/>
        <v>1328</v>
      </c>
      <c r="AT126" s="28"/>
      <c r="AU126" s="30">
        <v>2594972.6</v>
      </c>
      <c r="AV126" s="28" t="str">
        <f t="shared" si="90"/>
        <v>小:0</v>
      </c>
      <c r="AW126" s="28"/>
      <c r="AX126" s="28"/>
      <c r="AZ126" s="28"/>
      <c r="BA126" s="16">
        <f t="shared" si="120"/>
        <v>22945.855714285761</v>
      </c>
      <c r="BC126" s="7">
        <f t="shared" si="91"/>
        <v>699</v>
      </c>
      <c r="BQ126" s="9"/>
      <c r="BR126" s="9">
        <v>5502052</v>
      </c>
      <c r="BS126" s="9">
        <f>[1]monsters!$N126</f>
        <v>138.24</v>
      </c>
      <c r="BT126" s="9">
        <f>[1]monsters!$O126</f>
        <v>13.82</v>
      </c>
      <c r="BU126" s="9">
        <f>[1]monsters!$P126</f>
        <v>1706.67</v>
      </c>
      <c r="BV126" s="9">
        <f>[1]monsters!$Q126</f>
        <v>170.67</v>
      </c>
      <c r="BW126" s="9">
        <f>[1]monsters!$R126</f>
        <v>27.65</v>
      </c>
      <c r="BX126" s="9">
        <f>[1]monsters!$S126</f>
        <v>2.76</v>
      </c>
      <c r="BY126" s="9">
        <f>[1]monsters!$K126</f>
        <v>1.8</v>
      </c>
      <c r="BZ126" s="7">
        <f>[1]monsters!$D126</f>
        <v>2</v>
      </c>
      <c r="CA126" s="7">
        <f t="shared" si="92"/>
        <v>0.1</v>
      </c>
      <c r="CB126" s="7">
        <f t="shared" si="93"/>
        <v>188.10043636363639</v>
      </c>
      <c r="CC126" s="7">
        <f t="shared" si="94"/>
        <v>18.810043636363641</v>
      </c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>
        <v>0</v>
      </c>
      <c r="CR126" s="25" t="b">
        <f t="shared" si="95"/>
        <v>1</v>
      </c>
      <c r="CS126" s="25" t="b">
        <f t="shared" si="96"/>
        <v>1</v>
      </c>
      <c r="CT126" s="25" t="b">
        <f t="shared" si="97"/>
        <v>1</v>
      </c>
      <c r="CU126" s="25" t="b">
        <f t="shared" si="98"/>
        <v>1</v>
      </c>
      <c r="CV126" s="25" t="b">
        <f t="shared" si="99"/>
        <v>1</v>
      </c>
      <c r="CW126" s="25" t="b">
        <f t="shared" si="100"/>
        <v>1</v>
      </c>
      <c r="CX126" s="16" t="str">
        <f t="shared" si="101"/>
        <v>5500072</v>
      </c>
      <c r="CY126" s="16" t="str">
        <f t="shared" si="102"/>
        <v>5200071</v>
      </c>
      <c r="CZ126" s="16" t="str">
        <f t="shared" si="103"/>
        <v>5200071</v>
      </c>
      <c r="DA126" s="16" t="str">
        <f t="shared" si="104"/>
        <v>5301073</v>
      </c>
      <c r="DB126" s="16" t="str">
        <f t="shared" si="105"/>
        <v>5502073</v>
      </c>
      <c r="DC126" s="16" t="str">
        <f t="shared" si="106"/>
        <v>5402072</v>
      </c>
      <c r="DD126" s="16">
        <v>7</v>
      </c>
      <c r="DE126" s="16">
        <v>7</v>
      </c>
      <c r="DF126" s="16">
        <v>7</v>
      </c>
      <c r="DG126" s="16">
        <v>7</v>
      </c>
      <c r="DH126" s="16">
        <v>7</v>
      </c>
      <c r="DI126" s="16">
        <v>7</v>
      </c>
      <c r="DJ126" s="16">
        <v>5</v>
      </c>
      <c r="DK126" s="16">
        <v>5</v>
      </c>
      <c r="DL126" s="16">
        <v>5</v>
      </c>
      <c r="DM126" s="16">
        <v>5</v>
      </c>
      <c r="DN126" s="16">
        <v>5</v>
      </c>
      <c r="DO126" s="16">
        <v>5</v>
      </c>
      <c r="DP126" s="36" t="s">
        <v>115</v>
      </c>
      <c r="DQ126" s="36" t="s">
        <v>205</v>
      </c>
      <c r="DR126" s="36" t="s">
        <v>205</v>
      </c>
      <c r="DS126" s="36" t="s">
        <v>218</v>
      </c>
      <c r="DT126" s="36" t="s">
        <v>227</v>
      </c>
      <c r="DU126" s="36" t="s">
        <v>214</v>
      </c>
      <c r="DV126" s="32">
        <f t="shared" si="69"/>
        <v>2</v>
      </c>
      <c r="DW126" s="32">
        <f t="shared" si="70"/>
        <v>1</v>
      </c>
      <c r="DX126" s="32">
        <f t="shared" si="71"/>
        <v>1</v>
      </c>
      <c r="DY126" s="32">
        <f t="shared" si="72"/>
        <v>1</v>
      </c>
      <c r="DZ126" s="32">
        <f t="shared" si="73"/>
        <v>2</v>
      </c>
      <c r="EA126" s="32">
        <f t="shared" si="74"/>
        <v>2</v>
      </c>
      <c r="EB126" s="41"/>
      <c r="EC126" s="7">
        <v>5202055</v>
      </c>
      <c r="ED126" s="40" t="s">
        <v>233</v>
      </c>
      <c r="EE126" s="16">
        <v>1</v>
      </c>
      <c r="FD126" s="16">
        <v>5500072</v>
      </c>
      <c r="FE126" s="16">
        <v>5200071</v>
      </c>
      <c r="FF126" s="16">
        <v>5200071</v>
      </c>
      <c r="FG126" s="16">
        <v>5301073</v>
      </c>
      <c r="FH126" s="16">
        <v>5502073</v>
      </c>
      <c r="FI126" s="16">
        <v>5402072</v>
      </c>
      <c r="FJ126" t="str">
        <f t="shared" si="107"/>
        <v>火海盗</v>
      </c>
      <c r="FK126" t="str">
        <f t="shared" si="108"/>
        <v>水刀客</v>
      </c>
      <c r="FL126" t="str">
        <f t="shared" si="109"/>
        <v>水刀客</v>
      </c>
      <c r="FM126" t="str">
        <f t="shared" si="110"/>
        <v>木剑士</v>
      </c>
      <c r="FN126" t="str">
        <f t="shared" si="111"/>
        <v>木火枪手</v>
      </c>
      <c r="FO126" t="str">
        <f t="shared" si="112"/>
        <v>火女巫</v>
      </c>
      <c r="FP126" t="str">
        <f t="shared" si="113"/>
        <v>7</v>
      </c>
      <c r="FQ126" t="str">
        <f t="shared" si="114"/>
        <v>7</v>
      </c>
      <c r="FR126" t="str">
        <f t="shared" si="115"/>
        <v>7</v>
      </c>
      <c r="FS126" t="str">
        <f t="shared" si="116"/>
        <v>7</v>
      </c>
      <c r="FT126" t="str">
        <f t="shared" si="117"/>
        <v>7</v>
      </c>
      <c r="FU126" t="str">
        <f t="shared" si="118"/>
        <v>7</v>
      </c>
      <c r="FV126" t="str">
        <f t="shared" si="121"/>
        <v>5</v>
      </c>
      <c r="FW126" t="str">
        <f t="shared" si="122"/>
        <v>5</v>
      </c>
      <c r="FX126" t="str">
        <f t="shared" si="123"/>
        <v>5</v>
      </c>
      <c r="FY126" t="str">
        <f t="shared" si="124"/>
        <v>5</v>
      </c>
      <c r="FZ126" t="str">
        <f t="shared" si="125"/>
        <v>5</v>
      </c>
      <c r="GA126" t="str">
        <f t="shared" si="126"/>
        <v>5</v>
      </c>
    </row>
    <row r="127" spans="1:183" ht="13.5" customHeight="1">
      <c r="A127" s="1">
        <v>1304</v>
      </c>
      <c r="B127" s="6">
        <v>10122</v>
      </c>
      <c r="C127" s="23" t="str">
        <f t="shared" si="81"/>
        <v>5202072,5201073,5301072,5402073,5500071,5400075</v>
      </c>
      <c r="D127" s="1" t="str">
        <f t="shared" si="82"/>
        <v>7,7,7,7,7,7</v>
      </c>
      <c r="E127" s="53" t="str">
        <f t="shared" si="83"/>
        <v>764,738,738,738,738,738</v>
      </c>
      <c r="F127" s="1">
        <f t="shared" si="68"/>
        <v>2709006</v>
      </c>
      <c r="G127" s="23" t="s">
        <v>34</v>
      </c>
      <c r="H127" s="1" t="s">
        <v>28</v>
      </c>
      <c r="I127" s="1" t="s">
        <v>28</v>
      </c>
      <c r="J127" s="1" t="s">
        <v>28</v>
      </c>
      <c r="K127" s="2" t="s">
        <v>425</v>
      </c>
      <c r="L127" s="1">
        <v>3</v>
      </c>
      <c r="M127" s="1">
        <v>2</v>
      </c>
      <c r="O127" s="25">
        <f t="shared" si="84"/>
        <v>2709006</v>
      </c>
      <c r="P127" s="16">
        <v>2709006.45</v>
      </c>
      <c r="Q127" s="16">
        <v>5202072</v>
      </c>
      <c r="R127" s="16">
        <v>5201073</v>
      </c>
      <c r="S127" s="16">
        <v>5301072</v>
      </c>
      <c r="T127" s="16">
        <v>5402073</v>
      </c>
      <c r="U127" s="16">
        <v>5500071</v>
      </c>
      <c r="V127" s="16">
        <v>5400075</v>
      </c>
      <c r="W127" s="16">
        <v>7</v>
      </c>
      <c r="X127" s="16">
        <v>7</v>
      </c>
      <c r="Y127" s="16">
        <v>7</v>
      </c>
      <c r="Z127" s="16">
        <v>7</v>
      </c>
      <c r="AA127" s="16">
        <v>7</v>
      </c>
      <c r="AB127" s="16">
        <v>7</v>
      </c>
      <c r="AC127" s="16">
        <f t="shared" si="85"/>
        <v>764</v>
      </c>
      <c r="AD127" s="16">
        <f t="shared" si="128"/>
        <v>738</v>
      </c>
      <c r="AE127" s="16">
        <f t="shared" si="128"/>
        <v>738</v>
      </c>
      <c r="AF127" s="16">
        <f t="shared" si="128"/>
        <v>738</v>
      </c>
      <c r="AG127" s="16">
        <f t="shared" si="128"/>
        <v>738</v>
      </c>
      <c r="AH127" s="16">
        <f t="shared" si="128"/>
        <v>738</v>
      </c>
      <c r="AI127" s="28">
        <f t="shared" si="86"/>
        <v>541801.29</v>
      </c>
      <c r="AJ127" s="28">
        <f t="shared" si="127"/>
        <v>433441.03200000006</v>
      </c>
      <c r="AK127" s="28">
        <f t="shared" si="127"/>
        <v>433441.03200000006</v>
      </c>
      <c r="AL127" s="28">
        <f t="shared" si="127"/>
        <v>433441.03200000006</v>
      </c>
      <c r="AM127" s="28">
        <f t="shared" si="127"/>
        <v>433441.03200000006</v>
      </c>
      <c r="AN127" s="28">
        <f t="shared" si="127"/>
        <v>433441.03200000006</v>
      </c>
      <c r="AO127" s="30"/>
      <c r="AP127" s="28"/>
      <c r="AQ127" s="16">
        <v>5</v>
      </c>
      <c r="AR127" s="16">
        <f t="shared" si="88"/>
        <v>958</v>
      </c>
      <c r="AS127" s="28">
        <f t="shared" si="89"/>
        <v>1329</v>
      </c>
      <c r="AT127" s="28"/>
      <c r="AU127" s="30">
        <v>2709006.45</v>
      </c>
      <c r="AV127" s="28" t="str">
        <f t="shared" si="90"/>
        <v>小:0</v>
      </c>
      <c r="AW127" s="28"/>
      <c r="AX127" s="28"/>
      <c r="AZ127" s="28"/>
      <c r="BA127" s="16">
        <f t="shared" si="120"/>
        <v>22998.131428571476</v>
      </c>
      <c r="BC127" s="7">
        <f t="shared" si="91"/>
        <v>714</v>
      </c>
      <c r="BQ127" s="9"/>
      <c r="BR127" s="9">
        <v>5600052</v>
      </c>
      <c r="BS127" s="9">
        <f>[1]monsters!$N127</f>
        <v>99.84</v>
      </c>
      <c r="BT127" s="9">
        <f>[1]monsters!$O127</f>
        <v>9.98</v>
      </c>
      <c r="BU127" s="9">
        <f>[1]monsters!$P127</f>
        <v>1706.67</v>
      </c>
      <c r="BV127" s="9">
        <f>[1]monsters!$Q127</f>
        <v>170.67</v>
      </c>
      <c r="BW127" s="9">
        <f>[1]monsters!$R127</f>
        <v>19.97</v>
      </c>
      <c r="BX127" s="9">
        <f>[1]monsters!$S127</f>
        <v>2</v>
      </c>
      <c r="BY127" s="9">
        <f>[1]monsters!$K127</f>
        <v>1.3</v>
      </c>
      <c r="BZ127" s="7">
        <f>[1]monsters!$D127</f>
        <v>3</v>
      </c>
      <c r="CA127" s="7">
        <f t="shared" si="92"/>
        <v>0.1</v>
      </c>
      <c r="CB127" s="7">
        <f t="shared" si="93"/>
        <v>151.81243636363638</v>
      </c>
      <c r="CC127" s="7">
        <f t="shared" si="94"/>
        <v>15.181243636363639</v>
      </c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>
        <v>0</v>
      </c>
      <c r="CR127" s="25" t="b">
        <f t="shared" si="95"/>
        <v>1</v>
      </c>
      <c r="CS127" s="25" t="b">
        <f t="shared" si="96"/>
        <v>1</v>
      </c>
      <c r="CT127" s="25" t="b">
        <f t="shared" si="97"/>
        <v>1</v>
      </c>
      <c r="CU127" s="25" t="b">
        <f t="shared" si="98"/>
        <v>1</v>
      </c>
      <c r="CV127" s="25" t="b">
        <f t="shared" si="99"/>
        <v>1</v>
      </c>
      <c r="CW127" s="25" t="b">
        <f t="shared" si="100"/>
        <v>1</v>
      </c>
      <c r="CX127" s="16" t="str">
        <f t="shared" si="101"/>
        <v>5202072</v>
      </c>
      <c r="CY127" s="16" t="str">
        <f t="shared" si="102"/>
        <v>5201073</v>
      </c>
      <c r="CZ127" s="16" t="str">
        <f t="shared" si="103"/>
        <v>5301072</v>
      </c>
      <c r="DA127" s="16" t="str">
        <f t="shared" si="104"/>
        <v>5402073</v>
      </c>
      <c r="DB127" s="16" t="str">
        <f t="shared" si="105"/>
        <v>5500071</v>
      </c>
      <c r="DC127" s="16" t="str">
        <f t="shared" si="106"/>
        <v>5400075</v>
      </c>
      <c r="DD127" s="16">
        <v>7</v>
      </c>
      <c r="DE127" s="16">
        <v>7</v>
      </c>
      <c r="DF127" s="16">
        <v>7</v>
      </c>
      <c r="DG127" s="16">
        <v>7</v>
      </c>
      <c r="DH127" s="16">
        <v>7</v>
      </c>
      <c r="DI127" s="16">
        <v>7</v>
      </c>
      <c r="DJ127" s="16">
        <v>5</v>
      </c>
      <c r="DK127" s="16">
        <v>5</v>
      </c>
      <c r="DL127" s="16">
        <v>5</v>
      </c>
      <c r="DM127" s="16">
        <v>5</v>
      </c>
      <c r="DN127" s="16">
        <v>5</v>
      </c>
      <c r="DO127" s="16">
        <v>5</v>
      </c>
      <c r="DP127" s="51" t="s">
        <v>211</v>
      </c>
      <c r="DQ127" s="51" t="s">
        <v>217</v>
      </c>
      <c r="DR127" s="51" t="s">
        <v>212</v>
      </c>
      <c r="DS127" s="51" t="s">
        <v>124</v>
      </c>
      <c r="DT127" s="51" t="s">
        <v>208</v>
      </c>
      <c r="DU127" s="51" t="s">
        <v>222</v>
      </c>
      <c r="DV127" s="32">
        <f t="shared" si="69"/>
        <v>1</v>
      </c>
      <c r="DW127" s="32">
        <f t="shared" si="70"/>
        <v>1</v>
      </c>
      <c r="DX127" s="32">
        <f t="shared" si="71"/>
        <v>1</v>
      </c>
      <c r="DY127" s="32">
        <f t="shared" si="72"/>
        <v>2</v>
      </c>
      <c r="DZ127" s="32">
        <f t="shared" si="73"/>
        <v>2</v>
      </c>
      <c r="EA127" s="32">
        <f t="shared" si="74"/>
        <v>2</v>
      </c>
      <c r="EB127" s="41"/>
      <c r="EC127" s="16">
        <v>5300055</v>
      </c>
      <c r="ED127" s="40" t="s">
        <v>224</v>
      </c>
      <c r="EE127" s="16">
        <v>1</v>
      </c>
      <c r="FD127" s="16">
        <v>5202072</v>
      </c>
      <c r="FE127" s="16">
        <v>5201073</v>
      </c>
      <c r="FF127" s="16">
        <v>5301072</v>
      </c>
      <c r="FG127" s="16">
        <v>5402073</v>
      </c>
      <c r="FH127" s="16">
        <v>5500071</v>
      </c>
      <c r="FI127" s="16">
        <v>5400075</v>
      </c>
      <c r="FJ127" t="str">
        <f t="shared" si="107"/>
        <v>火维京</v>
      </c>
      <c r="FK127" t="str">
        <f t="shared" si="108"/>
        <v>木骑兵</v>
      </c>
      <c r="FL127" t="str">
        <f t="shared" si="109"/>
        <v>火剑士</v>
      </c>
      <c r="FM127" t="str">
        <f t="shared" si="110"/>
        <v>木女巫</v>
      </c>
      <c r="FN127" t="str">
        <f t="shared" si="111"/>
        <v>水海盗</v>
      </c>
      <c r="FO127" t="str">
        <f t="shared" si="112"/>
        <v>暗巫师</v>
      </c>
      <c r="FP127" t="str">
        <f t="shared" si="113"/>
        <v>7</v>
      </c>
      <c r="FQ127" t="str">
        <f t="shared" si="114"/>
        <v>7</v>
      </c>
      <c r="FR127" t="str">
        <f t="shared" si="115"/>
        <v>7</v>
      </c>
      <c r="FS127" t="str">
        <f t="shared" si="116"/>
        <v>7</v>
      </c>
      <c r="FT127" t="str">
        <f t="shared" si="117"/>
        <v>7</v>
      </c>
      <c r="FU127" t="str">
        <f t="shared" si="118"/>
        <v>7</v>
      </c>
      <c r="FV127" t="str">
        <f t="shared" si="121"/>
        <v>5</v>
      </c>
      <c r="FW127" t="str">
        <f t="shared" si="122"/>
        <v>5</v>
      </c>
      <c r="FX127" t="str">
        <f t="shared" si="123"/>
        <v>5</v>
      </c>
      <c r="FY127" t="str">
        <f t="shared" si="124"/>
        <v>5</v>
      </c>
      <c r="FZ127" t="str">
        <f t="shared" si="125"/>
        <v>5</v>
      </c>
      <c r="GA127" t="str">
        <f t="shared" si="126"/>
        <v>5</v>
      </c>
    </row>
    <row r="128" spans="1:183" ht="13.5" customHeight="1">
      <c r="A128" s="1">
        <v>1305</v>
      </c>
      <c r="B128" s="6">
        <v>10122</v>
      </c>
      <c r="C128" s="23" t="str">
        <f t="shared" si="81"/>
        <v>5200072,5201072,5302075,5400075,5501074,5400075</v>
      </c>
      <c r="D128" s="1" t="str">
        <f t="shared" si="82"/>
        <v>7,7,7,7,7,7</v>
      </c>
      <c r="E128" s="53" t="str">
        <f t="shared" si="83"/>
        <v>781,754,754,754,754,754</v>
      </c>
      <c r="F128" s="1">
        <f t="shared" si="68"/>
        <v>2827788</v>
      </c>
      <c r="G128" s="23" t="s">
        <v>34</v>
      </c>
      <c r="H128" s="1" t="s">
        <v>28</v>
      </c>
      <c r="I128" s="1" t="s">
        <v>28</v>
      </c>
      <c r="J128" s="1" t="s">
        <v>28</v>
      </c>
      <c r="K128" s="2" t="s">
        <v>426</v>
      </c>
      <c r="L128" s="1">
        <v>1</v>
      </c>
      <c r="M128" s="1">
        <v>6</v>
      </c>
      <c r="O128" s="25">
        <f t="shared" si="84"/>
        <v>2827788</v>
      </c>
      <c r="P128" s="16">
        <v>2827787.5</v>
      </c>
      <c r="Q128" s="16">
        <v>5200072</v>
      </c>
      <c r="R128" s="16">
        <v>5201072</v>
      </c>
      <c r="S128" s="16">
        <v>5302075</v>
      </c>
      <c r="T128" s="16">
        <v>5400075</v>
      </c>
      <c r="U128" s="16">
        <v>5501074</v>
      </c>
      <c r="V128" s="16">
        <v>5400075</v>
      </c>
      <c r="W128" s="16">
        <v>7</v>
      </c>
      <c r="X128" s="16">
        <v>7</v>
      </c>
      <c r="Y128" s="16">
        <v>7</v>
      </c>
      <c r="Z128" s="16">
        <v>7</v>
      </c>
      <c r="AA128" s="16">
        <v>7</v>
      </c>
      <c r="AB128" s="16">
        <v>7</v>
      </c>
      <c r="AC128" s="16">
        <f t="shared" si="85"/>
        <v>781</v>
      </c>
      <c r="AD128" s="16">
        <f t="shared" si="128"/>
        <v>754</v>
      </c>
      <c r="AE128" s="16">
        <f t="shared" si="128"/>
        <v>754</v>
      </c>
      <c r="AF128" s="16">
        <f t="shared" si="128"/>
        <v>754</v>
      </c>
      <c r="AG128" s="16">
        <f t="shared" si="128"/>
        <v>754</v>
      </c>
      <c r="AH128" s="16">
        <f t="shared" si="128"/>
        <v>754</v>
      </c>
      <c r="AI128" s="28">
        <f t="shared" si="86"/>
        <v>565557.5</v>
      </c>
      <c r="AJ128" s="28">
        <f t="shared" si="127"/>
        <v>452446</v>
      </c>
      <c r="AK128" s="28">
        <f t="shared" si="127"/>
        <v>452446</v>
      </c>
      <c r="AL128" s="28">
        <f t="shared" si="127"/>
        <v>452446</v>
      </c>
      <c r="AM128" s="28">
        <f t="shared" si="127"/>
        <v>452446</v>
      </c>
      <c r="AN128" s="28">
        <f t="shared" si="127"/>
        <v>452446</v>
      </c>
      <c r="AO128" s="30"/>
      <c r="AP128" s="28"/>
      <c r="AQ128" s="16">
        <v>5</v>
      </c>
      <c r="AR128" s="16">
        <f t="shared" si="88"/>
        <v>979</v>
      </c>
      <c r="AS128" s="28">
        <f t="shared" si="89"/>
        <v>1330</v>
      </c>
      <c r="AT128" s="28"/>
      <c r="AU128" s="30">
        <v>2827787.5</v>
      </c>
      <c r="AV128" s="28" t="str">
        <f t="shared" si="90"/>
        <v>小:0</v>
      </c>
      <c r="AW128" s="28"/>
      <c r="AX128" s="28"/>
      <c r="AZ128" s="28"/>
      <c r="BA128" s="16">
        <f t="shared" si="120"/>
        <v>23050.407142857192</v>
      </c>
      <c r="BC128" s="7">
        <f t="shared" si="91"/>
        <v>730</v>
      </c>
      <c r="BQ128" s="9"/>
      <c r="BR128" s="9">
        <v>5602052</v>
      </c>
      <c r="BS128" s="9">
        <f>[1]monsters!$N128</f>
        <v>107.52</v>
      </c>
      <c r="BT128" s="9">
        <f>[1]monsters!$O128</f>
        <v>10.75</v>
      </c>
      <c r="BU128" s="9">
        <f>[1]monsters!$P128</f>
        <v>1706.67</v>
      </c>
      <c r="BV128" s="9">
        <f>[1]monsters!$Q128</f>
        <v>170.67</v>
      </c>
      <c r="BW128" s="9">
        <f>[1]monsters!$R128</f>
        <v>21.5</v>
      </c>
      <c r="BX128" s="9">
        <f>[1]monsters!$S128</f>
        <v>2.15</v>
      </c>
      <c r="BY128" s="9">
        <f>[1]monsters!$K128</f>
        <v>1.4000000000000001</v>
      </c>
      <c r="BZ128" s="7">
        <f>[1]monsters!$D128</f>
        <v>3</v>
      </c>
      <c r="CA128" s="7">
        <f t="shared" si="92"/>
        <v>0.1</v>
      </c>
      <c r="CB128" s="7">
        <f t="shared" si="93"/>
        <v>159.07003636363638</v>
      </c>
      <c r="CC128" s="7">
        <f t="shared" si="94"/>
        <v>15.907003636363639</v>
      </c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>
        <v>1</v>
      </c>
      <c r="CR128" s="25" t="b">
        <f t="shared" si="95"/>
        <v>1</v>
      </c>
      <c r="CS128" s="25" t="b">
        <f t="shared" si="96"/>
        <v>1</v>
      </c>
      <c r="CT128" s="25" t="b">
        <f t="shared" si="97"/>
        <v>1</v>
      </c>
      <c r="CU128" s="25" t="b">
        <f t="shared" si="98"/>
        <v>1</v>
      </c>
      <c r="CV128" s="25" t="b">
        <f t="shared" si="99"/>
        <v>1</v>
      </c>
      <c r="CW128" s="25" t="b">
        <f t="shared" si="100"/>
        <v>1</v>
      </c>
      <c r="CX128" s="16" t="str">
        <f t="shared" si="101"/>
        <v>5200072</v>
      </c>
      <c r="CY128" s="16" t="str">
        <f t="shared" si="102"/>
        <v>5201072</v>
      </c>
      <c r="CZ128" s="16" t="str">
        <f t="shared" si="103"/>
        <v>5302075</v>
      </c>
      <c r="DA128" s="16" t="str">
        <f t="shared" si="104"/>
        <v>5400075</v>
      </c>
      <c r="DB128" s="16" t="str">
        <f t="shared" si="105"/>
        <v>5501074</v>
      </c>
      <c r="DC128" s="16" t="str">
        <f t="shared" si="106"/>
        <v>5400075</v>
      </c>
      <c r="DD128" s="16">
        <v>7</v>
      </c>
      <c r="DE128" s="16">
        <v>7</v>
      </c>
      <c r="DF128" s="16">
        <v>7</v>
      </c>
      <c r="DG128" s="16">
        <v>7</v>
      </c>
      <c r="DH128" s="16">
        <v>7</v>
      </c>
      <c r="DI128" s="16">
        <v>7</v>
      </c>
      <c r="DJ128" s="16">
        <v>5</v>
      </c>
      <c r="DK128" s="16">
        <v>5</v>
      </c>
      <c r="DL128" s="16">
        <v>5</v>
      </c>
      <c r="DM128" s="16">
        <v>5</v>
      </c>
      <c r="DN128" s="16">
        <v>5</v>
      </c>
      <c r="DO128" s="16">
        <v>5</v>
      </c>
      <c r="DP128" s="13" t="s">
        <v>210</v>
      </c>
      <c r="DQ128" s="51" t="s">
        <v>120</v>
      </c>
      <c r="DR128" s="51" t="s">
        <v>234</v>
      </c>
      <c r="DS128" s="51" t="s">
        <v>222</v>
      </c>
      <c r="DT128" s="51" t="s">
        <v>226</v>
      </c>
      <c r="DU128" s="51" t="s">
        <v>222</v>
      </c>
      <c r="DV128" s="32">
        <f t="shared" si="69"/>
        <v>1</v>
      </c>
      <c r="DW128" s="32">
        <f t="shared" si="70"/>
        <v>1</v>
      </c>
      <c r="DX128" s="32">
        <f t="shared" si="71"/>
        <v>1</v>
      </c>
      <c r="DY128" s="32">
        <f t="shared" si="72"/>
        <v>2</v>
      </c>
      <c r="DZ128" s="32">
        <f t="shared" si="73"/>
        <v>2</v>
      </c>
      <c r="EA128" s="32">
        <f t="shared" si="74"/>
        <v>2</v>
      </c>
      <c r="EB128" s="41"/>
      <c r="EC128" s="16">
        <v>5302055</v>
      </c>
      <c r="ED128" s="40" t="s">
        <v>234</v>
      </c>
      <c r="EE128" s="16">
        <v>1</v>
      </c>
      <c r="FD128" s="16">
        <v>5200072</v>
      </c>
      <c r="FE128" s="16">
        <v>5201072</v>
      </c>
      <c r="FF128" s="16">
        <v>5302075</v>
      </c>
      <c r="FG128" s="16">
        <v>5400075</v>
      </c>
      <c r="FH128" s="16">
        <v>5501074</v>
      </c>
      <c r="FI128" s="16">
        <v>5400075</v>
      </c>
      <c r="FJ128" t="str">
        <f t="shared" si="107"/>
        <v>火刀客</v>
      </c>
      <c r="FK128" t="str">
        <f t="shared" si="108"/>
        <v>火骑兵</v>
      </c>
      <c r="FL128" t="str">
        <f t="shared" si="109"/>
        <v>暗盗贼</v>
      </c>
      <c r="FM128" t="str">
        <f t="shared" si="110"/>
        <v>暗巫师</v>
      </c>
      <c r="FN128" t="str">
        <f t="shared" si="111"/>
        <v>光猎人</v>
      </c>
      <c r="FO128" t="str">
        <f t="shared" si="112"/>
        <v>暗巫师</v>
      </c>
      <c r="FP128" t="str">
        <f t="shared" si="113"/>
        <v>7</v>
      </c>
      <c r="FQ128" t="str">
        <f t="shared" si="114"/>
        <v>7</v>
      </c>
      <c r="FR128" t="str">
        <f t="shared" si="115"/>
        <v>7</v>
      </c>
      <c r="FS128" t="str">
        <f t="shared" si="116"/>
        <v>7</v>
      </c>
      <c r="FT128" t="str">
        <f t="shared" si="117"/>
        <v>7</v>
      </c>
      <c r="FU128" t="str">
        <f t="shared" si="118"/>
        <v>7</v>
      </c>
      <c r="FV128" t="str">
        <f t="shared" si="121"/>
        <v>5</v>
      </c>
      <c r="FW128" t="str">
        <f t="shared" si="122"/>
        <v>5</v>
      </c>
      <c r="FX128" t="str">
        <f t="shared" si="123"/>
        <v>5</v>
      </c>
      <c r="FY128" t="str">
        <f t="shared" si="124"/>
        <v>5</v>
      </c>
      <c r="FZ128" t="str">
        <f t="shared" si="125"/>
        <v>5</v>
      </c>
      <c r="GA128" t="str">
        <f t="shared" si="126"/>
        <v>5</v>
      </c>
    </row>
    <row r="129" spans="1:183" ht="13.5" customHeight="1">
      <c r="A129" s="1">
        <v>1306</v>
      </c>
      <c r="B129" s="6">
        <v>10122</v>
      </c>
      <c r="C129" s="23" t="str">
        <f t="shared" si="81"/>
        <v>5301072,5302075,5201071,5501074,5502073,5400075</v>
      </c>
      <c r="D129" s="1" t="str">
        <f t="shared" si="82"/>
        <v>7,7,7,7,7,7</v>
      </c>
      <c r="E129" s="53" t="str">
        <f t="shared" si="83"/>
        <v>785,758,758,758,758,758</v>
      </c>
      <c r="F129" s="1">
        <f t="shared" si="68"/>
        <v>2854970</v>
      </c>
      <c r="G129" s="23" t="s">
        <v>34</v>
      </c>
      <c r="H129" s="1" t="s">
        <v>28</v>
      </c>
      <c r="I129" s="1" t="s">
        <v>28</v>
      </c>
      <c r="J129" s="1" t="s">
        <v>28</v>
      </c>
      <c r="K129" s="2" t="s">
        <v>427</v>
      </c>
      <c r="L129" s="1">
        <v>2</v>
      </c>
      <c r="M129" s="1">
        <v>6</v>
      </c>
      <c r="O129" s="25">
        <f t="shared" si="84"/>
        <v>2854970</v>
      </c>
      <c r="P129" s="16">
        <v>2854969.95</v>
      </c>
      <c r="Q129" s="16">
        <v>5301072</v>
      </c>
      <c r="R129" s="16">
        <v>5302075</v>
      </c>
      <c r="S129" s="16">
        <v>5201071</v>
      </c>
      <c r="T129" s="16">
        <v>5501074</v>
      </c>
      <c r="U129" s="16">
        <v>5502073</v>
      </c>
      <c r="V129" s="16">
        <v>5400075</v>
      </c>
      <c r="W129" s="16">
        <v>7</v>
      </c>
      <c r="X129" s="16">
        <v>7</v>
      </c>
      <c r="Y129" s="16">
        <v>7</v>
      </c>
      <c r="Z129" s="16">
        <v>7</v>
      </c>
      <c r="AA129" s="16">
        <v>7</v>
      </c>
      <c r="AB129" s="16">
        <v>7</v>
      </c>
      <c r="AC129" s="16">
        <f t="shared" si="85"/>
        <v>785</v>
      </c>
      <c r="AD129" s="16">
        <f t="shared" si="128"/>
        <v>758</v>
      </c>
      <c r="AE129" s="16">
        <f t="shared" si="128"/>
        <v>758</v>
      </c>
      <c r="AF129" s="16">
        <f t="shared" si="128"/>
        <v>758</v>
      </c>
      <c r="AG129" s="16">
        <f t="shared" si="128"/>
        <v>758</v>
      </c>
      <c r="AH129" s="16">
        <f t="shared" si="128"/>
        <v>758</v>
      </c>
      <c r="AI129" s="28">
        <f t="shared" si="86"/>
        <v>570993.99000000011</v>
      </c>
      <c r="AJ129" s="28">
        <f t="shared" si="127"/>
        <v>456795.19200000004</v>
      </c>
      <c r="AK129" s="28">
        <f t="shared" si="127"/>
        <v>456795.19200000004</v>
      </c>
      <c r="AL129" s="28">
        <f t="shared" si="127"/>
        <v>456795.19200000004</v>
      </c>
      <c r="AM129" s="28">
        <f t="shared" si="127"/>
        <v>456795.19200000004</v>
      </c>
      <c r="AN129" s="28">
        <f t="shared" si="127"/>
        <v>456795.19200000004</v>
      </c>
      <c r="AO129" s="30"/>
      <c r="AP129" s="28"/>
      <c r="AQ129" s="16">
        <v>5</v>
      </c>
      <c r="AR129" s="16">
        <f t="shared" si="88"/>
        <v>983</v>
      </c>
      <c r="AS129" s="28">
        <f t="shared" si="89"/>
        <v>1331</v>
      </c>
      <c r="AT129" s="28"/>
      <c r="AU129" s="30">
        <v>2854969.95</v>
      </c>
      <c r="AV129" s="28" t="str">
        <f t="shared" si="90"/>
        <v>小:0</v>
      </c>
      <c r="AW129" s="28"/>
      <c r="AX129" s="28"/>
      <c r="AZ129" s="28"/>
      <c r="BA129" s="16">
        <f t="shared" si="120"/>
        <v>23102.682857142907</v>
      </c>
      <c r="BC129" s="7">
        <f t="shared" si="91"/>
        <v>733</v>
      </c>
      <c r="BQ129" s="9"/>
      <c r="BR129" s="9">
        <v>5200053</v>
      </c>
      <c r="BS129" s="9">
        <f>[1]monsters!$N129</f>
        <v>143.36000000000001</v>
      </c>
      <c r="BT129" s="9">
        <f>[1]monsters!$O129</f>
        <v>14.34</v>
      </c>
      <c r="BU129" s="9">
        <f>[1]monsters!$P129</f>
        <v>1280</v>
      </c>
      <c r="BV129" s="9">
        <f>[1]monsters!$Q129</f>
        <v>128</v>
      </c>
      <c r="BW129" s="9">
        <f>[1]monsters!$R129</f>
        <v>20.48</v>
      </c>
      <c r="BX129" s="9">
        <f>[1]monsters!$S129</f>
        <v>2.0499999999999998</v>
      </c>
      <c r="BY129" s="9">
        <f>[1]monsters!$K129</f>
        <v>1.4000000000000001</v>
      </c>
      <c r="BZ129" s="7">
        <f>[1]monsters!$D129</f>
        <v>4</v>
      </c>
      <c r="CA129" s="7">
        <f t="shared" si="92"/>
        <v>0.1</v>
      </c>
      <c r="CB129" s="7">
        <f t="shared" si="93"/>
        <v>178.57284309764313</v>
      </c>
      <c r="CC129" s="7">
        <f t="shared" si="94"/>
        <v>17.857284309764314</v>
      </c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>
        <v>0</v>
      </c>
      <c r="CR129" s="25" t="b">
        <f t="shared" si="95"/>
        <v>1</v>
      </c>
      <c r="CS129" s="25" t="b">
        <f t="shared" si="96"/>
        <v>1</v>
      </c>
      <c r="CT129" s="25" t="b">
        <f t="shared" si="97"/>
        <v>1</v>
      </c>
      <c r="CU129" s="25" t="b">
        <f t="shared" si="98"/>
        <v>1</v>
      </c>
      <c r="CV129" s="25" t="b">
        <f t="shared" si="99"/>
        <v>1</v>
      </c>
      <c r="CW129" s="25" t="b">
        <f t="shared" si="100"/>
        <v>1</v>
      </c>
      <c r="CX129" s="16" t="str">
        <f t="shared" si="101"/>
        <v>5301072</v>
      </c>
      <c r="CY129" s="16" t="str">
        <f t="shared" si="102"/>
        <v>5302075</v>
      </c>
      <c r="CZ129" s="16" t="str">
        <f t="shared" si="103"/>
        <v>5201071</v>
      </c>
      <c r="DA129" s="16" t="str">
        <f t="shared" si="104"/>
        <v>5501074</v>
      </c>
      <c r="DB129" s="16" t="str">
        <f t="shared" si="105"/>
        <v>5502073</v>
      </c>
      <c r="DC129" s="16" t="str">
        <f t="shared" si="106"/>
        <v>5400075</v>
      </c>
      <c r="DD129" s="16">
        <v>7</v>
      </c>
      <c r="DE129" s="16">
        <v>7</v>
      </c>
      <c r="DF129" s="16">
        <v>7</v>
      </c>
      <c r="DG129" s="16">
        <v>7</v>
      </c>
      <c r="DH129" s="16">
        <v>7</v>
      </c>
      <c r="DI129" s="16">
        <v>7</v>
      </c>
      <c r="DJ129" s="16">
        <v>5</v>
      </c>
      <c r="DK129" s="16">
        <v>5</v>
      </c>
      <c r="DL129" s="16">
        <v>5</v>
      </c>
      <c r="DM129" s="16">
        <v>5</v>
      </c>
      <c r="DN129" s="16">
        <v>5</v>
      </c>
      <c r="DO129" s="16">
        <v>5</v>
      </c>
      <c r="DP129" s="36" t="s">
        <v>212</v>
      </c>
      <c r="DQ129" s="36" t="s">
        <v>234</v>
      </c>
      <c r="DR129" s="36" t="s">
        <v>206</v>
      </c>
      <c r="DS129" s="36" t="s">
        <v>226</v>
      </c>
      <c r="DT129" s="36" t="s">
        <v>227</v>
      </c>
      <c r="DU129" s="36" t="s">
        <v>222</v>
      </c>
      <c r="DV129" s="32">
        <f t="shared" si="69"/>
        <v>1</v>
      </c>
      <c r="DW129" s="32">
        <f t="shared" si="70"/>
        <v>1</v>
      </c>
      <c r="DX129" s="32">
        <f t="shared" si="71"/>
        <v>1</v>
      </c>
      <c r="DY129" s="32">
        <f t="shared" si="72"/>
        <v>2</v>
      </c>
      <c r="DZ129" s="32">
        <f t="shared" si="73"/>
        <v>2</v>
      </c>
      <c r="EA129" s="32">
        <f t="shared" si="74"/>
        <v>2</v>
      </c>
      <c r="EB129" s="40"/>
      <c r="EC129" s="16">
        <v>5400055</v>
      </c>
      <c r="ED129" s="40" t="s">
        <v>222</v>
      </c>
      <c r="EE129" s="16">
        <v>2</v>
      </c>
      <c r="FD129" s="16">
        <v>5301072</v>
      </c>
      <c r="FE129" s="16">
        <v>5302075</v>
      </c>
      <c r="FF129" s="16">
        <v>5201071</v>
      </c>
      <c r="FG129" s="16">
        <v>5501074</v>
      </c>
      <c r="FH129" s="16">
        <v>5502073</v>
      </c>
      <c r="FI129" s="16">
        <v>5400075</v>
      </c>
      <c r="FJ129" t="str">
        <f t="shared" si="107"/>
        <v>火剑士</v>
      </c>
      <c r="FK129" t="str">
        <f t="shared" si="108"/>
        <v>暗盗贼</v>
      </c>
      <c r="FL129" t="str">
        <f t="shared" si="109"/>
        <v>水骑兵</v>
      </c>
      <c r="FM129" t="str">
        <f t="shared" si="110"/>
        <v>光猎人</v>
      </c>
      <c r="FN129" t="str">
        <f t="shared" si="111"/>
        <v>木火枪手</v>
      </c>
      <c r="FO129" t="str">
        <f t="shared" si="112"/>
        <v>暗巫师</v>
      </c>
      <c r="FP129" t="str">
        <f t="shared" si="113"/>
        <v>7</v>
      </c>
      <c r="FQ129" t="str">
        <f t="shared" si="114"/>
        <v>7</v>
      </c>
      <c r="FR129" t="str">
        <f t="shared" si="115"/>
        <v>7</v>
      </c>
      <c r="FS129" t="str">
        <f t="shared" si="116"/>
        <v>7</v>
      </c>
      <c r="FT129" t="str">
        <f t="shared" si="117"/>
        <v>7</v>
      </c>
      <c r="FU129" t="str">
        <f t="shared" si="118"/>
        <v>7</v>
      </c>
      <c r="FV129" t="str">
        <f t="shared" si="121"/>
        <v>5</v>
      </c>
      <c r="FW129" t="str">
        <f t="shared" si="122"/>
        <v>5</v>
      </c>
      <c r="FX129" t="str">
        <f t="shared" si="123"/>
        <v>5</v>
      </c>
      <c r="FY129" t="str">
        <f t="shared" si="124"/>
        <v>5</v>
      </c>
      <c r="FZ129" t="str">
        <f t="shared" si="125"/>
        <v>5</v>
      </c>
      <c r="GA129" t="str">
        <f t="shared" si="126"/>
        <v>5</v>
      </c>
    </row>
    <row r="130" spans="1:183" ht="13.5" customHeight="1">
      <c r="A130" s="1">
        <v>1307</v>
      </c>
      <c r="B130" s="6">
        <v>10122</v>
      </c>
      <c r="C130" s="23" t="str">
        <f t="shared" si="81"/>
        <v>5502073,5200072,5301072,5201071,5501074,5500071</v>
      </c>
      <c r="D130" s="1" t="str">
        <f t="shared" si="82"/>
        <v>7,7,7,7,7,7</v>
      </c>
      <c r="E130" s="53" t="str">
        <f t="shared" si="83"/>
        <v>789,762,762,762,762,762</v>
      </c>
      <c r="F130" s="1">
        <f t="shared" si="68"/>
        <v>2885018</v>
      </c>
      <c r="G130" s="23" t="s">
        <v>34</v>
      </c>
      <c r="H130" s="1" t="s">
        <v>28</v>
      </c>
      <c r="I130" s="1" t="s">
        <v>28</v>
      </c>
      <c r="J130" s="1" t="s">
        <v>28</v>
      </c>
      <c r="K130" s="2" t="s">
        <v>428</v>
      </c>
      <c r="L130" s="1">
        <v>3</v>
      </c>
      <c r="M130" s="1">
        <v>4</v>
      </c>
      <c r="O130" s="25">
        <f t="shared" si="84"/>
        <v>2885018</v>
      </c>
      <c r="P130" s="16">
        <v>2885018.35</v>
      </c>
      <c r="Q130" s="16">
        <v>5502073</v>
      </c>
      <c r="R130" s="16">
        <v>5200072</v>
      </c>
      <c r="S130" s="16">
        <v>5301072</v>
      </c>
      <c r="T130" s="16">
        <v>5201071</v>
      </c>
      <c r="U130" s="16">
        <v>5501074</v>
      </c>
      <c r="V130" s="16">
        <v>5500071</v>
      </c>
      <c r="W130" s="16">
        <v>7</v>
      </c>
      <c r="X130" s="16">
        <v>7</v>
      </c>
      <c r="Y130" s="16">
        <v>7</v>
      </c>
      <c r="Z130" s="16">
        <v>7</v>
      </c>
      <c r="AA130" s="16">
        <v>7</v>
      </c>
      <c r="AB130" s="16">
        <v>7</v>
      </c>
      <c r="AC130" s="16">
        <f t="shared" si="85"/>
        <v>789</v>
      </c>
      <c r="AD130" s="16">
        <f t="shared" si="128"/>
        <v>762</v>
      </c>
      <c r="AE130" s="16">
        <f t="shared" si="128"/>
        <v>762</v>
      </c>
      <c r="AF130" s="16">
        <f t="shared" si="128"/>
        <v>762</v>
      </c>
      <c r="AG130" s="16">
        <f t="shared" si="128"/>
        <v>762</v>
      </c>
      <c r="AH130" s="16">
        <f t="shared" si="128"/>
        <v>762</v>
      </c>
      <c r="AI130" s="28">
        <f t="shared" si="86"/>
        <v>577003.67000000004</v>
      </c>
      <c r="AJ130" s="28">
        <f t="shared" si="127"/>
        <v>461602.93600000005</v>
      </c>
      <c r="AK130" s="28">
        <f t="shared" si="127"/>
        <v>461602.93600000005</v>
      </c>
      <c r="AL130" s="28">
        <f t="shared" si="127"/>
        <v>461602.93600000005</v>
      </c>
      <c r="AM130" s="28">
        <f t="shared" si="127"/>
        <v>461602.93600000005</v>
      </c>
      <c r="AN130" s="28">
        <f t="shared" si="127"/>
        <v>461602.93600000005</v>
      </c>
      <c r="AO130" s="30"/>
      <c r="AP130" s="28"/>
      <c r="AQ130" s="16">
        <v>5</v>
      </c>
      <c r="AR130" s="16">
        <f t="shared" si="88"/>
        <v>989</v>
      </c>
      <c r="AS130" s="28">
        <f t="shared" si="89"/>
        <v>1332</v>
      </c>
      <c r="AT130" s="28"/>
      <c r="AU130" s="30">
        <v>2885018.35</v>
      </c>
      <c r="AV130" s="28" t="str">
        <f t="shared" si="90"/>
        <v>小:0</v>
      </c>
      <c r="AW130" s="28"/>
      <c r="AX130" s="28"/>
      <c r="AZ130" s="28"/>
      <c r="BA130" s="16">
        <f t="shared" si="120"/>
        <v>23154.958571428622</v>
      </c>
      <c r="BC130" s="7">
        <f t="shared" si="91"/>
        <v>737</v>
      </c>
      <c r="BQ130" s="9"/>
      <c r="BR130" s="9">
        <v>5202053</v>
      </c>
      <c r="BS130" s="9">
        <f>[1]monsters!$N130</f>
        <v>191.15</v>
      </c>
      <c r="BT130" s="9">
        <f>[1]monsters!$O130</f>
        <v>19.11</v>
      </c>
      <c r="BU130" s="9">
        <f>[1]monsters!$P130</f>
        <v>1097.1400000000001</v>
      </c>
      <c r="BV130" s="9">
        <f>[1]monsters!$Q130</f>
        <v>109.71</v>
      </c>
      <c r="BW130" s="9">
        <f>[1]monsters!$R130</f>
        <v>23.89</v>
      </c>
      <c r="BX130" s="9">
        <f>[1]monsters!$S130</f>
        <v>2.39</v>
      </c>
      <c r="BY130" s="9">
        <f>[1]monsters!$K130</f>
        <v>1.6</v>
      </c>
      <c r="BZ130" s="7">
        <f>[1]monsters!$D130</f>
        <v>5</v>
      </c>
      <c r="CA130" s="7">
        <f t="shared" si="92"/>
        <v>0.1</v>
      </c>
      <c r="CB130" s="7">
        <f t="shared" si="93"/>
        <v>217.57749074074076</v>
      </c>
      <c r="CC130" s="7">
        <f t="shared" si="94"/>
        <v>21.757749074074077</v>
      </c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>
        <v>0</v>
      </c>
      <c r="CR130" s="25" t="b">
        <f t="shared" si="95"/>
        <v>1</v>
      </c>
      <c r="CS130" s="25" t="b">
        <f t="shared" si="96"/>
        <v>1</v>
      </c>
      <c r="CT130" s="25" t="b">
        <f t="shared" si="97"/>
        <v>1</v>
      </c>
      <c r="CU130" s="25" t="b">
        <f t="shared" si="98"/>
        <v>1</v>
      </c>
      <c r="CV130" s="25" t="b">
        <f t="shared" si="99"/>
        <v>1</v>
      </c>
      <c r="CW130" s="25" t="b">
        <f t="shared" si="100"/>
        <v>1</v>
      </c>
      <c r="CX130" s="16" t="str">
        <f t="shared" si="101"/>
        <v>5502073</v>
      </c>
      <c r="CY130" s="16" t="str">
        <f t="shared" si="102"/>
        <v>5200072</v>
      </c>
      <c r="CZ130" s="16" t="str">
        <f t="shared" si="103"/>
        <v>5301072</v>
      </c>
      <c r="DA130" s="16" t="str">
        <f t="shared" si="104"/>
        <v>5201071</v>
      </c>
      <c r="DB130" s="16" t="str">
        <f t="shared" si="105"/>
        <v>5501074</v>
      </c>
      <c r="DC130" s="16" t="str">
        <f t="shared" si="106"/>
        <v>5500071</v>
      </c>
      <c r="DD130" s="16">
        <v>7</v>
      </c>
      <c r="DE130" s="16">
        <v>7</v>
      </c>
      <c r="DF130" s="16">
        <v>7</v>
      </c>
      <c r="DG130" s="16">
        <v>7</v>
      </c>
      <c r="DH130" s="16">
        <v>7</v>
      </c>
      <c r="DI130" s="16">
        <v>7</v>
      </c>
      <c r="DJ130" s="16">
        <v>5</v>
      </c>
      <c r="DK130" s="16">
        <v>5</v>
      </c>
      <c r="DL130" s="16">
        <v>5</v>
      </c>
      <c r="DM130" s="16">
        <v>5</v>
      </c>
      <c r="DN130" s="16">
        <v>5</v>
      </c>
      <c r="DO130" s="16">
        <v>5</v>
      </c>
      <c r="DP130" s="51" t="s">
        <v>227</v>
      </c>
      <c r="DQ130" s="51" t="s">
        <v>210</v>
      </c>
      <c r="DR130" s="36" t="s">
        <v>212</v>
      </c>
      <c r="DS130" s="36" t="s">
        <v>206</v>
      </c>
      <c r="DT130" s="51" t="s">
        <v>226</v>
      </c>
      <c r="DU130" s="51" t="s">
        <v>208</v>
      </c>
      <c r="DV130" s="32">
        <f t="shared" si="69"/>
        <v>2</v>
      </c>
      <c r="DW130" s="32">
        <f t="shared" si="70"/>
        <v>1</v>
      </c>
      <c r="DX130" s="32">
        <f t="shared" si="71"/>
        <v>1</v>
      </c>
      <c r="DY130" s="32">
        <f t="shared" si="72"/>
        <v>1</v>
      </c>
      <c r="DZ130" s="32">
        <f t="shared" si="73"/>
        <v>2</v>
      </c>
      <c r="EA130" s="32">
        <f t="shared" si="74"/>
        <v>2</v>
      </c>
      <c r="EB130" s="41"/>
      <c r="EC130" s="16">
        <v>5501055</v>
      </c>
      <c r="ED130" s="42" t="s">
        <v>235</v>
      </c>
      <c r="EE130" s="16">
        <v>2</v>
      </c>
      <c r="FD130" s="16">
        <v>5502073</v>
      </c>
      <c r="FE130" s="16">
        <v>5200072</v>
      </c>
      <c r="FF130" s="16">
        <v>5301072</v>
      </c>
      <c r="FG130" s="16">
        <v>5201071</v>
      </c>
      <c r="FH130" s="16">
        <v>5501074</v>
      </c>
      <c r="FI130" s="16">
        <v>5500071</v>
      </c>
      <c r="FJ130" t="str">
        <f t="shared" si="107"/>
        <v>木火枪手</v>
      </c>
      <c r="FK130" t="str">
        <f t="shared" si="108"/>
        <v>火刀客</v>
      </c>
      <c r="FL130" t="str">
        <f t="shared" si="109"/>
        <v>火剑士</v>
      </c>
      <c r="FM130" t="str">
        <f t="shared" si="110"/>
        <v>水骑兵</v>
      </c>
      <c r="FN130" t="str">
        <f t="shared" si="111"/>
        <v>光猎人</v>
      </c>
      <c r="FO130" t="str">
        <f t="shared" si="112"/>
        <v>水海盗</v>
      </c>
      <c r="FP130" t="str">
        <f t="shared" si="113"/>
        <v>7</v>
      </c>
      <c r="FQ130" t="str">
        <f t="shared" si="114"/>
        <v>7</v>
      </c>
      <c r="FR130" t="str">
        <f t="shared" si="115"/>
        <v>7</v>
      </c>
      <c r="FS130" t="str">
        <f t="shared" si="116"/>
        <v>7</v>
      </c>
      <c r="FT130" t="str">
        <f t="shared" si="117"/>
        <v>7</v>
      </c>
      <c r="FU130" t="str">
        <f t="shared" si="118"/>
        <v>7</v>
      </c>
      <c r="FV130" t="str">
        <f t="shared" si="121"/>
        <v>5</v>
      </c>
      <c r="FW130" t="str">
        <f t="shared" si="122"/>
        <v>5</v>
      </c>
      <c r="FX130" t="str">
        <f t="shared" si="123"/>
        <v>5</v>
      </c>
      <c r="FY130" t="str">
        <f t="shared" si="124"/>
        <v>5</v>
      </c>
      <c r="FZ130" t="str">
        <f t="shared" si="125"/>
        <v>5</v>
      </c>
      <c r="GA130" t="str">
        <f t="shared" si="126"/>
        <v>5</v>
      </c>
    </row>
    <row r="131" spans="1:183" ht="13.5" customHeight="1">
      <c r="A131" s="1">
        <v>1308</v>
      </c>
      <c r="B131" s="6">
        <v>10122</v>
      </c>
      <c r="C131" s="23" t="str">
        <f t="shared" si="81"/>
        <v>5502073,5200072,5301072,5201071,5501074,5500071</v>
      </c>
      <c r="D131" s="1" t="str">
        <f t="shared" si="82"/>
        <v>7,7,7,7,7,7</v>
      </c>
      <c r="E131" s="53" t="str">
        <f t="shared" si="83"/>
        <v>793,765,765,765,765,765</v>
      </c>
      <c r="F131" s="1">
        <f t="shared" si="68"/>
        <v>2912476</v>
      </c>
      <c r="G131" s="23" t="s">
        <v>34</v>
      </c>
      <c r="H131" s="1" t="s">
        <v>28</v>
      </c>
      <c r="I131" s="1" t="s">
        <v>28</v>
      </c>
      <c r="J131" s="1" t="s">
        <v>28</v>
      </c>
      <c r="K131" s="2" t="s">
        <v>429</v>
      </c>
      <c r="L131" s="1">
        <v>1</v>
      </c>
      <c r="M131" s="1">
        <v>4</v>
      </c>
      <c r="O131" s="25">
        <f t="shared" si="84"/>
        <v>2912476</v>
      </c>
      <c r="P131" s="16">
        <v>2912476</v>
      </c>
      <c r="Q131" s="16">
        <v>5502073</v>
      </c>
      <c r="R131" s="16">
        <v>5200072</v>
      </c>
      <c r="S131" s="16">
        <v>5301072</v>
      </c>
      <c r="T131" s="16">
        <v>5201071</v>
      </c>
      <c r="U131" s="16">
        <v>5501074</v>
      </c>
      <c r="V131" s="16">
        <v>5500071</v>
      </c>
      <c r="W131" s="16">
        <v>7</v>
      </c>
      <c r="X131" s="16">
        <v>7</v>
      </c>
      <c r="Y131" s="16">
        <v>7</v>
      </c>
      <c r="Z131" s="16">
        <v>7</v>
      </c>
      <c r="AA131" s="16">
        <v>7</v>
      </c>
      <c r="AB131" s="16">
        <v>7</v>
      </c>
      <c r="AC131" s="16">
        <f t="shared" si="85"/>
        <v>793</v>
      </c>
      <c r="AD131" s="16">
        <f t="shared" si="128"/>
        <v>765</v>
      </c>
      <c r="AE131" s="16">
        <f t="shared" si="128"/>
        <v>765</v>
      </c>
      <c r="AF131" s="16">
        <f t="shared" si="128"/>
        <v>765</v>
      </c>
      <c r="AG131" s="16">
        <f t="shared" si="128"/>
        <v>765</v>
      </c>
      <c r="AH131" s="16">
        <f t="shared" si="128"/>
        <v>765</v>
      </c>
      <c r="AI131" s="28">
        <f t="shared" si="86"/>
        <v>582495.20000000007</v>
      </c>
      <c r="AJ131" s="28">
        <f t="shared" si="127"/>
        <v>465996.16000000003</v>
      </c>
      <c r="AK131" s="28">
        <f t="shared" si="127"/>
        <v>465996.16000000003</v>
      </c>
      <c r="AL131" s="28">
        <f t="shared" si="127"/>
        <v>465996.16000000003</v>
      </c>
      <c r="AM131" s="28">
        <f t="shared" si="127"/>
        <v>465996.16000000003</v>
      </c>
      <c r="AN131" s="28">
        <f t="shared" si="127"/>
        <v>465996.16000000003</v>
      </c>
      <c r="AO131" s="30"/>
      <c r="AP131" s="28"/>
      <c r="AQ131" s="16">
        <v>5</v>
      </c>
      <c r="AR131" s="16">
        <f t="shared" si="88"/>
        <v>993</v>
      </c>
      <c r="AS131" s="28">
        <f t="shared" si="89"/>
        <v>1333</v>
      </c>
      <c r="AT131" s="28"/>
      <c r="AU131" s="30">
        <v>2912476</v>
      </c>
      <c r="AV131" s="28" t="str">
        <f t="shared" si="90"/>
        <v>小:0</v>
      </c>
      <c r="AW131" s="28"/>
      <c r="AX131" s="28"/>
      <c r="AZ131" s="28"/>
      <c r="BA131" s="16">
        <f t="shared" si="120"/>
        <v>23207.234285714338</v>
      </c>
      <c r="BC131" s="7">
        <f t="shared" si="91"/>
        <v>741</v>
      </c>
      <c r="BQ131" s="9"/>
      <c r="BR131" s="9">
        <v>5302053</v>
      </c>
      <c r="BS131" s="9">
        <f>[1]monsters!$N131</f>
        <v>144</v>
      </c>
      <c r="BT131" s="9">
        <f>[1]monsters!$O131</f>
        <v>14.4</v>
      </c>
      <c r="BU131" s="9">
        <f>[1]monsters!$P131</f>
        <v>1728</v>
      </c>
      <c r="BV131" s="9">
        <f>[1]monsters!$Q131</f>
        <v>172.8</v>
      </c>
      <c r="BW131" s="9">
        <f>[1]monsters!$R131</f>
        <v>36</v>
      </c>
      <c r="BX131" s="9">
        <f>[1]monsters!$S131</f>
        <v>3.6</v>
      </c>
      <c r="BY131" s="9">
        <f>[1]monsters!$K131</f>
        <v>1.5</v>
      </c>
      <c r="BZ131" s="7">
        <f>[1]monsters!$D131</f>
        <v>2</v>
      </c>
      <c r="CA131" s="7">
        <f t="shared" si="92"/>
        <v>0.1</v>
      </c>
      <c r="CB131" s="7">
        <f t="shared" si="93"/>
        <v>194.2618181818182</v>
      </c>
      <c r="CC131" s="7">
        <f t="shared" si="94"/>
        <v>19.426181818181821</v>
      </c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>
        <v>0</v>
      </c>
      <c r="CR131" s="25" t="b">
        <f t="shared" si="95"/>
        <v>1</v>
      </c>
      <c r="CS131" s="25" t="b">
        <f t="shared" si="96"/>
        <v>1</v>
      </c>
      <c r="CT131" s="25" t="b">
        <f t="shared" si="97"/>
        <v>1</v>
      </c>
      <c r="CU131" s="25" t="b">
        <f t="shared" si="98"/>
        <v>1</v>
      </c>
      <c r="CV131" s="25" t="b">
        <f t="shared" si="99"/>
        <v>1</v>
      </c>
      <c r="CW131" s="25" t="b">
        <f t="shared" si="100"/>
        <v>1</v>
      </c>
      <c r="CX131" s="16" t="str">
        <f t="shared" si="101"/>
        <v>5502073</v>
      </c>
      <c r="CY131" s="16" t="str">
        <f t="shared" si="102"/>
        <v>5200072</v>
      </c>
      <c r="CZ131" s="16" t="str">
        <f t="shared" si="103"/>
        <v>5301072</v>
      </c>
      <c r="DA131" s="16" t="str">
        <f t="shared" si="104"/>
        <v>5201071</v>
      </c>
      <c r="DB131" s="16" t="str">
        <f t="shared" si="105"/>
        <v>5501074</v>
      </c>
      <c r="DC131" s="16" t="str">
        <f t="shared" si="106"/>
        <v>5500071</v>
      </c>
      <c r="DD131" s="16">
        <v>7</v>
      </c>
      <c r="DE131" s="16">
        <v>7</v>
      </c>
      <c r="DF131" s="16">
        <v>7</v>
      </c>
      <c r="DG131" s="16">
        <v>7</v>
      </c>
      <c r="DH131" s="16">
        <v>7</v>
      </c>
      <c r="DI131" s="16">
        <v>7</v>
      </c>
      <c r="DJ131" s="16">
        <v>5</v>
      </c>
      <c r="DK131" s="16">
        <v>5</v>
      </c>
      <c r="DL131" s="16">
        <v>5</v>
      </c>
      <c r="DM131" s="16">
        <v>5</v>
      </c>
      <c r="DN131" s="16">
        <v>5</v>
      </c>
      <c r="DO131" s="16">
        <v>5</v>
      </c>
      <c r="DP131" s="51" t="s">
        <v>227</v>
      </c>
      <c r="DQ131" s="51" t="s">
        <v>210</v>
      </c>
      <c r="DR131" s="51" t="s">
        <v>212</v>
      </c>
      <c r="DS131" s="36" t="s">
        <v>206</v>
      </c>
      <c r="DT131" s="36" t="s">
        <v>226</v>
      </c>
      <c r="DU131" s="36" t="s">
        <v>208</v>
      </c>
      <c r="DV131" s="32">
        <f t="shared" si="69"/>
        <v>2</v>
      </c>
      <c r="DW131" s="32">
        <f t="shared" si="70"/>
        <v>1</v>
      </c>
      <c r="DX131" s="32">
        <f t="shared" si="71"/>
        <v>1</v>
      </c>
      <c r="DY131" s="32">
        <f t="shared" si="72"/>
        <v>1</v>
      </c>
      <c r="DZ131" s="32">
        <f t="shared" si="73"/>
        <v>2</v>
      </c>
      <c r="EA131" s="32">
        <f t="shared" si="74"/>
        <v>2</v>
      </c>
      <c r="EB131" s="41"/>
      <c r="EC131" s="16">
        <v>5200061</v>
      </c>
      <c r="ED131" s="40" t="s">
        <v>205</v>
      </c>
      <c r="EE131" s="16">
        <v>1</v>
      </c>
      <c r="FD131" s="16">
        <v>5502073</v>
      </c>
      <c r="FE131" s="16">
        <v>5200072</v>
      </c>
      <c r="FF131" s="16">
        <v>5301072</v>
      </c>
      <c r="FG131" s="16">
        <v>5201071</v>
      </c>
      <c r="FH131" s="16">
        <v>5501074</v>
      </c>
      <c r="FI131" s="16">
        <v>5500071</v>
      </c>
      <c r="FJ131" t="str">
        <f t="shared" si="107"/>
        <v>木火枪手</v>
      </c>
      <c r="FK131" t="str">
        <f t="shared" si="108"/>
        <v>火刀客</v>
      </c>
      <c r="FL131" t="str">
        <f t="shared" si="109"/>
        <v>火剑士</v>
      </c>
      <c r="FM131" t="str">
        <f t="shared" si="110"/>
        <v>水骑兵</v>
      </c>
      <c r="FN131" t="str">
        <f t="shared" si="111"/>
        <v>光猎人</v>
      </c>
      <c r="FO131" t="str">
        <f t="shared" si="112"/>
        <v>水海盗</v>
      </c>
      <c r="FP131" t="str">
        <f t="shared" si="113"/>
        <v>7</v>
      </c>
      <c r="FQ131" t="str">
        <f t="shared" si="114"/>
        <v>7</v>
      </c>
      <c r="FR131" t="str">
        <f t="shared" si="115"/>
        <v>7</v>
      </c>
      <c r="FS131" t="str">
        <f t="shared" si="116"/>
        <v>7</v>
      </c>
      <c r="FT131" t="str">
        <f t="shared" si="117"/>
        <v>7</v>
      </c>
      <c r="FU131" t="str">
        <f t="shared" si="118"/>
        <v>7</v>
      </c>
      <c r="FV131" t="str">
        <f t="shared" si="121"/>
        <v>5</v>
      </c>
      <c r="FW131" t="str">
        <f t="shared" si="122"/>
        <v>5</v>
      </c>
      <c r="FX131" t="str">
        <f t="shared" si="123"/>
        <v>5</v>
      </c>
      <c r="FY131" t="str">
        <f t="shared" si="124"/>
        <v>5</v>
      </c>
      <c r="FZ131" t="str">
        <f t="shared" si="125"/>
        <v>5</v>
      </c>
      <c r="GA131" t="str">
        <f t="shared" si="126"/>
        <v>5</v>
      </c>
    </row>
    <row r="132" spans="1:183" ht="13.5" customHeight="1">
      <c r="A132" s="1">
        <v>1309</v>
      </c>
      <c r="B132" s="6">
        <v>10122</v>
      </c>
      <c r="C132" s="23" t="str">
        <f t="shared" si="81"/>
        <v>5301072,5302075,5201071,5501074,5502073,5400075</v>
      </c>
      <c r="D132" s="1" t="str">
        <f t="shared" si="82"/>
        <v>7,7,7,7,7,7</v>
      </c>
      <c r="E132" s="53" t="str">
        <f t="shared" si="83"/>
        <v>797,769,769,769,769,769</v>
      </c>
      <c r="F132" s="1">
        <f t="shared" ref="F132:F162" si="129">O132</f>
        <v>2942825</v>
      </c>
      <c r="G132" s="23" t="s">
        <v>34</v>
      </c>
      <c r="H132" s="1" t="s">
        <v>28</v>
      </c>
      <c r="I132" s="1" t="s">
        <v>28</v>
      </c>
      <c r="J132" s="1" t="s">
        <v>28</v>
      </c>
      <c r="K132" s="2" t="s">
        <v>430</v>
      </c>
      <c r="L132" s="1">
        <v>2</v>
      </c>
      <c r="M132" s="1">
        <v>3</v>
      </c>
      <c r="O132" s="25">
        <f t="shared" si="84"/>
        <v>2942825</v>
      </c>
      <c r="P132" s="16">
        <v>2942825.4</v>
      </c>
      <c r="Q132" s="16">
        <v>5301072</v>
      </c>
      <c r="R132" s="16">
        <v>5302075</v>
      </c>
      <c r="S132" s="16">
        <v>5201071</v>
      </c>
      <c r="T132" s="16">
        <v>5501074</v>
      </c>
      <c r="U132" s="16">
        <v>5502073</v>
      </c>
      <c r="V132" s="16">
        <v>5400075</v>
      </c>
      <c r="W132" s="16">
        <v>7</v>
      </c>
      <c r="X132" s="16">
        <v>7</v>
      </c>
      <c r="Y132" s="16">
        <v>7</v>
      </c>
      <c r="Z132" s="16">
        <v>7</v>
      </c>
      <c r="AA132" s="16">
        <v>7</v>
      </c>
      <c r="AB132" s="16">
        <v>7</v>
      </c>
      <c r="AC132" s="16">
        <f t="shared" si="85"/>
        <v>797</v>
      </c>
      <c r="AD132" s="16">
        <f t="shared" si="128"/>
        <v>769</v>
      </c>
      <c r="AE132" s="16">
        <f t="shared" si="128"/>
        <v>769</v>
      </c>
      <c r="AF132" s="16">
        <f t="shared" si="128"/>
        <v>769</v>
      </c>
      <c r="AG132" s="16">
        <f t="shared" si="128"/>
        <v>769</v>
      </c>
      <c r="AH132" s="16">
        <f t="shared" si="128"/>
        <v>769</v>
      </c>
      <c r="AI132" s="28">
        <f t="shared" si="86"/>
        <v>588565.07999999996</v>
      </c>
      <c r="AJ132" s="28">
        <f t="shared" si="127"/>
        <v>470852.06400000001</v>
      </c>
      <c r="AK132" s="28">
        <f t="shared" si="127"/>
        <v>470852.06400000001</v>
      </c>
      <c r="AL132" s="28">
        <f t="shared" si="127"/>
        <v>470852.06400000001</v>
      </c>
      <c r="AM132" s="28">
        <f t="shared" si="127"/>
        <v>470852.06400000001</v>
      </c>
      <c r="AN132" s="28">
        <f t="shared" si="127"/>
        <v>470852.06400000001</v>
      </c>
      <c r="AO132" s="30"/>
      <c r="AP132" s="28"/>
      <c r="AQ132" s="16">
        <v>5</v>
      </c>
      <c r="AR132" s="16">
        <f t="shared" si="88"/>
        <v>999</v>
      </c>
      <c r="AS132" s="28">
        <f t="shared" si="89"/>
        <v>1334</v>
      </c>
      <c r="AT132" s="28"/>
      <c r="AU132" s="30">
        <v>2942825.4</v>
      </c>
      <c r="AV132" s="28" t="str">
        <f t="shared" si="90"/>
        <v>小:0</v>
      </c>
      <c r="AW132" s="28"/>
      <c r="AX132" s="28"/>
      <c r="AZ132" s="28"/>
      <c r="BA132" s="16">
        <f t="shared" si="120"/>
        <v>23259.510000000053</v>
      </c>
      <c r="BC132" s="7">
        <f t="shared" si="91"/>
        <v>745</v>
      </c>
      <c r="BQ132" s="9"/>
      <c r="BR132" s="9">
        <v>5301053</v>
      </c>
      <c r="BS132" s="9">
        <f>[1]monsters!$N132</f>
        <v>138.24</v>
      </c>
      <c r="BT132" s="9">
        <f>[1]monsters!$O132</f>
        <v>13.82</v>
      </c>
      <c r="BU132" s="9">
        <f>[1]monsters!$P132</f>
        <v>2160</v>
      </c>
      <c r="BV132" s="9">
        <f>[1]monsters!$Q132</f>
        <v>216</v>
      </c>
      <c r="BW132" s="9">
        <f>[1]monsters!$R132</f>
        <v>46.08</v>
      </c>
      <c r="BX132" s="9">
        <f>[1]monsters!$S132</f>
        <v>4.6100000000000003</v>
      </c>
      <c r="BY132" s="9">
        <f>[1]monsters!$K132</f>
        <v>1.8</v>
      </c>
      <c r="BZ132" s="7">
        <f>[1]monsters!$D132</f>
        <v>2</v>
      </c>
      <c r="CA132" s="7">
        <f t="shared" si="92"/>
        <v>0.1</v>
      </c>
      <c r="CB132" s="7">
        <f t="shared" si="93"/>
        <v>203.36407272727274</v>
      </c>
      <c r="CC132" s="7">
        <f t="shared" si="94"/>
        <v>20.336407272727275</v>
      </c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>
        <v>0</v>
      </c>
      <c r="CR132" s="25" t="b">
        <f t="shared" si="95"/>
        <v>1</v>
      </c>
      <c r="CS132" s="25" t="b">
        <f t="shared" si="96"/>
        <v>1</v>
      </c>
      <c r="CT132" s="25" t="b">
        <f t="shared" si="97"/>
        <v>1</v>
      </c>
      <c r="CU132" s="25" t="b">
        <f t="shared" si="98"/>
        <v>1</v>
      </c>
      <c r="CV132" s="25" t="b">
        <f t="shared" si="99"/>
        <v>1</v>
      </c>
      <c r="CW132" s="25" t="b">
        <f t="shared" si="100"/>
        <v>1</v>
      </c>
      <c r="CX132" s="16" t="str">
        <f t="shared" si="101"/>
        <v>5301072</v>
      </c>
      <c r="CY132" s="16" t="str">
        <f t="shared" si="102"/>
        <v>5302075</v>
      </c>
      <c r="CZ132" s="16" t="str">
        <f t="shared" si="103"/>
        <v>5201071</v>
      </c>
      <c r="DA132" s="16" t="str">
        <f t="shared" si="104"/>
        <v>5501074</v>
      </c>
      <c r="DB132" s="16" t="str">
        <f t="shared" si="105"/>
        <v>5502073</v>
      </c>
      <c r="DC132" s="16" t="str">
        <f t="shared" si="106"/>
        <v>5400075</v>
      </c>
      <c r="DD132" s="16">
        <v>7</v>
      </c>
      <c r="DE132" s="16">
        <v>7</v>
      </c>
      <c r="DF132" s="16">
        <v>7</v>
      </c>
      <c r="DG132" s="16">
        <v>7</v>
      </c>
      <c r="DH132" s="16">
        <v>7</v>
      </c>
      <c r="DI132" s="16">
        <v>7</v>
      </c>
      <c r="DJ132" s="16">
        <v>5</v>
      </c>
      <c r="DK132" s="16">
        <v>5</v>
      </c>
      <c r="DL132" s="16">
        <v>5</v>
      </c>
      <c r="DM132" s="16">
        <v>5</v>
      </c>
      <c r="DN132" s="16">
        <v>5</v>
      </c>
      <c r="DO132" s="16">
        <v>5</v>
      </c>
      <c r="DP132" s="51" t="s">
        <v>212</v>
      </c>
      <c r="DQ132" s="51" t="s">
        <v>234</v>
      </c>
      <c r="DR132" s="51" t="s">
        <v>206</v>
      </c>
      <c r="DS132" s="51" t="s">
        <v>226</v>
      </c>
      <c r="DT132" s="36" t="s">
        <v>227</v>
      </c>
      <c r="DU132" s="36" t="s">
        <v>222</v>
      </c>
      <c r="DV132" s="32">
        <f t="shared" ref="DV132:DV162" si="130">INDEX($EE$4:$EE$801,MATCH(DP132,$ED$4:$ED$801,0))</f>
        <v>1</v>
      </c>
      <c r="DW132" s="32">
        <f t="shared" ref="DW132:DW162" si="131">INDEX($EE$4:$EE$801,MATCH(DQ132,$ED$4:$ED$801,0))</f>
        <v>1</v>
      </c>
      <c r="DX132" s="32">
        <f t="shared" ref="DX132:DX162" si="132">INDEX($EE$4:$EE$801,MATCH(DR132,$ED$4:$ED$801,0))</f>
        <v>1</v>
      </c>
      <c r="DY132" s="32">
        <f t="shared" ref="DY132:DY162" si="133">INDEX($EE$4:$EE$801,MATCH(DS132,$ED$4:$ED$801,0))</f>
        <v>2</v>
      </c>
      <c r="DZ132" s="32">
        <f t="shared" ref="DZ132:DZ162" si="134">INDEX($EE$4:$EE$801,MATCH(DT132,$ED$4:$ED$801,0))</f>
        <v>2</v>
      </c>
      <c r="EA132" s="32">
        <f t="shared" ref="EA132:EA162" si="135">INDEX($EE$4:$EE$801,MATCH(DU132,$ED$4:$ED$801,0))</f>
        <v>2</v>
      </c>
      <c r="EB132" s="41"/>
      <c r="EC132" s="16">
        <v>5201061</v>
      </c>
      <c r="ED132" s="40" t="s">
        <v>206</v>
      </c>
      <c r="EE132" s="16">
        <v>1</v>
      </c>
      <c r="FD132" s="16">
        <v>5301072</v>
      </c>
      <c r="FE132" s="16">
        <v>5302075</v>
      </c>
      <c r="FF132" s="16">
        <v>5201071</v>
      </c>
      <c r="FG132" s="16">
        <v>5501074</v>
      </c>
      <c r="FH132" s="16">
        <v>5502073</v>
      </c>
      <c r="FI132" s="16">
        <v>5400075</v>
      </c>
      <c r="FJ132" t="str">
        <f t="shared" si="107"/>
        <v>火剑士</v>
      </c>
      <c r="FK132" t="str">
        <f t="shared" si="108"/>
        <v>暗盗贼</v>
      </c>
      <c r="FL132" t="str">
        <f t="shared" si="109"/>
        <v>水骑兵</v>
      </c>
      <c r="FM132" t="str">
        <f t="shared" si="110"/>
        <v>光猎人</v>
      </c>
      <c r="FN132" t="str">
        <f t="shared" si="111"/>
        <v>木火枪手</v>
      </c>
      <c r="FO132" t="str">
        <f t="shared" si="112"/>
        <v>暗巫师</v>
      </c>
      <c r="FP132" t="str">
        <f t="shared" si="113"/>
        <v>7</v>
      </c>
      <c r="FQ132" t="str">
        <f t="shared" si="114"/>
        <v>7</v>
      </c>
      <c r="FR132" t="str">
        <f t="shared" si="115"/>
        <v>7</v>
      </c>
      <c r="FS132" t="str">
        <f t="shared" si="116"/>
        <v>7</v>
      </c>
      <c r="FT132" t="str">
        <f t="shared" si="117"/>
        <v>7</v>
      </c>
      <c r="FU132" t="str">
        <f t="shared" si="118"/>
        <v>7</v>
      </c>
      <c r="FV132" t="str">
        <f t="shared" ref="FV132:FV163" si="136">LEFT(FD132,1)</f>
        <v>5</v>
      </c>
      <c r="FW132" t="str">
        <f t="shared" ref="FW132:FW163" si="137">LEFT(FE132,1)</f>
        <v>5</v>
      </c>
      <c r="FX132" t="str">
        <f t="shared" ref="FX132:FX163" si="138">LEFT(FF132,1)</f>
        <v>5</v>
      </c>
      <c r="FY132" t="str">
        <f t="shared" ref="FY132:FY163" si="139">LEFT(FG132,1)</f>
        <v>5</v>
      </c>
      <c r="FZ132" t="str">
        <f t="shared" ref="FZ132:FZ163" si="140">LEFT(FH132,1)</f>
        <v>5</v>
      </c>
      <c r="GA132" t="str">
        <f t="shared" ref="GA132:GA163" si="141">LEFT(FI132,1)</f>
        <v>5</v>
      </c>
    </row>
    <row r="133" spans="1:183" ht="13.5" customHeight="1">
      <c r="A133" s="1">
        <v>1310</v>
      </c>
      <c r="B133" s="6">
        <v>10122</v>
      </c>
      <c r="C133" s="23" t="str">
        <f t="shared" ref="C133:C163" si="142">Q133&amp;","&amp;R133&amp;","&amp;S133&amp;","&amp;T133&amp;","&amp;U133&amp;","&amp;V133</f>
        <v>5502073,5200072,5301072,5201071,5501074,5500071</v>
      </c>
      <c r="D133" s="1" t="str">
        <f t="shared" ref="D133:D163" si="143">W133&amp;","&amp;X133&amp;","&amp;Y133&amp;","&amp;Z133&amp;","&amp;AA133&amp;","&amp;AB133</f>
        <v>7,7,7,7,7,7</v>
      </c>
      <c r="E133" s="53" t="str">
        <f t="shared" ref="E133:E163" si="144">AC133&amp;","&amp;AD133&amp;","&amp;AE133&amp;","&amp;AF133&amp;","&amp;AG133&amp;","&amp;AH133</f>
        <v>801,773,773,773,773,773</v>
      </c>
      <c r="F133" s="1">
        <f t="shared" si="129"/>
        <v>2970558</v>
      </c>
      <c r="G133" s="23" t="s">
        <v>34</v>
      </c>
      <c r="H133" s="1" t="s">
        <v>28</v>
      </c>
      <c r="I133" s="1" t="s">
        <v>28</v>
      </c>
      <c r="J133" s="1" t="s">
        <v>28</v>
      </c>
      <c r="K133" s="2" t="s">
        <v>431</v>
      </c>
      <c r="L133" s="1">
        <v>3</v>
      </c>
      <c r="M133" s="1">
        <v>3</v>
      </c>
      <c r="O133" s="25">
        <f t="shared" ref="O133:O162" si="145">ROUND(P133*1,0)</f>
        <v>2970558</v>
      </c>
      <c r="P133" s="16">
        <v>2970558.25</v>
      </c>
      <c r="Q133" s="16">
        <v>5502073</v>
      </c>
      <c r="R133" s="16">
        <v>5200072</v>
      </c>
      <c r="S133" s="16">
        <v>5301072</v>
      </c>
      <c r="T133" s="16">
        <v>5201071</v>
      </c>
      <c r="U133" s="16">
        <v>5501074</v>
      </c>
      <c r="V133" s="16">
        <v>5500071</v>
      </c>
      <c r="W133" s="16">
        <v>7</v>
      </c>
      <c r="X133" s="16">
        <v>7</v>
      </c>
      <c r="Y133" s="16">
        <v>7</v>
      </c>
      <c r="Z133" s="16">
        <v>7</v>
      </c>
      <c r="AA133" s="16">
        <v>7</v>
      </c>
      <c r="AB133" s="16">
        <v>7</v>
      </c>
      <c r="AC133" s="16">
        <f t="shared" ref="AC133:AC163" si="146">IF(AI133&gt;0,FLOOR((POWER((AI133/IF(AND(W133&gt;=2,W133&lt;4),1.1,IF(AND(W133&gt;=4,W133&lt;6),1.2,IF(W133&gt;=6,1.4,1)))/$Z$1),0.5)/INDEX($BD$4:$BQ$4,MATCH(W133,$BD$3:$BQ$3,0))-1)*10,1),"")</f>
        <v>801</v>
      </c>
      <c r="AD133" s="16">
        <f t="shared" si="128"/>
        <v>773</v>
      </c>
      <c r="AE133" s="16">
        <f t="shared" si="128"/>
        <v>773</v>
      </c>
      <c r="AF133" s="16">
        <f t="shared" si="128"/>
        <v>773</v>
      </c>
      <c r="AG133" s="16">
        <f t="shared" si="128"/>
        <v>773</v>
      </c>
      <c r="AH133" s="16">
        <f t="shared" si="128"/>
        <v>773</v>
      </c>
      <c r="AI133" s="28">
        <f t="shared" ref="AI133:AI163" si="147">$P133*0.2</f>
        <v>594111.65</v>
      </c>
      <c r="AJ133" s="28">
        <f t="shared" ref="AJ133:AN163" si="148">$P133*0.16</f>
        <v>475289.32</v>
      </c>
      <c r="AK133" s="28">
        <f t="shared" si="148"/>
        <v>475289.32</v>
      </c>
      <c r="AL133" s="28">
        <f t="shared" si="148"/>
        <v>475289.32</v>
      </c>
      <c r="AM133" s="28">
        <f t="shared" si="148"/>
        <v>475289.32</v>
      </c>
      <c r="AN133" s="28">
        <f t="shared" si="148"/>
        <v>475289.32</v>
      </c>
      <c r="AO133" s="30"/>
      <c r="AP133" s="28"/>
      <c r="AQ133" s="16">
        <v>5</v>
      </c>
      <c r="AR133" s="16">
        <f t="shared" ref="AR133:AR163" si="149">IF(AI133&gt;0,FLOOR((POWER((AI133/IF(AND(AQ133&gt;=2,AQ133&lt;4),1.2,IF(AND(AQ133&gt;=4,AQ133&lt;6),1.4,IF(AQ133&gt;=6,1.6,1)))/$Z$1),0.5)/INDEX($BD$4:$BQ$4,MATCH(AQ133,$BD$3:$BQ$3,0))-1)*10,1),"")</f>
        <v>1003</v>
      </c>
      <c r="AS133" s="28">
        <f t="shared" ref="AS133:AS153" si="150">FLOOR(A133/1,1)+25</f>
        <v>1335</v>
      </c>
      <c r="AT133" s="28"/>
      <c r="AU133" s="30">
        <v>2970558.25</v>
      </c>
      <c r="AV133" s="28" t="str">
        <f t="shared" ref="AV133:AV163" si="151">IF(AU133&gt;P133,"大:"&amp;(AU133-P133)/P133,"小:"&amp;(P133-AU133)/P133)</f>
        <v>小:0</v>
      </c>
      <c r="AW133" s="28"/>
      <c r="AX133" s="28"/>
      <c r="AZ133" s="28"/>
      <c r="BA133" s="16">
        <f t="shared" si="120"/>
        <v>23311.785714285768</v>
      </c>
      <c r="BC133" s="7">
        <f t="shared" ref="BC133:BC196" si="152">FLOOR(POWER(((3000*1.5/0.9/1.05)/(96*INDEX($BD$4:$BO$4,MATCH(W133,$BD$3:$BO$3,0))*8*INDEX($BD$4:$BO$4,MATCH(W133,$BD$3:$BO$3,0)))*AI133/IF(AND(W133&gt;=2,W133&lt;4),1.2,IF(AND(W133&gt;=4,W133&lt;6),1.4,IF(W133&gt;=6,1.6,1)))),1/2)-10,1)</f>
        <v>748</v>
      </c>
      <c r="BQ133" s="9"/>
      <c r="BR133" s="9">
        <v>5400053</v>
      </c>
      <c r="BS133" s="9">
        <f>[1]monsters!$N133</f>
        <v>155.52000000000001</v>
      </c>
      <c r="BT133" s="9">
        <f>[1]monsters!$O133</f>
        <v>15.55</v>
      </c>
      <c r="BU133" s="9">
        <f>[1]monsters!$P133</f>
        <v>1920</v>
      </c>
      <c r="BV133" s="9">
        <f>[1]monsters!$Q133</f>
        <v>192</v>
      </c>
      <c r="BW133" s="9">
        <f>[1]monsters!$R133</f>
        <v>31.1</v>
      </c>
      <c r="BX133" s="9">
        <f>[1]monsters!$S133</f>
        <v>3.11</v>
      </c>
      <c r="BY133" s="9">
        <f>[1]monsters!$K133</f>
        <v>1.8</v>
      </c>
      <c r="BZ133" s="7">
        <f>[1]monsters!$D133</f>
        <v>2</v>
      </c>
      <c r="CA133" s="7">
        <f t="shared" ref="CA133:CA196" si="153">INDEX($CH$5:$CH$10,MATCH($BZ133,$CG$5:$CG$10))</f>
        <v>0.1</v>
      </c>
      <c r="CB133" s="7">
        <f t="shared" ref="CB133:CB196" si="154">(BU133/33/(1-CA133)/(1-0)+BS133*(1+0.5*0.1)*0.9)</f>
        <v>211.61286464646466</v>
      </c>
      <c r="CC133" s="7">
        <f t="shared" ref="CC133:CC196" si="155">(BU133/33/(1-CA133)/(1-0)+BS133*(1+0.5*0.1)*0.9)*0.1</f>
        <v>21.161286464646466</v>
      </c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>
        <v>1</v>
      </c>
      <c r="CR133" s="25" t="b">
        <f t="shared" ref="CR133:CR163" si="156">IF(ISERROR(MATCH(INT(CX133),$EC$4:$EC$801,0))=FALSE,TRUE)</f>
        <v>1</v>
      </c>
      <c r="CS133" s="25" t="b">
        <f t="shared" ref="CS133:CS163" si="157">IF(ISERROR(MATCH(INT(CY133),$EC$4:$EC$801,0))=FALSE,TRUE)</f>
        <v>1</v>
      </c>
      <c r="CT133" s="25" t="b">
        <f t="shared" ref="CT133:CT163" si="158">IF(ISERROR(MATCH(INT(CZ133),$EC$4:$EC$801,0))=FALSE,TRUE)</f>
        <v>1</v>
      </c>
      <c r="CU133" s="25" t="b">
        <f t="shared" ref="CU133:CU163" si="159">IF(ISERROR(MATCH(INT(DA133),$EC$4:$EC$801,0))=FALSE,TRUE)</f>
        <v>1</v>
      </c>
      <c r="CV133" s="25" t="b">
        <f t="shared" ref="CV133:CV163" si="160">IF(ISERROR(MATCH(INT(DB133),$EC$4:$EC$801,0))=FALSE,TRUE)</f>
        <v>1</v>
      </c>
      <c r="CW133" s="25" t="b">
        <f t="shared" ref="CW133:CW163" si="161">IF(ISERROR(MATCH(INT(DC133),$EC$4:$EC$801,0))=FALSE,TRUE)</f>
        <v>1</v>
      </c>
      <c r="CX133" s="16" t="str">
        <f t="shared" ref="CX133:CX163" si="162">REPLACE(REPLACE(INDEX($EC$4:$EC$801,MATCH(DP133,$ED$4:$ED$801,0)),IF(DD133&gt;9,5,6),IF(DD133&gt;9,2,1),DD133),1,1,DJ133)</f>
        <v>5502073</v>
      </c>
      <c r="CY133" s="16" t="str">
        <f t="shared" ref="CY133:CY163" si="163">REPLACE(REPLACE(INDEX($EC$4:$EC$801,MATCH(DQ133,$ED$4:$ED$801,0)),IF(DE133&gt;9,5,6),IF(DE133&gt;9,2,1),DE133),1,1,DK133)</f>
        <v>5200072</v>
      </c>
      <c r="CZ133" s="16" t="str">
        <f t="shared" ref="CZ133:CZ163" si="164">REPLACE(REPLACE(INDEX($EC$4:$EC$801,MATCH(DR133,$ED$4:$ED$801,0)),IF(DF133&gt;9,5,6),IF(DF133&gt;9,2,1),DF133),1,1,DL133)</f>
        <v>5301072</v>
      </c>
      <c r="DA133" s="16" t="str">
        <f t="shared" ref="DA133:DA163" si="165">REPLACE(REPLACE(INDEX($EC$4:$EC$801,MATCH(DS133,$ED$4:$ED$801,0)),IF(DG133&gt;9,5,6),IF(DG133&gt;9,2,1),DG133),1,1,DM133)</f>
        <v>5201071</v>
      </c>
      <c r="DB133" s="16" t="str">
        <f t="shared" ref="DB133:DB163" si="166">REPLACE(REPLACE(INDEX($EC$4:$EC$801,MATCH(DT133,$ED$4:$ED$801,0)),IF(DH133&gt;9,5,6),IF(DH133&gt;9,2,1),DH133),1,1,DN133)</f>
        <v>5501074</v>
      </c>
      <c r="DC133" s="16" t="str">
        <f t="shared" ref="DC133:DC163" si="167">REPLACE(REPLACE(INDEX($EC$4:$EC$801,MATCH(DU133,$ED$4:$ED$801,0)),IF(DI133&gt;9,5,6),IF(DI133&gt;9,2,1),DI133),1,1,DO133)</f>
        <v>5500071</v>
      </c>
      <c r="DD133" s="16">
        <v>7</v>
      </c>
      <c r="DE133" s="16">
        <v>7</v>
      </c>
      <c r="DF133" s="16">
        <v>7</v>
      </c>
      <c r="DG133" s="16">
        <v>7</v>
      </c>
      <c r="DH133" s="16">
        <v>7</v>
      </c>
      <c r="DI133" s="16">
        <v>7</v>
      </c>
      <c r="DJ133" s="16">
        <v>5</v>
      </c>
      <c r="DK133" s="16">
        <v>5</v>
      </c>
      <c r="DL133" s="16">
        <v>5</v>
      </c>
      <c r="DM133" s="16">
        <v>5</v>
      </c>
      <c r="DN133" s="16">
        <v>5</v>
      </c>
      <c r="DO133" s="16">
        <v>5</v>
      </c>
      <c r="DP133" s="51" t="s">
        <v>227</v>
      </c>
      <c r="DQ133" s="13" t="s">
        <v>210</v>
      </c>
      <c r="DR133" s="13" t="s">
        <v>212</v>
      </c>
      <c r="DS133" s="36" t="s">
        <v>206</v>
      </c>
      <c r="DT133" s="36" t="s">
        <v>226</v>
      </c>
      <c r="DU133" s="36" t="s">
        <v>208</v>
      </c>
      <c r="DV133" s="32">
        <f t="shared" si="130"/>
        <v>2</v>
      </c>
      <c r="DW133" s="32">
        <f t="shared" si="131"/>
        <v>1</v>
      </c>
      <c r="DX133" s="32">
        <f t="shared" si="132"/>
        <v>1</v>
      </c>
      <c r="DY133" s="32">
        <f t="shared" si="133"/>
        <v>1</v>
      </c>
      <c r="DZ133" s="32">
        <f t="shared" si="134"/>
        <v>2</v>
      </c>
      <c r="EA133" s="32">
        <f t="shared" si="135"/>
        <v>2</v>
      </c>
      <c r="EB133" s="41"/>
      <c r="EC133" s="16">
        <v>5202061</v>
      </c>
      <c r="ED133" s="40" t="s">
        <v>117</v>
      </c>
      <c r="EE133" s="16">
        <v>1</v>
      </c>
      <c r="FD133" s="16">
        <v>5502073</v>
      </c>
      <c r="FE133" s="16">
        <v>5200072</v>
      </c>
      <c r="FF133" s="16">
        <v>5301072</v>
      </c>
      <c r="FG133" s="16">
        <v>5201071</v>
      </c>
      <c r="FH133" s="16">
        <v>5501074</v>
      </c>
      <c r="FI133" s="16">
        <v>5500071</v>
      </c>
      <c r="FJ133" t="str">
        <f t="shared" ref="FJ133:FJ163" si="168">INDEX($ED$4:$ED$801,MATCH(FD133,$EC$4:$EC$801,0))</f>
        <v>木火枪手</v>
      </c>
      <c r="FK133" t="str">
        <f t="shared" ref="FK133:FK163" si="169">INDEX($ED$4:$ED$801,MATCH(FE133,$EC$4:$EC$801,0))</f>
        <v>火刀客</v>
      </c>
      <c r="FL133" t="str">
        <f t="shared" ref="FL133:FL163" si="170">INDEX($ED$4:$ED$801,MATCH(FF133,$EC$4:$EC$801,0))</f>
        <v>火剑士</v>
      </c>
      <c r="FM133" t="str">
        <f t="shared" ref="FM133:FM163" si="171">INDEX($ED$4:$ED$801,MATCH(FG133,$EC$4:$EC$801,0))</f>
        <v>水骑兵</v>
      </c>
      <c r="FN133" t="str">
        <f t="shared" ref="FN133:FN163" si="172">INDEX($ED$4:$ED$801,MATCH(FH133,$EC$4:$EC$801,0))</f>
        <v>光猎人</v>
      </c>
      <c r="FO133" t="str">
        <f t="shared" ref="FO133:FO163" si="173">INDEX($ED$4:$ED$801,MATCH(FI133,$EC$4:$EC$801,0))</f>
        <v>水海盗</v>
      </c>
      <c r="FP133" t="str">
        <f t="shared" ref="FP133:FP163" si="174">LEFT(RIGHT(FD133,2),1)</f>
        <v>7</v>
      </c>
      <c r="FQ133" t="str">
        <f t="shared" ref="FQ133:FQ163" si="175">LEFT(RIGHT(FE133,2),1)</f>
        <v>7</v>
      </c>
      <c r="FR133" t="str">
        <f t="shared" ref="FR133:FR163" si="176">LEFT(RIGHT(FF133,2),1)</f>
        <v>7</v>
      </c>
      <c r="FS133" t="str">
        <f t="shared" ref="FS133:FS163" si="177">LEFT(RIGHT(FG133,2),1)</f>
        <v>7</v>
      </c>
      <c r="FT133" t="str">
        <f t="shared" ref="FT133:FT163" si="178">LEFT(RIGHT(FH133,2),1)</f>
        <v>7</v>
      </c>
      <c r="FU133" t="str">
        <f t="shared" ref="FU133:FU163" si="179">LEFT(RIGHT(FI133,2),1)</f>
        <v>7</v>
      </c>
      <c r="FV133" t="str">
        <f t="shared" si="136"/>
        <v>5</v>
      </c>
      <c r="FW133" t="str">
        <f t="shared" si="137"/>
        <v>5</v>
      </c>
      <c r="FX133" t="str">
        <f t="shared" si="138"/>
        <v>5</v>
      </c>
      <c r="FY133" t="str">
        <f t="shared" si="139"/>
        <v>5</v>
      </c>
      <c r="FZ133" t="str">
        <f t="shared" si="140"/>
        <v>5</v>
      </c>
      <c r="GA133" t="str">
        <f t="shared" si="141"/>
        <v>5</v>
      </c>
    </row>
    <row r="134" spans="1:183" ht="13.5" customHeight="1">
      <c r="A134" s="1">
        <v>1401</v>
      </c>
      <c r="B134" s="6">
        <v>10142</v>
      </c>
      <c r="C134" s="23" t="str">
        <f t="shared" si="142"/>
        <v>5202071,5202072,5202072,5402071,5402072,5402071</v>
      </c>
      <c r="D134" s="1" t="str">
        <f t="shared" si="143"/>
        <v>7,7,7,7,7,7</v>
      </c>
      <c r="E134" s="53" t="str">
        <f t="shared" si="144"/>
        <v>806,778,778,778,778,778</v>
      </c>
      <c r="F134" s="1">
        <f t="shared" si="129"/>
        <v>3009592</v>
      </c>
      <c r="G134" s="23" t="s">
        <v>34</v>
      </c>
      <c r="H134" s="1" t="s">
        <v>28</v>
      </c>
      <c r="I134" s="1" t="s">
        <v>28</v>
      </c>
      <c r="J134" s="1" t="s">
        <v>28</v>
      </c>
      <c r="K134" s="2" t="s">
        <v>432</v>
      </c>
      <c r="L134" s="1">
        <v>0</v>
      </c>
      <c r="M134" s="1">
        <v>2</v>
      </c>
      <c r="O134" s="25">
        <f t="shared" si="145"/>
        <v>3009592</v>
      </c>
      <c r="P134" s="16">
        <v>3009591.5</v>
      </c>
      <c r="Q134" s="16">
        <v>5202071</v>
      </c>
      <c r="R134" s="16">
        <v>5202072</v>
      </c>
      <c r="S134" s="16">
        <v>5202072</v>
      </c>
      <c r="T134" s="16">
        <v>5402071</v>
      </c>
      <c r="U134" s="16">
        <v>5402072</v>
      </c>
      <c r="V134" s="16">
        <v>5402071</v>
      </c>
      <c r="W134" s="16">
        <v>7</v>
      </c>
      <c r="X134" s="16">
        <v>7</v>
      </c>
      <c r="Y134" s="16">
        <v>7</v>
      </c>
      <c r="Z134" s="16">
        <v>7</v>
      </c>
      <c r="AA134" s="16">
        <v>7</v>
      </c>
      <c r="AB134" s="16">
        <v>7</v>
      </c>
      <c r="AC134" s="16">
        <f t="shared" si="146"/>
        <v>806</v>
      </c>
      <c r="AD134" s="16">
        <f t="shared" si="128"/>
        <v>778</v>
      </c>
      <c r="AE134" s="16">
        <f t="shared" si="128"/>
        <v>778</v>
      </c>
      <c r="AF134" s="16">
        <f t="shared" si="128"/>
        <v>778</v>
      </c>
      <c r="AG134" s="16">
        <f t="shared" si="128"/>
        <v>778</v>
      </c>
      <c r="AH134" s="16">
        <f t="shared" si="128"/>
        <v>778</v>
      </c>
      <c r="AI134" s="28">
        <f t="shared" si="147"/>
        <v>601918.30000000005</v>
      </c>
      <c r="AJ134" s="28">
        <f t="shared" si="148"/>
        <v>481534.64</v>
      </c>
      <c r="AK134" s="28">
        <f t="shared" si="148"/>
        <v>481534.64</v>
      </c>
      <c r="AL134" s="28">
        <f t="shared" si="148"/>
        <v>481534.64</v>
      </c>
      <c r="AM134" s="28">
        <f t="shared" si="148"/>
        <v>481534.64</v>
      </c>
      <c r="AN134" s="28">
        <f t="shared" si="148"/>
        <v>481534.64</v>
      </c>
      <c r="AO134" s="30"/>
      <c r="AP134" s="28"/>
      <c r="AQ134" s="16">
        <v>5</v>
      </c>
      <c r="AR134" s="16">
        <f t="shared" si="149"/>
        <v>1010</v>
      </c>
      <c r="AS134" s="28">
        <f t="shared" si="150"/>
        <v>1426</v>
      </c>
      <c r="AT134" s="28"/>
      <c r="AU134" s="30">
        <v>3009591.5</v>
      </c>
      <c r="AV134" s="28" t="str">
        <f t="shared" si="151"/>
        <v>小:0</v>
      </c>
      <c r="AW134" s="28"/>
      <c r="AX134" s="28"/>
      <c r="AZ134" s="28"/>
      <c r="BA134" s="16">
        <f t="shared" si="120"/>
        <v>23364.061428571484</v>
      </c>
      <c r="BC134" s="7">
        <f t="shared" si="152"/>
        <v>753</v>
      </c>
      <c r="BQ134" s="9"/>
      <c r="BR134" s="9">
        <v>5401053</v>
      </c>
      <c r="BS134" s="9">
        <f>[1]monsters!$N134</f>
        <v>103.68</v>
      </c>
      <c r="BT134" s="9">
        <f>[1]monsters!$O134</f>
        <v>10.37</v>
      </c>
      <c r="BU134" s="9">
        <f>[1]monsters!$P134</f>
        <v>1920</v>
      </c>
      <c r="BV134" s="9">
        <f>[1]monsters!$Q134</f>
        <v>192</v>
      </c>
      <c r="BW134" s="9">
        <f>[1]monsters!$R134</f>
        <v>20.74</v>
      </c>
      <c r="BX134" s="9">
        <f>[1]monsters!$S134</f>
        <v>2.0699999999999998</v>
      </c>
      <c r="BY134" s="9">
        <f>[1]monsters!$K134</f>
        <v>1.2</v>
      </c>
      <c r="BZ134" s="7">
        <f>[1]monsters!$D134</f>
        <v>3</v>
      </c>
      <c r="CA134" s="7">
        <f t="shared" si="153"/>
        <v>0.1</v>
      </c>
      <c r="CB134" s="7">
        <f t="shared" si="154"/>
        <v>162.62406464646466</v>
      </c>
      <c r="CC134" s="7">
        <f t="shared" si="155"/>
        <v>16.262406464646467</v>
      </c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>
        <v>0</v>
      </c>
      <c r="CR134" s="25" t="b">
        <f t="shared" si="156"/>
        <v>1</v>
      </c>
      <c r="CS134" s="25" t="b">
        <f t="shared" si="157"/>
        <v>1</v>
      </c>
      <c r="CT134" s="25" t="b">
        <f t="shared" si="158"/>
        <v>1</v>
      </c>
      <c r="CU134" s="25" t="b">
        <f t="shared" si="159"/>
        <v>1</v>
      </c>
      <c r="CV134" s="25" t="b">
        <f t="shared" si="160"/>
        <v>1</v>
      </c>
      <c r="CW134" s="25" t="b">
        <f t="shared" si="161"/>
        <v>1</v>
      </c>
      <c r="CX134" s="16" t="str">
        <f t="shared" si="162"/>
        <v>5202071</v>
      </c>
      <c r="CY134" s="16" t="str">
        <f t="shared" si="163"/>
        <v>5202072</v>
      </c>
      <c r="CZ134" s="16" t="str">
        <f t="shared" si="164"/>
        <v>5202072</v>
      </c>
      <c r="DA134" s="16" t="str">
        <f t="shared" si="165"/>
        <v>5402071</v>
      </c>
      <c r="DB134" s="16" t="str">
        <f t="shared" si="166"/>
        <v>5402072</v>
      </c>
      <c r="DC134" s="16" t="str">
        <f t="shared" si="167"/>
        <v>5402071</v>
      </c>
      <c r="DD134" s="16">
        <v>7</v>
      </c>
      <c r="DE134" s="16">
        <v>7</v>
      </c>
      <c r="DF134" s="16">
        <v>7</v>
      </c>
      <c r="DG134" s="16">
        <v>7</v>
      </c>
      <c r="DH134" s="16">
        <v>7</v>
      </c>
      <c r="DI134" s="16">
        <v>7</v>
      </c>
      <c r="DJ134" s="16">
        <v>5</v>
      </c>
      <c r="DK134" s="16">
        <v>5</v>
      </c>
      <c r="DL134" s="16">
        <v>5</v>
      </c>
      <c r="DM134" s="16">
        <v>5</v>
      </c>
      <c r="DN134" s="16">
        <v>5</v>
      </c>
      <c r="DO134" s="16">
        <v>5</v>
      </c>
      <c r="DP134" s="51" t="s">
        <v>117</v>
      </c>
      <c r="DQ134" s="51" t="s">
        <v>211</v>
      </c>
      <c r="DR134" s="51" t="s">
        <v>211</v>
      </c>
      <c r="DS134" s="36" t="s">
        <v>207</v>
      </c>
      <c r="DT134" s="36" t="s">
        <v>214</v>
      </c>
      <c r="DU134" s="36" t="s">
        <v>207</v>
      </c>
      <c r="DV134" s="32">
        <f t="shared" si="130"/>
        <v>1</v>
      </c>
      <c r="DW134" s="32">
        <f t="shared" si="131"/>
        <v>1</v>
      </c>
      <c r="DX134" s="32">
        <f t="shared" si="132"/>
        <v>1</v>
      </c>
      <c r="DY134" s="32">
        <f t="shared" si="133"/>
        <v>2</v>
      </c>
      <c r="DZ134" s="32">
        <f t="shared" si="134"/>
        <v>2</v>
      </c>
      <c r="EA134" s="32">
        <f t="shared" si="135"/>
        <v>2</v>
      </c>
      <c r="EB134" s="41"/>
      <c r="EC134" s="16">
        <v>5301061</v>
      </c>
      <c r="ED134" s="40" t="s">
        <v>113</v>
      </c>
      <c r="EE134" s="16">
        <v>1</v>
      </c>
      <c r="FD134" s="16">
        <v>5202071</v>
      </c>
      <c r="FE134" s="16">
        <v>5202072</v>
      </c>
      <c r="FF134" s="16">
        <v>5202072</v>
      </c>
      <c r="FG134" s="16">
        <v>5402071</v>
      </c>
      <c r="FH134" s="16">
        <v>5402072</v>
      </c>
      <c r="FI134" s="16">
        <v>5402071</v>
      </c>
      <c r="FJ134" t="str">
        <f t="shared" si="168"/>
        <v>水维京</v>
      </c>
      <c r="FK134" t="str">
        <f t="shared" si="169"/>
        <v>火维京</v>
      </c>
      <c r="FL134" t="str">
        <f t="shared" si="170"/>
        <v>火维京</v>
      </c>
      <c r="FM134" t="str">
        <f t="shared" si="171"/>
        <v>水女巫</v>
      </c>
      <c r="FN134" t="str">
        <f t="shared" si="172"/>
        <v>火女巫</v>
      </c>
      <c r="FO134" t="str">
        <f t="shared" si="173"/>
        <v>水女巫</v>
      </c>
      <c r="FP134" t="str">
        <f t="shared" si="174"/>
        <v>7</v>
      </c>
      <c r="FQ134" t="str">
        <f t="shared" si="175"/>
        <v>7</v>
      </c>
      <c r="FR134" t="str">
        <f t="shared" si="176"/>
        <v>7</v>
      </c>
      <c r="FS134" t="str">
        <f t="shared" si="177"/>
        <v>7</v>
      </c>
      <c r="FT134" t="str">
        <f t="shared" si="178"/>
        <v>7</v>
      </c>
      <c r="FU134" t="str">
        <f t="shared" si="179"/>
        <v>7</v>
      </c>
      <c r="FV134" t="str">
        <f t="shared" si="136"/>
        <v>5</v>
      </c>
      <c r="FW134" t="str">
        <f t="shared" si="137"/>
        <v>5</v>
      </c>
      <c r="FX134" t="str">
        <f t="shared" si="138"/>
        <v>5</v>
      </c>
      <c r="FY134" t="str">
        <f t="shared" si="139"/>
        <v>5</v>
      </c>
      <c r="FZ134" t="str">
        <f t="shared" si="140"/>
        <v>5</v>
      </c>
      <c r="GA134" t="str">
        <f t="shared" si="141"/>
        <v>5</v>
      </c>
    </row>
    <row r="135" spans="1:183" ht="13.5" customHeight="1">
      <c r="A135" s="1">
        <v>1402</v>
      </c>
      <c r="B135" s="6">
        <v>10142</v>
      </c>
      <c r="C135" s="23" t="str">
        <f t="shared" si="142"/>
        <v>5201073,5201073,5301073,5601073,5601073,5601073</v>
      </c>
      <c r="D135" s="1" t="str">
        <f t="shared" si="143"/>
        <v>7,7,7,7,7,7</v>
      </c>
      <c r="E135" s="53" t="str">
        <f t="shared" si="144"/>
        <v>810,782,782,782,782,782</v>
      </c>
      <c r="F135" s="1">
        <f t="shared" si="129"/>
        <v>3037625</v>
      </c>
      <c r="G135" s="23" t="s">
        <v>34</v>
      </c>
      <c r="H135" s="1" t="s">
        <v>28</v>
      </c>
      <c r="I135" s="1" t="s">
        <v>28</v>
      </c>
      <c r="J135" s="1" t="s">
        <v>28</v>
      </c>
      <c r="K135" s="2" t="s">
        <v>433</v>
      </c>
      <c r="L135" s="1">
        <v>1</v>
      </c>
      <c r="M135" s="1">
        <v>2</v>
      </c>
      <c r="O135" s="25">
        <f t="shared" si="145"/>
        <v>3037625</v>
      </c>
      <c r="P135" s="16">
        <v>3037625.35</v>
      </c>
      <c r="Q135" s="16">
        <v>5201073</v>
      </c>
      <c r="R135" s="16">
        <v>5201073</v>
      </c>
      <c r="S135" s="16">
        <v>5301073</v>
      </c>
      <c r="T135" s="16">
        <v>5601073</v>
      </c>
      <c r="U135" s="16">
        <v>5601073</v>
      </c>
      <c r="V135" s="16">
        <v>5601073</v>
      </c>
      <c r="W135" s="16">
        <v>7</v>
      </c>
      <c r="X135" s="16">
        <v>7</v>
      </c>
      <c r="Y135" s="16">
        <v>7</v>
      </c>
      <c r="Z135" s="16">
        <v>7</v>
      </c>
      <c r="AA135" s="16">
        <v>7</v>
      </c>
      <c r="AB135" s="16">
        <v>7</v>
      </c>
      <c r="AC135" s="16">
        <f t="shared" si="146"/>
        <v>810</v>
      </c>
      <c r="AD135" s="16">
        <f t="shared" si="128"/>
        <v>782</v>
      </c>
      <c r="AE135" s="16">
        <f t="shared" si="128"/>
        <v>782</v>
      </c>
      <c r="AF135" s="16">
        <f t="shared" si="128"/>
        <v>782</v>
      </c>
      <c r="AG135" s="16">
        <f t="shared" si="128"/>
        <v>782</v>
      </c>
      <c r="AH135" s="16">
        <f t="shared" si="128"/>
        <v>782</v>
      </c>
      <c r="AI135" s="28">
        <f t="shared" si="147"/>
        <v>607525.07000000007</v>
      </c>
      <c r="AJ135" s="28">
        <f t="shared" si="148"/>
        <v>486020.05600000004</v>
      </c>
      <c r="AK135" s="28">
        <f t="shared" si="148"/>
        <v>486020.05600000004</v>
      </c>
      <c r="AL135" s="28">
        <f t="shared" si="148"/>
        <v>486020.05600000004</v>
      </c>
      <c r="AM135" s="28">
        <f t="shared" si="148"/>
        <v>486020.05600000004</v>
      </c>
      <c r="AN135" s="28">
        <f t="shared" si="148"/>
        <v>486020.05600000004</v>
      </c>
      <c r="AO135" s="30"/>
      <c r="AP135" s="28"/>
      <c r="AQ135" s="16">
        <v>5</v>
      </c>
      <c r="AR135" s="16">
        <f t="shared" si="149"/>
        <v>1015</v>
      </c>
      <c r="AS135" s="28">
        <f t="shared" si="150"/>
        <v>1427</v>
      </c>
      <c r="AT135" s="28"/>
      <c r="AU135" s="30">
        <v>3037625.35</v>
      </c>
      <c r="AV135" s="28" t="str">
        <f t="shared" si="151"/>
        <v>小:0</v>
      </c>
      <c r="AW135" s="28"/>
      <c r="AX135" s="28"/>
      <c r="AZ135" s="28"/>
      <c r="BA135" s="16">
        <f t="shared" si="120"/>
        <v>23416.337142857199</v>
      </c>
      <c r="BC135" s="7">
        <f t="shared" si="152"/>
        <v>757</v>
      </c>
      <c r="BR135" s="7">
        <v>5501053</v>
      </c>
      <c r="BS135" s="9">
        <f>[1]monsters!$N135</f>
        <v>184.32</v>
      </c>
      <c r="BT135" s="9">
        <f>[1]monsters!$O135</f>
        <v>18.43</v>
      </c>
      <c r="BU135" s="9">
        <f>[1]monsters!$P135</f>
        <v>1440</v>
      </c>
      <c r="BV135" s="9">
        <f>[1]monsters!$Q135</f>
        <v>144</v>
      </c>
      <c r="BW135" s="9">
        <f>[1]monsters!$R135</f>
        <v>26.33</v>
      </c>
      <c r="BX135" s="9">
        <f>[1]monsters!$S135</f>
        <v>2.63</v>
      </c>
      <c r="BY135" s="9">
        <f>[1]monsters!$K135</f>
        <v>1.6</v>
      </c>
      <c r="BZ135" s="7">
        <f>[1]monsters!$D135</f>
        <v>4</v>
      </c>
      <c r="CA135" s="7">
        <f t="shared" si="153"/>
        <v>0.1</v>
      </c>
      <c r="CB135" s="7">
        <f t="shared" si="154"/>
        <v>222.66724848484847</v>
      </c>
      <c r="CC135" s="7">
        <f t="shared" si="155"/>
        <v>22.266724848484849</v>
      </c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>
        <v>0</v>
      </c>
      <c r="CR135" s="25" t="b">
        <f t="shared" si="156"/>
        <v>1</v>
      </c>
      <c r="CS135" s="25" t="b">
        <f t="shared" si="157"/>
        <v>1</v>
      </c>
      <c r="CT135" s="25" t="b">
        <f t="shared" si="158"/>
        <v>1</v>
      </c>
      <c r="CU135" s="25" t="b">
        <f t="shared" si="159"/>
        <v>1</v>
      </c>
      <c r="CV135" s="25" t="b">
        <f t="shared" si="160"/>
        <v>1</v>
      </c>
      <c r="CW135" s="25" t="b">
        <f t="shared" si="161"/>
        <v>1</v>
      </c>
      <c r="CX135" s="16" t="str">
        <f t="shared" si="162"/>
        <v>5201073</v>
      </c>
      <c r="CY135" s="16" t="str">
        <f t="shared" si="163"/>
        <v>5201073</v>
      </c>
      <c r="CZ135" s="16" t="str">
        <f t="shared" si="164"/>
        <v>5301073</v>
      </c>
      <c r="DA135" s="16" t="str">
        <f t="shared" si="165"/>
        <v>5601073</v>
      </c>
      <c r="DB135" s="16" t="str">
        <f t="shared" si="166"/>
        <v>5601073</v>
      </c>
      <c r="DC135" s="16" t="str">
        <f t="shared" si="167"/>
        <v>5601073</v>
      </c>
      <c r="DD135" s="16">
        <v>7</v>
      </c>
      <c r="DE135" s="16">
        <v>7</v>
      </c>
      <c r="DF135" s="16">
        <v>7</v>
      </c>
      <c r="DG135" s="16">
        <v>7</v>
      </c>
      <c r="DH135" s="16">
        <v>7</v>
      </c>
      <c r="DI135" s="16">
        <v>7</v>
      </c>
      <c r="DJ135" s="16">
        <v>5</v>
      </c>
      <c r="DK135" s="16">
        <v>5</v>
      </c>
      <c r="DL135" s="16">
        <v>5</v>
      </c>
      <c r="DM135" s="16">
        <v>5</v>
      </c>
      <c r="DN135" s="16">
        <v>5</v>
      </c>
      <c r="DO135" s="16">
        <v>5</v>
      </c>
      <c r="DP135" s="51" t="s">
        <v>217</v>
      </c>
      <c r="DQ135" s="51" t="s">
        <v>217</v>
      </c>
      <c r="DR135" s="51" t="s">
        <v>218</v>
      </c>
      <c r="DS135" s="36" t="s">
        <v>228</v>
      </c>
      <c r="DT135" s="36" t="s">
        <v>228</v>
      </c>
      <c r="DU135" s="36" t="s">
        <v>228</v>
      </c>
      <c r="DV135" s="32">
        <f t="shared" si="130"/>
        <v>1</v>
      </c>
      <c r="DW135" s="32">
        <f t="shared" si="131"/>
        <v>1</v>
      </c>
      <c r="DX135" s="32">
        <f t="shared" si="132"/>
        <v>1</v>
      </c>
      <c r="DY135" s="32">
        <f t="shared" si="133"/>
        <v>2</v>
      </c>
      <c r="DZ135" s="32">
        <f t="shared" si="134"/>
        <v>2</v>
      </c>
      <c r="EA135" s="32">
        <f t="shared" si="135"/>
        <v>2</v>
      </c>
      <c r="EB135" s="41"/>
      <c r="EC135" s="16">
        <v>5401061</v>
      </c>
      <c r="ED135" s="40" t="s">
        <v>123</v>
      </c>
      <c r="EE135" s="16">
        <v>2</v>
      </c>
      <c r="FD135" s="16">
        <v>5201073</v>
      </c>
      <c r="FE135" s="16">
        <v>5201073</v>
      </c>
      <c r="FF135" s="16">
        <v>5301073</v>
      </c>
      <c r="FG135" s="16">
        <v>5601073</v>
      </c>
      <c r="FH135" s="16">
        <v>5601073</v>
      </c>
      <c r="FI135" s="16">
        <v>5601073</v>
      </c>
      <c r="FJ135" t="str">
        <f t="shared" si="168"/>
        <v>木骑兵</v>
      </c>
      <c r="FK135" t="str">
        <f t="shared" si="169"/>
        <v>木骑兵</v>
      </c>
      <c r="FL135" t="str">
        <f t="shared" si="170"/>
        <v>木剑士</v>
      </c>
      <c r="FM135" t="str">
        <f t="shared" si="171"/>
        <v>木修女</v>
      </c>
      <c r="FN135" t="str">
        <f t="shared" si="172"/>
        <v>木修女</v>
      </c>
      <c r="FO135" t="str">
        <f t="shared" si="173"/>
        <v>木修女</v>
      </c>
      <c r="FP135" t="str">
        <f t="shared" si="174"/>
        <v>7</v>
      </c>
      <c r="FQ135" t="str">
        <f t="shared" si="175"/>
        <v>7</v>
      </c>
      <c r="FR135" t="str">
        <f t="shared" si="176"/>
        <v>7</v>
      </c>
      <c r="FS135" t="str">
        <f t="shared" si="177"/>
        <v>7</v>
      </c>
      <c r="FT135" t="str">
        <f t="shared" si="178"/>
        <v>7</v>
      </c>
      <c r="FU135" t="str">
        <f t="shared" si="179"/>
        <v>7</v>
      </c>
      <c r="FV135" t="str">
        <f t="shared" si="136"/>
        <v>5</v>
      </c>
      <c r="FW135" t="str">
        <f t="shared" si="137"/>
        <v>5</v>
      </c>
      <c r="FX135" t="str">
        <f t="shared" si="138"/>
        <v>5</v>
      </c>
      <c r="FY135" t="str">
        <f t="shared" si="139"/>
        <v>5</v>
      </c>
      <c r="FZ135" t="str">
        <f t="shared" si="140"/>
        <v>5</v>
      </c>
      <c r="GA135" t="str">
        <f t="shared" si="141"/>
        <v>5</v>
      </c>
    </row>
    <row r="136" spans="1:183" ht="13.5" customHeight="1">
      <c r="A136" s="1">
        <v>1403</v>
      </c>
      <c r="B136" s="6">
        <v>10142</v>
      </c>
      <c r="C136" s="23" t="str">
        <f t="shared" si="142"/>
        <v>1102072,5200072,5200072,5500072,5601072,5601072</v>
      </c>
      <c r="D136" s="1" t="str">
        <f t="shared" si="143"/>
        <v>7,7,7,7,7,7</v>
      </c>
      <c r="E136" s="53" t="str">
        <f t="shared" si="144"/>
        <v>814,786,786,786,786,786</v>
      </c>
      <c r="F136" s="1">
        <f t="shared" si="129"/>
        <v>3068620</v>
      </c>
      <c r="G136" s="23" t="s">
        <v>34</v>
      </c>
      <c r="H136" s="1" t="s">
        <v>28</v>
      </c>
      <c r="I136" s="1" t="s">
        <v>28</v>
      </c>
      <c r="J136" s="1" t="s">
        <v>28</v>
      </c>
      <c r="K136" s="2" t="s">
        <v>434</v>
      </c>
      <c r="L136" s="1">
        <v>2</v>
      </c>
      <c r="M136" s="1">
        <v>4</v>
      </c>
      <c r="O136" s="25">
        <f t="shared" si="145"/>
        <v>3068620</v>
      </c>
      <c r="P136" s="16">
        <v>3068619.75</v>
      </c>
      <c r="Q136" s="16">
        <v>1102072</v>
      </c>
      <c r="R136" s="16">
        <v>5200072</v>
      </c>
      <c r="S136" s="16">
        <v>5200072</v>
      </c>
      <c r="T136" s="16">
        <v>5500072</v>
      </c>
      <c r="U136" s="16">
        <v>5601072</v>
      </c>
      <c r="V136" s="16">
        <v>5601072</v>
      </c>
      <c r="W136" s="16">
        <v>7</v>
      </c>
      <c r="X136" s="16">
        <v>7</v>
      </c>
      <c r="Y136" s="16">
        <v>7</v>
      </c>
      <c r="Z136" s="16">
        <v>7</v>
      </c>
      <c r="AA136" s="16">
        <v>7</v>
      </c>
      <c r="AB136" s="16">
        <v>7</v>
      </c>
      <c r="AC136" s="16">
        <f t="shared" si="146"/>
        <v>814</v>
      </c>
      <c r="AD136" s="16">
        <f t="shared" si="128"/>
        <v>786</v>
      </c>
      <c r="AE136" s="16">
        <f t="shared" si="128"/>
        <v>786</v>
      </c>
      <c r="AF136" s="16">
        <f t="shared" si="128"/>
        <v>786</v>
      </c>
      <c r="AG136" s="16">
        <f t="shared" si="128"/>
        <v>786</v>
      </c>
      <c r="AH136" s="16">
        <f t="shared" si="128"/>
        <v>786</v>
      </c>
      <c r="AI136" s="28">
        <f t="shared" si="147"/>
        <v>613723.95000000007</v>
      </c>
      <c r="AJ136" s="28">
        <f t="shared" si="148"/>
        <v>490979.16000000003</v>
      </c>
      <c r="AK136" s="28">
        <f t="shared" si="148"/>
        <v>490979.16000000003</v>
      </c>
      <c r="AL136" s="28">
        <f t="shared" si="148"/>
        <v>490979.16000000003</v>
      </c>
      <c r="AM136" s="28">
        <f t="shared" si="148"/>
        <v>490979.16000000003</v>
      </c>
      <c r="AN136" s="28">
        <f t="shared" si="148"/>
        <v>490979.16000000003</v>
      </c>
      <c r="AO136" s="30"/>
      <c r="AP136" s="28"/>
      <c r="AQ136" s="16">
        <v>5</v>
      </c>
      <c r="AR136" s="16">
        <f t="shared" si="149"/>
        <v>1020</v>
      </c>
      <c r="AS136" s="28">
        <f t="shared" si="150"/>
        <v>1428</v>
      </c>
      <c r="AT136" s="28"/>
      <c r="AU136" s="30">
        <v>3068619.75</v>
      </c>
      <c r="AV136" s="28" t="str">
        <f t="shared" si="151"/>
        <v>小:0</v>
      </c>
      <c r="AW136" s="28"/>
      <c r="AX136" s="28"/>
      <c r="AZ136" s="28"/>
      <c r="BA136" s="16">
        <f t="shared" si="120"/>
        <v>23468.612857142914</v>
      </c>
      <c r="BC136" s="7">
        <f t="shared" si="152"/>
        <v>761</v>
      </c>
      <c r="BR136" s="7">
        <v>5502053</v>
      </c>
      <c r="BS136" s="9">
        <f>[1]monsters!$N136</f>
        <v>172.8</v>
      </c>
      <c r="BT136" s="9">
        <f>[1]monsters!$O136</f>
        <v>17.28</v>
      </c>
      <c r="BU136" s="9">
        <f>[1]monsters!$P136</f>
        <v>1440</v>
      </c>
      <c r="BV136" s="9">
        <f>[1]monsters!$Q136</f>
        <v>144</v>
      </c>
      <c r="BW136" s="9">
        <f>[1]monsters!$R136</f>
        <v>24.69</v>
      </c>
      <c r="BX136" s="9">
        <f>[1]monsters!$S136</f>
        <v>2.4700000000000002</v>
      </c>
      <c r="BY136" s="9">
        <f>[1]monsters!$K136</f>
        <v>1.5</v>
      </c>
      <c r="BZ136" s="7">
        <f>[1]monsters!$D136</f>
        <v>4</v>
      </c>
      <c r="CA136" s="7">
        <f t="shared" si="153"/>
        <v>0.1</v>
      </c>
      <c r="CB136" s="7">
        <f t="shared" si="154"/>
        <v>211.78084848484849</v>
      </c>
      <c r="CC136" s="7">
        <f t="shared" si="155"/>
        <v>21.178084848484851</v>
      </c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>
        <v>0</v>
      </c>
      <c r="CR136" s="25" t="b">
        <f t="shared" si="156"/>
        <v>1</v>
      </c>
      <c r="CS136" s="25" t="b">
        <f t="shared" si="157"/>
        <v>1</v>
      </c>
      <c r="CT136" s="25" t="b">
        <f t="shared" si="158"/>
        <v>1</v>
      </c>
      <c r="CU136" s="25" t="b">
        <f t="shared" si="159"/>
        <v>1</v>
      </c>
      <c r="CV136" s="25" t="b">
        <f t="shared" si="160"/>
        <v>1</v>
      </c>
      <c r="CW136" s="25" t="b">
        <f t="shared" si="161"/>
        <v>1</v>
      </c>
      <c r="CX136" s="16" t="str">
        <f t="shared" si="162"/>
        <v>1102072</v>
      </c>
      <c r="CY136" s="16" t="str">
        <f t="shared" si="163"/>
        <v>5200072</v>
      </c>
      <c r="CZ136" s="16" t="str">
        <f t="shared" si="164"/>
        <v>5200072</v>
      </c>
      <c r="DA136" s="16" t="str">
        <f t="shared" si="165"/>
        <v>5500072</v>
      </c>
      <c r="DB136" s="16" t="str">
        <f t="shared" si="166"/>
        <v>5601072</v>
      </c>
      <c r="DC136" s="16" t="str">
        <f t="shared" si="167"/>
        <v>5601072</v>
      </c>
      <c r="DD136" s="16">
        <v>7</v>
      </c>
      <c r="DE136" s="16">
        <v>7</v>
      </c>
      <c r="DF136" s="16">
        <v>7</v>
      </c>
      <c r="DG136" s="16">
        <v>7</v>
      </c>
      <c r="DH136" s="16">
        <v>7</v>
      </c>
      <c r="DI136" s="16">
        <v>7</v>
      </c>
      <c r="DJ136" s="16">
        <v>1</v>
      </c>
      <c r="DK136" s="16">
        <v>5</v>
      </c>
      <c r="DL136" s="16">
        <v>5</v>
      </c>
      <c r="DM136" s="16">
        <v>5</v>
      </c>
      <c r="DN136" s="16">
        <v>5</v>
      </c>
      <c r="DO136" s="16">
        <v>5</v>
      </c>
      <c r="DP136" s="51" t="s">
        <v>304</v>
      </c>
      <c r="DQ136" s="51" t="s">
        <v>210</v>
      </c>
      <c r="DR136" s="51" t="s">
        <v>210</v>
      </c>
      <c r="DS136" s="36" t="s">
        <v>115</v>
      </c>
      <c r="DT136" s="36" t="s">
        <v>216</v>
      </c>
      <c r="DU136" s="36" t="s">
        <v>216</v>
      </c>
      <c r="DV136" s="32">
        <f t="shared" si="130"/>
        <v>1</v>
      </c>
      <c r="DW136" s="32">
        <f t="shared" si="131"/>
        <v>1</v>
      </c>
      <c r="DX136" s="32">
        <f t="shared" si="132"/>
        <v>1</v>
      </c>
      <c r="DY136" s="32">
        <f t="shared" si="133"/>
        <v>2</v>
      </c>
      <c r="DZ136" s="32">
        <f t="shared" si="134"/>
        <v>2</v>
      </c>
      <c r="EA136" s="32">
        <f t="shared" si="135"/>
        <v>2</v>
      </c>
      <c r="EB136" s="41"/>
      <c r="EC136" s="16">
        <v>5402061</v>
      </c>
      <c r="ED136" s="40" t="s">
        <v>207</v>
      </c>
      <c r="EE136" s="16">
        <v>2</v>
      </c>
      <c r="FD136" s="16">
        <v>1102072</v>
      </c>
      <c r="FE136" s="16">
        <v>5200072</v>
      </c>
      <c r="FF136" s="16">
        <v>5200072</v>
      </c>
      <c r="FG136" s="16">
        <v>5500072</v>
      </c>
      <c r="FH136" s="16">
        <v>5601072</v>
      </c>
      <c r="FI136" s="16">
        <v>5601072</v>
      </c>
      <c r="FJ136" t="str">
        <f t="shared" si="168"/>
        <v>火狼骑兵</v>
      </c>
      <c r="FK136" t="str">
        <f t="shared" si="169"/>
        <v>火刀客</v>
      </c>
      <c r="FL136" t="str">
        <f t="shared" si="170"/>
        <v>火刀客</v>
      </c>
      <c r="FM136" t="str">
        <f t="shared" si="171"/>
        <v>火海盗</v>
      </c>
      <c r="FN136" t="str">
        <f t="shared" si="172"/>
        <v>火修女</v>
      </c>
      <c r="FO136" t="str">
        <f t="shared" si="173"/>
        <v>火修女</v>
      </c>
      <c r="FP136" t="str">
        <f t="shared" si="174"/>
        <v>7</v>
      </c>
      <c r="FQ136" t="str">
        <f t="shared" si="175"/>
        <v>7</v>
      </c>
      <c r="FR136" t="str">
        <f t="shared" si="176"/>
        <v>7</v>
      </c>
      <c r="FS136" t="str">
        <f t="shared" si="177"/>
        <v>7</v>
      </c>
      <c r="FT136" t="str">
        <f t="shared" si="178"/>
        <v>7</v>
      </c>
      <c r="FU136" t="str">
        <f t="shared" si="179"/>
        <v>7</v>
      </c>
      <c r="FV136" t="str">
        <f t="shared" si="136"/>
        <v>1</v>
      </c>
      <c r="FW136" t="str">
        <f t="shared" si="137"/>
        <v>5</v>
      </c>
      <c r="FX136" t="str">
        <f t="shared" si="138"/>
        <v>5</v>
      </c>
      <c r="FY136" t="str">
        <f t="shared" si="139"/>
        <v>5</v>
      </c>
      <c r="FZ136" t="str">
        <f t="shared" si="140"/>
        <v>5</v>
      </c>
      <c r="GA136" t="str">
        <f t="shared" si="141"/>
        <v>5</v>
      </c>
    </row>
    <row r="137" spans="1:183" ht="13.5" customHeight="1">
      <c r="A137" s="1">
        <v>1404</v>
      </c>
      <c r="B137" s="6">
        <v>10142</v>
      </c>
      <c r="C137" s="23" t="str">
        <f t="shared" si="142"/>
        <v>5201071,5200071,5200071,5401071,5402071,5401071</v>
      </c>
      <c r="D137" s="1" t="str">
        <f t="shared" si="143"/>
        <v>7,7,7,7,7,7</v>
      </c>
      <c r="E137" s="53" t="str">
        <f t="shared" si="144"/>
        <v>818,790,790,790,790,790</v>
      </c>
      <c r="F137" s="1">
        <f t="shared" si="129"/>
        <v>3096931</v>
      </c>
      <c r="G137" s="23" t="s">
        <v>34</v>
      </c>
      <c r="H137" s="1" t="s">
        <v>28</v>
      </c>
      <c r="I137" s="1" t="s">
        <v>28</v>
      </c>
      <c r="J137" s="1" t="s">
        <v>28</v>
      </c>
      <c r="K137" s="2" t="s">
        <v>435</v>
      </c>
      <c r="L137" s="1">
        <v>3</v>
      </c>
      <c r="M137" s="1">
        <v>4</v>
      </c>
      <c r="O137" s="25">
        <f t="shared" si="145"/>
        <v>3096931</v>
      </c>
      <c r="P137" s="16">
        <v>3096930.95</v>
      </c>
      <c r="Q137" s="16">
        <v>5201071</v>
      </c>
      <c r="R137" s="16">
        <v>5200071</v>
      </c>
      <c r="S137" s="16">
        <v>5200071</v>
      </c>
      <c r="T137" s="16">
        <v>5401071</v>
      </c>
      <c r="U137" s="16">
        <v>5402071</v>
      </c>
      <c r="V137" s="16">
        <v>5401071</v>
      </c>
      <c r="W137" s="16">
        <v>7</v>
      </c>
      <c r="X137" s="16">
        <v>7</v>
      </c>
      <c r="Y137" s="16">
        <v>7</v>
      </c>
      <c r="Z137" s="16">
        <v>7</v>
      </c>
      <c r="AA137" s="16">
        <v>7</v>
      </c>
      <c r="AB137" s="16">
        <v>7</v>
      </c>
      <c r="AC137" s="16">
        <f t="shared" si="146"/>
        <v>818</v>
      </c>
      <c r="AD137" s="16">
        <f t="shared" si="128"/>
        <v>790</v>
      </c>
      <c r="AE137" s="16">
        <f t="shared" si="128"/>
        <v>790</v>
      </c>
      <c r="AF137" s="16">
        <f t="shared" si="128"/>
        <v>790</v>
      </c>
      <c r="AG137" s="16">
        <f t="shared" si="128"/>
        <v>790</v>
      </c>
      <c r="AH137" s="16">
        <f t="shared" si="128"/>
        <v>790</v>
      </c>
      <c r="AI137" s="28">
        <f t="shared" si="147"/>
        <v>619386.19000000006</v>
      </c>
      <c r="AJ137" s="28">
        <f t="shared" si="148"/>
        <v>495508.95200000005</v>
      </c>
      <c r="AK137" s="28">
        <f t="shared" si="148"/>
        <v>495508.95200000005</v>
      </c>
      <c r="AL137" s="28">
        <f t="shared" si="148"/>
        <v>495508.95200000005</v>
      </c>
      <c r="AM137" s="28">
        <f t="shared" si="148"/>
        <v>495508.95200000005</v>
      </c>
      <c r="AN137" s="28">
        <f t="shared" si="148"/>
        <v>495508.95200000005</v>
      </c>
      <c r="AO137" s="30"/>
      <c r="AP137" s="28"/>
      <c r="AQ137" s="16">
        <v>5</v>
      </c>
      <c r="AR137" s="16">
        <f t="shared" si="149"/>
        <v>1025</v>
      </c>
      <c r="AS137" s="28">
        <f t="shared" si="150"/>
        <v>1429</v>
      </c>
      <c r="AT137" s="28"/>
      <c r="AU137" s="30">
        <v>3096930.95</v>
      </c>
      <c r="AV137" s="28" t="str">
        <f t="shared" si="151"/>
        <v>小:0</v>
      </c>
      <c r="AW137" s="28"/>
      <c r="AX137" s="28"/>
      <c r="AZ137" s="28"/>
      <c r="BA137" s="16">
        <f t="shared" si="120"/>
        <v>23520.88857142863</v>
      </c>
      <c r="BC137" s="7">
        <f t="shared" si="152"/>
        <v>764</v>
      </c>
      <c r="BR137" s="7">
        <v>5600053</v>
      </c>
      <c r="BS137" s="9">
        <f>[1]monsters!$N137</f>
        <v>201.6</v>
      </c>
      <c r="BT137" s="9">
        <f>[1]monsters!$O137</f>
        <v>20.16</v>
      </c>
      <c r="BU137" s="9">
        <f>[1]monsters!$P137</f>
        <v>1234.29</v>
      </c>
      <c r="BV137" s="9">
        <f>[1]monsters!$Q137</f>
        <v>123.43</v>
      </c>
      <c r="BW137" s="9">
        <f>[1]monsters!$R137</f>
        <v>25.2</v>
      </c>
      <c r="BX137" s="9">
        <f>[1]monsters!$S137</f>
        <v>2.52</v>
      </c>
      <c r="BY137" s="9">
        <f>[1]monsters!$K137</f>
        <v>1.5</v>
      </c>
      <c r="BZ137" s="7">
        <f>[1]monsters!$D137</f>
        <v>5</v>
      </c>
      <c r="CA137" s="7">
        <f t="shared" si="153"/>
        <v>0.1</v>
      </c>
      <c r="CB137" s="7">
        <f t="shared" si="154"/>
        <v>232.07058585858584</v>
      </c>
      <c r="CC137" s="7">
        <f t="shared" si="155"/>
        <v>23.207058585858586</v>
      </c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>
        <v>0</v>
      </c>
      <c r="CR137" s="25" t="b">
        <f t="shared" si="156"/>
        <v>1</v>
      </c>
      <c r="CS137" s="25" t="b">
        <f t="shared" si="157"/>
        <v>1</v>
      </c>
      <c r="CT137" s="25" t="b">
        <f t="shared" si="158"/>
        <v>1</v>
      </c>
      <c r="CU137" s="25" t="b">
        <f t="shared" si="159"/>
        <v>1</v>
      </c>
      <c r="CV137" s="25" t="b">
        <f t="shared" si="160"/>
        <v>1</v>
      </c>
      <c r="CW137" s="25" t="b">
        <f t="shared" si="161"/>
        <v>1</v>
      </c>
      <c r="CX137" s="16" t="str">
        <f t="shared" si="162"/>
        <v>5201071</v>
      </c>
      <c r="CY137" s="16" t="str">
        <f t="shared" si="163"/>
        <v>5200071</v>
      </c>
      <c r="CZ137" s="16" t="str">
        <f t="shared" si="164"/>
        <v>5200071</v>
      </c>
      <c r="DA137" s="16" t="str">
        <f t="shared" si="165"/>
        <v>5401071</v>
      </c>
      <c r="DB137" s="16" t="str">
        <f t="shared" si="166"/>
        <v>5402071</v>
      </c>
      <c r="DC137" s="16" t="str">
        <f t="shared" si="167"/>
        <v>5401071</v>
      </c>
      <c r="DD137" s="16">
        <v>7</v>
      </c>
      <c r="DE137" s="16">
        <v>7</v>
      </c>
      <c r="DF137" s="16">
        <v>7</v>
      </c>
      <c r="DG137" s="16">
        <v>7</v>
      </c>
      <c r="DH137" s="16">
        <v>7</v>
      </c>
      <c r="DI137" s="16">
        <v>7</v>
      </c>
      <c r="DJ137" s="16">
        <v>5</v>
      </c>
      <c r="DK137" s="16">
        <v>5</v>
      </c>
      <c r="DL137" s="16">
        <v>5</v>
      </c>
      <c r="DM137" s="16">
        <v>5</v>
      </c>
      <c r="DN137" s="16">
        <v>5</v>
      </c>
      <c r="DO137" s="16">
        <v>5</v>
      </c>
      <c r="DP137" s="13" t="s">
        <v>206</v>
      </c>
      <c r="DQ137" s="13" t="s">
        <v>205</v>
      </c>
      <c r="DR137" s="13" t="s">
        <v>205</v>
      </c>
      <c r="DS137" s="51" t="s">
        <v>123</v>
      </c>
      <c r="DT137" s="14" t="s">
        <v>207</v>
      </c>
      <c r="DU137" s="14" t="s">
        <v>123</v>
      </c>
      <c r="DV137" s="32">
        <f t="shared" si="130"/>
        <v>1</v>
      </c>
      <c r="DW137" s="32">
        <f t="shared" si="131"/>
        <v>1</v>
      </c>
      <c r="DX137" s="32">
        <f t="shared" si="132"/>
        <v>1</v>
      </c>
      <c r="DY137" s="32">
        <f t="shared" si="133"/>
        <v>2</v>
      </c>
      <c r="DZ137" s="32">
        <f t="shared" si="134"/>
        <v>2</v>
      </c>
      <c r="EA137" s="32">
        <f t="shared" si="135"/>
        <v>2</v>
      </c>
      <c r="EB137" s="41"/>
      <c r="EC137" s="16">
        <v>5500061</v>
      </c>
      <c r="ED137" s="40" t="s">
        <v>208</v>
      </c>
      <c r="EE137" s="16">
        <v>2</v>
      </c>
      <c r="FD137" s="16">
        <v>5201071</v>
      </c>
      <c r="FE137" s="16">
        <v>5200071</v>
      </c>
      <c r="FF137" s="16">
        <v>5200071</v>
      </c>
      <c r="FG137" s="16">
        <v>5401071</v>
      </c>
      <c r="FH137" s="16">
        <v>5402071</v>
      </c>
      <c r="FI137" s="16">
        <v>5401071</v>
      </c>
      <c r="FJ137" t="str">
        <f t="shared" si="168"/>
        <v>水骑兵</v>
      </c>
      <c r="FK137" t="str">
        <f t="shared" si="169"/>
        <v>水刀客</v>
      </c>
      <c r="FL137" t="str">
        <f t="shared" si="170"/>
        <v>水刀客</v>
      </c>
      <c r="FM137" t="str">
        <f t="shared" si="171"/>
        <v>水魔法师</v>
      </c>
      <c r="FN137" t="str">
        <f t="shared" si="172"/>
        <v>水女巫</v>
      </c>
      <c r="FO137" t="str">
        <f t="shared" si="173"/>
        <v>水魔法师</v>
      </c>
      <c r="FP137" t="str">
        <f t="shared" si="174"/>
        <v>7</v>
      </c>
      <c r="FQ137" t="str">
        <f t="shared" si="175"/>
        <v>7</v>
      </c>
      <c r="FR137" t="str">
        <f t="shared" si="176"/>
        <v>7</v>
      </c>
      <c r="FS137" t="str">
        <f t="shared" si="177"/>
        <v>7</v>
      </c>
      <c r="FT137" t="str">
        <f t="shared" si="178"/>
        <v>7</v>
      </c>
      <c r="FU137" t="str">
        <f t="shared" si="179"/>
        <v>7</v>
      </c>
      <c r="FV137" t="str">
        <f t="shared" si="136"/>
        <v>5</v>
      </c>
      <c r="FW137" t="str">
        <f t="shared" si="137"/>
        <v>5</v>
      </c>
      <c r="FX137" t="str">
        <f t="shared" si="138"/>
        <v>5</v>
      </c>
      <c r="FY137" t="str">
        <f t="shared" si="139"/>
        <v>5</v>
      </c>
      <c r="FZ137" t="str">
        <f t="shared" si="140"/>
        <v>5</v>
      </c>
      <c r="GA137" t="str">
        <f t="shared" si="141"/>
        <v>5</v>
      </c>
    </row>
    <row r="138" spans="1:183" ht="13.5" customHeight="1">
      <c r="A138" s="1">
        <v>1405</v>
      </c>
      <c r="B138" s="6">
        <v>10142</v>
      </c>
      <c r="C138" s="23" t="str">
        <f t="shared" si="142"/>
        <v>5600074,5202071,5202071,5401072,5402071,5402071</v>
      </c>
      <c r="D138" s="1" t="str">
        <f t="shared" si="143"/>
        <v>7,7,7,7,7,7</v>
      </c>
      <c r="E138" s="53" t="str">
        <f t="shared" si="144"/>
        <v>822,794,794,794,794,794</v>
      </c>
      <c r="F138" s="1">
        <f t="shared" si="129"/>
        <v>3128224</v>
      </c>
      <c r="G138" s="23" t="s">
        <v>34</v>
      </c>
      <c r="H138" s="1" t="s">
        <v>28</v>
      </c>
      <c r="I138" s="1" t="s">
        <v>28</v>
      </c>
      <c r="J138" s="1" t="s">
        <v>28</v>
      </c>
      <c r="K138" s="2" t="s">
        <v>436</v>
      </c>
      <c r="L138" s="1">
        <v>1</v>
      </c>
      <c r="M138" s="1">
        <v>3</v>
      </c>
      <c r="O138" s="25">
        <f t="shared" si="145"/>
        <v>3128224</v>
      </c>
      <c r="P138" s="16">
        <v>3128224.2</v>
      </c>
      <c r="Q138" s="16">
        <v>5600074</v>
      </c>
      <c r="R138" s="16">
        <v>5202071</v>
      </c>
      <c r="S138" s="16">
        <v>5202071</v>
      </c>
      <c r="T138" s="16">
        <v>5401072</v>
      </c>
      <c r="U138" s="16">
        <v>5402071</v>
      </c>
      <c r="V138" s="16">
        <v>5402071</v>
      </c>
      <c r="W138" s="16">
        <v>7</v>
      </c>
      <c r="X138" s="16">
        <v>7</v>
      </c>
      <c r="Y138" s="16">
        <v>7</v>
      </c>
      <c r="Z138" s="16">
        <v>7</v>
      </c>
      <c r="AA138" s="16">
        <v>7</v>
      </c>
      <c r="AB138" s="16">
        <v>7</v>
      </c>
      <c r="AC138" s="16">
        <f t="shared" si="146"/>
        <v>822</v>
      </c>
      <c r="AD138" s="16">
        <f t="shared" si="128"/>
        <v>794</v>
      </c>
      <c r="AE138" s="16">
        <f t="shared" si="128"/>
        <v>794</v>
      </c>
      <c r="AF138" s="16">
        <f t="shared" si="128"/>
        <v>794</v>
      </c>
      <c r="AG138" s="16">
        <f t="shared" si="128"/>
        <v>794</v>
      </c>
      <c r="AH138" s="16">
        <f t="shared" si="128"/>
        <v>794</v>
      </c>
      <c r="AI138" s="28">
        <f t="shared" si="147"/>
        <v>625644.84000000008</v>
      </c>
      <c r="AJ138" s="28">
        <f t="shared" si="148"/>
        <v>500515.87200000003</v>
      </c>
      <c r="AK138" s="28">
        <f t="shared" si="148"/>
        <v>500515.87200000003</v>
      </c>
      <c r="AL138" s="28">
        <f t="shared" si="148"/>
        <v>500515.87200000003</v>
      </c>
      <c r="AM138" s="28">
        <f t="shared" si="148"/>
        <v>500515.87200000003</v>
      </c>
      <c r="AN138" s="28">
        <f t="shared" si="148"/>
        <v>500515.87200000003</v>
      </c>
      <c r="AO138" s="30"/>
      <c r="AP138" s="28"/>
      <c r="AQ138" s="16">
        <v>5</v>
      </c>
      <c r="AR138" s="16">
        <f t="shared" si="149"/>
        <v>1030</v>
      </c>
      <c r="AS138" s="28">
        <f t="shared" si="150"/>
        <v>1430</v>
      </c>
      <c r="AT138" s="28"/>
      <c r="AU138" s="30">
        <v>3128224.2</v>
      </c>
      <c r="AV138" s="28" t="str">
        <f t="shared" si="151"/>
        <v>小:0</v>
      </c>
      <c r="AW138" s="28"/>
      <c r="AX138" s="28"/>
      <c r="AZ138" s="28"/>
      <c r="BA138" s="16">
        <f t="shared" si="120"/>
        <v>23573.164285714345</v>
      </c>
      <c r="BC138" s="7">
        <f t="shared" si="152"/>
        <v>768</v>
      </c>
      <c r="BR138" s="7">
        <v>5601053</v>
      </c>
      <c r="BS138" s="9">
        <f>[1]monsters!$N138</f>
        <v>188.16</v>
      </c>
      <c r="BT138" s="9">
        <f>[1]monsters!$O138</f>
        <v>18.82</v>
      </c>
      <c r="BU138" s="9">
        <f>[1]monsters!$P138</f>
        <v>1234.29</v>
      </c>
      <c r="BV138" s="9">
        <f>[1]monsters!$Q138</f>
        <v>123.43</v>
      </c>
      <c r="BW138" s="9">
        <f>[1]monsters!$R138</f>
        <v>23.52</v>
      </c>
      <c r="BX138" s="9">
        <f>[1]monsters!$S138</f>
        <v>2.35</v>
      </c>
      <c r="BY138" s="9">
        <f>[1]monsters!$K138</f>
        <v>1.4000000000000001</v>
      </c>
      <c r="BZ138" s="7">
        <f>[1]monsters!$D138</f>
        <v>5</v>
      </c>
      <c r="CA138" s="7">
        <f t="shared" si="153"/>
        <v>0.1</v>
      </c>
      <c r="CB138" s="7">
        <f t="shared" si="154"/>
        <v>219.36978585858586</v>
      </c>
      <c r="CC138" s="7">
        <f t="shared" si="155"/>
        <v>21.936978585858586</v>
      </c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>
        <v>1</v>
      </c>
      <c r="CR138" s="25" t="b">
        <f t="shared" si="156"/>
        <v>1</v>
      </c>
      <c r="CS138" s="25" t="b">
        <f t="shared" si="157"/>
        <v>1</v>
      </c>
      <c r="CT138" s="25" t="b">
        <f t="shared" si="158"/>
        <v>1</v>
      </c>
      <c r="CU138" s="25" t="b">
        <f t="shared" si="159"/>
        <v>1</v>
      </c>
      <c r="CV138" s="25" t="b">
        <f t="shared" si="160"/>
        <v>1</v>
      </c>
      <c r="CW138" s="25" t="b">
        <f t="shared" si="161"/>
        <v>1</v>
      </c>
      <c r="CX138" s="16" t="str">
        <f t="shared" si="162"/>
        <v>5600074</v>
      </c>
      <c r="CY138" s="16" t="str">
        <f t="shared" si="163"/>
        <v>5202071</v>
      </c>
      <c r="CZ138" s="16" t="str">
        <f t="shared" si="164"/>
        <v>5202071</v>
      </c>
      <c r="DA138" s="16" t="str">
        <f t="shared" si="165"/>
        <v>5401072</v>
      </c>
      <c r="DB138" s="16" t="str">
        <f t="shared" si="166"/>
        <v>5402071</v>
      </c>
      <c r="DC138" s="16" t="str">
        <f t="shared" si="167"/>
        <v>5402071</v>
      </c>
      <c r="DD138" s="16">
        <v>7</v>
      </c>
      <c r="DE138" s="16">
        <v>7</v>
      </c>
      <c r="DF138" s="16">
        <v>7</v>
      </c>
      <c r="DG138" s="16">
        <v>7</v>
      </c>
      <c r="DH138" s="16">
        <v>7</v>
      </c>
      <c r="DI138" s="16">
        <v>7</v>
      </c>
      <c r="DJ138" s="16">
        <v>5</v>
      </c>
      <c r="DK138" s="16">
        <v>5</v>
      </c>
      <c r="DL138" s="16">
        <v>5</v>
      </c>
      <c r="DM138" s="16">
        <v>5</v>
      </c>
      <c r="DN138" s="16">
        <v>5</v>
      </c>
      <c r="DO138" s="16">
        <v>5</v>
      </c>
      <c r="DP138" s="51" t="s">
        <v>231</v>
      </c>
      <c r="DQ138" s="13" t="s">
        <v>117</v>
      </c>
      <c r="DR138" s="51" t="s">
        <v>117</v>
      </c>
      <c r="DS138" s="36" t="s">
        <v>213</v>
      </c>
      <c r="DT138" s="51" t="s">
        <v>207</v>
      </c>
      <c r="DU138" s="51" t="s">
        <v>207</v>
      </c>
      <c r="DV138" s="32">
        <f t="shared" si="130"/>
        <v>1</v>
      </c>
      <c r="DW138" s="32">
        <f t="shared" si="131"/>
        <v>1</v>
      </c>
      <c r="DX138" s="32">
        <f t="shared" si="132"/>
        <v>1</v>
      </c>
      <c r="DY138" s="32">
        <f t="shared" si="133"/>
        <v>2</v>
      </c>
      <c r="DZ138" s="32">
        <f t="shared" si="134"/>
        <v>2</v>
      </c>
      <c r="EA138" s="32">
        <f t="shared" si="135"/>
        <v>2</v>
      </c>
      <c r="EB138" s="41"/>
      <c r="EC138" s="16">
        <v>5502061</v>
      </c>
      <c r="ED138" s="40" t="s">
        <v>130</v>
      </c>
      <c r="EE138" s="16">
        <v>2</v>
      </c>
      <c r="FD138" s="16">
        <v>5600074</v>
      </c>
      <c r="FE138" s="16">
        <v>5202071</v>
      </c>
      <c r="FF138" s="16">
        <v>5202071</v>
      </c>
      <c r="FG138" s="16">
        <v>5401072</v>
      </c>
      <c r="FH138" s="16">
        <v>5402071</v>
      </c>
      <c r="FI138" s="16">
        <v>5402071</v>
      </c>
      <c r="FJ138" t="str">
        <f t="shared" si="168"/>
        <v>光武僧</v>
      </c>
      <c r="FK138" t="str">
        <f t="shared" si="169"/>
        <v>水维京</v>
      </c>
      <c r="FL138" t="str">
        <f t="shared" si="170"/>
        <v>水维京</v>
      </c>
      <c r="FM138" t="str">
        <f t="shared" si="171"/>
        <v>火魔法师</v>
      </c>
      <c r="FN138" t="str">
        <f t="shared" si="172"/>
        <v>水女巫</v>
      </c>
      <c r="FO138" t="str">
        <f t="shared" si="173"/>
        <v>水女巫</v>
      </c>
      <c r="FP138" t="str">
        <f t="shared" si="174"/>
        <v>7</v>
      </c>
      <c r="FQ138" t="str">
        <f t="shared" si="175"/>
        <v>7</v>
      </c>
      <c r="FR138" t="str">
        <f t="shared" si="176"/>
        <v>7</v>
      </c>
      <c r="FS138" t="str">
        <f t="shared" si="177"/>
        <v>7</v>
      </c>
      <c r="FT138" t="str">
        <f t="shared" si="178"/>
        <v>7</v>
      </c>
      <c r="FU138" t="str">
        <f t="shared" si="179"/>
        <v>7</v>
      </c>
      <c r="FV138" t="str">
        <f t="shared" si="136"/>
        <v>5</v>
      </c>
      <c r="FW138" t="str">
        <f t="shared" si="137"/>
        <v>5</v>
      </c>
      <c r="FX138" t="str">
        <f t="shared" si="138"/>
        <v>5</v>
      </c>
      <c r="FY138" t="str">
        <f t="shared" si="139"/>
        <v>5</v>
      </c>
      <c r="FZ138" t="str">
        <f t="shared" si="140"/>
        <v>5</v>
      </c>
      <c r="GA138" t="str">
        <f t="shared" si="141"/>
        <v>5</v>
      </c>
    </row>
    <row r="139" spans="1:183" ht="13.5" customHeight="1">
      <c r="A139" s="1">
        <v>1406</v>
      </c>
      <c r="B139" s="6">
        <v>10142</v>
      </c>
      <c r="C139" s="23" t="str">
        <f t="shared" si="142"/>
        <v>5402071,5202071,5202071,5200071,5502071,5502071</v>
      </c>
      <c r="D139" s="1" t="str">
        <f t="shared" si="143"/>
        <v>7,7,7,7,7,7</v>
      </c>
      <c r="E139" s="53" t="str">
        <f t="shared" si="144"/>
        <v>826,797,797,797,797,797</v>
      </c>
      <c r="F139" s="1">
        <f t="shared" si="129"/>
        <v>3156808</v>
      </c>
      <c r="G139" s="23" t="s">
        <v>34</v>
      </c>
      <c r="H139" s="1" t="s">
        <v>28</v>
      </c>
      <c r="I139" s="1" t="s">
        <v>28</v>
      </c>
      <c r="J139" s="1" t="s">
        <v>28</v>
      </c>
      <c r="K139" s="2" t="s">
        <v>437</v>
      </c>
      <c r="L139" s="1">
        <v>2</v>
      </c>
      <c r="M139" s="1">
        <v>3</v>
      </c>
      <c r="O139" s="25">
        <f t="shared" si="145"/>
        <v>3156808</v>
      </c>
      <c r="P139" s="16">
        <v>3156808.45</v>
      </c>
      <c r="Q139" s="16">
        <v>5402071</v>
      </c>
      <c r="R139" s="16">
        <v>5202071</v>
      </c>
      <c r="S139" s="16">
        <v>5202071</v>
      </c>
      <c r="T139" s="16">
        <v>5200071</v>
      </c>
      <c r="U139" s="16">
        <v>5502071</v>
      </c>
      <c r="V139" s="16">
        <v>5502071</v>
      </c>
      <c r="W139" s="16">
        <v>7</v>
      </c>
      <c r="X139" s="16">
        <v>7</v>
      </c>
      <c r="Y139" s="16">
        <v>7</v>
      </c>
      <c r="Z139" s="16">
        <v>7</v>
      </c>
      <c r="AA139" s="16">
        <v>7</v>
      </c>
      <c r="AB139" s="16">
        <v>7</v>
      </c>
      <c r="AC139" s="16">
        <f t="shared" si="146"/>
        <v>826</v>
      </c>
      <c r="AD139" s="16">
        <f t="shared" si="128"/>
        <v>797</v>
      </c>
      <c r="AE139" s="16">
        <f t="shared" si="128"/>
        <v>797</v>
      </c>
      <c r="AF139" s="16">
        <f t="shared" si="128"/>
        <v>797</v>
      </c>
      <c r="AG139" s="16">
        <f t="shared" si="128"/>
        <v>797</v>
      </c>
      <c r="AH139" s="16">
        <f t="shared" si="128"/>
        <v>797</v>
      </c>
      <c r="AI139" s="28">
        <f t="shared" si="147"/>
        <v>631361.69000000006</v>
      </c>
      <c r="AJ139" s="28">
        <f t="shared" si="148"/>
        <v>505089.35200000001</v>
      </c>
      <c r="AK139" s="28">
        <f t="shared" si="148"/>
        <v>505089.35200000001</v>
      </c>
      <c r="AL139" s="28">
        <f t="shared" si="148"/>
        <v>505089.35200000001</v>
      </c>
      <c r="AM139" s="28">
        <f t="shared" si="148"/>
        <v>505089.35200000001</v>
      </c>
      <c r="AN139" s="28">
        <f t="shared" si="148"/>
        <v>505089.35200000001</v>
      </c>
      <c r="AO139" s="30"/>
      <c r="AP139" s="28"/>
      <c r="AQ139" s="16">
        <v>5</v>
      </c>
      <c r="AR139" s="16">
        <f t="shared" si="149"/>
        <v>1035</v>
      </c>
      <c r="AS139" s="28">
        <f t="shared" si="150"/>
        <v>1431</v>
      </c>
      <c r="AT139" s="28"/>
      <c r="AU139" s="30">
        <v>3156808.45</v>
      </c>
      <c r="AV139" s="28" t="str">
        <f t="shared" si="151"/>
        <v>小:0</v>
      </c>
      <c r="AW139" s="28"/>
      <c r="AX139" s="28"/>
      <c r="AZ139" s="28"/>
      <c r="BA139" s="16">
        <f t="shared" si="120"/>
        <v>23625.440000000061</v>
      </c>
      <c r="BC139" s="7">
        <f t="shared" si="152"/>
        <v>772</v>
      </c>
      <c r="BR139" s="7">
        <v>5200054</v>
      </c>
      <c r="BS139" s="9">
        <f>[1]monsters!$N139</f>
        <v>223.2</v>
      </c>
      <c r="BT139" s="9">
        <f>[1]monsters!$O139</f>
        <v>22.32</v>
      </c>
      <c r="BU139" s="9">
        <f>[1]monsters!$P139</f>
        <v>1114.8399999999999</v>
      </c>
      <c r="BV139" s="9">
        <f>[1]monsters!$Q139</f>
        <v>111.48</v>
      </c>
      <c r="BW139" s="9">
        <f>[1]monsters!$R139</f>
        <v>22.32</v>
      </c>
      <c r="BX139" s="9">
        <f>[1]monsters!$S139</f>
        <v>2.23</v>
      </c>
      <c r="BY139" s="9">
        <f>[1]monsters!$K139</f>
        <v>1.5</v>
      </c>
      <c r="BZ139" s="7">
        <f>[1]monsters!$D139</f>
        <v>6</v>
      </c>
      <c r="CA139" s="7">
        <f t="shared" si="153"/>
        <v>0.1</v>
      </c>
      <c r="CB139" s="7">
        <f t="shared" si="154"/>
        <v>248.46070033670031</v>
      </c>
      <c r="CC139" s="7">
        <f t="shared" si="155"/>
        <v>24.846070033670031</v>
      </c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>
        <v>0</v>
      </c>
      <c r="CR139" s="25" t="b">
        <f t="shared" si="156"/>
        <v>1</v>
      </c>
      <c r="CS139" s="25" t="b">
        <f t="shared" si="157"/>
        <v>1</v>
      </c>
      <c r="CT139" s="25" t="b">
        <f t="shared" si="158"/>
        <v>1</v>
      </c>
      <c r="CU139" s="25" t="b">
        <f t="shared" si="159"/>
        <v>1</v>
      </c>
      <c r="CV139" s="25" t="b">
        <f t="shared" si="160"/>
        <v>1</v>
      </c>
      <c r="CW139" s="25" t="b">
        <f t="shared" si="161"/>
        <v>1</v>
      </c>
      <c r="CX139" s="16" t="str">
        <f t="shared" si="162"/>
        <v>5402071</v>
      </c>
      <c r="CY139" s="16" t="str">
        <f t="shared" si="163"/>
        <v>5202071</v>
      </c>
      <c r="CZ139" s="16" t="str">
        <f t="shared" si="164"/>
        <v>5202071</v>
      </c>
      <c r="DA139" s="16" t="str">
        <f t="shared" si="165"/>
        <v>5200071</v>
      </c>
      <c r="DB139" s="16" t="str">
        <f t="shared" si="166"/>
        <v>5502071</v>
      </c>
      <c r="DC139" s="16" t="str">
        <f t="shared" si="167"/>
        <v>5502071</v>
      </c>
      <c r="DD139" s="16">
        <v>7</v>
      </c>
      <c r="DE139" s="16">
        <v>7</v>
      </c>
      <c r="DF139" s="16">
        <v>7</v>
      </c>
      <c r="DG139" s="16">
        <v>7</v>
      </c>
      <c r="DH139" s="16">
        <v>7</v>
      </c>
      <c r="DI139" s="16">
        <v>7</v>
      </c>
      <c r="DJ139" s="16">
        <v>5</v>
      </c>
      <c r="DK139" s="16">
        <v>5</v>
      </c>
      <c r="DL139" s="16">
        <v>5</v>
      </c>
      <c r="DM139" s="16">
        <v>5</v>
      </c>
      <c r="DN139" s="16">
        <v>5</v>
      </c>
      <c r="DO139" s="16">
        <v>5</v>
      </c>
      <c r="DP139" s="51" t="s">
        <v>207</v>
      </c>
      <c r="DQ139" s="51" t="s">
        <v>117</v>
      </c>
      <c r="DR139" s="51" t="s">
        <v>117</v>
      </c>
      <c r="DS139" s="14" t="s">
        <v>205</v>
      </c>
      <c r="DT139" s="14" t="s">
        <v>130</v>
      </c>
      <c r="DU139" s="14" t="s">
        <v>130</v>
      </c>
      <c r="DV139" s="32">
        <f t="shared" si="130"/>
        <v>2</v>
      </c>
      <c r="DW139" s="32">
        <f t="shared" si="131"/>
        <v>1</v>
      </c>
      <c r="DX139" s="32">
        <f t="shared" si="132"/>
        <v>1</v>
      </c>
      <c r="DY139" s="32">
        <f t="shared" si="133"/>
        <v>1</v>
      </c>
      <c r="DZ139" s="32">
        <f t="shared" si="134"/>
        <v>2</v>
      </c>
      <c r="EA139" s="32">
        <f t="shared" si="135"/>
        <v>2</v>
      </c>
      <c r="EB139" s="40"/>
      <c r="EC139" s="16">
        <v>5601061</v>
      </c>
      <c r="ED139" s="40" t="s">
        <v>209</v>
      </c>
      <c r="EE139" s="16">
        <v>2</v>
      </c>
      <c r="FD139" s="16">
        <v>5402071</v>
      </c>
      <c r="FE139" s="16">
        <v>5202071</v>
      </c>
      <c r="FF139" s="16">
        <v>5202071</v>
      </c>
      <c r="FG139" s="16">
        <v>5200071</v>
      </c>
      <c r="FH139" s="16">
        <v>5502071</v>
      </c>
      <c r="FI139" s="16">
        <v>5502071</v>
      </c>
      <c r="FJ139" t="str">
        <f t="shared" si="168"/>
        <v>水女巫</v>
      </c>
      <c r="FK139" t="str">
        <f t="shared" si="169"/>
        <v>水维京</v>
      </c>
      <c r="FL139" t="str">
        <f t="shared" si="170"/>
        <v>水维京</v>
      </c>
      <c r="FM139" t="str">
        <f t="shared" si="171"/>
        <v>水刀客</v>
      </c>
      <c r="FN139" t="str">
        <f t="shared" si="172"/>
        <v>水火枪手</v>
      </c>
      <c r="FO139" t="str">
        <f t="shared" si="173"/>
        <v>水火枪手</v>
      </c>
      <c r="FP139" t="str">
        <f t="shared" si="174"/>
        <v>7</v>
      </c>
      <c r="FQ139" t="str">
        <f t="shared" si="175"/>
        <v>7</v>
      </c>
      <c r="FR139" t="str">
        <f t="shared" si="176"/>
        <v>7</v>
      </c>
      <c r="FS139" t="str">
        <f t="shared" si="177"/>
        <v>7</v>
      </c>
      <c r="FT139" t="str">
        <f t="shared" si="178"/>
        <v>7</v>
      </c>
      <c r="FU139" t="str">
        <f t="shared" si="179"/>
        <v>7</v>
      </c>
      <c r="FV139" t="str">
        <f t="shared" si="136"/>
        <v>5</v>
      </c>
      <c r="FW139" t="str">
        <f t="shared" si="137"/>
        <v>5</v>
      </c>
      <c r="FX139" t="str">
        <f t="shared" si="138"/>
        <v>5</v>
      </c>
      <c r="FY139" t="str">
        <f t="shared" si="139"/>
        <v>5</v>
      </c>
      <c r="FZ139" t="str">
        <f t="shared" si="140"/>
        <v>5</v>
      </c>
      <c r="GA139" t="str">
        <f t="shared" si="141"/>
        <v>5</v>
      </c>
    </row>
    <row r="140" spans="1:183" ht="13.5" customHeight="1">
      <c r="A140" s="1">
        <v>1407</v>
      </c>
      <c r="B140" s="6">
        <v>10142</v>
      </c>
      <c r="C140" s="23" t="str">
        <f t="shared" si="142"/>
        <v>5200071,5200072,5200072,5500071,5500072,5500071</v>
      </c>
      <c r="D140" s="1" t="str">
        <f t="shared" si="143"/>
        <v>7,7,7,7,7,7</v>
      </c>
      <c r="E140" s="53" t="str">
        <f t="shared" si="144"/>
        <v>830,801,801,801,801,801</v>
      </c>
      <c r="F140" s="1">
        <f t="shared" si="129"/>
        <v>3188403</v>
      </c>
      <c r="G140" s="23" t="s">
        <v>34</v>
      </c>
      <c r="H140" s="1" t="s">
        <v>28</v>
      </c>
      <c r="I140" s="1" t="s">
        <v>28</v>
      </c>
      <c r="J140" s="1" t="s">
        <v>28</v>
      </c>
      <c r="K140" s="2" t="s">
        <v>438</v>
      </c>
      <c r="L140" s="1">
        <v>3</v>
      </c>
      <c r="M140" s="1">
        <v>6</v>
      </c>
      <c r="O140" s="25">
        <f t="shared" si="145"/>
        <v>3188403</v>
      </c>
      <c r="P140" s="16">
        <v>3188402.7</v>
      </c>
      <c r="Q140" s="16">
        <v>5200071</v>
      </c>
      <c r="R140" s="16">
        <v>5200072</v>
      </c>
      <c r="S140" s="16">
        <v>5200072</v>
      </c>
      <c r="T140" s="16">
        <v>5500071</v>
      </c>
      <c r="U140" s="16">
        <v>5500072</v>
      </c>
      <c r="V140" s="16">
        <v>5500071</v>
      </c>
      <c r="W140" s="16">
        <v>7</v>
      </c>
      <c r="X140" s="16">
        <v>7</v>
      </c>
      <c r="Y140" s="16">
        <v>7</v>
      </c>
      <c r="Z140" s="16">
        <v>7</v>
      </c>
      <c r="AA140" s="16">
        <v>7</v>
      </c>
      <c r="AB140" s="16">
        <v>7</v>
      </c>
      <c r="AC140" s="16">
        <f t="shared" si="146"/>
        <v>830</v>
      </c>
      <c r="AD140" s="16">
        <f t="shared" si="128"/>
        <v>801</v>
      </c>
      <c r="AE140" s="16">
        <f t="shared" si="128"/>
        <v>801</v>
      </c>
      <c r="AF140" s="16">
        <f t="shared" si="128"/>
        <v>801</v>
      </c>
      <c r="AG140" s="16">
        <f t="shared" si="128"/>
        <v>801</v>
      </c>
      <c r="AH140" s="16">
        <f t="shared" si="128"/>
        <v>801</v>
      </c>
      <c r="AI140" s="28">
        <f t="shared" si="147"/>
        <v>637680.54</v>
      </c>
      <c r="AJ140" s="28">
        <f t="shared" si="148"/>
        <v>510144.43200000003</v>
      </c>
      <c r="AK140" s="28">
        <f t="shared" si="148"/>
        <v>510144.43200000003</v>
      </c>
      <c r="AL140" s="28">
        <f t="shared" si="148"/>
        <v>510144.43200000003</v>
      </c>
      <c r="AM140" s="28">
        <f t="shared" si="148"/>
        <v>510144.43200000003</v>
      </c>
      <c r="AN140" s="28">
        <f t="shared" si="148"/>
        <v>510144.43200000003</v>
      </c>
      <c r="AO140" s="30"/>
      <c r="AP140" s="28"/>
      <c r="AQ140" s="16">
        <v>5</v>
      </c>
      <c r="AR140" s="16">
        <f t="shared" si="149"/>
        <v>1040</v>
      </c>
      <c r="AS140" s="28">
        <f t="shared" si="150"/>
        <v>1432</v>
      </c>
      <c r="AT140" s="28"/>
      <c r="AU140" s="30">
        <v>3188402.7</v>
      </c>
      <c r="AV140" s="28" t="str">
        <f t="shared" si="151"/>
        <v>小:0</v>
      </c>
      <c r="AW140" s="28"/>
      <c r="AX140" s="28"/>
      <c r="AZ140" s="28"/>
      <c r="BA140" s="16">
        <f t="shared" si="120"/>
        <v>23677.715714285776</v>
      </c>
      <c r="BC140" s="7">
        <f t="shared" si="152"/>
        <v>775</v>
      </c>
      <c r="BR140" s="7">
        <v>5201054</v>
      </c>
      <c r="BS140" s="9">
        <f>[1]monsters!$N140</f>
        <v>144</v>
      </c>
      <c r="BT140" s="9">
        <f>[1]monsters!$O140</f>
        <v>14.4</v>
      </c>
      <c r="BU140" s="9">
        <f>[1]monsters!$P140</f>
        <v>1728</v>
      </c>
      <c r="BV140" s="9">
        <f>[1]monsters!$Q140</f>
        <v>172.8</v>
      </c>
      <c r="BW140" s="9">
        <f>[1]monsters!$R140</f>
        <v>36</v>
      </c>
      <c r="BX140" s="9">
        <f>[1]monsters!$S140</f>
        <v>3.6</v>
      </c>
      <c r="BY140" s="9">
        <f>[1]monsters!$K140</f>
        <v>1.5</v>
      </c>
      <c r="BZ140" s="7">
        <f>[1]monsters!$D140</f>
        <v>2</v>
      </c>
      <c r="CA140" s="7">
        <f t="shared" si="153"/>
        <v>0.1</v>
      </c>
      <c r="CB140" s="7">
        <f t="shared" si="154"/>
        <v>194.2618181818182</v>
      </c>
      <c r="CC140" s="7">
        <f t="shared" si="155"/>
        <v>19.426181818181821</v>
      </c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>
        <v>0</v>
      </c>
      <c r="CR140" s="25" t="b">
        <f t="shared" si="156"/>
        <v>1</v>
      </c>
      <c r="CS140" s="25" t="b">
        <f t="shared" si="157"/>
        <v>1</v>
      </c>
      <c r="CT140" s="25" t="b">
        <f t="shared" si="158"/>
        <v>1</v>
      </c>
      <c r="CU140" s="25" t="b">
        <f t="shared" si="159"/>
        <v>1</v>
      </c>
      <c r="CV140" s="25" t="b">
        <f t="shared" si="160"/>
        <v>1</v>
      </c>
      <c r="CW140" s="25" t="b">
        <f t="shared" si="161"/>
        <v>1</v>
      </c>
      <c r="CX140" s="16" t="str">
        <f t="shared" si="162"/>
        <v>5200071</v>
      </c>
      <c r="CY140" s="16" t="str">
        <f t="shared" si="163"/>
        <v>5200072</v>
      </c>
      <c r="CZ140" s="16" t="str">
        <f t="shared" si="164"/>
        <v>5200072</v>
      </c>
      <c r="DA140" s="16" t="str">
        <f t="shared" si="165"/>
        <v>5500071</v>
      </c>
      <c r="DB140" s="16" t="str">
        <f t="shared" si="166"/>
        <v>5500072</v>
      </c>
      <c r="DC140" s="16" t="str">
        <f t="shared" si="167"/>
        <v>5500071</v>
      </c>
      <c r="DD140" s="16">
        <v>7</v>
      </c>
      <c r="DE140" s="16">
        <v>7</v>
      </c>
      <c r="DF140" s="16">
        <v>7</v>
      </c>
      <c r="DG140" s="16">
        <v>7</v>
      </c>
      <c r="DH140" s="16">
        <v>7</v>
      </c>
      <c r="DI140" s="16">
        <v>7</v>
      </c>
      <c r="DJ140" s="16">
        <v>5</v>
      </c>
      <c r="DK140" s="16">
        <v>5</v>
      </c>
      <c r="DL140" s="16">
        <v>5</v>
      </c>
      <c r="DM140" s="16">
        <v>5</v>
      </c>
      <c r="DN140" s="16">
        <v>5</v>
      </c>
      <c r="DO140" s="16">
        <v>5</v>
      </c>
      <c r="DP140" s="51" t="s">
        <v>205</v>
      </c>
      <c r="DQ140" s="51" t="s">
        <v>210</v>
      </c>
      <c r="DR140" s="51" t="s">
        <v>210</v>
      </c>
      <c r="DS140" s="36" t="s">
        <v>208</v>
      </c>
      <c r="DT140" s="51" t="s">
        <v>115</v>
      </c>
      <c r="DU140" s="51" t="s">
        <v>208</v>
      </c>
      <c r="DV140" s="32">
        <f t="shared" si="130"/>
        <v>1</v>
      </c>
      <c r="DW140" s="32">
        <f t="shared" si="131"/>
        <v>1</v>
      </c>
      <c r="DX140" s="32">
        <f t="shared" si="132"/>
        <v>1</v>
      </c>
      <c r="DY140" s="32">
        <f t="shared" si="133"/>
        <v>2</v>
      </c>
      <c r="DZ140" s="32">
        <f t="shared" si="134"/>
        <v>2</v>
      </c>
      <c r="EA140" s="32">
        <f t="shared" si="135"/>
        <v>2</v>
      </c>
      <c r="EB140" s="41"/>
      <c r="EC140" s="16">
        <v>5200062</v>
      </c>
      <c r="ED140" s="40" t="s">
        <v>210</v>
      </c>
      <c r="EE140" s="16">
        <v>1</v>
      </c>
      <c r="FD140" s="16">
        <v>5200071</v>
      </c>
      <c r="FE140" s="16">
        <v>5200072</v>
      </c>
      <c r="FF140" s="16">
        <v>5200072</v>
      </c>
      <c r="FG140" s="16">
        <v>5500071</v>
      </c>
      <c r="FH140" s="16">
        <v>5500072</v>
      </c>
      <c r="FI140" s="16">
        <v>5500071</v>
      </c>
      <c r="FJ140" t="str">
        <f t="shared" si="168"/>
        <v>水刀客</v>
      </c>
      <c r="FK140" t="str">
        <f t="shared" si="169"/>
        <v>火刀客</v>
      </c>
      <c r="FL140" t="str">
        <f t="shared" si="170"/>
        <v>火刀客</v>
      </c>
      <c r="FM140" t="str">
        <f t="shared" si="171"/>
        <v>水海盗</v>
      </c>
      <c r="FN140" t="str">
        <f t="shared" si="172"/>
        <v>火海盗</v>
      </c>
      <c r="FO140" t="str">
        <f t="shared" si="173"/>
        <v>水海盗</v>
      </c>
      <c r="FP140" t="str">
        <f t="shared" si="174"/>
        <v>7</v>
      </c>
      <c r="FQ140" t="str">
        <f t="shared" si="175"/>
        <v>7</v>
      </c>
      <c r="FR140" t="str">
        <f t="shared" si="176"/>
        <v>7</v>
      </c>
      <c r="FS140" t="str">
        <f t="shared" si="177"/>
        <v>7</v>
      </c>
      <c r="FT140" t="str">
        <f t="shared" si="178"/>
        <v>7</v>
      </c>
      <c r="FU140" t="str">
        <f t="shared" si="179"/>
        <v>7</v>
      </c>
      <c r="FV140" t="str">
        <f t="shared" si="136"/>
        <v>5</v>
      </c>
      <c r="FW140" t="str">
        <f t="shared" si="137"/>
        <v>5</v>
      </c>
      <c r="FX140" t="str">
        <f t="shared" si="138"/>
        <v>5</v>
      </c>
      <c r="FY140" t="str">
        <f t="shared" si="139"/>
        <v>5</v>
      </c>
      <c r="FZ140" t="str">
        <f t="shared" si="140"/>
        <v>5</v>
      </c>
      <c r="GA140" t="str">
        <f t="shared" si="141"/>
        <v>5</v>
      </c>
    </row>
    <row r="141" spans="1:183" ht="13.5" customHeight="1">
      <c r="A141" s="1">
        <v>1408</v>
      </c>
      <c r="B141" s="6">
        <v>10142</v>
      </c>
      <c r="C141" s="23" t="str">
        <f t="shared" si="142"/>
        <v>5201072,5201071,5201071,5402071,5601072,5402071</v>
      </c>
      <c r="D141" s="1" t="str">
        <f t="shared" si="143"/>
        <v>7,7,7,7,7,7</v>
      </c>
      <c r="E141" s="53" t="str">
        <f t="shared" si="144"/>
        <v>834,805,805,805,805,805</v>
      </c>
      <c r="F141" s="1">
        <f t="shared" si="129"/>
        <v>3217264</v>
      </c>
      <c r="G141" s="23" t="s">
        <v>34</v>
      </c>
      <c r="H141" s="1" t="s">
        <v>28</v>
      </c>
      <c r="I141" s="1" t="s">
        <v>28</v>
      </c>
      <c r="J141" s="1" t="s">
        <v>28</v>
      </c>
      <c r="K141" s="2" t="s">
        <v>439</v>
      </c>
      <c r="L141" s="1">
        <v>1</v>
      </c>
      <c r="M141" s="1">
        <v>6</v>
      </c>
      <c r="O141" s="25">
        <f t="shared" si="145"/>
        <v>3217264</v>
      </c>
      <c r="P141" s="16">
        <v>3217264.3</v>
      </c>
      <c r="Q141" s="16">
        <v>5201072</v>
      </c>
      <c r="R141" s="16">
        <v>5201071</v>
      </c>
      <c r="S141" s="16">
        <v>5201071</v>
      </c>
      <c r="T141" s="16">
        <v>5402071</v>
      </c>
      <c r="U141" s="16">
        <v>5601072</v>
      </c>
      <c r="V141" s="16">
        <v>5402071</v>
      </c>
      <c r="W141" s="16">
        <v>7</v>
      </c>
      <c r="X141" s="16">
        <v>7</v>
      </c>
      <c r="Y141" s="16">
        <v>7</v>
      </c>
      <c r="Z141" s="16">
        <v>7</v>
      </c>
      <c r="AA141" s="16">
        <v>7</v>
      </c>
      <c r="AB141" s="16">
        <v>7</v>
      </c>
      <c r="AC141" s="16">
        <f t="shared" si="146"/>
        <v>834</v>
      </c>
      <c r="AD141" s="16">
        <f t="shared" si="128"/>
        <v>805</v>
      </c>
      <c r="AE141" s="16">
        <f t="shared" si="128"/>
        <v>805</v>
      </c>
      <c r="AF141" s="16">
        <f t="shared" si="128"/>
        <v>805</v>
      </c>
      <c r="AG141" s="16">
        <f t="shared" si="128"/>
        <v>805</v>
      </c>
      <c r="AH141" s="16">
        <f t="shared" si="128"/>
        <v>805</v>
      </c>
      <c r="AI141" s="28">
        <f t="shared" si="147"/>
        <v>643452.86</v>
      </c>
      <c r="AJ141" s="28">
        <f t="shared" si="148"/>
        <v>514762.288</v>
      </c>
      <c r="AK141" s="28">
        <f t="shared" si="148"/>
        <v>514762.288</v>
      </c>
      <c r="AL141" s="28">
        <f t="shared" si="148"/>
        <v>514762.288</v>
      </c>
      <c r="AM141" s="28">
        <f t="shared" si="148"/>
        <v>514762.288</v>
      </c>
      <c r="AN141" s="28">
        <f t="shared" si="148"/>
        <v>514762.288</v>
      </c>
      <c r="AO141" s="30"/>
      <c r="AP141" s="28"/>
      <c r="AQ141" s="16">
        <v>5</v>
      </c>
      <c r="AR141" s="16">
        <f t="shared" si="149"/>
        <v>1045</v>
      </c>
      <c r="AS141" s="28">
        <f t="shared" si="150"/>
        <v>1433</v>
      </c>
      <c r="AT141" s="28"/>
      <c r="AU141" s="30">
        <v>3217264.3</v>
      </c>
      <c r="AV141" s="28" t="str">
        <f t="shared" si="151"/>
        <v>小:0</v>
      </c>
      <c r="AW141" s="28"/>
      <c r="AX141" s="28"/>
      <c r="AZ141" s="28"/>
      <c r="BA141" s="16">
        <f t="shared" si="120"/>
        <v>23729.991428571491</v>
      </c>
      <c r="BC141" s="7">
        <f t="shared" si="152"/>
        <v>779</v>
      </c>
      <c r="BR141" s="7">
        <v>5300054</v>
      </c>
      <c r="BS141" s="9">
        <f>[1]monsters!$N141</f>
        <v>138.24</v>
      </c>
      <c r="BT141" s="9">
        <f>[1]monsters!$O141</f>
        <v>13.82</v>
      </c>
      <c r="BU141" s="9">
        <f>[1]monsters!$P141</f>
        <v>2160</v>
      </c>
      <c r="BV141" s="9">
        <f>[1]monsters!$Q141</f>
        <v>216</v>
      </c>
      <c r="BW141" s="9">
        <f>[1]monsters!$R141</f>
        <v>46.08</v>
      </c>
      <c r="BX141" s="9">
        <f>[1]monsters!$S141</f>
        <v>4.6100000000000003</v>
      </c>
      <c r="BY141" s="9">
        <f>[1]monsters!$K141</f>
        <v>1.8</v>
      </c>
      <c r="BZ141" s="7">
        <f>[1]monsters!$D141</f>
        <v>2</v>
      </c>
      <c r="CA141" s="7">
        <f t="shared" si="153"/>
        <v>0.1</v>
      </c>
      <c r="CB141" s="7">
        <f t="shared" si="154"/>
        <v>203.36407272727274</v>
      </c>
      <c r="CC141" s="7">
        <f t="shared" si="155"/>
        <v>20.336407272727275</v>
      </c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>
        <v>0</v>
      </c>
      <c r="CR141" s="25" t="b">
        <f t="shared" si="156"/>
        <v>1</v>
      </c>
      <c r="CS141" s="25" t="b">
        <f t="shared" si="157"/>
        <v>1</v>
      </c>
      <c r="CT141" s="25" t="b">
        <f t="shared" si="158"/>
        <v>1</v>
      </c>
      <c r="CU141" s="25" t="b">
        <f t="shared" si="159"/>
        <v>1</v>
      </c>
      <c r="CV141" s="25" t="b">
        <f t="shared" si="160"/>
        <v>1</v>
      </c>
      <c r="CW141" s="25" t="b">
        <f t="shared" si="161"/>
        <v>1</v>
      </c>
      <c r="CX141" s="16" t="str">
        <f t="shared" si="162"/>
        <v>5201072</v>
      </c>
      <c r="CY141" s="16" t="str">
        <f t="shared" si="163"/>
        <v>5201071</v>
      </c>
      <c r="CZ141" s="16" t="str">
        <f t="shared" si="164"/>
        <v>5201071</v>
      </c>
      <c r="DA141" s="16" t="str">
        <f t="shared" si="165"/>
        <v>5402071</v>
      </c>
      <c r="DB141" s="16" t="str">
        <f t="shared" si="166"/>
        <v>5601072</v>
      </c>
      <c r="DC141" s="16" t="str">
        <f t="shared" si="167"/>
        <v>5402071</v>
      </c>
      <c r="DD141" s="16">
        <v>7</v>
      </c>
      <c r="DE141" s="16">
        <v>7</v>
      </c>
      <c r="DF141" s="16">
        <v>7</v>
      </c>
      <c r="DG141" s="16">
        <v>7</v>
      </c>
      <c r="DH141" s="16">
        <v>7</v>
      </c>
      <c r="DI141" s="16">
        <v>7</v>
      </c>
      <c r="DJ141" s="16">
        <v>5</v>
      </c>
      <c r="DK141" s="16">
        <v>5</v>
      </c>
      <c r="DL141" s="16">
        <v>5</v>
      </c>
      <c r="DM141" s="16">
        <v>5</v>
      </c>
      <c r="DN141" s="16">
        <v>5</v>
      </c>
      <c r="DO141" s="16">
        <v>5</v>
      </c>
      <c r="DP141" s="51" t="s">
        <v>120</v>
      </c>
      <c r="DQ141" s="51" t="s">
        <v>206</v>
      </c>
      <c r="DR141" s="13" t="s">
        <v>206</v>
      </c>
      <c r="DS141" s="36" t="s">
        <v>207</v>
      </c>
      <c r="DT141" s="36" t="s">
        <v>216</v>
      </c>
      <c r="DU141" s="36" t="s">
        <v>207</v>
      </c>
      <c r="DV141" s="32">
        <f t="shared" si="130"/>
        <v>1</v>
      </c>
      <c r="DW141" s="32">
        <f t="shared" si="131"/>
        <v>1</v>
      </c>
      <c r="DX141" s="32">
        <f t="shared" si="132"/>
        <v>1</v>
      </c>
      <c r="DY141" s="32">
        <f t="shared" si="133"/>
        <v>2</v>
      </c>
      <c r="DZ141" s="32">
        <f t="shared" si="134"/>
        <v>2</v>
      </c>
      <c r="EA141" s="32">
        <f t="shared" si="135"/>
        <v>2</v>
      </c>
      <c r="EB141" s="41"/>
      <c r="EC141" s="16">
        <v>5201062</v>
      </c>
      <c r="ED141" s="40" t="s">
        <v>120</v>
      </c>
      <c r="EE141" s="16">
        <v>1</v>
      </c>
      <c r="FD141" s="16">
        <v>5201072</v>
      </c>
      <c r="FE141" s="16">
        <v>5201071</v>
      </c>
      <c r="FF141" s="16">
        <v>5201071</v>
      </c>
      <c r="FG141" s="16">
        <v>5402071</v>
      </c>
      <c r="FH141" s="16">
        <v>5601072</v>
      </c>
      <c r="FI141" s="16">
        <v>5402071</v>
      </c>
      <c r="FJ141" t="str">
        <f t="shared" si="168"/>
        <v>火骑兵</v>
      </c>
      <c r="FK141" t="str">
        <f t="shared" si="169"/>
        <v>水骑兵</v>
      </c>
      <c r="FL141" t="str">
        <f t="shared" si="170"/>
        <v>水骑兵</v>
      </c>
      <c r="FM141" t="str">
        <f t="shared" si="171"/>
        <v>水女巫</v>
      </c>
      <c r="FN141" t="str">
        <f t="shared" si="172"/>
        <v>火修女</v>
      </c>
      <c r="FO141" t="str">
        <f t="shared" si="173"/>
        <v>水女巫</v>
      </c>
      <c r="FP141" t="str">
        <f t="shared" si="174"/>
        <v>7</v>
      </c>
      <c r="FQ141" t="str">
        <f t="shared" si="175"/>
        <v>7</v>
      </c>
      <c r="FR141" t="str">
        <f t="shared" si="176"/>
        <v>7</v>
      </c>
      <c r="FS141" t="str">
        <f t="shared" si="177"/>
        <v>7</v>
      </c>
      <c r="FT141" t="str">
        <f t="shared" si="178"/>
        <v>7</v>
      </c>
      <c r="FU141" t="str">
        <f t="shared" si="179"/>
        <v>7</v>
      </c>
      <c r="FV141" t="str">
        <f t="shared" si="136"/>
        <v>5</v>
      </c>
      <c r="FW141" t="str">
        <f t="shared" si="137"/>
        <v>5</v>
      </c>
      <c r="FX141" t="str">
        <f t="shared" si="138"/>
        <v>5</v>
      </c>
      <c r="FY141" t="str">
        <f t="shared" si="139"/>
        <v>5</v>
      </c>
      <c r="FZ141" t="str">
        <f t="shared" si="140"/>
        <v>5</v>
      </c>
      <c r="GA141" t="str">
        <f t="shared" si="141"/>
        <v>5</v>
      </c>
    </row>
    <row r="142" spans="1:183" ht="13.5" customHeight="1">
      <c r="A142" s="1">
        <v>1409</v>
      </c>
      <c r="B142" s="6">
        <v>10142</v>
      </c>
      <c r="C142" s="23" t="str">
        <f t="shared" si="142"/>
        <v>5500071,5202071,5202071,5200071,5601071,5601071</v>
      </c>
      <c r="D142" s="1" t="str">
        <f t="shared" si="143"/>
        <v>7,7,7,7,7,7</v>
      </c>
      <c r="E142" s="53" t="str">
        <f t="shared" si="144"/>
        <v>838,809,809,809,809,809</v>
      </c>
      <c r="F142" s="1">
        <f t="shared" si="129"/>
        <v>3249157</v>
      </c>
      <c r="G142" s="23" t="s">
        <v>34</v>
      </c>
      <c r="H142" s="1" t="s">
        <v>28</v>
      </c>
      <c r="I142" s="1" t="s">
        <v>28</v>
      </c>
      <c r="J142" s="1" t="s">
        <v>28</v>
      </c>
      <c r="K142" s="2" t="s">
        <v>440</v>
      </c>
      <c r="L142" s="1">
        <v>2</v>
      </c>
      <c r="M142" s="1">
        <v>5</v>
      </c>
      <c r="O142" s="25">
        <f t="shared" si="145"/>
        <v>3249157</v>
      </c>
      <c r="P142" s="16">
        <v>3249157.4</v>
      </c>
      <c r="Q142" s="16">
        <v>5500071</v>
      </c>
      <c r="R142" s="16">
        <v>5202071</v>
      </c>
      <c r="S142" s="16">
        <v>5202071</v>
      </c>
      <c r="T142" s="16">
        <v>5200071</v>
      </c>
      <c r="U142" s="16">
        <v>5601071</v>
      </c>
      <c r="V142" s="16">
        <v>5601071</v>
      </c>
      <c r="W142" s="16">
        <v>7</v>
      </c>
      <c r="X142" s="16">
        <v>7</v>
      </c>
      <c r="Y142" s="16">
        <v>7</v>
      </c>
      <c r="Z142" s="16">
        <v>7</v>
      </c>
      <c r="AA142" s="16">
        <v>7</v>
      </c>
      <c r="AB142" s="16">
        <v>7</v>
      </c>
      <c r="AC142" s="16">
        <f t="shared" si="146"/>
        <v>838</v>
      </c>
      <c r="AD142" s="16">
        <f t="shared" si="128"/>
        <v>809</v>
      </c>
      <c r="AE142" s="16">
        <f t="shared" si="128"/>
        <v>809</v>
      </c>
      <c r="AF142" s="16">
        <f t="shared" si="128"/>
        <v>809</v>
      </c>
      <c r="AG142" s="16">
        <f t="shared" si="128"/>
        <v>809</v>
      </c>
      <c r="AH142" s="16">
        <f t="shared" si="128"/>
        <v>809</v>
      </c>
      <c r="AI142" s="28">
        <f t="shared" si="147"/>
        <v>649831.48</v>
      </c>
      <c r="AJ142" s="28">
        <f t="shared" si="148"/>
        <v>519865.18400000001</v>
      </c>
      <c r="AK142" s="28">
        <f t="shared" si="148"/>
        <v>519865.18400000001</v>
      </c>
      <c r="AL142" s="28">
        <f t="shared" si="148"/>
        <v>519865.18400000001</v>
      </c>
      <c r="AM142" s="28">
        <f t="shared" si="148"/>
        <v>519865.18400000001</v>
      </c>
      <c r="AN142" s="28">
        <f t="shared" si="148"/>
        <v>519865.18400000001</v>
      </c>
      <c r="AO142" s="30"/>
      <c r="AP142" s="28"/>
      <c r="AQ142" s="16">
        <v>5</v>
      </c>
      <c r="AR142" s="16">
        <f t="shared" si="149"/>
        <v>1050</v>
      </c>
      <c r="AS142" s="28">
        <f t="shared" si="150"/>
        <v>1434</v>
      </c>
      <c r="AT142" s="28"/>
      <c r="AU142" s="30">
        <v>3249157.4</v>
      </c>
      <c r="AV142" s="28" t="str">
        <f t="shared" si="151"/>
        <v>小:0</v>
      </c>
      <c r="AW142" s="28"/>
      <c r="AX142" s="28"/>
      <c r="AZ142" s="28"/>
      <c r="BA142" s="16">
        <f t="shared" si="120"/>
        <v>23782.267142857207</v>
      </c>
      <c r="BC142" s="7">
        <f t="shared" si="152"/>
        <v>783</v>
      </c>
      <c r="BR142" s="7">
        <v>5301054</v>
      </c>
      <c r="BS142" s="9">
        <f>[1]monsters!$N142</f>
        <v>155.52000000000001</v>
      </c>
      <c r="BT142" s="9">
        <f>[1]monsters!$O142</f>
        <v>15.55</v>
      </c>
      <c r="BU142" s="9">
        <f>[1]monsters!$P142</f>
        <v>1920</v>
      </c>
      <c r="BV142" s="9">
        <f>[1]monsters!$Q142</f>
        <v>192</v>
      </c>
      <c r="BW142" s="9">
        <f>[1]monsters!$R142</f>
        <v>31.1</v>
      </c>
      <c r="BX142" s="9">
        <f>[1]monsters!$S142</f>
        <v>3.11</v>
      </c>
      <c r="BY142" s="9">
        <f>[1]monsters!$K142</f>
        <v>1.8</v>
      </c>
      <c r="BZ142" s="7">
        <f>[1]monsters!$D142</f>
        <v>2</v>
      </c>
      <c r="CA142" s="7">
        <f t="shared" si="153"/>
        <v>0.1</v>
      </c>
      <c r="CB142" s="7">
        <f t="shared" si="154"/>
        <v>211.61286464646466</v>
      </c>
      <c r="CC142" s="7">
        <f t="shared" si="155"/>
        <v>21.161286464646466</v>
      </c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>
        <v>0</v>
      </c>
      <c r="CR142" s="25" t="b">
        <f t="shared" si="156"/>
        <v>1</v>
      </c>
      <c r="CS142" s="25" t="b">
        <f t="shared" si="157"/>
        <v>1</v>
      </c>
      <c r="CT142" s="25" t="b">
        <f t="shared" si="158"/>
        <v>1</v>
      </c>
      <c r="CU142" s="25" t="b">
        <f t="shared" si="159"/>
        <v>1</v>
      </c>
      <c r="CV142" s="25" t="b">
        <f t="shared" si="160"/>
        <v>1</v>
      </c>
      <c r="CW142" s="25" t="b">
        <f t="shared" si="161"/>
        <v>1</v>
      </c>
      <c r="CX142" s="16" t="str">
        <f t="shared" si="162"/>
        <v>5500071</v>
      </c>
      <c r="CY142" s="16" t="str">
        <f t="shared" si="163"/>
        <v>5202071</v>
      </c>
      <c r="CZ142" s="16" t="str">
        <f t="shared" si="164"/>
        <v>5202071</v>
      </c>
      <c r="DA142" s="16" t="str">
        <f t="shared" si="165"/>
        <v>5200071</v>
      </c>
      <c r="DB142" s="16" t="str">
        <f t="shared" si="166"/>
        <v>5601071</v>
      </c>
      <c r="DC142" s="16" t="str">
        <f t="shared" si="167"/>
        <v>5601071</v>
      </c>
      <c r="DD142" s="16">
        <v>7</v>
      </c>
      <c r="DE142" s="16">
        <v>7</v>
      </c>
      <c r="DF142" s="16">
        <v>7</v>
      </c>
      <c r="DG142" s="16">
        <v>7</v>
      </c>
      <c r="DH142" s="16">
        <v>7</v>
      </c>
      <c r="DI142" s="16">
        <v>7</v>
      </c>
      <c r="DJ142" s="16">
        <v>5</v>
      </c>
      <c r="DK142" s="16">
        <v>5</v>
      </c>
      <c r="DL142" s="16">
        <v>5</v>
      </c>
      <c r="DM142" s="16">
        <v>5</v>
      </c>
      <c r="DN142" s="16">
        <v>5</v>
      </c>
      <c r="DO142" s="16">
        <v>5</v>
      </c>
      <c r="DP142" s="51" t="s">
        <v>208</v>
      </c>
      <c r="DQ142" s="36" t="s">
        <v>117</v>
      </c>
      <c r="DR142" s="51" t="s">
        <v>117</v>
      </c>
      <c r="DS142" s="36" t="s">
        <v>205</v>
      </c>
      <c r="DT142" s="36" t="s">
        <v>209</v>
      </c>
      <c r="DU142" s="14" t="s">
        <v>209</v>
      </c>
      <c r="DV142" s="32">
        <f t="shared" si="130"/>
        <v>2</v>
      </c>
      <c r="DW142" s="32">
        <f t="shared" si="131"/>
        <v>1</v>
      </c>
      <c r="DX142" s="32">
        <f t="shared" si="132"/>
        <v>1</v>
      </c>
      <c r="DY142" s="32">
        <f t="shared" si="133"/>
        <v>1</v>
      </c>
      <c r="DZ142" s="32">
        <f t="shared" si="134"/>
        <v>2</v>
      </c>
      <c r="EA142" s="32">
        <f t="shared" si="135"/>
        <v>2</v>
      </c>
      <c r="EB142" s="41"/>
      <c r="EC142" s="16">
        <v>5202062</v>
      </c>
      <c r="ED142" s="40" t="s">
        <v>211</v>
      </c>
      <c r="EE142" s="16">
        <v>1</v>
      </c>
      <c r="FD142" s="16">
        <v>5500071</v>
      </c>
      <c r="FE142" s="16">
        <v>5202071</v>
      </c>
      <c r="FF142" s="16">
        <v>5202071</v>
      </c>
      <c r="FG142" s="16">
        <v>5200071</v>
      </c>
      <c r="FH142" s="16">
        <v>5601071</v>
      </c>
      <c r="FI142" s="16">
        <v>5601071</v>
      </c>
      <c r="FJ142" t="str">
        <f t="shared" si="168"/>
        <v>水海盗</v>
      </c>
      <c r="FK142" t="str">
        <f t="shared" si="169"/>
        <v>水维京</v>
      </c>
      <c r="FL142" t="str">
        <f t="shared" si="170"/>
        <v>水维京</v>
      </c>
      <c r="FM142" t="str">
        <f t="shared" si="171"/>
        <v>水刀客</v>
      </c>
      <c r="FN142" t="str">
        <f t="shared" si="172"/>
        <v>水修女</v>
      </c>
      <c r="FO142" t="str">
        <f t="shared" si="173"/>
        <v>水修女</v>
      </c>
      <c r="FP142" t="str">
        <f t="shared" si="174"/>
        <v>7</v>
      </c>
      <c r="FQ142" t="str">
        <f t="shared" si="175"/>
        <v>7</v>
      </c>
      <c r="FR142" t="str">
        <f t="shared" si="176"/>
        <v>7</v>
      </c>
      <c r="FS142" t="str">
        <f t="shared" si="177"/>
        <v>7</v>
      </c>
      <c r="FT142" t="str">
        <f t="shared" si="178"/>
        <v>7</v>
      </c>
      <c r="FU142" t="str">
        <f t="shared" si="179"/>
        <v>7</v>
      </c>
      <c r="FV142" t="str">
        <f t="shared" si="136"/>
        <v>5</v>
      </c>
      <c r="FW142" t="str">
        <f t="shared" si="137"/>
        <v>5</v>
      </c>
      <c r="FX142" t="str">
        <f t="shared" si="138"/>
        <v>5</v>
      </c>
      <c r="FY142" t="str">
        <f t="shared" si="139"/>
        <v>5</v>
      </c>
      <c r="FZ142" t="str">
        <f t="shared" si="140"/>
        <v>5</v>
      </c>
      <c r="GA142" t="str">
        <f t="shared" si="141"/>
        <v>5</v>
      </c>
    </row>
    <row r="143" spans="1:183" ht="13.5" customHeight="1">
      <c r="A143" s="1">
        <v>1410</v>
      </c>
      <c r="B143" s="6">
        <v>10142</v>
      </c>
      <c r="C143" s="23" t="str">
        <f t="shared" si="142"/>
        <v>5200071,5201071,5201071,5502071,5502071,5502071</v>
      </c>
      <c r="D143" s="1" t="str">
        <f t="shared" si="143"/>
        <v>7,7,7,7,7,7</v>
      </c>
      <c r="E143" s="53" t="str">
        <f t="shared" si="144"/>
        <v>870,840,840,840,840,840</v>
      </c>
      <c r="F143" s="1">
        <f t="shared" si="129"/>
        <v>3499579</v>
      </c>
      <c r="G143" s="23" t="s">
        <v>34</v>
      </c>
      <c r="H143" s="1" t="s">
        <v>28</v>
      </c>
      <c r="I143" s="1" t="s">
        <v>28</v>
      </c>
      <c r="J143" s="1" t="s">
        <v>28</v>
      </c>
      <c r="K143" s="2" t="s">
        <v>441</v>
      </c>
      <c r="L143" s="1">
        <v>3</v>
      </c>
      <c r="M143" s="1">
        <v>5</v>
      </c>
      <c r="O143" s="25">
        <f t="shared" si="145"/>
        <v>3499579</v>
      </c>
      <c r="P143" s="16">
        <v>3499578.65</v>
      </c>
      <c r="Q143" s="16">
        <v>5200071</v>
      </c>
      <c r="R143" s="16">
        <v>5201071</v>
      </c>
      <c r="S143" s="16">
        <v>5201071</v>
      </c>
      <c r="T143" s="16">
        <v>5502071</v>
      </c>
      <c r="U143" s="16">
        <v>5502071</v>
      </c>
      <c r="V143" s="16">
        <v>5502071</v>
      </c>
      <c r="W143" s="16">
        <v>7</v>
      </c>
      <c r="X143" s="16">
        <v>7</v>
      </c>
      <c r="Y143" s="16">
        <v>7</v>
      </c>
      <c r="Z143" s="16">
        <v>7</v>
      </c>
      <c r="AA143" s="16">
        <v>7</v>
      </c>
      <c r="AB143" s="16">
        <v>7</v>
      </c>
      <c r="AC143" s="16">
        <f t="shared" si="146"/>
        <v>870</v>
      </c>
      <c r="AD143" s="16">
        <f t="shared" si="128"/>
        <v>840</v>
      </c>
      <c r="AE143" s="16">
        <f t="shared" si="128"/>
        <v>840</v>
      </c>
      <c r="AF143" s="16">
        <f t="shared" si="128"/>
        <v>840</v>
      </c>
      <c r="AG143" s="16">
        <f t="shared" si="128"/>
        <v>840</v>
      </c>
      <c r="AH143" s="16">
        <f t="shared" si="128"/>
        <v>840</v>
      </c>
      <c r="AI143" s="28">
        <f t="shared" si="147"/>
        <v>699915.73</v>
      </c>
      <c r="AJ143" s="28">
        <f t="shared" si="148"/>
        <v>559932.58400000003</v>
      </c>
      <c r="AK143" s="28">
        <f t="shared" si="148"/>
        <v>559932.58400000003</v>
      </c>
      <c r="AL143" s="28">
        <f t="shared" si="148"/>
        <v>559932.58400000003</v>
      </c>
      <c r="AM143" s="28">
        <f t="shared" si="148"/>
        <v>559932.58400000003</v>
      </c>
      <c r="AN143" s="28">
        <f t="shared" si="148"/>
        <v>559932.58400000003</v>
      </c>
      <c r="AO143" s="30"/>
      <c r="AP143" s="28"/>
      <c r="AQ143" s="16">
        <v>5</v>
      </c>
      <c r="AR143" s="16">
        <f t="shared" si="149"/>
        <v>1090</v>
      </c>
      <c r="AS143" s="28">
        <f t="shared" si="150"/>
        <v>1435</v>
      </c>
      <c r="AT143" s="28"/>
      <c r="AU143" s="30">
        <v>3499578.65</v>
      </c>
      <c r="AV143" s="28" t="str">
        <f t="shared" si="151"/>
        <v>小:0</v>
      </c>
      <c r="AW143" s="28"/>
      <c r="AX143" s="28"/>
      <c r="AZ143" s="28"/>
      <c r="BA143" s="16">
        <f t="shared" si="120"/>
        <v>23834.542857142922</v>
      </c>
      <c r="BC143" s="7">
        <f t="shared" si="152"/>
        <v>813</v>
      </c>
      <c r="BR143" s="7">
        <v>5401054</v>
      </c>
      <c r="BS143" s="9">
        <f>[1]monsters!$N143</f>
        <v>103.68</v>
      </c>
      <c r="BT143" s="9">
        <f>[1]monsters!$O143</f>
        <v>10.37</v>
      </c>
      <c r="BU143" s="9">
        <f>[1]monsters!$P143</f>
        <v>1920</v>
      </c>
      <c r="BV143" s="9">
        <f>[1]monsters!$Q143</f>
        <v>192</v>
      </c>
      <c r="BW143" s="9">
        <f>[1]monsters!$R143</f>
        <v>20.74</v>
      </c>
      <c r="BX143" s="9">
        <f>[1]monsters!$S143</f>
        <v>2.0699999999999998</v>
      </c>
      <c r="BY143" s="9">
        <f>[1]monsters!$K143</f>
        <v>1.2</v>
      </c>
      <c r="BZ143" s="7">
        <f>[1]monsters!$D143</f>
        <v>3</v>
      </c>
      <c r="CA143" s="7">
        <f t="shared" si="153"/>
        <v>0.1</v>
      </c>
      <c r="CB143" s="7">
        <f t="shared" si="154"/>
        <v>162.62406464646466</v>
      </c>
      <c r="CC143" s="7">
        <f t="shared" si="155"/>
        <v>16.262406464646467</v>
      </c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>
        <v>1</v>
      </c>
      <c r="CR143" s="25" t="b">
        <f t="shared" si="156"/>
        <v>1</v>
      </c>
      <c r="CS143" s="25" t="b">
        <f t="shared" si="157"/>
        <v>1</v>
      </c>
      <c r="CT143" s="25" t="b">
        <f t="shared" si="158"/>
        <v>1</v>
      </c>
      <c r="CU143" s="25" t="b">
        <f t="shared" si="159"/>
        <v>1</v>
      </c>
      <c r="CV143" s="25" t="b">
        <f t="shared" si="160"/>
        <v>1</v>
      </c>
      <c r="CW143" s="25" t="b">
        <f t="shared" si="161"/>
        <v>1</v>
      </c>
      <c r="CX143" s="16" t="str">
        <f t="shared" si="162"/>
        <v>5200071</v>
      </c>
      <c r="CY143" s="16" t="str">
        <f t="shared" si="163"/>
        <v>5201071</v>
      </c>
      <c r="CZ143" s="16" t="str">
        <f t="shared" si="164"/>
        <v>5201071</v>
      </c>
      <c r="DA143" s="16" t="str">
        <f t="shared" si="165"/>
        <v>5502071</v>
      </c>
      <c r="DB143" s="16" t="str">
        <f t="shared" si="166"/>
        <v>5502071</v>
      </c>
      <c r="DC143" s="16" t="str">
        <f t="shared" si="167"/>
        <v>5502071</v>
      </c>
      <c r="DD143" s="16">
        <v>7</v>
      </c>
      <c r="DE143" s="16">
        <v>7</v>
      </c>
      <c r="DF143" s="16">
        <v>7</v>
      </c>
      <c r="DG143" s="16">
        <v>7</v>
      </c>
      <c r="DH143" s="16">
        <v>7</v>
      </c>
      <c r="DI143" s="16">
        <v>7</v>
      </c>
      <c r="DJ143" s="16">
        <v>5</v>
      </c>
      <c r="DK143" s="16">
        <v>5</v>
      </c>
      <c r="DL143" s="16">
        <v>5</v>
      </c>
      <c r="DM143" s="16">
        <v>5</v>
      </c>
      <c r="DN143" s="16">
        <v>5</v>
      </c>
      <c r="DO143" s="16">
        <v>5</v>
      </c>
      <c r="DP143" s="51" t="s">
        <v>205</v>
      </c>
      <c r="DQ143" s="13" t="s">
        <v>206</v>
      </c>
      <c r="DR143" s="13" t="s">
        <v>206</v>
      </c>
      <c r="DS143" s="36" t="s">
        <v>130</v>
      </c>
      <c r="DT143" s="36" t="s">
        <v>130</v>
      </c>
      <c r="DU143" s="36" t="s">
        <v>130</v>
      </c>
      <c r="DV143" s="32">
        <f t="shared" si="130"/>
        <v>1</v>
      </c>
      <c r="DW143" s="32">
        <f t="shared" si="131"/>
        <v>1</v>
      </c>
      <c r="DX143" s="32">
        <f t="shared" si="132"/>
        <v>1</v>
      </c>
      <c r="DY143" s="32">
        <f t="shared" si="133"/>
        <v>2</v>
      </c>
      <c r="DZ143" s="32">
        <f t="shared" si="134"/>
        <v>2</v>
      </c>
      <c r="EA143" s="32">
        <f t="shared" si="135"/>
        <v>2</v>
      </c>
      <c r="EB143" s="41"/>
      <c r="EC143" s="16">
        <v>5301062</v>
      </c>
      <c r="ED143" s="40" t="s">
        <v>212</v>
      </c>
      <c r="EE143" s="16">
        <v>1</v>
      </c>
      <c r="FD143" s="16">
        <v>5200071</v>
      </c>
      <c r="FE143" s="16">
        <v>5201071</v>
      </c>
      <c r="FF143" s="16">
        <v>5201071</v>
      </c>
      <c r="FG143" s="16">
        <v>5502071</v>
      </c>
      <c r="FH143" s="16">
        <v>5502071</v>
      </c>
      <c r="FI143" s="16">
        <v>5502071</v>
      </c>
      <c r="FJ143" t="str">
        <f t="shared" si="168"/>
        <v>水刀客</v>
      </c>
      <c r="FK143" t="str">
        <f t="shared" si="169"/>
        <v>水骑兵</v>
      </c>
      <c r="FL143" t="str">
        <f t="shared" si="170"/>
        <v>水骑兵</v>
      </c>
      <c r="FM143" t="str">
        <f t="shared" si="171"/>
        <v>水火枪手</v>
      </c>
      <c r="FN143" t="str">
        <f t="shared" si="172"/>
        <v>水火枪手</v>
      </c>
      <c r="FO143" t="str">
        <f t="shared" si="173"/>
        <v>水火枪手</v>
      </c>
      <c r="FP143" t="str">
        <f t="shared" si="174"/>
        <v>7</v>
      </c>
      <c r="FQ143" t="str">
        <f t="shared" si="175"/>
        <v>7</v>
      </c>
      <c r="FR143" t="str">
        <f t="shared" si="176"/>
        <v>7</v>
      </c>
      <c r="FS143" t="str">
        <f t="shared" si="177"/>
        <v>7</v>
      </c>
      <c r="FT143" t="str">
        <f t="shared" si="178"/>
        <v>7</v>
      </c>
      <c r="FU143" t="str">
        <f t="shared" si="179"/>
        <v>7</v>
      </c>
      <c r="FV143" t="str">
        <f t="shared" si="136"/>
        <v>5</v>
      </c>
      <c r="FW143" t="str">
        <f t="shared" si="137"/>
        <v>5</v>
      </c>
      <c r="FX143" t="str">
        <f t="shared" si="138"/>
        <v>5</v>
      </c>
      <c r="FY143" t="str">
        <f t="shared" si="139"/>
        <v>5</v>
      </c>
      <c r="FZ143" t="str">
        <f t="shared" si="140"/>
        <v>5</v>
      </c>
      <c r="GA143" t="str">
        <f t="shared" si="141"/>
        <v>5</v>
      </c>
    </row>
    <row r="144" spans="1:183" ht="13.5" customHeight="1">
      <c r="A144" s="1">
        <v>1501</v>
      </c>
      <c r="B144" s="6">
        <v>10042</v>
      </c>
      <c r="C144" s="23" t="str">
        <f t="shared" si="142"/>
        <v>5201071,5301071,5201073,5402073,5501075,5400075</v>
      </c>
      <c r="D144" s="1" t="str">
        <f t="shared" si="143"/>
        <v>7,7,7,7,7,7</v>
      </c>
      <c r="E144" s="53" t="str">
        <f t="shared" si="144"/>
        <v>904,873,873,873,873,873</v>
      </c>
      <c r="F144" s="1">
        <f t="shared" si="129"/>
        <v>3773763</v>
      </c>
      <c r="G144" s="23" t="s">
        <v>34</v>
      </c>
      <c r="H144" s="1" t="s">
        <v>28</v>
      </c>
      <c r="I144" s="1" t="s">
        <v>28</v>
      </c>
      <c r="J144" s="1" t="s">
        <v>28</v>
      </c>
      <c r="K144" s="2" t="s">
        <v>442</v>
      </c>
      <c r="L144" s="1">
        <v>0</v>
      </c>
      <c r="M144" s="1">
        <v>3</v>
      </c>
      <c r="O144" s="25">
        <f t="shared" si="145"/>
        <v>3773763</v>
      </c>
      <c r="P144" s="16">
        <v>3773763.4</v>
      </c>
      <c r="Q144" s="16">
        <v>5201071</v>
      </c>
      <c r="R144" s="16">
        <v>5301071</v>
      </c>
      <c r="S144" s="16">
        <v>5201073</v>
      </c>
      <c r="T144" s="16">
        <v>5402073</v>
      </c>
      <c r="U144" s="16">
        <v>5501075</v>
      </c>
      <c r="V144" s="16">
        <v>5400075</v>
      </c>
      <c r="W144" s="16">
        <v>7</v>
      </c>
      <c r="X144" s="16">
        <v>7</v>
      </c>
      <c r="Y144" s="16">
        <v>7</v>
      </c>
      <c r="Z144" s="16">
        <v>7</v>
      </c>
      <c r="AA144" s="16">
        <v>7</v>
      </c>
      <c r="AB144" s="16">
        <v>7</v>
      </c>
      <c r="AC144" s="16">
        <f t="shared" si="146"/>
        <v>904</v>
      </c>
      <c r="AD144" s="16">
        <f t="shared" si="128"/>
        <v>873</v>
      </c>
      <c r="AE144" s="16">
        <f t="shared" si="128"/>
        <v>873</v>
      </c>
      <c r="AF144" s="16">
        <f t="shared" si="128"/>
        <v>873</v>
      </c>
      <c r="AG144" s="16">
        <f t="shared" si="128"/>
        <v>873</v>
      </c>
      <c r="AH144" s="16">
        <f t="shared" si="128"/>
        <v>873</v>
      </c>
      <c r="AI144" s="28">
        <f t="shared" si="147"/>
        <v>754752.68</v>
      </c>
      <c r="AJ144" s="28">
        <f t="shared" si="148"/>
        <v>603802.14399999997</v>
      </c>
      <c r="AK144" s="28">
        <f t="shared" si="148"/>
        <v>603802.14399999997</v>
      </c>
      <c r="AL144" s="28">
        <f t="shared" si="148"/>
        <v>603802.14399999997</v>
      </c>
      <c r="AM144" s="28">
        <f t="shared" si="148"/>
        <v>603802.14399999997</v>
      </c>
      <c r="AN144" s="28">
        <f t="shared" si="148"/>
        <v>603802.14399999997</v>
      </c>
      <c r="AO144" s="30"/>
      <c r="AP144" s="28"/>
      <c r="AQ144" s="16">
        <v>5</v>
      </c>
      <c r="AR144" s="16">
        <f t="shared" si="149"/>
        <v>1132</v>
      </c>
      <c r="AS144" s="28">
        <f t="shared" si="150"/>
        <v>1526</v>
      </c>
      <c r="AT144" s="28"/>
      <c r="AU144" s="30">
        <v>3773763.4</v>
      </c>
      <c r="AV144" s="28" t="str">
        <f t="shared" si="151"/>
        <v>小:0</v>
      </c>
      <c r="AW144" s="28"/>
      <c r="AX144" s="28"/>
      <c r="AZ144" s="28"/>
      <c r="BA144" s="16">
        <f t="shared" si="120"/>
        <v>23886.818571428637</v>
      </c>
      <c r="BC144" s="7">
        <f t="shared" si="152"/>
        <v>845</v>
      </c>
      <c r="BR144" s="7">
        <v>5402054</v>
      </c>
      <c r="BS144" s="9">
        <f>[1]monsters!$N144</f>
        <v>184.32</v>
      </c>
      <c r="BT144" s="9">
        <f>[1]monsters!$O144</f>
        <v>18.43</v>
      </c>
      <c r="BU144" s="9">
        <f>[1]monsters!$P144</f>
        <v>1440</v>
      </c>
      <c r="BV144" s="9">
        <f>[1]monsters!$Q144</f>
        <v>144</v>
      </c>
      <c r="BW144" s="9">
        <f>[1]monsters!$R144</f>
        <v>26.33</v>
      </c>
      <c r="BX144" s="9">
        <f>[1]monsters!$S144</f>
        <v>2.63</v>
      </c>
      <c r="BY144" s="9">
        <f>[1]monsters!$K144</f>
        <v>1.6</v>
      </c>
      <c r="BZ144" s="7">
        <f>[1]monsters!$D144</f>
        <v>4</v>
      </c>
      <c r="CA144" s="7">
        <f t="shared" si="153"/>
        <v>0.1</v>
      </c>
      <c r="CB144" s="7">
        <f t="shared" si="154"/>
        <v>222.66724848484847</v>
      </c>
      <c r="CC144" s="7">
        <f t="shared" si="155"/>
        <v>22.266724848484849</v>
      </c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>
        <v>0</v>
      </c>
      <c r="CR144" s="25" t="b">
        <f t="shared" si="156"/>
        <v>1</v>
      </c>
      <c r="CS144" s="25" t="b">
        <f t="shared" si="157"/>
        <v>1</v>
      </c>
      <c r="CT144" s="25" t="b">
        <f t="shared" si="158"/>
        <v>1</v>
      </c>
      <c r="CU144" s="25" t="b">
        <f t="shared" si="159"/>
        <v>1</v>
      </c>
      <c r="CV144" s="25" t="b">
        <f t="shared" si="160"/>
        <v>1</v>
      </c>
      <c r="CW144" s="25" t="b">
        <f t="shared" si="161"/>
        <v>1</v>
      </c>
      <c r="CX144" s="16" t="str">
        <f t="shared" si="162"/>
        <v>5201071</v>
      </c>
      <c r="CY144" s="16" t="str">
        <f t="shared" si="163"/>
        <v>5301071</v>
      </c>
      <c r="CZ144" s="16" t="str">
        <f t="shared" si="164"/>
        <v>5201073</v>
      </c>
      <c r="DA144" s="16" t="str">
        <f t="shared" si="165"/>
        <v>5402073</v>
      </c>
      <c r="DB144" s="16" t="str">
        <f t="shared" si="166"/>
        <v>5501075</v>
      </c>
      <c r="DC144" s="16" t="str">
        <f t="shared" si="167"/>
        <v>5400075</v>
      </c>
      <c r="DD144" s="16">
        <v>7</v>
      </c>
      <c r="DE144" s="16">
        <v>7</v>
      </c>
      <c r="DF144" s="16">
        <v>7</v>
      </c>
      <c r="DG144" s="16">
        <v>7</v>
      </c>
      <c r="DH144" s="16">
        <v>7</v>
      </c>
      <c r="DI144" s="16">
        <v>7</v>
      </c>
      <c r="DJ144" s="16">
        <v>5</v>
      </c>
      <c r="DK144" s="16">
        <v>5</v>
      </c>
      <c r="DL144" s="16">
        <v>5</v>
      </c>
      <c r="DM144" s="16">
        <v>5</v>
      </c>
      <c r="DN144" s="16">
        <v>5</v>
      </c>
      <c r="DO144" s="16">
        <v>5</v>
      </c>
      <c r="DP144" s="51" t="s">
        <v>206</v>
      </c>
      <c r="DQ144" s="51" t="s">
        <v>113</v>
      </c>
      <c r="DR144" s="51" t="s">
        <v>217</v>
      </c>
      <c r="DS144" s="51" t="s">
        <v>124</v>
      </c>
      <c r="DT144" s="51" t="s">
        <v>221</v>
      </c>
      <c r="DU144" s="51" t="s">
        <v>222</v>
      </c>
      <c r="DV144" s="32">
        <f t="shared" si="130"/>
        <v>1</v>
      </c>
      <c r="DW144" s="32">
        <f t="shared" si="131"/>
        <v>1</v>
      </c>
      <c r="DX144" s="32">
        <f t="shared" si="132"/>
        <v>1</v>
      </c>
      <c r="DY144" s="32">
        <f t="shared" si="133"/>
        <v>2</v>
      </c>
      <c r="DZ144" s="32">
        <f t="shared" si="134"/>
        <v>2</v>
      </c>
      <c r="EA144" s="32">
        <f t="shared" si="135"/>
        <v>2</v>
      </c>
      <c r="EB144" s="41"/>
      <c r="EC144" s="16">
        <v>5401062</v>
      </c>
      <c r="ED144" s="40" t="s">
        <v>213</v>
      </c>
      <c r="EE144" s="16">
        <v>2</v>
      </c>
      <c r="FD144" s="16">
        <v>5201071</v>
      </c>
      <c r="FE144" s="16">
        <v>5301071</v>
      </c>
      <c r="FF144" s="16">
        <v>5201073</v>
      </c>
      <c r="FG144" s="16">
        <v>5402073</v>
      </c>
      <c r="FH144" s="16">
        <v>5501075</v>
      </c>
      <c r="FI144" s="16">
        <v>5400075</v>
      </c>
      <c r="FJ144" t="str">
        <f t="shared" si="168"/>
        <v>水骑兵</v>
      </c>
      <c r="FK144" t="str">
        <f t="shared" si="169"/>
        <v>水剑士</v>
      </c>
      <c r="FL144" t="str">
        <f t="shared" si="170"/>
        <v>木骑兵</v>
      </c>
      <c r="FM144" t="str">
        <f t="shared" si="171"/>
        <v>木女巫</v>
      </c>
      <c r="FN144" t="str">
        <f t="shared" si="172"/>
        <v>暗猎人</v>
      </c>
      <c r="FO144" t="str">
        <f t="shared" si="173"/>
        <v>暗巫师</v>
      </c>
      <c r="FP144" t="str">
        <f t="shared" si="174"/>
        <v>7</v>
      </c>
      <c r="FQ144" t="str">
        <f t="shared" si="175"/>
        <v>7</v>
      </c>
      <c r="FR144" t="str">
        <f t="shared" si="176"/>
        <v>7</v>
      </c>
      <c r="FS144" t="str">
        <f t="shared" si="177"/>
        <v>7</v>
      </c>
      <c r="FT144" t="str">
        <f t="shared" si="178"/>
        <v>7</v>
      </c>
      <c r="FU144" t="str">
        <f t="shared" si="179"/>
        <v>7</v>
      </c>
      <c r="FV144" t="str">
        <f t="shared" si="136"/>
        <v>5</v>
      </c>
      <c r="FW144" t="str">
        <f t="shared" si="137"/>
        <v>5</v>
      </c>
      <c r="FX144" t="str">
        <f t="shared" si="138"/>
        <v>5</v>
      </c>
      <c r="FY144" t="str">
        <f t="shared" si="139"/>
        <v>5</v>
      </c>
      <c r="FZ144" t="str">
        <f t="shared" si="140"/>
        <v>5</v>
      </c>
      <c r="GA144" t="str">
        <f t="shared" si="141"/>
        <v>5</v>
      </c>
    </row>
    <row r="145" spans="1:183" ht="13.5" customHeight="1">
      <c r="A145" s="1">
        <v>1502</v>
      </c>
      <c r="B145" s="6">
        <v>10042</v>
      </c>
      <c r="C145" s="23" t="str">
        <f t="shared" si="142"/>
        <v>5201071,5301071,5201073,5402073,5501075,5400075</v>
      </c>
      <c r="D145" s="1" t="str">
        <f t="shared" si="143"/>
        <v>7,7,7,7,7,7</v>
      </c>
      <c r="E145" s="53" t="str">
        <f t="shared" si="144"/>
        <v>926,894,894,894,894,894</v>
      </c>
      <c r="F145" s="1">
        <f t="shared" si="129"/>
        <v>3960592</v>
      </c>
      <c r="G145" s="23" t="s">
        <v>34</v>
      </c>
      <c r="H145" s="1" t="s">
        <v>28</v>
      </c>
      <c r="I145" s="1" t="s">
        <v>28</v>
      </c>
      <c r="J145" s="1" t="s">
        <v>28</v>
      </c>
      <c r="K145" s="2" t="s">
        <v>443</v>
      </c>
      <c r="L145" s="1">
        <v>1</v>
      </c>
      <c r="M145" s="1">
        <v>3</v>
      </c>
      <c r="O145" s="25">
        <f t="shared" si="145"/>
        <v>3960592</v>
      </c>
      <c r="P145" s="16">
        <v>3960591.8</v>
      </c>
      <c r="Q145" s="16">
        <v>5201071</v>
      </c>
      <c r="R145" s="16">
        <v>5301071</v>
      </c>
      <c r="S145" s="16">
        <v>5201073</v>
      </c>
      <c r="T145" s="16">
        <v>5402073</v>
      </c>
      <c r="U145" s="16">
        <v>5501075</v>
      </c>
      <c r="V145" s="16">
        <v>5400075</v>
      </c>
      <c r="W145" s="16">
        <v>7</v>
      </c>
      <c r="X145" s="16">
        <v>7</v>
      </c>
      <c r="Y145" s="16">
        <v>7</v>
      </c>
      <c r="Z145" s="16">
        <v>7</v>
      </c>
      <c r="AA145" s="16">
        <v>7</v>
      </c>
      <c r="AB145" s="16">
        <v>7</v>
      </c>
      <c r="AC145" s="16">
        <f t="shared" si="146"/>
        <v>926</v>
      </c>
      <c r="AD145" s="16">
        <f t="shared" si="128"/>
        <v>894</v>
      </c>
      <c r="AE145" s="16">
        <f t="shared" si="128"/>
        <v>894</v>
      </c>
      <c r="AF145" s="16">
        <f t="shared" si="128"/>
        <v>894</v>
      </c>
      <c r="AG145" s="16">
        <f t="shared" si="128"/>
        <v>894</v>
      </c>
      <c r="AH145" s="16">
        <f t="shared" si="128"/>
        <v>894</v>
      </c>
      <c r="AI145" s="28">
        <f t="shared" si="147"/>
        <v>792118.36</v>
      </c>
      <c r="AJ145" s="28">
        <f t="shared" si="148"/>
        <v>633694.68799999997</v>
      </c>
      <c r="AK145" s="28">
        <f t="shared" si="148"/>
        <v>633694.68799999997</v>
      </c>
      <c r="AL145" s="28">
        <f t="shared" si="148"/>
        <v>633694.68799999997</v>
      </c>
      <c r="AM145" s="28">
        <f t="shared" si="148"/>
        <v>633694.68799999997</v>
      </c>
      <c r="AN145" s="28">
        <f t="shared" si="148"/>
        <v>633694.68799999997</v>
      </c>
      <c r="AO145" s="30"/>
      <c r="AP145" s="28"/>
      <c r="AQ145" s="16">
        <v>5</v>
      </c>
      <c r="AR145" s="16">
        <f t="shared" si="149"/>
        <v>1160</v>
      </c>
      <c r="AS145" s="28">
        <f t="shared" si="150"/>
        <v>1527</v>
      </c>
      <c r="AT145" s="28"/>
      <c r="AU145" s="30">
        <v>3960591.8</v>
      </c>
      <c r="AV145" s="28" t="str">
        <f t="shared" si="151"/>
        <v>小:0</v>
      </c>
      <c r="AW145" s="28"/>
      <c r="AX145" s="28"/>
      <c r="AZ145" s="28"/>
      <c r="BA145" s="16">
        <f t="shared" si="120"/>
        <v>23939.094285714353</v>
      </c>
      <c r="BC145" s="7">
        <f t="shared" si="152"/>
        <v>866</v>
      </c>
      <c r="BR145" s="7">
        <v>5501054</v>
      </c>
      <c r="BS145" s="9">
        <f>[1]monsters!$N145</f>
        <v>172.8</v>
      </c>
      <c r="BT145" s="9">
        <f>[1]monsters!$O145</f>
        <v>17.28</v>
      </c>
      <c r="BU145" s="9">
        <f>[1]monsters!$P145</f>
        <v>1440</v>
      </c>
      <c r="BV145" s="9">
        <f>[1]monsters!$Q145</f>
        <v>144</v>
      </c>
      <c r="BW145" s="9">
        <f>[1]monsters!$R145</f>
        <v>24.69</v>
      </c>
      <c r="BX145" s="9">
        <f>[1]monsters!$S145</f>
        <v>2.4700000000000002</v>
      </c>
      <c r="BY145" s="9">
        <f>[1]monsters!$K145</f>
        <v>1.5</v>
      </c>
      <c r="BZ145" s="7">
        <f>[1]monsters!$D145</f>
        <v>4</v>
      </c>
      <c r="CA145" s="7">
        <f t="shared" si="153"/>
        <v>0.1</v>
      </c>
      <c r="CB145" s="7">
        <f t="shared" si="154"/>
        <v>211.78084848484849</v>
      </c>
      <c r="CC145" s="7">
        <f t="shared" si="155"/>
        <v>21.178084848484851</v>
      </c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>
        <v>0</v>
      </c>
      <c r="CR145" s="25" t="b">
        <f t="shared" si="156"/>
        <v>1</v>
      </c>
      <c r="CS145" s="25" t="b">
        <f t="shared" si="157"/>
        <v>1</v>
      </c>
      <c r="CT145" s="25" t="b">
        <f t="shared" si="158"/>
        <v>1</v>
      </c>
      <c r="CU145" s="25" t="b">
        <f t="shared" si="159"/>
        <v>1</v>
      </c>
      <c r="CV145" s="25" t="b">
        <f t="shared" si="160"/>
        <v>1</v>
      </c>
      <c r="CW145" s="25" t="b">
        <f t="shared" si="161"/>
        <v>1</v>
      </c>
      <c r="CX145" s="16" t="str">
        <f t="shared" si="162"/>
        <v>5201071</v>
      </c>
      <c r="CY145" s="16" t="str">
        <f t="shared" si="163"/>
        <v>5301071</v>
      </c>
      <c r="CZ145" s="16" t="str">
        <f t="shared" si="164"/>
        <v>5201073</v>
      </c>
      <c r="DA145" s="16" t="str">
        <f t="shared" si="165"/>
        <v>5402073</v>
      </c>
      <c r="DB145" s="16" t="str">
        <f t="shared" si="166"/>
        <v>5501075</v>
      </c>
      <c r="DC145" s="16" t="str">
        <f t="shared" si="167"/>
        <v>5400075</v>
      </c>
      <c r="DD145" s="16">
        <v>7</v>
      </c>
      <c r="DE145" s="16">
        <v>7</v>
      </c>
      <c r="DF145" s="16">
        <v>7</v>
      </c>
      <c r="DG145" s="16">
        <v>7</v>
      </c>
      <c r="DH145" s="16">
        <v>7</v>
      </c>
      <c r="DI145" s="16">
        <v>7</v>
      </c>
      <c r="DJ145" s="16">
        <v>5</v>
      </c>
      <c r="DK145" s="16">
        <v>5</v>
      </c>
      <c r="DL145" s="16">
        <v>5</v>
      </c>
      <c r="DM145" s="16">
        <v>5</v>
      </c>
      <c r="DN145" s="16">
        <v>5</v>
      </c>
      <c r="DO145" s="16">
        <v>5</v>
      </c>
      <c r="DP145" s="51" t="s">
        <v>206</v>
      </c>
      <c r="DQ145" s="51" t="s">
        <v>113</v>
      </c>
      <c r="DR145" s="13" t="s">
        <v>217</v>
      </c>
      <c r="DS145" s="51" t="s">
        <v>124</v>
      </c>
      <c r="DT145" s="51" t="s">
        <v>221</v>
      </c>
      <c r="DU145" s="51" t="s">
        <v>222</v>
      </c>
      <c r="DV145" s="32">
        <f t="shared" si="130"/>
        <v>1</v>
      </c>
      <c r="DW145" s="32">
        <f t="shared" si="131"/>
        <v>1</v>
      </c>
      <c r="DX145" s="32">
        <f t="shared" si="132"/>
        <v>1</v>
      </c>
      <c r="DY145" s="32">
        <f t="shared" si="133"/>
        <v>2</v>
      </c>
      <c r="DZ145" s="32">
        <f t="shared" si="134"/>
        <v>2</v>
      </c>
      <c r="EA145" s="32">
        <f t="shared" si="135"/>
        <v>2</v>
      </c>
      <c r="EB145" s="41"/>
      <c r="EC145" s="16">
        <v>5402062</v>
      </c>
      <c r="ED145" s="40" t="s">
        <v>214</v>
      </c>
      <c r="EE145" s="16">
        <v>2</v>
      </c>
      <c r="FD145" s="16">
        <v>5201071</v>
      </c>
      <c r="FE145" s="16">
        <v>5301071</v>
      </c>
      <c r="FF145" s="16">
        <v>5201073</v>
      </c>
      <c r="FG145" s="16">
        <v>5402073</v>
      </c>
      <c r="FH145" s="16">
        <v>5501075</v>
      </c>
      <c r="FI145" s="16">
        <v>5400075</v>
      </c>
      <c r="FJ145" t="str">
        <f t="shared" si="168"/>
        <v>水骑兵</v>
      </c>
      <c r="FK145" t="str">
        <f t="shared" si="169"/>
        <v>水剑士</v>
      </c>
      <c r="FL145" t="str">
        <f t="shared" si="170"/>
        <v>木骑兵</v>
      </c>
      <c r="FM145" t="str">
        <f t="shared" si="171"/>
        <v>木女巫</v>
      </c>
      <c r="FN145" t="str">
        <f t="shared" si="172"/>
        <v>暗猎人</v>
      </c>
      <c r="FO145" t="str">
        <f t="shared" si="173"/>
        <v>暗巫师</v>
      </c>
      <c r="FP145" t="str">
        <f t="shared" si="174"/>
        <v>7</v>
      </c>
      <c r="FQ145" t="str">
        <f t="shared" si="175"/>
        <v>7</v>
      </c>
      <c r="FR145" t="str">
        <f t="shared" si="176"/>
        <v>7</v>
      </c>
      <c r="FS145" t="str">
        <f t="shared" si="177"/>
        <v>7</v>
      </c>
      <c r="FT145" t="str">
        <f t="shared" si="178"/>
        <v>7</v>
      </c>
      <c r="FU145" t="str">
        <f t="shared" si="179"/>
        <v>7</v>
      </c>
      <c r="FV145" t="str">
        <f t="shared" si="136"/>
        <v>5</v>
      </c>
      <c r="FW145" t="str">
        <f t="shared" si="137"/>
        <v>5</v>
      </c>
      <c r="FX145" t="str">
        <f t="shared" si="138"/>
        <v>5</v>
      </c>
      <c r="FY145" t="str">
        <f t="shared" si="139"/>
        <v>5</v>
      </c>
      <c r="FZ145" t="str">
        <f t="shared" si="140"/>
        <v>5</v>
      </c>
      <c r="GA145" t="str">
        <f t="shared" si="141"/>
        <v>5</v>
      </c>
    </row>
    <row r="146" spans="1:183" ht="13.5" customHeight="1">
      <c r="A146" s="1">
        <v>1503</v>
      </c>
      <c r="B146" s="6">
        <v>10042</v>
      </c>
      <c r="C146" s="23" t="str">
        <f t="shared" si="142"/>
        <v>5401072,5200073,5301073,5302074,5400075,5400075</v>
      </c>
      <c r="D146" s="1" t="str">
        <f t="shared" si="143"/>
        <v>7,7,7,7,7,7</v>
      </c>
      <c r="E146" s="53" t="str">
        <f t="shared" si="144"/>
        <v>949,916,916,916,916,916</v>
      </c>
      <c r="F146" s="1">
        <f t="shared" si="129"/>
        <v>4153844</v>
      </c>
      <c r="G146" s="23" t="s">
        <v>34</v>
      </c>
      <c r="H146" s="1" t="s">
        <v>28</v>
      </c>
      <c r="I146" s="1" t="s">
        <v>28</v>
      </c>
      <c r="J146" s="1" t="s">
        <v>28</v>
      </c>
      <c r="K146" s="2" t="s">
        <v>444</v>
      </c>
      <c r="L146" s="1">
        <v>2</v>
      </c>
      <c r="M146" s="1">
        <v>6</v>
      </c>
      <c r="O146" s="25">
        <f t="shared" si="145"/>
        <v>4153844</v>
      </c>
      <c r="P146" s="16">
        <v>4153844.2</v>
      </c>
      <c r="Q146" s="16">
        <v>5401072</v>
      </c>
      <c r="R146" s="16">
        <v>5200073</v>
      </c>
      <c r="S146" s="16">
        <v>5301073</v>
      </c>
      <c r="T146" s="16">
        <v>5302074</v>
      </c>
      <c r="U146" s="16">
        <v>5400075</v>
      </c>
      <c r="V146" s="16">
        <v>5400075</v>
      </c>
      <c r="W146" s="16">
        <v>7</v>
      </c>
      <c r="X146" s="16">
        <v>7</v>
      </c>
      <c r="Y146" s="16">
        <v>7</v>
      </c>
      <c r="Z146" s="16">
        <v>7</v>
      </c>
      <c r="AA146" s="16">
        <v>7</v>
      </c>
      <c r="AB146" s="16">
        <v>7</v>
      </c>
      <c r="AC146" s="16">
        <f t="shared" si="146"/>
        <v>949</v>
      </c>
      <c r="AD146" s="16">
        <f t="shared" si="128"/>
        <v>916</v>
      </c>
      <c r="AE146" s="16">
        <f t="shared" si="128"/>
        <v>916</v>
      </c>
      <c r="AF146" s="16">
        <f t="shared" si="128"/>
        <v>916</v>
      </c>
      <c r="AG146" s="16">
        <f t="shared" si="128"/>
        <v>916</v>
      </c>
      <c r="AH146" s="16">
        <f t="shared" si="128"/>
        <v>916</v>
      </c>
      <c r="AI146" s="28">
        <f t="shared" si="147"/>
        <v>830768.84000000008</v>
      </c>
      <c r="AJ146" s="28">
        <f t="shared" si="148"/>
        <v>664615.07200000004</v>
      </c>
      <c r="AK146" s="28">
        <f t="shared" si="148"/>
        <v>664615.07200000004</v>
      </c>
      <c r="AL146" s="28">
        <f t="shared" si="148"/>
        <v>664615.07200000004</v>
      </c>
      <c r="AM146" s="28">
        <f t="shared" si="148"/>
        <v>664615.07200000004</v>
      </c>
      <c r="AN146" s="28">
        <f t="shared" si="148"/>
        <v>664615.07200000004</v>
      </c>
      <c r="AO146" s="30"/>
      <c r="AP146" s="28"/>
      <c r="AQ146" s="16">
        <v>5</v>
      </c>
      <c r="AR146" s="16">
        <f t="shared" si="149"/>
        <v>1188</v>
      </c>
      <c r="AS146" s="28">
        <f t="shared" si="150"/>
        <v>1528</v>
      </c>
      <c r="AT146" s="28"/>
      <c r="AU146" s="30">
        <v>4153844.2</v>
      </c>
      <c r="AV146" s="28" t="str">
        <f t="shared" si="151"/>
        <v>小:0</v>
      </c>
      <c r="AW146" s="28"/>
      <c r="AX146" s="28"/>
      <c r="AZ146" s="28"/>
      <c r="BA146" s="16">
        <f t="shared" si="120"/>
        <v>23991.370000000068</v>
      </c>
      <c r="BC146" s="7">
        <f t="shared" si="152"/>
        <v>887</v>
      </c>
      <c r="BR146" s="7">
        <v>5502054</v>
      </c>
      <c r="BS146" s="9">
        <f>[1]monsters!$N146</f>
        <v>201.6</v>
      </c>
      <c r="BT146" s="9">
        <f>[1]monsters!$O146</f>
        <v>20.16</v>
      </c>
      <c r="BU146" s="9">
        <f>[1]monsters!$P146</f>
        <v>1234.29</v>
      </c>
      <c r="BV146" s="9">
        <f>[1]monsters!$Q146</f>
        <v>123.43</v>
      </c>
      <c r="BW146" s="9">
        <f>[1]monsters!$R146</f>
        <v>25.2</v>
      </c>
      <c r="BX146" s="9">
        <f>[1]monsters!$S146</f>
        <v>2.52</v>
      </c>
      <c r="BY146" s="9">
        <f>[1]monsters!$K146</f>
        <v>1.5</v>
      </c>
      <c r="BZ146" s="7">
        <f>[1]monsters!$D146</f>
        <v>5</v>
      </c>
      <c r="CA146" s="7">
        <f t="shared" si="153"/>
        <v>0.1</v>
      </c>
      <c r="CB146" s="7">
        <f t="shared" si="154"/>
        <v>232.07058585858584</v>
      </c>
      <c r="CC146" s="7">
        <f t="shared" si="155"/>
        <v>23.207058585858586</v>
      </c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>
        <v>0</v>
      </c>
      <c r="CR146" s="25" t="b">
        <f t="shared" si="156"/>
        <v>1</v>
      </c>
      <c r="CS146" s="25" t="b">
        <f t="shared" si="157"/>
        <v>1</v>
      </c>
      <c r="CT146" s="25" t="b">
        <f t="shared" si="158"/>
        <v>1</v>
      </c>
      <c r="CU146" s="25" t="b">
        <f t="shared" si="159"/>
        <v>1</v>
      </c>
      <c r="CV146" s="25" t="b">
        <f t="shared" si="160"/>
        <v>1</v>
      </c>
      <c r="CW146" s="25" t="b">
        <f t="shared" si="161"/>
        <v>1</v>
      </c>
      <c r="CX146" s="16" t="str">
        <f t="shared" si="162"/>
        <v>5401072</v>
      </c>
      <c r="CY146" s="16" t="str">
        <f t="shared" si="163"/>
        <v>5200073</v>
      </c>
      <c r="CZ146" s="16" t="str">
        <f t="shared" si="164"/>
        <v>5301073</v>
      </c>
      <c r="DA146" s="16" t="str">
        <f t="shared" si="165"/>
        <v>5302074</v>
      </c>
      <c r="DB146" s="16" t="str">
        <f t="shared" si="166"/>
        <v>5400075</v>
      </c>
      <c r="DC146" s="16" t="str">
        <f t="shared" si="167"/>
        <v>5400075</v>
      </c>
      <c r="DD146" s="16">
        <v>7</v>
      </c>
      <c r="DE146" s="16">
        <v>7</v>
      </c>
      <c r="DF146" s="16">
        <v>7</v>
      </c>
      <c r="DG146" s="16">
        <v>7</v>
      </c>
      <c r="DH146" s="16">
        <v>7</v>
      </c>
      <c r="DI146" s="16">
        <v>7</v>
      </c>
      <c r="DJ146" s="16">
        <v>5</v>
      </c>
      <c r="DK146" s="16">
        <v>5</v>
      </c>
      <c r="DL146" s="16">
        <v>5</v>
      </c>
      <c r="DM146" s="16">
        <v>5</v>
      </c>
      <c r="DN146" s="16">
        <v>5</v>
      </c>
      <c r="DO146" s="16">
        <v>5</v>
      </c>
      <c r="DP146" s="51" t="s">
        <v>213</v>
      </c>
      <c r="DQ146" s="51" t="s">
        <v>119</v>
      </c>
      <c r="DR146" s="13" t="s">
        <v>218</v>
      </c>
      <c r="DS146" s="51" t="s">
        <v>237</v>
      </c>
      <c r="DT146" s="51" t="s">
        <v>222</v>
      </c>
      <c r="DU146" s="51" t="s">
        <v>222</v>
      </c>
      <c r="DV146" s="32">
        <f t="shared" si="130"/>
        <v>2</v>
      </c>
      <c r="DW146" s="32">
        <f t="shared" si="131"/>
        <v>1</v>
      </c>
      <c r="DX146" s="32">
        <f t="shared" si="132"/>
        <v>1</v>
      </c>
      <c r="DY146" s="32">
        <f t="shared" si="133"/>
        <v>1</v>
      </c>
      <c r="DZ146" s="32">
        <f t="shared" si="134"/>
        <v>2</v>
      </c>
      <c r="EA146" s="32">
        <f t="shared" si="135"/>
        <v>2</v>
      </c>
      <c r="EB146" s="41"/>
      <c r="EC146" s="16">
        <v>5500062</v>
      </c>
      <c r="ED146" s="40" t="s">
        <v>115</v>
      </c>
      <c r="EE146" s="16">
        <v>2</v>
      </c>
      <c r="FD146" s="16">
        <v>5401072</v>
      </c>
      <c r="FE146" s="16">
        <v>5200073</v>
      </c>
      <c r="FF146" s="16">
        <v>5301073</v>
      </c>
      <c r="FG146" s="16">
        <v>5302074</v>
      </c>
      <c r="FH146" s="16">
        <v>5400075</v>
      </c>
      <c r="FI146" s="16">
        <v>5400075</v>
      </c>
      <c r="FJ146" t="str">
        <f t="shared" si="168"/>
        <v>火魔法师</v>
      </c>
      <c r="FK146" t="str">
        <f t="shared" si="169"/>
        <v>木刀客</v>
      </c>
      <c r="FL146" t="str">
        <f t="shared" si="170"/>
        <v>木剑士</v>
      </c>
      <c r="FM146" t="str">
        <f t="shared" si="171"/>
        <v>光盗贼</v>
      </c>
      <c r="FN146" t="str">
        <f t="shared" si="172"/>
        <v>暗巫师</v>
      </c>
      <c r="FO146" t="str">
        <f t="shared" si="173"/>
        <v>暗巫师</v>
      </c>
      <c r="FP146" t="str">
        <f t="shared" si="174"/>
        <v>7</v>
      </c>
      <c r="FQ146" t="str">
        <f t="shared" si="175"/>
        <v>7</v>
      </c>
      <c r="FR146" t="str">
        <f t="shared" si="176"/>
        <v>7</v>
      </c>
      <c r="FS146" t="str">
        <f t="shared" si="177"/>
        <v>7</v>
      </c>
      <c r="FT146" t="str">
        <f t="shared" si="178"/>
        <v>7</v>
      </c>
      <c r="FU146" t="str">
        <f t="shared" si="179"/>
        <v>7</v>
      </c>
      <c r="FV146" t="str">
        <f t="shared" si="136"/>
        <v>5</v>
      </c>
      <c r="FW146" t="str">
        <f t="shared" si="137"/>
        <v>5</v>
      </c>
      <c r="FX146" t="str">
        <f t="shared" si="138"/>
        <v>5</v>
      </c>
      <c r="FY146" t="str">
        <f t="shared" si="139"/>
        <v>5</v>
      </c>
      <c r="FZ146" t="str">
        <f t="shared" si="140"/>
        <v>5</v>
      </c>
      <c r="GA146" t="str">
        <f t="shared" si="141"/>
        <v>5</v>
      </c>
    </row>
    <row r="147" spans="1:183" ht="13.5" customHeight="1">
      <c r="A147" s="1">
        <v>1504</v>
      </c>
      <c r="B147" s="6">
        <v>10042</v>
      </c>
      <c r="C147" s="23" t="str">
        <f t="shared" si="142"/>
        <v>5201071,5301072,5300075,5501075,5500073,5502072</v>
      </c>
      <c r="D147" s="1" t="str">
        <f t="shared" si="143"/>
        <v>7,7,7,7,7,7</v>
      </c>
      <c r="E147" s="53" t="str">
        <f t="shared" si="144"/>
        <v>971,937,937,937,937,937</v>
      </c>
      <c r="F147" s="1">
        <f t="shared" si="129"/>
        <v>4347169</v>
      </c>
      <c r="G147" s="23" t="s">
        <v>34</v>
      </c>
      <c r="H147" s="1" t="s">
        <v>28</v>
      </c>
      <c r="I147" s="1" t="s">
        <v>28</v>
      </c>
      <c r="J147" s="1" t="s">
        <v>28</v>
      </c>
      <c r="K147" s="2" t="s">
        <v>445</v>
      </c>
      <c r="L147" s="1">
        <v>3</v>
      </c>
      <c r="M147" s="1">
        <v>6</v>
      </c>
      <c r="O147" s="25">
        <f t="shared" si="145"/>
        <v>4347169</v>
      </c>
      <c r="P147" s="16">
        <v>4347169.2</v>
      </c>
      <c r="Q147" s="16">
        <v>5201071</v>
      </c>
      <c r="R147" s="16">
        <v>5301072</v>
      </c>
      <c r="S147" s="16">
        <v>5300075</v>
      </c>
      <c r="T147" s="16">
        <v>5501075</v>
      </c>
      <c r="U147" s="16">
        <v>5500073</v>
      </c>
      <c r="V147" s="16">
        <v>5502072</v>
      </c>
      <c r="W147" s="16">
        <v>7</v>
      </c>
      <c r="X147" s="16">
        <v>7</v>
      </c>
      <c r="Y147" s="16">
        <v>7</v>
      </c>
      <c r="Z147" s="16">
        <v>7</v>
      </c>
      <c r="AA147" s="16">
        <v>7</v>
      </c>
      <c r="AB147" s="16">
        <v>7</v>
      </c>
      <c r="AC147" s="16">
        <f t="shared" si="146"/>
        <v>971</v>
      </c>
      <c r="AD147" s="16">
        <f t="shared" si="128"/>
        <v>937</v>
      </c>
      <c r="AE147" s="16">
        <f t="shared" si="128"/>
        <v>937</v>
      </c>
      <c r="AF147" s="16">
        <f t="shared" si="128"/>
        <v>937</v>
      </c>
      <c r="AG147" s="16">
        <f t="shared" si="128"/>
        <v>937</v>
      </c>
      <c r="AH147" s="16">
        <f t="shared" si="128"/>
        <v>937</v>
      </c>
      <c r="AI147" s="28">
        <f t="shared" si="147"/>
        <v>869433.84000000008</v>
      </c>
      <c r="AJ147" s="28">
        <f t="shared" si="148"/>
        <v>695547.07200000004</v>
      </c>
      <c r="AK147" s="28">
        <f t="shared" si="148"/>
        <v>695547.07200000004</v>
      </c>
      <c r="AL147" s="28">
        <f t="shared" si="148"/>
        <v>695547.07200000004</v>
      </c>
      <c r="AM147" s="28">
        <f t="shared" si="148"/>
        <v>695547.07200000004</v>
      </c>
      <c r="AN147" s="28">
        <f t="shared" si="148"/>
        <v>695547.07200000004</v>
      </c>
      <c r="AO147" s="30"/>
      <c r="AP147" s="28"/>
      <c r="AQ147" s="16">
        <v>5</v>
      </c>
      <c r="AR147" s="16">
        <f t="shared" si="149"/>
        <v>1216</v>
      </c>
      <c r="AS147" s="28">
        <f t="shared" si="150"/>
        <v>1529</v>
      </c>
      <c r="AT147" s="28"/>
      <c r="AU147" s="30">
        <v>4347169.2</v>
      </c>
      <c r="AV147" s="28" t="str">
        <f t="shared" si="151"/>
        <v>小:0</v>
      </c>
      <c r="AW147" s="28"/>
      <c r="AX147" s="28"/>
      <c r="AZ147" s="28"/>
      <c r="BC147" s="7">
        <f t="shared" si="152"/>
        <v>907</v>
      </c>
      <c r="BR147" s="7">
        <v>5600054</v>
      </c>
      <c r="BS147" s="9">
        <f>[1]monsters!$N147</f>
        <v>188.16</v>
      </c>
      <c r="BT147" s="9">
        <f>[1]monsters!$O147</f>
        <v>18.82</v>
      </c>
      <c r="BU147" s="9">
        <f>[1]monsters!$P147</f>
        <v>1234.29</v>
      </c>
      <c r="BV147" s="9">
        <f>[1]monsters!$Q147</f>
        <v>123.43</v>
      </c>
      <c r="BW147" s="9">
        <f>[1]monsters!$R147</f>
        <v>23.52</v>
      </c>
      <c r="BX147" s="9">
        <f>[1]monsters!$S147</f>
        <v>2.35</v>
      </c>
      <c r="BY147" s="9">
        <f>[1]monsters!$K147</f>
        <v>1.4000000000000001</v>
      </c>
      <c r="BZ147" s="7">
        <f>[1]monsters!$D147</f>
        <v>5</v>
      </c>
      <c r="CA147" s="7">
        <f t="shared" si="153"/>
        <v>0.1</v>
      </c>
      <c r="CB147" s="7">
        <f t="shared" si="154"/>
        <v>219.36978585858586</v>
      </c>
      <c r="CC147" s="7">
        <f t="shared" si="155"/>
        <v>21.936978585858586</v>
      </c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>
        <v>0</v>
      </c>
      <c r="CR147" s="25" t="b">
        <f t="shared" si="156"/>
        <v>1</v>
      </c>
      <c r="CS147" s="25" t="b">
        <f t="shared" si="157"/>
        <v>1</v>
      </c>
      <c r="CT147" s="25" t="b">
        <f t="shared" si="158"/>
        <v>1</v>
      </c>
      <c r="CU147" s="25" t="b">
        <f t="shared" si="159"/>
        <v>1</v>
      </c>
      <c r="CV147" s="25" t="b">
        <f t="shared" si="160"/>
        <v>1</v>
      </c>
      <c r="CW147" s="25" t="b">
        <f t="shared" si="161"/>
        <v>1</v>
      </c>
      <c r="CX147" s="16" t="str">
        <f t="shared" si="162"/>
        <v>5201071</v>
      </c>
      <c r="CY147" s="16" t="str">
        <f t="shared" si="163"/>
        <v>5301072</v>
      </c>
      <c r="CZ147" s="16" t="str">
        <f t="shared" si="164"/>
        <v>5300075</v>
      </c>
      <c r="DA147" s="16" t="str">
        <f t="shared" si="165"/>
        <v>5501075</v>
      </c>
      <c r="DB147" s="16" t="str">
        <f t="shared" si="166"/>
        <v>5500073</v>
      </c>
      <c r="DC147" s="16" t="str">
        <f t="shared" si="167"/>
        <v>5502072</v>
      </c>
      <c r="DD147" s="16">
        <v>7</v>
      </c>
      <c r="DE147" s="16">
        <v>7</v>
      </c>
      <c r="DF147" s="16">
        <v>7</v>
      </c>
      <c r="DG147" s="16">
        <v>7</v>
      </c>
      <c r="DH147" s="16">
        <v>7</v>
      </c>
      <c r="DI147" s="16">
        <v>7</v>
      </c>
      <c r="DJ147" s="16">
        <v>5</v>
      </c>
      <c r="DK147" s="16">
        <v>5</v>
      </c>
      <c r="DL147" s="16">
        <v>5</v>
      </c>
      <c r="DM147" s="16">
        <v>5</v>
      </c>
      <c r="DN147" s="16">
        <v>5</v>
      </c>
      <c r="DO147" s="16">
        <v>5</v>
      </c>
      <c r="DP147" s="51" t="s">
        <v>206</v>
      </c>
      <c r="DQ147" s="51" t="s">
        <v>212</v>
      </c>
      <c r="DR147" s="13" t="s">
        <v>224</v>
      </c>
      <c r="DS147" s="51" t="s">
        <v>221</v>
      </c>
      <c r="DT147" s="51" t="s">
        <v>219</v>
      </c>
      <c r="DU147" s="13" t="s">
        <v>215</v>
      </c>
      <c r="DV147" s="32">
        <f t="shared" si="130"/>
        <v>1</v>
      </c>
      <c r="DW147" s="32">
        <f t="shared" si="131"/>
        <v>1</v>
      </c>
      <c r="DX147" s="32">
        <f t="shared" si="132"/>
        <v>1</v>
      </c>
      <c r="DY147" s="32">
        <f t="shared" si="133"/>
        <v>2</v>
      </c>
      <c r="DZ147" s="32">
        <f t="shared" si="134"/>
        <v>2</v>
      </c>
      <c r="EA147" s="32">
        <f t="shared" si="135"/>
        <v>2</v>
      </c>
      <c r="EB147" s="41"/>
      <c r="EC147" s="16">
        <v>5502062</v>
      </c>
      <c r="ED147" s="40" t="s">
        <v>215</v>
      </c>
      <c r="EE147" s="16">
        <v>2</v>
      </c>
      <c r="FD147" s="16">
        <v>5201071</v>
      </c>
      <c r="FE147" s="16">
        <v>5301072</v>
      </c>
      <c r="FF147" s="16">
        <v>5300075</v>
      </c>
      <c r="FG147" s="16">
        <v>5501075</v>
      </c>
      <c r="FH147" s="16">
        <v>5500073</v>
      </c>
      <c r="FI147" s="16">
        <v>5502072</v>
      </c>
      <c r="FJ147" t="str">
        <f t="shared" si="168"/>
        <v>水骑兵</v>
      </c>
      <c r="FK147" t="str">
        <f t="shared" si="169"/>
        <v>火剑士</v>
      </c>
      <c r="FL147" t="str">
        <f t="shared" si="170"/>
        <v>暗武士</v>
      </c>
      <c r="FM147" t="str">
        <f t="shared" si="171"/>
        <v>暗猎人</v>
      </c>
      <c r="FN147" t="str">
        <f t="shared" si="172"/>
        <v>木海盗</v>
      </c>
      <c r="FO147" t="str">
        <f t="shared" si="173"/>
        <v>火火枪手</v>
      </c>
      <c r="FP147" t="str">
        <f t="shared" si="174"/>
        <v>7</v>
      </c>
      <c r="FQ147" t="str">
        <f t="shared" si="175"/>
        <v>7</v>
      </c>
      <c r="FR147" t="str">
        <f t="shared" si="176"/>
        <v>7</v>
      </c>
      <c r="FS147" t="str">
        <f t="shared" si="177"/>
        <v>7</v>
      </c>
      <c r="FT147" t="str">
        <f t="shared" si="178"/>
        <v>7</v>
      </c>
      <c r="FU147" t="str">
        <f t="shared" si="179"/>
        <v>7</v>
      </c>
      <c r="FV147" t="str">
        <f t="shared" si="136"/>
        <v>5</v>
      </c>
      <c r="FW147" t="str">
        <f t="shared" si="137"/>
        <v>5</v>
      </c>
      <c r="FX147" t="str">
        <f t="shared" si="138"/>
        <v>5</v>
      </c>
      <c r="FY147" t="str">
        <f t="shared" si="139"/>
        <v>5</v>
      </c>
      <c r="FZ147" t="str">
        <f t="shared" si="140"/>
        <v>5</v>
      </c>
      <c r="GA147" t="str">
        <f t="shared" si="141"/>
        <v>5</v>
      </c>
    </row>
    <row r="148" spans="1:183" ht="13.5" customHeight="1">
      <c r="A148" s="1">
        <v>1505</v>
      </c>
      <c r="B148" s="6">
        <v>10042</v>
      </c>
      <c r="C148" s="23" t="str">
        <f t="shared" si="142"/>
        <v>5400075,5201071,5201071,5200072,5501074,5401073</v>
      </c>
      <c r="D148" s="1" t="str">
        <f t="shared" si="143"/>
        <v>7,7,7,7,7,7</v>
      </c>
      <c r="E148" s="53" t="str">
        <f t="shared" si="144"/>
        <v>993,959,959,959,959,959</v>
      </c>
      <c r="F148" s="1">
        <f t="shared" si="129"/>
        <v>4547072</v>
      </c>
      <c r="G148" s="23" t="s">
        <v>34</v>
      </c>
      <c r="H148" s="1" t="s">
        <v>28</v>
      </c>
      <c r="I148" s="1" t="s">
        <v>28</v>
      </c>
      <c r="J148" s="1" t="s">
        <v>28</v>
      </c>
      <c r="K148" s="2" t="s">
        <v>446</v>
      </c>
      <c r="L148" s="1">
        <v>1</v>
      </c>
      <c r="M148" s="1">
        <v>5</v>
      </c>
      <c r="O148" s="25">
        <f t="shared" si="145"/>
        <v>4547072</v>
      </c>
      <c r="P148" s="16">
        <v>4547072.2</v>
      </c>
      <c r="Q148" s="16">
        <v>5400075</v>
      </c>
      <c r="R148" s="16">
        <v>5201071</v>
      </c>
      <c r="S148" s="16">
        <v>5201071</v>
      </c>
      <c r="T148" s="16">
        <v>5200072</v>
      </c>
      <c r="U148" s="16">
        <v>5501074</v>
      </c>
      <c r="V148" s="16">
        <v>5401073</v>
      </c>
      <c r="W148" s="16">
        <v>7</v>
      </c>
      <c r="X148" s="16">
        <v>7</v>
      </c>
      <c r="Y148" s="16">
        <v>7</v>
      </c>
      <c r="Z148" s="16">
        <v>7</v>
      </c>
      <c r="AA148" s="16">
        <v>7</v>
      </c>
      <c r="AB148" s="16">
        <v>7</v>
      </c>
      <c r="AC148" s="16">
        <f t="shared" si="146"/>
        <v>993</v>
      </c>
      <c r="AD148" s="16">
        <f t="shared" si="128"/>
        <v>959</v>
      </c>
      <c r="AE148" s="16">
        <f t="shared" si="128"/>
        <v>959</v>
      </c>
      <c r="AF148" s="16">
        <f t="shared" si="128"/>
        <v>959</v>
      </c>
      <c r="AG148" s="16">
        <f t="shared" si="128"/>
        <v>959</v>
      </c>
      <c r="AH148" s="16">
        <f t="shared" si="128"/>
        <v>959</v>
      </c>
      <c r="AI148" s="28">
        <f t="shared" si="147"/>
        <v>909414.44000000006</v>
      </c>
      <c r="AJ148" s="28">
        <f t="shared" si="148"/>
        <v>727531.55200000003</v>
      </c>
      <c r="AK148" s="28">
        <f t="shared" si="148"/>
        <v>727531.55200000003</v>
      </c>
      <c r="AL148" s="28">
        <f t="shared" si="148"/>
        <v>727531.55200000003</v>
      </c>
      <c r="AM148" s="28">
        <f t="shared" si="148"/>
        <v>727531.55200000003</v>
      </c>
      <c r="AN148" s="28">
        <f t="shared" si="148"/>
        <v>727531.55200000003</v>
      </c>
      <c r="AO148" s="30"/>
      <c r="AP148" s="28"/>
      <c r="AQ148" s="16">
        <v>5</v>
      </c>
      <c r="AR148" s="16">
        <f t="shared" si="149"/>
        <v>1244</v>
      </c>
      <c r="AS148" s="28">
        <f t="shared" si="150"/>
        <v>1530</v>
      </c>
      <c r="AT148" s="28"/>
      <c r="AU148" s="30">
        <v>4547072.2</v>
      </c>
      <c r="AV148" s="28" t="str">
        <f t="shared" si="151"/>
        <v>小:0</v>
      </c>
      <c r="AW148" s="28"/>
      <c r="AX148" s="28"/>
      <c r="AZ148" s="28"/>
      <c r="BC148" s="7">
        <f t="shared" si="152"/>
        <v>928</v>
      </c>
      <c r="BR148" s="7">
        <v>5601054</v>
      </c>
      <c r="BS148" s="9">
        <f>[1]monsters!$N148</f>
        <v>223.2</v>
      </c>
      <c r="BT148" s="9">
        <f>[1]monsters!$O148</f>
        <v>22.32</v>
      </c>
      <c r="BU148" s="9">
        <f>[1]monsters!$P148</f>
        <v>1114.8399999999999</v>
      </c>
      <c r="BV148" s="9">
        <f>[1]monsters!$Q148</f>
        <v>111.48</v>
      </c>
      <c r="BW148" s="9">
        <f>[1]monsters!$R148</f>
        <v>22.32</v>
      </c>
      <c r="BX148" s="9">
        <f>[1]monsters!$S148</f>
        <v>2.23</v>
      </c>
      <c r="BY148" s="9">
        <f>[1]monsters!$K148</f>
        <v>1.5</v>
      </c>
      <c r="BZ148" s="7">
        <f>[1]monsters!$D148</f>
        <v>6</v>
      </c>
      <c r="CA148" s="7">
        <f t="shared" si="153"/>
        <v>0.1</v>
      </c>
      <c r="CB148" s="7">
        <f t="shared" si="154"/>
        <v>248.46070033670031</v>
      </c>
      <c r="CC148" s="7">
        <f t="shared" si="155"/>
        <v>24.846070033670031</v>
      </c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>
        <v>1</v>
      </c>
      <c r="CR148" s="25" t="b">
        <f t="shared" si="156"/>
        <v>1</v>
      </c>
      <c r="CS148" s="25" t="b">
        <f t="shared" si="157"/>
        <v>1</v>
      </c>
      <c r="CT148" s="25" t="b">
        <f t="shared" si="158"/>
        <v>1</v>
      </c>
      <c r="CU148" s="25" t="b">
        <f t="shared" si="159"/>
        <v>1</v>
      </c>
      <c r="CV148" s="25" t="b">
        <f t="shared" si="160"/>
        <v>1</v>
      </c>
      <c r="CW148" s="25" t="b">
        <f t="shared" si="161"/>
        <v>1</v>
      </c>
      <c r="CX148" s="16" t="str">
        <f t="shared" si="162"/>
        <v>5400075</v>
      </c>
      <c r="CY148" s="16" t="str">
        <f t="shared" si="163"/>
        <v>5201071</v>
      </c>
      <c r="CZ148" s="16" t="str">
        <f t="shared" si="164"/>
        <v>5201071</v>
      </c>
      <c r="DA148" s="16" t="str">
        <f t="shared" si="165"/>
        <v>5200072</v>
      </c>
      <c r="DB148" s="16" t="str">
        <f t="shared" si="166"/>
        <v>5501074</v>
      </c>
      <c r="DC148" s="16" t="str">
        <f t="shared" si="167"/>
        <v>5401073</v>
      </c>
      <c r="DD148" s="16">
        <v>7</v>
      </c>
      <c r="DE148" s="16">
        <v>7</v>
      </c>
      <c r="DF148" s="16">
        <v>7</v>
      </c>
      <c r="DG148" s="16">
        <v>7</v>
      </c>
      <c r="DH148" s="16">
        <v>7</v>
      </c>
      <c r="DI148" s="16">
        <v>7</v>
      </c>
      <c r="DJ148" s="16">
        <v>5</v>
      </c>
      <c r="DK148" s="16">
        <v>5</v>
      </c>
      <c r="DL148" s="16">
        <v>5</v>
      </c>
      <c r="DM148" s="16">
        <v>5</v>
      </c>
      <c r="DN148" s="16">
        <v>5</v>
      </c>
      <c r="DO148" s="16">
        <v>5</v>
      </c>
      <c r="DP148" s="51" t="s">
        <v>222</v>
      </c>
      <c r="DQ148" s="13" t="s">
        <v>206</v>
      </c>
      <c r="DR148" s="13" t="s">
        <v>206</v>
      </c>
      <c r="DS148" s="51" t="s">
        <v>210</v>
      </c>
      <c r="DT148" s="51" t="s">
        <v>226</v>
      </c>
      <c r="DU148" s="51" t="s">
        <v>223</v>
      </c>
      <c r="DV148" s="32">
        <f t="shared" si="130"/>
        <v>2</v>
      </c>
      <c r="DW148" s="32">
        <f t="shared" si="131"/>
        <v>1</v>
      </c>
      <c r="DX148" s="32">
        <f t="shared" si="132"/>
        <v>1</v>
      </c>
      <c r="DY148" s="32">
        <f t="shared" si="133"/>
        <v>1</v>
      </c>
      <c r="DZ148" s="32">
        <f t="shared" si="134"/>
        <v>2</v>
      </c>
      <c r="EA148" s="32">
        <f t="shared" si="135"/>
        <v>2</v>
      </c>
      <c r="EB148" s="41"/>
      <c r="EC148" s="16">
        <v>5601062</v>
      </c>
      <c r="ED148" s="40" t="s">
        <v>216</v>
      </c>
      <c r="EE148" s="16">
        <v>2</v>
      </c>
      <c r="FD148" s="16">
        <v>5400075</v>
      </c>
      <c r="FE148" s="16">
        <v>5201071</v>
      </c>
      <c r="FF148" s="16">
        <v>5201071</v>
      </c>
      <c r="FG148" s="16">
        <v>5200072</v>
      </c>
      <c r="FH148" s="16">
        <v>5501074</v>
      </c>
      <c r="FI148" s="16">
        <v>5401073</v>
      </c>
      <c r="FJ148" t="str">
        <f t="shared" si="168"/>
        <v>暗巫师</v>
      </c>
      <c r="FK148" t="str">
        <f t="shared" si="169"/>
        <v>水骑兵</v>
      </c>
      <c r="FL148" t="str">
        <f t="shared" si="170"/>
        <v>水骑兵</v>
      </c>
      <c r="FM148" t="str">
        <f t="shared" si="171"/>
        <v>火刀客</v>
      </c>
      <c r="FN148" t="str">
        <f t="shared" si="172"/>
        <v>光猎人</v>
      </c>
      <c r="FO148" t="str">
        <f t="shared" si="173"/>
        <v>木魔法师</v>
      </c>
      <c r="FP148" t="str">
        <f t="shared" si="174"/>
        <v>7</v>
      </c>
      <c r="FQ148" t="str">
        <f t="shared" si="175"/>
        <v>7</v>
      </c>
      <c r="FR148" t="str">
        <f t="shared" si="176"/>
        <v>7</v>
      </c>
      <c r="FS148" t="str">
        <f t="shared" si="177"/>
        <v>7</v>
      </c>
      <c r="FT148" t="str">
        <f t="shared" si="178"/>
        <v>7</v>
      </c>
      <c r="FU148" t="str">
        <f t="shared" si="179"/>
        <v>7</v>
      </c>
      <c r="FV148" t="str">
        <f t="shared" si="136"/>
        <v>5</v>
      </c>
      <c r="FW148" t="str">
        <f t="shared" si="137"/>
        <v>5</v>
      </c>
      <c r="FX148" t="str">
        <f t="shared" si="138"/>
        <v>5</v>
      </c>
      <c r="FY148" t="str">
        <f t="shared" si="139"/>
        <v>5</v>
      </c>
      <c r="FZ148" t="str">
        <f t="shared" si="140"/>
        <v>5</v>
      </c>
      <c r="GA148" t="str">
        <f t="shared" si="141"/>
        <v>5</v>
      </c>
    </row>
    <row r="149" spans="1:183" ht="13.5" customHeight="1">
      <c r="A149" s="1">
        <v>1506</v>
      </c>
      <c r="B149" s="6">
        <v>10042</v>
      </c>
      <c r="C149" s="23" t="str">
        <f t="shared" si="142"/>
        <v>5201071,5301072,5302075,5501075,5500073,5502072</v>
      </c>
      <c r="D149" s="1" t="str">
        <f t="shared" si="143"/>
        <v>7,7,7,7,7,7</v>
      </c>
      <c r="E149" s="53" t="str">
        <f t="shared" si="144"/>
        <v>997,963,963,963,963,963</v>
      </c>
      <c r="F149" s="1">
        <f t="shared" si="129"/>
        <v>4587178</v>
      </c>
      <c r="G149" s="23" t="s">
        <v>34</v>
      </c>
      <c r="H149" s="1" t="s">
        <v>28</v>
      </c>
      <c r="I149" s="1" t="s">
        <v>28</v>
      </c>
      <c r="J149" s="1" t="s">
        <v>28</v>
      </c>
      <c r="K149" s="2" t="s">
        <v>447</v>
      </c>
      <c r="L149" s="1">
        <v>2</v>
      </c>
      <c r="M149" s="1">
        <v>5</v>
      </c>
      <c r="O149" s="25">
        <f t="shared" si="145"/>
        <v>4587178</v>
      </c>
      <c r="P149" s="16">
        <v>4587178.2</v>
      </c>
      <c r="Q149" s="16">
        <v>5201071</v>
      </c>
      <c r="R149" s="16">
        <v>5301072</v>
      </c>
      <c r="S149" s="16">
        <v>5302075</v>
      </c>
      <c r="T149" s="16">
        <v>5501075</v>
      </c>
      <c r="U149" s="16">
        <v>5500073</v>
      </c>
      <c r="V149" s="16">
        <v>5502072</v>
      </c>
      <c r="W149" s="16">
        <v>7</v>
      </c>
      <c r="X149" s="16">
        <v>7</v>
      </c>
      <c r="Y149" s="16">
        <v>7</v>
      </c>
      <c r="Z149" s="16">
        <v>7</v>
      </c>
      <c r="AA149" s="16">
        <v>7</v>
      </c>
      <c r="AB149" s="16">
        <v>7</v>
      </c>
      <c r="AC149" s="16">
        <f t="shared" si="146"/>
        <v>997</v>
      </c>
      <c r="AD149" s="16">
        <f t="shared" si="128"/>
        <v>963</v>
      </c>
      <c r="AE149" s="16">
        <f t="shared" si="128"/>
        <v>963</v>
      </c>
      <c r="AF149" s="16">
        <f t="shared" si="128"/>
        <v>963</v>
      </c>
      <c r="AG149" s="16">
        <f t="shared" si="128"/>
        <v>963</v>
      </c>
      <c r="AH149" s="16">
        <f t="shared" si="128"/>
        <v>963</v>
      </c>
      <c r="AI149" s="28">
        <f t="shared" si="147"/>
        <v>917435.64000000013</v>
      </c>
      <c r="AJ149" s="28">
        <f t="shared" si="148"/>
        <v>733948.51199999999</v>
      </c>
      <c r="AK149" s="28">
        <f t="shared" si="148"/>
        <v>733948.51199999999</v>
      </c>
      <c r="AL149" s="28">
        <f t="shared" si="148"/>
        <v>733948.51199999999</v>
      </c>
      <c r="AM149" s="28">
        <f t="shared" si="148"/>
        <v>733948.51199999999</v>
      </c>
      <c r="AN149" s="28">
        <f t="shared" si="148"/>
        <v>733948.51199999999</v>
      </c>
      <c r="AO149" s="30"/>
      <c r="AP149" s="28"/>
      <c r="AQ149" s="16">
        <v>5</v>
      </c>
      <c r="AR149" s="16">
        <f t="shared" si="149"/>
        <v>1249</v>
      </c>
      <c r="AS149" s="28">
        <f t="shared" si="150"/>
        <v>1531</v>
      </c>
      <c r="AT149" s="28"/>
      <c r="AU149" s="30">
        <v>4587178.2</v>
      </c>
      <c r="AV149" s="28" t="str">
        <f t="shared" si="151"/>
        <v>小:0</v>
      </c>
      <c r="AW149" s="28"/>
      <c r="AX149" s="28"/>
      <c r="AZ149" s="28"/>
      <c r="BC149" s="7">
        <f t="shared" si="152"/>
        <v>932</v>
      </c>
      <c r="BR149" s="7">
        <v>5201055</v>
      </c>
      <c r="BS149" s="9">
        <f>[1]monsters!$N149</f>
        <v>144</v>
      </c>
      <c r="BT149" s="9">
        <f>[1]monsters!$O149</f>
        <v>14.4</v>
      </c>
      <c r="BU149" s="9">
        <f>[1]monsters!$P149</f>
        <v>1728</v>
      </c>
      <c r="BV149" s="9">
        <f>[1]monsters!$Q149</f>
        <v>172.8</v>
      </c>
      <c r="BW149" s="9">
        <f>[1]monsters!$R149</f>
        <v>36</v>
      </c>
      <c r="BX149" s="9">
        <f>[1]monsters!$S149</f>
        <v>3.6</v>
      </c>
      <c r="BY149" s="9">
        <f>[1]monsters!$K149</f>
        <v>1.5</v>
      </c>
      <c r="BZ149" s="7">
        <f>[1]monsters!$D149</f>
        <v>2</v>
      </c>
      <c r="CA149" s="7">
        <f t="shared" si="153"/>
        <v>0.1</v>
      </c>
      <c r="CB149" s="7">
        <f t="shared" si="154"/>
        <v>194.2618181818182</v>
      </c>
      <c r="CC149" s="7">
        <f t="shared" si="155"/>
        <v>19.426181818181821</v>
      </c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>
        <v>0</v>
      </c>
      <c r="CR149" s="25" t="b">
        <f t="shared" si="156"/>
        <v>1</v>
      </c>
      <c r="CS149" s="25" t="b">
        <f t="shared" si="157"/>
        <v>1</v>
      </c>
      <c r="CT149" s="25" t="b">
        <f t="shared" si="158"/>
        <v>1</v>
      </c>
      <c r="CU149" s="25" t="b">
        <f t="shared" si="159"/>
        <v>1</v>
      </c>
      <c r="CV149" s="25" t="b">
        <f t="shared" si="160"/>
        <v>1</v>
      </c>
      <c r="CW149" s="25" t="b">
        <f t="shared" si="161"/>
        <v>1</v>
      </c>
      <c r="CX149" s="16" t="str">
        <f t="shared" si="162"/>
        <v>5201071</v>
      </c>
      <c r="CY149" s="16" t="str">
        <f t="shared" si="163"/>
        <v>5301072</v>
      </c>
      <c r="CZ149" s="16" t="str">
        <f t="shared" si="164"/>
        <v>5302075</v>
      </c>
      <c r="DA149" s="16" t="str">
        <f t="shared" si="165"/>
        <v>5501075</v>
      </c>
      <c r="DB149" s="16" t="str">
        <f t="shared" si="166"/>
        <v>5500073</v>
      </c>
      <c r="DC149" s="16" t="str">
        <f t="shared" si="167"/>
        <v>5502072</v>
      </c>
      <c r="DD149" s="16">
        <v>7</v>
      </c>
      <c r="DE149" s="16">
        <v>7</v>
      </c>
      <c r="DF149" s="16">
        <v>7</v>
      </c>
      <c r="DG149" s="16">
        <v>7</v>
      </c>
      <c r="DH149" s="16">
        <v>7</v>
      </c>
      <c r="DI149" s="16">
        <v>7</v>
      </c>
      <c r="DJ149" s="16">
        <v>5</v>
      </c>
      <c r="DK149" s="16">
        <v>5</v>
      </c>
      <c r="DL149" s="16">
        <v>5</v>
      </c>
      <c r="DM149" s="16">
        <v>5</v>
      </c>
      <c r="DN149" s="16">
        <v>5</v>
      </c>
      <c r="DO149" s="16">
        <v>5</v>
      </c>
      <c r="DP149" s="51" t="s">
        <v>206</v>
      </c>
      <c r="DQ149" s="13" t="s">
        <v>212</v>
      </c>
      <c r="DR149" s="51" t="s">
        <v>234</v>
      </c>
      <c r="DS149" s="51" t="s">
        <v>221</v>
      </c>
      <c r="DT149" s="51" t="s">
        <v>219</v>
      </c>
      <c r="DU149" s="51" t="s">
        <v>215</v>
      </c>
      <c r="DV149" s="32">
        <f t="shared" si="130"/>
        <v>1</v>
      </c>
      <c r="DW149" s="32">
        <f t="shared" si="131"/>
        <v>1</v>
      </c>
      <c r="DX149" s="32">
        <f t="shared" si="132"/>
        <v>1</v>
      </c>
      <c r="DY149" s="32">
        <f t="shared" si="133"/>
        <v>2</v>
      </c>
      <c r="DZ149" s="32">
        <f t="shared" si="134"/>
        <v>2</v>
      </c>
      <c r="EA149" s="32">
        <f t="shared" si="135"/>
        <v>2</v>
      </c>
      <c r="EB149" s="41"/>
      <c r="EC149" s="16">
        <v>5200063</v>
      </c>
      <c r="ED149" s="40" t="s">
        <v>119</v>
      </c>
      <c r="EE149" s="16">
        <v>1</v>
      </c>
      <c r="FD149" s="16">
        <v>5201071</v>
      </c>
      <c r="FE149" s="16">
        <v>5301072</v>
      </c>
      <c r="FF149" s="16">
        <v>5302075</v>
      </c>
      <c r="FG149" s="16">
        <v>5501075</v>
      </c>
      <c r="FH149" s="16">
        <v>5500073</v>
      </c>
      <c r="FI149" s="16">
        <v>5502072</v>
      </c>
      <c r="FJ149" t="str">
        <f t="shared" si="168"/>
        <v>水骑兵</v>
      </c>
      <c r="FK149" t="str">
        <f t="shared" si="169"/>
        <v>火剑士</v>
      </c>
      <c r="FL149" t="str">
        <f t="shared" si="170"/>
        <v>暗盗贼</v>
      </c>
      <c r="FM149" t="str">
        <f t="shared" si="171"/>
        <v>暗猎人</v>
      </c>
      <c r="FN149" t="str">
        <f t="shared" si="172"/>
        <v>木海盗</v>
      </c>
      <c r="FO149" t="str">
        <f t="shared" si="173"/>
        <v>火火枪手</v>
      </c>
      <c r="FP149" t="str">
        <f t="shared" si="174"/>
        <v>7</v>
      </c>
      <c r="FQ149" t="str">
        <f t="shared" si="175"/>
        <v>7</v>
      </c>
      <c r="FR149" t="str">
        <f t="shared" si="176"/>
        <v>7</v>
      </c>
      <c r="FS149" t="str">
        <f t="shared" si="177"/>
        <v>7</v>
      </c>
      <c r="FT149" t="str">
        <f t="shared" si="178"/>
        <v>7</v>
      </c>
      <c r="FU149" t="str">
        <f t="shared" si="179"/>
        <v>7</v>
      </c>
      <c r="FV149" t="str">
        <f t="shared" si="136"/>
        <v>5</v>
      </c>
      <c r="FW149" t="str">
        <f t="shared" si="137"/>
        <v>5</v>
      </c>
      <c r="FX149" t="str">
        <f t="shared" si="138"/>
        <v>5</v>
      </c>
      <c r="FY149" t="str">
        <f t="shared" si="139"/>
        <v>5</v>
      </c>
      <c r="FZ149" t="str">
        <f t="shared" si="140"/>
        <v>5</v>
      </c>
      <c r="GA149" t="str">
        <f t="shared" si="141"/>
        <v>5</v>
      </c>
    </row>
    <row r="150" spans="1:183" ht="13.5" customHeight="1">
      <c r="A150" s="1">
        <v>1507</v>
      </c>
      <c r="B150" s="6">
        <v>10042</v>
      </c>
      <c r="C150" s="23" t="str">
        <f t="shared" si="142"/>
        <v>5500071,5200072,5200072,5302074,5501075,5502071</v>
      </c>
      <c r="D150" s="1" t="str">
        <f t="shared" si="143"/>
        <v>7,7,7,7,7,7</v>
      </c>
      <c r="E150" s="53" t="str">
        <f t="shared" si="144"/>
        <v>1002,968,968,968,968,968</v>
      </c>
      <c r="F150" s="1">
        <f t="shared" si="129"/>
        <v>4630806</v>
      </c>
      <c r="G150" s="23" t="s">
        <v>34</v>
      </c>
      <c r="H150" s="1" t="s">
        <v>28</v>
      </c>
      <c r="I150" s="1" t="s">
        <v>28</v>
      </c>
      <c r="J150" s="1" t="s">
        <v>28</v>
      </c>
      <c r="K150" s="2" t="s">
        <v>448</v>
      </c>
      <c r="L150" s="1">
        <v>3</v>
      </c>
      <c r="M150" s="1">
        <v>2</v>
      </c>
      <c r="O150" s="25">
        <f t="shared" si="145"/>
        <v>4630806</v>
      </c>
      <c r="P150" s="16">
        <v>4630806.4000000004</v>
      </c>
      <c r="Q150" s="16">
        <v>5500071</v>
      </c>
      <c r="R150" s="16">
        <v>5200072</v>
      </c>
      <c r="S150" s="16">
        <v>5200072</v>
      </c>
      <c r="T150" s="16">
        <v>5302074</v>
      </c>
      <c r="U150" s="16">
        <v>5501075</v>
      </c>
      <c r="V150" s="16">
        <v>5502071</v>
      </c>
      <c r="W150" s="16">
        <v>7</v>
      </c>
      <c r="X150" s="16">
        <v>7</v>
      </c>
      <c r="Y150" s="16">
        <v>7</v>
      </c>
      <c r="Z150" s="16">
        <v>7</v>
      </c>
      <c r="AA150" s="16">
        <v>7</v>
      </c>
      <c r="AB150" s="16">
        <v>7</v>
      </c>
      <c r="AC150" s="16">
        <f t="shared" si="146"/>
        <v>1002</v>
      </c>
      <c r="AD150" s="16">
        <f t="shared" si="128"/>
        <v>968</v>
      </c>
      <c r="AE150" s="16">
        <f t="shared" si="128"/>
        <v>968</v>
      </c>
      <c r="AF150" s="16">
        <f t="shared" si="128"/>
        <v>968</v>
      </c>
      <c r="AG150" s="16">
        <f t="shared" si="128"/>
        <v>968</v>
      </c>
      <c r="AH150" s="16">
        <f t="shared" si="128"/>
        <v>968</v>
      </c>
      <c r="AI150" s="28">
        <f t="shared" si="147"/>
        <v>926161.28000000014</v>
      </c>
      <c r="AJ150" s="28">
        <f t="shared" si="148"/>
        <v>740929.02400000009</v>
      </c>
      <c r="AK150" s="28">
        <f t="shared" si="148"/>
        <v>740929.02400000009</v>
      </c>
      <c r="AL150" s="28">
        <f t="shared" si="148"/>
        <v>740929.02400000009</v>
      </c>
      <c r="AM150" s="28">
        <f t="shared" si="148"/>
        <v>740929.02400000009</v>
      </c>
      <c r="AN150" s="28">
        <f t="shared" si="148"/>
        <v>740929.02400000009</v>
      </c>
      <c r="AO150" s="30"/>
      <c r="AP150" s="28"/>
      <c r="AQ150" s="16">
        <v>5</v>
      </c>
      <c r="AR150" s="16">
        <f t="shared" si="149"/>
        <v>1255</v>
      </c>
      <c r="AS150" s="28">
        <f t="shared" si="150"/>
        <v>1532</v>
      </c>
      <c r="AT150" s="28"/>
      <c r="AU150" s="30">
        <v>4630806.4000000004</v>
      </c>
      <c r="AV150" s="28" t="str">
        <f t="shared" si="151"/>
        <v>小:0</v>
      </c>
      <c r="AW150" s="28"/>
      <c r="AX150" s="28"/>
      <c r="AZ150" s="28"/>
      <c r="BA150" s="16">
        <f t="shared" ref="BA150:BA152" si="180">BA149+($BA$153-$BA$83)/($A$153-$A$83)</f>
        <v>52.275714285714287</v>
      </c>
      <c r="BC150" s="7">
        <f t="shared" si="152"/>
        <v>937</v>
      </c>
      <c r="BR150" s="7">
        <v>5202055</v>
      </c>
      <c r="BS150" s="9">
        <f>[1]monsters!$N150</f>
        <v>138.24</v>
      </c>
      <c r="BT150" s="9">
        <f>[1]monsters!$O150</f>
        <v>13.82</v>
      </c>
      <c r="BU150" s="9">
        <f>[1]monsters!$P150</f>
        <v>2160</v>
      </c>
      <c r="BV150" s="9">
        <f>[1]monsters!$Q150</f>
        <v>216</v>
      </c>
      <c r="BW150" s="9">
        <f>[1]monsters!$R150</f>
        <v>46.08</v>
      </c>
      <c r="BX150" s="9">
        <f>[1]monsters!$S150</f>
        <v>4.6100000000000003</v>
      </c>
      <c r="BY150" s="9">
        <f>[1]monsters!$K150</f>
        <v>1.8</v>
      </c>
      <c r="BZ150" s="7">
        <f>[1]monsters!$D150</f>
        <v>2</v>
      </c>
      <c r="CA150" s="7">
        <f t="shared" si="153"/>
        <v>0.1</v>
      </c>
      <c r="CB150" s="7">
        <f t="shared" si="154"/>
        <v>203.36407272727274</v>
      </c>
      <c r="CC150" s="7">
        <f t="shared" si="155"/>
        <v>20.336407272727275</v>
      </c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>
        <v>0</v>
      </c>
      <c r="CR150" s="25" t="b">
        <f t="shared" si="156"/>
        <v>1</v>
      </c>
      <c r="CS150" s="25" t="b">
        <f t="shared" si="157"/>
        <v>1</v>
      </c>
      <c r="CT150" s="25" t="b">
        <f t="shared" si="158"/>
        <v>1</v>
      </c>
      <c r="CU150" s="25" t="b">
        <f t="shared" si="159"/>
        <v>1</v>
      </c>
      <c r="CV150" s="25" t="b">
        <f t="shared" si="160"/>
        <v>1</v>
      </c>
      <c r="CW150" s="25" t="b">
        <f t="shared" si="161"/>
        <v>1</v>
      </c>
      <c r="CX150" s="16" t="str">
        <f t="shared" si="162"/>
        <v>5500071</v>
      </c>
      <c r="CY150" s="16" t="str">
        <f t="shared" si="163"/>
        <v>5200072</v>
      </c>
      <c r="CZ150" s="16" t="str">
        <f t="shared" si="164"/>
        <v>5200072</v>
      </c>
      <c r="DA150" s="16" t="str">
        <f t="shared" si="165"/>
        <v>5302074</v>
      </c>
      <c r="DB150" s="16" t="str">
        <f t="shared" si="166"/>
        <v>5501075</v>
      </c>
      <c r="DC150" s="16" t="str">
        <f t="shared" si="167"/>
        <v>5502071</v>
      </c>
      <c r="DD150" s="16">
        <v>7</v>
      </c>
      <c r="DE150" s="16">
        <v>7</v>
      </c>
      <c r="DF150" s="16">
        <v>7</v>
      </c>
      <c r="DG150" s="16">
        <v>7</v>
      </c>
      <c r="DH150" s="16">
        <v>7</v>
      </c>
      <c r="DI150" s="16">
        <v>7</v>
      </c>
      <c r="DJ150" s="16">
        <v>5</v>
      </c>
      <c r="DK150" s="16">
        <v>5</v>
      </c>
      <c r="DL150" s="16">
        <v>5</v>
      </c>
      <c r="DM150" s="16">
        <v>5</v>
      </c>
      <c r="DN150" s="16">
        <v>5</v>
      </c>
      <c r="DO150" s="16">
        <v>5</v>
      </c>
      <c r="DP150" s="13" t="s">
        <v>208</v>
      </c>
      <c r="DQ150" s="13" t="s">
        <v>210</v>
      </c>
      <c r="DR150" s="13" t="s">
        <v>210</v>
      </c>
      <c r="DS150" s="51" t="s">
        <v>237</v>
      </c>
      <c r="DT150" s="51" t="s">
        <v>221</v>
      </c>
      <c r="DU150" s="51" t="s">
        <v>130</v>
      </c>
      <c r="DV150" s="32">
        <f t="shared" si="130"/>
        <v>2</v>
      </c>
      <c r="DW150" s="32">
        <f t="shared" si="131"/>
        <v>1</v>
      </c>
      <c r="DX150" s="32">
        <f t="shared" si="132"/>
        <v>1</v>
      </c>
      <c r="DY150" s="32">
        <f t="shared" si="133"/>
        <v>1</v>
      </c>
      <c r="DZ150" s="32">
        <f t="shared" si="134"/>
        <v>2</v>
      </c>
      <c r="EA150" s="32">
        <f t="shared" si="135"/>
        <v>2</v>
      </c>
      <c r="EB150" s="41"/>
      <c r="EC150" s="16">
        <v>5201063</v>
      </c>
      <c r="ED150" s="40" t="s">
        <v>217</v>
      </c>
      <c r="EE150" s="16">
        <v>1</v>
      </c>
      <c r="FD150" s="16">
        <v>5500071</v>
      </c>
      <c r="FE150" s="16">
        <v>5200072</v>
      </c>
      <c r="FF150" s="16">
        <v>5200072</v>
      </c>
      <c r="FG150" s="16">
        <v>5302074</v>
      </c>
      <c r="FH150" s="16">
        <v>5501075</v>
      </c>
      <c r="FI150" s="16">
        <v>5502071</v>
      </c>
      <c r="FJ150" t="str">
        <f t="shared" si="168"/>
        <v>水海盗</v>
      </c>
      <c r="FK150" t="str">
        <f t="shared" si="169"/>
        <v>火刀客</v>
      </c>
      <c r="FL150" t="str">
        <f t="shared" si="170"/>
        <v>火刀客</v>
      </c>
      <c r="FM150" t="str">
        <f t="shared" si="171"/>
        <v>光盗贼</v>
      </c>
      <c r="FN150" t="str">
        <f t="shared" si="172"/>
        <v>暗猎人</v>
      </c>
      <c r="FO150" t="str">
        <f t="shared" si="173"/>
        <v>水火枪手</v>
      </c>
      <c r="FP150" t="str">
        <f t="shared" si="174"/>
        <v>7</v>
      </c>
      <c r="FQ150" t="str">
        <f t="shared" si="175"/>
        <v>7</v>
      </c>
      <c r="FR150" t="str">
        <f t="shared" si="176"/>
        <v>7</v>
      </c>
      <c r="FS150" t="str">
        <f t="shared" si="177"/>
        <v>7</v>
      </c>
      <c r="FT150" t="str">
        <f t="shared" si="178"/>
        <v>7</v>
      </c>
      <c r="FU150" t="str">
        <f t="shared" si="179"/>
        <v>7</v>
      </c>
      <c r="FV150" t="str">
        <f t="shared" si="136"/>
        <v>5</v>
      </c>
      <c r="FW150" t="str">
        <f t="shared" si="137"/>
        <v>5</v>
      </c>
      <c r="FX150" t="str">
        <f t="shared" si="138"/>
        <v>5</v>
      </c>
      <c r="FY150" t="str">
        <f t="shared" si="139"/>
        <v>5</v>
      </c>
      <c r="FZ150" t="str">
        <f t="shared" si="140"/>
        <v>5</v>
      </c>
      <c r="GA150" t="str">
        <f t="shared" si="141"/>
        <v>5</v>
      </c>
    </row>
    <row r="151" spans="1:183" ht="13.5" customHeight="1">
      <c r="A151" s="1">
        <v>1508</v>
      </c>
      <c r="B151" s="6">
        <v>10042</v>
      </c>
      <c r="C151" s="23" t="str">
        <f t="shared" si="142"/>
        <v>5400075,5201071,5201071,5200072,5501074,5401073</v>
      </c>
      <c r="D151" s="1" t="str">
        <f t="shared" si="143"/>
        <v>7,7,7,7,7,7</v>
      </c>
      <c r="E151" s="53" t="str">
        <f t="shared" si="144"/>
        <v>1007,972,972,972,972,972</v>
      </c>
      <c r="F151" s="1">
        <f t="shared" si="129"/>
        <v>4671280</v>
      </c>
      <c r="G151" s="23" t="s">
        <v>34</v>
      </c>
      <c r="H151" s="1" t="s">
        <v>28</v>
      </c>
      <c r="I151" s="1" t="s">
        <v>28</v>
      </c>
      <c r="J151" s="1" t="s">
        <v>28</v>
      </c>
      <c r="K151" s="2" t="s">
        <v>449</v>
      </c>
      <c r="L151" s="1">
        <v>1</v>
      </c>
      <c r="M151" s="1">
        <v>2</v>
      </c>
      <c r="O151" s="25">
        <f t="shared" si="145"/>
        <v>4671280</v>
      </c>
      <c r="P151" s="16">
        <v>4671279.8</v>
      </c>
      <c r="Q151" s="16">
        <v>5400075</v>
      </c>
      <c r="R151" s="16">
        <v>5201071</v>
      </c>
      <c r="S151" s="16">
        <v>5201071</v>
      </c>
      <c r="T151" s="16">
        <v>5200072</v>
      </c>
      <c r="U151" s="16">
        <v>5501074</v>
      </c>
      <c r="V151" s="16">
        <v>5401073</v>
      </c>
      <c r="W151" s="16">
        <v>7</v>
      </c>
      <c r="X151" s="16">
        <v>7</v>
      </c>
      <c r="Y151" s="16">
        <v>7</v>
      </c>
      <c r="Z151" s="16">
        <v>7</v>
      </c>
      <c r="AA151" s="16">
        <v>7</v>
      </c>
      <c r="AB151" s="16">
        <v>7</v>
      </c>
      <c r="AC151" s="16">
        <f t="shared" si="146"/>
        <v>1007</v>
      </c>
      <c r="AD151" s="16">
        <f t="shared" si="128"/>
        <v>972</v>
      </c>
      <c r="AE151" s="16">
        <f t="shared" si="128"/>
        <v>972</v>
      </c>
      <c r="AF151" s="16">
        <f t="shared" si="128"/>
        <v>972</v>
      </c>
      <c r="AG151" s="16">
        <f t="shared" si="128"/>
        <v>972</v>
      </c>
      <c r="AH151" s="16">
        <f t="shared" si="128"/>
        <v>972</v>
      </c>
      <c r="AI151" s="28">
        <f t="shared" si="147"/>
        <v>934255.96</v>
      </c>
      <c r="AJ151" s="28">
        <f t="shared" si="148"/>
        <v>747404.76800000004</v>
      </c>
      <c r="AK151" s="28">
        <f t="shared" si="148"/>
        <v>747404.76800000004</v>
      </c>
      <c r="AL151" s="28">
        <f t="shared" si="148"/>
        <v>747404.76800000004</v>
      </c>
      <c r="AM151" s="28">
        <f t="shared" si="148"/>
        <v>747404.76800000004</v>
      </c>
      <c r="AN151" s="28">
        <f t="shared" si="148"/>
        <v>747404.76800000004</v>
      </c>
      <c r="AO151" s="30"/>
      <c r="AP151" s="28"/>
      <c r="AQ151" s="16">
        <v>5</v>
      </c>
      <c r="AR151" s="16">
        <f t="shared" si="149"/>
        <v>1261</v>
      </c>
      <c r="AS151" s="28">
        <f t="shared" si="150"/>
        <v>1533</v>
      </c>
      <c r="AT151" s="28"/>
      <c r="AU151" s="30">
        <v>4671279.8</v>
      </c>
      <c r="AV151" s="28" t="str">
        <f t="shared" si="151"/>
        <v>小:0</v>
      </c>
      <c r="AW151" s="28"/>
      <c r="AX151" s="28"/>
      <c r="AZ151" s="28"/>
      <c r="BA151" s="16">
        <f t="shared" si="180"/>
        <v>104.55142857142857</v>
      </c>
      <c r="BC151" s="7">
        <f t="shared" si="152"/>
        <v>941</v>
      </c>
      <c r="BR151" s="7">
        <v>5302055</v>
      </c>
      <c r="BS151" s="9">
        <f>[1]monsters!$N151</f>
        <v>155.52000000000001</v>
      </c>
      <c r="BT151" s="9">
        <f>[1]monsters!$O151</f>
        <v>15.55</v>
      </c>
      <c r="BU151" s="9">
        <f>[1]monsters!$P151</f>
        <v>1920</v>
      </c>
      <c r="BV151" s="9">
        <f>[1]monsters!$Q151</f>
        <v>192</v>
      </c>
      <c r="BW151" s="9">
        <f>[1]monsters!$R151</f>
        <v>31.1</v>
      </c>
      <c r="BX151" s="9">
        <f>[1]monsters!$S151</f>
        <v>3.11</v>
      </c>
      <c r="BY151" s="9">
        <f>[1]monsters!$K151</f>
        <v>1.8</v>
      </c>
      <c r="BZ151" s="7">
        <f>[1]monsters!$D151</f>
        <v>2</v>
      </c>
      <c r="CA151" s="7">
        <f t="shared" si="153"/>
        <v>0.1</v>
      </c>
      <c r="CB151" s="7">
        <f t="shared" si="154"/>
        <v>211.61286464646466</v>
      </c>
      <c r="CC151" s="7">
        <f t="shared" si="155"/>
        <v>21.161286464646466</v>
      </c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>
        <v>0</v>
      </c>
      <c r="CR151" s="25" t="b">
        <f t="shared" si="156"/>
        <v>1</v>
      </c>
      <c r="CS151" s="25" t="b">
        <f t="shared" si="157"/>
        <v>1</v>
      </c>
      <c r="CT151" s="25" t="b">
        <f t="shared" si="158"/>
        <v>1</v>
      </c>
      <c r="CU151" s="25" t="b">
        <f t="shared" si="159"/>
        <v>1</v>
      </c>
      <c r="CV151" s="25" t="b">
        <f t="shared" si="160"/>
        <v>1</v>
      </c>
      <c r="CW151" s="25" t="b">
        <f t="shared" si="161"/>
        <v>1</v>
      </c>
      <c r="CX151" s="16" t="str">
        <f t="shared" si="162"/>
        <v>5400075</v>
      </c>
      <c r="CY151" s="16" t="str">
        <f t="shared" si="163"/>
        <v>5201071</v>
      </c>
      <c r="CZ151" s="16" t="str">
        <f t="shared" si="164"/>
        <v>5201071</v>
      </c>
      <c r="DA151" s="16" t="str">
        <f t="shared" si="165"/>
        <v>5200072</v>
      </c>
      <c r="DB151" s="16" t="str">
        <f t="shared" si="166"/>
        <v>5501074</v>
      </c>
      <c r="DC151" s="16" t="str">
        <f t="shared" si="167"/>
        <v>5401073</v>
      </c>
      <c r="DD151" s="16">
        <v>7</v>
      </c>
      <c r="DE151" s="16">
        <v>7</v>
      </c>
      <c r="DF151" s="16">
        <v>7</v>
      </c>
      <c r="DG151" s="16">
        <v>7</v>
      </c>
      <c r="DH151" s="16">
        <v>7</v>
      </c>
      <c r="DI151" s="16">
        <v>7</v>
      </c>
      <c r="DJ151" s="16">
        <v>5</v>
      </c>
      <c r="DK151" s="16">
        <v>5</v>
      </c>
      <c r="DL151" s="16">
        <v>5</v>
      </c>
      <c r="DM151" s="16">
        <v>5</v>
      </c>
      <c r="DN151" s="16">
        <v>5</v>
      </c>
      <c r="DO151" s="16">
        <v>5</v>
      </c>
      <c r="DP151" s="51" t="s">
        <v>222</v>
      </c>
      <c r="DQ151" s="13" t="s">
        <v>206</v>
      </c>
      <c r="DR151" s="51" t="s">
        <v>206</v>
      </c>
      <c r="DS151" s="51" t="s">
        <v>210</v>
      </c>
      <c r="DT151" s="51" t="s">
        <v>226</v>
      </c>
      <c r="DU151" s="51" t="s">
        <v>223</v>
      </c>
      <c r="DV151" s="32">
        <f t="shared" si="130"/>
        <v>2</v>
      </c>
      <c r="DW151" s="32">
        <f t="shared" si="131"/>
        <v>1</v>
      </c>
      <c r="DX151" s="32">
        <f t="shared" si="132"/>
        <v>1</v>
      </c>
      <c r="DY151" s="32">
        <f t="shared" si="133"/>
        <v>1</v>
      </c>
      <c r="DZ151" s="32">
        <f t="shared" si="134"/>
        <v>2</v>
      </c>
      <c r="EA151" s="32">
        <f t="shared" si="135"/>
        <v>2</v>
      </c>
      <c r="EB151" s="41"/>
      <c r="EC151" s="16">
        <v>5202063</v>
      </c>
      <c r="ED151" s="40" t="s">
        <v>220</v>
      </c>
      <c r="EE151" s="16">
        <v>1</v>
      </c>
      <c r="FD151" s="16">
        <v>5400075</v>
      </c>
      <c r="FE151" s="16">
        <v>5201071</v>
      </c>
      <c r="FF151" s="16">
        <v>5201071</v>
      </c>
      <c r="FG151" s="16">
        <v>5200072</v>
      </c>
      <c r="FH151" s="16">
        <v>5501074</v>
      </c>
      <c r="FI151" s="16">
        <v>5401073</v>
      </c>
      <c r="FJ151" t="str">
        <f t="shared" si="168"/>
        <v>暗巫师</v>
      </c>
      <c r="FK151" t="str">
        <f t="shared" si="169"/>
        <v>水骑兵</v>
      </c>
      <c r="FL151" t="str">
        <f t="shared" si="170"/>
        <v>水骑兵</v>
      </c>
      <c r="FM151" t="str">
        <f t="shared" si="171"/>
        <v>火刀客</v>
      </c>
      <c r="FN151" t="str">
        <f t="shared" si="172"/>
        <v>光猎人</v>
      </c>
      <c r="FO151" t="str">
        <f t="shared" si="173"/>
        <v>木魔法师</v>
      </c>
      <c r="FP151" t="str">
        <f t="shared" si="174"/>
        <v>7</v>
      </c>
      <c r="FQ151" t="str">
        <f t="shared" si="175"/>
        <v>7</v>
      </c>
      <c r="FR151" t="str">
        <f t="shared" si="176"/>
        <v>7</v>
      </c>
      <c r="FS151" t="str">
        <f t="shared" si="177"/>
        <v>7</v>
      </c>
      <c r="FT151" t="str">
        <f t="shared" si="178"/>
        <v>7</v>
      </c>
      <c r="FU151" t="str">
        <f t="shared" si="179"/>
        <v>7</v>
      </c>
      <c r="FV151" t="str">
        <f t="shared" si="136"/>
        <v>5</v>
      </c>
      <c r="FW151" t="str">
        <f t="shared" si="137"/>
        <v>5</v>
      </c>
      <c r="FX151" t="str">
        <f t="shared" si="138"/>
        <v>5</v>
      </c>
      <c r="FY151" t="str">
        <f t="shared" si="139"/>
        <v>5</v>
      </c>
      <c r="FZ151" t="str">
        <f t="shared" si="140"/>
        <v>5</v>
      </c>
      <c r="GA151" t="str">
        <f t="shared" si="141"/>
        <v>5</v>
      </c>
    </row>
    <row r="152" spans="1:183" ht="13.5" customHeight="1">
      <c r="A152" s="1">
        <v>1509</v>
      </c>
      <c r="B152" s="6">
        <v>10042</v>
      </c>
      <c r="C152" s="23" t="str">
        <f t="shared" si="142"/>
        <v>5201071,5301072,5300075,5501075,5500073,5502072</v>
      </c>
      <c r="D152" s="1" t="str">
        <f t="shared" si="143"/>
        <v>7,7,7,7,7,7</v>
      </c>
      <c r="E152" s="53" t="str">
        <f t="shared" si="144"/>
        <v>1011,977,977,977,977,977</v>
      </c>
      <c r="F152" s="1">
        <f t="shared" si="129"/>
        <v>4715306</v>
      </c>
      <c r="G152" s="23" t="s">
        <v>34</v>
      </c>
      <c r="H152" s="1" t="s">
        <v>28</v>
      </c>
      <c r="I152" s="1" t="s">
        <v>28</v>
      </c>
      <c r="J152" s="1" t="s">
        <v>28</v>
      </c>
      <c r="K152" s="2" t="s">
        <v>450</v>
      </c>
      <c r="L152" s="1">
        <v>2</v>
      </c>
      <c r="M152" s="1">
        <v>4</v>
      </c>
      <c r="O152" s="25">
        <f t="shared" si="145"/>
        <v>4715306</v>
      </c>
      <c r="P152" s="16">
        <v>4715306.2</v>
      </c>
      <c r="Q152" s="16">
        <v>5201071</v>
      </c>
      <c r="R152" s="16">
        <v>5301072</v>
      </c>
      <c r="S152" s="16">
        <v>5300075</v>
      </c>
      <c r="T152" s="16">
        <v>5501075</v>
      </c>
      <c r="U152" s="16">
        <v>5500073</v>
      </c>
      <c r="V152" s="16">
        <v>5502072</v>
      </c>
      <c r="W152" s="16">
        <v>7</v>
      </c>
      <c r="X152" s="16">
        <v>7</v>
      </c>
      <c r="Y152" s="16">
        <v>7</v>
      </c>
      <c r="Z152" s="16">
        <v>7</v>
      </c>
      <c r="AA152" s="16">
        <v>7</v>
      </c>
      <c r="AB152" s="16">
        <v>7</v>
      </c>
      <c r="AC152" s="16">
        <f t="shared" si="146"/>
        <v>1011</v>
      </c>
      <c r="AD152" s="16">
        <f t="shared" si="128"/>
        <v>977</v>
      </c>
      <c r="AE152" s="16">
        <f t="shared" si="128"/>
        <v>977</v>
      </c>
      <c r="AF152" s="16">
        <f t="shared" si="128"/>
        <v>977</v>
      </c>
      <c r="AG152" s="16">
        <f t="shared" si="128"/>
        <v>977</v>
      </c>
      <c r="AH152" s="16">
        <f t="shared" si="128"/>
        <v>977</v>
      </c>
      <c r="AI152" s="28">
        <f t="shared" si="147"/>
        <v>943061.24000000011</v>
      </c>
      <c r="AJ152" s="28">
        <f t="shared" si="148"/>
        <v>754448.99200000009</v>
      </c>
      <c r="AK152" s="28">
        <f t="shared" si="148"/>
        <v>754448.99200000009</v>
      </c>
      <c r="AL152" s="28">
        <f t="shared" si="148"/>
        <v>754448.99200000009</v>
      </c>
      <c r="AM152" s="28">
        <f t="shared" si="148"/>
        <v>754448.99200000009</v>
      </c>
      <c r="AN152" s="28">
        <f t="shared" si="148"/>
        <v>754448.99200000009</v>
      </c>
      <c r="AO152" s="30"/>
      <c r="AP152" s="28"/>
      <c r="AQ152" s="16">
        <v>5</v>
      </c>
      <c r="AR152" s="16">
        <f t="shared" si="149"/>
        <v>1267</v>
      </c>
      <c r="AS152" s="28">
        <f t="shared" si="150"/>
        <v>1534</v>
      </c>
      <c r="AT152" s="28"/>
      <c r="AU152" s="30">
        <v>4715306.2</v>
      </c>
      <c r="AV152" s="28" t="str">
        <f t="shared" si="151"/>
        <v>小:0</v>
      </c>
      <c r="AW152" s="28"/>
      <c r="AX152" s="28"/>
      <c r="AZ152" s="28"/>
      <c r="BA152" s="16">
        <f t="shared" si="180"/>
        <v>156.82714285714286</v>
      </c>
      <c r="BC152" s="7">
        <f t="shared" si="152"/>
        <v>945</v>
      </c>
      <c r="BR152" s="7">
        <v>5301055</v>
      </c>
      <c r="BS152" s="9">
        <f>[1]monsters!$N152</f>
        <v>103.68</v>
      </c>
      <c r="BT152" s="9">
        <f>[1]monsters!$O152</f>
        <v>10.37</v>
      </c>
      <c r="BU152" s="9">
        <f>[1]monsters!$P152</f>
        <v>1920</v>
      </c>
      <c r="BV152" s="9">
        <f>[1]monsters!$Q152</f>
        <v>192</v>
      </c>
      <c r="BW152" s="9">
        <f>[1]monsters!$R152</f>
        <v>20.74</v>
      </c>
      <c r="BX152" s="9">
        <f>[1]monsters!$S152</f>
        <v>2.0699999999999998</v>
      </c>
      <c r="BY152" s="9">
        <f>[1]monsters!$K152</f>
        <v>1.2</v>
      </c>
      <c r="BZ152" s="7">
        <f>[1]monsters!$D152</f>
        <v>3</v>
      </c>
      <c r="CA152" s="7">
        <f t="shared" si="153"/>
        <v>0.1</v>
      </c>
      <c r="CB152" s="7">
        <f t="shared" si="154"/>
        <v>162.62406464646466</v>
      </c>
      <c r="CC152" s="7">
        <f t="shared" si="155"/>
        <v>16.262406464646467</v>
      </c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>
        <v>0</v>
      </c>
      <c r="CR152" s="25" t="b">
        <f t="shared" si="156"/>
        <v>1</v>
      </c>
      <c r="CS152" s="25" t="b">
        <f t="shared" si="157"/>
        <v>1</v>
      </c>
      <c r="CT152" s="25" t="b">
        <f t="shared" si="158"/>
        <v>1</v>
      </c>
      <c r="CU152" s="25" t="b">
        <f t="shared" si="159"/>
        <v>1</v>
      </c>
      <c r="CV152" s="25" t="b">
        <f t="shared" si="160"/>
        <v>1</v>
      </c>
      <c r="CW152" s="25" t="b">
        <f t="shared" si="161"/>
        <v>1</v>
      </c>
      <c r="CX152" s="16" t="str">
        <f t="shared" si="162"/>
        <v>5201071</v>
      </c>
      <c r="CY152" s="16" t="str">
        <f t="shared" si="163"/>
        <v>5301072</v>
      </c>
      <c r="CZ152" s="16" t="str">
        <f t="shared" si="164"/>
        <v>5300075</v>
      </c>
      <c r="DA152" s="16" t="str">
        <f t="shared" si="165"/>
        <v>5501075</v>
      </c>
      <c r="DB152" s="16" t="str">
        <f t="shared" si="166"/>
        <v>5500073</v>
      </c>
      <c r="DC152" s="16" t="str">
        <f t="shared" si="167"/>
        <v>5502072</v>
      </c>
      <c r="DD152" s="16">
        <v>7</v>
      </c>
      <c r="DE152" s="16">
        <v>7</v>
      </c>
      <c r="DF152" s="16">
        <v>7</v>
      </c>
      <c r="DG152" s="16">
        <v>7</v>
      </c>
      <c r="DH152" s="16">
        <v>7</v>
      </c>
      <c r="DI152" s="16">
        <v>7</v>
      </c>
      <c r="DJ152" s="16">
        <v>5</v>
      </c>
      <c r="DK152" s="16">
        <v>5</v>
      </c>
      <c r="DL152" s="16">
        <v>5</v>
      </c>
      <c r="DM152" s="16">
        <v>5</v>
      </c>
      <c r="DN152" s="16">
        <v>5</v>
      </c>
      <c r="DO152" s="16">
        <v>5</v>
      </c>
      <c r="DP152" s="51" t="s">
        <v>206</v>
      </c>
      <c r="DQ152" s="51" t="s">
        <v>212</v>
      </c>
      <c r="DR152" s="13" t="s">
        <v>224</v>
      </c>
      <c r="DS152" s="51" t="s">
        <v>221</v>
      </c>
      <c r="DT152" s="51" t="s">
        <v>219</v>
      </c>
      <c r="DU152" s="13" t="s">
        <v>215</v>
      </c>
      <c r="DV152" s="32">
        <f t="shared" si="130"/>
        <v>1</v>
      </c>
      <c r="DW152" s="32">
        <f t="shared" si="131"/>
        <v>1</v>
      </c>
      <c r="DX152" s="32">
        <f t="shared" si="132"/>
        <v>1</v>
      </c>
      <c r="DY152" s="32">
        <f t="shared" si="133"/>
        <v>2</v>
      </c>
      <c r="DZ152" s="32">
        <f t="shared" si="134"/>
        <v>2</v>
      </c>
      <c r="EA152" s="32">
        <f t="shared" si="135"/>
        <v>2</v>
      </c>
      <c r="EB152" s="41"/>
      <c r="EC152" s="16">
        <v>5301063</v>
      </c>
      <c r="ED152" s="40" t="s">
        <v>218</v>
      </c>
      <c r="EE152" s="16">
        <v>1</v>
      </c>
      <c r="FD152" s="16">
        <v>5201071</v>
      </c>
      <c r="FE152" s="16">
        <v>5301072</v>
      </c>
      <c r="FF152" s="16">
        <v>5300075</v>
      </c>
      <c r="FG152" s="16">
        <v>5501075</v>
      </c>
      <c r="FH152" s="16">
        <v>5500073</v>
      </c>
      <c r="FI152" s="16">
        <v>5502072</v>
      </c>
      <c r="FJ152" t="str">
        <f t="shared" si="168"/>
        <v>水骑兵</v>
      </c>
      <c r="FK152" t="str">
        <f t="shared" si="169"/>
        <v>火剑士</v>
      </c>
      <c r="FL152" t="str">
        <f t="shared" si="170"/>
        <v>暗武士</v>
      </c>
      <c r="FM152" t="str">
        <f t="shared" si="171"/>
        <v>暗猎人</v>
      </c>
      <c r="FN152" t="str">
        <f t="shared" si="172"/>
        <v>木海盗</v>
      </c>
      <c r="FO152" t="str">
        <f t="shared" si="173"/>
        <v>火火枪手</v>
      </c>
      <c r="FP152" t="str">
        <f t="shared" si="174"/>
        <v>7</v>
      </c>
      <c r="FQ152" t="str">
        <f t="shared" si="175"/>
        <v>7</v>
      </c>
      <c r="FR152" t="str">
        <f t="shared" si="176"/>
        <v>7</v>
      </c>
      <c r="FS152" t="str">
        <f t="shared" si="177"/>
        <v>7</v>
      </c>
      <c r="FT152" t="str">
        <f t="shared" si="178"/>
        <v>7</v>
      </c>
      <c r="FU152" t="str">
        <f t="shared" si="179"/>
        <v>7</v>
      </c>
      <c r="FV152" t="str">
        <f t="shared" si="136"/>
        <v>5</v>
      </c>
      <c r="FW152" t="str">
        <f t="shared" si="137"/>
        <v>5</v>
      </c>
      <c r="FX152" t="str">
        <f t="shared" si="138"/>
        <v>5</v>
      </c>
      <c r="FY152" t="str">
        <f t="shared" si="139"/>
        <v>5</v>
      </c>
      <c r="FZ152" t="str">
        <f t="shared" si="140"/>
        <v>5</v>
      </c>
      <c r="GA152" t="str">
        <f t="shared" si="141"/>
        <v>5</v>
      </c>
    </row>
    <row r="153" spans="1:183" ht="13.5" customHeight="1">
      <c r="A153" s="1">
        <v>1510</v>
      </c>
      <c r="B153" s="6">
        <v>10042</v>
      </c>
      <c r="C153" s="23" t="str">
        <f t="shared" si="142"/>
        <v>5401072,5200073,5200073,5302075,5400075,5400075</v>
      </c>
      <c r="D153" s="1" t="str">
        <f t="shared" si="143"/>
        <v>7,7,7,7,7,7</v>
      </c>
      <c r="E153" s="53" t="str">
        <f t="shared" si="144"/>
        <v>1016,981,981,981,981,981</v>
      </c>
      <c r="F153" s="1">
        <f t="shared" si="129"/>
        <v>4756149</v>
      </c>
      <c r="G153" s="23" t="s">
        <v>34</v>
      </c>
      <c r="H153" s="1" t="s">
        <v>28</v>
      </c>
      <c r="I153" s="1" t="s">
        <v>28</v>
      </c>
      <c r="J153" s="1" t="s">
        <v>28</v>
      </c>
      <c r="K153" s="2" t="s">
        <v>451</v>
      </c>
      <c r="L153" s="1">
        <v>3</v>
      </c>
      <c r="M153" s="1">
        <v>4</v>
      </c>
      <c r="O153" s="25">
        <f t="shared" si="145"/>
        <v>4756149</v>
      </c>
      <c r="P153" s="16">
        <v>4756149.2</v>
      </c>
      <c r="Q153" s="16">
        <v>5401072</v>
      </c>
      <c r="R153" s="16">
        <v>5200073</v>
      </c>
      <c r="S153" s="16">
        <v>5200073</v>
      </c>
      <c r="T153" s="16">
        <v>5302075</v>
      </c>
      <c r="U153" s="16">
        <v>5400075</v>
      </c>
      <c r="V153" s="16">
        <v>5400075</v>
      </c>
      <c r="W153" s="16">
        <v>7</v>
      </c>
      <c r="X153" s="16">
        <v>7</v>
      </c>
      <c r="Y153" s="16">
        <v>7</v>
      </c>
      <c r="Z153" s="16">
        <v>7</v>
      </c>
      <c r="AA153" s="16">
        <v>7</v>
      </c>
      <c r="AB153" s="16">
        <v>7</v>
      </c>
      <c r="AC153" s="16">
        <f t="shared" si="146"/>
        <v>1016</v>
      </c>
      <c r="AD153" s="16">
        <f t="shared" si="128"/>
        <v>981</v>
      </c>
      <c r="AE153" s="16">
        <f t="shared" si="128"/>
        <v>981</v>
      </c>
      <c r="AF153" s="16">
        <f t="shared" si="128"/>
        <v>981</v>
      </c>
      <c r="AG153" s="16">
        <f t="shared" si="128"/>
        <v>981</v>
      </c>
      <c r="AH153" s="16">
        <f t="shared" si="128"/>
        <v>981</v>
      </c>
      <c r="AI153" s="28">
        <f t="shared" si="147"/>
        <v>951229.84000000008</v>
      </c>
      <c r="AJ153" s="28">
        <f t="shared" si="148"/>
        <v>760983.87200000009</v>
      </c>
      <c r="AK153" s="28">
        <f t="shared" si="148"/>
        <v>760983.87200000009</v>
      </c>
      <c r="AL153" s="28">
        <f t="shared" si="148"/>
        <v>760983.87200000009</v>
      </c>
      <c r="AM153" s="28">
        <f t="shared" si="148"/>
        <v>760983.87200000009</v>
      </c>
      <c r="AN153" s="28">
        <f t="shared" si="148"/>
        <v>760983.87200000009</v>
      </c>
      <c r="AO153" s="30"/>
      <c r="AP153" s="28"/>
      <c r="AQ153" s="16">
        <v>5</v>
      </c>
      <c r="AR153" s="16">
        <f t="shared" si="149"/>
        <v>1272</v>
      </c>
      <c r="AS153" s="28">
        <f t="shared" si="150"/>
        <v>1535</v>
      </c>
      <c r="AT153" s="28"/>
      <c r="AU153" s="30">
        <v>4756149.2</v>
      </c>
      <c r="AV153" s="28" t="str">
        <f t="shared" si="151"/>
        <v>小:0</v>
      </c>
      <c r="AW153" s="28"/>
      <c r="AX153" s="28"/>
      <c r="AY153" s="16">
        <v>5</v>
      </c>
      <c r="AZ153" s="28">
        <v>100</v>
      </c>
      <c r="BA153" s="16">
        <v>57291</v>
      </c>
      <c r="BC153" s="7">
        <f t="shared" si="152"/>
        <v>949</v>
      </c>
      <c r="BR153" s="7">
        <v>5400055</v>
      </c>
      <c r="BS153" s="9">
        <f>[1]monsters!$N153</f>
        <v>184.32</v>
      </c>
      <c r="BT153" s="9">
        <f>[1]monsters!$O153</f>
        <v>18.43</v>
      </c>
      <c r="BU153" s="9">
        <f>[1]monsters!$P153</f>
        <v>1440</v>
      </c>
      <c r="BV153" s="9">
        <f>[1]monsters!$Q153</f>
        <v>144</v>
      </c>
      <c r="BW153" s="9">
        <f>[1]monsters!$R153</f>
        <v>26.33</v>
      </c>
      <c r="BX153" s="9">
        <f>[1]monsters!$S153</f>
        <v>2.63</v>
      </c>
      <c r="BY153" s="9">
        <f>[1]monsters!$K153</f>
        <v>1.6</v>
      </c>
      <c r="BZ153" s="7">
        <f>[1]monsters!$D153</f>
        <v>4</v>
      </c>
      <c r="CA153" s="7">
        <f t="shared" si="153"/>
        <v>0.1</v>
      </c>
      <c r="CB153" s="7">
        <f t="shared" si="154"/>
        <v>222.66724848484847</v>
      </c>
      <c r="CC153" s="7">
        <f t="shared" si="155"/>
        <v>22.266724848484849</v>
      </c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>
        <v>1</v>
      </c>
      <c r="CR153" s="25" t="b">
        <f t="shared" si="156"/>
        <v>1</v>
      </c>
      <c r="CS153" s="25" t="b">
        <f t="shared" si="157"/>
        <v>1</v>
      </c>
      <c r="CT153" s="25" t="b">
        <f t="shared" si="158"/>
        <v>1</v>
      </c>
      <c r="CU153" s="25" t="b">
        <f t="shared" si="159"/>
        <v>1</v>
      </c>
      <c r="CV153" s="25" t="b">
        <f t="shared" si="160"/>
        <v>1</v>
      </c>
      <c r="CW153" s="25" t="b">
        <f t="shared" si="161"/>
        <v>1</v>
      </c>
      <c r="CX153" s="16" t="str">
        <f t="shared" si="162"/>
        <v>5401072</v>
      </c>
      <c r="CY153" s="16" t="str">
        <f t="shared" si="163"/>
        <v>5200073</v>
      </c>
      <c r="CZ153" s="16" t="str">
        <f t="shared" si="164"/>
        <v>5200073</v>
      </c>
      <c r="DA153" s="16" t="str">
        <f t="shared" si="165"/>
        <v>5302075</v>
      </c>
      <c r="DB153" s="16" t="str">
        <f t="shared" si="166"/>
        <v>5400075</v>
      </c>
      <c r="DC153" s="16" t="str">
        <f t="shared" si="167"/>
        <v>5400075</v>
      </c>
      <c r="DD153" s="16">
        <v>7</v>
      </c>
      <c r="DE153" s="16">
        <v>7</v>
      </c>
      <c r="DF153" s="16">
        <v>7</v>
      </c>
      <c r="DG153" s="16">
        <v>7</v>
      </c>
      <c r="DH153" s="16">
        <v>7</v>
      </c>
      <c r="DI153" s="16">
        <v>7</v>
      </c>
      <c r="DJ153" s="16">
        <v>5</v>
      </c>
      <c r="DK153" s="16">
        <v>5</v>
      </c>
      <c r="DL153" s="16">
        <v>5</v>
      </c>
      <c r="DM153" s="16">
        <v>5</v>
      </c>
      <c r="DN153" s="16">
        <v>5</v>
      </c>
      <c r="DO153" s="16">
        <v>5</v>
      </c>
      <c r="DP153" s="51" t="s">
        <v>213</v>
      </c>
      <c r="DQ153" s="51" t="s">
        <v>119</v>
      </c>
      <c r="DR153" s="51" t="s">
        <v>119</v>
      </c>
      <c r="DS153" s="51" t="s">
        <v>234</v>
      </c>
      <c r="DT153" s="51" t="s">
        <v>222</v>
      </c>
      <c r="DU153" s="51" t="s">
        <v>222</v>
      </c>
      <c r="DV153" s="32">
        <f t="shared" si="130"/>
        <v>2</v>
      </c>
      <c r="DW153" s="32">
        <f t="shared" si="131"/>
        <v>1</v>
      </c>
      <c r="DX153" s="32">
        <f t="shared" si="132"/>
        <v>1</v>
      </c>
      <c r="DY153" s="32">
        <f t="shared" si="133"/>
        <v>1</v>
      </c>
      <c r="DZ153" s="32">
        <f t="shared" si="134"/>
        <v>2</v>
      </c>
      <c r="EA153" s="32">
        <f t="shared" si="135"/>
        <v>2</v>
      </c>
      <c r="EB153" s="41"/>
      <c r="EC153" s="16">
        <v>5401063</v>
      </c>
      <c r="ED153" s="40" t="s">
        <v>223</v>
      </c>
      <c r="EE153" s="16">
        <v>2</v>
      </c>
      <c r="FD153" s="16">
        <v>5401072</v>
      </c>
      <c r="FE153" s="16">
        <v>5200073</v>
      </c>
      <c r="FF153" s="16">
        <v>5200073</v>
      </c>
      <c r="FG153" s="16">
        <v>5302075</v>
      </c>
      <c r="FH153" s="16">
        <v>5400075</v>
      </c>
      <c r="FI153" s="16">
        <v>5400075</v>
      </c>
      <c r="FJ153" t="str">
        <f t="shared" si="168"/>
        <v>火魔法师</v>
      </c>
      <c r="FK153" t="str">
        <f t="shared" si="169"/>
        <v>木刀客</v>
      </c>
      <c r="FL153" t="str">
        <f t="shared" si="170"/>
        <v>木刀客</v>
      </c>
      <c r="FM153" t="str">
        <f t="shared" si="171"/>
        <v>暗盗贼</v>
      </c>
      <c r="FN153" t="str">
        <f t="shared" si="172"/>
        <v>暗巫师</v>
      </c>
      <c r="FO153" t="str">
        <f t="shared" si="173"/>
        <v>暗巫师</v>
      </c>
      <c r="FP153" t="str">
        <f t="shared" si="174"/>
        <v>7</v>
      </c>
      <c r="FQ153" t="str">
        <f t="shared" si="175"/>
        <v>7</v>
      </c>
      <c r="FR153" t="str">
        <f t="shared" si="176"/>
        <v>7</v>
      </c>
      <c r="FS153" t="str">
        <f t="shared" si="177"/>
        <v>7</v>
      </c>
      <c r="FT153" t="str">
        <f t="shared" si="178"/>
        <v>7</v>
      </c>
      <c r="FU153" t="str">
        <f t="shared" si="179"/>
        <v>7</v>
      </c>
      <c r="FV153" t="str">
        <f t="shared" si="136"/>
        <v>5</v>
      </c>
      <c r="FW153" t="str">
        <f t="shared" si="137"/>
        <v>5</v>
      </c>
      <c r="FX153" t="str">
        <f t="shared" si="138"/>
        <v>5</v>
      </c>
      <c r="FY153" t="str">
        <f t="shared" si="139"/>
        <v>5</v>
      </c>
      <c r="FZ153" t="str">
        <f t="shared" si="140"/>
        <v>5</v>
      </c>
      <c r="GA153" t="str">
        <f t="shared" si="141"/>
        <v>5</v>
      </c>
    </row>
    <row r="154" spans="1:183" ht="13.5" customHeight="1">
      <c r="A154" s="1">
        <v>1601</v>
      </c>
      <c r="B154" s="6">
        <v>10102</v>
      </c>
      <c r="C154" s="23" t="str">
        <f t="shared" si="142"/>
        <v>5301071,5200071,5202072,5500072,5502073,5402071</v>
      </c>
      <c r="D154" s="1" t="str">
        <f t="shared" si="143"/>
        <v>7,7,7,7,7,7</v>
      </c>
      <c r="E154" s="53" t="str">
        <f t="shared" si="144"/>
        <v>1022,987,987,987,987,987</v>
      </c>
      <c r="F154" s="1">
        <f t="shared" si="129"/>
        <v>4810813</v>
      </c>
      <c r="G154" s="23" t="s">
        <v>34</v>
      </c>
      <c r="H154" s="1" t="s">
        <v>28</v>
      </c>
      <c r="I154" s="1" t="s">
        <v>28</v>
      </c>
      <c r="J154" s="1" t="s">
        <v>28</v>
      </c>
      <c r="K154" s="2" t="s">
        <v>452</v>
      </c>
      <c r="L154" s="1">
        <v>0</v>
      </c>
      <c r="M154" s="1">
        <v>6</v>
      </c>
      <c r="O154" s="25">
        <f t="shared" si="145"/>
        <v>4810813</v>
      </c>
      <c r="P154" s="16">
        <v>4810812.5999999996</v>
      </c>
      <c r="Q154" s="16">
        <v>5301071</v>
      </c>
      <c r="R154" s="16">
        <v>5200071</v>
      </c>
      <c r="S154" s="16">
        <v>5202072</v>
      </c>
      <c r="T154" s="16">
        <v>5500072</v>
      </c>
      <c r="U154" s="16">
        <v>5502073</v>
      </c>
      <c r="V154" s="16">
        <v>5402071</v>
      </c>
      <c r="W154" s="16">
        <v>7</v>
      </c>
      <c r="X154" s="16">
        <v>7</v>
      </c>
      <c r="Y154" s="16">
        <v>7</v>
      </c>
      <c r="Z154" s="16">
        <v>7</v>
      </c>
      <c r="AA154" s="16">
        <v>7</v>
      </c>
      <c r="AB154" s="16">
        <v>7</v>
      </c>
      <c r="AC154" s="16">
        <f t="shared" si="146"/>
        <v>1022</v>
      </c>
      <c r="AD154" s="16">
        <f t="shared" si="128"/>
        <v>987</v>
      </c>
      <c r="AE154" s="16">
        <f t="shared" si="128"/>
        <v>987</v>
      </c>
      <c r="AF154" s="16">
        <f t="shared" si="128"/>
        <v>987</v>
      </c>
      <c r="AG154" s="16">
        <f t="shared" si="128"/>
        <v>987</v>
      </c>
      <c r="AH154" s="16">
        <f t="shared" si="128"/>
        <v>987</v>
      </c>
      <c r="AI154" s="28">
        <f t="shared" si="147"/>
        <v>962162.52</v>
      </c>
      <c r="AJ154" s="28">
        <f t="shared" si="148"/>
        <v>769730.01599999995</v>
      </c>
      <c r="AK154" s="28">
        <f t="shared" si="148"/>
        <v>769730.01599999995</v>
      </c>
      <c r="AL154" s="28">
        <f t="shared" si="148"/>
        <v>769730.01599999995</v>
      </c>
      <c r="AM154" s="28">
        <f t="shared" si="148"/>
        <v>769730.01599999995</v>
      </c>
      <c r="AN154" s="28">
        <f t="shared" si="148"/>
        <v>769730.01599999995</v>
      </c>
      <c r="AO154" s="30"/>
      <c r="AP154" s="28"/>
      <c r="AQ154" s="16">
        <v>6</v>
      </c>
      <c r="AR154" s="16">
        <f t="shared" si="149"/>
        <v>1062</v>
      </c>
      <c r="AS154" s="28">
        <f>FLOOR((A154-150)/2,1)+175</f>
        <v>900</v>
      </c>
      <c r="AT154" s="28"/>
      <c r="AU154" s="30">
        <v>4810812.5999999996</v>
      </c>
      <c r="AV154" s="28" t="str">
        <f t="shared" si="151"/>
        <v>小:0</v>
      </c>
      <c r="AW154" s="28"/>
      <c r="AX154" s="28"/>
      <c r="AZ154" s="28"/>
      <c r="BA154" s="16">
        <f>BA153+($BA$253-$BA$153)/($A$253-$A$153)</f>
        <v>57152.513245033115</v>
      </c>
      <c r="BC154" s="7">
        <f t="shared" si="152"/>
        <v>955</v>
      </c>
      <c r="BR154" s="7">
        <v>5402055</v>
      </c>
      <c r="BS154" s="9">
        <f>[1]monsters!$N154</f>
        <v>172.8</v>
      </c>
      <c r="BT154" s="9">
        <f>[1]monsters!$O154</f>
        <v>17.28</v>
      </c>
      <c r="BU154" s="9">
        <f>[1]monsters!$P154</f>
        <v>1440</v>
      </c>
      <c r="BV154" s="9">
        <f>[1]monsters!$Q154</f>
        <v>144</v>
      </c>
      <c r="BW154" s="9">
        <f>[1]monsters!$R154</f>
        <v>24.69</v>
      </c>
      <c r="BX154" s="9">
        <f>[1]monsters!$S154</f>
        <v>2.4700000000000002</v>
      </c>
      <c r="BY154" s="9">
        <f>[1]monsters!$K154</f>
        <v>1.5</v>
      </c>
      <c r="BZ154" s="7">
        <f>[1]monsters!$D154</f>
        <v>4</v>
      </c>
      <c r="CA154" s="7">
        <f t="shared" si="153"/>
        <v>0.1</v>
      </c>
      <c r="CB154" s="7">
        <f t="shared" si="154"/>
        <v>211.78084848484849</v>
      </c>
      <c r="CC154" s="7">
        <f t="shared" si="155"/>
        <v>21.178084848484851</v>
      </c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>
        <v>0</v>
      </c>
      <c r="CR154" s="25" t="b">
        <f t="shared" si="156"/>
        <v>1</v>
      </c>
      <c r="CS154" s="25" t="b">
        <f t="shared" si="157"/>
        <v>1</v>
      </c>
      <c r="CT154" s="25" t="b">
        <f t="shared" si="158"/>
        <v>1</v>
      </c>
      <c r="CU154" s="25" t="b">
        <f t="shared" si="159"/>
        <v>1</v>
      </c>
      <c r="CV154" s="25" t="b">
        <f t="shared" si="160"/>
        <v>1</v>
      </c>
      <c r="CW154" s="25" t="b">
        <f t="shared" si="161"/>
        <v>1</v>
      </c>
      <c r="CX154" s="16" t="str">
        <f t="shared" si="162"/>
        <v>5301071</v>
      </c>
      <c r="CY154" s="16" t="str">
        <f t="shared" si="163"/>
        <v>5200071</v>
      </c>
      <c r="CZ154" s="16" t="str">
        <f t="shared" si="164"/>
        <v>5202072</v>
      </c>
      <c r="DA154" s="16" t="str">
        <f t="shared" si="165"/>
        <v>5500072</v>
      </c>
      <c r="DB154" s="16" t="str">
        <f t="shared" si="166"/>
        <v>5502073</v>
      </c>
      <c r="DC154" s="16" t="str">
        <f t="shared" si="167"/>
        <v>5402071</v>
      </c>
      <c r="DD154" s="16">
        <v>7</v>
      </c>
      <c r="DE154" s="16">
        <v>7</v>
      </c>
      <c r="DF154" s="16">
        <v>7</v>
      </c>
      <c r="DG154" s="16">
        <v>7</v>
      </c>
      <c r="DH154" s="16">
        <v>7</v>
      </c>
      <c r="DI154" s="16">
        <v>7</v>
      </c>
      <c r="DJ154" s="16">
        <v>5</v>
      </c>
      <c r="DK154" s="16">
        <v>5</v>
      </c>
      <c r="DL154" s="16">
        <v>5</v>
      </c>
      <c r="DM154" s="16">
        <v>5</v>
      </c>
      <c r="DN154" s="16">
        <v>5</v>
      </c>
      <c r="DO154" s="16">
        <v>5</v>
      </c>
      <c r="DP154" s="51" t="s">
        <v>113</v>
      </c>
      <c r="DQ154" s="51" t="s">
        <v>205</v>
      </c>
      <c r="DR154" s="51" t="s">
        <v>211</v>
      </c>
      <c r="DS154" s="51" t="s">
        <v>115</v>
      </c>
      <c r="DT154" s="51" t="s">
        <v>227</v>
      </c>
      <c r="DU154" s="51" t="s">
        <v>207</v>
      </c>
      <c r="DV154" s="32">
        <f t="shared" si="130"/>
        <v>1</v>
      </c>
      <c r="DW154" s="32">
        <f t="shared" si="131"/>
        <v>1</v>
      </c>
      <c r="DX154" s="32">
        <f t="shared" si="132"/>
        <v>1</v>
      </c>
      <c r="DY154" s="32">
        <f t="shared" si="133"/>
        <v>2</v>
      </c>
      <c r="DZ154" s="32">
        <f t="shared" si="134"/>
        <v>2</v>
      </c>
      <c r="EA154" s="32">
        <f t="shared" si="135"/>
        <v>2</v>
      </c>
      <c r="EB154" s="41"/>
      <c r="EC154" s="16">
        <v>5402063</v>
      </c>
      <c r="ED154" s="40" t="s">
        <v>124</v>
      </c>
      <c r="EE154" s="16">
        <v>2</v>
      </c>
      <c r="FD154" s="16">
        <v>5301071</v>
      </c>
      <c r="FE154" s="16">
        <v>5200071</v>
      </c>
      <c r="FF154" s="16">
        <v>5202072</v>
      </c>
      <c r="FG154" s="16">
        <v>5500072</v>
      </c>
      <c r="FH154" s="16">
        <v>5502073</v>
      </c>
      <c r="FI154" s="16">
        <v>5402071</v>
      </c>
      <c r="FJ154" t="str">
        <f t="shared" si="168"/>
        <v>水剑士</v>
      </c>
      <c r="FK154" t="str">
        <f t="shared" si="169"/>
        <v>水刀客</v>
      </c>
      <c r="FL154" t="str">
        <f t="shared" si="170"/>
        <v>火维京</v>
      </c>
      <c r="FM154" t="str">
        <f t="shared" si="171"/>
        <v>火海盗</v>
      </c>
      <c r="FN154" t="str">
        <f t="shared" si="172"/>
        <v>木火枪手</v>
      </c>
      <c r="FO154" t="str">
        <f t="shared" si="173"/>
        <v>水女巫</v>
      </c>
      <c r="FP154" t="str">
        <f t="shared" si="174"/>
        <v>7</v>
      </c>
      <c r="FQ154" t="str">
        <f t="shared" si="175"/>
        <v>7</v>
      </c>
      <c r="FR154" t="str">
        <f t="shared" si="176"/>
        <v>7</v>
      </c>
      <c r="FS154" t="str">
        <f t="shared" si="177"/>
        <v>7</v>
      </c>
      <c r="FT154" t="str">
        <f t="shared" si="178"/>
        <v>7</v>
      </c>
      <c r="FU154" t="str">
        <f t="shared" si="179"/>
        <v>7</v>
      </c>
      <c r="FV154" t="str">
        <f t="shared" si="136"/>
        <v>5</v>
      </c>
      <c r="FW154" t="str">
        <f t="shared" si="137"/>
        <v>5</v>
      </c>
      <c r="FX154" t="str">
        <f t="shared" si="138"/>
        <v>5</v>
      </c>
      <c r="FY154" t="str">
        <f t="shared" si="139"/>
        <v>5</v>
      </c>
      <c r="FZ154" t="str">
        <f t="shared" si="140"/>
        <v>5</v>
      </c>
      <c r="GA154" t="str">
        <f t="shared" si="141"/>
        <v>5</v>
      </c>
    </row>
    <row r="155" spans="1:183" ht="13.5" customHeight="1">
      <c r="A155" s="1">
        <v>1602</v>
      </c>
      <c r="B155" s="6">
        <v>10102</v>
      </c>
      <c r="C155" s="23" t="str">
        <f t="shared" si="142"/>
        <v>5301071,5200071,5202072,5500072,5502073,5402071</v>
      </c>
      <c r="D155" s="1" t="str">
        <f t="shared" si="143"/>
        <v>7,7,7,7,7,7</v>
      </c>
      <c r="E155" s="53" t="str">
        <f t="shared" si="144"/>
        <v>1026,991,991,991,991,991</v>
      </c>
      <c r="F155" s="1">
        <f t="shared" si="129"/>
        <v>4852054</v>
      </c>
      <c r="G155" s="23" t="s">
        <v>34</v>
      </c>
      <c r="H155" s="1" t="s">
        <v>28</v>
      </c>
      <c r="I155" s="1" t="s">
        <v>28</v>
      </c>
      <c r="J155" s="1" t="s">
        <v>28</v>
      </c>
      <c r="K155" s="2" t="s">
        <v>453</v>
      </c>
      <c r="L155" s="1">
        <v>1</v>
      </c>
      <c r="M155" s="1">
        <v>6</v>
      </c>
      <c r="O155" s="25">
        <f t="shared" si="145"/>
        <v>4852054</v>
      </c>
      <c r="P155" s="16">
        <v>4852053.8</v>
      </c>
      <c r="Q155" s="16">
        <v>5301071</v>
      </c>
      <c r="R155" s="16">
        <v>5200071</v>
      </c>
      <c r="S155" s="16">
        <v>5202072</v>
      </c>
      <c r="T155" s="16">
        <v>5500072</v>
      </c>
      <c r="U155" s="16">
        <v>5502073</v>
      </c>
      <c r="V155" s="16">
        <v>5402071</v>
      </c>
      <c r="W155" s="16">
        <v>7</v>
      </c>
      <c r="X155" s="16">
        <v>7</v>
      </c>
      <c r="Y155" s="16">
        <v>7</v>
      </c>
      <c r="Z155" s="16">
        <v>7</v>
      </c>
      <c r="AA155" s="16">
        <v>7</v>
      </c>
      <c r="AB155" s="16">
        <v>7</v>
      </c>
      <c r="AC155" s="16">
        <f t="shared" si="146"/>
        <v>1026</v>
      </c>
      <c r="AD155" s="16">
        <f t="shared" si="128"/>
        <v>991</v>
      </c>
      <c r="AE155" s="16">
        <f t="shared" si="128"/>
        <v>991</v>
      </c>
      <c r="AF155" s="16">
        <f t="shared" si="128"/>
        <v>991</v>
      </c>
      <c r="AG155" s="16">
        <f t="shared" si="128"/>
        <v>991</v>
      </c>
      <c r="AH155" s="16">
        <f t="shared" si="128"/>
        <v>991</v>
      </c>
      <c r="AI155" s="28">
        <f t="shared" si="147"/>
        <v>970410.76</v>
      </c>
      <c r="AJ155" s="28">
        <f t="shared" si="148"/>
        <v>776328.60800000001</v>
      </c>
      <c r="AK155" s="28">
        <f t="shared" si="148"/>
        <v>776328.60800000001</v>
      </c>
      <c r="AL155" s="28">
        <f t="shared" si="148"/>
        <v>776328.60800000001</v>
      </c>
      <c r="AM155" s="28">
        <f t="shared" si="148"/>
        <v>776328.60800000001</v>
      </c>
      <c r="AN155" s="28">
        <f t="shared" si="148"/>
        <v>776328.60800000001</v>
      </c>
      <c r="AO155" s="30"/>
      <c r="AP155" s="28"/>
      <c r="AQ155" s="16">
        <v>6</v>
      </c>
      <c r="AR155" s="16">
        <f t="shared" si="149"/>
        <v>1067</v>
      </c>
      <c r="AS155" s="28">
        <f t="shared" ref="AS155:AS163" si="181">FLOOR((A155-150)/2,1)+175</f>
        <v>901</v>
      </c>
      <c r="AT155" s="28"/>
      <c r="AU155" s="30">
        <v>4852053.8</v>
      </c>
      <c r="AV155" s="28" t="str">
        <f t="shared" si="151"/>
        <v>小:0</v>
      </c>
      <c r="AW155" s="28"/>
      <c r="AX155" s="28"/>
      <c r="AZ155" s="28"/>
      <c r="BA155" s="16">
        <f t="shared" ref="BA155:BA218" si="182">BA154+($BA$253-$BA$153)/($A$253-$A$153)</f>
        <v>57014.02649006623</v>
      </c>
      <c r="BC155" s="7">
        <f t="shared" si="152"/>
        <v>959</v>
      </c>
      <c r="BR155" s="7">
        <v>5500055</v>
      </c>
      <c r="BS155" s="9">
        <f>[1]monsters!$N155</f>
        <v>201.6</v>
      </c>
      <c r="BT155" s="9">
        <f>[1]monsters!$O155</f>
        <v>20.16</v>
      </c>
      <c r="BU155" s="9">
        <f>[1]monsters!$P155</f>
        <v>1234.29</v>
      </c>
      <c r="BV155" s="9">
        <f>[1]monsters!$Q155</f>
        <v>123.43</v>
      </c>
      <c r="BW155" s="9">
        <f>[1]monsters!$R155</f>
        <v>25.2</v>
      </c>
      <c r="BX155" s="9">
        <f>[1]monsters!$S155</f>
        <v>2.52</v>
      </c>
      <c r="BY155" s="9">
        <f>[1]monsters!$K155</f>
        <v>1.5</v>
      </c>
      <c r="BZ155" s="7">
        <f>[1]monsters!$D155</f>
        <v>5</v>
      </c>
      <c r="CA155" s="7">
        <f t="shared" si="153"/>
        <v>0.1</v>
      </c>
      <c r="CB155" s="7">
        <f t="shared" si="154"/>
        <v>232.07058585858584</v>
      </c>
      <c r="CC155" s="7">
        <f t="shared" si="155"/>
        <v>23.207058585858586</v>
      </c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>
        <v>0</v>
      </c>
      <c r="CR155" s="25" t="b">
        <f t="shared" si="156"/>
        <v>1</v>
      </c>
      <c r="CS155" s="25" t="b">
        <f t="shared" si="157"/>
        <v>1</v>
      </c>
      <c r="CT155" s="25" t="b">
        <f t="shared" si="158"/>
        <v>1</v>
      </c>
      <c r="CU155" s="25" t="b">
        <f t="shared" si="159"/>
        <v>1</v>
      </c>
      <c r="CV155" s="25" t="b">
        <f t="shared" si="160"/>
        <v>1</v>
      </c>
      <c r="CW155" s="25" t="b">
        <f t="shared" si="161"/>
        <v>1</v>
      </c>
      <c r="CX155" s="16" t="str">
        <f t="shared" si="162"/>
        <v>5301071</v>
      </c>
      <c r="CY155" s="16" t="str">
        <f t="shared" si="163"/>
        <v>5200071</v>
      </c>
      <c r="CZ155" s="16" t="str">
        <f t="shared" si="164"/>
        <v>5202072</v>
      </c>
      <c r="DA155" s="16" t="str">
        <f t="shared" si="165"/>
        <v>5500072</v>
      </c>
      <c r="DB155" s="16" t="str">
        <f t="shared" si="166"/>
        <v>5502073</v>
      </c>
      <c r="DC155" s="16" t="str">
        <f t="shared" si="167"/>
        <v>5402071</v>
      </c>
      <c r="DD155" s="16">
        <v>7</v>
      </c>
      <c r="DE155" s="16">
        <v>7</v>
      </c>
      <c r="DF155" s="16">
        <v>7</v>
      </c>
      <c r="DG155" s="16">
        <v>7</v>
      </c>
      <c r="DH155" s="16">
        <v>7</v>
      </c>
      <c r="DI155" s="16">
        <v>7</v>
      </c>
      <c r="DJ155" s="16">
        <v>5</v>
      </c>
      <c r="DK155" s="16">
        <v>5</v>
      </c>
      <c r="DL155" s="16">
        <v>5</v>
      </c>
      <c r="DM155" s="16">
        <v>5</v>
      </c>
      <c r="DN155" s="16">
        <v>5</v>
      </c>
      <c r="DO155" s="16">
        <v>5</v>
      </c>
      <c r="DP155" s="51" t="s">
        <v>113</v>
      </c>
      <c r="DQ155" s="51" t="s">
        <v>205</v>
      </c>
      <c r="DR155" s="51" t="s">
        <v>211</v>
      </c>
      <c r="DS155" s="51" t="s">
        <v>115</v>
      </c>
      <c r="DT155" s="51" t="s">
        <v>227</v>
      </c>
      <c r="DU155" s="51" t="s">
        <v>207</v>
      </c>
      <c r="DV155" s="32">
        <f t="shared" si="130"/>
        <v>1</v>
      </c>
      <c r="DW155" s="32">
        <f t="shared" si="131"/>
        <v>1</v>
      </c>
      <c r="DX155" s="32">
        <f t="shared" si="132"/>
        <v>1</v>
      </c>
      <c r="DY155" s="32">
        <f t="shared" si="133"/>
        <v>2</v>
      </c>
      <c r="DZ155" s="32">
        <f t="shared" si="134"/>
        <v>2</v>
      </c>
      <c r="EA155" s="32">
        <f t="shared" si="135"/>
        <v>2</v>
      </c>
      <c r="EB155" s="41"/>
      <c r="EC155" s="16">
        <v>5500063</v>
      </c>
      <c r="ED155" s="40" t="s">
        <v>219</v>
      </c>
      <c r="EE155" s="16">
        <v>2</v>
      </c>
      <c r="FD155" s="16">
        <v>5301071</v>
      </c>
      <c r="FE155" s="16">
        <v>5200071</v>
      </c>
      <c r="FF155" s="16">
        <v>5202072</v>
      </c>
      <c r="FG155" s="16">
        <v>5500072</v>
      </c>
      <c r="FH155" s="16">
        <v>5502073</v>
      </c>
      <c r="FI155" s="16">
        <v>5402071</v>
      </c>
      <c r="FJ155" t="str">
        <f t="shared" si="168"/>
        <v>水剑士</v>
      </c>
      <c r="FK155" t="str">
        <f t="shared" si="169"/>
        <v>水刀客</v>
      </c>
      <c r="FL155" t="str">
        <f t="shared" si="170"/>
        <v>火维京</v>
      </c>
      <c r="FM155" t="str">
        <f t="shared" si="171"/>
        <v>火海盗</v>
      </c>
      <c r="FN155" t="str">
        <f t="shared" si="172"/>
        <v>木火枪手</v>
      </c>
      <c r="FO155" t="str">
        <f t="shared" si="173"/>
        <v>水女巫</v>
      </c>
      <c r="FP155" t="str">
        <f t="shared" si="174"/>
        <v>7</v>
      </c>
      <c r="FQ155" t="str">
        <f t="shared" si="175"/>
        <v>7</v>
      </c>
      <c r="FR155" t="str">
        <f t="shared" si="176"/>
        <v>7</v>
      </c>
      <c r="FS155" t="str">
        <f t="shared" si="177"/>
        <v>7</v>
      </c>
      <c r="FT155" t="str">
        <f t="shared" si="178"/>
        <v>7</v>
      </c>
      <c r="FU155" t="str">
        <f t="shared" si="179"/>
        <v>7</v>
      </c>
      <c r="FV155" t="str">
        <f t="shared" si="136"/>
        <v>5</v>
      </c>
      <c r="FW155" t="str">
        <f t="shared" si="137"/>
        <v>5</v>
      </c>
      <c r="FX155" t="str">
        <f t="shared" si="138"/>
        <v>5</v>
      </c>
      <c r="FY155" t="str">
        <f t="shared" si="139"/>
        <v>5</v>
      </c>
      <c r="FZ155" t="str">
        <f t="shared" si="140"/>
        <v>5</v>
      </c>
      <c r="GA155" t="str">
        <f t="shared" si="141"/>
        <v>5</v>
      </c>
    </row>
    <row r="156" spans="1:183" ht="14.25">
      <c r="A156" s="1">
        <v>1603</v>
      </c>
      <c r="B156" s="6">
        <v>10102</v>
      </c>
      <c r="C156" s="23" t="str">
        <f t="shared" si="142"/>
        <v>5301072,5300075,5202073,5502071,5501075,5500073</v>
      </c>
      <c r="D156" s="1" t="str">
        <f t="shared" si="143"/>
        <v>7,7,7,7,7,7</v>
      </c>
      <c r="E156" s="53" t="str">
        <f t="shared" si="144"/>
        <v>1031,996,996,996,996,996</v>
      </c>
      <c r="F156" s="1">
        <f t="shared" si="129"/>
        <v>4896923</v>
      </c>
      <c r="G156" s="23" t="s">
        <v>34</v>
      </c>
      <c r="H156" s="1" t="s">
        <v>28</v>
      </c>
      <c r="I156" s="1" t="s">
        <v>28</v>
      </c>
      <c r="J156" s="1" t="s">
        <v>28</v>
      </c>
      <c r="K156" s="2" t="s">
        <v>454</v>
      </c>
      <c r="L156" s="1">
        <v>2</v>
      </c>
      <c r="M156" s="1">
        <v>4</v>
      </c>
      <c r="O156" s="25">
        <f t="shared" si="145"/>
        <v>4896923</v>
      </c>
      <c r="P156" s="16">
        <v>4896922.8</v>
      </c>
      <c r="Q156" s="16">
        <v>5301072</v>
      </c>
      <c r="R156" s="16">
        <v>5300075</v>
      </c>
      <c r="S156" s="16">
        <v>5202073</v>
      </c>
      <c r="T156" s="16">
        <v>5502071</v>
      </c>
      <c r="U156" s="16">
        <v>5501075</v>
      </c>
      <c r="V156" s="16">
        <v>5500073</v>
      </c>
      <c r="W156" s="16">
        <v>7</v>
      </c>
      <c r="X156" s="16">
        <v>7</v>
      </c>
      <c r="Y156" s="16">
        <v>7</v>
      </c>
      <c r="Z156" s="16">
        <v>7</v>
      </c>
      <c r="AA156" s="16">
        <v>7</v>
      </c>
      <c r="AB156" s="16">
        <v>7</v>
      </c>
      <c r="AC156" s="16">
        <f t="shared" si="146"/>
        <v>1031</v>
      </c>
      <c r="AD156" s="16">
        <f t="shared" si="128"/>
        <v>996</v>
      </c>
      <c r="AE156" s="16">
        <f t="shared" si="128"/>
        <v>996</v>
      </c>
      <c r="AF156" s="16">
        <f t="shared" si="128"/>
        <v>996</v>
      </c>
      <c r="AG156" s="16">
        <f t="shared" si="128"/>
        <v>996</v>
      </c>
      <c r="AH156" s="16">
        <f t="shared" si="128"/>
        <v>996</v>
      </c>
      <c r="AI156" s="28">
        <f t="shared" si="147"/>
        <v>979384.56</v>
      </c>
      <c r="AJ156" s="28">
        <f t="shared" si="148"/>
        <v>783507.64800000004</v>
      </c>
      <c r="AK156" s="28">
        <f t="shared" si="148"/>
        <v>783507.64800000004</v>
      </c>
      <c r="AL156" s="28">
        <f t="shared" si="148"/>
        <v>783507.64800000004</v>
      </c>
      <c r="AM156" s="28">
        <f t="shared" si="148"/>
        <v>783507.64800000004</v>
      </c>
      <c r="AN156" s="28">
        <f t="shared" si="148"/>
        <v>783507.64800000004</v>
      </c>
      <c r="AO156" s="30"/>
      <c r="AP156" s="28"/>
      <c r="AQ156" s="16">
        <v>6</v>
      </c>
      <c r="AR156" s="16">
        <f t="shared" si="149"/>
        <v>1072</v>
      </c>
      <c r="AS156" s="28">
        <f t="shared" si="181"/>
        <v>901</v>
      </c>
      <c r="AT156" s="28"/>
      <c r="AU156" s="30">
        <v>4896922.8</v>
      </c>
      <c r="AV156" s="28" t="str">
        <f t="shared" si="151"/>
        <v>小:0</v>
      </c>
      <c r="AW156" s="28"/>
      <c r="AX156" s="28"/>
      <c r="AZ156" s="28"/>
      <c r="BA156" s="16">
        <f t="shared" si="182"/>
        <v>56875.539735099344</v>
      </c>
      <c r="BC156" s="7">
        <f t="shared" si="152"/>
        <v>964</v>
      </c>
      <c r="BR156" s="7">
        <v>5502055</v>
      </c>
      <c r="BS156" s="9">
        <f>[1]monsters!$N156</f>
        <v>188.16</v>
      </c>
      <c r="BT156" s="9">
        <f>[1]monsters!$O156</f>
        <v>18.82</v>
      </c>
      <c r="BU156" s="9">
        <f>[1]monsters!$P156</f>
        <v>1234.29</v>
      </c>
      <c r="BV156" s="9">
        <f>[1]monsters!$Q156</f>
        <v>123.43</v>
      </c>
      <c r="BW156" s="9">
        <f>[1]monsters!$R156</f>
        <v>23.52</v>
      </c>
      <c r="BX156" s="9">
        <f>[1]monsters!$S156</f>
        <v>2.35</v>
      </c>
      <c r="BY156" s="9">
        <f>[1]monsters!$K156</f>
        <v>1.4000000000000001</v>
      </c>
      <c r="BZ156" s="7">
        <f>[1]monsters!$D156</f>
        <v>5</v>
      </c>
      <c r="CA156" s="7">
        <f t="shared" si="153"/>
        <v>0.1</v>
      </c>
      <c r="CB156" s="7">
        <f t="shared" si="154"/>
        <v>219.36978585858586</v>
      </c>
      <c r="CC156" s="7">
        <f t="shared" si="155"/>
        <v>21.936978585858586</v>
      </c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>
        <v>0</v>
      </c>
      <c r="CR156" s="25" t="b">
        <f t="shared" si="156"/>
        <v>1</v>
      </c>
      <c r="CS156" s="25" t="b">
        <f t="shared" si="157"/>
        <v>1</v>
      </c>
      <c r="CT156" s="25" t="b">
        <f t="shared" si="158"/>
        <v>1</v>
      </c>
      <c r="CU156" s="25" t="b">
        <f t="shared" si="159"/>
        <v>1</v>
      </c>
      <c r="CV156" s="25" t="b">
        <f t="shared" si="160"/>
        <v>1</v>
      </c>
      <c r="CW156" s="25" t="b">
        <f t="shared" si="161"/>
        <v>1</v>
      </c>
      <c r="CX156" s="16" t="str">
        <f t="shared" si="162"/>
        <v>5301072</v>
      </c>
      <c r="CY156" s="16" t="str">
        <f t="shared" si="163"/>
        <v>5300075</v>
      </c>
      <c r="CZ156" s="16" t="str">
        <f t="shared" si="164"/>
        <v>5202073</v>
      </c>
      <c r="DA156" s="16" t="str">
        <f t="shared" si="165"/>
        <v>5502071</v>
      </c>
      <c r="DB156" s="16" t="str">
        <f t="shared" si="166"/>
        <v>5501075</v>
      </c>
      <c r="DC156" s="16" t="str">
        <f t="shared" si="167"/>
        <v>5500073</v>
      </c>
      <c r="DD156" s="16">
        <v>7</v>
      </c>
      <c r="DE156" s="16">
        <v>7</v>
      </c>
      <c r="DF156" s="16">
        <v>7</v>
      </c>
      <c r="DG156" s="16">
        <v>7</v>
      </c>
      <c r="DH156" s="16">
        <v>7</v>
      </c>
      <c r="DI156" s="16">
        <v>7</v>
      </c>
      <c r="DJ156" s="16">
        <v>5</v>
      </c>
      <c r="DK156" s="16">
        <v>5</v>
      </c>
      <c r="DL156" s="16">
        <v>5</v>
      </c>
      <c r="DM156" s="16">
        <v>5</v>
      </c>
      <c r="DN156" s="16">
        <v>5</v>
      </c>
      <c r="DO156" s="16">
        <v>5</v>
      </c>
      <c r="DP156" s="51" t="s">
        <v>212</v>
      </c>
      <c r="DQ156" s="51" t="s">
        <v>224</v>
      </c>
      <c r="DR156" s="51" t="s">
        <v>220</v>
      </c>
      <c r="DS156" s="51" t="s">
        <v>130</v>
      </c>
      <c r="DT156" s="51" t="s">
        <v>221</v>
      </c>
      <c r="DU156" s="51" t="s">
        <v>219</v>
      </c>
      <c r="DV156" s="32">
        <f t="shared" si="130"/>
        <v>1</v>
      </c>
      <c r="DW156" s="32">
        <f t="shared" si="131"/>
        <v>1</v>
      </c>
      <c r="DX156" s="32">
        <f t="shared" si="132"/>
        <v>1</v>
      </c>
      <c r="DY156" s="32">
        <f t="shared" si="133"/>
        <v>2</v>
      </c>
      <c r="DZ156" s="32">
        <f t="shared" si="134"/>
        <v>2</v>
      </c>
      <c r="EA156" s="32">
        <f t="shared" si="135"/>
        <v>2</v>
      </c>
      <c r="EB156" s="41"/>
      <c r="EC156" s="16">
        <v>5502063</v>
      </c>
      <c r="ED156" s="40" t="s">
        <v>227</v>
      </c>
      <c r="EE156" s="16">
        <v>2</v>
      </c>
      <c r="FD156" s="16">
        <v>5301072</v>
      </c>
      <c r="FE156" s="16">
        <v>5300075</v>
      </c>
      <c r="FF156" s="16">
        <v>5202073</v>
      </c>
      <c r="FG156" s="16">
        <v>5502071</v>
      </c>
      <c r="FH156" s="16">
        <v>5501075</v>
      </c>
      <c r="FI156" s="16">
        <v>5500073</v>
      </c>
      <c r="FJ156" t="str">
        <f t="shared" si="168"/>
        <v>火剑士</v>
      </c>
      <c r="FK156" t="str">
        <f t="shared" si="169"/>
        <v>暗武士</v>
      </c>
      <c r="FL156" t="str">
        <f t="shared" si="170"/>
        <v>木维京</v>
      </c>
      <c r="FM156" t="str">
        <f t="shared" si="171"/>
        <v>水火枪手</v>
      </c>
      <c r="FN156" t="str">
        <f t="shared" si="172"/>
        <v>暗猎人</v>
      </c>
      <c r="FO156" t="str">
        <f t="shared" si="173"/>
        <v>木海盗</v>
      </c>
      <c r="FP156" t="str">
        <f t="shared" si="174"/>
        <v>7</v>
      </c>
      <c r="FQ156" t="str">
        <f t="shared" si="175"/>
        <v>7</v>
      </c>
      <c r="FR156" t="str">
        <f t="shared" si="176"/>
        <v>7</v>
      </c>
      <c r="FS156" t="str">
        <f t="shared" si="177"/>
        <v>7</v>
      </c>
      <c r="FT156" t="str">
        <f t="shared" si="178"/>
        <v>7</v>
      </c>
      <c r="FU156" t="str">
        <f t="shared" si="179"/>
        <v>7</v>
      </c>
      <c r="FV156" t="str">
        <f t="shared" si="136"/>
        <v>5</v>
      </c>
      <c r="FW156" t="str">
        <f t="shared" si="137"/>
        <v>5</v>
      </c>
      <c r="FX156" t="str">
        <f t="shared" si="138"/>
        <v>5</v>
      </c>
      <c r="FY156" t="str">
        <f t="shared" si="139"/>
        <v>5</v>
      </c>
      <c r="FZ156" t="str">
        <f t="shared" si="140"/>
        <v>5</v>
      </c>
      <c r="GA156" t="str">
        <f t="shared" si="141"/>
        <v>5</v>
      </c>
    </row>
    <row r="157" spans="1:183" ht="13.5" customHeight="1">
      <c r="A157" s="1">
        <v>1604</v>
      </c>
      <c r="B157" s="6">
        <v>10102</v>
      </c>
      <c r="C157" s="23" t="str">
        <f t="shared" si="142"/>
        <v>5301071,5200072,5202071,5401073,5500071,5500073</v>
      </c>
      <c r="D157" s="1" t="str">
        <f t="shared" si="143"/>
        <v>7,7,7,7,7,7</v>
      </c>
      <c r="E157" s="53" t="str">
        <f t="shared" si="144"/>
        <v>1035,1000,1000,1000,1000,1000</v>
      </c>
      <c r="F157" s="1">
        <f t="shared" si="129"/>
        <v>4938536</v>
      </c>
      <c r="G157" s="23" t="s">
        <v>34</v>
      </c>
      <c r="H157" s="1" t="s">
        <v>28</v>
      </c>
      <c r="I157" s="1" t="s">
        <v>28</v>
      </c>
      <c r="J157" s="1" t="s">
        <v>28</v>
      </c>
      <c r="K157" s="2" t="s">
        <v>455</v>
      </c>
      <c r="L157" s="1">
        <v>3</v>
      </c>
      <c r="M157" s="1">
        <v>4</v>
      </c>
      <c r="O157" s="25">
        <f t="shared" si="145"/>
        <v>4938536</v>
      </c>
      <c r="P157" s="16">
        <v>4938535.8</v>
      </c>
      <c r="Q157" s="16">
        <v>5301071</v>
      </c>
      <c r="R157" s="16">
        <v>5200072</v>
      </c>
      <c r="S157" s="16">
        <v>5202071</v>
      </c>
      <c r="T157" s="16">
        <v>5401073</v>
      </c>
      <c r="U157" s="16">
        <v>5500071</v>
      </c>
      <c r="V157" s="16">
        <v>5500073</v>
      </c>
      <c r="W157" s="16">
        <v>7</v>
      </c>
      <c r="X157" s="16">
        <v>7</v>
      </c>
      <c r="Y157" s="16">
        <v>7</v>
      </c>
      <c r="Z157" s="16">
        <v>7</v>
      </c>
      <c r="AA157" s="16">
        <v>7</v>
      </c>
      <c r="AB157" s="16">
        <v>7</v>
      </c>
      <c r="AC157" s="16">
        <f t="shared" si="146"/>
        <v>1035</v>
      </c>
      <c r="AD157" s="16">
        <f t="shared" si="128"/>
        <v>1000</v>
      </c>
      <c r="AE157" s="16">
        <f t="shared" si="128"/>
        <v>1000</v>
      </c>
      <c r="AF157" s="16">
        <f t="shared" si="128"/>
        <v>1000</v>
      </c>
      <c r="AG157" s="16">
        <f t="shared" si="128"/>
        <v>1000</v>
      </c>
      <c r="AH157" s="16">
        <f t="shared" si="128"/>
        <v>1000</v>
      </c>
      <c r="AI157" s="28">
        <f t="shared" si="147"/>
        <v>987707.16</v>
      </c>
      <c r="AJ157" s="28">
        <f t="shared" si="148"/>
        <v>790165.728</v>
      </c>
      <c r="AK157" s="28">
        <f t="shared" si="148"/>
        <v>790165.728</v>
      </c>
      <c r="AL157" s="28">
        <f t="shared" si="148"/>
        <v>790165.728</v>
      </c>
      <c r="AM157" s="28">
        <f t="shared" si="148"/>
        <v>790165.728</v>
      </c>
      <c r="AN157" s="28">
        <f t="shared" si="148"/>
        <v>790165.728</v>
      </c>
      <c r="AO157" s="30"/>
      <c r="AP157" s="28"/>
      <c r="AQ157" s="16">
        <v>6</v>
      </c>
      <c r="AR157" s="16">
        <f t="shared" si="149"/>
        <v>1076</v>
      </c>
      <c r="AS157" s="28">
        <f t="shared" si="181"/>
        <v>902</v>
      </c>
      <c r="AT157" s="28"/>
      <c r="AU157" s="30">
        <v>4938535.8</v>
      </c>
      <c r="AV157" s="28" t="str">
        <f t="shared" si="151"/>
        <v>小:0</v>
      </c>
      <c r="AW157" s="28"/>
      <c r="AX157" s="28"/>
      <c r="AZ157" s="28"/>
      <c r="BA157" s="16">
        <f t="shared" si="182"/>
        <v>56737.052980132459</v>
      </c>
      <c r="BC157" s="7">
        <f t="shared" si="152"/>
        <v>968</v>
      </c>
      <c r="BR157" s="7">
        <v>5600055</v>
      </c>
      <c r="BS157" s="9">
        <f>[1]monsters!$N157</f>
        <v>223.2</v>
      </c>
      <c r="BT157" s="9">
        <f>[1]monsters!$O157</f>
        <v>22.32</v>
      </c>
      <c r="BU157" s="9">
        <f>[1]monsters!$P157</f>
        <v>1114.8399999999999</v>
      </c>
      <c r="BV157" s="9">
        <f>[1]monsters!$Q157</f>
        <v>111.48</v>
      </c>
      <c r="BW157" s="9">
        <f>[1]monsters!$R157</f>
        <v>22.32</v>
      </c>
      <c r="BX157" s="9">
        <f>[1]monsters!$S157</f>
        <v>2.23</v>
      </c>
      <c r="BY157" s="9">
        <f>[1]monsters!$K157</f>
        <v>1.5</v>
      </c>
      <c r="BZ157" s="7">
        <f>[1]monsters!$D157</f>
        <v>6</v>
      </c>
      <c r="CA157" s="7">
        <f t="shared" si="153"/>
        <v>0.1</v>
      </c>
      <c r="CB157" s="7">
        <f t="shared" si="154"/>
        <v>248.46070033670031</v>
      </c>
      <c r="CC157" s="7">
        <f t="shared" si="155"/>
        <v>24.846070033670031</v>
      </c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>
        <v>0</v>
      </c>
      <c r="CR157" s="25" t="b">
        <f t="shared" si="156"/>
        <v>1</v>
      </c>
      <c r="CS157" s="25" t="b">
        <f t="shared" si="157"/>
        <v>1</v>
      </c>
      <c r="CT157" s="25" t="b">
        <f t="shared" si="158"/>
        <v>1</v>
      </c>
      <c r="CU157" s="25" t="b">
        <f t="shared" si="159"/>
        <v>1</v>
      </c>
      <c r="CV157" s="25" t="b">
        <f t="shared" si="160"/>
        <v>1</v>
      </c>
      <c r="CW157" s="25" t="b">
        <f t="shared" si="161"/>
        <v>1</v>
      </c>
      <c r="CX157" s="16" t="str">
        <f t="shared" si="162"/>
        <v>5301071</v>
      </c>
      <c r="CY157" s="16" t="str">
        <f t="shared" si="163"/>
        <v>5200072</v>
      </c>
      <c r="CZ157" s="16" t="str">
        <f t="shared" si="164"/>
        <v>5202071</v>
      </c>
      <c r="DA157" s="16" t="str">
        <f t="shared" si="165"/>
        <v>5401073</v>
      </c>
      <c r="DB157" s="16" t="str">
        <f t="shared" si="166"/>
        <v>5500071</v>
      </c>
      <c r="DC157" s="16" t="str">
        <f t="shared" si="167"/>
        <v>5500073</v>
      </c>
      <c r="DD157" s="16">
        <v>7</v>
      </c>
      <c r="DE157" s="16">
        <v>7</v>
      </c>
      <c r="DF157" s="16">
        <v>7</v>
      </c>
      <c r="DG157" s="16">
        <v>7</v>
      </c>
      <c r="DH157" s="16">
        <v>7</v>
      </c>
      <c r="DI157" s="16">
        <v>7</v>
      </c>
      <c r="DJ157" s="16">
        <v>5</v>
      </c>
      <c r="DK157" s="16">
        <v>5</v>
      </c>
      <c r="DL157" s="16">
        <v>5</v>
      </c>
      <c r="DM157" s="16">
        <v>5</v>
      </c>
      <c r="DN157" s="16">
        <v>5</v>
      </c>
      <c r="DO157" s="16">
        <v>5</v>
      </c>
      <c r="DP157" s="51" t="s">
        <v>113</v>
      </c>
      <c r="DQ157" s="51" t="s">
        <v>210</v>
      </c>
      <c r="DR157" s="51" t="s">
        <v>117</v>
      </c>
      <c r="DS157" s="51" t="s">
        <v>223</v>
      </c>
      <c r="DT157" s="51" t="s">
        <v>208</v>
      </c>
      <c r="DU157" s="51" t="s">
        <v>219</v>
      </c>
      <c r="DV157" s="32">
        <f t="shared" si="130"/>
        <v>1</v>
      </c>
      <c r="DW157" s="32">
        <f t="shared" si="131"/>
        <v>1</v>
      </c>
      <c r="DX157" s="32">
        <f t="shared" si="132"/>
        <v>1</v>
      </c>
      <c r="DY157" s="32">
        <f t="shared" si="133"/>
        <v>2</v>
      </c>
      <c r="DZ157" s="32">
        <f t="shared" si="134"/>
        <v>2</v>
      </c>
      <c r="EA157" s="32">
        <f t="shared" si="135"/>
        <v>2</v>
      </c>
      <c r="EB157" s="41"/>
      <c r="EC157" s="16">
        <v>5601063</v>
      </c>
      <c r="ED157" s="40" t="s">
        <v>228</v>
      </c>
      <c r="EE157" s="16">
        <v>2</v>
      </c>
      <c r="FD157" s="16">
        <v>5301071</v>
      </c>
      <c r="FE157" s="16">
        <v>5200072</v>
      </c>
      <c r="FF157" s="16">
        <v>5202071</v>
      </c>
      <c r="FG157" s="16">
        <v>5401073</v>
      </c>
      <c r="FH157" s="16">
        <v>5500071</v>
      </c>
      <c r="FI157" s="16">
        <v>5500073</v>
      </c>
      <c r="FJ157" t="str">
        <f t="shared" si="168"/>
        <v>水剑士</v>
      </c>
      <c r="FK157" t="str">
        <f t="shared" si="169"/>
        <v>火刀客</v>
      </c>
      <c r="FL157" t="str">
        <f t="shared" si="170"/>
        <v>水维京</v>
      </c>
      <c r="FM157" t="str">
        <f t="shared" si="171"/>
        <v>木魔法师</v>
      </c>
      <c r="FN157" t="str">
        <f t="shared" si="172"/>
        <v>水海盗</v>
      </c>
      <c r="FO157" t="str">
        <f t="shared" si="173"/>
        <v>木海盗</v>
      </c>
      <c r="FP157" t="str">
        <f t="shared" si="174"/>
        <v>7</v>
      </c>
      <c r="FQ157" t="str">
        <f t="shared" si="175"/>
        <v>7</v>
      </c>
      <c r="FR157" t="str">
        <f t="shared" si="176"/>
        <v>7</v>
      </c>
      <c r="FS157" t="str">
        <f t="shared" si="177"/>
        <v>7</v>
      </c>
      <c r="FT157" t="str">
        <f t="shared" si="178"/>
        <v>7</v>
      </c>
      <c r="FU157" t="str">
        <f t="shared" si="179"/>
        <v>7</v>
      </c>
      <c r="FV157" t="str">
        <f t="shared" si="136"/>
        <v>5</v>
      </c>
      <c r="FW157" t="str">
        <f t="shared" si="137"/>
        <v>5</v>
      </c>
      <c r="FX157" t="str">
        <f t="shared" si="138"/>
        <v>5</v>
      </c>
      <c r="FY157" t="str">
        <f t="shared" si="139"/>
        <v>5</v>
      </c>
      <c r="FZ157" t="str">
        <f t="shared" si="140"/>
        <v>5</v>
      </c>
      <c r="GA157" t="str">
        <f t="shared" si="141"/>
        <v>5</v>
      </c>
    </row>
    <row r="158" spans="1:183" ht="13.5" customHeight="1">
      <c r="A158" s="1">
        <v>1605</v>
      </c>
      <c r="B158" s="6">
        <v>10102</v>
      </c>
      <c r="C158" s="23" t="str">
        <f t="shared" si="142"/>
        <v>5201071,5202073,5200072,5401072,5400075,5501075</v>
      </c>
      <c r="D158" s="1" t="str">
        <f t="shared" si="143"/>
        <v>7,7,7,7,7,7</v>
      </c>
      <c r="E158" s="53" t="str">
        <f t="shared" si="144"/>
        <v>1040,1004,1004,1004,1004,1004</v>
      </c>
      <c r="F158" s="1">
        <f t="shared" si="129"/>
        <v>4983801</v>
      </c>
      <c r="G158" s="23" t="s">
        <v>34</v>
      </c>
      <c r="H158" s="1" t="s">
        <v>28</v>
      </c>
      <c r="I158" s="1" t="s">
        <v>28</v>
      </c>
      <c r="J158" s="1" t="s">
        <v>28</v>
      </c>
      <c r="K158" s="2" t="s">
        <v>456</v>
      </c>
      <c r="L158" s="1">
        <v>1</v>
      </c>
      <c r="M158" s="1">
        <v>3</v>
      </c>
      <c r="O158" s="25">
        <f t="shared" si="145"/>
        <v>4983801</v>
      </c>
      <c r="P158" s="16">
        <v>4983800.8</v>
      </c>
      <c r="Q158" s="16">
        <v>5201071</v>
      </c>
      <c r="R158" s="16">
        <v>5202073</v>
      </c>
      <c r="S158" s="16">
        <v>5200072</v>
      </c>
      <c r="T158" s="16">
        <v>5401072</v>
      </c>
      <c r="U158" s="16">
        <v>5400075</v>
      </c>
      <c r="V158" s="16">
        <v>5501075</v>
      </c>
      <c r="W158" s="16">
        <v>7</v>
      </c>
      <c r="X158" s="16">
        <v>7</v>
      </c>
      <c r="Y158" s="16">
        <v>7</v>
      </c>
      <c r="Z158" s="16">
        <v>7</v>
      </c>
      <c r="AA158" s="16">
        <v>7</v>
      </c>
      <c r="AB158" s="16">
        <v>7</v>
      </c>
      <c r="AC158" s="16">
        <f t="shared" si="146"/>
        <v>1040</v>
      </c>
      <c r="AD158" s="16">
        <f t="shared" si="128"/>
        <v>1004</v>
      </c>
      <c r="AE158" s="16">
        <f t="shared" si="128"/>
        <v>1004</v>
      </c>
      <c r="AF158" s="16">
        <f t="shared" si="128"/>
        <v>1004</v>
      </c>
      <c r="AG158" s="16">
        <f t="shared" si="128"/>
        <v>1004</v>
      </c>
      <c r="AH158" s="16">
        <f t="shared" si="128"/>
        <v>1004</v>
      </c>
      <c r="AI158" s="28">
        <f t="shared" si="147"/>
        <v>996760.16</v>
      </c>
      <c r="AJ158" s="28">
        <f t="shared" si="148"/>
        <v>797408.12800000003</v>
      </c>
      <c r="AK158" s="28">
        <f t="shared" si="148"/>
        <v>797408.12800000003</v>
      </c>
      <c r="AL158" s="28">
        <f t="shared" si="148"/>
        <v>797408.12800000003</v>
      </c>
      <c r="AM158" s="28">
        <f t="shared" si="148"/>
        <v>797408.12800000003</v>
      </c>
      <c r="AN158" s="28">
        <f t="shared" si="148"/>
        <v>797408.12800000003</v>
      </c>
      <c r="AO158" s="30"/>
      <c r="AP158" s="28"/>
      <c r="AQ158" s="16">
        <v>6</v>
      </c>
      <c r="AR158" s="16">
        <f t="shared" si="149"/>
        <v>1081</v>
      </c>
      <c r="AS158" s="28">
        <f t="shared" si="181"/>
        <v>902</v>
      </c>
      <c r="AT158" s="28"/>
      <c r="AU158" s="30">
        <v>4983800.8</v>
      </c>
      <c r="AV158" s="28" t="str">
        <f t="shared" si="151"/>
        <v>小:0</v>
      </c>
      <c r="AW158" s="28"/>
      <c r="AX158" s="28"/>
      <c r="AZ158" s="28"/>
      <c r="BA158" s="16">
        <f t="shared" si="182"/>
        <v>56598.566225165574</v>
      </c>
      <c r="BC158" s="7">
        <f t="shared" si="152"/>
        <v>972</v>
      </c>
      <c r="BR158" s="7">
        <v>5602055</v>
      </c>
      <c r="BS158" s="9">
        <f>[1]monsters!$N158</f>
        <v>138.24</v>
      </c>
      <c r="BT158" s="9">
        <f>[1]monsters!$O158</f>
        <v>13.82</v>
      </c>
      <c r="BU158" s="9">
        <f>[1]monsters!$P158</f>
        <v>2160</v>
      </c>
      <c r="BV158" s="9">
        <f>[1]monsters!$Q158</f>
        <v>216</v>
      </c>
      <c r="BW158" s="9">
        <f>[1]monsters!$R158</f>
        <v>46.08</v>
      </c>
      <c r="BX158" s="9">
        <f>[1]monsters!$S158</f>
        <v>4.6100000000000003</v>
      </c>
      <c r="BY158" s="9">
        <f>[1]monsters!$K158</f>
        <v>1.8</v>
      </c>
      <c r="BZ158" s="7">
        <f>[1]monsters!$D158</f>
        <v>2</v>
      </c>
      <c r="CA158" s="7">
        <f t="shared" si="153"/>
        <v>0.1</v>
      </c>
      <c r="CB158" s="7">
        <f t="shared" si="154"/>
        <v>203.36407272727274</v>
      </c>
      <c r="CC158" s="7">
        <f t="shared" si="155"/>
        <v>20.336407272727275</v>
      </c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>
        <v>1</v>
      </c>
      <c r="CR158" s="25" t="b">
        <f t="shared" si="156"/>
        <v>1</v>
      </c>
      <c r="CS158" s="25" t="b">
        <f t="shared" si="157"/>
        <v>1</v>
      </c>
      <c r="CT158" s="25" t="b">
        <f t="shared" si="158"/>
        <v>1</v>
      </c>
      <c r="CU158" s="25" t="b">
        <f t="shared" si="159"/>
        <v>1</v>
      </c>
      <c r="CV158" s="25" t="b">
        <f t="shared" si="160"/>
        <v>1</v>
      </c>
      <c r="CW158" s="25" t="b">
        <f t="shared" si="161"/>
        <v>1</v>
      </c>
      <c r="CX158" s="16" t="str">
        <f t="shared" si="162"/>
        <v>5201071</v>
      </c>
      <c r="CY158" s="16" t="str">
        <f t="shared" si="163"/>
        <v>5202073</v>
      </c>
      <c r="CZ158" s="16" t="str">
        <f t="shared" si="164"/>
        <v>5200072</v>
      </c>
      <c r="DA158" s="16" t="str">
        <f t="shared" si="165"/>
        <v>5401072</v>
      </c>
      <c r="DB158" s="16" t="str">
        <f t="shared" si="166"/>
        <v>5400075</v>
      </c>
      <c r="DC158" s="16" t="str">
        <f t="shared" si="167"/>
        <v>5501075</v>
      </c>
      <c r="DD158" s="16">
        <v>7</v>
      </c>
      <c r="DE158" s="16">
        <v>7</v>
      </c>
      <c r="DF158" s="16">
        <v>7</v>
      </c>
      <c r="DG158" s="16">
        <v>7</v>
      </c>
      <c r="DH158" s="16">
        <v>7</v>
      </c>
      <c r="DI158" s="16">
        <v>7</v>
      </c>
      <c r="DJ158" s="16">
        <v>5</v>
      </c>
      <c r="DK158" s="16">
        <v>5</v>
      </c>
      <c r="DL158" s="16">
        <v>5</v>
      </c>
      <c r="DM158" s="16">
        <v>5</v>
      </c>
      <c r="DN158" s="16">
        <v>5</v>
      </c>
      <c r="DO158" s="16">
        <v>5</v>
      </c>
      <c r="DP158" s="51" t="s">
        <v>206</v>
      </c>
      <c r="DQ158" s="51" t="s">
        <v>220</v>
      </c>
      <c r="DR158" s="51" t="s">
        <v>210</v>
      </c>
      <c r="DS158" s="51" t="s">
        <v>213</v>
      </c>
      <c r="DT158" s="51" t="s">
        <v>222</v>
      </c>
      <c r="DU158" s="51" t="s">
        <v>221</v>
      </c>
      <c r="DV158" s="32">
        <f t="shared" si="130"/>
        <v>1</v>
      </c>
      <c r="DW158" s="32">
        <f t="shared" si="131"/>
        <v>1</v>
      </c>
      <c r="DX158" s="32">
        <f t="shared" si="132"/>
        <v>1</v>
      </c>
      <c r="DY158" s="32">
        <f t="shared" si="133"/>
        <v>2</v>
      </c>
      <c r="DZ158" s="32">
        <f t="shared" si="134"/>
        <v>2</v>
      </c>
      <c r="EA158" s="32">
        <f t="shared" si="135"/>
        <v>2</v>
      </c>
      <c r="EB158" s="41"/>
      <c r="EC158" s="16">
        <v>5201064</v>
      </c>
      <c r="ED158" s="40" t="s">
        <v>229</v>
      </c>
      <c r="EE158" s="16">
        <v>1</v>
      </c>
      <c r="FD158" s="16">
        <v>5201071</v>
      </c>
      <c r="FE158" s="16">
        <v>5202073</v>
      </c>
      <c r="FF158" s="16">
        <v>5200072</v>
      </c>
      <c r="FG158" s="16">
        <v>5401072</v>
      </c>
      <c r="FH158" s="16">
        <v>5400075</v>
      </c>
      <c r="FI158" s="16">
        <v>5501075</v>
      </c>
      <c r="FJ158" t="str">
        <f t="shared" si="168"/>
        <v>水骑兵</v>
      </c>
      <c r="FK158" t="str">
        <f t="shared" si="169"/>
        <v>木维京</v>
      </c>
      <c r="FL158" t="str">
        <f t="shared" si="170"/>
        <v>火刀客</v>
      </c>
      <c r="FM158" t="str">
        <f t="shared" si="171"/>
        <v>火魔法师</v>
      </c>
      <c r="FN158" t="str">
        <f t="shared" si="172"/>
        <v>暗巫师</v>
      </c>
      <c r="FO158" t="str">
        <f t="shared" si="173"/>
        <v>暗猎人</v>
      </c>
      <c r="FP158" t="str">
        <f t="shared" si="174"/>
        <v>7</v>
      </c>
      <c r="FQ158" t="str">
        <f t="shared" si="175"/>
        <v>7</v>
      </c>
      <c r="FR158" t="str">
        <f t="shared" si="176"/>
        <v>7</v>
      </c>
      <c r="FS158" t="str">
        <f t="shared" si="177"/>
        <v>7</v>
      </c>
      <c r="FT158" t="str">
        <f t="shared" si="178"/>
        <v>7</v>
      </c>
      <c r="FU158" t="str">
        <f t="shared" si="179"/>
        <v>7</v>
      </c>
      <c r="FV158" t="str">
        <f t="shared" si="136"/>
        <v>5</v>
      </c>
      <c r="FW158" t="str">
        <f t="shared" si="137"/>
        <v>5</v>
      </c>
      <c r="FX158" t="str">
        <f t="shared" si="138"/>
        <v>5</v>
      </c>
      <c r="FY158" t="str">
        <f t="shared" si="139"/>
        <v>5</v>
      </c>
      <c r="FZ158" t="str">
        <f t="shared" si="140"/>
        <v>5</v>
      </c>
      <c r="GA158" t="str">
        <f t="shared" si="141"/>
        <v>5</v>
      </c>
    </row>
    <row r="159" spans="1:183" ht="13.5" customHeight="1">
      <c r="A159" s="1">
        <v>1606</v>
      </c>
      <c r="B159" s="6">
        <v>10102</v>
      </c>
      <c r="C159" s="23" t="str">
        <f t="shared" si="142"/>
        <v>5301071,5200072,5202071,5401073,5500071,5500073</v>
      </c>
      <c r="D159" s="1" t="str">
        <f t="shared" si="143"/>
        <v>7,7,7,7,7,7</v>
      </c>
      <c r="E159" s="53" t="str">
        <f t="shared" si="144"/>
        <v>1044,1009,1009,1009,1009,1009</v>
      </c>
      <c r="F159" s="1">
        <f t="shared" si="129"/>
        <v>5025781</v>
      </c>
      <c r="G159" s="23" t="s">
        <v>34</v>
      </c>
      <c r="H159" s="1" t="s">
        <v>28</v>
      </c>
      <c r="I159" s="1" t="s">
        <v>28</v>
      </c>
      <c r="J159" s="1" t="s">
        <v>28</v>
      </c>
      <c r="K159" s="2" t="s">
        <v>457</v>
      </c>
      <c r="L159" s="1">
        <v>2</v>
      </c>
      <c r="M159" s="1">
        <v>3</v>
      </c>
      <c r="O159" s="25">
        <f t="shared" si="145"/>
        <v>5025781</v>
      </c>
      <c r="P159" s="16">
        <v>5025781.2</v>
      </c>
      <c r="Q159" s="16">
        <v>5301071</v>
      </c>
      <c r="R159" s="16">
        <v>5200072</v>
      </c>
      <c r="S159" s="16">
        <v>5202071</v>
      </c>
      <c r="T159" s="16">
        <v>5401073</v>
      </c>
      <c r="U159" s="16">
        <v>5500071</v>
      </c>
      <c r="V159" s="16">
        <v>5500073</v>
      </c>
      <c r="W159" s="16">
        <v>7</v>
      </c>
      <c r="X159" s="16">
        <v>7</v>
      </c>
      <c r="Y159" s="16">
        <v>7</v>
      </c>
      <c r="Z159" s="16">
        <v>7</v>
      </c>
      <c r="AA159" s="16">
        <v>7</v>
      </c>
      <c r="AB159" s="16">
        <v>7</v>
      </c>
      <c r="AC159" s="16">
        <f t="shared" si="146"/>
        <v>1044</v>
      </c>
      <c r="AD159" s="16">
        <f t="shared" si="128"/>
        <v>1009</v>
      </c>
      <c r="AE159" s="16">
        <f t="shared" si="128"/>
        <v>1009</v>
      </c>
      <c r="AF159" s="16">
        <f t="shared" si="128"/>
        <v>1009</v>
      </c>
      <c r="AG159" s="16">
        <f t="shared" si="128"/>
        <v>1009</v>
      </c>
      <c r="AH159" s="16">
        <f t="shared" si="128"/>
        <v>1009</v>
      </c>
      <c r="AI159" s="28">
        <f t="shared" si="147"/>
        <v>1005156.2400000001</v>
      </c>
      <c r="AJ159" s="28">
        <f t="shared" si="148"/>
        <v>804124.99200000009</v>
      </c>
      <c r="AK159" s="28">
        <f t="shared" si="148"/>
        <v>804124.99200000009</v>
      </c>
      <c r="AL159" s="28">
        <f t="shared" si="148"/>
        <v>804124.99200000009</v>
      </c>
      <c r="AM159" s="28">
        <f t="shared" si="148"/>
        <v>804124.99200000009</v>
      </c>
      <c r="AN159" s="28">
        <f t="shared" si="148"/>
        <v>804124.99200000009</v>
      </c>
      <c r="AO159" s="30"/>
      <c r="AP159" s="28"/>
      <c r="AQ159" s="16">
        <v>6</v>
      </c>
      <c r="AR159" s="16">
        <f t="shared" si="149"/>
        <v>1086</v>
      </c>
      <c r="AS159" s="28">
        <f t="shared" si="181"/>
        <v>903</v>
      </c>
      <c r="AT159" s="28"/>
      <c r="AU159" s="30">
        <v>5025781.2</v>
      </c>
      <c r="AV159" s="28" t="str">
        <f t="shared" si="151"/>
        <v>小:0</v>
      </c>
      <c r="AW159" s="28"/>
      <c r="AX159" s="28"/>
      <c r="AZ159" s="28"/>
      <c r="BA159" s="16">
        <f t="shared" si="182"/>
        <v>56460.079470198689</v>
      </c>
      <c r="BC159" s="7">
        <f t="shared" si="152"/>
        <v>976</v>
      </c>
      <c r="BR159" s="7">
        <v>5200061</v>
      </c>
      <c r="BS159" s="9">
        <f>[1]monsters!$N159</f>
        <v>120.96</v>
      </c>
      <c r="BT159" s="9">
        <f>[1]monsters!$O159</f>
        <v>12.1</v>
      </c>
      <c r="BU159" s="9">
        <f>[1]monsters!$P159</f>
        <v>1920</v>
      </c>
      <c r="BV159" s="9">
        <f>[1]monsters!$Q159</f>
        <v>192</v>
      </c>
      <c r="BW159" s="9">
        <f>[1]monsters!$R159</f>
        <v>24.19</v>
      </c>
      <c r="BX159" s="9">
        <f>[1]monsters!$S159</f>
        <v>2.42</v>
      </c>
      <c r="BY159" s="9">
        <f>[1]monsters!$K159</f>
        <v>1.4000000000000001</v>
      </c>
      <c r="BZ159" s="7">
        <f>[1]monsters!$D159</f>
        <v>3</v>
      </c>
      <c r="CA159" s="7">
        <f t="shared" si="153"/>
        <v>0.1</v>
      </c>
      <c r="CB159" s="7">
        <f t="shared" si="154"/>
        <v>178.95366464646463</v>
      </c>
      <c r="CC159" s="7">
        <f t="shared" si="155"/>
        <v>17.895366464646465</v>
      </c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>
        <v>0</v>
      </c>
      <c r="CR159" s="25" t="b">
        <f t="shared" si="156"/>
        <v>1</v>
      </c>
      <c r="CS159" s="25" t="b">
        <f t="shared" si="157"/>
        <v>1</v>
      </c>
      <c r="CT159" s="25" t="b">
        <f t="shared" si="158"/>
        <v>1</v>
      </c>
      <c r="CU159" s="25" t="b">
        <f t="shared" si="159"/>
        <v>1</v>
      </c>
      <c r="CV159" s="25" t="b">
        <f t="shared" si="160"/>
        <v>1</v>
      </c>
      <c r="CW159" s="25" t="b">
        <f t="shared" si="161"/>
        <v>1</v>
      </c>
      <c r="CX159" s="16" t="str">
        <f t="shared" si="162"/>
        <v>5301071</v>
      </c>
      <c r="CY159" s="16" t="str">
        <f t="shared" si="163"/>
        <v>5200072</v>
      </c>
      <c r="CZ159" s="16" t="str">
        <f t="shared" si="164"/>
        <v>5202071</v>
      </c>
      <c r="DA159" s="16" t="str">
        <f t="shared" si="165"/>
        <v>5401073</v>
      </c>
      <c r="DB159" s="16" t="str">
        <f t="shared" si="166"/>
        <v>5500071</v>
      </c>
      <c r="DC159" s="16" t="str">
        <f t="shared" si="167"/>
        <v>5500073</v>
      </c>
      <c r="DD159" s="16">
        <v>7</v>
      </c>
      <c r="DE159" s="16">
        <v>7</v>
      </c>
      <c r="DF159" s="16">
        <v>7</v>
      </c>
      <c r="DG159" s="16">
        <v>7</v>
      </c>
      <c r="DH159" s="16">
        <v>7</v>
      </c>
      <c r="DI159" s="16">
        <v>7</v>
      </c>
      <c r="DJ159" s="16">
        <v>5</v>
      </c>
      <c r="DK159" s="16">
        <v>5</v>
      </c>
      <c r="DL159" s="16">
        <v>5</v>
      </c>
      <c r="DM159" s="16">
        <v>5</v>
      </c>
      <c r="DN159" s="16">
        <v>5</v>
      </c>
      <c r="DO159" s="16">
        <v>5</v>
      </c>
      <c r="DP159" s="51" t="s">
        <v>113</v>
      </c>
      <c r="DQ159" s="51" t="s">
        <v>210</v>
      </c>
      <c r="DR159" s="51" t="s">
        <v>117</v>
      </c>
      <c r="DS159" s="51" t="s">
        <v>223</v>
      </c>
      <c r="DT159" s="51" t="s">
        <v>208</v>
      </c>
      <c r="DU159" s="51" t="s">
        <v>219</v>
      </c>
      <c r="DV159" s="32">
        <f t="shared" si="130"/>
        <v>1</v>
      </c>
      <c r="DW159" s="32">
        <f t="shared" si="131"/>
        <v>1</v>
      </c>
      <c r="DX159" s="32">
        <f t="shared" si="132"/>
        <v>1</v>
      </c>
      <c r="DY159" s="32">
        <f t="shared" si="133"/>
        <v>2</v>
      </c>
      <c r="DZ159" s="32">
        <f t="shared" si="134"/>
        <v>2</v>
      </c>
      <c r="EA159" s="32">
        <f t="shared" si="135"/>
        <v>2</v>
      </c>
      <c r="EB159" s="43"/>
      <c r="EC159" s="16">
        <v>5302064</v>
      </c>
      <c r="ED159" s="40" t="s">
        <v>230</v>
      </c>
      <c r="EE159" s="16">
        <v>1</v>
      </c>
      <c r="FD159" s="16">
        <v>5301071</v>
      </c>
      <c r="FE159" s="16">
        <v>5200072</v>
      </c>
      <c r="FF159" s="16">
        <v>5202071</v>
      </c>
      <c r="FG159" s="16">
        <v>5401073</v>
      </c>
      <c r="FH159" s="16">
        <v>5500071</v>
      </c>
      <c r="FI159" s="16">
        <v>5500073</v>
      </c>
      <c r="FJ159" t="str">
        <f t="shared" si="168"/>
        <v>水剑士</v>
      </c>
      <c r="FK159" t="str">
        <f t="shared" si="169"/>
        <v>火刀客</v>
      </c>
      <c r="FL159" t="str">
        <f t="shared" si="170"/>
        <v>水维京</v>
      </c>
      <c r="FM159" t="str">
        <f t="shared" si="171"/>
        <v>木魔法师</v>
      </c>
      <c r="FN159" t="str">
        <f t="shared" si="172"/>
        <v>水海盗</v>
      </c>
      <c r="FO159" t="str">
        <f t="shared" si="173"/>
        <v>木海盗</v>
      </c>
      <c r="FP159" t="str">
        <f t="shared" si="174"/>
        <v>7</v>
      </c>
      <c r="FQ159" t="str">
        <f t="shared" si="175"/>
        <v>7</v>
      </c>
      <c r="FR159" t="str">
        <f t="shared" si="176"/>
        <v>7</v>
      </c>
      <c r="FS159" t="str">
        <f t="shared" si="177"/>
        <v>7</v>
      </c>
      <c r="FT159" t="str">
        <f t="shared" si="178"/>
        <v>7</v>
      </c>
      <c r="FU159" t="str">
        <f t="shared" si="179"/>
        <v>7</v>
      </c>
      <c r="FV159" t="str">
        <f t="shared" si="136"/>
        <v>5</v>
      </c>
      <c r="FW159" t="str">
        <f t="shared" si="137"/>
        <v>5</v>
      </c>
      <c r="FX159" t="str">
        <f t="shared" si="138"/>
        <v>5</v>
      </c>
      <c r="FY159" t="str">
        <f t="shared" si="139"/>
        <v>5</v>
      </c>
      <c r="FZ159" t="str">
        <f t="shared" si="140"/>
        <v>5</v>
      </c>
      <c r="GA159" t="str">
        <f t="shared" si="141"/>
        <v>5</v>
      </c>
    </row>
    <row r="160" spans="1:183" ht="13.5" customHeight="1">
      <c r="A160" s="1">
        <v>1607</v>
      </c>
      <c r="B160" s="6">
        <v>10102</v>
      </c>
      <c r="C160" s="23" t="str">
        <f t="shared" si="142"/>
        <v>5202073,5302075,5301071,5500072,5501074,5402072</v>
      </c>
      <c r="D160" s="1" t="str">
        <f t="shared" si="143"/>
        <v>7,7,7,7,7,7</v>
      </c>
      <c r="E160" s="53" t="str">
        <f t="shared" si="144"/>
        <v>1049,1013,1013,1013,1013,1013</v>
      </c>
      <c r="F160" s="1">
        <f t="shared" si="129"/>
        <v>5071444</v>
      </c>
      <c r="G160" s="23" t="s">
        <v>34</v>
      </c>
      <c r="H160" s="1" t="s">
        <v>28</v>
      </c>
      <c r="I160" s="1" t="s">
        <v>28</v>
      </c>
      <c r="J160" s="1" t="s">
        <v>28</v>
      </c>
      <c r="K160" s="2" t="s">
        <v>458</v>
      </c>
      <c r="L160" s="1">
        <v>3</v>
      </c>
      <c r="M160" s="1">
        <v>5</v>
      </c>
      <c r="O160" s="25">
        <f t="shared" si="145"/>
        <v>5071444</v>
      </c>
      <c r="P160" s="16">
        <v>5071444.4000000004</v>
      </c>
      <c r="Q160" s="16">
        <v>5202073</v>
      </c>
      <c r="R160" s="16">
        <v>5302075</v>
      </c>
      <c r="S160" s="16">
        <v>5301071</v>
      </c>
      <c r="T160" s="16">
        <v>5500072</v>
      </c>
      <c r="U160" s="16">
        <v>5501074</v>
      </c>
      <c r="V160" s="16">
        <v>5402072</v>
      </c>
      <c r="W160" s="16">
        <v>7</v>
      </c>
      <c r="X160" s="16">
        <v>7</v>
      </c>
      <c r="Y160" s="16">
        <v>7</v>
      </c>
      <c r="Z160" s="16">
        <v>7</v>
      </c>
      <c r="AA160" s="16">
        <v>7</v>
      </c>
      <c r="AB160" s="16">
        <v>7</v>
      </c>
      <c r="AC160" s="16">
        <f t="shared" si="146"/>
        <v>1049</v>
      </c>
      <c r="AD160" s="16">
        <f t="shared" si="128"/>
        <v>1013</v>
      </c>
      <c r="AE160" s="16">
        <f t="shared" si="128"/>
        <v>1013</v>
      </c>
      <c r="AF160" s="16">
        <f t="shared" si="128"/>
        <v>1013</v>
      </c>
      <c r="AG160" s="16">
        <f t="shared" si="128"/>
        <v>1013</v>
      </c>
      <c r="AH160" s="16">
        <f t="shared" si="128"/>
        <v>1013</v>
      </c>
      <c r="AI160" s="28">
        <f t="shared" si="147"/>
        <v>1014288.8800000001</v>
      </c>
      <c r="AJ160" s="28">
        <f t="shared" si="148"/>
        <v>811431.10400000005</v>
      </c>
      <c r="AK160" s="28">
        <f t="shared" si="148"/>
        <v>811431.10400000005</v>
      </c>
      <c r="AL160" s="28">
        <f t="shared" si="148"/>
        <v>811431.10400000005</v>
      </c>
      <c r="AM160" s="28">
        <f t="shared" si="148"/>
        <v>811431.10400000005</v>
      </c>
      <c r="AN160" s="28">
        <f t="shared" si="148"/>
        <v>811431.10400000005</v>
      </c>
      <c r="AO160" s="30"/>
      <c r="AP160" s="28"/>
      <c r="AQ160" s="16">
        <v>6</v>
      </c>
      <c r="AR160" s="16">
        <f t="shared" si="149"/>
        <v>1091</v>
      </c>
      <c r="AS160" s="28">
        <f t="shared" si="181"/>
        <v>903</v>
      </c>
      <c r="AT160" s="28"/>
      <c r="AU160" s="30">
        <v>5071444.4000000004</v>
      </c>
      <c r="AV160" s="28" t="str">
        <f t="shared" si="151"/>
        <v>小:0</v>
      </c>
      <c r="AW160" s="28"/>
      <c r="AX160" s="28"/>
      <c r="AZ160" s="28"/>
      <c r="BA160" s="16">
        <f t="shared" si="182"/>
        <v>56321.592715231804</v>
      </c>
      <c r="BC160" s="7">
        <f t="shared" si="152"/>
        <v>981</v>
      </c>
      <c r="BR160" s="7">
        <v>5201061</v>
      </c>
      <c r="BS160" s="9">
        <f>[1]monsters!$N160</f>
        <v>215.04</v>
      </c>
      <c r="BT160" s="9">
        <f>[1]monsters!$O160</f>
        <v>21.5</v>
      </c>
      <c r="BU160" s="9">
        <f>[1]monsters!$P160</f>
        <v>1234.29</v>
      </c>
      <c r="BV160" s="9">
        <f>[1]monsters!$Q160</f>
        <v>123.43</v>
      </c>
      <c r="BW160" s="9">
        <f>[1]monsters!$R160</f>
        <v>26.88</v>
      </c>
      <c r="BX160" s="9">
        <f>[1]monsters!$S160</f>
        <v>2.69</v>
      </c>
      <c r="BY160" s="9">
        <f>[1]monsters!$K160</f>
        <v>1.6</v>
      </c>
      <c r="BZ160" s="7">
        <f>[1]monsters!$D160</f>
        <v>5</v>
      </c>
      <c r="CA160" s="7">
        <f t="shared" si="153"/>
        <v>0.1</v>
      </c>
      <c r="CB160" s="7">
        <f t="shared" si="154"/>
        <v>244.77138585858586</v>
      </c>
      <c r="CC160" s="7">
        <f t="shared" si="155"/>
        <v>24.477138585858587</v>
      </c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>
        <v>0</v>
      </c>
      <c r="CR160" s="25" t="b">
        <f t="shared" si="156"/>
        <v>1</v>
      </c>
      <c r="CS160" s="25" t="b">
        <f t="shared" si="157"/>
        <v>1</v>
      </c>
      <c r="CT160" s="25" t="b">
        <f t="shared" si="158"/>
        <v>1</v>
      </c>
      <c r="CU160" s="25" t="b">
        <f t="shared" si="159"/>
        <v>1</v>
      </c>
      <c r="CV160" s="25" t="b">
        <f t="shared" si="160"/>
        <v>1</v>
      </c>
      <c r="CW160" s="25" t="b">
        <f t="shared" si="161"/>
        <v>1</v>
      </c>
      <c r="CX160" s="16" t="str">
        <f t="shared" si="162"/>
        <v>5202073</v>
      </c>
      <c r="CY160" s="16" t="str">
        <f t="shared" si="163"/>
        <v>5302075</v>
      </c>
      <c r="CZ160" s="16" t="str">
        <f t="shared" si="164"/>
        <v>5301071</v>
      </c>
      <c r="DA160" s="16" t="str">
        <f t="shared" si="165"/>
        <v>5500072</v>
      </c>
      <c r="DB160" s="16" t="str">
        <f t="shared" si="166"/>
        <v>5501074</v>
      </c>
      <c r="DC160" s="16" t="str">
        <f t="shared" si="167"/>
        <v>5402072</v>
      </c>
      <c r="DD160" s="16">
        <v>7</v>
      </c>
      <c r="DE160" s="16">
        <v>7</v>
      </c>
      <c r="DF160" s="16">
        <v>7</v>
      </c>
      <c r="DG160" s="16">
        <v>7</v>
      </c>
      <c r="DH160" s="16">
        <v>7</v>
      </c>
      <c r="DI160" s="16">
        <v>7</v>
      </c>
      <c r="DJ160" s="16">
        <v>5</v>
      </c>
      <c r="DK160" s="16">
        <v>5</v>
      </c>
      <c r="DL160" s="16">
        <v>5</v>
      </c>
      <c r="DM160" s="16">
        <v>5</v>
      </c>
      <c r="DN160" s="16">
        <v>5</v>
      </c>
      <c r="DO160" s="16">
        <v>5</v>
      </c>
      <c r="DP160" s="51" t="s">
        <v>220</v>
      </c>
      <c r="DQ160" s="51" t="s">
        <v>234</v>
      </c>
      <c r="DR160" s="51" t="s">
        <v>113</v>
      </c>
      <c r="DS160" s="51" t="s">
        <v>115</v>
      </c>
      <c r="DT160" s="51" t="s">
        <v>226</v>
      </c>
      <c r="DU160" s="51" t="s">
        <v>214</v>
      </c>
      <c r="DV160" s="32">
        <f t="shared" si="130"/>
        <v>1</v>
      </c>
      <c r="DW160" s="32">
        <f t="shared" si="131"/>
        <v>1</v>
      </c>
      <c r="DX160" s="32">
        <f t="shared" si="132"/>
        <v>1</v>
      </c>
      <c r="DY160" s="32">
        <f t="shared" si="133"/>
        <v>2</v>
      </c>
      <c r="DZ160" s="32">
        <f t="shared" si="134"/>
        <v>2</v>
      </c>
      <c r="EA160" s="32">
        <f t="shared" si="135"/>
        <v>2</v>
      </c>
      <c r="EB160" s="17"/>
      <c r="EC160" s="16">
        <v>5501064</v>
      </c>
      <c r="ED160" s="40" t="s">
        <v>226</v>
      </c>
      <c r="EE160" s="16">
        <v>2</v>
      </c>
      <c r="FD160" s="16">
        <v>5202073</v>
      </c>
      <c r="FE160" s="16">
        <v>5302075</v>
      </c>
      <c r="FF160" s="16">
        <v>5301071</v>
      </c>
      <c r="FG160" s="16">
        <v>5500072</v>
      </c>
      <c r="FH160" s="16">
        <v>5501074</v>
      </c>
      <c r="FI160" s="16">
        <v>5402072</v>
      </c>
      <c r="FJ160" t="str">
        <f t="shared" si="168"/>
        <v>木维京</v>
      </c>
      <c r="FK160" t="str">
        <f t="shared" si="169"/>
        <v>暗盗贼</v>
      </c>
      <c r="FL160" t="str">
        <f t="shared" si="170"/>
        <v>水剑士</v>
      </c>
      <c r="FM160" t="str">
        <f t="shared" si="171"/>
        <v>火海盗</v>
      </c>
      <c r="FN160" t="str">
        <f t="shared" si="172"/>
        <v>光猎人</v>
      </c>
      <c r="FO160" t="str">
        <f t="shared" si="173"/>
        <v>火女巫</v>
      </c>
      <c r="FP160" t="str">
        <f t="shared" si="174"/>
        <v>7</v>
      </c>
      <c r="FQ160" t="str">
        <f t="shared" si="175"/>
        <v>7</v>
      </c>
      <c r="FR160" t="str">
        <f t="shared" si="176"/>
        <v>7</v>
      </c>
      <c r="FS160" t="str">
        <f t="shared" si="177"/>
        <v>7</v>
      </c>
      <c r="FT160" t="str">
        <f t="shared" si="178"/>
        <v>7</v>
      </c>
      <c r="FU160" t="str">
        <f t="shared" si="179"/>
        <v>7</v>
      </c>
      <c r="FV160" t="str">
        <f t="shared" si="136"/>
        <v>5</v>
      </c>
      <c r="FW160" t="str">
        <f t="shared" si="137"/>
        <v>5</v>
      </c>
      <c r="FX160" t="str">
        <f t="shared" si="138"/>
        <v>5</v>
      </c>
      <c r="FY160" t="str">
        <f t="shared" si="139"/>
        <v>5</v>
      </c>
      <c r="FZ160" t="str">
        <f t="shared" si="140"/>
        <v>5</v>
      </c>
      <c r="GA160" t="str">
        <f t="shared" si="141"/>
        <v>5</v>
      </c>
    </row>
    <row r="161" spans="1:183" ht="13.5" customHeight="1">
      <c r="A161" s="1">
        <v>1608</v>
      </c>
      <c r="B161" s="6">
        <v>10102</v>
      </c>
      <c r="C161" s="23" t="str">
        <f t="shared" si="142"/>
        <v>5201071,5202073,5200072,5401072,5400075,5501075</v>
      </c>
      <c r="D161" s="1" t="str">
        <f t="shared" si="143"/>
        <v>7,7,7,7,7,7</v>
      </c>
      <c r="E161" s="53" t="str">
        <f t="shared" si="144"/>
        <v>1054,1018,1018,1018,1018,1018</v>
      </c>
      <c r="F161" s="1">
        <f t="shared" si="129"/>
        <v>5113794</v>
      </c>
      <c r="G161" s="23" t="s">
        <v>34</v>
      </c>
      <c r="H161" s="1" t="s">
        <v>28</v>
      </c>
      <c r="I161" s="1" t="s">
        <v>28</v>
      </c>
      <c r="J161" s="1" t="s">
        <v>28</v>
      </c>
      <c r="K161" s="2" t="s">
        <v>459</v>
      </c>
      <c r="L161" s="1">
        <v>1</v>
      </c>
      <c r="M161" s="1">
        <v>5</v>
      </c>
      <c r="O161" s="25">
        <f t="shared" si="145"/>
        <v>5113794</v>
      </c>
      <c r="P161" s="16">
        <v>5113794.4000000004</v>
      </c>
      <c r="Q161" s="16">
        <v>5201071</v>
      </c>
      <c r="R161" s="16">
        <v>5202073</v>
      </c>
      <c r="S161" s="16">
        <v>5200072</v>
      </c>
      <c r="T161" s="16">
        <v>5401072</v>
      </c>
      <c r="U161" s="16">
        <v>5400075</v>
      </c>
      <c r="V161" s="16">
        <v>5501075</v>
      </c>
      <c r="W161" s="16">
        <v>7</v>
      </c>
      <c r="X161" s="16">
        <v>7</v>
      </c>
      <c r="Y161" s="16">
        <v>7</v>
      </c>
      <c r="Z161" s="16">
        <v>7</v>
      </c>
      <c r="AA161" s="16">
        <v>7</v>
      </c>
      <c r="AB161" s="16">
        <v>7</v>
      </c>
      <c r="AC161" s="16">
        <f t="shared" si="146"/>
        <v>1054</v>
      </c>
      <c r="AD161" s="16">
        <f t="shared" si="128"/>
        <v>1018</v>
      </c>
      <c r="AE161" s="16">
        <f t="shared" si="128"/>
        <v>1018</v>
      </c>
      <c r="AF161" s="16">
        <f t="shared" si="128"/>
        <v>1018</v>
      </c>
      <c r="AG161" s="16">
        <f t="shared" si="128"/>
        <v>1018</v>
      </c>
      <c r="AH161" s="16">
        <f t="shared" si="128"/>
        <v>1018</v>
      </c>
      <c r="AI161" s="28">
        <f t="shared" si="147"/>
        <v>1022758.8800000001</v>
      </c>
      <c r="AJ161" s="28">
        <f t="shared" si="148"/>
        <v>818207.10400000005</v>
      </c>
      <c r="AK161" s="28">
        <f t="shared" si="148"/>
        <v>818207.10400000005</v>
      </c>
      <c r="AL161" s="28">
        <f t="shared" si="148"/>
        <v>818207.10400000005</v>
      </c>
      <c r="AM161" s="28">
        <f t="shared" si="148"/>
        <v>818207.10400000005</v>
      </c>
      <c r="AN161" s="28">
        <f t="shared" si="148"/>
        <v>818207.10400000005</v>
      </c>
      <c r="AO161" s="30"/>
      <c r="AP161" s="28"/>
      <c r="AQ161" s="16">
        <v>6</v>
      </c>
      <c r="AR161" s="16">
        <f t="shared" si="149"/>
        <v>1096</v>
      </c>
      <c r="AS161" s="28">
        <f t="shared" si="181"/>
        <v>904</v>
      </c>
      <c r="AT161" s="28"/>
      <c r="AU161" s="30">
        <v>5113794.4000000004</v>
      </c>
      <c r="AV161" s="28" t="str">
        <f t="shared" si="151"/>
        <v>小:0</v>
      </c>
      <c r="AW161" s="28"/>
      <c r="AX161" s="28"/>
      <c r="AZ161" s="28"/>
      <c r="BA161" s="16">
        <f t="shared" si="182"/>
        <v>56183.105960264918</v>
      </c>
      <c r="BC161" s="7">
        <f t="shared" si="152"/>
        <v>985</v>
      </c>
      <c r="BR161" s="7">
        <v>5300061</v>
      </c>
      <c r="BS161" s="9">
        <f>[1]monsters!$N161</f>
        <v>208.32</v>
      </c>
      <c r="BT161" s="9">
        <f>[1]monsters!$O161</f>
        <v>20.83</v>
      </c>
      <c r="BU161" s="9">
        <f>[1]monsters!$P161</f>
        <v>1114.8399999999999</v>
      </c>
      <c r="BV161" s="9">
        <f>[1]monsters!$Q161</f>
        <v>111.48</v>
      </c>
      <c r="BW161" s="9">
        <f>[1]monsters!$R161</f>
        <v>20.83</v>
      </c>
      <c r="BX161" s="9">
        <f>[1]monsters!$S161</f>
        <v>2.08</v>
      </c>
      <c r="BY161" s="9">
        <f>[1]monsters!$K161</f>
        <v>1.4000000000000001</v>
      </c>
      <c r="BZ161" s="7">
        <f>[1]monsters!$D161</f>
        <v>6</v>
      </c>
      <c r="CA161" s="7">
        <f t="shared" si="153"/>
        <v>0.1</v>
      </c>
      <c r="CB161" s="7">
        <f t="shared" si="154"/>
        <v>234.39910033670034</v>
      </c>
      <c r="CC161" s="7">
        <f t="shared" si="155"/>
        <v>23.439910033670035</v>
      </c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>
        <v>0</v>
      </c>
      <c r="CR161" s="25" t="b">
        <f t="shared" si="156"/>
        <v>1</v>
      </c>
      <c r="CS161" s="25" t="b">
        <f t="shared" si="157"/>
        <v>1</v>
      </c>
      <c r="CT161" s="25" t="b">
        <f t="shared" si="158"/>
        <v>1</v>
      </c>
      <c r="CU161" s="25" t="b">
        <f t="shared" si="159"/>
        <v>1</v>
      </c>
      <c r="CV161" s="25" t="b">
        <f t="shared" si="160"/>
        <v>1</v>
      </c>
      <c r="CW161" s="25" t="b">
        <f t="shared" si="161"/>
        <v>1</v>
      </c>
      <c r="CX161" s="16" t="str">
        <f t="shared" si="162"/>
        <v>5201071</v>
      </c>
      <c r="CY161" s="16" t="str">
        <f t="shared" si="163"/>
        <v>5202073</v>
      </c>
      <c r="CZ161" s="16" t="str">
        <f t="shared" si="164"/>
        <v>5200072</v>
      </c>
      <c r="DA161" s="16" t="str">
        <f t="shared" si="165"/>
        <v>5401072</v>
      </c>
      <c r="DB161" s="16" t="str">
        <f t="shared" si="166"/>
        <v>5400075</v>
      </c>
      <c r="DC161" s="16" t="str">
        <f t="shared" si="167"/>
        <v>5501075</v>
      </c>
      <c r="DD161" s="16">
        <v>7</v>
      </c>
      <c r="DE161" s="16">
        <v>7</v>
      </c>
      <c r="DF161" s="16">
        <v>7</v>
      </c>
      <c r="DG161" s="16">
        <v>7</v>
      </c>
      <c r="DH161" s="16">
        <v>7</v>
      </c>
      <c r="DI161" s="16">
        <v>7</v>
      </c>
      <c r="DJ161" s="16">
        <v>5</v>
      </c>
      <c r="DK161" s="16">
        <v>5</v>
      </c>
      <c r="DL161" s="16">
        <v>5</v>
      </c>
      <c r="DM161" s="16">
        <v>5</v>
      </c>
      <c r="DN161" s="16">
        <v>5</v>
      </c>
      <c r="DO161" s="16">
        <v>5</v>
      </c>
      <c r="DP161" s="51" t="s">
        <v>206</v>
      </c>
      <c r="DQ161" s="51" t="s">
        <v>220</v>
      </c>
      <c r="DR161" s="51" t="s">
        <v>210</v>
      </c>
      <c r="DS161" s="51" t="s">
        <v>213</v>
      </c>
      <c r="DT161" s="51" t="s">
        <v>222</v>
      </c>
      <c r="DU161" s="51" t="s">
        <v>221</v>
      </c>
      <c r="DV161" s="32">
        <f t="shared" si="130"/>
        <v>1</v>
      </c>
      <c r="DW161" s="32">
        <f t="shared" si="131"/>
        <v>1</v>
      </c>
      <c r="DX161" s="32">
        <f t="shared" si="132"/>
        <v>1</v>
      </c>
      <c r="DY161" s="32">
        <f t="shared" si="133"/>
        <v>2</v>
      </c>
      <c r="DZ161" s="32">
        <f t="shared" si="134"/>
        <v>2</v>
      </c>
      <c r="EA161" s="32">
        <f t="shared" si="135"/>
        <v>2</v>
      </c>
      <c r="EB161" s="17"/>
      <c r="EC161" s="16">
        <v>5600064</v>
      </c>
      <c r="ED161" s="40" t="s">
        <v>231</v>
      </c>
      <c r="EE161" s="16">
        <v>1</v>
      </c>
      <c r="FD161" s="16">
        <v>5201071</v>
      </c>
      <c r="FE161" s="16">
        <v>5202073</v>
      </c>
      <c r="FF161" s="16">
        <v>5200072</v>
      </c>
      <c r="FG161" s="16">
        <v>5401072</v>
      </c>
      <c r="FH161" s="16">
        <v>5400075</v>
      </c>
      <c r="FI161" s="16">
        <v>5501075</v>
      </c>
      <c r="FJ161" t="str">
        <f t="shared" si="168"/>
        <v>水骑兵</v>
      </c>
      <c r="FK161" t="str">
        <f t="shared" si="169"/>
        <v>木维京</v>
      </c>
      <c r="FL161" t="str">
        <f t="shared" si="170"/>
        <v>火刀客</v>
      </c>
      <c r="FM161" t="str">
        <f t="shared" si="171"/>
        <v>火魔法师</v>
      </c>
      <c r="FN161" t="str">
        <f t="shared" si="172"/>
        <v>暗巫师</v>
      </c>
      <c r="FO161" t="str">
        <f t="shared" si="173"/>
        <v>暗猎人</v>
      </c>
      <c r="FP161" t="str">
        <f t="shared" si="174"/>
        <v>7</v>
      </c>
      <c r="FQ161" t="str">
        <f t="shared" si="175"/>
        <v>7</v>
      </c>
      <c r="FR161" t="str">
        <f t="shared" si="176"/>
        <v>7</v>
      </c>
      <c r="FS161" t="str">
        <f t="shared" si="177"/>
        <v>7</v>
      </c>
      <c r="FT161" t="str">
        <f t="shared" si="178"/>
        <v>7</v>
      </c>
      <c r="FU161" t="str">
        <f t="shared" si="179"/>
        <v>7</v>
      </c>
      <c r="FV161" t="str">
        <f t="shared" si="136"/>
        <v>5</v>
      </c>
      <c r="FW161" t="str">
        <f t="shared" si="137"/>
        <v>5</v>
      </c>
      <c r="FX161" t="str">
        <f t="shared" si="138"/>
        <v>5</v>
      </c>
      <c r="FY161" t="str">
        <f t="shared" si="139"/>
        <v>5</v>
      </c>
      <c r="FZ161" t="str">
        <f t="shared" si="140"/>
        <v>5</v>
      </c>
      <c r="GA161" t="str">
        <f t="shared" si="141"/>
        <v>5</v>
      </c>
    </row>
    <row r="162" spans="1:183" ht="13.5" customHeight="1">
      <c r="A162" s="1">
        <v>1609</v>
      </c>
      <c r="B162" s="6">
        <v>10102</v>
      </c>
      <c r="C162" s="23" t="str">
        <f t="shared" si="142"/>
        <v>5301071,5200072,5202071,5401073,5500071,5500073</v>
      </c>
      <c r="D162" s="1" t="str">
        <f t="shared" si="143"/>
        <v>7,7,7,7,7,7</v>
      </c>
      <c r="E162" s="53" t="str">
        <f t="shared" si="144"/>
        <v>1058,1022,1022,1022,1022,1022</v>
      </c>
      <c r="F162" s="1">
        <f t="shared" si="129"/>
        <v>5159854</v>
      </c>
      <c r="G162" s="23" t="s">
        <v>34</v>
      </c>
      <c r="H162" s="1" t="s">
        <v>28</v>
      </c>
      <c r="I162" s="1" t="s">
        <v>28</v>
      </c>
      <c r="J162" s="1" t="s">
        <v>28</v>
      </c>
      <c r="K162" s="2" t="s">
        <v>460</v>
      </c>
      <c r="L162" s="1">
        <v>2</v>
      </c>
      <c r="M162" s="1">
        <v>2</v>
      </c>
      <c r="O162" s="25">
        <f t="shared" si="145"/>
        <v>5159854</v>
      </c>
      <c r="P162" s="16">
        <v>5159853.5999999996</v>
      </c>
      <c r="Q162" s="16">
        <v>5301071</v>
      </c>
      <c r="R162" s="16">
        <v>5200072</v>
      </c>
      <c r="S162" s="16">
        <v>5202071</v>
      </c>
      <c r="T162" s="16">
        <v>5401073</v>
      </c>
      <c r="U162" s="16">
        <v>5500071</v>
      </c>
      <c r="V162" s="16">
        <v>5500073</v>
      </c>
      <c r="W162" s="16">
        <v>7</v>
      </c>
      <c r="X162" s="16">
        <v>7</v>
      </c>
      <c r="Y162" s="16">
        <v>7</v>
      </c>
      <c r="Z162" s="16">
        <v>7</v>
      </c>
      <c r="AA162" s="16">
        <v>7</v>
      </c>
      <c r="AB162" s="16">
        <v>7</v>
      </c>
      <c r="AC162" s="16">
        <f t="shared" si="146"/>
        <v>1058</v>
      </c>
      <c r="AD162" s="16">
        <f t="shared" si="128"/>
        <v>1022</v>
      </c>
      <c r="AE162" s="16">
        <f t="shared" si="128"/>
        <v>1022</v>
      </c>
      <c r="AF162" s="16">
        <f t="shared" si="128"/>
        <v>1022</v>
      </c>
      <c r="AG162" s="16">
        <f t="shared" si="128"/>
        <v>1022</v>
      </c>
      <c r="AH162" s="16">
        <f t="shared" si="128"/>
        <v>1022</v>
      </c>
      <c r="AI162" s="28">
        <f t="shared" si="147"/>
        <v>1031970.72</v>
      </c>
      <c r="AJ162" s="28">
        <f t="shared" si="148"/>
        <v>825576.576</v>
      </c>
      <c r="AK162" s="28">
        <f t="shared" si="148"/>
        <v>825576.576</v>
      </c>
      <c r="AL162" s="28">
        <f t="shared" si="148"/>
        <v>825576.576</v>
      </c>
      <c r="AM162" s="28">
        <f t="shared" si="148"/>
        <v>825576.576</v>
      </c>
      <c r="AN162" s="28">
        <f t="shared" si="148"/>
        <v>825576.576</v>
      </c>
      <c r="AO162" s="30"/>
      <c r="AP162" s="28"/>
      <c r="AQ162" s="16">
        <v>6</v>
      </c>
      <c r="AR162" s="16">
        <f t="shared" si="149"/>
        <v>1100</v>
      </c>
      <c r="AS162" s="28">
        <f t="shared" si="181"/>
        <v>904</v>
      </c>
      <c r="AT162" s="28"/>
      <c r="AU162" s="30">
        <v>5159853.5999999996</v>
      </c>
      <c r="AV162" s="28" t="str">
        <f t="shared" si="151"/>
        <v>小:0</v>
      </c>
      <c r="AW162" s="28"/>
      <c r="AX162" s="28"/>
      <c r="AZ162" s="28"/>
      <c r="BA162" s="16">
        <f t="shared" si="182"/>
        <v>56044.619205298033</v>
      </c>
      <c r="BC162" s="7">
        <f t="shared" si="152"/>
        <v>989</v>
      </c>
      <c r="BR162" s="7">
        <v>5301061</v>
      </c>
      <c r="BS162" s="9">
        <f>[1]monsters!$N162</f>
        <v>267.83999999999997</v>
      </c>
      <c r="BT162" s="9">
        <f>[1]monsters!$O162</f>
        <v>26.78</v>
      </c>
      <c r="BU162" s="9">
        <f>[1]monsters!$P162</f>
        <v>1114.8399999999999</v>
      </c>
      <c r="BV162" s="9">
        <f>[1]monsters!$Q162</f>
        <v>111.48</v>
      </c>
      <c r="BW162" s="9">
        <f>[1]monsters!$R162</f>
        <v>26.78</v>
      </c>
      <c r="BX162" s="9">
        <f>[1]monsters!$S162</f>
        <v>2.68</v>
      </c>
      <c r="BY162" s="9">
        <f>[1]monsters!$K162</f>
        <v>1.8</v>
      </c>
      <c r="BZ162" s="7">
        <f>[1]monsters!$D162</f>
        <v>6</v>
      </c>
      <c r="CA162" s="7">
        <f t="shared" si="153"/>
        <v>0.1</v>
      </c>
      <c r="CB162" s="7">
        <f t="shared" si="154"/>
        <v>290.64550033670031</v>
      </c>
      <c r="CC162" s="7">
        <f t="shared" si="155"/>
        <v>29.064550033670031</v>
      </c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>
        <v>0</v>
      </c>
      <c r="CR162" s="25" t="b">
        <f t="shared" si="156"/>
        <v>1</v>
      </c>
      <c r="CS162" s="25" t="b">
        <f t="shared" si="157"/>
        <v>1</v>
      </c>
      <c r="CT162" s="25" t="b">
        <f t="shared" si="158"/>
        <v>1</v>
      </c>
      <c r="CU162" s="25" t="b">
        <f t="shared" si="159"/>
        <v>1</v>
      </c>
      <c r="CV162" s="25" t="b">
        <f t="shared" si="160"/>
        <v>1</v>
      </c>
      <c r="CW162" s="25" t="b">
        <f t="shared" si="161"/>
        <v>1</v>
      </c>
      <c r="CX162" s="16" t="str">
        <f t="shared" si="162"/>
        <v>5301071</v>
      </c>
      <c r="CY162" s="16" t="str">
        <f t="shared" si="163"/>
        <v>5200072</v>
      </c>
      <c r="CZ162" s="16" t="str">
        <f t="shared" si="164"/>
        <v>5202071</v>
      </c>
      <c r="DA162" s="16" t="str">
        <f t="shared" si="165"/>
        <v>5401073</v>
      </c>
      <c r="DB162" s="16" t="str">
        <f t="shared" si="166"/>
        <v>5500071</v>
      </c>
      <c r="DC162" s="16" t="str">
        <f t="shared" si="167"/>
        <v>5500073</v>
      </c>
      <c r="DD162" s="16">
        <v>7</v>
      </c>
      <c r="DE162" s="16">
        <v>7</v>
      </c>
      <c r="DF162" s="16">
        <v>7</v>
      </c>
      <c r="DG162" s="16">
        <v>7</v>
      </c>
      <c r="DH162" s="16">
        <v>7</v>
      </c>
      <c r="DI162" s="16">
        <v>7</v>
      </c>
      <c r="DJ162" s="16">
        <v>5</v>
      </c>
      <c r="DK162" s="16">
        <v>5</v>
      </c>
      <c r="DL162" s="16">
        <v>5</v>
      </c>
      <c r="DM162" s="16">
        <v>5</v>
      </c>
      <c r="DN162" s="16">
        <v>5</v>
      </c>
      <c r="DO162" s="16">
        <v>5</v>
      </c>
      <c r="DP162" s="51" t="s">
        <v>113</v>
      </c>
      <c r="DQ162" s="51" t="s">
        <v>210</v>
      </c>
      <c r="DR162" s="51" t="s">
        <v>117</v>
      </c>
      <c r="DS162" s="51" t="s">
        <v>223</v>
      </c>
      <c r="DT162" s="51" t="s">
        <v>208</v>
      </c>
      <c r="DU162" s="51" t="s">
        <v>219</v>
      </c>
      <c r="DV162" s="32">
        <f t="shared" si="130"/>
        <v>1</v>
      </c>
      <c r="DW162" s="32">
        <f t="shared" si="131"/>
        <v>1</v>
      </c>
      <c r="DX162" s="32">
        <f t="shared" si="132"/>
        <v>1</v>
      </c>
      <c r="DY162" s="32">
        <f t="shared" si="133"/>
        <v>2</v>
      </c>
      <c r="DZ162" s="32">
        <f t="shared" si="134"/>
        <v>2</v>
      </c>
      <c r="EA162" s="32">
        <f t="shared" si="135"/>
        <v>2</v>
      </c>
      <c r="EB162" s="17"/>
      <c r="EC162" s="16">
        <v>5602064</v>
      </c>
      <c r="ED162" s="40" t="s">
        <v>232</v>
      </c>
      <c r="EE162" s="16">
        <v>2</v>
      </c>
      <c r="FD162" s="16">
        <v>5301071</v>
      </c>
      <c r="FE162" s="16">
        <v>5200072</v>
      </c>
      <c r="FF162" s="16">
        <v>5202071</v>
      </c>
      <c r="FG162" s="16">
        <v>5401073</v>
      </c>
      <c r="FH162" s="16">
        <v>5500071</v>
      </c>
      <c r="FI162" s="16">
        <v>5500073</v>
      </c>
      <c r="FJ162" t="str">
        <f t="shared" si="168"/>
        <v>水剑士</v>
      </c>
      <c r="FK162" t="str">
        <f t="shared" si="169"/>
        <v>火刀客</v>
      </c>
      <c r="FL162" t="str">
        <f t="shared" si="170"/>
        <v>水维京</v>
      </c>
      <c r="FM162" t="str">
        <f t="shared" si="171"/>
        <v>木魔法师</v>
      </c>
      <c r="FN162" t="str">
        <f t="shared" si="172"/>
        <v>水海盗</v>
      </c>
      <c r="FO162" t="str">
        <f t="shared" si="173"/>
        <v>木海盗</v>
      </c>
      <c r="FP162" t="str">
        <f t="shared" si="174"/>
        <v>7</v>
      </c>
      <c r="FQ162" t="str">
        <f t="shared" si="175"/>
        <v>7</v>
      </c>
      <c r="FR162" t="str">
        <f t="shared" si="176"/>
        <v>7</v>
      </c>
      <c r="FS162" t="str">
        <f t="shared" si="177"/>
        <v>7</v>
      </c>
      <c r="FT162" t="str">
        <f t="shared" si="178"/>
        <v>7</v>
      </c>
      <c r="FU162" t="str">
        <f t="shared" si="179"/>
        <v>7</v>
      </c>
      <c r="FV162" t="str">
        <f t="shared" si="136"/>
        <v>5</v>
      </c>
      <c r="FW162" t="str">
        <f t="shared" si="137"/>
        <v>5</v>
      </c>
      <c r="FX162" t="str">
        <f t="shared" si="138"/>
        <v>5</v>
      </c>
      <c r="FY162" t="str">
        <f t="shared" si="139"/>
        <v>5</v>
      </c>
      <c r="FZ162" t="str">
        <f t="shared" si="140"/>
        <v>5</v>
      </c>
      <c r="GA162" t="str">
        <f t="shared" si="141"/>
        <v>5</v>
      </c>
    </row>
    <row r="163" spans="1:183" ht="13.5" customHeight="1">
      <c r="A163" s="1">
        <v>1610</v>
      </c>
      <c r="B163" s="6">
        <v>10102</v>
      </c>
      <c r="C163" s="23" t="str">
        <f t="shared" si="142"/>
        <v>5301072,5302075,5202073,5601071,5400075,5500073</v>
      </c>
      <c r="D163" s="1" t="str">
        <f t="shared" si="143"/>
        <v>7,7,7,7,7,7</v>
      </c>
      <c r="E163" s="53" t="str">
        <f t="shared" si="144"/>
        <v>1063,1026,1026,1026,1026,1026</v>
      </c>
      <c r="F163" s="1">
        <f>O163</f>
        <v>5202573</v>
      </c>
      <c r="G163" s="23" t="s">
        <v>34</v>
      </c>
      <c r="H163" s="1" t="s">
        <v>28</v>
      </c>
      <c r="I163" s="1" t="s">
        <v>28</v>
      </c>
      <c r="J163" s="1" t="s">
        <v>28</v>
      </c>
      <c r="K163" s="2" t="s">
        <v>461</v>
      </c>
      <c r="L163" s="1">
        <v>3</v>
      </c>
      <c r="M163" s="1">
        <v>2</v>
      </c>
      <c r="O163" s="25">
        <f>ROUND(P163*1,0)</f>
        <v>5202573</v>
      </c>
      <c r="P163" s="16">
        <v>5202573.2</v>
      </c>
      <c r="Q163" s="16">
        <v>5301072</v>
      </c>
      <c r="R163" s="16">
        <v>5302075</v>
      </c>
      <c r="S163" s="16">
        <v>5202073</v>
      </c>
      <c r="T163" s="16">
        <v>5601071</v>
      </c>
      <c r="U163" s="16">
        <v>5400075</v>
      </c>
      <c r="V163" s="16">
        <v>5500073</v>
      </c>
      <c r="W163" s="16">
        <v>7</v>
      </c>
      <c r="X163" s="16">
        <v>7</v>
      </c>
      <c r="Y163" s="16">
        <v>7</v>
      </c>
      <c r="Z163" s="16">
        <v>7</v>
      </c>
      <c r="AA163" s="16">
        <v>7</v>
      </c>
      <c r="AB163" s="16">
        <v>7</v>
      </c>
      <c r="AC163" s="16">
        <f t="shared" si="146"/>
        <v>1063</v>
      </c>
      <c r="AD163" s="16">
        <f t="shared" si="128"/>
        <v>1026</v>
      </c>
      <c r="AE163" s="16">
        <f t="shared" si="128"/>
        <v>1026</v>
      </c>
      <c r="AF163" s="16">
        <f t="shared" si="128"/>
        <v>1026</v>
      </c>
      <c r="AG163" s="16">
        <f t="shared" si="128"/>
        <v>1026</v>
      </c>
      <c r="AH163" s="16">
        <f t="shared" si="128"/>
        <v>1026</v>
      </c>
      <c r="AI163" s="28">
        <f t="shared" si="147"/>
        <v>1040514.6400000001</v>
      </c>
      <c r="AJ163" s="28">
        <f t="shared" si="148"/>
        <v>832411.71200000006</v>
      </c>
      <c r="AK163" s="28">
        <f t="shared" si="148"/>
        <v>832411.71200000006</v>
      </c>
      <c r="AL163" s="28">
        <f t="shared" si="148"/>
        <v>832411.71200000006</v>
      </c>
      <c r="AM163" s="28">
        <f t="shared" si="148"/>
        <v>832411.71200000006</v>
      </c>
      <c r="AN163" s="28">
        <f t="shared" si="148"/>
        <v>832411.71200000006</v>
      </c>
      <c r="AO163" s="30"/>
      <c r="AP163" s="28"/>
      <c r="AQ163" s="16">
        <v>6</v>
      </c>
      <c r="AR163" s="16">
        <f t="shared" si="149"/>
        <v>1105</v>
      </c>
      <c r="AS163" s="28">
        <f t="shared" si="181"/>
        <v>905</v>
      </c>
      <c r="AT163" s="28"/>
      <c r="AU163" s="30">
        <v>5202573.2</v>
      </c>
      <c r="AV163" s="28" t="str">
        <f t="shared" si="151"/>
        <v>小:0</v>
      </c>
      <c r="AW163" s="28"/>
      <c r="AX163" s="28"/>
      <c r="AZ163" s="28"/>
      <c r="BA163" s="16">
        <f t="shared" si="182"/>
        <v>55906.132450331148</v>
      </c>
      <c r="BC163" s="7">
        <f t="shared" si="152"/>
        <v>994</v>
      </c>
      <c r="BR163" s="7">
        <v>5401061</v>
      </c>
      <c r="BS163" s="9">
        <f>[1]monsters!$N163</f>
        <v>155.52000000000001</v>
      </c>
      <c r="BT163" s="9">
        <f>[1]monsters!$O163</f>
        <v>15.55</v>
      </c>
      <c r="BU163" s="9">
        <f>[1]monsters!$P163</f>
        <v>1920</v>
      </c>
      <c r="BV163" s="9">
        <f>[1]monsters!$Q163</f>
        <v>192</v>
      </c>
      <c r="BW163" s="9">
        <f>[1]monsters!$R163</f>
        <v>31.1</v>
      </c>
      <c r="BX163" s="9">
        <f>[1]monsters!$S163</f>
        <v>3.11</v>
      </c>
      <c r="BY163" s="9">
        <f>[1]monsters!$K163</f>
        <v>1.8</v>
      </c>
      <c r="BZ163" s="7">
        <f>[1]monsters!$D163</f>
        <v>2</v>
      </c>
      <c r="CA163" s="7">
        <f t="shared" si="153"/>
        <v>0.1</v>
      </c>
      <c r="CB163" s="7">
        <f t="shared" si="154"/>
        <v>211.61286464646466</v>
      </c>
      <c r="CC163" s="7">
        <f t="shared" si="155"/>
        <v>21.161286464646466</v>
      </c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>
        <v>1</v>
      </c>
      <c r="CR163" s="25" t="b">
        <f t="shared" si="156"/>
        <v>1</v>
      </c>
      <c r="CS163" s="25" t="b">
        <f t="shared" si="157"/>
        <v>1</v>
      </c>
      <c r="CT163" s="25" t="b">
        <f t="shared" si="158"/>
        <v>1</v>
      </c>
      <c r="CU163" s="25" t="b">
        <f t="shared" si="159"/>
        <v>1</v>
      </c>
      <c r="CV163" s="25" t="b">
        <f t="shared" si="160"/>
        <v>1</v>
      </c>
      <c r="CW163" s="25" t="b">
        <f t="shared" si="161"/>
        <v>1</v>
      </c>
      <c r="CX163" s="16" t="str">
        <f t="shared" si="162"/>
        <v>5301072</v>
      </c>
      <c r="CY163" s="16" t="str">
        <f t="shared" si="163"/>
        <v>5302075</v>
      </c>
      <c r="CZ163" s="16" t="str">
        <f t="shared" si="164"/>
        <v>5202073</v>
      </c>
      <c r="DA163" s="16" t="str">
        <f t="shared" si="165"/>
        <v>5601071</v>
      </c>
      <c r="DB163" s="16" t="str">
        <f t="shared" si="166"/>
        <v>5400075</v>
      </c>
      <c r="DC163" s="16" t="str">
        <f t="shared" si="167"/>
        <v>5500073</v>
      </c>
      <c r="DD163" s="16">
        <v>7</v>
      </c>
      <c r="DE163" s="16">
        <v>7</v>
      </c>
      <c r="DF163" s="16">
        <v>7</v>
      </c>
      <c r="DG163" s="16">
        <v>7</v>
      </c>
      <c r="DH163" s="16">
        <v>7</v>
      </c>
      <c r="DI163" s="16">
        <v>7</v>
      </c>
      <c r="DJ163" s="16">
        <v>5</v>
      </c>
      <c r="DK163" s="16">
        <v>5</v>
      </c>
      <c r="DL163" s="16">
        <v>5</v>
      </c>
      <c r="DM163" s="16">
        <v>5</v>
      </c>
      <c r="DN163" s="16">
        <v>5</v>
      </c>
      <c r="DO163" s="16">
        <v>5</v>
      </c>
      <c r="DP163" s="51" t="s">
        <v>212</v>
      </c>
      <c r="DQ163" s="51" t="s">
        <v>234</v>
      </c>
      <c r="DR163" s="51" t="s">
        <v>220</v>
      </c>
      <c r="DS163" s="51" t="s">
        <v>209</v>
      </c>
      <c r="DT163" s="51" t="s">
        <v>222</v>
      </c>
      <c r="DU163" s="51" t="s">
        <v>219</v>
      </c>
      <c r="DV163" s="32">
        <f>INDEX($EE$4:$EE$801,MATCH(DP163,$ED$4:$ED$801,0))</f>
        <v>1</v>
      </c>
      <c r="DW163" s="32">
        <f t="shared" ref="DW163:EA163" si="183">INDEX($EE$4:$EE$801,MATCH(DQ163,$ED$4:$ED$801,0))</f>
        <v>1</v>
      </c>
      <c r="DX163" s="32">
        <f t="shared" si="183"/>
        <v>1</v>
      </c>
      <c r="DY163" s="32">
        <f t="shared" si="183"/>
        <v>2</v>
      </c>
      <c r="DZ163" s="32">
        <f t="shared" si="183"/>
        <v>2</v>
      </c>
      <c r="EA163" s="32">
        <f t="shared" si="183"/>
        <v>2</v>
      </c>
      <c r="EB163" s="17"/>
      <c r="EC163" s="16">
        <v>5202065</v>
      </c>
      <c r="ED163" s="40" t="s">
        <v>233</v>
      </c>
      <c r="EE163" s="16">
        <v>1</v>
      </c>
      <c r="FD163" s="16">
        <v>5301072</v>
      </c>
      <c r="FE163" s="16">
        <v>5302075</v>
      </c>
      <c r="FF163" s="16">
        <v>5202073</v>
      </c>
      <c r="FG163" s="16">
        <v>5601071</v>
      </c>
      <c r="FH163" s="16">
        <v>5400075</v>
      </c>
      <c r="FI163" s="16">
        <v>5500073</v>
      </c>
      <c r="FJ163" t="str">
        <f t="shared" si="168"/>
        <v>火剑士</v>
      </c>
      <c r="FK163" t="str">
        <f t="shared" si="169"/>
        <v>暗盗贼</v>
      </c>
      <c r="FL163" t="str">
        <f t="shared" si="170"/>
        <v>木维京</v>
      </c>
      <c r="FM163" t="str">
        <f t="shared" si="171"/>
        <v>水修女</v>
      </c>
      <c r="FN163" t="str">
        <f t="shared" si="172"/>
        <v>暗巫师</v>
      </c>
      <c r="FO163" t="str">
        <f t="shared" si="173"/>
        <v>木海盗</v>
      </c>
      <c r="FP163" t="str">
        <f t="shared" si="174"/>
        <v>7</v>
      </c>
      <c r="FQ163" t="str">
        <f t="shared" si="175"/>
        <v>7</v>
      </c>
      <c r="FR163" t="str">
        <f t="shared" si="176"/>
        <v>7</v>
      </c>
      <c r="FS163" t="str">
        <f t="shared" si="177"/>
        <v>7</v>
      </c>
      <c r="FT163" t="str">
        <f t="shared" si="178"/>
        <v>7</v>
      </c>
      <c r="FU163" t="str">
        <f t="shared" si="179"/>
        <v>7</v>
      </c>
      <c r="FV163" t="str">
        <f t="shared" si="136"/>
        <v>5</v>
      </c>
      <c r="FW163" t="str">
        <f t="shared" si="137"/>
        <v>5</v>
      </c>
      <c r="FX163" t="str">
        <f t="shared" si="138"/>
        <v>5</v>
      </c>
      <c r="FY163" t="str">
        <f t="shared" si="139"/>
        <v>5</v>
      </c>
      <c r="FZ163" t="str">
        <f t="shared" si="140"/>
        <v>5</v>
      </c>
      <c r="GA163" t="str">
        <f t="shared" si="141"/>
        <v>5</v>
      </c>
    </row>
    <row r="164" spans="1:183" ht="13.5" customHeight="1">
      <c r="O164" s="25"/>
      <c r="AI164" s="28"/>
      <c r="AJ164" s="28"/>
      <c r="AK164" s="28"/>
      <c r="AL164" s="28"/>
      <c r="AM164" s="28"/>
      <c r="AN164" s="28"/>
      <c r="AO164" s="30"/>
      <c r="AP164" s="28"/>
      <c r="AS164" s="28"/>
      <c r="AT164" s="28"/>
      <c r="AU164" s="30"/>
      <c r="AV164" s="28"/>
      <c r="AW164" s="28"/>
      <c r="AX164" s="28"/>
      <c r="AZ164" s="28"/>
      <c r="BA164" s="16">
        <f t="shared" si="182"/>
        <v>55767.645695364263</v>
      </c>
      <c r="BC164" s="7" t="e">
        <f t="shared" si="152"/>
        <v>#N/A</v>
      </c>
      <c r="BR164" s="7">
        <v>5402061</v>
      </c>
      <c r="BS164" s="9">
        <f>[1]monsters!$N164</f>
        <v>112.32</v>
      </c>
      <c r="BT164" s="9">
        <f>[1]monsters!$O164</f>
        <v>11.23</v>
      </c>
      <c r="BU164" s="9">
        <f>[1]monsters!$P164</f>
        <v>1920</v>
      </c>
      <c r="BV164" s="9">
        <f>[1]monsters!$Q164</f>
        <v>192</v>
      </c>
      <c r="BW164" s="9">
        <f>[1]monsters!$R164</f>
        <v>22.46</v>
      </c>
      <c r="BX164" s="9">
        <f>[1]monsters!$S164</f>
        <v>2.25</v>
      </c>
      <c r="BY164" s="9">
        <f>[1]monsters!$K164</f>
        <v>1.3</v>
      </c>
      <c r="BZ164" s="7">
        <f>[1]monsters!$D164</f>
        <v>3</v>
      </c>
      <c r="CA164" s="7">
        <f t="shared" si="153"/>
        <v>0.1</v>
      </c>
      <c r="CB164" s="7">
        <f t="shared" si="154"/>
        <v>170.78886464646462</v>
      </c>
      <c r="CC164" s="7">
        <f t="shared" si="155"/>
        <v>17.078886464646462</v>
      </c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>
        <v>0</v>
      </c>
      <c r="CR164" s="25"/>
      <c r="CS164" s="25"/>
      <c r="CT164" s="25"/>
      <c r="CU164" s="25"/>
      <c r="CV164" s="25"/>
      <c r="CW164" s="25"/>
      <c r="DP164" s="32"/>
      <c r="DQ164" s="32"/>
      <c r="DR164" s="32"/>
      <c r="DS164" s="32"/>
      <c r="DT164" s="32"/>
      <c r="DU164" s="32"/>
      <c r="DV164" s="32"/>
      <c r="DW164" s="32"/>
      <c r="DX164" s="32"/>
      <c r="DY164" s="32"/>
      <c r="DZ164" s="32"/>
      <c r="EA164" s="25"/>
      <c r="EB164" s="17"/>
      <c r="EC164" s="16">
        <v>5300065</v>
      </c>
      <c r="ED164" s="40" t="s">
        <v>224</v>
      </c>
      <c r="EE164" s="16">
        <v>1</v>
      </c>
    </row>
    <row r="165" spans="1:183" ht="13.5" customHeight="1">
      <c r="O165" s="25"/>
      <c r="AI165" s="28"/>
      <c r="AJ165" s="28"/>
      <c r="AK165" s="28"/>
      <c r="AL165" s="28"/>
      <c r="AM165" s="28"/>
      <c r="AN165" s="28"/>
      <c r="AO165" s="30"/>
      <c r="AP165" s="28"/>
      <c r="AS165" s="28"/>
      <c r="AT165" s="28"/>
      <c r="AU165" s="30"/>
      <c r="AV165" s="28"/>
      <c r="AW165" s="28"/>
      <c r="AX165" s="28"/>
      <c r="AZ165" s="28"/>
      <c r="BA165" s="16">
        <f t="shared" si="182"/>
        <v>55629.158940397378</v>
      </c>
      <c r="BC165" s="7" t="e">
        <f t="shared" si="152"/>
        <v>#N/A</v>
      </c>
      <c r="BR165" s="7">
        <v>5500061</v>
      </c>
      <c r="BS165" s="9">
        <f>[1]monsters!$N165</f>
        <v>120.96</v>
      </c>
      <c r="BT165" s="9">
        <f>[1]monsters!$O165</f>
        <v>12.1</v>
      </c>
      <c r="BU165" s="9">
        <f>[1]monsters!$P165</f>
        <v>1920</v>
      </c>
      <c r="BV165" s="9">
        <f>[1]monsters!$Q165</f>
        <v>192</v>
      </c>
      <c r="BW165" s="9">
        <f>[1]monsters!$R165</f>
        <v>24.19</v>
      </c>
      <c r="BX165" s="9">
        <f>[1]monsters!$S165</f>
        <v>2.42</v>
      </c>
      <c r="BY165" s="9">
        <f>[1]monsters!$K165</f>
        <v>1.4000000000000001</v>
      </c>
      <c r="BZ165" s="7">
        <f>[1]monsters!$D165</f>
        <v>3</v>
      </c>
      <c r="CA165" s="7">
        <f t="shared" si="153"/>
        <v>0.1</v>
      </c>
      <c r="CB165" s="7">
        <f t="shared" si="154"/>
        <v>178.95366464646463</v>
      </c>
      <c r="CC165" s="7">
        <f t="shared" si="155"/>
        <v>17.895366464646465</v>
      </c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>
        <v>0</v>
      </c>
      <c r="CR165" s="25"/>
      <c r="CS165" s="25"/>
      <c r="CT165" s="25"/>
      <c r="CU165" s="25"/>
      <c r="CV165" s="25"/>
      <c r="CW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17"/>
      <c r="EC165" s="16">
        <v>5302065</v>
      </c>
      <c r="ED165" s="40" t="s">
        <v>234</v>
      </c>
      <c r="EE165" s="16">
        <v>1</v>
      </c>
    </row>
    <row r="166" spans="1:183" ht="13.5" customHeight="1">
      <c r="O166" s="25"/>
      <c r="AI166" s="28"/>
      <c r="AJ166" s="28"/>
      <c r="AK166" s="28"/>
      <c r="AL166" s="28"/>
      <c r="AM166" s="28"/>
      <c r="AN166" s="28"/>
      <c r="AO166" s="30"/>
      <c r="AP166" s="28"/>
      <c r="AS166" s="28"/>
      <c r="AT166" s="28"/>
      <c r="AU166" s="30"/>
      <c r="AV166" s="28"/>
      <c r="AW166" s="28"/>
      <c r="AX166" s="28"/>
      <c r="AZ166" s="28"/>
      <c r="BA166" s="16">
        <f t="shared" si="182"/>
        <v>55490.672185430492</v>
      </c>
      <c r="BC166" s="7" t="e">
        <f t="shared" si="152"/>
        <v>#N/A</v>
      </c>
      <c r="BR166" s="7">
        <v>5501061</v>
      </c>
      <c r="BS166" s="9">
        <f>[1]monsters!$N166</f>
        <v>161.28</v>
      </c>
      <c r="BT166" s="9">
        <f>[1]monsters!$O166</f>
        <v>16.13</v>
      </c>
      <c r="BU166" s="9">
        <f>[1]monsters!$P166</f>
        <v>1440</v>
      </c>
      <c r="BV166" s="9">
        <f>[1]monsters!$Q166</f>
        <v>144</v>
      </c>
      <c r="BW166" s="9">
        <f>[1]monsters!$R166</f>
        <v>23.04</v>
      </c>
      <c r="BX166" s="9">
        <f>[1]monsters!$S166</f>
        <v>2.2999999999999998</v>
      </c>
      <c r="BY166" s="9">
        <f>[1]monsters!$K166</f>
        <v>1.4000000000000001</v>
      </c>
      <c r="BZ166" s="7">
        <f>[1]monsters!$D166</f>
        <v>4</v>
      </c>
      <c r="CA166" s="7">
        <f t="shared" si="153"/>
        <v>0.1</v>
      </c>
      <c r="CB166" s="7">
        <f t="shared" si="154"/>
        <v>200.89444848484848</v>
      </c>
      <c r="CC166" s="7">
        <f t="shared" si="155"/>
        <v>20.089444848484849</v>
      </c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>
        <v>0</v>
      </c>
      <c r="CR166" s="25"/>
      <c r="CS166" s="25"/>
      <c r="CT166" s="25"/>
      <c r="CU166" s="25"/>
      <c r="CV166" s="25"/>
      <c r="CW166" s="25"/>
      <c r="DP166" s="25"/>
      <c r="DQ166" s="25"/>
      <c r="DR166" s="25"/>
      <c r="DS166" s="32"/>
      <c r="DT166" s="32"/>
      <c r="DU166" s="32"/>
      <c r="DV166" s="32"/>
      <c r="DW166" s="32"/>
      <c r="DX166" s="32"/>
      <c r="DY166" s="32"/>
      <c r="DZ166" s="32"/>
      <c r="EA166" s="25"/>
      <c r="EB166" s="17"/>
      <c r="EC166" s="16">
        <v>5400065</v>
      </c>
      <c r="ED166" s="40" t="s">
        <v>222</v>
      </c>
      <c r="EE166" s="16">
        <v>2</v>
      </c>
    </row>
    <row r="167" spans="1:183" ht="13.5" customHeight="1">
      <c r="O167" s="25"/>
      <c r="AI167" s="28"/>
      <c r="AJ167" s="28"/>
      <c r="AK167" s="28"/>
      <c r="AL167" s="28"/>
      <c r="AM167" s="28"/>
      <c r="AN167" s="28"/>
      <c r="AO167" s="30"/>
      <c r="AP167" s="28"/>
      <c r="AS167" s="28"/>
      <c r="AT167" s="28"/>
      <c r="AU167" s="30"/>
      <c r="AV167" s="28"/>
      <c r="AW167" s="28"/>
      <c r="AX167" s="28"/>
      <c r="AZ167" s="28"/>
      <c r="BA167" s="16">
        <f t="shared" si="182"/>
        <v>55352.185430463607</v>
      </c>
      <c r="BC167" s="7" t="e">
        <f t="shared" si="152"/>
        <v>#N/A</v>
      </c>
      <c r="BR167" s="7">
        <v>5600061</v>
      </c>
      <c r="BS167" s="9">
        <f>[1]monsters!$N167</f>
        <v>215.04</v>
      </c>
      <c r="BT167" s="9">
        <f>[1]monsters!$O167</f>
        <v>21.5</v>
      </c>
      <c r="BU167" s="9">
        <f>[1]monsters!$P167</f>
        <v>1234.29</v>
      </c>
      <c r="BV167" s="9">
        <f>[1]monsters!$Q167</f>
        <v>123.43</v>
      </c>
      <c r="BW167" s="9">
        <f>[1]monsters!$R167</f>
        <v>26.88</v>
      </c>
      <c r="BX167" s="9">
        <f>[1]monsters!$S167</f>
        <v>2.69</v>
      </c>
      <c r="BY167" s="9">
        <f>[1]monsters!$K167</f>
        <v>1.6</v>
      </c>
      <c r="BZ167" s="7">
        <f>[1]monsters!$D167</f>
        <v>5</v>
      </c>
      <c r="CA167" s="7">
        <f t="shared" si="153"/>
        <v>0.1</v>
      </c>
      <c r="CB167" s="7">
        <f t="shared" si="154"/>
        <v>244.77138585858586</v>
      </c>
      <c r="CC167" s="7">
        <f t="shared" si="155"/>
        <v>24.477138585858587</v>
      </c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>
        <v>0</v>
      </c>
      <c r="CR167" s="25"/>
      <c r="CS167" s="25"/>
      <c r="CT167" s="25"/>
      <c r="CU167" s="25"/>
      <c r="CV167" s="25"/>
      <c r="CW167" s="25"/>
      <c r="DP167" s="25"/>
      <c r="DQ167" s="25"/>
      <c r="DR167" s="25"/>
      <c r="DS167" s="25"/>
      <c r="DT167" s="25"/>
      <c r="DU167" s="25"/>
      <c r="DV167" s="25"/>
      <c r="DW167" s="25"/>
      <c r="DX167" s="25"/>
      <c r="DY167" s="25"/>
      <c r="DZ167" s="25"/>
      <c r="EA167" s="25"/>
      <c r="EB167" s="17"/>
      <c r="EC167" s="16">
        <v>5501065</v>
      </c>
      <c r="ED167" s="42" t="s">
        <v>235</v>
      </c>
      <c r="EE167" s="16">
        <v>2</v>
      </c>
    </row>
    <row r="168" spans="1:183" ht="13.5" customHeight="1">
      <c r="O168" s="25"/>
      <c r="AI168" s="28"/>
      <c r="AJ168" s="28"/>
      <c r="AK168" s="28"/>
      <c r="AL168" s="28"/>
      <c r="AM168" s="28"/>
      <c r="AN168" s="28"/>
      <c r="AO168" s="30"/>
      <c r="AP168" s="28"/>
      <c r="AS168" s="28"/>
      <c r="AT168" s="28"/>
      <c r="AU168" s="30"/>
      <c r="AV168" s="28"/>
      <c r="AW168" s="28"/>
      <c r="AX168" s="28"/>
      <c r="AZ168" s="28"/>
      <c r="BA168" s="16">
        <f t="shared" si="182"/>
        <v>55213.698675496722</v>
      </c>
      <c r="BC168" s="7" t="e">
        <f t="shared" si="152"/>
        <v>#N/A</v>
      </c>
      <c r="BR168" s="7">
        <v>5601061</v>
      </c>
      <c r="BS168" s="9">
        <f>[1]monsters!$N168</f>
        <v>160</v>
      </c>
      <c r="BT168" s="9">
        <f>[1]monsters!$O168</f>
        <v>16</v>
      </c>
      <c r="BU168" s="9">
        <f>[1]monsters!$P168</f>
        <v>1920</v>
      </c>
      <c r="BV168" s="9">
        <f>[1]monsters!$Q168</f>
        <v>192</v>
      </c>
      <c r="BW168" s="9">
        <f>[1]monsters!$R168</f>
        <v>40</v>
      </c>
      <c r="BX168" s="9">
        <f>[1]monsters!$S168</f>
        <v>4</v>
      </c>
      <c r="BY168" s="9">
        <f>[1]monsters!$K168</f>
        <v>1.5</v>
      </c>
      <c r="BZ168" s="7">
        <f>[1]monsters!$D168</f>
        <v>2</v>
      </c>
      <c r="CA168" s="7">
        <f t="shared" si="153"/>
        <v>0.1</v>
      </c>
      <c r="CB168" s="7">
        <f t="shared" si="154"/>
        <v>215.84646464646465</v>
      </c>
      <c r="CC168" s="7">
        <f t="shared" si="155"/>
        <v>21.584646464646468</v>
      </c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>
        <v>1</v>
      </c>
      <c r="CR168" s="25"/>
      <c r="CS168" s="25"/>
      <c r="CT168" s="25"/>
      <c r="CU168" s="25"/>
      <c r="CV168" s="25"/>
      <c r="CW168" s="25"/>
      <c r="DP168" s="25"/>
      <c r="DQ168" s="25"/>
      <c r="DR168" s="25"/>
      <c r="DS168" s="25"/>
      <c r="DT168" s="25"/>
      <c r="DU168" s="25"/>
      <c r="DV168" s="25"/>
      <c r="DW168" s="25"/>
      <c r="DX168" s="25"/>
      <c r="DY168" s="25"/>
      <c r="DZ168" s="25"/>
      <c r="EA168" s="25"/>
      <c r="EB168" s="17"/>
      <c r="EC168" s="16">
        <v>5200071</v>
      </c>
      <c r="ED168" s="40" t="s">
        <v>205</v>
      </c>
      <c r="EE168" s="16">
        <v>1</v>
      </c>
    </row>
    <row r="169" spans="1:183" ht="13.5" customHeight="1">
      <c r="O169" s="25"/>
      <c r="AI169" s="28"/>
      <c r="AJ169" s="28"/>
      <c r="AK169" s="28"/>
      <c r="AL169" s="28"/>
      <c r="AM169" s="28"/>
      <c r="AN169" s="28"/>
      <c r="AO169" s="30"/>
      <c r="AP169" s="28"/>
      <c r="AS169" s="28"/>
      <c r="AT169" s="28"/>
      <c r="AU169" s="30"/>
      <c r="AV169" s="28"/>
      <c r="AW169" s="28"/>
      <c r="AX169" s="28"/>
      <c r="AZ169" s="28"/>
      <c r="BA169" s="16">
        <f t="shared" si="182"/>
        <v>55075.211920529837</v>
      </c>
      <c r="BC169" s="7" t="e">
        <f t="shared" si="152"/>
        <v>#N/A</v>
      </c>
      <c r="BR169" s="7">
        <v>5200062</v>
      </c>
      <c r="BS169" s="9">
        <f>[1]monsters!$N169</f>
        <v>153.6</v>
      </c>
      <c r="BT169" s="9">
        <f>[1]monsters!$O169</f>
        <v>15.36</v>
      </c>
      <c r="BU169" s="9">
        <f>[1]monsters!$P169</f>
        <v>2400</v>
      </c>
      <c r="BV169" s="9">
        <f>[1]monsters!$Q169</f>
        <v>240</v>
      </c>
      <c r="BW169" s="9">
        <f>[1]monsters!$R169</f>
        <v>51.2</v>
      </c>
      <c r="BX169" s="9">
        <f>[1]monsters!$S169</f>
        <v>5.12</v>
      </c>
      <c r="BY169" s="9">
        <f>[1]monsters!$K169</f>
        <v>1.8</v>
      </c>
      <c r="BZ169" s="7">
        <f>[1]monsters!$D169</f>
        <v>2</v>
      </c>
      <c r="CA169" s="7">
        <f t="shared" si="153"/>
        <v>0.1</v>
      </c>
      <c r="CB169" s="7">
        <f t="shared" si="154"/>
        <v>225.96008080808082</v>
      </c>
      <c r="CC169" s="7">
        <f t="shared" si="155"/>
        <v>22.596008080808083</v>
      </c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>
        <v>0</v>
      </c>
      <c r="CR169" s="25"/>
      <c r="CS169" s="25"/>
      <c r="CT169" s="25"/>
      <c r="CU169" s="25"/>
      <c r="CV169" s="25"/>
      <c r="CW169" s="25"/>
      <c r="DP169" s="25"/>
      <c r="DQ169" s="25"/>
      <c r="DR169" s="25"/>
      <c r="DS169" s="25"/>
      <c r="DT169" s="25"/>
      <c r="DU169" s="25"/>
      <c r="DV169" s="25"/>
      <c r="DW169" s="25"/>
      <c r="DX169" s="25"/>
      <c r="DY169" s="25"/>
      <c r="DZ169" s="25"/>
      <c r="EA169" s="25"/>
      <c r="EB169" s="43"/>
      <c r="EC169" s="16">
        <v>5201071</v>
      </c>
      <c r="ED169" s="40" t="s">
        <v>206</v>
      </c>
      <c r="EE169" s="16">
        <v>1</v>
      </c>
    </row>
    <row r="170" spans="1:183" ht="13.5" customHeight="1">
      <c r="O170" s="25"/>
      <c r="AI170" s="28"/>
      <c r="AJ170" s="28"/>
      <c r="AK170" s="28"/>
      <c r="AL170" s="28"/>
      <c r="AM170" s="28"/>
      <c r="AN170" s="28"/>
      <c r="AO170" s="30"/>
      <c r="AP170" s="28"/>
      <c r="AS170" s="28"/>
      <c r="AT170" s="28"/>
      <c r="AU170" s="30"/>
      <c r="AV170" s="28"/>
      <c r="AW170" s="28"/>
      <c r="AX170" s="28"/>
      <c r="AZ170" s="28"/>
      <c r="BA170" s="16">
        <f t="shared" si="182"/>
        <v>54936.725165562952</v>
      </c>
      <c r="BC170" s="7" t="e">
        <f t="shared" si="152"/>
        <v>#N/A</v>
      </c>
      <c r="BR170" s="7">
        <v>5202062</v>
      </c>
      <c r="BS170" s="9">
        <f>[1]monsters!$N170</f>
        <v>172.8</v>
      </c>
      <c r="BT170" s="9">
        <f>[1]monsters!$O170</f>
        <v>17.28</v>
      </c>
      <c r="BU170" s="9">
        <f>[1]monsters!$P170</f>
        <v>2133.33</v>
      </c>
      <c r="BV170" s="9">
        <f>[1]monsters!$Q170</f>
        <v>213.33</v>
      </c>
      <c r="BW170" s="9">
        <f>[1]monsters!$R170</f>
        <v>34.56</v>
      </c>
      <c r="BX170" s="9">
        <f>[1]monsters!$S170</f>
        <v>3.46</v>
      </c>
      <c r="BY170" s="9">
        <f>[1]monsters!$K170</f>
        <v>1.8</v>
      </c>
      <c r="BZ170" s="7">
        <f>[1]monsters!$D170</f>
        <v>2</v>
      </c>
      <c r="CA170" s="7">
        <f t="shared" si="153"/>
        <v>0.1</v>
      </c>
      <c r="CB170" s="7">
        <f t="shared" si="154"/>
        <v>235.12529292929293</v>
      </c>
      <c r="CC170" s="7">
        <f t="shared" si="155"/>
        <v>23.512529292929294</v>
      </c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>
        <v>0</v>
      </c>
      <c r="CR170" s="25"/>
      <c r="CS170" s="25"/>
      <c r="CT170" s="25"/>
      <c r="CU170" s="25"/>
      <c r="CV170" s="25"/>
      <c r="CW170" s="25"/>
      <c r="DP170" s="32"/>
      <c r="DQ170" s="32"/>
      <c r="DR170" s="32"/>
      <c r="DS170" s="32"/>
      <c r="DT170" s="32"/>
      <c r="DU170" s="32"/>
      <c r="DV170" s="32"/>
      <c r="DW170" s="32"/>
      <c r="DX170" s="32"/>
      <c r="DY170" s="32"/>
      <c r="DZ170" s="32"/>
      <c r="EA170" s="25"/>
      <c r="EB170" s="17"/>
      <c r="EC170" s="16">
        <v>5202071</v>
      </c>
      <c r="ED170" s="40" t="s">
        <v>117</v>
      </c>
      <c r="EE170" s="16">
        <v>1</v>
      </c>
    </row>
    <row r="171" spans="1:183" ht="13.5" customHeight="1">
      <c r="O171" s="25"/>
      <c r="AI171" s="28"/>
      <c r="AJ171" s="28"/>
      <c r="AK171" s="28"/>
      <c r="AL171" s="28"/>
      <c r="AM171" s="28"/>
      <c r="AN171" s="28"/>
      <c r="AO171" s="30"/>
      <c r="AP171" s="28"/>
      <c r="AS171" s="28"/>
      <c r="AT171" s="28"/>
      <c r="AU171" s="30"/>
      <c r="AV171" s="28"/>
      <c r="AW171" s="28"/>
      <c r="AX171" s="28"/>
      <c r="AZ171" s="28"/>
      <c r="BA171" s="16">
        <f t="shared" si="182"/>
        <v>54798.238410596066</v>
      </c>
      <c r="BC171" s="7" t="e">
        <f t="shared" si="152"/>
        <v>#N/A</v>
      </c>
      <c r="BR171" s="7">
        <v>5302062</v>
      </c>
      <c r="BS171" s="9">
        <f>[1]monsters!$N171</f>
        <v>115.2</v>
      </c>
      <c r="BT171" s="9">
        <f>[1]monsters!$O171</f>
        <v>11.52</v>
      </c>
      <c r="BU171" s="9">
        <f>[1]monsters!$P171</f>
        <v>2133.33</v>
      </c>
      <c r="BV171" s="9">
        <f>[1]monsters!$Q171</f>
        <v>213.33</v>
      </c>
      <c r="BW171" s="9">
        <f>[1]monsters!$R171</f>
        <v>23.04</v>
      </c>
      <c r="BX171" s="9">
        <f>[1]monsters!$S171</f>
        <v>2.2999999999999998</v>
      </c>
      <c r="BY171" s="9">
        <f>[1]monsters!$K171</f>
        <v>1.2</v>
      </c>
      <c r="BZ171" s="7">
        <f>[1]monsters!$D171</f>
        <v>3</v>
      </c>
      <c r="CA171" s="7">
        <f t="shared" si="153"/>
        <v>0.1</v>
      </c>
      <c r="CB171" s="7">
        <f t="shared" si="154"/>
        <v>180.69329292929291</v>
      </c>
      <c r="CC171" s="7">
        <f t="shared" si="155"/>
        <v>18.069329292929293</v>
      </c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>
        <v>0</v>
      </c>
      <c r="CR171" s="25"/>
      <c r="CS171" s="25"/>
      <c r="CT171" s="25"/>
      <c r="CU171" s="25"/>
      <c r="CV171" s="25"/>
      <c r="CW171" s="25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25"/>
      <c r="EB171" s="17"/>
      <c r="EC171" s="16">
        <v>5301071</v>
      </c>
      <c r="ED171" s="40" t="s">
        <v>113</v>
      </c>
      <c r="EE171" s="16">
        <v>1</v>
      </c>
    </row>
    <row r="172" spans="1:183" ht="13.5" customHeight="1">
      <c r="O172" s="25"/>
      <c r="AI172" s="28"/>
      <c r="AJ172" s="28"/>
      <c r="AK172" s="28"/>
      <c r="AL172" s="28"/>
      <c r="AM172" s="28"/>
      <c r="AN172" s="28"/>
      <c r="AO172" s="30"/>
      <c r="AP172" s="28"/>
      <c r="AS172" s="28"/>
      <c r="AT172" s="28"/>
      <c r="AU172" s="30"/>
      <c r="AV172" s="28"/>
      <c r="AW172" s="28"/>
      <c r="AX172" s="28"/>
      <c r="AZ172" s="28"/>
      <c r="BA172" s="16">
        <f t="shared" si="182"/>
        <v>54659.751655629181</v>
      </c>
      <c r="BC172" s="7" t="e">
        <f t="shared" si="152"/>
        <v>#N/A</v>
      </c>
      <c r="BR172" s="7">
        <v>5300062</v>
      </c>
      <c r="BS172" s="9">
        <f>[1]monsters!$N172</f>
        <v>204.8</v>
      </c>
      <c r="BT172" s="9">
        <f>[1]monsters!$O172</f>
        <v>20.48</v>
      </c>
      <c r="BU172" s="9">
        <f>[1]monsters!$P172</f>
        <v>1600</v>
      </c>
      <c r="BV172" s="9">
        <f>[1]monsters!$Q172</f>
        <v>160</v>
      </c>
      <c r="BW172" s="9">
        <f>[1]monsters!$R172</f>
        <v>29.26</v>
      </c>
      <c r="BX172" s="9">
        <f>[1]monsters!$S172</f>
        <v>2.93</v>
      </c>
      <c r="BY172" s="9">
        <f>[1]monsters!$K172</f>
        <v>1.6</v>
      </c>
      <c r="BZ172" s="7">
        <f>[1]monsters!$D172</f>
        <v>4</v>
      </c>
      <c r="CA172" s="7">
        <f t="shared" si="153"/>
        <v>0.1</v>
      </c>
      <c r="CB172" s="7">
        <f t="shared" si="154"/>
        <v>247.4080538720539</v>
      </c>
      <c r="CC172" s="7">
        <f t="shared" si="155"/>
        <v>24.740805387205391</v>
      </c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>
        <v>0</v>
      </c>
      <c r="CR172" s="25"/>
      <c r="CS172" s="25"/>
      <c r="CT172" s="25"/>
      <c r="CU172" s="25"/>
      <c r="CV172" s="25"/>
      <c r="CW172" s="25"/>
      <c r="DP172" s="32"/>
      <c r="DQ172" s="32"/>
      <c r="DR172" s="32"/>
      <c r="DS172" s="36"/>
      <c r="DT172" s="36"/>
      <c r="DU172" s="36"/>
      <c r="DV172" s="36"/>
      <c r="DW172" s="36"/>
      <c r="DX172" s="36"/>
      <c r="DY172" s="36"/>
      <c r="DZ172" s="36"/>
      <c r="EA172" s="25"/>
      <c r="EB172" s="17"/>
      <c r="EC172" s="16">
        <v>5401071</v>
      </c>
      <c r="ED172" s="40" t="s">
        <v>123</v>
      </c>
      <c r="EE172" s="16">
        <v>2</v>
      </c>
    </row>
    <row r="173" spans="1:183" ht="13.5" customHeight="1">
      <c r="O173" s="25"/>
      <c r="AI173" s="28"/>
      <c r="AJ173" s="28"/>
      <c r="AK173" s="28"/>
      <c r="AL173" s="28"/>
      <c r="AM173" s="28"/>
      <c r="AN173" s="28"/>
      <c r="AO173" s="30"/>
      <c r="AP173" s="28"/>
      <c r="AS173" s="28"/>
      <c r="AT173" s="28"/>
      <c r="AU173" s="30"/>
      <c r="AV173" s="28"/>
      <c r="AW173" s="28"/>
      <c r="AX173" s="28"/>
      <c r="AZ173" s="28"/>
      <c r="BA173" s="16">
        <f t="shared" si="182"/>
        <v>54521.264900662296</v>
      </c>
      <c r="BC173" s="7" t="e">
        <f t="shared" si="152"/>
        <v>#N/A</v>
      </c>
      <c r="BR173" s="7">
        <v>5400062</v>
      </c>
      <c r="BS173" s="9">
        <f>[1]monsters!$N173</f>
        <v>192</v>
      </c>
      <c r="BT173" s="9">
        <f>[1]monsters!$O173</f>
        <v>19.2</v>
      </c>
      <c r="BU173" s="9">
        <f>[1]monsters!$P173</f>
        <v>1600</v>
      </c>
      <c r="BV173" s="9">
        <f>[1]monsters!$Q173</f>
        <v>160</v>
      </c>
      <c r="BW173" s="9">
        <f>[1]monsters!$R173</f>
        <v>27.43</v>
      </c>
      <c r="BX173" s="9">
        <f>[1]monsters!$S173</f>
        <v>2.74</v>
      </c>
      <c r="BY173" s="9">
        <f>[1]monsters!$K173</f>
        <v>1.5</v>
      </c>
      <c r="BZ173" s="7">
        <f>[1]monsters!$D173</f>
        <v>4</v>
      </c>
      <c r="CA173" s="7">
        <f t="shared" si="153"/>
        <v>0.1</v>
      </c>
      <c r="CB173" s="7">
        <f t="shared" si="154"/>
        <v>235.31205387205389</v>
      </c>
      <c r="CC173" s="7">
        <f t="shared" si="155"/>
        <v>23.531205387205389</v>
      </c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>
        <v>1</v>
      </c>
      <c r="CR173" s="25"/>
      <c r="CS173" s="25"/>
      <c r="CT173" s="25"/>
      <c r="CU173" s="25"/>
      <c r="CV173" s="25"/>
      <c r="CW173" s="25"/>
      <c r="DP173" s="32"/>
      <c r="DQ173" s="32"/>
      <c r="DR173" s="32"/>
      <c r="DS173" s="36"/>
      <c r="DT173" s="36"/>
      <c r="DU173" s="36"/>
      <c r="DV173" s="36"/>
      <c r="DW173" s="36"/>
      <c r="DX173" s="36"/>
      <c r="DY173" s="36"/>
      <c r="DZ173" s="36"/>
      <c r="EA173" s="25"/>
      <c r="EB173" s="17"/>
      <c r="EC173" s="16">
        <v>5402071</v>
      </c>
      <c r="ED173" s="40" t="s">
        <v>207</v>
      </c>
      <c r="EE173" s="16">
        <v>2</v>
      </c>
    </row>
    <row r="174" spans="1:183" ht="13.5" customHeight="1">
      <c r="O174" s="25"/>
      <c r="AI174" s="28"/>
      <c r="AJ174" s="28"/>
      <c r="AK174" s="28"/>
      <c r="AL174" s="28"/>
      <c r="AM174" s="28"/>
      <c r="AN174" s="28"/>
      <c r="AO174" s="30"/>
      <c r="AP174" s="28"/>
      <c r="AS174" s="28"/>
      <c r="AT174" s="28"/>
      <c r="AU174" s="30"/>
      <c r="AV174" s="28"/>
      <c r="AW174" s="28"/>
      <c r="AX174" s="28"/>
      <c r="AZ174" s="28"/>
      <c r="BA174" s="16">
        <f t="shared" si="182"/>
        <v>54382.778145695411</v>
      </c>
      <c r="BC174" s="7" t="e">
        <f t="shared" si="152"/>
        <v>#N/A</v>
      </c>
      <c r="BR174" s="7">
        <v>5402062</v>
      </c>
      <c r="BS174" s="9">
        <f>[1]monsters!$N174</f>
        <v>224</v>
      </c>
      <c r="BT174" s="9">
        <f>[1]monsters!$O174</f>
        <v>22.4</v>
      </c>
      <c r="BU174" s="9">
        <f>[1]monsters!$P174</f>
        <v>1371.43</v>
      </c>
      <c r="BV174" s="9">
        <f>[1]monsters!$Q174</f>
        <v>137.13999999999999</v>
      </c>
      <c r="BW174" s="9">
        <f>[1]monsters!$R174</f>
        <v>28</v>
      </c>
      <c r="BX174" s="9">
        <f>[1]monsters!$S174</f>
        <v>2.8</v>
      </c>
      <c r="BY174" s="9">
        <f>[1]monsters!$K174</f>
        <v>1.5</v>
      </c>
      <c r="BZ174" s="7">
        <f>[1]monsters!$D174</f>
        <v>5</v>
      </c>
      <c r="CA174" s="7">
        <f t="shared" si="153"/>
        <v>0.1</v>
      </c>
      <c r="CB174" s="7">
        <f t="shared" si="154"/>
        <v>257.85609427609427</v>
      </c>
      <c r="CC174" s="7">
        <f t="shared" si="155"/>
        <v>25.78560942760943</v>
      </c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>
        <v>0</v>
      </c>
      <c r="CR174" s="25"/>
      <c r="CS174" s="25"/>
      <c r="CT174" s="25"/>
      <c r="CU174" s="25"/>
      <c r="CV174" s="25"/>
      <c r="CW174" s="25"/>
      <c r="DP174" s="32"/>
      <c r="DQ174" s="32"/>
      <c r="DR174" s="36"/>
      <c r="DS174" s="14"/>
      <c r="DT174" s="36"/>
      <c r="DU174" s="36"/>
      <c r="DV174" s="36"/>
      <c r="DW174" s="36"/>
      <c r="DX174" s="36"/>
      <c r="DY174" s="36"/>
      <c r="DZ174" s="36"/>
      <c r="EA174" s="25"/>
      <c r="EB174" s="17"/>
      <c r="EC174" s="16">
        <v>5500071</v>
      </c>
      <c r="ED174" s="40" t="s">
        <v>208</v>
      </c>
      <c r="EE174" s="16">
        <v>2</v>
      </c>
    </row>
    <row r="175" spans="1:183" ht="13.5" customHeight="1">
      <c r="O175" s="25"/>
      <c r="AI175" s="28"/>
      <c r="AJ175" s="28"/>
      <c r="AK175" s="28"/>
      <c r="AL175" s="28"/>
      <c r="AM175" s="28"/>
      <c r="AN175" s="28"/>
      <c r="AO175" s="30"/>
      <c r="AP175" s="28"/>
      <c r="AS175" s="28"/>
      <c r="AT175" s="28"/>
      <c r="AU175" s="30"/>
      <c r="AV175" s="28"/>
      <c r="AW175" s="28"/>
      <c r="AX175" s="28"/>
      <c r="AZ175" s="28"/>
      <c r="BA175" s="16">
        <f t="shared" si="182"/>
        <v>54244.291390728526</v>
      </c>
      <c r="BC175" s="7" t="e">
        <f t="shared" si="152"/>
        <v>#N/A</v>
      </c>
      <c r="BR175" s="7">
        <v>5500062</v>
      </c>
      <c r="BS175" s="9">
        <f>[1]monsters!$N175</f>
        <v>209.07</v>
      </c>
      <c r="BT175" s="9">
        <f>[1]monsters!$O175</f>
        <v>20.91</v>
      </c>
      <c r="BU175" s="9">
        <f>[1]monsters!$P175</f>
        <v>1371.43</v>
      </c>
      <c r="BV175" s="9">
        <f>[1]monsters!$Q175</f>
        <v>137.13999999999999</v>
      </c>
      <c r="BW175" s="9">
        <f>[1]monsters!$R175</f>
        <v>26.13</v>
      </c>
      <c r="BX175" s="9">
        <f>[1]monsters!$S175</f>
        <v>2.61</v>
      </c>
      <c r="BY175" s="9">
        <f>[1]monsters!$K175</f>
        <v>1.4000000000000001</v>
      </c>
      <c r="BZ175" s="7">
        <f>[1]monsters!$D175</f>
        <v>5</v>
      </c>
      <c r="CA175" s="7">
        <f t="shared" si="153"/>
        <v>0.1</v>
      </c>
      <c r="CB175" s="7">
        <f t="shared" si="154"/>
        <v>243.74724427609431</v>
      </c>
      <c r="CC175" s="7">
        <f t="shared" si="155"/>
        <v>24.374724427609433</v>
      </c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>
        <v>0</v>
      </c>
      <c r="CR175" s="25"/>
      <c r="CS175" s="25"/>
      <c r="CT175" s="25"/>
      <c r="CU175" s="25"/>
      <c r="CV175" s="25"/>
      <c r="CW175" s="25"/>
      <c r="DP175" s="32"/>
      <c r="DQ175" s="32"/>
      <c r="DR175" s="32"/>
      <c r="DS175" s="36"/>
      <c r="DT175" s="36"/>
      <c r="DU175" s="36"/>
      <c r="DV175" s="36"/>
      <c r="DW175" s="36"/>
      <c r="DX175" s="36"/>
      <c r="DY175" s="36"/>
      <c r="DZ175" s="36"/>
      <c r="EA175" s="25"/>
      <c r="EB175" s="17"/>
      <c r="EC175" s="16">
        <v>5502071</v>
      </c>
      <c r="ED175" s="40" t="s">
        <v>130</v>
      </c>
      <c r="EE175" s="16">
        <v>2</v>
      </c>
    </row>
    <row r="176" spans="1:183" ht="13.5" customHeight="1">
      <c r="O176" s="25"/>
      <c r="AI176" s="28"/>
      <c r="AJ176" s="28"/>
      <c r="AK176" s="28"/>
      <c r="AL176" s="28"/>
      <c r="AM176" s="28"/>
      <c r="AN176" s="28"/>
      <c r="AO176" s="30"/>
      <c r="AP176" s="28"/>
      <c r="AS176" s="28"/>
      <c r="AT176" s="28"/>
      <c r="AU176" s="30"/>
      <c r="AV176" s="28"/>
      <c r="AW176" s="28"/>
      <c r="AX176" s="28"/>
      <c r="AZ176" s="28"/>
      <c r="BA176" s="16">
        <f t="shared" si="182"/>
        <v>54105.80463576164</v>
      </c>
      <c r="BC176" s="7" t="e">
        <f t="shared" si="152"/>
        <v>#N/A</v>
      </c>
      <c r="BR176" s="7">
        <v>5502062</v>
      </c>
      <c r="BS176" s="9">
        <f>[1]monsters!$N176</f>
        <v>248</v>
      </c>
      <c r="BT176" s="9">
        <f>[1]monsters!$O176</f>
        <v>24.8</v>
      </c>
      <c r="BU176" s="9">
        <f>[1]monsters!$P176</f>
        <v>1238.71</v>
      </c>
      <c r="BV176" s="9">
        <f>[1]monsters!$Q176</f>
        <v>123.87</v>
      </c>
      <c r="BW176" s="9">
        <f>[1]monsters!$R176</f>
        <v>24.8</v>
      </c>
      <c r="BX176" s="9">
        <f>[1]monsters!$S176</f>
        <v>2.48</v>
      </c>
      <c r="BY176" s="9">
        <f>[1]monsters!$K176</f>
        <v>1.5</v>
      </c>
      <c r="BZ176" s="7">
        <f>[1]monsters!$D176</f>
        <v>6</v>
      </c>
      <c r="CA176" s="7">
        <f t="shared" si="153"/>
        <v>0.1</v>
      </c>
      <c r="CB176" s="7">
        <f t="shared" si="154"/>
        <v>276.06740740740747</v>
      </c>
      <c r="CC176" s="7">
        <f t="shared" si="155"/>
        <v>27.606740740740747</v>
      </c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>
        <v>0</v>
      </c>
      <c r="CR176" s="25"/>
      <c r="CS176" s="25"/>
      <c r="CT176" s="25"/>
      <c r="CU176" s="25"/>
      <c r="CV176" s="25"/>
      <c r="CW176" s="25"/>
      <c r="DP176" s="32"/>
      <c r="DQ176" s="32"/>
      <c r="DR176" s="32"/>
      <c r="DS176" s="32"/>
      <c r="DT176" s="32"/>
      <c r="DU176" s="32"/>
      <c r="DV176" s="32"/>
      <c r="DW176" s="32"/>
      <c r="DX176" s="32"/>
      <c r="DY176" s="32"/>
      <c r="DZ176" s="32"/>
      <c r="EA176" s="25"/>
      <c r="EB176" s="17"/>
      <c r="EC176" s="16">
        <v>5601071</v>
      </c>
      <c r="ED176" s="40" t="s">
        <v>209</v>
      </c>
      <c r="EE176" s="16">
        <v>2</v>
      </c>
    </row>
    <row r="177" spans="11:135" ht="13.5" customHeight="1">
      <c r="O177" s="25"/>
      <c r="AI177" s="28"/>
      <c r="AJ177" s="28"/>
      <c r="AK177" s="28"/>
      <c r="AL177" s="28"/>
      <c r="AM177" s="28"/>
      <c r="AN177" s="28"/>
      <c r="AO177" s="30"/>
      <c r="AP177" s="28"/>
      <c r="AS177" s="28"/>
      <c r="AT177" s="28"/>
      <c r="AU177" s="30"/>
      <c r="AV177" s="28"/>
      <c r="AW177" s="28"/>
      <c r="AX177" s="28"/>
      <c r="AZ177" s="28"/>
      <c r="BA177" s="16">
        <f t="shared" si="182"/>
        <v>53967.317880794755</v>
      </c>
      <c r="BC177" s="7" t="e">
        <f t="shared" si="152"/>
        <v>#N/A</v>
      </c>
      <c r="BR177" s="7">
        <v>5600062</v>
      </c>
      <c r="BS177" s="9">
        <f>[1]monsters!$N177</f>
        <v>160</v>
      </c>
      <c r="BT177" s="9">
        <f>[1]monsters!$O177</f>
        <v>16</v>
      </c>
      <c r="BU177" s="9">
        <f>[1]monsters!$P177</f>
        <v>1920</v>
      </c>
      <c r="BV177" s="9">
        <f>[1]monsters!$Q177</f>
        <v>192</v>
      </c>
      <c r="BW177" s="9">
        <f>[1]monsters!$R177</f>
        <v>40</v>
      </c>
      <c r="BX177" s="9">
        <f>[1]monsters!$S177</f>
        <v>4</v>
      </c>
      <c r="BY177" s="9">
        <f>[1]monsters!$K177</f>
        <v>1.5</v>
      </c>
      <c r="BZ177" s="7">
        <f>[1]monsters!$D177</f>
        <v>2</v>
      </c>
      <c r="CA177" s="7">
        <f t="shared" si="153"/>
        <v>0.1</v>
      </c>
      <c r="CB177" s="7">
        <f t="shared" si="154"/>
        <v>215.84646464646465</v>
      </c>
      <c r="CC177" s="7">
        <f t="shared" si="155"/>
        <v>21.584646464646468</v>
      </c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>
        <v>0</v>
      </c>
      <c r="CR177" s="25"/>
      <c r="CS177" s="25"/>
      <c r="CT177" s="25"/>
      <c r="CU177" s="25"/>
      <c r="CV177" s="25"/>
      <c r="CW177" s="25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  <c r="DZ177" s="36"/>
      <c r="EA177" s="25"/>
      <c r="EB177" s="17"/>
      <c r="EC177" s="16">
        <v>5200072</v>
      </c>
      <c r="ED177" s="40" t="s">
        <v>210</v>
      </c>
      <c r="EE177" s="16">
        <v>1</v>
      </c>
    </row>
    <row r="178" spans="11:135" ht="13.5" customHeight="1">
      <c r="O178" s="25"/>
      <c r="AI178" s="28"/>
      <c r="AJ178" s="28"/>
      <c r="AK178" s="28"/>
      <c r="AL178" s="28"/>
      <c r="AM178" s="28"/>
      <c r="AN178" s="28"/>
      <c r="AO178" s="30"/>
      <c r="AP178" s="28"/>
      <c r="AS178" s="28"/>
      <c r="AT178" s="28"/>
      <c r="AU178" s="30"/>
      <c r="AV178" s="28"/>
      <c r="AW178" s="28"/>
      <c r="AX178" s="28"/>
      <c r="AZ178" s="28"/>
      <c r="BA178" s="16">
        <f t="shared" si="182"/>
        <v>53828.83112582787</v>
      </c>
      <c r="BC178" s="7" t="e">
        <f t="shared" si="152"/>
        <v>#N/A</v>
      </c>
      <c r="BR178" s="7">
        <v>5602062</v>
      </c>
      <c r="BS178" s="9">
        <f>[1]monsters!$N178</f>
        <v>153.6</v>
      </c>
      <c r="BT178" s="9">
        <f>[1]monsters!$O178</f>
        <v>15.36</v>
      </c>
      <c r="BU178" s="9">
        <f>[1]monsters!$P178</f>
        <v>2400</v>
      </c>
      <c r="BV178" s="9">
        <f>[1]monsters!$Q178</f>
        <v>240</v>
      </c>
      <c r="BW178" s="9">
        <f>[1]monsters!$R178</f>
        <v>51.2</v>
      </c>
      <c r="BX178" s="9">
        <f>[1]monsters!$S178</f>
        <v>5.12</v>
      </c>
      <c r="BY178" s="9">
        <f>[1]monsters!$K178</f>
        <v>1.8</v>
      </c>
      <c r="BZ178" s="7">
        <f>[1]monsters!$D178</f>
        <v>2</v>
      </c>
      <c r="CA178" s="7">
        <f t="shared" si="153"/>
        <v>0.1</v>
      </c>
      <c r="CB178" s="7">
        <f t="shared" si="154"/>
        <v>225.96008080808082</v>
      </c>
      <c r="CC178" s="7">
        <f t="shared" si="155"/>
        <v>22.596008080808083</v>
      </c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>
        <v>1</v>
      </c>
      <c r="CR178" s="25"/>
      <c r="CS178" s="25"/>
      <c r="CT178" s="25"/>
      <c r="CU178" s="25"/>
      <c r="CV178" s="25"/>
      <c r="CW178" s="25"/>
      <c r="DP178" s="32"/>
      <c r="DQ178" s="32"/>
      <c r="DR178" s="32"/>
      <c r="DS178" s="32"/>
      <c r="DT178" s="32"/>
      <c r="DU178" s="32"/>
      <c r="DV178" s="32"/>
      <c r="DW178" s="32"/>
      <c r="DX178" s="32"/>
      <c r="DY178" s="32"/>
      <c r="DZ178" s="32"/>
      <c r="EA178" s="25"/>
      <c r="EB178" s="17"/>
      <c r="EC178" s="16">
        <v>5201072</v>
      </c>
      <c r="ED178" s="40" t="s">
        <v>120</v>
      </c>
      <c r="EE178" s="16">
        <v>1</v>
      </c>
    </row>
    <row r="179" spans="11:135" ht="13.5" customHeight="1">
      <c r="O179" s="25"/>
      <c r="AI179" s="28"/>
      <c r="AJ179" s="28"/>
      <c r="AK179" s="28"/>
      <c r="AL179" s="28"/>
      <c r="AM179" s="28"/>
      <c r="AN179" s="28"/>
      <c r="AO179" s="30"/>
      <c r="AP179" s="28"/>
      <c r="AS179" s="28"/>
      <c r="AT179" s="28"/>
      <c r="AU179" s="30"/>
      <c r="AV179" s="28"/>
      <c r="AW179" s="28"/>
      <c r="AX179" s="28"/>
      <c r="AZ179" s="28"/>
      <c r="BA179" s="16">
        <f t="shared" si="182"/>
        <v>53690.344370860985</v>
      </c>
      <c r="BC179" s="7" t="e">
        <f t="shared" si="152"/>
        <v>#N/A</v>
      </c>
      <c r="BR179" s="7">
        <v>5200063</v>
      </c>
      <c r="BS179" s="9">
        <f>[1]monsters!$N179</f>
        <v>172.8</v>
      </c>
      <c r="BT179" s="9">
        <f>[1]monsters!$O179</f>
        <v>17.28</v>
      </c>
      <c r="BU179" s="9">
        <f>[1]monsters!$P179</f>
        <v>2133.33</v>
      </c>
      <c r="BV179" s="9">
        <f>[1]monsters!$Q179</f>
        <v>213.33</v>
      </c>
      <c r="BW179" s="9">
        <f>[1]monsters!$R179</f>
        <v>34.56</v>
      </c>
      <c r="BX179" s="9">
        <f>[1]monsters!$S179</f>
        <v>3.46</v>
      </c>
      <c r="BY179" s="9">
        <f>[1]monsters!$K179</f>
        <v>1.8</v>
      </c>
      <c r="BZ179" s="7">
        <f>[1]monsters!$D179</f>
        <v>2</v>
      </c>
      <c r="CA179" s="7">
        <f t="shared" si="153"/>
        <v>0.1</v>
      </c>
      <c r="CB179" s="7">
        <f t="shared" si="154"/>
        <v>235.12529292929293</v>
      </c>
      <c r="CC179" s="7">
        <f t="shared" si="155"/>
        <v>23.512529292929294</v>
      </c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>
        <v>0</v>
      </c>
      <c r="CR179" s="25"/>
      <c r="CS179" s="25"/>
      <c r="CT179" s="25"/>
      <c r="CU179" s="25"/>
      <c r="CV179" s="25"/>
      <c r="CW179" s="25"/>
      <c r="DP179" s="13"/>
      <c r="DQ179" s="32"/>
      <c r="DR179" s="32"/>
      <c r="DS179" s="32"/>
      <c r="DT179" s="32"/>
      <c r="DU179" s="32"/>
      <c r="DV179" s="32"/>
      <c r="DW179" s="32"/>
      <c r="DX179" s="32"/>
      <c r="DY179" s="32"/>
      <c r="DZ179" s="32"/>
      <c r="EA179" s="25"/>
      <c r="EB179" s="43"/>
      <c r="EC179" s="16">
        <v>5202072</v>
      </c>
      <c r="ED179" s="40" t="s">
        <v>211</v>
      </c>
      <c r="EE179" s="16">
        <v>1</v>
      </c>
    </row>
    <row r="180" spans="11:135" ht="13.5" customHeight="1">
      <c r="O180" s="25"/>
      <c r="AI180" s="28"/>
      <c r="AJ180" s="28"/>
      <c r="AK180" s="28"/>
      <c r="AL180" s="28"/>
      <c r="AM180" s="28"/>
      <c r="AN180" s="28"/>
      <c r="AO180" s="30"/>
      <c r="AP180" s="28"/>
      <c r="AS180" s="28"/>
      <c r="AT180" s="28"/>
      <c r="AU180" s="30"/>
      <c r="AV180" s="28"/>
      <c r="AW180" s="28"/>
      <c r="AX180" s="28"/>
      <c r="AZ180" s="28"/>
      <c r="BA180" s="16">
        <f t="shared" si="182"/>
        <v>53551.8576158941</v>
      </c>
      <c r="BC180" s="7" t="e">
        <f t="shared" si="152"/>
        <v>#N/A</v>
      </c>
      <c r="BR180" s="7">
        <v>5202063</v>
      </c>
      <c r="BS180" s="9">
        <f>[1]monsters!$N180</f>
        <v>115.2</v>
      </c>
      <c r="BT180" s="9">
        <f>[1]monsters!$O180</f>
        <v>11.52</v>
      </c>
      <c r="BU180" s="9">
        <f>[1]monsters!$P180</f>
        <v>2133.33</v>
      </c>
      <c r="BV180" s="9">
        <f>[1]monsters!$Q180</f>
        <v>213.33</v>
      </c>
      <c r="BW180" s="9">
        <f>[1]monsters!$R180</f>
        <v>23.04</v>
      </c>
      <c r="BX180" s="9">
        <f>[1]monsters!$S180</f>
        <v>2.2999999999999998</v>
      </c>
      <c r="BY180" s="9">
        <f>[1]monsters!$K180</f>
        <v>1.2</v>
      </c>
      <c r="BZ180" s="7">
        <f>[1]monsters!$D180</f>
        <v>3</v>
      </c>
      <c r="CA180" s="7">
        <f t="shared" si="153"/>
        <v>0.1</v>
      </c>
      <c r="CB180" s="7">
        <f t="shared" si="154"/>
        <v>180.69329292929291</v>
      </c>
      <c r="CC180" s="7">
        <f t="shared" si="155"/>
        <v>18.069329292929293</v>
      </c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>
        <v>0</v>
      </c>
      <c r="CR180" s="25"/>
      <c r="CS180" s="25"/>
      <c r="CT180" s="25"/>
      <c r="CU180" s="25"/>
      <c r="CV180" s="25"/>
      <c r="CW180" s="25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25"/>
      <c r="EB180" s="17"/>
      <c r="EC180" s="16">
        <v>5301072</v>
      </c>
      <c r="ED180" s="40" t="s">
        <v>212</v>
      </c>
      <c r="EE180" s="16">
        <v>1</v>
      </c>
    </row>
    <row r="181" spans="11:135" ht="13.5" customHeight="1">
      <c r="O181" s="25"/>
      <c r="AI181" s="28"/>
      <c r="AJ181" s="28"/>
      <c r="AK181" s="28"/>
      <c r="AL181" s="28"/>
      <c r="AM181" s="28"/>
      <c r="AN181" s="28"/>
      <c r="AO181" s="30"/>
      <c r="AP181" s="28"/>
      <c r="AS181" s="28"/>
      <c r="AT181" s="28"/>
      <c r="AU181" s="30"/>
      <c r="AV181" s="28"/>
      <c r="AW181" s="28"/>
      <c r="AX181" s="28"/>
      <c r="AZ181" s="28"/>
      <c r="BA181" s="16">
        <f t="shared" si="182"/>
        <v>53413.370860927214</v>
      </c>
      <c r="BC181" s="7" t="e">
        <f t="shared" si="152"/>
        <v>#N/A</v>
      </c>
      <c r="BR181" s="7">
        <v>5302063</v>
      </c>
      <c r="BS181" s="9">
        <f>[1]monsters!$N181</f>
        <v>204.8</v>
      </c>
      <c r="BT181" s="9">
        <f>[1]monsters!$O181</f>
        <v>20.48</v>
      </c>
      <c r="BU181" s="9">
        <f>[1]monsters!$P181</f>
        <v>1600</v>
      </c>
      <c r="BV181" s="9">
        <f>[1]monsters!$Q181</f>
        <v>160</v>
      </c>
      <c r="BW181" s="9">
        <f>[1]monsters!$R181</f>
        <v>29.26</v>
      </c>
      <c r="BX181" s="9">
        <f>[1]monsters!$S181</f>
        <v>2.93</v>
      </c>
      <c r="BY181" s="9">
        <f>[1]monsters!$K181</f>
        <v>1.6</v>
      </c>
      <c r="BZ181" s="7">
        <f>[1]monsters!$D181</f>
        <v>4</v>
      </c>
      <c r="CA181" s="7">
        <f t="shared" si="153"/>
        <v>0.1</v>
      </c>
      <c r="CB181" s="7">
        <f t="shared" si="154"/>
        <v>247.4080538720539</v>
      </c>
      <c r="CC181" s="7">
        <f t="shared" si="155"/>
        <v>24.740805387205391</v>
      </c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>
        <v>0</v>
      </c>
      <c r="CR181" s="25"/>
      <c r="CS181" s="25"/>
      <c r="CT181" s="25"/>
      <c r="CU181" s="25"/>
      <c r="CV181" s="25"/>
      <c r="CW181" s="25"/>
      <c r="DP181" s="32"/>
      <c r="DQ181" s="32"/>
      <c r="DR181" s="36"/>
      <c r="DS181" s="36"/>
      <c r="DT181" s="32"/>
      <c r="DU181" s="32"/>
      <c r="DV181" s="32"/>
      <c r="DW181" s="32"/>
      <c r="DX181" s="32"/>
      <c r="DY181" s="32"/>
      <c r="DZ181" s="32"/>
      <c r="EA181" s="25"/>
      <c r="EB181" s="17"/>
      <c r="EC181" s="16">
        <v>5401072</v>
      </c>
      <c r="ED181" s="40" t="s">
        <v>213</v>
      </c>
      <c r="EE181" s="16">
        <v>2</v>
      </c>
    </row>
    <row r="182" spans="11:135" ht="13.5" customHeight="1">
      <c r="O182" s="25"/>
      <c r="AI182" s="28"/>
      <c r="AJ182" s="28"/>
      <c r="AK182" s="28"/>
      <c r="AL182" s="28"/>
      <c r="AM182" s="28"/>
      <c r="AN182" s="28"/>
      <c r="AO182" s="30"/>
      <c r="AP182" s="28"/>
      <c r="AS182" s="28"/>
      <c r="AT182" s="28"/>
      <c r="AU182" s="30"/>
      <c r="AV182" s="28"/>
      <c r="AW182" s="28"/>
      <c r="AX182" s="28"/>
      <c r="AZ182" s="28"/>
      <c r="BA182" s="16">
        <f t="shared" si="182"/>
        <v>53274.884105960329</v>
      </c>
      <c r="BC182" s="7" t="e">
        <f t="shared" si="152"/>
        <v>#N/A</v>
      </c>
      <c r="BR182" s="7">
        <v>5301063</v>
      </c>
      <c r="BS182" s="9">
        <f>[1]monsters!$N182</f>
        <v>192</v>
      </c>
      <c r="BT182" s="9">
        <f>[1]monsters!$O182</f>
        <v>19.2</v>
      </c>
      <c r="BU182" s="9">
        <f>[1]monsters!$P182</f>
        <v>1600</v>
      </c>
      <c r="BV182" s="9">
        <f>[1]monsters!$Q182</f>
        <v>160</v>
      </c>
      <c r="BW182" s="9">
        <f>[1]monsters!$R182</f>
        <v>27.43</v>
      </c>
      <c r="BX182" s="9">
        <f>[1]monsters!$S182</f>
        <v>2.74</v>
      </c>
      <c r="BY182" s="9">
        <f>[1]monsters!$K182</f>
        <v>1.5</v>
      </c>
      <c r="BZ182" s="7">
        <f>[1]monsters!$D182</f>
        <v>4</v>
      </c>
      <c r="CA182" s="7">
        <f t="shared" si="153"/>
        <v>0.1</v>
      </c>
      <c r="CB182" s="7">
        <f t="shared" si="154"/>
        <v>235.31205387205389</v>
      </c>
      <c r="CC182" s="7">
        <f t="shared" si="155"/>
        <v>23.531205387205389</v>
      </c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>
        <v>0</v>
      </c>
      <c r="CR182" s="25"/>
      <c r="CS182" s="25"/>
      <c r="CT182" s="25"/>
      <c r="CU182" s="25"/>
      <c r="CV182" s="25"/>
      <c r="CW182" s="25"/>
      <c r="DP182" s="32"/>
      <c r="DQ182" s="32"/>
      <c r="DR182" s="32"/>
      <c r="DS182" s="36"/>
      <c r="DT182" s="36"/>
      <c r="DU182" s="36"/>
      <c r="DV182" s="36"/>
      <c r="DW182" s="36"/>
      <c r="DX182" s="36"/>
      <c r="DY182" s="36"/>
      <c r="DZ182" s="36"/>
      <c r="EA182" s="25"/>
      <c r="EB182" s="17"/>
      <c r="EC182" s="16">
        <v>5402072</v>
      </c>
      <c r="ED182" s="40" t="s">
        <v>214</v>
      </c>
      <c r="EE182" s="16">
        <v>2</v>
      </c>
    </row>
    <row r="183" spans="11:135" ht="13.5" customHeight="1">
      <c r="O183" s="25"/>
      <c r="AI183" s="28"/>
      <c r="AJ183" s="28"/>
      <c r="AK183" s="28"/>
      <c r="AL183" s="28"/>
      <c r="AM183" s="28"/>
      <c r="AN183" s="28"/>
      <c r="AO183" s="30"/>
      <c r="AP183" s="28"/>
      <c r="AS183" s="28"/>
      <c r="AT183" s="28"/>
      <c r="AU183" s="30"/>
      <c r="AV183" s="28"/>
      <c r="AW183" s="28"/>
      <c r="AX183" s="28"/>
      <c r="AZ183" s="28"/>
      <c r="BA183" s="16">
        <f t="shared" si="182"/>
        <v>53136.397350993444</v>
      </c>
      <c r="BC183" s="7" t="e">
        <f t="shared" si="152"/>
        <v>#N/A</v>
      </c>
      <c r="BR183" s="7">
        <v>5400063</v>
      </c>
      <c r="BS183" s="9">
        <f>[1]monsters!$N183</f>
        <v>224</v>
      </c>
      <c r="BT183" s="9">
        <f>[1]monsters!$O183</f>
        <v>22.4</v>
      </c>
      <c r="BU183" s="9">
        <f>[1]monsters!$P183</f>
        <v>1371.43</v>
      </c>
      <c r="BV183" s="9">
        <f>[1]monsters!$Q183</f>
        <v>137.13999999999999</v>
      </c>
      <c r="BW183" s="9">
        <f>[1]monsters!$R183</f>
        <v>28</v>
      </c>
      <c r="BX183" s="9">
        <f>[1]monsters!$S183</f>
        <v>2.8</v>
      </c>
      <c r="BY183" s="9">
        <f>[1]monsters!$K183</f>
        <v>1.5</v>
      </c>
      <c r="BZ183" s="7">
        <f>[1]monsters!$D183</f>
        <v>5</v>
      </c>
      <c r="CA183" s="7">
        <f t="shared" si="153"/>
        <v>0.1</v>
      </c>
      <c r="CB183" s="7">
        <f t="shared" si="154"/>
        <v>257.85609427609427</v>
      </c>
      <c r="CC183" s="7">
        <f t="shared" si="155"/>
        <v>25.78560942760943</v>
      </c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>
        <v>1</v>
      </c>
      <c r="CR183" s="25"/>
      <c r="CS183" s="25"/>
      <c r="CT183" s="25"/>
      <c r="CU183" s="25"/>
      <c r="CV183" s="25"/>
      <c r="CW183" s="25"/>
      <c r="DP183" s="32"/>
      <c r="DQ183" s="32"/>
      <c r="DR183" s="32"/>
      <c r="DS183" s="32"/>
      <c r="DT183" s="36"/>
      <c r="DU183" s="36"/>
      <c r="DV183" s="36"/>
      <c r="DW183" s="36"/>
      <c r="DX183" s="36"/>
      <c r="DY183" s="36"/>
      <c r="DZ183" s="36"/>
      <c r="EA183" s="25"/>
      <c r="EB183" s="17"/>
      <c r="EC183" s="16">
        <v>5500072</v>
      </c>
      <c r="ED183" s="40" t="s">
        <v>115</v>
      </c>
      <c r="EE183" s="16">
        <v>2</v>
      </c>
    </row>
    <row r="184" spans="11:135" ht="13.5" customHeight="1">
      <c r="O184" s="25"/>
      <c r="AI184" s="28"/>
      <c r="AJ184" s="28"/>
      <c r="AK184" s="28"/>
      <c r="AL184" s="28"/>
      <c r="AM184" s="28"/>
      <c r="AN184" s="28"/>
      <c r="AO184" s="30"/>
      <c r="AP184" s="28"/>
      <c r="AS184" s="28"/>
      <c r="AT184" s="28"/>
      <c r="AU184" s="30"/>
      <c r="AV184" s="28"/>
      <c r="AW184" s="28"/>
      <c r="AX184" s="28"/>
      <c r="AZ184" s="28"/>
      <c r="BA184" s="16">
        <f t="shared" si="182"/>
        <v>52997.910596026559</v>
      </c>
      <c r="BC184" s="7" t="e">
        <f t="shared" si="152"/>
        <v>#N/A</v>
      </c>
      <c r="BR184" s="7">
        <v>5401063</v>
      </c>
      <c r="BS184" s="9">
        <f>[1]monsters!$N184</f>
        <v>209.07</v>
      </c>
      <c r="BT184" s="9">
        <f>[1]monsters!$O184</f>
        <v>20.91</v>
      </c>
      <c r="BU184" s="9">
        <f>[1]monsters!$P184</f>
        <v>1371.43</v>
      </c>
      <c r="BV184" s="9">
        <f>[1]monsters!$Q184</f>
        <v>137.13999999999999</v>
      </c>
      <c r="BW184" s="9">
        <f>[1]monsters!$R184</f>
        <v>26.13</v>
      </c>
      <c r="BX184" s="9">
        <f>[1]monsters!$S184</f>
        <v>2.61</v>
      </c>
      <c r="BY184" s="9">
        <f>[1]monsters!$K184</f>
        <v>1.4000000000000001</v>
      </c>
      <c r="BZ184" s="7">
        <f>[1]monsters!$D184</f>
        <v>5</v>
      </c>
      <c r="CA184" s="7">
        <f t="shared" si="153"/>
        <v>0.1</v>
      </c>
      <c r="CB184" s="7">
        <f t="shared" si="154"/>
        <v>243.74724427609431</v>
      </c>
      <c r="CC184" s="7">
        <f t="shared" si="155"/>
        <v>24.374724427609433</v>
      </c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>
        <v>0</v>
      </c>
      <c r="CR184" s="25"/>
      <c r="CS184" s="25"/>
      <c r="CT184" s="25"/>
      <c r="CU184" s="25"/>
      <c r="CV184" s="25"/>
      <c r="CW184" s="25"/>
      <c r="DP184" s="32"/>
      <c r="DQ184" s="32"/>
      <c r="DR184" s="32"/>
      <c r="DS184" s="36"/>
      <c r="DT184" s="36"/>
      <c r="DU184" s="36"/>
      <c r="DV184" s="36"/>
      <c r="DW184" s="36"/>
      <c r="DX184" s="36"/>
      <c r="DY184" s="36"/>
      <c r="DZ184" s="36"/>
      <c r="EA184" s="25"/>
      <c r="EB184" s="17"/>
      <c r="EC184" s="16">
        <v>5502072</v>
      </c>
      <c r="ED184" s="40" t="s">
        <v>215</v>
      </c>
      <c r="EE184" s="16">
        <v>2</v>
      </c>
    </row>
    <row r="185" spans="11:135" ht="13.5" customHeight="1">
      <c r="O185" s="25"/>
      <c r="AI185" s="28"/>
      <c r="AJ185" s="28"/>
      <c r="AK185" s="28"/>
      <c r="AL185" s="28"/>
      <c r="AM185" s="28"/>
      <c r="AN185" s="28"/>
      <c r="AO185" s="30"/>
      <c r="AP185" s="28"/>
      <c r="AS185" s="28"/>
      <c r="AT185" s="28"/>
      <c r="AU185" s="30"/>
      <c r="AV185" s="28"/>
      <c r="AW185" s="28"/>
      <c r="AX185" s="28"/>
      <c r="AZ185" s="28"/>
      <c r="BA185" s="16">
        <f t="shared" si="182"/>
        <v>52859.423841059674</v>
      </c>
      <c r="BC185" s="7" t="e">
        <f t="shared" si="152"/>
        <v>#N/A</v>
      </c>
      <c r="BR185" s="7">
        <v>5501063</v>
      </c>
      <c r="BS185" s="9">
        <f>[1]monsters!$N185</f>
        <v>248</v>
      </c>
      <c r="BT185" s="9">
        <f>[1]monsters!$O185</f>
        <v>24.8</v>
      </c>
      <c r="BU185" s="9">
        <f>[1]monsters!$P185</f>
        <v>1238.71</v>
      </c>
      <c r="BV185" s="9">
        <f>[1]monsters!$Q185</f>
        <v>123.87</v>
      </c>
      <c r="BW185" s="9">
        <f>[1]monsters!$R185</f>
        <v>24.8</v>
      </c>
      <c r="BX185" s="9">
        <f>[1]monsters!$S185</f>
        <v>2.48</v>
      </c>
      <c r="BY185" s="9">
        <f>[1]monsters!$K185</f>
        <v>1.5</v>
      </c>
      <c r="BZ185" s="7">
        <f>[1]monsters!$D185</f>
        <v>6</v>
      </c>
      <c r="CA185" s="7">
        <f t="shared" si="153"/>
        <v>0.1</v>
      </c>
      <c r="CB185" s="7">
        <f t="shared" si="154"/>
        <v>276.06740740740747</v>
      </c>
      <c r="CC185" s="7">
        <f t="shared" si="155"/>
        <v>27.606740740740747</v>
      </c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>
        <v>0</v>
      </c>
      <c r="CR185" s="25"/>
      <c r="CS185" s="25"/>
      <c r="CT185" s="25"/>
      <c r="CU185" s="25"/>
      <c r="CV185" s="25"/>
      <c r="CW185" s="25"/>
      <c r="DP185" s="32"/>
      <c r="DQ185" s="32"/>
      <c r="DR185" s="32"/>
      <c r="DS185" s="36"/>
      <c r="DT185" s="36"/>
      <c r="DU185" s="36"/>
      <c r="DV185" s="36"/>
      <c r="DW185" s="36"/>
      <c r="DX185" s="36"/>
      <c r="DY185" s="36"/>
      <c r="DZ185" s="36"/>
      <c r="EA185" s="25"/>
      <c r="EB185" s="17"/>
      <c r="EC185" s="16">
        <v>5601072</v>
      </c>
      <c r="ED185" s="40" t="s">
        <v>216</v>
      </c>
      <c r="EE185" s="16">
        <v>2</v>
      </c>
    </row>
    <row r="186" spans="11:135" ht="13.5" customHeight="1">
      <c r="O186" s="25"/>
      <c r="AI186" s="28"/>
      <c r="AJ186" s="28"/>
      <c r="AK186" s="28"/>
      <c r="AL186" s="28"/>
      <c r="AM186" s="28"/>
      <c r="AN186" s="28"/>
      <c r="AO186" s="30"/>
      <c r="AP186" s="28"/>
      <c r="AS186" s="28"/>
      <c r="AT186" s="28"/>
      <c r="AU186" s="30"/>
      <c r="AV186" s="28"/>
      <c r="AW186" s="28"/>
      <c r="AX186" s="28"/>
      <c r="AZ186" s="28"/>
      <c r="BA186" s="16">
        <f t="shared" si="182"/>
        <v>52720.937086092788</v>
      </c>
      <c r="BC186" s="7" t="e">
        <f t="shared" si="152"/>
        <v>#N/A</v>
      </c>
      <c r="BR186" s="7">
        <v>5502063</v>
      </c>
      <c r="BS186" s="9">
        <f>[1]monsters!$N186</f>
        <v>160</v>
      </c>
      <c r="BT186" s="9">
        <f>[1]monsters!$O186</f>
        <v>16</v>
      </c>
      <c r="BU186" s="9">
        <f>[1]monsters!$P186</f>
        <v>1920</v>
      </c>
      <c r="BV186" s="9">
        <f>[1]monsters!$Q186</f>
        <v>192</v>
      </c>
      <c r="BW186" s="9">
        <f>[1]monsters!$R186</f>
        <v>40</v>
      </c>
      <c r="BX186" s="9">
        <f>[1]monsters!$S186</f>
        <v>4</v>
      </c>
      <c r="BY186" s="9">
        <f>[1]monsters!$K186</f>
        <v>1.5</v>
      </c>
      <c r="BZ186" s="7">
        <f>[1]monsters!$D186</f>
        <v>2</v>
      </c>
      <c r="CA186" s="7">
        <f t="shared" si="153"/>
        <v>0.1</v>
      </c>
      <c r="CB186" s="7">
        <f t="shared" si="154"/>
        <v>215.84646464646465</v>
      </c>
      <c r="CC186" s="7">
        <f t="shared" si="155"/>
        <v>21.584646464646468</v>
      </c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>
        <v>0</v>
      </c>
      <c r="CR186" s="25"/>
      <c r="CS186" s="25"/>
      <c r="CT186" s="25"/>
      <c r="CU186" s="25"/>
      <c r="CV186" s="25"/>
      <c r="CW186" s="25"/>
      <c r="DP186" s="32"/>
      <c r="DQ186" s="32"/>
      <c r="DR186" s="32"/>
      <c r="DS186" s="36"/>
      <c r="DT186" s="36"/>
      <c r="DU186" s="36"/>
      <c r="DV186" s="36"/>
      <c r="DW186" s="36"/>
      <c r="DX186" s="36"/>
      <c r="DY186" s="36"/>
      <c r="DZ186" s="36"/>
      <c r="EA186" s="25"/>
      <c r="EB186" s="17"/>
      <c r="EC186" s="16">
        <v>5200073</v>
      </c>
      <c r="ED186" s="40" t="s">
        <v>119</v>
      </c>
      <c r="EE186" s="16">
        <v>1</v>
      </c>
    </row>
    <row r="187" spans="11:135" ht="13.5" customHeight="1">
      <c r="O187" s="25"/>
      <c r="AI187" s="28"/>
      <c r="AJ187" s="28"/>
      <c r="AK187" s="28"/>
      <c r="AL187" s="28"/>
      <c r="AM187" s="28"/>
      <c r="AN187" s="28"/>
      <c r="AO187" s="30"/>
      <c r="AP187" s="28"/>
      <c r="AS187" s="28"/>
      <c r="AT187" s="28"/>
      <c r="AU187" s="30"/>
      <c r="AV187" s="28"/>
      <c r="AW187" s="28"/>
      <c r="AX187" s="28"/>
      <c r="AZ187" s="28"/>
      <c r="BA187" s="16">
        <f t="shared" si="182"/>
        <v>52582.450331125903</v>
      </c>
      <c r="BC187" s="7" t="e">
        <f t="shared" si="152"/>
        <v>#N/A</v>
      </c>
      <c r="BR187" s="7">
        <v>5600063</v>
      </c>
      <c r="BS187" s="9">
        <f>[1]monsters!$N187</f>
        <v>153.6</v>
      </c>
      <c r="BT187" s="9">
        <f>[1]monsters!$O187</f>
        <v>15.36</v>
      </c>
      <c r="BU187" s="9">
        <f>[1]monsters!$P187</f>
        <v>2400</v>
      </c>
      <c r="BV187" s="9">
        <f>[1]monsters!$Q187</f>
        <v>240</v>
      </c>
      <c r="BW187" s="9">
        <f>[1]monsters!$R187</f>
        <v>51.2</v>
      </c>
      <c r="BX187" s="9">
        <f>[1]monsters!$S187</f>
        <v>5.12</v>
      </c>
      <c r="BY187" s="9">
        <f>[1]monsters!$K187</f>
        <v>1.8</v>
      </c>
      <c r="BZ187" s="7">
        <f>[1]monsters!$D187</f>
        <v>2</v>
      </c>
      <c r="CA187" s="7">
        <f t="shared" si="153"/>
        <v>0.1</v>
      </c>
      <c r="CB187" s="7">
        <f t="shared" si="154"/>
        <v>225.96008080808082</v>
      </c>
      <c r="CC187" s="7">
        <f t="shared" si="155"/>
        <v>22.596008080808083</v>
      </c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>
        <v>0</v>
      </c>
      <c r="CR187" s="25"/>
      <c r="CS187" s="25"/>
      <c r="CT187" s="25"/>
      <c r="CU187" s="25"/>
      <c r="CV187" s="25"/>
      <c r="CW187" s="25"/>
      <c r="DP187" s="32"/>
      <c r="DQ187" s="32"/>
      <c r="DR187" s="32"/>
      <c r="DS187" s="36"/>
      <c r="DT187" s="36"/>
      <c r="DU187" s="36"/>
      <c r="DV187" s="36"/>
      <c r="DW187" s="36"/>
      <c r="DX187" s="36"/>
      <c r="DY187" s="36"/>
      <c r="DZ187" s="36"/>
      <c r="EA187" s="25"/>
      <c r="EB187" s="17"/>
      <c r="EC187" s="16">
        <v>5201073</v>
      </c>
      <c r="ED187" s="40" t="s">
        <v>217</v>
      </c>
      <c r="EE187" s="16">
        <v>1</v>
      </c>
    </row>
    <row r="188" spans="11:135" ht="13.5" customHeight="1">
      <c r="O188" s="25"/>
      <c r="AI188" s="28"/>
      <c r="AJ188" s="28"/>
      <c r="AK188" s="28"/>
      <c r="AL188" s="28"/>
      <c r="AM188" s="28"/>
      <c r="AN188" s="28"/>
      <c r="AO188" s="30"/>
      <c r="AP188" s="28"/>
      <c r="AS188" s="28"/>
      <c r="AT188" s="28"/>
      <c r="AU188" s="30"/>
      <c r="AV188" s="28"/>
      <c r="AW188" s="28"/>
      <c r="AX188" s="28"/>
      <c r="AZ188" s="28"/>
      <c r="BA188" s="16">
        <f t="shared" si="182"/>
        <v>52443.963576159018</v>
      </c>
      <c r="BC188" s="7" t="e">
        <f t="shared" si="152"/>
        <v>#N/A</v>
      </c>
      <c r="BR188" s="7">
        <v>5601063</v>
      </c>
      <c r="BS188" s="9">
        <f>[1]monsters!$N188</f>
        <v>172.8</v>
      </c>
      <c r="BT188" s="9">
        <f>[1]monsters!$O188</f>
        <v>17.28</v>
      </c>
      <c r="BU188" s="9">
        <f>[1]monsters!$P188</f>
        <v>2133.33</v>
      </c>
      <c r="BV188" s="9">
        <f>[1]monsters!$Q188</f>
        <v>213.33</v>
      </c>
      <c r="BW188" s="9">
        <f>[1]monsters!$R188</f>
        <v>34.56</v>
      </c>
      <c r="BX188" s="9">
        <f>[1]monsters!$S188</f>
        <v>3.46</v>
      </c>
      <c r="BY188" s="9">
        <f>[1]monsters!$K188</f>
        <v>1.8</v>
      </c>
      <c r="BZ188" s="7">
        <f>[1]monsters!$D188</f>
        <v>2</v>
      </c>
      <c r="CA188" s="7">
        <f t="shared" si="153"/>
        <v>0.1</v>
      </c>
      <c r="CB188" s="7">
        <f t="shared" si="154"/>
        <v>235.12529292929293</v>
      </c>
      <c r="CC188" s="7">
        <f t="shared" si="155"/>
        <v>23.512529292929294</v>
      </c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>
        <v>1</v>
      </c>
      <c r="CR188" s="25"/>
      <c r="CS188" s="25"/>
      <c r="CT188" s="25"/>
      <c r="CU188" s="25"/>
      <c r="CV188" s="25"/>
      <c r="CW188" s="25"/>
      <c r="DP188" s="13"/>
      <c r="DQ188" s="13"/>
      <c r="DR188" s="13"/>
      <c r="DS188" s="32"/>
      <c r="DT188" s="14"/>
      <c r="DU188" s="14"/>
      <c r="DV188" s="14"/>
      <c r="DW188" s="14"/>
      <c r="DX188" s="14"/>
      <c r="DY188" s="14"/>
      <c r="DZ188" s="14"/>
      <c r="EA188" s="25"/>
      <c r="EB188" s="17"/>
      <c r="EC188" s="16">
        <v>5202073</v>
      </c>
      <c r="ED188" s="40" t="s">
        <v>220</v>
      </c>
      <c r="EE188" s="16">
        <v>1</v>
      </c>
    </row>
    <row r="189" spans="11:135" ht="13.5" customHeight="1">
      <c r="O189" s="25"/>
      <c r="AI189" s="28"/>
      <c r="AJ189" s="28"/>
      <c r="AK189" s="28"/>
      <c r="AL189" s="28"/>
      <c r="AM189" s="28"/>
      <c r="AN189" s="28"/>
      <c r="AO189" s="30"/>
      <c r="AP189" s="28"/>
      <c r="AS189" s="28"/>
      <c r="AT189" s="28"/>
      <c r="AU189" s="30"/>
      <c r="AV189" s="28"/>
      <c r="AW189" s="28"/>
      <c r="AX189" s="28"/>
      <c r="AZ189" s="28"/>
      <c r="BA189" s="16">
        <f t="shared" si="182"/>
        <v>52305.476821192133</v>
      </c>
      <c r="BC189" s="7" t="e">
        <f t="shared" si="152"/>
        <v>#N/A</v>
      </c>
      <c r="BR189" s="7">
        <v>5200064</v>
      </c>
      <c r="BS189" s="9">
        <f>[1]monsters!$N189</f>
        <v>115.2</v>
      </c>
      <c r="BT189" s="9">
        <f>[1]monsters!$O189</f>
        <v>11.52</v>
      </c>
      <c r="BU189" s="9">
        <f>[1]monsters!$P189</f>
        <v>2133.33</v>
      </c>
      <c r="BV189" s="9">
        <f>[1]monsters!$Q189</f>
        <v>213.33</v>
      </c>
      <c r="BW189" s="9">
        <f>[1]monsters!$R189</f>
        <v>23.04</v>
      </c>
      <c r="BX189" s="9">
        <f>[1]monsters!$S189</f>
        <v>2.2999999999999998</v>
      </c>
      <c r="BY189" s="9">
        <f>[1]monsters!$K189</f>
        <v>1.2</v>
      </c>
      <c r="BZ189" s="7">
        <f>[1]monsters!$D189</f>
        <v>3</v>
      </c>
      <c r="CA189" s="7">
        <f t="shared" si="153"/>
        <v>0.1</v>
      </c>
      <c r="CB189" s="7">
        <f t="shared" si="154"/>
        <v>180.69329292929291</v>
      </c>
      <c r="CC189" s="7">
        <f t="shared" si="155"/>
        <v>18.069329292929293</v>
      </c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>
        <v>0</v>
      </c>
      <c r="CR189" s="25"/>
      <c r="CS189" s="25"/>
      <c r="CT189" s="25"/>
      <c r="CU189" s="25"/>
      <c r="CV189" s="25"/>
      <c r="CW189" s="25"/>
      <c r="DP189" s="32"/>
      <c r="DQ189" s="32"/>
      <c r="DR189" s="32"/>
      <c r="DS189" s="36"/>
      <c r="DT189" s="32"/>
      <c r="DU189" s="32"/>
      <c r="DV189" s="32"/>
      <c r="DW189" s="32"/>
      <c r="DX189" s="32"/>
      <c r="DY189" s="32"/>
      <c r="DZ189" s="32"/>
      <c r="EA189" s="25"/>
      <c r="EB189" s="43"/>
      <c r="EC189" s="16">
        <v>5301073</v>
      </c>
      <c r="ED189" s="40" t="s">
        <v>218</v>
      </c>
      <c r="EE189" s="16">
        <v>1</v>
      </c>
    </row>
    <row r="190" spans="11:135" ht="13.5" customHeight="1">
      <c r="O190" s="25"/>
      <c r="AI190" s="28"/>
      <c r="AJ190" s="28"/>
      <c r="AK190" s="28"/>
      <c r="AL190" s="28"/>
      <c r="AM190" s="28"/>
      <c r="AN190" s="28"/>
      <c r="AO190" s="30"/>
      <c r="AP190" s="28"/>
      <c r="AS190" s="28"/>
      <c r="AT190" s="28"/>
      <c r="AU190" s="30"/>
      <c r="AV190" s="28"/>
      <c r="AW190" s="28"/>
      <c r="AX190" s="28"/>
      <c r="AZ190" s="28"/>
      <c r="BA190" s="16">
        <f t="shared" si="182"/>
        <v>52166.990066225248</v>
      </c>
      <c r="BC190" s="7" t="e">
        <f t="shared" si="152"/>
        <v>#N/A</v>
      </c>
      <c r="BR190" s="7">
        <v>5201064</v>
      </c>
      <c r="BS190" s="9">
        <f>[1]monsters!$N190</f>
        <v>204.8</v>
      </c>
      <c r="BT190" s="9">
        <f>[1]monsters!$O190</f>
        <v>20.48</v>
      </c>
      <c r="BU190" s="9">
        <f>[1]monsters!$P190</f>
        <v>1600</v>
      </c>
      <c r="BV190" s="9">
        <f>[1]monsters!$Q190</f>
        <v>160</v>
      </c>
      <c r="BW190" s="9">
        <f>[1]monsters!$R190</f>
        <v>29.26</v>
      </c>
      <c r="BX190" s="9">
        <f>[1]monsters!$S190</f>
        <v>2.93</v>
      </c>
      <c r="BY190" s="9">
        <f>[1]monsters!$K190</f>
        <v>1.6</v>
      </c>
      <c r="BZ190" s="7">
        <f>[1]monsters!$D190</f>
        <v>4</v>
      </c>
      <c r="CA190" s="7">
        <f t="shared" si="153"/>
        <v>0.1</v>
      </c>
      <c r="CB190" s="7">
        <f t="shared" si="154"/>
        <v>247.4080538720539</v>
      </c>
      <c r="CC190" s="7">
        <f t="shared" si="155"/>
        <v>24.740805387205391</v>
      </c>
      <c r="CD190" s="7"/>
      <c r="CE190" s="7"/>
      <c r="CF190" s="7"/>
      <c r="CG190" s="7"/>
      <c r="CH190" s="7"/>
      <c r="CI190" s="7"/>
      <c r="CJ190" s="7"/>
      <c r="CK190" s="7"/>
      <c r="CL190" s="7"/>
      <c r="CM190" s="7"/>
      <c r="CN190" s="7"/>
      <c r="CO190" s="7"/>
      <c r="CP190" s="7">
        <v>0</v>
      </c>
      <c r="CR190" s="25"/>
      <c r="CS190" s="25"/>
      <c r="CT190" s="25"/>
      <c r="CU190" s="25"/>
      <c r="CV190" s="25"/>
      <c r="CW190" s="25"/>
      <c r="DP190" s="32"/>
      <c r="DQ190" s="32"/>
      <c r="DR190" s="32"/>
      <c r="DS190" s="14"/>
      <c r="DT190" s="14"/>
      <c r="DU190" s="14"/>
      <c r="DV190" s="14"/>
      <c r="DW190" s="14"/>
      <c r="DX190" s="14"/>
      <c r="DY190" s="14"/>
      <c r="DZ190" s="14"/>
      <c r="EA190" s="25"/>
      <c r="EB190" s="17"/>
      <c r="EC190" s="16">
        <v>5401073</v>
      </c>
      <c r="ED190" s="40" t="s">
        <v>223</v>
      </c>
      <c r="EE190" s="16">
        <v>2</v>
      </c>
    </row>
    <row r="191" spans="11:135" ht="13.5" customHeight="1">
      <c r="K191" s="2"/>
      <c r="O191" s="25"/>
      <c r="AI191" s="28"/>
      <c r="AJ191" s="28"/>
      <c r="AK191" s="28"/>
      <c r="AL191" s="28"/>
      <c r="AM191" s="28"/>
      <c r="AN191" s="28"/>
      <c r="AO191" s="30"/>
      <c r="AP191" s="28"/>
      <c r="AS191" s="28"/>
      <c r="AT191" s="28"/>
      <c r="AU191" s="30"/>
      <c r="AV191" s="28"/>
      <c r="AW191" s="28"/>
      <c r="AX191" s="28"/>
      <c r="AZ191" s="28"/>
      <c r="BA191" s="16">
        <f t="shared" si="182"/>
        <v>52028.503311258362</v>
      </c>
      <c r="BC191" s="7" t="e">
        <f t="shared" si="152"/>
        <v>#N/A</v>
      </c>
      <c r="BR191" s="7">
        <v>5300064</v>
      </c>
      <c r="BS191" s="9">
        <f>[1]monsters!$N191</f>
        <v>192</v>
      </c>
      <c r="BT191" s="9">
        <f>[1]monsters!$O191</f>
        <v>19.2</v>
      </c>
      <c r="BU191" s="9">
        <f>[1]monsters!$P191</f>
        <v>1600</v>
      </c>
      <c r="BV191" s="9">
        <f>[1]monsters!$Q191</f>
        <v>160</v>
      </c>
      <c r="BW191" s="9">
        <f>[1]monsters!$R191</f>
        <v>27.43</v>
      </c>
      <c r="BX191" s="9">
        <f>[1]monsters!$S191</f>
        <v>2.74</v>
      </c>
      <c r="BY191" s="9">
        <f>[1]monsters!$K191</f>
        <v>1.5</v>
      </c>
      <c r="BZ191" s="7">
        <f>[1]monsters!$D191</f>
        <v>4</v>
      </c>
      <c r="CA191" s="7">
        <f t="shared" si="153"/>
        <v>0.1</v>
      </c>
      <c r="CB191" s="7">
        <f t="shared" si="154"/>
        <v>235.31205387205389</v>
      </c>
      <c r="CC191" s="7">
        <f t="shared" si="155"/>
        <v>23.531205387205389</v>
      </c>
      <c r="CD191" s="7"/>
      <c r="CE191" s="7"/>
      <c r="CF191" s="7"/>
      <c r="CG191" s="7"/>
      <c r="CH191" s="7"/>
      <c r="CI191" s="7"/>
      <c r="CJ191" s="7"/>
      <c r="CK191" s="7"/>
      <c r="CL191" s="7"/>
      <c r="CM191" s="7"/>
      <c r="CN191" s="7"/>
      <c r="CO191" s="7"/>
      <c r="CP191" s="7">
        <v>0</v>
      </c>
      <c r="CR191" s="25"/>
      <c r="CS191" s="25"/>
      <c r="CT191" s="25"/>
      <c r="CU191" s="25"/>
      <c r="CV191" s="25"/>
      <c r="CW191" s="25"/>
      <c r="DP191" s="32"/>
      <c r="DQ191" s="32"/>
      <c r="DR191" s="32"/>
      <c r="DS191" s="36"/>
      <c r="DT191" s="32"/>
      <c r="DU191" s="32"/>
      <c r="DV191" s="32"/>
      <c r="DW191" s="32"/>
      <c r="DX191" s="32"/>
      <c r="DY191" s="32"/>
      <c r="DZ191" s="32"/>
      <c r="EA191" s="25"/>
      <c r="EB191" s="17"/>
      <c r="EC191" s="16">
        <v>5402073</v>
      </c>
      <c r="ED191" s="40" t="s">
        <v>124</v>
      </c>
      <c r="EE191" s="16">
        <v>2</v>
      </c>
    </row>
    <row r="192" spans="11:135" ht="13.5" customHeight="1">
      <c r="K192" s="2"/>
      <c r="O192" s="25"/>
      <c r="AI192" s="28"/>
      <c r="AJ192" s="28"/>
      <c r="AK192" s="28"/>
      <c r="AL192" s="28"/>
      <c r="AM192" s="28"/>
      <c r="AN192" s="28"/>
      <c r="AO192" s="30"/>
      <c r="AP192" s="28"/>
      <c r="AS192" s="28"/>
      <c r="AT192" s="28"/>
      <c r="AU192" s="30"/>
      <c r="AV192" s="28"/>
      <c r="AW192" s="28"/>
      <c r="AX192" s="28"/>
      <c r="AZ192" s="28"/>
      <c r="BA192" s="16">
        <f t="shared" si="182"/>
        <v>51890.016556291477</v>
      </c>
      <c r="BC192" s="7" t="e">
        <f t="shared" si="152"/>
        <v>#N/A</v>
      </c>
      <c r="BR192" s="7">
        <v>5301064</v>
      </c>
      <c r="BS192" s="9">
        <f>[1]monsters!$N192</f>
        <v>224</v>
      </c>
      <c r="BT192" s="9">
        <f>[1]monsters!$O192</f>
        <v>22.4</v>
      </c>
      <c r="BU192" s="9">
        <f>[1]monsters!$P192</f>
        <v>1371.43</v>
      </c>
      <c r="BV192" s="9">
        <f>[1]monsters!$Q192</f>
        <v>137.13999999999999</v>
      </c>
      <c r="BW192" s="9">
        <f>[1]monsters!$R192</f>
        <v>28</v>
      </c>
      <c r="BX192" s="9">
        <f>[1]monsters!$S192</f>
        <v>2.8</v>
      </c>
      <c r="BY192" s="9">
        <f>[1]monsters!$K192</f>
        <v>1.5</v>
      </c>
      <c r="BZ192" s="7">
        <f>[1]monsters!$D192</f>
        <v>5</v>
      </c>
      <c r="CA192" s="7">
        <f t="shared" si="153"/>
        <v>0.1</v>
      </c>
      <c r="CB192" s="7">
        <f t="shared" si="154"/>
        <v>257.85609427609427</v>
      </c>
      <c r="CC192" s="7">
        <f t="shared" si="155"/>
        <v>25.78560942760943</v>
      </c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>
        <v>0</v>
      </c>
      <c r="CR192" s="25"/>
      <c r="CS192" s="25"/>
      <c r="CT192" s="25"/>
      <c r="CU192" s="25"/>
      <c r="CV192" s="25"/>
      <c r="CW192" s="25"/>
      <c r="DP192" s="32"/>
      <c r="DQ192" s="32"/>
      <c r="DR192" s="32"/>
      <c r="DS192" s="36"/>
      <c r="DT192" s="36"/>
      <c r="DU192" s="36"/>
      <c r="DV192" s="36"/>
      <c r="DW192" s="36"/>
      <c r="DX192" s="36"/>
      <c r="DY192" s="36"/>
      <c r="DZ192" s="36"/>
      <c r="EA192" s="25"/>
      <c r="EB192" s="17"/>
      <c r="EC192" s="16">
        <v>5500073</v>
      </c>
      <c r="ED192" s="40" t="s">
        <v>219</v>
      </c>
      <c r="EE192" s="16">
        <v>2</v>
      </c>
    </row>
    <row r="193" spans="11:137" ht="13.5" customHeight="1">
      <c r="K193" s="2"/>
      <c r="O193" s="25"/>
      <c r="AI193" s="28"/>
      <c r="AJ193" s="28"/>
      <c r="AK193" s="28"/>
      <c r="AL193" s="28"/>
      <c r="AM193" s="28"/>
      <c r="AN193" s="28"/>
      <c r="AO193" s="30"/>
      <c r="AP193" s="28"/>
      <c r="AS193" s="28"/>
      <c r="AT193" s="28"/>
      <c r="AU193" s="30"/>
      <c r="AV193" s="28"/>
      <c r="AW193" s="28"/>
      <c r="AX193" s="28"/>
      <c r="AZ193" s="28"/>
      <c r="BA193" s="16">
        <f t="shared" si="182"/>
        <v>51751.529801324592</v>
      </c>
      <c r="BC193" s="7" t="e">
        <f t="shared" si="152"/>
        <v>#N/A</v>
      </c>
      <c r="BR193" s="7">
        <v>5401064</v>
      </c>
      <c r="BS193" s="9">
        <f>[1]monsters!$N193</f>
        <v>209.07</v>
      </c>
      <c r="BT193" s="9">
        <f>[1]monsters!$O193</f>
        <v>20.91</v>
      </c>
      <c r="BU193" s="9">
        <f>[1]monsters!$P193</f>
        <v>1371.43</v>
      </c>
      <c r="BV193" s="9">
        <f>[1]monsters!$Q193</f>
        <v>137.13999999999999</v>
      </c>
      <c r="BW193" s="9">
        <f>[1]monsters!$R193</f>
        <v>26.13</v>
      </c>
      <c r="BX193" s="9">
        <f>[1]monsters!$S193</f>
        <v>2.61</v>
      </c>
      <c r="BY193" s="9">
        <f>[1]monsters!$K193</f>
        <v>1.4000000000000001</v>
      </c>
      <c r="BZ193" s="7">
        <f>[1]monsters!$D193</f>
        <v>5</v>
      </c>
      <c r="CA193" s="7">
        <f t="shared" si="153"/>
        <v>0.1</v>
      </c>
      <c r="CB193" s="7">
        <f t="shared" si="154"/>
        <v>243.74724427609431</v>
      </c>
      <c r="CC193" s="7">
        <f t="shared" si="155"/>
        <v>24.374724427609433</v>
      </c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>
        <v>1</v>
      </c>
      <c r="CR193" s="25"/>
      <c r="CS193" s="25"/>
      <c r="CT193" s="25"/>
      <c r="CU193" s="25"/>
      <c r="CV193" s="25"/>
      <c r="CW193" s="25"/>
      <c r="DP193" s="32"/>
      <c r="DQ193" s="36"/>
      <c r="DR193" s="32"/>
      <c r="DS193" s="36"/>
      <c r="DT193" s="36"/>
      <c r="DU193" s="14"/>
      <c r="DV193" s="14"/>
      <c r="DW193" s="14"/>
      <c r="DX193" s="14"/>
      <c r="DY193" s="14"/>
      <c r="DZ193" s="14"/>
      <c r="EA193" s="25"/>
      <c r="EB193" s="17"/>
      <c r="EC193" s="16">
        <v>5502073</v>
      </c>
      <c r="ED193" s="40" t="s">
        <v>227</v>
      </c>
      <c r="EE193" s="16">
        <v>2</v>
      </c>
    </row>
    <row r="194" spans="11:137" ht="13.5" customHeight="1">
      <c r="K194" s="2"/>
      <c r="L194" s="18"/>
      <c r="O194" s="25"/>
      <c r="AI194" s="28"/>
      <c r="AJ194" s="28"/>
      <c r="AK194" s="28"/>
      <c r="AL194" s="28"/>
      <c r="AM194" s="28"/>
      <c r="AN194" s="28"/>
      <c r="AO194" s="30"/>
      <c r="AP194" s="28"/>
      <c r="AS194" s="28"/>
      <c r="AT194" s="28"/>
      <c r="AU194" s="30"/>
      <c r="AV194" s="28"/>
      <c r="AW194" s="28"/>
      <c r="AX194" s="28"/>
      <c r="AZ194" s="28"/>
      <c r="BA194" s="16">
        <f t="shared" si="182"/>
        <v>51613.043046357707</v>
      </c>
      <c r="BC194" s="7" t="e">
        <f t="shared" si="152"/>
        <v>#N/A</v>
      </c>
      <c r="BR194" s="7">
        <v>5402064</v>
      </c>
      <c r="BS194" s="9">
        <f>[1]monsters!$N194</f>
        <v>248</v>
      </c>
      <c r="BT194" s="9">
        <f>[1]monsters!$O194</f>
        <v>24.8</v>
      </c>
      <c r="BU194" s="9">
        <f>[1]monsters!$P194</f>
        <v>1238.71</v>
      </c>
      <c r="BV194" s="9">
        <f>[1]monsters!$Q194</f>
        <v>123.87</v>
      </c>
      <c r="BW194" s="9">
        <f>[1]monsters!$R194</f>
        <v>24.8</v>
      </c>
      <c r="BX194" s="9">
        <f>[1]monsters!$S194</f>
        <v>2.48</v>
      </c>
      <c r="BY194" s="9">
        <f>[1]monsters!$K194</f>
        <v>1.5</v>
      </c>
      <c r="BZ194" s="7">
        <f>[1]monsters!$D194</f>
        <v>6</v>
      </c>
      <c r="CA194" s="7">
        <f t="shared" si="153"/>
        <v>0.1</v>
      </c>
      <c r="CB194" s="7">
        <f t="shared" si="154"/>
        <v>276.06740740740747</v>
      </c>
      <c r="CC194" s="7">
        <f t="shared" si="155"/>
        <v>27.606740740740747</v>
      </c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>
        <v>0</v>
      </c>
      <c r="CR194" s="25"/>
      <c r="CS194" s="25"/>
      <c r="CT194" s="25"/>
      <c r="CU194" s="25"/>
      <c r="CV194" s="25"/>
      <c r="CW194" s="25"/>
      <c r="DP194" s="32"/>
      <c r="DQ194" s="32"/>
      <c r="DR194" s="32"/>
      <c r="DS194" s="36"/>
      <c r="DT194" s="32"/>
      <c r="DU194" s="36"/>
      <c r="DV194" s="36"/>
      <c r="DW194" s="36"/>
      <c r="DX194" s="36"/>
      <c r="DY194" s="36"/>
      <c r="DZ194" s="36"/>
      <c r="EA194" s="25"/>
      <c r="EB194" s="17"/>
      <c r="EC194" s="16">
        <v>5601073</v>
      </c>
      <c r="ED194" s="40" t="s">
        <v>228</v>
      </c>
      <c r="EE194" s="16">
        <v>2</v>
      </c>
    </row>
    <row r="195" spans="11:137" ht="13.5" customHeight="1">
      <c r="K195" s="2"/>
      <c r="L195" s="18"/>
      <c r="O195" s="25"/>
      <c r="AI195" s="28"/>
      <c r="AJ195" s="28"/>
      <c r="AK195" s="28"/>
      <c r="AL195" s="28"/>
      <c r="AM195" s="28"/>
      <c r="AN195" s="28"/>
      <c r="AO195" s="30"/>
      <c r="AP195" s="28"/>
      <c r="AS195" s="28"/>
      <c r="AT195" s="28"/>
      <c r="AU195" s="30"/>
      <c r="AV195" s="28"/>
      <c r="AW195" s="28"/>
      <c r="AX195" s="28"/>
      <c r="AZ195" s="28"/>
      <c r="BA195" s="16">
        <f t="shared" si="182"/>
        <v>51474.556291390822</v>
      </c>
      <c r="BC195" s="7" t="e">
        <f t="shared" si="152"/>
        <v>#N/A</v>
      </c>
      <c r="BR195" s="7">
        <v>5501064</v>
      </c>
      <c r="BS195" s="9">
        <f>[1]monsters!$N195</f>
        <v>153.6</v>
      </c>
      <c r="BT195" s="9">
        <f>[1]monsters!$O195</f>
        <v>15.36</v>
      </c>
      <c r="BU195" s="9">
        <f>[1]monsters!$P195</f>
        <v>2400</v>
      </c>
      <c r="BV195" s="9">
        <f>[1]monsters!$Q195</f>
        <v>240</v>
      </c>
      <c r="BW195" s="9">
        <f>[1]monsters!$R195</f>
        <v>51.2</v>
      </c>
      <c r="BX195" s="9">
        <f>[1]monsters!$S195</f>
        <v>5.12</v>
      </c>
      <c r="BY195" s="9">
        <f>[1]monsters!$K195</f>
        <v>1.8</v>
      </c>
      <c r="BZ195" s="7">
        <f>[1]monsters!$D195</f>
        <v>2</v>
      </c>
      <c r="CA195" s="7">
        <f t="shared" si="153"/>
        <v>0.1</v>
      </c>
      <c r="CB195" s="7">
        <f t="shared" si="154"/>
        <v>225.96008080808082</v>
      </c>
      <c r="CC195" s="7">
        <f t="shared" si="155"/>
        <v>22.596008080808083</v>
      </c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>
        <v>0</v>
      </c>
      <c r="CR195" s="25"/>
      <c r="CS195" s="25"/>
      <c r="CT195" s="25"/>
      <c r="CU195" s="25"/>
      <c r="CV195" s="25"/>
      <c r="CW195" s="25"/>
      <c r="DP195" s="32"/>
      <c r="DQ195" s="32"/>
      <c r="DR195" s="32"/>
      <c r="DS195" s="32"/>
      <c r="DT195" s="32"/>
      <c r="DU195" s="32"/>
      <c r="DV195" s="32"/>
      <c r="DW195" s="32"/>
      <c r="DX195" s="32"/>
      <c r="DY195" s="32"/>
      <c r="DZ195" s="32"/>
      <c r="EA195" s="25"/>
      <c r="EB195" s="17"/>
      <c r="EC195" s="16">
        <v>5201074</v>
      </c>
      <c r="ED195" s="40" t="s">
        <v>229</v>
      </c>
      <c r="EE195" s="16">
        <v>1</v>
      </c>
    </row>
    <row r="196" spans="11:137" ht="13.5" customHeight="1">
      <c r="K196" s="2"/>
      <c r="L196" s="18"/>
      <c r="O196" s="25"/>
      <c r="AI196" s="28"/>
      <c r="AJ196" s="28"/>
      <c r="AK196" s="28"/>
      <c r="AL196" s="28"/>
      <c r="AM196" s="28"/>
      <c r="AN196" s="28"/>
      <c r="AO196" s="30"/>
      <c r="AP196" s="28"/>
      <c r="AS196" s="28"/>
      <c r="AT196" s="28"/>
      <c r="AU196" s="30"/>
      <c r="AV196" s="28"/>
      <c r="AW196" s="28"/>
      <c r="AX196" s="28"/>
      <c r="AZ196" s="28"/>
      <c r="BA196" s="16">
        <f t="shared" si="182"/>
        <v>51336.069536423936</v>
      </c>
      <c r="BC196" s="7" t="e">
        <f t="shared" si="152"/>
        <v>#N/A</v>
      </c>
      <c r="BR196" s="7">
        <v>5502064</v>
      </c>
      <c r="BS196" s="9">
        <f>[1]monsters!$N196</f>
        <v>134.4</v>
      </c>
      <c r="BT196" s="9">
        <f>[1]monsters!$O196</f>
        <v>13.44</v>
      </c>
      <c r="BU196" s="9">
        <f>[1]monsters!$P196</f>
        <v>2133.33</v>
      </c>
      <c r="BV196" s="9">
        <f>[1]monsters!$Q196</f>
        <v>213.33</v>
      </c>
      <c r="BW196" s="9">
        <f>[1]monsters!$R196</f>
        <v>26.88</v>
      </c>
      <c r="BX196" s="9">
        <f>[1]monsters!$S196</f>
        <v>2.69</v>
      </c>
      <c r="BY196" s="9">
        <f>[1]monsters!$K196</f>
        <v>1.4000000000000001</v>
      </c>
      <c r="BZ196" s="7">
        <f>[1]monsters!$D196</f>
        <v>3</v>
      </c>
      <c r="CA196" s="7">
        <f t="shared" si="153"/>
        <v>0.1</v>
      </c>
      <c r="CB196" s="7">
        <f t="shared" si="154"/>
        <v>198.83729292929291</v>
      </c>
      <c r="CC196" s="7">
        <f t="shared" si="155"/>
        <v>19.883729292929292</v>
      </c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>
        <v>0</v>
      </c>
      <c r="CR196" s="25"/>
      <c r="CS196" s="25"/>
      <c r="CT196" s="25"/>
      <c r="CU196" s="25"/>
      <c r="CV196" s="25"/>
      <c r="CW196" s="25"/>
      <c r="DP196" s="32"/>
      <c r="DQ196" s="32"/>
      <c r="DR196" s="32"/>
      <c r="DS196" s="32"/>
      <c r="DT196" s="32"/>
      <c r="DU196" s="32"/>
      <c r="DV196" s="32"/>
      <c r="DW196" s="32"/>
      <c r="DX196" s="32"/>
      <c r="DY196" s="32"/>
      <c r="DZ196" s="32"/>
      <c r="EA196" s="25"/>
      <c r="EB196" s="17"/>
      <c r="EC196" s="16">
        <v>5302074</v>
      </c>
      <c r="ED196" s="40" t="s">
        <v>230</v>
      </c>
      <c r="EE196" s="16">
        <v>1</v>
      </c>
    </row>
    <row r="197" spans="11:137" ht="13.5" customHeight="1">
      <c r="K197" s="2"/>
      <c r="L197" s="18"/>
      <c r="O197" s="25"/>
      <c r="AI197" s="28"/>
      <c r="AJ197" s="28"/>
      <c r="AK197" s="28"/>
      <c r="AL197" s="28"/>
      <c r="AM197" s="28"/>
      <c r="AN197" s="28"/>
      <c r="AO197" s="30"/>
      <c r="AP197" s="28"/>
      <c r="AS197" s="28"/>
      <c r="AT197" s="28"/>
      <c r="AU197" s="30"/>
      <c r="AV197" s="28"/>
      <c r="AW197" s="28"/>
      <c r="AX197" s="28"/>
      <c r="AZ197" s="28"/>
      <c r="BA197" s="16">
        <f t="shared" si="182"/>
        <v>51197.582781457051</v>
      </c>
      <c r="BC197" s="7" t="e">
        <f t="shared" ref="BC197:BC260" si="184">FLOOR(POWER(((3000*1.5/0.9/1.05)/(96*INDEX($BD$4:$BO$4,MATCH(W197,$BD$3:$BO$3,0))*8*INDEX($BD$4:$BO$4,MATCH(W197,$BD$3:$BO$3,0)))*AI197/IF(AND(W197&gt;=2,W197&lt;4),1.2,IF(AND(W197&gt;=4,W197&lt;6),1.4,IF(W197&gt;=6,1.6,1)))),1/2)-10,1)</f>
        <v>#N/A</v>
      </c>
      <c r="BR197" s="7">
        <v>5600064</v>
      </c>
      <c r="BS197" s="9">
        <f>[1]monsters!$N197</f>
        <v>238.93</v>
      </c>
      <c r="BT197" s="9">
        <f>[1]monsters!$O197</f>
        <v>23.89</v>
      </c>
      <c r="BU197" s="9">
        <f>[1]monsters!$P197</f>
        <v>1371.43</v>
      </c>
      <c r="BV197" s="9">
        <f>[1]monsters!$Q197</f>
        <v>137.13999999999999</v>
      </c>
      <c r="BW197" s="9">
        <f>[1]monsters!$R197</f>
        <v>29.87</v>
      </c>
      <c r="BX197" s="9">
        <f>[1]monsters!$S197</f>
        <v>2.99</v>
      </c>
      <c r="BY197" s="9">
        <f>[1]monsters!$K197</f>
        <v>1.6</v>
      </c>
      <c r="BZ197" s="7">
        <f>[1]monsters!$D197</f>
        <v>5</v>
      </c>
      <c r="CA197" s="7">
        <f t="shared" ref="CA197:CA260" si="185">INDEX($CH$5:$CH$10,MATCH($BZ197,$CG$5:$CG$10))</f>
        <v>0.1</v>
      </c>
      <c r="CB197" s="7">
        <f t="shared" ref="CB197:CB260" si="186">(BU197/33/(1-CA197)/(1-0)+BS197*(1+0.5*0.1)*0.9)</f>
        <v>271.96494427609429</v>
      </c>
      <c r="CC197" s="7">
        <f t="shared" ref="CC197:CC260" si="187">(BU197/33/(1-CA197)/(1-0)+BS197*(1+0.5*0.1)*0.9)*0.1</f>
        <v>27.19649442760943</v>
      </c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>
        <v>0</v>
      </c>
      <c r="CR197" s="25"/>
      <c r="CS197" s="25"/>
      <c r="CT197" s="25"/>
      <c r="CU197" s="25"/>
      <c r="CV197" s="25"/>
      <c r="CW197" s="25"/>
      <c r="DP197" s="32"/>
      <c r="DQ197" s="32"/>
      <c r="DR197" s="32"/>
      <c r="DS197" s="32"/>
      <c r="DT197" s="32"/>
      <c r="DU197" s="32"/>
      <c r="DV197" s="32"/>
      <c r="DW197" s="32"/>
      <c r="DX197" s="32"/>
      <c r="DY197" s="32"/>
      <c r="DZ197" s="32"/>
      <c r="EA197" s="25"/>
      <c r="EB197" s="17"/>
      <c r="EC197" s="16">
        <v>5501074</v>
      </c>
      <c r="ED197" s="40" t="s">
        <v>226</v>
      </c>
      <c r="EE197" s="16">
        <v>2</v>
      </c>
    </row>
    <row r="198" spans="11:137" ht="13.5" customHeight="1">
      <c r="K198" s="2"/>
      <c r="O198" s="25"/>
      <c r="AI198" s="28"/>
      <c r="AJ198" s="28"/>
      <c r="AK198" s="28"/>
      <c r="AL198" s="28"/>
      <c r="AM198" s="28"/>
      <c r="AN198" s="28"/>
      <c r="AO198" s="30"/>
      <c r="AP198" s="28"/>
      <c r="AS198" s="28"/>
      <c r="AT198" s="28"/>
      <c r="AU198" s="30"/>
      <c r="AV198" s="28"/>
      <c r="AW198" s="28"/>
      <c r="AX198" s="28"/>
      <c r="AZ198" s="28"/>
      <c r="BA198" s="16">
        <f t="shared" si="182"/>
        <v>51059.096026490166</v>
      </c>
      <c r="BC198" s="7" t="e">
        <f t="shared" si="184"/>
        <v>#N/A</v>
      </c>
      <c r="BR198" s="7">
        <v>5601064</v>
      </c>
      <c r="BS198" s="9">
        <f>[1]monsters!$N198</f>
        <v>231.47</v>
      </c>
      <c r="BT198" s="9">
        <f>[1]monsters!$O198</f>
        <v>23.15</v>
      </c>
      <c r="BU198" s="9">
        <f>[1]monsters!$P198</f>
        <v>1238.71</v>
      </c>
      <c r="BV198" s="9">
        <f>[1]monsters!$Q198</f>
        <v>123.87</v>
      </c>
      <c r="BW198" s="9">
        <f>[1]monsters!$R198</f>
        <v>23.15</v>
      </c>
      <c r="BX198" s="9">
        <f>[1]monsters!$S198</f>
        <v>2.31</v>
      </c>
      <c r="BY198" s="9">
        <f>[1]monsters!$K198</f>
        <v>1.4000000000000001</v>
      </c>
      <c r="BZ198" s="7">
        <f>[1]monsters!$D198</f>
        <v>6</v>
      </c>
      <c r="CA198" s="7">
        <f t="shared" si="185"/>
        <v>0.1</v>
      </c>
      <c r="CB198" s="7">
        <f t="shared" si="186"/>
        <v>260.44655740740745</v>
      </c>
      <c r="CC198" s="7">
        <f t="shared" si="187"/>
        <v>26.044655740740748</v>
      </c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>
        <v>1</v>
      </c>
      <c r="CR198" s="25"/>
      <c r="CS198" s="25"/>
      <c r="CT198" s="25"/>
      <c r="CU198" s="25"/>
      <c r="CV198" s="25"/>
      <c r="CW198" s="25"/>
      <c r="DP198" s="32"/>
      <c r="DQ198" s="32"/>
      <c r="DR198" s="32"/>
      <c r="DS198" s="32"/>
      <c r="DT198" s="32"/>
      <c r="DU198" s="32"/>
      <c r="DV198" s="32"/>
      <c r="DW198" s="32"/>
      <c r="DX198" s="32"/>
      <c r="DY198" s="32"/>
      <c r="DZ198" s="32"/>
      <c r="EA198" s="25"/>
      <c r="EB198" s="17"/>
      <c r="EC198" s="16">
        <v>5600074</v>
      </c>
      <c r="ED198" s="40" t="s">
        <v>231</v>
      </c>
      <c r="EE198" s="16">
        <v>1</v>
      </c>
    </row>
    <row r="199" spans="11:137" ht="13.5" customHeight="1">
      <c r="K199" s="2"/>
      <c r="L199" s="18"/>
      <c r="O199" s="25"/>
      <c r="AI199" s="28"/>
      <c r="AJ199" s="28"/>
      <c r="AK199" s="28"/>
      <c r="AL199" s="28"/>
      <c r="AM199" s="28"/>
      <c r="AN199" s="28"/>
      <c r="AO199" s="30"/>
      <c r="AP199" s="28"/>
      <c r="AS199" s="28"/>
      <c r="AT199" s="28"/>
      <c r="AU199" s="30"/>
      <c r="AV199" s="28"/>
      <c r="AW199" s="28"/>
      <c r="AX199" s="28"/>
      <c r="AZ199" s="28"/>
      <c r="BA199" s="16">
        <f t="shared" si="182"/>
        <v>50920.609271523281</v>
      </c>
      <c r="BC199" s="7" t="e">
        <f t="shared" si="184"/>
        <v>#N/A</v>
      </c>
      <c r="BR199" s="7">
        <v>5201065</v>
      </c>
      <c r="BS199" s="9">
        <f>[1]monsters!$N199</f>
        <v>297.60000000000002</v>
      </c>
      <c r="BT199" s="9">
        <f>[1]monsters!$O199</f>
        <v>29.76</v>
      </c>
      <c r="BU199" s="9">
        <f>[1]monsters!$P199</f>
        <v>1238.71</v>
      </c>
      <c r="BV199" s="9">
        <f>[1]monsters!$Q199</f>
        <v>123.87</v>
      </c>
      <c r="BW199" s="9">
        <f>[1]monsters!$R199</f>
        <v>29.76</v>
      </c>
      <c r="BX199" s="9">
        <f>[1]monsters!$S199</f>
        <v>2.98</v>
      </c>
      <c r="BY199" s="9">
        <f>[1]monsters!$K199</f>
        <v>1.8</v>
      </c>
      <c r="BZ199" s="7">
        <f>[1]monsters!$D199</f>
        <v>6</v>
      </c>
      <c r="CA199" s="7">
        <f t="shared" si="185"/>
        <v>0.1</v>
      </c>
      <c r="CB199" s="7">
        <f t="shared" si="186"/>
        <v>322.93940740740743</v>
      </c>
      <c r="CC199" s="7">
        <f t="shared" si="187"/>
        <v>32.293940740740744</v>
      </c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>
        <v>0</v>
      </c>
      <c r="CR199" s="25"/>
      <c r="CS199" s="25"/>
      <c r="CT199" s="25"/>
      <c r="CU199" s="25"/>
      <c r="CV199" s="25"/>
      <c r="CW199" s="25"/>
      <c r="DP199" s="32"/>
      <c r="DQ199" s="32"/>
      <c r="DR199" s="32"/>
      <c r="DS199" s="32"/>
      <c r="DT199" s="32"/>
      <c r="DU199" s="32"/>
      <c r="DV199" s="32"/>
      <c r="DW199" s="32"/>
      <c r="DX199" s="32"/>
      <c r="DY199" s="32"/>
      <c r="DZ199" s="32"/>
      <c r="EA199" s="25"/>
      <c r="EB199" s="17"/>
      <c r="EC199" s="16">
        <v>5602074</v>
      </c>
      <c r="ED199" s="40" t="s">
        <v>232</v>
      </c>
      <c r="EE199" s="16">
        <v>2</v>
      </c>
    </row>
    <row r="200" spans="11:137" ht="13.5" customHeight="1">
      <c r="K200" s="2"/>
      <c r="L200" s="18"/>
      <c r="O200" s="25"/>
      <c r="AI200" s="28"/>
      <c r="AJ200" s="28"/>
      <c r="AK200" s="28"/>
      <c r="AL200" s="28"/>
      <c r="AM200" s="28"/>
      <c r="AN200" s="28"/>
      <c r="AO200" s="30"/>
      <c r="AP200" s="28"/>
      <c r="AS200" s="28"/>
      <c r="AT200" s="28"/>
      <c r="AU200" s="30"/>
      <c r="AV200" s="28"/>
      <c r="AW200" s="28"/>
      <c r="AX200" s="28"/>
      <c r="AZ200" s="28"/>
      <c r="BA200" s="16">
        <f t="shared" si="182"/>
        <v>50782.122516556396</v>
      </c>
      <c r="BC200" s="7" t="e">
        <f t="shared" si="184"/>
        <v>#N/A</v>
      </c>
      <c r="BR200" s="7">
        <v>5202065</v>
      </c>
      <c r="BS200" s="9">
        <f>[1]monsters!$N200</f>
        <v>172.8</v>
      </c>
      <c r="BT200" s="9">
        <f>[1]monsters!$O200</f>
        <v>17.28</v>
      </c>
      <c r="BU200" s="9">
        <f>[1]monsters!$P200</f>
        <v>2133.33</v>
      </c>
      <c r="BV200" s="9">
        <f>[1]monsters!$Q200</f>
        <v>213.33</v>
      </c>
      <c r="BW200" s="9">
        <f>[1]monsters!$R200</f>
        <v>34.56</v>
      </c>
      <c r="BX200" s="9">
        <f>[1]monsters!$S200</f>
        <v>3.46</v>
      </c>
      <c r="BY200" s="9">
        <f>[1]monsters!$K200</f>
        <v>1.8</v>
      </c>
      <c r="BZ200" s="7">
        <f>[1]monsters!$D200</f>
        <v>2</v>
      </c>
      <c r="CA200" s="7">
        <f t="shared" si="185"/>
        <v>0.1</v>
      </c>
      <c r="CB200" s="7">
        <f t="shared" si="186"/>
        <v>235.12529292929293</v>
      </c>
      <c r="CC200" s="7">
        <f t="shared" si="187"/>
        <v>23.512529292929294</v>
      </c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>
        <v>0</v>
      </c>
      <c r="CR200" s="25"/>
      <c r="CS200" s="25"/>
      <c r="CT200" s="25"/>
      <c r="CU200" s="25"/>
      <c r="CV200" s="25"/>
      <c r="CW200" s="25"/>
      <c r="DP200" s="32"/>
      <c r="DQ200" s="32"/>
      <c r="DR200" s="32"/>
      <c r="DS200" s="32"/>
      <c r="DT200" s="32"/>
      <c r="DU200" s="32"/>
      <c r="DV200" s="32"/>
      <c r="DW200" s="32"/>
      <c r="DX200" s="32"/>
      <c r="DY200" s="32"/>
      <c r="DZ200" s="32"/>
      <c r="EA200" s="25"/>
      <c r="EB200" s="17"/>
      <c r="EC200" s="16">
        <v>5202075</v>
      </c>
      <c r="ED200" s="40" t="s">
        <v>233</v>
      </c>
      <c r="EE200" s="16">
        <v>1</v>
      </c>
    </row>
    <row r="201" spans="11:137" ht="13.5" customHeight="1">
      <c r="K201" s="2"/>
      <c r="L201" s="18"/>
      <c r="O201" s="25"/>
      <c r="AI201" s="28"/>
      <c r="AJ201" s="28"/>
      <c r="AK201" s="28"/>
      <c r="AL201" s="28"/>
      <c r="AM201" s="28"/>
      <c r="AN201" s="28"/>
      <c r="AO201" s="30"/>
      <c r="AP201" s="28"/>
      <c r="AS201" s="28"/>
      <c r="AT201" s="28"/>
      <c r="AU201" s="30"/>
      <c r="AV201" s="28"/>
      <c r="AW201" s="28"/>
      <c r="AX201" s="28"/>
      <c r="AZ201" s="28"/>
      <c r="BA201" s="16">
        <f t="shared" si="182"/>
        <v>50643.63576158951</v>
      </c>
      <c r="BC201" s="7" t="e">
        <f t="shared" si="184"/>
        <v>#N/A</v>
      </c>
      <c r="BR201" s="7">
        <v>5302065</v>
      </c>
      <c r="BS201" s="9">
        <f>[1]monsters!$N201</f>
        <v>124.8</v>
      </c>
      <c r="BT201" s="9">
        <f>[1]monsters!$O201</f>
        <v>12.48</v>
      </c>
      <c r="BU201" s="9">
        <f>[1]monsters!$P201</f>
        <v>2133.33</v>
      </c>
      <c r="BV201" s="9">
        <f>[1]monsters!$Q201</f>
        <v>213.33</v>
      </c>
      <c r="BW201" s="9">
        <f>[1]monsters!$R201</f>
        <v>24.96</v>
      </c>
      <c r="BX201" s="9">
        <f>[1]monsters!$S201</f>
        <v>2.5</v>
      </c>
      <c r="BY201" s="9">
        <f>[1]monsters!$K201</f>
        <v>1.3</v>
      </c>
      <c r="BZ201" s="7">
        <f>[1]monsters!$D201</f>
        <v>3</v>
      </c>
      <c r="CA201" s="7">
        <f t="shared" si="185"/>
        <v>0.1</v>
      </c>
      <c r="CB201" s="7">
        <f t="shared" si="186"/>
        <v>189.76529292929291</v>
      </c>
      <c r="CC201" s="7">
        <f t="shared" si="187"/>
        <v>18.976529292929293</v>
      </c>
      <c r="CD201" s="7"/>
      <c r="CE201" s="7"/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>
        <v>0</v>
      </c>
      <c r="CR201" s="25"/>
      <c r="CS201" s="25"/>
      <c r="CT201" s="25"/>
      <c r="CU201" s="25"/>
      <c r="CV201" s="25"/>
      <c r="CW201" s="25"/>
      <c r="DP201" s="13"/>
      <c r="DQ201" s="13"/>
      <c r="DR201" s="13"/>
      <c r="DS201" s="32"/>
      <c r="DT201" s="32"/>
      <c r="DU201" s="32"/>
      <c r="DV201" s="32"/>
      <c r="DW201" s="32"/>
      <c r="DX201" s="32"/>
      <c r="DY201" s="32"/>
      <c r="DZ201" s="32"/>
      <c r="EA201" s="25"/>
      <c r="EB201" s="17"/>
      <c r="EC201" s="16">
        <v>5300075</v>
      </c>
      <c r="ED201" s="40" t="s">
        <v>224</v>
      </c>
      <c r="EE201" s="16">
        <v>1</v>
      </c>
    </row>
    <row r="202" spans="11:137" ht="13.5" customHeight="1">
      <c r="K202" s="2"/>
      <c r="L202" s="18"/>
      <c r="O202" s="25"/>
      <c r="AI202" s="28"/>
      <c r="AJ202" s="28"/>
      <c r="AK202" s="28"/>
      <c r="AL202" s="28"/>
      <c r="AM202" s="28"/>
      <c r="AN202" s="28"/>
      <c r="AO202" s="30"/>
      <c r="AP202" s="28"/>
      <c r="AS202" s="28"/>
      <c r="AT202" s="28"/>
      <c r="AU202" s="30"/>
      <c r="AV202" s="28"/>
      <c r="AW202" s="28"/>
      <c r="AX202" s="28"/>
      <c r="AZ202" s="28"/>
      <c r="BA202" s="16">
        <f t="shared" si="182"/>
        <v>50505.149006622625</v>
      </c>
      <c r="BC202" s="7" t="e">
        <f t="shared" si="184"/>
        <v>#N/A</v>
      </c>
      <c r="BR202" s="7">
        <v>5301065</v>
      </c>
      <c r="BS202" s="9">
        <f>[1]monsters!$N202</f>
        <v>134.4</v>
      </c>
      <c r="BT202" s="9">
        <f>[1]monsters!$O202</f>
        <v>13.44</v>
      </c>
      <c r="BU202" s="9">
        <f>[1]monsters!$P202</f>
        <v>2133.33</v>
      </c>
      <c r="BV202" s="9">
        <f>[1]monsters!$Q202</f>
        <v>213.33</v>
      </c>
      <c r="BW202" s="9">
        <f>[1]monsters!$R202</f>
        <v>26.88</v>
      </c>
      <c r="BX202" s="9">
        <f>[1]monsters!$S202</f>
        <v>2.69</v>
      </c>
      <c r="BY202" s="9">
        <f>[1]monsters!$K202</f>
        <v>1.4000000000000001</v>
      </c>
      <c r="BZ202" s="7">
        <f>[1]monsters!$D202</f>
        <v>3</v>
      </c>
      <c r="CA202" s="7">
        <f t="shared" si="185"/>
        <v>0.1</v>
      </c>
      <c r="CB202" s="7">
        <f t="shared" si="186"/>
        <v>198.83729292929291</v>
      </c>
      <c r="CC202" s="7">
        <f t="shared" si="187"/>
        <v>19.883729292929292</v>
      </c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>
        <v>0</v>
      </c>
      <c r="CR202" s="25"/>
      <c r="CS202" s="25"/>
      <c r="CT202" s="25"/>
      <c r="CU202" s="25"/>
      <c r="CV202" s="25"/>
      <c r="CW202" s="25"/>
      <c r="DP202" s="32"/>
      <c r="DQ202" s="32"/>
      <c r="DR202" s="32"/>
      <c r="DS202" s="32"/>
      <c r="DT202" s="32"/>
      <c r="DU202" s="32"/>
      <c r="DV202" s="32"/>
      <c r="DW202" s="32"/>
      <c r="DX202" s="32"/>
      <c r="DY202" s="32"/>
      <c r="DZ202" s="32"/>
      <c r="EA202" s="25"/>
      <c r="EB202" s="17"/>
      <c r="EC202" s="16">
        <v>5302075</v>
      </c>
      <c r="ED202" s="40" t="s">
        <v>234</v>
      </c>
      <c r="EE202" s="16">
        <v>1</v>
      </c>
      <c r="EF202" s="16">
        <v>505120001</v>
      </c>
      <c r="EG202" s="25" t="str">
        <f t="shared" ref="EG202:EG234" si="188">INDEX($ER$4:$ER$153,MATCH($EF202,$EQ$4:$EQ$153,0))</f>
        <v>对距离最远的1名敌人造成252%攻击伤害，并有25%几率使目标冰冻，持续2秒。</v>
      </c>
    </row>
    <row r="203" spans="11:137" ht="13.5" customHeight="1">
      <c r="K203" s="2"/>
      <c r="O203" s="25"/>
      <c r="AI203" s="28"/>
      <c r="AJ203" s="28"/>
      <c r="AK203" s="28"/>
      <c r="AL203" s="28"/>
      <c r="AM203" s="28"/>
      <c r="AN203" s="28"/>
      <c r="AO203" s="30"/>
      <c r="AP203" s="28"/>
      <c r="AS203" s="28"/>
      <c r="AT203" s="28"/>
      <c r="AU203" s="30"/>
      <c r="AV203" s="28"/>
      <c r="AW203" s="28"/>
      <c r="AX203" s="28"/>
      <c r="AZ203" s="28"/>
      <c r="BA203" s="16">
        <f t="shared" si="182"/>
        <v>50366.66225165574</v>
      </c>
      <c r="BC203" s="7" t="e">
        <f t="shared" si="184"/>
        <v>#N/A</v>
      </c>
      <c r="BR203" s="7">
        <v>5400065</v>
      </c>
      <c r="BS203" s="9">
        <f>[1]monsters!$N203</f>
        <v>179.2</v>
      </c>
      <c r="BT203" s="9">
        <f>[1]monsters!$O203</f>
        <v>17.920000000000002</v>
      </c>
      <c r="BU203" s="9">
        <f>[1]monsters!$P203</f>
        <v>1600</v>
      </c>
      <c r="BV203" s="9">
        <f>[1]monsters!$Q203</f>
        <v>160</v>
      </c>
      <c r="BW203" s="9">
        <f>[1]monsters!$R203</f>
        <v>25.6</v>
      </c>
      <c r="BX203" s="9">
        <f>[1]monsters!$S203</f>
        <v>2.56</v>
      </c>
      <c r="BY203" s="9">
        <f>[1]monsters!$K203</f>
        <v>1.4000000000000001</v>
      </c>
      <c r="BZ203" s="7">
        <f>[1]monsters!$D203</f>
        <v>4</v>
      </c>
      <c r="CA203" s="7">
        <f t="shared" si="185"/>
        <v>0.1</v>
      </c>
      <c r="CB203" s="7">
        <f t="shared" si="186"/>
        <v>223.21605387205386</v>
      </c>
      <c r="CC203" s="7">
        <f t="shared" si="187"/>
        <v>22.321605387205388</v>
      </c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>
        <v>1</v>
      </c>
      <c r="CR203" s="25"/>
      <c r="CS203" s="25"/>
      <c r="CT203" s="25"/>
      <c r="CU203" s="25"/>
      <c r="CV203" s="25"/>
      <c r="CW203" s="25"/>
      <c r="DP203" s="32"/>
      <c r="DQ203" s="32"/>
      <c r="DR203" s="32"/>
      <c r="DS203" s="32"/>
      <c r="DT203" s="32"/>
      <c r="DU203" s="32"/>
      <c r="DV203" s="32"/>
      <c r="DW203" s="32"/>
      <c r="DX203" s="32"/>
      <c r="DY203" s="32"/>
      <c r="DZ203" s="32"/>
      <c r="EA203" s="25"/>
      <c r="EB203" s="17"/>
      <c r="EC203" s="16">
        <v>5400075</v>
      </c>
      <c r="ED203" s="40" t="s">
        <v>222</v>
      </c>
      <c r="EE203" s="16">
        <v>2</v>
      </c>
      <c r="EF203" s="16">
        <v>505120101</v>
      </c>
      <c r="EG203" s="25" t="str">
        <f t="shared" si="188"/>
        <v>对随机3名敌人造成99%攻击伤害，并有15%几率使目标眩晕，持续1秒。</v>
      </c>
    </row>
    <row r="204" spans="11:137" ht="13.5" customHeight="1">
      <c r="K204" s="2"/>
      <c r="L204" s="18"/>
      <c r="O204" s="25"/>
      <c r="AI204" s="28"/>
      <c r="AJ204" s="28"/>
      <c r="AK204" s="28"/>
      <c r="AL204" s="28"/>
      <c r="AM204" s="28"/>
      <c r="AN204" s="28"/>
      <c r="AO204" s="30"/>
      <c r="AP204" s="28"/>
      <c r="AS204" s="28"/>
      <c r="AT204" s="28"/>
      <c r="AU204" s="30"/>
      <c r="AV204" s="28"/>
      <c r="AW204" s="28"/>
      <c r="AX204" s="28"/>
      <c r="AZ204" s="28"/>
      <c r="BA204" s="16">
        <f t="shared" si="182"/>
        <v>50228.175496688855</v>
      </c>
      <c r="BC204" s="7" t="e">
        <f t="shared" si="184"/>
        <v>#N/A</v>
      </c>
      <c r="BR204" s="7">
        <v>5402065</v>
      </c>
      <c r="BS204" s="9">
        <f>[1]monsters!$N204</f>
        <v>238.93</v>
      </c>
      <c r="BT204" s="9">
        <f>[1]monsters!$O204</f>
        <v>23.89</v>
      </c>
      <c r="BU204" s="9">
        <f>[1]monsters!$P204</f>
        <v>1371.43</v>
      </c>
      <c r="BV204" s="9">
        <f>[1]monsters!$Q204</f>
        <v>137.13999999999999</v>
      </c>
      <c r="BW204" s="9">
        <f>[1]monsters!$R204</f>
        <v>29.87</v>
      </c>
      <c r="BX204" s="9">
        <f>[1]monsters!$S204</f>
        <v>2.99</v>
      </c>
      <c r="BY204" s="9">
        <f>[1]monsters!$K204</f>
        <v>1.6</v>
      </c>
      <c r="BZ204" s="7">
        <f>[1]monsters!$D204</f>
        <v>5</v>
      </c>
      <c r="CA204" s="7">
        <f t="shared" si="185"/>
        <v>0.1</v>
      </c>
      <c r="CB204" s="7">
        <f t="shared" si="186"/>
        <v>271.96494427609429</v>
      </c>
      <c r="CC204" s="7">
        <f t="shared" si="187"/>
        <v>27.19649442760943</v>
      </c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>
        <v>0</v>
      </c>
      <c r="CR204" s="25"/>
      <c r="CS204" s="25"/>
      <c r="CT204" s="25"/>
      <c r="CU204" s="25"/>
      <c r="CV204" s="25"/>
      <c r="CW204" s="25"/>
      <c r="DP204" s="32"/>
      <c r="DQ204" s="32"/>
      <c r="DR204" s="32"/>
      <c r="DS204" s="32"/>
      <c r="DT204" s="32"/>
      <c r="DU204" s="32"/>
      <c r="DV204" s="32"/>
      <c r="DW204" s="32"/>
      <c r="DX204" s="32"/>
      <c r="DY204" s="32"/>
      <c r="DZ204" s="32"/>
      <c r="EA204" s="25"/>
      <c r="EB204" s="17"/>
      <c r="EC204" s="16">
        <v>5501075</v>
      </c>
      <c r="ED204" s="42" t="s">
        <v>235</v>
      </c>
      <c r="EE204" s="16">
        <v>2</v>
      </c>
      <c r="EF204" s="16">
        <v>505120201</v>
      </c>
      <c r="EG204" s="25" t="str">
        <f t="shared" si="188"/>
        <v>对随机4名敌人造成82%攻击伤害，并有10%几率使目标眩晕，持续1秒。</v>
      </c>
    </row>
    <row r="205" spans="11:137" ht="13.5" customHeight="1">
      <c r="K205" s="2"/>
      <c r="L205" s="18"/>
      <c r="O205" s="25"/>
      <c r="AI205" s="28"/>
      <c r="AJ205" s="28"/>
      <c r="AK205" s="28"/>
      <c r="AL205" s="28"/>
      <c r="AM205" s="28"/>
      <c r="AN205" s="28"/>
      <c r="AO205" s="30"/>
      <c r="AP205" s="28"/>
      <c r="AS205" s="28"/>
      <c r="AT205" s="28"/>
      <c r="AU205" s="30"/>
      <c r="AV205" s="28"/>
      <c r="AW205" s="28"/>
      <c r="AX205" s="28"/>
      <c r="AZ205" s="28"/>
      <c r="BA205" s="16">
        <f t="shared" si="182"/>
        <v>50089.68874172197</v>
      </c>
      <c r="BC205" s="7" t="e">
        <f t="shared" si="184"/>
        <v>#N/A</v>
      </c>
      <c r="BR205" s="7">
        <v>5500065</v>
      </c>
      <c r="BS205" s="9">
        <f>[1]monsters!$N205</f>
        <v>176</v>
      </c>
      <c r="BT205" s="9">
        <f>[1]monsters!$O205</f>
        <v>17.600000000000001</v>
      </c>
      <c r="BU205" s="9">
        <f>[1]monsters!$P205</f>
        <v>2112</v>
      </c>
      <c r="BV205" s="9">
        <f>[1]monsters!$Q205</f>
        <v>211.2</v>
      </c>
      <c r="BW205" s="9">
        <f>[1]monsters!$R205</f>
        <v>44</v>
      </c>
      <c r="BX205" s="9">
        <f>[1]monsters!$S205</f>
        <v>4.4000000000000004</v>
      </c>
      <c r="BY205" s="9">
        <f>[1]monsters!$K205</f>
        <v>1.5</v>
      </c>
      <c r="BZ205" s="7">
        <f>[1]monsters!$D205</f>
        <v>2</v>
      </c>
      <c r="CA205" s="7">
        <f t="shared" si="185"/>
        <v>0.1</v>
      </c>
      <c r="CB205" s="7">
        <f t="shared" si="186"/>
        <v>237.43111111111114</v>
      </c>
      <c r="CC205" s="7">
        <f t="shared" si="187"/>
        <v>23.743111111111116</v>
      </c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>
        <v>0</v>
      </c>
      <c r="CR205" s="25"/>
      <c r="CS205" s="25"/>
      <c r="CT205" s="25"/>
      <c r="CU205" s="25"/>
      <c r="CV205" s="25"/>
      <c r="CW205" s="25"/>
      <c r="DP205" s="32"/>
      <c r="DQ205" s="32"/>
      <c r="DR205" s="32"/>
      <c r="DS205" s="32"/>
      <c r="DT205" s="32"/>
      <c r="DU205" s="32"/>
      <c r="DV205" s="32"/>
      <c r="DW205" s="32"/>
      <c r="DX205" s="32"/>
      <c r="DY205" s="32"/>
      <c r="DZ205" s="32"/>
      <c r="EA205" s="25"/>
      <c r="EB205" s="17"/>
      <c r="EC205" s="16">
        <v>5200081</v>
      </c>
      <c r="ED205" s="40" t="s">
        <v>205</v>
      </c>
      <c r="EE205" s="16">
        <v>1</v>
      </c>
      <c r="EF205" s="16">
        <v>505130101</v>
      </c>
      <c r="EG205" s="25" t="str">
        <f t="shared" si="188"/>
        <v>对距离最远的1名敌人造成322%攻击伤害，并有40%几率使目标冰冻，持续2秒。</v>
      </c>
    </row>
    <row r="206" spans="11:137" ht="13.5" customHeight="1">
      <c r="K206" s="2"/>
      <c r="L206" s="18"/>
      <c r="O206" s="25"/>
      <c r="AI206" s="28"/>
      <c r="AJ206" s="28"/>
      <c r="AK206" s="28"/>
      <c r="AL206" s="28"/>
      <c r="AM206" s="28"/>
      <c r="AN206" s="28"/>
      <c r="AO206" s="30"/>
      <c r="AP206" s="28"/>
      <c r="AS206" s="28"/>
      <c r="AT206" s="28"/>
      <c r="AU206" s="30"/>
      <c r="AV206" s="28"/>
      <c r="AW206" s="28"/>
      <c r="AX206" s="28"/>
      <c r="AZ206" s="28"/>
      <c r="BA206" s="16">
        <f t="shared" si="182"/>
        <v>49951.201986755084</v>
      </c>
      <c r="BC206" s="7" t="e">
        <f t="shared" si="184"/>
        <v>#N/A</v>
      </c>
      <c r="BR206" s="7">
        <v>5502065</v>
      </c>
      <c r="BS206" s="9">
        <f>[1]monsters!$N206</f>
        <v>168.96</v>
      </c>
      <c r="BT206" s="9">
        <f>[1]monsters!$O206</f>
        <v>16.899999999999999</v>
      </c>
      <c r="BU206" s="9">
        <f>[1]monsters!$P206</f>
        <v>2640</v>
      </c>
      <c r="BV206" s="9">
        <f>[1]monsters!$Q206</f>
        <v>264</v>
      </c>
      <c r="BW206" s="9">
        <f>[1]monsters!$R206</f>
        <v>56.32</v>
      </c>
      <c r="BX206" s="9">
        <f>[1]monsters!$S206</f>
        <v>5.63</v>
      </c>
      <c r="BY206" s="9">
        <f>[1]monsters!$K206</f>
        <v>1.8</v>
      </c>
      <c r="BZ206" s="7">
        <f>[1]monsters!$D206</f>
        <v>2</v>
      </c>
      <c r="CA206" s="7">
        <f t="shared" si="185"/>
        <v>0.1</v>
      </c>
      <c r="CB206" s="7">
        <f t="shared" si="186"/>
        <v>248.55608888888889</v>
      </c>
      <c r="CC206" s="7">
        <f t="shared" si="187"/>
        <v>24.855608888888892</v>
      </c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>
        <v>0</v>
      </c>
      <c r="CR206" s="25"/>
      <c r="CS206" s="25"/>
      <c r="CT206" s="25"/>
      <c r="CU206" s="25"/>
      <c r="CV206" s="25"/>
      <c r="CW206" s="25"/>
      <c r="DP206" s="32"/>
      <c r="DQ206" s="32"/>
      <c r="DR206" s="32"/>
      <c r="DS206" s="32"/>
      <c r="DT206" s="32"/>
      <c r="DU206" s="32"/>
      <c r="DV206" s="32"/>
      <c r="DW206" s="32"/>
      <c r="DX206" s="32"/>
      <c r="DY206" s="32"/>
      <c r="DZ206" s="32"/>
      <c r="EA206" s="25"/>
      <c r="EB206" s="17"/>
      <c r="EC206" s="16">
        <v>5201081</v>
      </c>
      <c r="ED206" s="40" t="s">
        <v>206</v>
      </c>
      <c r="EE206" s="16">
        <v>1</v>
      </c>
      <c r="EF206" s="16">
        <v>505140101</v>
      </c>
      <c r="EG206" s="25" t="str">
        <f t="shared" si="188"/>
        <v>对随机4名敌人造成81%攻击伤害，并有20%几率使目标冰冻，持续1秒。</v>
      </c>
    </row>
    <row r="207" spans="11:137" ht="13.5" customHeight="1">
      <c r="K207" s="2"/>
      <c r="L207" s="18"/>
      <c r="O207" s="25"/>
      <c r="AI207" s="28"/>
      <c r="AJ207" s="28"/>
      <c r="AK207" s="28"/>
      <c r="AL207" s="28"/>
      <c r="AM207" s="28"/>
      <c r="AN207" s="28"/>
      <c r="AO207" s="30"/>
      <c r="AP207" s="28"/>
      <c r="AS207" s="28"/>
      <c r="AT207" s="28"/>
      <c r="AU207" s="30"/>
      <c r="AV207" s="28"/>
      <c r="AW207" s="28"/>
      <c r="AX207" s="28"/>
      <c r="AZ207" s="28"/>
      <c r="BA207" s="16">
        <f t="shared" si="182"/>
        <v>49812.715231788199</v>
      </c>
      <c r="BC207" s="7" t="e">
        <f t="shared" si="184"/>
        <v>#N/A</v>
      </c>
      <c r="BR207" s="7">
        <v>5600065</v>
      </c>
      <c r="BS207" s="9">
        <f>[1]monsters!$N207</f>
        <v>190.08</v>
      </c>
      <c r="BT207" s="9">
        <f>[1]monsters!$O207</f>
        <v>19.010000000000002</v>
      </c>
      <c r="BU207" s="9">
        <f>[1]monsters!$P207</f>
        <v>2346.67</v>
      </c>
      <c r="BV207" s="9">
        <f>[1]monsters!$Q207</f>
        <v>234.67</v>
      </c>
      <c r="BW207" s="9">
        <f>[1]monsters!$R207</f>
        <v>38.020000000000003</v>
      </c>
      <c r="BX207" s="9">
        <f>[1]monsters!$S207</f>
        <v>3.8</v>
      </c>
      <c r="BY207" s="9">
        <f>[1]monsters!$K207</f>
        <v>1.8</v>
      </c>
      <c r="BZ207" s="7">
        <f>[1]monsters!$D207</f>
        <v>2</v>
      </c>
      <c r="CA207" s="7">
        <f t="shared" si="185"/>
        <v>0.1</v>
      </c>
      <c r="CB207" s="7">
        <f t="shared" si="186"/>
        <v>258.63805791245795</v>
      </c>
      <c r="CC207" s="7">
        <f t="shared" si="187"/>
        <v>25.863805791245795</v>
      </c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>
        <v>0</v>
      </c>
      <c r="CR207" s="25"/>
      <c r="CS207" s="25"/>
      <c r="CT207" s="25"/>
      <c r="CU207" s="25"/>
      <c r="CV207" s="25"/>
      <c r="CW207" s="25"/>
      <c r="DP207" s="32"/>
      <c r="DQ207" s="32"/>
      <c r="DR207" s="32"/>
      <c r="DS207" s="32"/>
      <c r="DT207" s="32"/>
      <c r="DU207" s="32"/>
      <c r="DV207" s="32"/>
      <c r="DW207" s="32"/>
      <c r="DX207" s="32"/>
      <c r="DY207" s="32"/>
      <c r="DZ207" s="32"/>
      <c r="EA207" s="25"/>
      <c r="EB207" s="17"/>
      <c r="EC207" s="16">
        <v>5202081</v>
      </c>
      <c r="ED207" s="40" t="s">
        <v>117</v>
      </c>
      <c r="EE207" s="16">
        <v>1</v>
      </c>
      <c r="EF207" s="16">
        <v>505140201</v>
      </c>
      <c r="EG207" s="25" t="str">
        <f t="shared" si="188"/>
        <v>对随机3名敌人造成111%攻击伤害，并有30%几率使目标攻击力降低15%，持续3秒。</v>
      </c>
    </row>
    <row r="208" spans="11:137" ht="13.5" customHeight="1">
      <c r="K208" s="2"/>
      <c r="O208" s="25"/>
      <c r="AI208" s="28"/>
      <c r="AJ208" s="28"/>
      <c r="AK208" s="28"/>
      <c r="AL208" s="28"/>
      <c r="AM208" s="28"/>
      <c r="AN208" s="28"/>
      <c r="AO208" s="30"/>
      <c r="AP208" s="28"/>
      <c r="AS208" s="28"/>
      <c r="AT208" s="28"/>
      <c r="AU208" s="30"/>
      <c r="AV208" s="28"/>
      <c r="AW208" s="28"/>
      <c r="AX208" s="28"/>
      <c r="AZ208" s="28"/>
      <c r="BA208" s="16">
        <f t="shared" si="182"/>
        <v>49674.228476821314</v>
      </c>
      <c r="BC208" s="7" t="e">
        <f t="shared" si="184"/>
        <v>#N/A</v>
      </c>
      <c r="BR208" s="7">
        <v>5602065</v>
      </c>
      <c r="BS208" s="9">
        <f>[1]monsters!$N208</f>
        <v>126.72</v>
      </c>
      <c r="BT208" s="9">
        <f>[1]monsters!$O208</f>
        <v>12.67</v>
      </c>
      <c r="BU208" s="9">
        <f>[1]monsters!$P208</f>
        <v>2346.67</v>
      </c>
      <c r="BV208" s="9">
        <f>[1]monsters!$Q208</f>
        <v>234.67</v>
      </c>
      <c r="BW208" s="9">
        <f>[1]monsters!$R208</f>
        <v>25.34</v>
      </c>
      <c r="BX208" s="9">
        <f>[1]monsters!$S208</f>
        <v>2.5299999999999998</v>
      </c>
      <c r="BY208" s="9">
        <f>[1]monsters!$K208</f>
        <v>1.2</v>
      </c>
      <c r="BZ208" s="7">
        <f>[1]monsters!$D208</f>
        <v>3</v>
      </c>
      <c r="CA208" s="7">
        <f t="shared" si="185"/>
        <v>0.1</v>
      </c>
      <c r="CB208" s="7">
        <f t="shared" si="186"/>
        <v>198.76285791245792</v>
      </c>
      <c r="CC208" s="7">
        <f t="shared" si="187"/>
        <v>19.876285791245792</v>
      </c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>
        <v>1</v>
      </c>
      <c r="CR208" s="25"/>
      <c r="CS208" s="25"/>
      <c r="CT208" s="25"/>
      <c r="CU208" s="25"/>
      <c r="CV208" s="25"/>
      <c r="CW208" s="25"/>
      <c r="DP208" s="32"/>
      <c r="DQ208" s="32"/>
      <c r="DR208" s="32"/>
      <c r="DS208" s="32"/>
      <c r="DT208" s="32"/>
      <c r="DU208" s="32"/>
      <c r="DV208" s="32"/>
      <c r="DW208" s="32"/>
      <c r="DX208" s="32"/>
      <c r="DY208" s="32"/>
      <c r="DZ208" s="32"/>
      <c r="EA208" s="25"/>
      <c r="EB208" s="17"/>
      <c r="EC208" s="16">
        <v>5301081</v>
      </c>
      <c r="ED208" s="40" t="s">
        <v>113</v>
      </c>
      <c r="EE208" s="16">
        <v>1</v>
      </c>
      <c r="EF208" s="16">
        <v>505150001</v>
      </c>
      <c r="EG208" s="25" t="str">
        <f t="shared" si="188"/>
        <v>对随机3名敌人造成91%攻击伤害，并有15%几率使目标沉默，持续2秒。</v>
      </c>
    </row>
    <row r="209" spans="11:137" ht="13.5" customHeight="1">
      <c r="K209" s="2"/>
      <c r="L209" s="18"/>
      <c r="O209" s="25"/>
      <c r="AI209" s="28"/>
      <c r="AJ209" s="28"/>
      <c r="AK209" s="28"/>
      <c r="AL209" s="28"/>
      <c r="AM209" s="28"/>
      <c r="AN209" s="28"/>
      <c r="AO209" s="30"/>
      <c r="AP209" s="28"/>
      <c r="AS209" s="28"/>
      <c r="AT209" s="28"/>
      <c r="AU209" s="30"/>
      <c r="AV209" s="28"/>
      <c r="AW209" s="28"/>
      <c r="AX209" s="28"/>
      <c r="AZ209" s="28"/>
      <c r="BA209" s="16">
        <f t="shared" si="182"/>
        <v>49535.741721854429</v>
      </c>
      <c r="BC209" s="7" t="e">
        <f t="shared" si="184"/>
        <v>#N/A</v>
      </c>
      <c r="BR209" s="7">
        <v>5200071</v>
      </c>
      <c r="BS209" s="9">
        <f>[1]monsters!$N209</f>
        <v>225.28</v>
      </c>
      <c r="BT209" s="9">
        <f>[1]monsters!$O209</f>
        <v>22.53</v>
      </c>
      <c r="BU209" s="9">
        <f>[1]monsters!$P209</f>
        <v>1760</v>
      </c>
      <c r="BV209" s="9">
        <f>[1]monsters!$Q209</f>
        <v>176</v>
      </c>
      <c r="BW209" s="9">
        <f>[1]monsters!$R209</f>
        <v>32.18</v>
      </c>
      <c r="BX209" s="9">
        <f>[1]monsters!$S209</f>
        <v>3.22</v>
      </c>
      <c r="BY209" s="9">
        <f>[1]monsters!$K209</f>
        <v>1.6</v>
      </c>
      <c r="BZ209" s="7">
        <f>[1]monsters!$D209</f>
        <v>4</v>
      </c>
      <c r="CA209" s="7">
        <f t="shared" si="185"/>
        <v>0.1</v>
      </c>
      <c r="CB209" s="7">
        <f t="shared" si="186"/>
        <v>272.14885925925927</v>
      </c>
      <c r="CC209" s="7">
        <f t="shared" si="187"/>
        <v>27.214885925925927</v>
      </c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>
        <v>0</v>
      </c>
      <c r="CR209" s="25"/>
      <c r="CS209" s="25"/>
      <c r="CT209" s="25"/>
      <c r="CU209" s="25"/>
      <c r="CV209" s="25"/>
      <c r="CW209" s="25"/>
      <c r="DP209" s="32"/>
      <c r="DQ209" s="32"/>
      <c r="DR209" s="32"/>
      <c r="DS209" s="32"/>
      <c r="DT209" s="32"/>
      <c r="DU209" s="32"/>
      <c r="DV209" s="32"/>
      <c r="DW209" s="32"/>
      <c r="DX209" s="32"/>
      <c r="DY209" s="32"/>
      <c r="DZ209" s="32"/>
      <c r="EA209" s="25"/>
      <c r="EB209" s="43"/>
      <c r="EC209" s="16">
        <v>5401081</v>
      </c>
      <c r="ED209" s="40" t="s">
        <v>123</v>
      </c>
      <c r="EE209" s="16">
        <v>2</v>
      </c>
      <c r="EF209" s="16">
        <v>505150201</v>
      </c>
      <c r="EG209" s="25" t="str">
        <f t="shared" si="188"/>
        <v>对距离最近的2名敌人造成139%攻击伤害，并有30%几率使目标石化，持续2秒。</v>
      </c>
    </row>
    <row r="210" spans="11:137" ht="13.5" customHeight="1">
      <c r="K210" s="2"/>
      <c r="L210" s="18"/>
      <c r="O210" s="25"/>
      <c r="AI210" s="28"/>
      <c r="AJ210" s="28"/>
      <c r="AK210" s="28"/>
      <c r="AL210" s="28"/>
      <c r="AM210" s="28"/>
      <c r="AN210" s="28"/>
      <c r="AO210" s="30"/>
      <c r="AP210" s="28"/>
      <c r="AS210" s="28"/>
      <c r="AT210" s="28"/>
      <c r="AU210" s="30"/>
      <c r="AV210" s="28"/>
      <c r="AW210" s="28"/>
      <c r="AX210" s="28"/>
      <c r="AZ210" s="28"/>
      <c r="BA210" s="16">
        <f t="shared" si="182"/>
        <v>49397.254966887544</v>
      </c>
      <c r="BC210" s="7" t="e">
        <f t="shared" si="184"/>
        <v>#N/A</v>
      </c>
      <c r="BR210" s="7">
        <v>5201071</v>
      </c>
      <c r="BS210" s="9">
        <f>[1]monsters!$N210</f>
        <v>211.2</v>
      </c>
      <c r="BT210" s="9">
        <f>[1]monsters!$O210</f>
        <v>21.12</v>
      </c>
      <c r="BU210" s="9">
        <f>[1]monsters!$P210</f>
        <v>1760</v>
      </c>
      <c r="BV210" s="9">
        <f>[1]monsters!$Q210</f>
        <v>176</v>
      </c>
      <c r="BW210" s="9">
        <f>[1]monsters!$R210</f>
        <v>30.17</v>
      </c>
      <c r="BX210" s="9">
        <f>[1]monsters!$S210</f>
        <v>3.02</v>
      </c>
      <c r="BY210" s="9">
        <f>[1]monsters!$K210</f>
        <v>1.5</v>
      </c>
      <c r="BZ210" s="7">
        <f>[1]monsters!$D210</f>
        <v>4</v>
      </c>
      <c r="CA210" s="7">
        <f t="shared" si="185"/>
        <v>0.1</v>
      </c>
      <c r="CB210" s="7">
        <f t="shared" si="186"/>
        <v>258.84325925925924</v>
      </c>
      <c r="CC210" s="7">
        <f t="shared" si="187"/>
        <v>25.884325925925925</v>
      </c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>
        <v>0</v>
      </c>
      <c r="CR210" s="25"/>
      <c r="CS210" s="25"/>
      <c r="CT210" s="25"/>
      <c r="CU210" s="25"/>
      <c r="CV210" s="25"/>
      <c r="CW210" s="25"/>
      <c r="DP210" s="32"/>
      <c r="DQ210" s="32"/>
      <c r="DR210" s="32"/>
      <c r="DS210" s="32"/>
      <c r="DT210" s="32"/>
      <c r="DU210" s="32"/>
      <c r="DV210" s="32"/>
      <c r="DW210" s="32"/>
      <c r="DX210" s="32"/>
      <c r="DY210" s="32"/>
      <c r="DZ210" s="32"/>
      <c r="EA210" s="25"/>
      <c r="EB210" s="17"/>
      <c r="EC210" s="16">
        <v>5402081</v>
      </c>
      <c r="ED210" s="40" t="s">
        <v>207</v>
      </c>
      <c r="EE210" s="16">
        <v>2</v>
      </c>
      <c r="EF210" s="16">
        <v>505160101</v>
      </c>
      <c r="EG210" s="25" t="str">
        <f t="shared" si="188"/>
        <v>对距离最远的3名敌人造成73%攻击伤害，并有25%几率使目标冰冻，持续2秒。</v>
      </c>
    </row>
    <row r="211" spans="11:137" ht="13.5" customHeight="1">
      <c r="K211" s="2"/>
      <c r="L211" s="18"/>
      <c r="O211" s="25"/>
      <c r="AI211" s="28"/>
      <c r="AJ211" s="28"/>
      <c r="AK211" s="28"/>
      <c r="AL211" s="28"/>
      <c r="AM211" s="28"/>
      <c r="AN211" s="28"/>
      <c r="AO211" s="30"/>
      <c r="AP211" s="28"/>
      <c r="AS211" s="28"/>
      <c r="AT211" s="28"/>
      <c r="AU211" s="30"/>
      <c r="AV211" s="28"/>
      <c r="AW211" s="28"/>
      <c r="AX211" s="28"/>
      <c r="AZ211" s="28"/>
      <c r="BA211" s="16">
        <f t="shared" si="182"/>
        <v>49258.768211920658</v>
      </c>
      <c r="BC211" s="7" t="e">
        <f t="shared" si="184"/>
        <v>#N/A</v>
      </c>
      <c r="BR211" s="7">
        <v>5300071</v>
      </c>
      <c r="BS211" s="9">
        <f>[1]monsters!$N211</f>
        <v>246.4</v>
      </c>
      <c r="BT211" s="9">
        <f>[1]monsters!$O211</f>
        <v>24.64</v>
      </c>
      <c r="BU211" s="9">
        <f>[1]monsters!$P211</f>
        <v>1508.57</v>
      </c>
      <c r="BV211" s="9">
        <f>[1]monsters!$Q211</f>
        <v>150.86000000000001</v>
      </c>
      <c r="BW211" s="9">
        <f>[1]monsters!$R211</f>
        <v>30.8</v>
      </c>
      <c r="BX211" s="9">
        <f>[1]monsters!$S211</f>
        <v>3.08</v>
      </c>
      <c r="BY211" s="9">
        <f>[1]monsters!$K211</f>
        <v>1.5</v>
      </c>
      <c r="BZ211" s="7">
        <f>[1]monsters!$D211</f>
        <v>5</v>
      </c>
      <c r="CA211" s="7">
        <f t="shared" si="185"/>
        <v>0.1</v>
      </c>
      <c r="CB211" s="7">
        <f t="shared" si="186"/>
        <v>283.64160269360275</v>
      </c>
      <c r="CC211" s="7">
        <f t="shared" si="187"/>
        <v>28.364160269360276</v>
      </c>
      <c r="CD211" s="7"/>
      <c r="CE211" s="7"/>
      <c r="CF211" s="7"/>
      <c r="CG211" s="7"/>
      <c r="CH211" s="7"/>
      <c r="CI211" s="7"/>
      <c r="CJ211" s="7"/>
      <c r="CK211" s="7"/>
      <c r="CL211" s="7"/>
      <c r="CM211" s="7"/>
      <c r="CN211" s="7"/>
      <c r="CO211" s="7"/>
      <c r="CP211" s="7">
        <v>0</v>
      </c>
      <c r="CR211" s="25"/>
      <c r="CS211" s="25"/>
      <c r="CT211" s="25"/>
      <c r="CU211" s="25"/>
      <c r="CV211" s="25"/>
      <c r="CW211" s="25"/>
      <c r="DP211" s="32"/>
      <c r="DQ211" s="32"/>
      <c r="DR211" s="32"/>
      <c r="DS211" s="32"/>
      <c r="DT211" s="32"/>
      <c r="DU211" s="32"/>
      <c r="DV211" s="32"/>
      <c r="DW211" s="32"/>
      <c r="DX211" s="32"/>
      <c r="DY211" s="32"/>
      <c r="DZ211" s="32"/>
      <c r="EA211" s="25"/>
      <c r="EB211" s="17"/>
      <c r="EC211" s="16">
        <v>5500081</v>
      </c>
      <c r="ED211" s="40" t="s">
        <v>208</v>
      </c>
      <c r="EE211" s="16">
        <v>2</v>
      </c>
      <c r="EF211" s="16">
        <v>505220001</v>
      </c>
      <c r="EG211" s="25" t="str">
        <f t="shared" si="188"/>
        <v>对随机1名敌人造成107%攻击伤害。</v>
      </c>
    </row>
    <row r="212" spans="11:137" ht="13.5" customHeight="1">
      <c r="K212" s="2"/>
      <c r="L212" s="18"/>
      <c r="O212" s="25"/>
      <c r="AI212" s="28"/>
      <c r="AJ212" s="28"/>
      <c r="AK212" s="28"/>
      <c r="AL212" s="28"/>
      <c r="AM212" s="28"/>
      <c r="AN212" s="28"/>
      <c r="AO212" s="30"/>
      <c r="AP212" s="28"/>
      <c r="AS212" s="28"/>
      <c r="AT212" s="28"/>
      <c r="AU212" s="30"/>
      <c r="AV212" s="28"/>
      <c r="AW212" s="28"/>
      <c r="AX212" s="28"/>
      <c r="AZ212" s="28"/>
      <c r="BA212" s="16">
        <f t="shared" si="182"/>
        <v>49120.281456953773</v>
      </c>
      <c r="BC212" s="7" t="e">
        <f t="shared" si="184"/>
        <v>#N/A</v>
      </c>
      <c r="BR212" s="7">
        <v>5301071</v>
      </c>
      <c r="BS212" s="9">
        <f>[1]monsters!$N212</f>
        <v>229.97</v>
      </c>
      <c r="BT212" s="9">
        <f>[1]monsters!$O212</f>
        <v>23</v>
      </c>
      <c r="BU212" s="9">
        <f>[1]monsters!$P212</f>
        <v>1508.57</v>
      </c>
      <c r="BV212" s="9">
        <f>[1]monsters!$Q212</f>
        <v>150.86000000000001</v>
      </c>
      <c r="BW212" s="9">
        <f>[1]monsters!$R212</f>
        <v>28.75</v>
      </c>
      <c r="BX212" s="9">
        <f>[1]monsters!$S212</f>
        <v>2.87</v>
      </c>
      <c r="BY212" s="9">
        <f>[1]monsters!$K212</f>
        <v>1.4000000000000001</v>
      </c>
      <c r="BZ212" s="7">
        <f>[1]monsters!$D212</f>
        <v>5</v>
      </c>
      <c r="CA212" s="7">
        <f t="shared" si="185"/>
        <v>0.1</v>
      </c>
      <c r="CB212" s="7">
        <f t="shared" si="186"/>
        <v>268.11525269360271</v>
      </c>
      <c r="CC212" s="7">
        <f t="shared" si="187"/>
        <v>26.811525269360274</v>
      </c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>
        <v>0</v>
      </c>
      <c r="CR212" s="25"/>
      <c r="CS212" s="25"/>
      <c r="CT212" s="25"/>
      <c r="CU212" s="25"/>
      <c r="CV212" s="25"/>
      <c r="CW212" s="25"/>
      <c r="DP212" s="32"/>
      <c r="DQ212" s="32"/>
      <c r="DR212" s="32"/>
      <c r="DS212" s="32"/>
      <c r="DT212" s="32"/>
      <c r="DU212" s="32"/>
      <c r="DV212" s="32"/>
      <c r="DW212" s="32"/>
      <c r="DX212" s="32"/>
      <c r="DY212" s="32"/>
      <c r="DZ212" s="32"/>
      <c r="EA212" s="25"/>
      <c r="EB212" s="17"/>
      <c r="EC212" s="16">
        <v>5502081</v>
      </c>
      <c r="ED212" s="40" t="s">
        <v>130</v>
      </c>
      <c r="EE212" s="16">
        <v>2</v>
      </c>
      <c r="EF212" s="16">
        <v>505220101</v>
      </c>
      <c r="EG212" s="25" t="str">
        <f t="shared" si="188"/>
        <v>对随机2名敌人造成173%攻击伤害，并嘲讽目标，使对方强制攻击自己。</v>
      </c>
    </row>
    <row r="213" spans="11:137" ht="13.5" customHeight="1">
      <c r="K213" s="2"/>
      <c r="O213" s="25"/>
      <c r="AI213" s="28"/>
      <c r="AJ213" s="28"/>
      <c r="AK213" s="28"/>
      <c r="AL213" s="28"/>
      <c r="AM213" s="28"/>
      <c r="AN213" s="28"/>
      <c r="AO213" s="30"/>
      <c r="AP213" s="28"/>
      <c r="AS213" s="28"/>
      <c r="AT213" s="28"/>
      <c r="AU213" s="30"/>
      <c r="AV213" s="28"/>
      <c r="AW213" s="28"/>
      <c r="AX213" s="28"/>
      <c r="AZ213" s="28"/>
      <c r="BA213" s="16">
        <f t="shared" si="182"/>
        <v>48981.794701986888</v>
      </c>
      <c r="BC213" s="7" t="e">
        <f t="shared" si="184"/>
        <v>#N/A</v>
      </c>
      <c r="BR213" s="7">
        <v>5401071</v>
      </c>
      <c r="BS213" s="9">
        <f>[1]monsters!$N213</f>
        <v>272.8</v>
      </c>
      <c r="BT213" s="9">
        <f>[1]monsters!$O213</f>
        <v>27.28</v>
      </c>
      <c r="BU213" s="9">
        <f>[1]monsters!$P213</f>
        <v>1362.58</v>
      </c>
      <c r="BV213" s="9">
        <f>[1]monsters!$Q213</f>
        <v>136.26</v>
      </c>
      <c r="BW213" s="9">
        <f>[1]monsters!$R213</f>
        <v>27.28</v>
      </c>
      <c r="BX213" s="9">
        <f>[1]monsters!$S213</f>
        <v>2.73</v>
      </c>
      <c r="BY213" s="9">
        <f>[1]monsters!$K213</f>
        <v>1.5</v>
      </c>
      <c r="BZ213" s="7">
        <f>[1]monsters!$D213</f>
        <v>6</v>
      </c>
      <c r="CA213" s="7">
        <f t="shared" si="185"/>
        <v>0.1</v>
      </c>
      <c r="CB213" s="7">
        <f t="shared" si="186"/>
        <v>303.67411447811446</v>
      </c>
      <c r="CC213" s="7">
        <f t="shared" si="187"/>
        <v>30.367411447811449</v>
      </c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>
        <v>1</v>
      </c>
      <c r="CR213" s="25"/>
      <c r="CS213" s="25"/>
      <c r="CT213" s="25"/>
      <c r="CU213" s="25"/>
      <c r="CV213" s="25"/>
      <c r="CW213" s="25"/>
      <c r="DP213" s="32"/>
      <c r="DQ213" s="32"/>
      <c r="DR213" s="32"/>
      <c r="DS213" s="32"/>
      <c r="DT213" s="32"/>
      <c r="DU213" s="32"/>
      <c r="DV213" s="32"/>
      <c r="DW213" s="32"/>
      <c r="DX213" s="32"/>
      <c r="DY213" s="32"/>
      <c r="DZ213" s="32"/>
      <c r="EA213" s="25"/>
      <c r="EB213" s="17"/>
      <c r="EC213" s="16">
        <v>5601081</v>
      </c>
      <c r="ED213" s="40" t="s">
        <v>209</v>
      </c>
      <c r="EE213" s="16">
        <v>2</v>
      </c>
      <c r="EF213" s="16">
        <v>505220201</v>
      </c>
      <c r="EG213" s="25" t="str">
        <f t="shared" si="188"/>
        <v>对距离最远的1名敌人造成350%攻击伤害。</v>
      </c>
    </row>
    <row r="214" spans="11:137" ht="13.5" customHeight="1">
      <c r="K214" s="2"/>
      <c r="L214" s="18"/>
      <c r="O214" s="25"/>
      <c r="AI214" s="28"/>
      <c r="AJ214" s="28"/>
      <c r="AK214" s="28"/>
      <c r="AL214" s="28"/>
      <c r="AM214" s="28"/>
      <c r="AN214" s="28"/>
      <c r="AO214" s="30"/>
      <c r="AP214" s="28"/>
      <c r="AS214" s="28"/>
      <c r="AT214" s="28"/>
      <c r="AU214" s="30"/>
      <c r="AV214" s="28"/>
      <c r="AW214" s="28"/>
      <c r="AX214" s="28"/>
      <c r="AZ214" s="28"/>
      <c r="BA214" s="16">
        <f t="shared" si="182"/>
        <v>48843.307947020003</v>
      </c>
      <c r="BC214" s="7" t="e">
        <f t="shared" si="184"/>
        <v>#N/A</v>
      </c>
      <c r="BR214" s="7">
        <v>5402071</v>
      </c>
      <c r="BS214" s="9">
        <f>[1]monsters!$N214</f>
        <v>176</v>
      </c>
      <c r="BT214" s="9">
        <f>[1]monsters!$O214</f>
        <v>17.600000000000001</v>
      </c>
      <c r="BU214" s="9">
        <f>[1]monsters!$P214</f>
        <v>2112</v>
      </c>
      <c r="BV214" s="9">
        <f>[1]monsters!$Q214</f>
        <v>211.2</v>
      </c>
      <c r="BW214" s="9">
        <f>[1]monsters!$R214</f>
        <v>44</v>
      </c>
      <c r="BX214" s="9">
        <f>[1]monsters!$S214</f>
        <v>4.4000000000000004</v>
      </c>
      <c r="BY214" s="9">
        <f>[1]monsters!$K214</f>
        <v>1.5</v>
      </c>
      <c r="BZ214" s="7">
        <f>[1]monsters!$D214</f>
        <v>2</v>
      </c>
      <c r="CA214" s="7">
        <f t="shared" si="185"/>
        <v>0.1</v>
      </c>
      <c r="CB214" s="7">
        <f t="shared" si="186"/>
        <v>237.43111111111114</v>
      </c>
      <c r="CC214" s="7">
        <f t="shared" si="187"/>
        <v>23.743111111111116</v>
      </c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>
        <v>0</v>
      </c>
      <c r="CR214" s="25"/>
      <c r="CS214" s="25"/>
      <c r="CT214" s="25"/>
      <c r="CU214" s="25"/>
      <c r="CV214" s="25"/>
      <c r="CW214" s="25"/>
      <c r="DP214" s="32"/>
      <c r="DQ214" s="32"/>
      <c r="DR214" s="32"/>
      <c r="DS214" s="32"/>
      <c r="DT214" s="32"/>
      <c r="DU214" s="32"/>
      <c r="DV214" s="32"/>
      <c r="DW214" s="32"/>
      <c r="DX214" s="32"/>
      <c r="DY214" s="32"/>
      <c r="DZ214" s="32"/>
      <c r="EA214" s="25"/>
      <c r="EB214" s="17"/>
      <c r="EC214" s="16">
        <v>5200082</v>
      </c>
      <c r="ED214" s="40" t="s">
        <v>210</v>
      </c>
      <c r="EE214" s="16">
        <v>1</v>
      </c>
      <c r="EF214" s="16">
        <v>505230101</v>
      </c>
      <c r="EG214" s="25" t="str">
        <f t="shared" si="188"/>
        <v>对随机2名敌人造成161%攻击伤害，并有100%几率使目标燃烧，每秒造成20%攻击伤害，持续3秒。</v>
      </c>
    </row>
    <row r="215" spans="11:137" ht="13.5" customHeight="1">
      <c r="K215" s="2"/>
      <c r="L215" s="18"/>
      <c r="O215" s="25"/>
      <c r="AI215" s="28"/>
      <c r="AJ215" s="28"/>
      <c r="AK215" s="28"/>
      <c r="AL215" s="28"/>
      <c r="AM215" s="28"/>
      <c r="AN215" s="28"/>
      <c r="AO215" s="30"/>
      <c r="AP215" s="28"/>
      <c r="AS215" s="28"/>
      <c r="AT215" s="28"/>
      <c r="AU215" s="30"/>
      <c r="AV215" s="28"/>
      <c r="AW215" s="28"/>
      <c r="AX215" s="28"/>
      <c r="AZ215" s="28"/>
      <c r="BA215" s="16">
        <f t="shared" si="182"/>
        <v>48704.821192053118</v>
      </c>
      <c r="BC215" s="7" t="e">
        <f t="shared" si="184"/>
        <v>#N/A</v>
      </c>
      <c r="BR215" s="7">
        <v>5500071</v>
      </c>
      <c r="BS215" s="9">
        <f>[1]monsters!$N215</f>
        <v>168.96</v>
      </c>
      <c r="BT215" s="9">
        <f>[1]monsters!$O215</f>
        <v>16.899999999999999</v>
      </c>
      <c r="BU215" s="9">
        <f>[1]monsters!$P215</f>
        <v>2640</v>
      </c>
      <c r="BV215" s="9">
        <f>[1]monsters!$Q215</f>
        <v>264</v>
      </c>
      <c r="BW215" s="9">
        <f>[1]monsters!$R215</f>
        <v>56.32</v>
      </c>
      <c r="BX215" s="9">
        <f>[1]monsters!$S215</f>
        <v>5.63</v>
      </c>
      <c r="BY215" s="9">
        <f>[1]monsters!$K215</f>
        <v>1.8</v>
      </c>
      <c r="BZ215" s="7">
        <f>[1]monsters!$D215</f>
        <v>2</v>
      </c>
      <c r="CA215" s="7">
        <f t="shared" si="185"/>
        <v>0.1</v>
      </c>
      <c r="CB215" s="7">
        <f t="shared" si="186"/>
        <v>248.55608888888889</v>
      </c>
      <c r="CC215" s="7">
        <f t="shared" si="187"/>
        <v>24.855608888888892</v>
      </c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>
        <v>0</v>
      </c>
      <c r="CR215" s="25"/>
      <c r="CS215" s="25"/>
      <c r="CT215" s="25"/>
      <c r="CU215" s="25"/>
      <c r="CV215" s="25"/>
      <c r="CW215" s="25"/>
      <c r="DP215" s="32"/>
      <c r="DQ215" s="32"/>
      <c r="DR215" s="32"/>
      <c r="DS215" s="32"/>
      <c r="DT215" s="32"/>
      <c r="DU215" s="32"/>
      <c r="DV215" s="32"/>
      <c r="DW215" s="32"/>
      <c r="DX215" s="32"/>
      <c r="DY215" s="32"/>
      <c r="DZ215" s="32"/>
      <c r="EA215" s="25"/>
      <c r="EB215" s="17"/>
      <c r="EC215" s="16">
        <v>5201082</v>
      </c>
      <c r="ED215" s="40" t="s">
        <v>120</v>
      </c>
      <c r="EE215" s="16">
        <v>1</v>
      </c>
      <c r="EF215" s="16">
        <v>505240101</v>
      </c>
      <c r="EG215" s="25" t="str">
        <f t="shared" si="188"/>
        <v>对随机3名敌人造成81%攻击伤害，并有50%几率使目标燃烧，每秒造成60%攻击伤害，持续2秒。</v>
      </c>
    </row>
    <row r="216" spans="11:137" ht="13.5" customHeight="1">
      <c r="K216" s="2"/>
      <c r="L216" s="18"/>
      <c r="O216" s="25"/>
      <c r="AI216" s="28"/>
      <c r="AJ216" s="28"/>
      <c r="AK216" s="28"/>
      <c r="AL216" s="28"/>
      <c r="AM216" s="28"/>
      <c r="AN216" s="28"/>
      <c r="AO216" s="30"/>
      <c r="AP216" s="28"/>
      <c r="AS216" s="28"/>
      <c r="AT216" s="28"/>
      <c r="AU216" s="30"/>
      <c r="AV216" s="28"/>
      <c r="AW216" s="28"/>
      <c r="AX216" s="28"/>
      <c r="AZ216" s="28"/>
      <c r="BA216" s="16">
        <f t="shared" si="182"/>
        <v>48566.334437086232</v>
      </c>
      <c r="BC216" s="7" t="e">
        <f t="shared" si="184"/>
        <v>#N/A</v>
      </c>
      <c r="BR216" s="7">
        <v>5501071</v>
      </c>
      <c r="BS216" s="9">
        <f>[1]monsters!$N216</f>
        <v>190.08</v>
      </c>
      <c r="BT216" s="9">
        <f>[1]monsters!$O216</f>
        <v>19.010000000000002</v>
      </c>
      <c r="BU216" s="9">
        <f>[1]monsters!$P216</f>
        <v>2346.67</v>
      </c>
      <c r="BV216" s="9">
        <f>[1]monsters!$Q216</f>
        <v>234.67</v>
      </c>
      <c r="BW216" s="9">
        <f>[1]monsters!$R216</f>
        <v>38.020000000000003</v>
      </c>
      <c r="BX216" s="9">
        <f>[1]monsters!$S216</f>
        <v>3.8</v>
      </c>
      <c r="BY216" s="9">
        <f>[1]monsters!$K216</f>
        <v>1.8</v>
      </c>
      <c r="BZ216" s="7">
        <f>[1]monsters!$D216</f>
        <v>2</v>
      </c>
      <c r="CA216" s="7">
        <f t="shared" si="185"/>
        <v>0.1</v>
      </c>
      <c r="CB216" s="7">
        <f t="shared" si="186"/>
        <v>258.63805791245795</v>
      </c>
      <c r="CC216" s="7">
        <f t="shared" si="187"/>
        <v>25.863805791245795</v>
      </c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>
        <v>0</v>
      </c>
      <c r="CR216" s="25"/>
      <c r="CS216" s="25"/>
      <c r="CT216" s="25"/>
      <c r="CU216" s="25"/>
      <c r="CV216" s="25"/>
      <c r="CW216" s="25"/>
      <c r="DP216" s="32"/>
      <c r="DQ216" s="32"/>
      <c r="DR216" s="32"/>
      <c r="DS216" s="32"/>
      <c r="DT216" s="32"/>
      <c r="DU216" s="32"/>
      <c r="DV216" s="32"/>
      <c r="DW216" s="32"/>
      <c r="DX216" s="32"/>
      <c r="DY216" s="32"/>
      <c r="DZ216" s="32"/>
      <c r="EA216" s="25"/>
      <c r="EB216" s="17"/>
      <c r="EC216" s="16">
        <v>5202082</v>
      </c>
      <c r="ED216" s="40" t="s">
        <v>211</v>
      </c>
      <c r="EE216" s="16">
        <v>1</v>
      </c>
      <c r="EF216" s="16">
        <v>505240201</v>
      </c>
      <c r="EG216" s="25" t="str">
        <f t="shared" si="188"/>
        <v>对随机2名敌人造成91%攻击伤害，并有100%几率使目标燃烧，每秒造成30%攻击伤害，持续3秒。</v>
      </c>
    </row>
    <row r="217" spans="11:137" ht="13.5" customHeight="1">
      <c r="K217" s="2"/>
      <c r="L217" s="18"/>
      <c r="O217" s="25"/>
      <c r="AI217" s="28"/>
      <c r="AJ217" s="28"/>
      <c r="AK217" s="28"/>
      <c r="AL217" s="28"/>
      <c r="AM217" s="28"/>
      <c r="AN217" s="28"/>
      <c r="AO217" s="30"/>
      <c r="AP217" s="28"/>
      <c r="AS217" s="28"/>
      <c r="AT217" s="28"/>
      <c r="AU217" s="30"/>
      <c r="AV217" s="28"/>
      <c r="AW217" s="28"/>
      <c r="AX217" s="28"/>
      <c r="AZ217" s="28"/>
      <c r="BA217" s="16">
        <f t="shared" si="182"/>
        <v>48427.847682119347</v>
      </c>
      <c r="BC217" s="7" t="e">
        <f t="shared" si="184"/>
        <v>#N/A</v>
      </c>
      <c r="BR217" s="7">
        <v>5600071</v>
      </c>
      <c r="BS217" s="9">
        <f>[1]monsters!$N217</f>
        <v>126.72</v>
      </c>
      <c r="BT217" s="9">
        <f>[1]monsters!$O217</f>
        <v>12.67</v>
      </c>
      <c r="BU217" s="9">
        <f>[1]monsters!$P217</f>
        <v>2346.67</v>
      </c>
      <c r="BV217" s="9">
        <f>[1]monsters!$Q217</f>
        <v>234.67</v>
      </c>
      <c r="BW217" s="9">
        <f>[1]monsters!$R217</f>
        <v>25.34</v>
      </c>
      <c r="BX217" s="9">
        <f>[1]monsters!$S217</f>
        <v>2.5299999999999998</v>
      </c>
      <c r="BY217" s="9">
        <f>[1]monsters!$K217</f>
        <v>1.2</v>
      </c>
      <c r="BZ217" s="7">
        <f>[1]monsters!$D217</f>
        <v>3</v>
      </c>
      <c r="CA217" s="7">
        <f t="shared" si="185"/>
        <v>0.1</v>
      </c>
      <c r="CB217" s="7">
        <f t="shared" si="186"/>
        <v>198.76285791245792</v>
      </c>
      <c r="CC217" s="7">
        <f t="shared" si="187"/>
        <v>19.876285791245792</v>
      </c>
      <c r="CD217" s="7"/>
      <c r="CE217" s="7"/>
      <c r="CF217" s="7"/>
      <c r="CG217" s="7"/>
      <c r="CH217" s="7"/>
      <c r="CI217" s="7"/>
      <c r="CJ217" s="7"/>
      <c r="CK217" s="7"/>
      <c r="CL217" s="7"/>
      <c r="CM217" s="7"/>
      <c r="CN217" s="7"/>
      <c r="CO217" s="7"/>
      <c r="CP217" s="7">
        <v>0</v>
      </c>
      <c r="CR217" s="25"/>
      <c r="CS217" s="25"/>
      <c r="CT217" s="25"/>
      <c r="CU217" s="25"/>
      <c r="CV217" s="25"/>
      <c r="CW217" s="25"/>
      <c r="DP217" s="32"/>
      <c r="DQ217" s="32"/>
      <c r="DR217" s="32"/>
      <c r="DS217" s="32"/>
      <c r="DT217" s="32"/>
      <c r="DU217" s="32"/>
      <c r="DV217" s="32"/>
      <c r="DW217" s="32"/>
      <c r="DX217" s="32"/>
      <c r="DY217" s="32"/>
      <c r="DZ217" s="32"/>
      <c r="EA217" s="25"/>
      <c r="EB217" s="17"/>
      <c r="EC217" s="16">
        <v>5301082</v>
      </c>
      <c r="ED217" s="40" t="s">
        <v>212</v>
      </c>
      <c r="EE217" s="16">
        <v>1</v>
      </c>
      <c r="EF217" s="16">
        <v>505250001</v>
      </c>
      <c r="EG217" s="25" t="str">
        <f t="shared" si="188"/>
        <v>对距离最近的2名敌人造成192%攻击伤害。</v>
      </c>
    </row>
    <row r="218" spans="11:137" ht="13.5" customHeight="1">
      <c r="K218" s="2"/>
      <c r="O218" s="25"/>
      <c r="AI218" s="28"/>
      <c r="AJ218" s="28"/>
      <c r="AK218" s="28"/>
      <c r="AL218" s="28"/>
      <c r="AM218" s="28"/>
      <c r="AN218" s="28"/>
      <c r="AO218" s="30"/>
      <c r="AP218" s="28"/>
      <c r="AS218" s="28"/>
      <c r="AT218" s="28"/>
      <c r="AU218" s="30"/>
      <c r="AV218" s="28"/>
      <c r="AW218" s="28"/>
      <c r="AX218" s="28"/>
      <c r="AZ218" s="28"/>
      <c r="BA218" s="16">
        <f t="shared" si="182"/>
        <v>48289.360927152462</v>
      </c>
      <c r="BC218" s="7" t="e">
        <f t="shared" si="184"/>
        <v>#N/A</v>
      </c>
      <c r="BR218" s="7">
        <v>5601071</v>
      </c>
      <c r="BS218" s="9">
        <f>[1]monsters!$N218</f>
        <v>225.28</v>
      </c>
      <c r="BT218" s="9">
        <f>[1]monsters!$O218</f>
        <v>22.53</v>
      </c>
      <c r="BU218" s="9">
        <f>[1]monsters!$P218</f>
        <v>1760</v>
      </c>
      <c r="BV218" s="9">
        <f>[1]monsters!$Q218</f>
        <v>176</v>
      </c>
      <c r="BW218" s="9">
        <f>[1]monsters!$R218</f>
        <v>32.18</v>
      </c>
      <c r="BX218" s="9">
        <f>[1]monsters!$S218</f>
        <v>3.22</v>
      </c>
      <c r="BY218" s="9">
        <f>[1]monsters!$K218</f>
        <v>1.6</v>
      </c>
      <c r="BZ218" s="7">
        <f>[1]monsters!$D218</f>
        <v>4</v>
      </c>
      <c r="CA218" s="7">
        <f t="shared" si="185"/>
        <v>0.1</v>
      </c>
      <c r="CB218" s="7">
        <f t="shared" si="186"/>
        <v>272.14885925925927</v>
      </c>
      <c r="CC218" s="7">
        <f t="shared" si="187"/>
        <v>27.214885925925927</v>
      </c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>
        <v>1</v>
      </c>
      <c r="CR218" s="25"/>
      <c r="CS218" s="25"/>
      <c r="CT218" s="25"/>
      <c r="CU218" s="25"/>
      <c r="CV218" s="25"/>
      <c r="CW218" s="25"/>
      <c r="DP218" s="32"/>
      <c r="DQ218" s="32"/>
      <c r="DR218" s="32"/>
      <c r="DS218" s="32"/>
      <c r="DT218" s="32"/>
      <c r="DU218" s="32"/>
      <c r="DV218" s="32"/>
      <c r="DW218" s="32"/>
      <c r="DX218" s="32"/>
      <c r="DY218" s="32"/>
      <c r="DZ218" s="32"/>
      <c r="EA218" s="25"/>
      <c r="EB218" s="17"/>
      <c r="EC218" s="16">
        <v>5401082</v>
      </c>
      <c r="ED218" s="40" t="s">
        <v>213</v>
      </c>
      <c r="EE218" s="16">
        <v>2</v>
      </c>
      <c r="EF218" s="16">
        <v>505250201</v>
      </c>
      <c r="EG218" s="25" t="str">
        <f t="shared" si="188"/>
        <v>对血最少的1名敌人造成431%攻击伤害。</v>
      </c>
    </row>
    <row r="219" spans="11:137" ht="13.5" customHeight="1">
      <c r="K219" s="2"/>
      <c r="L219" s="18"/>
      <c r="O219" s="25"/>
      <c r="AI219" s="28"/>
      <c r="AJ219" s="28"/>
      <c r="AK219" s="28"/>
      <c r="AL219" s="28"/>
      <c r="AM219" s="28"/>
      <c r="AN219" s="28"/>
      <c r="AO219" s="30"/>
      <c r="AP219" s="28"/>
      <c r="AS219" s="28"/>
      <c r="AT219" s="28"/>
      <c r="AU219" s="30"/>
      <c r="AV219" s="28"/>
      <c r="AW219" s="28"/>
      <c r="AX219" s="28"/>
      <c r="AZ219" s="28"/>
      <c r="BA219" s="16">
        <f t="shared" ref="BA219:BA252" si="189">BA218+($BA$253-$BA$153)/($A$253-$A$153)</f>
        <v>48150.874172185577</v>
      </c>
      <c r="BC219" s="7" t="e">
        <f t="shared" si="184"/>
        <v>#N/A</v>
      </c>
      <c r="BR219" s="7">
        <v>5200072</v>
      </c>
      <c r="BS219" s="9">
        <f>[1]monsters!$N219</f>
        <v>211.2</v>
      </c>
      <c r="BT219" s="9">
        <f>[1]monsters!$O219</f>
        <v>21.12</v>
      </c>
      <c r="BU219" s="9">
        <f>[1]monsters!$P219</f>
        <v>1760</v>
      </c>
      <c r="BV219" s="9">
        <f>[1]monsters!$Q219</f>
        <v>176</v>
      </c>
      <c r="BW219" s="9">
        <f>[1]monsters!$R219</f>
        <v>30.17</v>
      </c>
      <c r="BX219" s="9">
        <f>[1]monsters!$S219</f>
        <v>3.02</v>
      </c>
      <c r="BY219" s="9">
        <f>[1]monsters!$K219</f>
        <v>1.5</v>
      </c>
      <c r="BZ219" s="7">
        <f>[1]monsters!$D219</f>
        <v>4</v>
      </c>
      <c r="CA219" s="7">
        <f t="shared" si="185"/>
        <v>0.1</v>
      </c>
      <c r="CB219" s="7">
        <f t="shared" si="186"/>
        <v>258.84325925925924</v>
      </c>
      <c r="CC219" s="7">
        <f t="shared" si="187"/>
        <v>25.884325925925925</v>
      </c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>
        <v>0</v>
      </c>
      <c r="CR219" s="25"/>
      <c r="CS219" s="25"/>
      <c r="CT219" s="25"/>
      <c r="CU219" s="25"/>
      <c r="CV219" s="25"/>
      <c r="CW219" s="25"/>
      <c r="DP219" s="32"/>
      <c r="DQ219" s="32"/>
      <c r="DR219" s="32"/>
      <c r="DS219" s="32"/>
      <c r="DT219" s="32"/>
      <c r="DU219" s="32"/>
      <c r="DV219" s="32"/>
      <c r="DW219" s="32"/>
      <c r="DX219" s="32"/>
      <c r="DY219" s="32"/>
      <c r="DZ219" s="32"/>
      <c r="EA219" s="25"/>
      <c r="EB219" s="43"/>
      <c r="EC219" s="16">
        <v>5402082</v>
      </c>
      <c r="ED219" s="40" t="s">
        <v>214</v>
      </c>
      <c r="EE219" s="16">
        <v>2</v>
      </c>
      <c r="EF219" s="16">
        <v>505260101</v>
      </c>
      <c r="EG219" s="25" t="str">
        <f t="shared" si="188"/>
        <v>对距离最远的2名敌人造成106%攻击伤害，并使2名友军恢复100%攻击等量的生命。</v>
      </c>
    </row>
    <row r="220" spans="11:137" ht="13.5" customHeight="1">
      <c r="K220" s="2"/>
      <c r="L220" s="18"/>
      <c r="O220" s="25"/>
      <c r="AI220" s="28"/>
      <c r="AJ220" s="28"/>
      <c r="AK220" s="28"/>
      <c r="AL220" s="28"/>
      <c r="AM220" s="28"/>
      <c r="AN220" s="28"/>
      <c r="AO220" s="30"/>
      <c r="AP220" s="28"/>
      <c r="AS220" s="28"/>
      <c r="AT220" s="28"/>
      <c r="AU220" s="30"/>
      <c r="AV220" s="28"/>
      <c r="AW220" s="28"/>
      <c r="AX220" s="28"/>
      <c r="AZ220" s="28"/>
      <c r="BA220" s="16">
        <f t="shared" si="189"/>
        <v>48012.387417218692</v>
      </c>
      <c r="BC220" s="7" t="e">
        <f t="shared" si="184"/>
        <v>#N/A</v>
      </c>
      <c r="BR220" s="7">
        <v>5202072</v>
      </c>
      <c r="BS220" s="9">
        <f>[1]monsters!$N220</f>
        <v>246.4</v>
      </c>
      <c r="BT220" s="9">
        <f>[1]monsters!$O220</f>
        <v>24.64</v>
      </c>
      <c r="BU220" s="9">
        <f>[1]monsters!$P220</f>
        <v>1508.57</v>
      </c>
      <c r="BV220" s="9">
        <f>[1]monsters!$Q220</f>
        <v>150.86000000000001</v>
      </c>
      <c r="BW220" s="9">
        <f>[1]monsters!$R220</f>
        <v>30.8</v>
      </c>
      <c r="BX220" s="9">
        <f>[1]monsters!$S220</f>
        <v>3.08</v>
      </c>
      <c r="BY220" s="9">
        <f>[1]monsters!$K220</f>
        <v>1.5</v>
      </c>
      <c r="BZ220" s="7">
        <f>[1]monsters!$D220</f>
        <v>5</v>
      </c>
      <c r="CA220" s="7">
        <f t="shared" si="185"/>
        <v>0.1</v>
      </c>
      <c r="CB220" s="7">
        <f t="shared" si="186"/>
        <v>283.64160269360275</v>
      </c>
      <c r="CC220" s="7">
        <f t="shared" si="187"/>
        <v>28.364160269360276</v>
      </c>
      <c r="CD220" s="7"/>
      <c r="CE220" s="7"/>
      <c r="CF220" s="7"/>
      <c r="CG220" s="7"/>
      <c r="CH220" s="7"/>
      <c r="CI220" s="7"/>
      <c r="CJ220" s="7"/>
      <c r="CK220" s="7"/>
      <c r="CL220" s="7"/>
      <c r="CM220" s="7"/>
      <c r="CN220" s="7"/>
      <c r="CO220" s="7"/>
      <c r="CP220" s="7">
        <v>0</v>
      </c>
      <c r="CR220" s="25"/>
      <c r="CS220" s="25"/>
      <c r="CT220" s="25"/>
      <c r="CU220" s="25"/>
      <c r="CV220" s="25"/>
      <c r="CW220" s="25"/>
      <c r="DP220" s="32"/>
      <c r="DQ220" s="32"/>
      <c r="DR220" s="32"/>
      <c r="DS220" s="32"/>
      <c r="DT220" s="32"/>
      <c r="DU220" s="32"/>
      <c r="DV220" s="32"/>
      <c r="DW220" s="32"/>
      <c r="DX220" s="32"/>
      <c r="DY220" s="32"/>
      <c r="DZ220" s="32"/>
      <c r="EA220" s="25"/>
      <c r="EB220" s="17"/>
      <c r="EC220" s="16">
        <v>5500082</v>
      </c>
      <c r="ED220" s="40" t="s">
        <v>115</v>
      </c>
      <c r="EE220" s="16">
        <v>2</v>
      </c>
      <c r="EF220" s="16">
        <v>505320001</v>
      </c>
      <c r="EG220" s="25" t="str">
        <f t="shared" si="188"/>
        <v>对随机1名敌人造成200%攻击伤害，并有100%几率使目标流血，每秒造成40%攻击伤害，持续3秒。</v>
      </c>
    </row>
    <row r="221" spans="11:137" ht="13.5" customHeight="1">
      <c r="K221" s="2"/>
      <c r="L221" s="18"/>
      <c r="O221" s="25"/>
      <c r="AI221" s="28"/>
      <c r="AJ221" s="28"/>
      <c r="AK221" s="28"/>
      <c r="AL221" s="28"/>
      <c r="AM221" s="28"/>
      <c r="AN221" s="28"/>
      <c r="AO221" s="30"/>
      <c r="AP221" s="28"/>
      <c r="AS221" s="28"/>
      <c r="AT221" s="28"/>
      <c r="AU221" s="30"/>
      <c r="AV221" s="28"/>
      <c r="AW221" s="28"/>
      <c r="AX221" s="28"/>
      <c r="AZ221" s="28"/>
      <c r="BA221" s="16">
        <f t="shared" si="189"/>
        <v>47873.900662251806</v>
      </c>
      <c r="BC221" s="7" t="e">
        <f t="shared" si="184"/>
        <v>#N/A</v>
      </c>
      <c r="BR221" s="7">
        <v>5302072</v>
      </c>
      <c r="BS221" s="9">
        <f>[1]monsters!$N221</f>
        <v>229.97</v>
      </c>
      <c r="BT221" s="9">
        <f>[1]monsters!$O221</f>
        <v>23</v>
      </c>
      <c r="BU221" s="9">
        <f>[1]monsters!$P221</f>
        <v>1508.57</v>
      </c>
      <c r="BV221" s="9">
        <f>[1]monsters!$Q221</f>
        <v>150.86000000000001</v>
      </c>
      <c r="BW221" s="9">
        <f>[1]monsters!$R221</f>
        <v>28.75</v>
      </c>
      <c r="BX221" s="9">
        <f>[1]monsters!$S221</f>
        <v>2.87</v>
      </c>
      <c r="BY221" s="9">
        <f>[1]monsters!$K221</f>
        <v>1.4000000000000001</v>
      </c>
      <c r="BZ221" s="7">
        <f>[1]monsters!$D221</f>
        <v>5</v>
      </c>
      <c r="CA221" s="7">
        <f t="shared" si="185"/>
        <v>0.1</v>
      </c>
      <c r="CB221" s="7">
        <f t="shared" si="186"/>
        <v>268.11525269360271</v>
      </c>
      <c r="CC221" s="7">
        <f t="shared" si="187"/>
        <v>26.811525269360274</v>
      </c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>
        <v>0</v>
      </c>
      <c r="CR221" s="25"/>
      <c r="CS221" s="25"/>
      <c r="CT221" s="25"/>
      <c r="CU221" s="25"/>
      <c r="CV221" s="25"/>
      <c r="CW221" s="25"/>
      <c r="DP221" s="32"/>
      <c r="DQ221" s="32"/>
      <c r="DR221" s="32"/>
      <c r="DS221" s="32"/>
      <c r="DT221" s="32"/>
      <c r="DU221" s="32"/>
      <c r="DV221" s="32"/>
      <c r="DW221" s="32"/>
      <c r="DX221" s="32"/>
      <c r="DY221" s="32"/>
      <c r="DZ221" s="32"/>
      <c r="EA221" s="25"/>
      <c r="EB221" s="17"/>
      <c r="EC221" s="16">
        <v>5502082</v>
      </c>
      <c r="ED221" s="40" t="s">
        <v>215</v>
      </c>
      <c r="EE221" s="16">
        <v>2</v>
      </c>
      <c r="EF221" s="16">
        <v>505320101</v>
      </c>
      <c r="EG221" s="25" t="str">
        <f t="shared" si="188"/>
        <v>对随机1名敌人造成215%攻击伤害，并有100%几率使目标流血，每秒造成40%攻击伤害，持续3秒。</v>
      </c>
    </row>
    <row r="222" spans="11:137" ht="13.5" customHeight="1">
      <c r="K222" s="2"/>
      <c r="L222" s="18"/>
      <c r="O222" s="25"/>
      <c r="AI222" s="28"/>
      <c r="AJ222" s="28"/>
      <c r="AK222" s="28"/>
      <c r="AL222" s="28"/>
      <c r="AM222" s="28"/>
      <c r="AN222" s="28"/>
      <c r="AO222" s="30"/>
      <c r="AP222" s="28"/>
      <c r="AS222" s="28"/>
      <c r="AT222" s="28"/>
      <c r="AU222" s="30"/>
      <c r="AV222" s="28"/>
      <c r="AW222" s="28"/>
      <c r="AX222" s="28"/>
      <c r="AZ222" s="28"/>
      <c r="BA222" s="16">
        <f t="shared" si="189"/>
        <v>47735.413907284921</v>
      </c>
      <c r="BC222" s="7" t="e">
        <f t="shared" si="184"/>
        <v>#N/A</v>
      </c>
      <c r="BR222" s="7">
        <v>5300072</v>
      </c>
      <c r="BS222" s="9">
        <f>[1]monsters!$N222</f>
        <v>272.8</v>
      </c>
      <c r="BT222" s="9">
        <f>[1]monsters!$O222</f>
        <v>27.28</v>
      </c>
      <c r="BU222" s="9">
        <f>[1]monsters!$P222</f>
        <v>1362.58</v>
      </c>
      <c r="BV222" s="9">
        <f>[1]monsters!$Q222</f>
        <v>136.26</v>
      </c>
      <c r="BW222" s="9">
        <f>[1]monsters!$R222</f>
        <v>27.28</v>
      </c>
      <c r="BX222" s="9">
        <f>[1]monsters!$S222</f>
        <v>2.73</v>
      </c>
      <c r="BY222" s="9">
        <f>[1]monsters!$K222</f>
        <v>1.5</v>
      </c>
      <c r="BZ222" s="7">
        <f>[1]monsters!$D222</f>
        <v>6</v>
      </c>
      <c r="CA222" s="7">
        <f t="shared" si="185"/>
        <v>0.1</v>
      </c>
      <c r="CB222" s="7">
        <f t="shared" si="186"/>
        <v>303.67411447811446</v>
      </c>
      <c r="CC222" s="7">
        <f t="shared" si="187"/>
        <v>30.367411447811449</v>
      </c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>
        <v>0</v>
      </c>
      <c r="CR222" s="25"/>
      <c r="CS222" s="25"/>
      <c r="CT222" s="25"/>
      <c r="CU222" s="25"/>
      <c r="CV222" s="25"/>
      <c r="CW222" s="25"/>
      <c r="DP222" s="32"/>
      <c r="DQ222" s="32"/>
      <c r="DR222" s="32"/>
      <c r="DS222" s="32"/>
      <c r="DT222" s="32"/>
      <c r="DU222" s="32"/>
      <c r="DV222" s="32"/>
      <c r="DW222" s="32"/>
      <c r="DX222" s="32"/>
      <c r="DY222" s="32"/>
      <c r="DZ222" s="32"/>
      <c r="EA222" s="25"/>
      <c r="EB222" s="17"/>
      <c r="EC222" s="16">
        <v>5601082</v>
      </c>
      <c r="ED222" s="40" t="s">
        <v>216</v>
      </c>
      <c r="EE222" s="16">
        <v>2</v>
      </c>
      <c r="EF222" s="16">
        <v>505320201</v>
      </c>
      <c r="EG222" s="25" t="str">
        <f t="shared" si="188"/>
        <v>对随机2名敌人造成121%攻击伤害，并有100%几率使目标攻击力降低20%，持续3秒。</v>
      </c>
    </row>
    <row r="223" spans="11:137" ht="13.5" customHeight="1">
      <c r="K223" s="2"/>
      <c r="O223" s="25"/>
      <c r="AI223" s="28"/>
      <c r="AJ223" s="28"/>
      <c r="AK223" s="28"/>
      <c r="AL223" s="28"/>
      <c r="AM223" s="28"/>
      <c r="AN223" s="28"/>
      <c r="AO223" s="30"/>
      <c r="AP223" s="28"/>
      <c r="AS223" s="28"/>
      <c r="AT223" s="28"/>
      <c r="AU223" s="30"/>
      <c r="AV223" s="28"/>
      <c r="AW223" s="28"/>
      <c r="AX223" s="28"/>
      <c r="AZ223" s="28"/>
      <c r="BA223" s="16">
        <f t="shared" si="189"/>
        <v>47596.927152318036</v>
      </c>
      <c r="BC223" s="7" t="e">
        <f t="shared" si="184"/>
        <v>#N/A</v>
      </c>
      <c r="BR223" s="7">
        <v>5400072</v>
      </c>
      <c r="BS223" s="9">
        <f>[1]monsters!$N223</f>
        <v>176</v>
      </c>
      <c r="BT223" s="9">
        <f>[1]monsters!$O223</f>
        <v>17.600000000000001</v>
      </c>
      <c r="BU223" s="9">
        <f>[1]monsters!$P223</f>
        <v>2112</v>
      </c>
      <c r="BV223" s="9">
        <f>[1]monsters!$Q223</f>
        <v>211.2</v>
      </c>
      <c r="BW223" s="9">
        <f>[1]monsters!$R223</f>
        <v>44</v>
      </c>
      <c r="BX223" s="9">
        <f>[1]monsters!$S223</f>
        <v>4.4000000000000004</v>
      </c>
      <c r="BY223" s="9">
        <f>[1]monsters!$K223</f>
        <v>1.5</v>
      </c>
      <c r="BZ223" s="7">
        <f>[1]monsters!$D223</f>
        <v>2</v>
      </c>
      <c r="CA223" s="7">
        <f t="shared" si="185"/>
        <v>0.1</v>
      </c>
      <c r="CB223" s="7">
        <f t="shared" si="186"/>
        <v>237.43111111111114</v>
      </c>
      <c r="CC223" s="7">
        <f t="shared" si="187"/>
        <v>23.743111111111116</v>
      </c>
      <c r="CD223" s="7"/>
      <c r="CE223" s="7"/>
      <c r="CF223" s="7"/>
      <c r="CG223" s="7"/>
      <c r="CH223" s="7"/>
      <c r="CI223" s="7"/>
      <c r="CJ223" s="7"/>
      <c r="CK223" s="7"/>
      <c r="CL223" s="7"/>
      <c r="CM223" s="7"/>
      <c r="CN223" s="7"/>
      <c r="CO223" s="7"/>
      <c r="CP223" s="7">
        <v>1</v>
      </c>
      <c r="CR223" s="25"/>
      <c r="CS223" s="25"/>
      <c r="CT223" s="25"/>
      <c r="CU223" s="25"/>
      <c r="CV223" s="25"/>
      <c r="CW223" s="25"/>
      <c r="DP223" s="32"/>
      <c r="DQ223" s="32"/>
      <c r="DR223" s="32"/>
      <c r="DS223" s="32"/>
      <c r="DT223" s="32"/>
      <c r="DU223" s="32"/>
      <c r="DV223" s="32"/>
      <c r="DW223" s="32"/>
      <c r="DX223" s="32"/>
      <c r="DY223" s="32"/>
      <c r="DZ223" s="32"/>
      <c r="EA223" s="25"/>
      <c r="EB223" s="17"/>
      <c r="EC223" s="16">
        <v>5200083</v>
      </c>
      <c r="ED223" s="40" t="s">
        <v>119</v>
      </c>
      <c r="EE223" s="16">
        <v>1</v>
      </c>
      <c r="EF223" s="16">
        <v>505330101</v>
      </c>
      <c r="EG223" s="25" t="str">
        <f t="shared" si="188"/>
        <v>对随机2名敌人造成161%攻击伤害，并有100%几率使目标流血，每秒造成20%攻击伤害，持续3秒。</v>
      </c>
    </row>
    <row r="224" spans="11:137" ht="13.5" customHeight="1">
      <c r="K224" s="2"/>
      <c r="L224" s="18"/>
      <c r="O224" s="25"/>
      <c r="AI224" s="28"/>
      <c r="AJ224" s="28"/>
      <c r="AK224" s="28"/>
      <c r="AL224" s="28"/>
      <c r="AM224" s="28"/>
      <c r="AN224" s="28"/>
      <c r="AO224" s="30"/>
      <c r="AP224" s="28"/>
      <c r="AS224" s="28"/>
      <c r="AT224" s="28"/>
      <c r="AU224" s="30"/>
      <c r="AV224" s="28"/>
      <c r="AW224" s="28"/>
      <c r="AX224" s="28"/>
      <c r="AZ224" s="28"/>
      <c r="BA224" s="16">
        <f t="shared" si="189"/>
        <v>47458.440397351151</v>
      </c>
      <c r="BC224" s="7" t="e">
        <f t="shared" si="184"/>
        <v>#N/A</v>
      </c>
      <c r="BR224" s="7">
        <v>5402072</v>
      </c>
      <c r="BS224" s="9">
        <f>[1]monsters!$N224</f>
        <v>168.96</v>
      </c>
      <c r="BT224" s="9">
        <f>[1]monsters!$O224</f>
        <v>16.899999999999999</v>
      </c>
      <c r="BU224" s="9">
        <f>[1]monsters!$P224</f>
        <v>2640</v>
      </c>
      <c r="BV224" s="9">
        <f>[1]monsters!$Q224</f>
        <v>264</v>
      </c>
      <c r="BW224" s="9">
        <f>[1]monsters!$R224</f>
        <v>56.32</v>
      </c>
      <c r="BX224" s="9">
        <f>[1]monsters!$S224</f>
        <v>5.63</v>
      </c>
      <c r="BY224" s="9">
        <f>[1]monsters!$K224</f>
        <v>1.8</v>
      </c>
      <c r="BZ224" s="7">
        <f>[1]monsters!$D224</f>
        <v>2</v>
      </c>
      <c r="CA224" s="7">
        <f t="shared" si="185"/>
        <v>0.1</v>
      </c>
      <c r="CB224" s="7">
        <f t="shared" si="186"/>
        <v>248.55608888888889</v>
      </c>
      <c r="CC224" s="7">
        <f t="shared" si="187"/>
        <v>24.855608888888892</v>
      </c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>
        <v>0</v>
      </c>
      <c r="CR224" s="25"/>
      <c r="CS224" s="25"/>
      <c r="CT224" s="25"/>
      <c r="CU224" s="25"/>
      <c r="CV224" s="25"/>
      <c r="CW224" s="25"/>
      <c r="DP224" s="25"/>
      <c r="DQ224" s="25"/>
      <c r="DR224" s="25"/>
      <c r="DS224" s="25"/>
      <c r="DT224" s="25"/>
      <c r="DU224" s="25"/>
      <c r="DV224" s="25"/>
      <c r="DW224" s="25"/>
      <c r="DX224" s="25"/>
      <c r="DY224" s="25"/>
      <c r="DZ224" s="25"/>
      <c r="EA224" s="25"/>
      <c r="EB224" s="17"/>
      <c r="EC224" s="16">
        <v>5201083</v>
      </c>
      <c r="ED224" s="40" t="s">
        <v>217</v>
      </c>
      <c r="EE224" s="16">
        <v>1</v>
      </c>
      <c r="EF224" s="16">
        <v>505340101</v>
      </c>
      <c r="EG224" s="25" t="str">
        <f t="shared" si="188"/>
        <v>对随机3名敌人造成123%攻击伤害，并有100%几率使目标命中率降低20%，持续3秒。</v>
      </c>
    </row>
    <row r="225" spans="11:137" ht="13.5" customHeight="1">
      <c r="K225" s="2"/>
      <c r="L225" s="18"/>
      <c r="O225" s="25"/>
      <c r="AI225" s="28"/>
      <c r="AJ225" s="28"/>
      <c r="AK225" s="28"/>
      <c r="AL225" s="28"/>
      <c r="AM225" s="28"/>
      <c r="AN225" s="28"/>
      <c r="AO225" s="30"/>
      <c r="AP225" s="28"/>
      <c r="AS225" s="28"/>
      <c r="AT225" s="28"/>
      <c r="AU225" s="30"/>
      <c r="AV225" s="28"/>
      <c r="AW225" s="28"/>
      <c r="AX225" s="28"/>
      <c r="AZ225" s="28"/>
      <c r="BA225" s="16">
        <f t="shared" si="189"/>
        <v>47319.953642384266</v>
      </c>
      <c r="BC225" s="7" t="e">
        <f t="shared" si="184"/>
        <v>#N/A</v>
      </c>
      <c r="BR225" s="7">
        <v>5500072</v>
      </c>
      <c r="BS225" s="9">
        <f>[1]monsters!$N225</f>
        <v>190.08</v>
      </c>
      <c r="BT225" s="9">
        <f>[1]monsters!$O225</f>
        <v>19.010000000000002</v>
      </c>
      <c r="BU225" s="9">
        <f>[1]monsters!$P225</f>
        <v>2346.67</v>
      </c>
      <c r="BV225" s="9">
        <f>[1]monsters!$Q225</f>
        <v>234.67</v>
      </c>
      <c r="BW225" s="9">
        <f>[1]monsters!$R225</f>
        <v>38.020000000000003</v>
      </c>
      <c r="BX225" s="9">
        <f>[1]monsters!$S225</f>
        <v>3.8</v>
      </c>
      <c r="BY225" s="9">
        <f>[1]monsters!$K225</f>
        <v>1.8</v>
      </c>
      <c r="BZ225" s="7">
        <f>[1]monsters!$D225</f>
        <v>2</v>
      </c>
      <c r="CA225" s="7">
        <f t="shared" si="185"/>
        <v>0.1</v>
      </c>
      <c r="CB225" s="7">
        <f t="shared" si="186"/>
        <v>258.63805791245795</v>
      </c>
      <c r="CC225" s="7">
        <f t="shared" si="187"/>
        <v>25.863805791245795</v>
      </c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>
        <v>0</v>
      </c>
      <c r="CR225" s="25"/>
      <c r="CS225" s="25"/>
      <c r="CT225" s="25"/>
      <c r="CU225" s="25"/>
      <c r="CV225" s="25"/>
      <c r="CW225" s="25"/>
      <c r="DP225" s="25"/>
      <c r="DQ225" s="25"/>
      <c r="DR225" s="25"/>
      <c r="DS225" s="32"/>
      <c r="DT225" s="32"/>
      <c r="DU225" s="32"/>
      <c r="DV225" s="32"/>
      <c r="DW225" s="32"/>
      <c r="DX225" s="32"/>
      <c r="DY225" s="32"/>
      <c r="DZ225" s="32"/>
      <c r="EA225" s="25"/>
      <c r="EB225" s="17"/>
      <c r="EC225" s="16">
        <v>5202083</v>
      </c>
      <c r="ED225" s="40" t="s">
        <v>220</v>
      </c>
      <c r="EE225" s="16">
        <v>1</v>
      </c>
      <c r="EF225" s="16">
        <v>505340201</v>
      </c>
      <c r="EG225" s="25" t="str">
        <f t="shared" si="188"/>
        <v>对距离最远的2名敌人造成147%攻击伤害，并有30%几率使目标眩晕，持续1秒。</v>
      </c>
    </row>
    <row r="226" spans="11:137" ht="13.5" customHeight="1">
      <c r="K226" s="2"/>
      <c r="L226" s="18"/>
      <c r="O226" s="25"/>
      <c r="AI226" s="28"/>
      <c r="AJ226" s="28"/>
      <c r="AK226" s="28"/>
      <c r="AL226" s="28"/>
      <c r="AM226" s="28"/>
      <c r="AN226" s="28"/>
      <c r="AO226" s="30"/>
      <c r="AP226" s="28"/>
      <c r="AS226" s="28"/>
      <c r="AT226" s="28"/>
      <c r="AU226" s="30"/>
      <c r="AV226" s="28"/>
      <c r="AW226" s="28"/>
      <c r="AX226" s="28"/>
      <c r="AZ226" s="28"/>
      <c r="BA226" s="16">
        <f t="shared" si="189"/>
        <v>47181.46688741738</v>
      </c>
      <c r="BC226" s="7" t="e">
        <f t="shared" si="184"/>
        <v>#N/A</v>
      </c>
      <c r="BR226" s="7">
        <v>5502072</v>
      </c>
      <c r="BS226" s="9">
        <f>[1]monsters!$N226</f>
        <v>126.72</v>
      </c>
      <c r="BT226" s="9">
        <f>[1]monsters!$O226</f>
        <v>12.67</v>
      </c>
      <c r="BU226" s="9">
        <f>[1]monsters!$P226</f>
        <v>2346.67</v>
      </c>
      <c r="BV226" s="9">
        <f>[1]monsters!$Q226</f>
        <v>234.67</v>
      </c>
      <c r="BW226" s="9">
        <f>[1]monsters!$R226</f>
        <v>25.34</v>
      </c>
      <c r="BX226" s="9">
        <f>[1]monsters!$S226</f>
        <v>2.5299999999999998</v>
      </c>
      <c r="BY226" s="9">
        <f>[1]monsters!$K226</f>
        <v>1.2</v>
      </c>
      <c r="BZ226" s="7">
        <f>[1]monsters!$D226</f>
        <v>3</v>
      </c>
      <c r="CA226" s="7">
        <f t="shared" si="185"/>
        <v>0.1</v>
      </c>
      <c r="CB226" s="7">
        <f t="shared" si="186"/>
        <v>198.76285791245792</v>
      </c>
      <c r="CC226" s="7">
        <f t="shared" si="187"/>
        <v>19.876285791245792</v>
      </c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>
        <v>0</v>
      </c>
      <c r="CR226" s="25"/>
      <c r="CS226" s="25"/>
      <c r="CT226" s="25"/>
      <c r="CU226" s="25"/>
      <c r="CV226" s="25"/>
      <c r="CW226" s="25"/>
      <c r="DP226" s="25"/>
      <c r="DQ226" s="25"/>
      <c r="DR226" s="25"/>
      <c r="DS226" s="25"/>
      <c r="DT226" s="25"/>
      <c r="DU226" s="25"/>
      <c r="DV226" s="25"/>
      <c r="DW226" s="25"/>
      <c r="DX226" s="25"/>
      <c r="DY226" s="25"/>
      <c r="DZ226" s="25"/>
      <c r="EA226" s="25"/>
      <c r="EB226" s="17"/>
      <c r="EC226" s="16">
        <v>5301083</v>
      </c>
      <c r="ED226" s="40" t="s">
        <v>218</v>
      </c>
      <c r="EE226" s="16">
        <v>1</v>
      </c>
      <c r="EF226" s="16">
        <v>505350001</v>
      </c>
      <c r="EG226" s="25" t="str">
        <f t="shared" si="188"/>
        <v>对随机3名敌人造成112%攻击伤害，并有50%几率使目标燃烧，每秒造成20%攻击伤害，持续2秒。</v>
      </c>
    </row>
    <row r="227" spans="11:137" ht="13.5" customHeight="1">
      <c r="K227" s="2"/>
      <c r="L227" s="18"/>
      <c r="O227" s="25"/>
      <c r="AI227" s="28"/>
      <c r="AJ227" s="28"/>
      <c r="AK227" s="28"/>
      <c r="AL227" s="28"/>
      <c r="AM227" s="28"/>
      <c r="AN227" s="28"/>
      <c r="AO227" s="30"/>
      <c r="AP227" s="28"/>
      <c r="AS227" s="28"/>
      <c r="AT227" s="28"/>
      <c r="AU227" s="30"/>
      <c r="AV227" s="28"/>
      <c r="AW227" s="28"/>
      <c r="AX227" s="28"/>
      <c r="AZ227" s="28"/>
      <c r="BA227" s="16">
        <f t="shared" si="189"/>
        <v>47042.980132450495</v>
      </c>
      <c r="BC227" s="7" t="e">
        <f t="shared" si="184"/>
        <v>#N/A</v>
      </c>
      <c r="BR227" s="7">
        <v>5600072</v>
      </c>
      <c r="BS227" s="9">
        <f>[1]monsters!$N227</f>
        <v>225.28</v>
      </c>
      <c r="BT227" s="9">
        <f>[1]monsters!$O227</f>
        <v>22.53</v>
      </c>
      <c r="BU227" s="9">
        <f>[1]monsters!$P227</f>
        <v>1760</v>
      </c>
      <c r="BV227" s="9">
        <f>[1]monsters!$Q227</f>
        <v>176</v>
      </c>
      <c r="BW227" s="9">
        <f>[1]monsters!$R227</f>
        <v>32.18</v>
      </c>
      <c r="BX227" s="9">
        <f>[1]monsters!$S227</f>
        <v>3.22</v>
      </c>
      <c r="BY227" s="9">
        <f>[1]monsters!$K227</f>
        <v>1.6</v>
      </c>
      <c r="BZ227" s="7">
        <f>[1]monsters!$D227</f>
        <v>4</v>
      </c>
      <c r="CA227" s="7">
        <f t="shared" si="185"/>
        <v>0.1</v>
      </c>
      <c r="CB227" s="7">
        <f t="shared" si="186"/>
        <v>272.14885925925927</v>
      </c>
      <c r="CC227" s="7">
        <f t="shared" si="187"/>
        <v>27.214885925925927</v>
      </c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  <c r="CO227" s="7"/>
      <c r="CP227" s="7">
        <v>0</v>
      </c>
      <c r="CR227" s="25"/>
      <c r="CS227" s="25"/>
      <c r="CT227" s="25"/>
      <c r="CU227" s="25"/>
      <c r="CV227" s="25"/>
      <c r="CW227" s="25"/>
      <c r="DP227" s="25"/>
      <c r="DQ227" s="25"/>
      <c r="DR227" s="25"/>
      <c r="DS227" s="25"/>
      <c r="DT227" s="25"/>
      <c r="DU227" s="25"/>
      <c r="DV227" s="25"/>
      <c r="DW227" s="25"/>
      <c r="DX227" s="25"/>
      <c r="DY227" s="25"/>
      <c r="DZ227" s="25"/>
      <c r="EA227" s="25"/>
      <c r="EB227" s="17"/>
      <c r="EC227" s="16">
        <v>5401083</v>
      </c>
      <c r="ED227" s="40" t="s">
        <v>223</v>
      </c>
      <c r="EE227" s="16">
        <v>2</v>
      </c>
      <c r="EF227" s="16">
        <v>505350201</v>
      </c>
      <c r="EG227" s="25" t="str">
        <f t="shared" si="188"/>
        <v>对随机3名敌人造成121%攻击伤害，并有50%几率使目标防御力降低20%，持续3秒。</v>
      </c>
    </row>
    <row r="228" spans="11:137" ht="13.5" customHeight="1">
      <c r="K228" s="2"/>
      <c r="O228" s="25"/>
      <c r="AI228" s="28"/>
      <c r="AJ228" s="28"/>
      <c r="AK228" s="28"/>
      <c r="AL228" s="28"/>
      <c r="AM228" s="28"/>
      <c r="AN228" s="28"/>
      <c r="AO228" s="30"/>
      <c r="AP228" s="28"/>
      <c r="AS228" s="28"/>
      <c r="AT228" s="28"/>
      <c r="AU228" s="30"/>
      <c r="AV228" s="28"/>
      <c r="AW228" s="28"/>
      <c r="AX228" s="28"/>
      <c r="AZ228" s="28"/>
      <c r="BA228" s="16">
        <f t="shared" si="189"/>
        <v>46904.49337748361</v>
      </c>
      <c r="BC228" s="7" t="e">
        <f t="shared" si="184"/>
        <v>#N/A</v>
      </c>
      <c r="BR228" s="7">
        <v>5602072</v>
      </c>
      <c r="BS228" s="9">
        <f>[1]monsters!$N228</f>
        <v>211.2</v>
      </c>
      <c r="BT228" s="9">
        <f>[1]monsters!$O228</f>
        <v>21.12</v>
      </c>
      <c r="BU228" s="9">
        <f>[1]monsters!$P228</f>
        <v>1760</v>
      </c>
      <c r="BV228" s="9">
        <f>[1]monsters!$Q228</f>
        <v>176</v>
      </c>
      <c r="BW228" s="9">
        <f>[1]monsters!$R228</f>
        <v>30.17</v>
      </c>
      <c r="BX228" s="9">
        <f>[1]monsters!$S228</f>
        <v>3.02</v>
      </c>
      <c r="BY228" s="9">
        <f>[1]monsters!$K228</f>
        <v>1.5</v>
      </c>
      <c r="BZ228" s="7">
        <f>[1]monsters!$D228</f>
        <v>4</v>
      </c>
      <c r="CA228" s="7">
        <f t="shared" si="185"/>
        <v>0.1</v>
      </c>
      <c r="CB228" s="7">
        <f t="shared" si="186"/>
        <v>258.84325925925924</v>
      </c>
      <c r="CC228" s="7">
        <f t="shared" si="187"/>
        <v>25.884325925925925</v>
      </c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>
        <v>1</v>
      </c>
      <c r="CR228" s="25"/>
      <c r="CS228" s="25"/>
      <c r="CT228" s="25"/>
      <c r="CU228" s="25"/>
      <c r="CV228" s="25"/>
      <c r="CW228" s="25"/>
      <c r="DP228" s="25"/>
      <c r="DQ228" s="25"/>
      <c r="DR228" s="25"/>
      <c r="DS228" s="25"/>
      <c r="DT228" s="25"/>
      <c r="DU228" s="25"/>
      <c r="DV228" s="25"/>
      <c r="DW228" s="25"/>
      <c r="DX228" s="25"/>
      <c r="DY228" s="25"/>
      <c r="DZ228" s="25"/>
      <c r="EA228" s="25"/>
      <c r="EB228" s="17"/>
      <c r="EC228" s="16">
        <v>5402083</v>
      </c>
      <c r="ED228" s="40" t="s">
        <v>124</v>
      </c>
      <c r="EE228" s="16">
        <v>2</v>
      </c>
      <c r="EF228" s="16">
        <v>505360101</v>
      </c>
      <c r="EG228" s="25" t="str">
        <f t="shared" si="188"/>
        <v>治疗血量最少的2名友军，每秒恢复116%攻击等量的生命，并有100%几率使目标防御力提高30%，持续3秒。</v>
      </c>
    </row>
    <row r="229" spans="11:137" ht="13.5" customHeight="1">
      <c r="K229" s="2"/>
      <c r="L229" s="18"/>
      <c r="O229" s="25"/>
      <c r="AI229" s="28"/>
      <c r="AJ229" s="28"/>
      <c r="AK229" s="28"/>
      <c r="AL229" s="28"/>
      <c r="AM229" s="28"/>
      <c r="AN229" s="28"/>
      <c r="AO229" s="30"/>
      <c r="AP229" s="28"/>
      <c r="AS229" s="28"/>
      <c r="AT229" s="28"/>
      <c r="AU229" s="30"/>
      <c r="AV229" s="28"/>
      <c r="AW229" s="28"/>
      <c r="AX229" s="28"/>
      <c r="AZ229" s="28"/>
      <c r="BA229" s="16">
        <f t="shared" si="189"/>
        <v>46766.006622516725</v>
      </c>
      <c r="BC229" s="7" t="e">
        <f t="shared" si="184"/>
        <v>#N/A</v>
      </c>
      <c r="BR229" s="7">
        <v>5200073</v>
      </c>
      <c r="BS229" s="9">
        <f>[1]monsters!$N229</f>
        <v>246.4</v>
      </c>
      <c r="BT229" s="9">
        <f>[1]monsters!$O229</f>
        <v>24.64</v>
      </c>
      <c r="BU229" s="9">
        <f>[1]monsters!$P229</f>
        <v>1508.57</v>
      </c>
      <c r="BV229" s="9">
        <f>[1]monsters!$Q229</f>
        <v>150.86000000000001</v>
      </c>
      <c r="BW229" s="9">
        <f>[1]monsters!$R229</f>
        <v>30.8</v>
      </c>
      <c r="BX229" s="9">
        <f>[1]monsters!$S229</f>
        <v>3.08</v>
      </c>
      <c r="BY229" s="9">
        <f>[1]monsters!$K229</f>
        <v>1.5</v>
      </c>
      <c r="BZ229" s="7">
        <f>[1]monsters!$D229</f>
        <v>5</v>
      </c>
      <c r="CA229" s="7">
        <f t="shared" si="185"/>
        <v>0.1</v>
      </c>
      <c r="CB229" s="7">
        <f t="shared" si="186"/>
        <v>283.64160269360275</v>
      </c>
      <c r="CC229" s="7">
        <f t="shared" si="187"/>
        <v>28.364160269360276</v>
      </c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>
        <v>0</v>
      </c>
      <c r="CR229" s="25"/>
      <c r="CS229" s="25"/>
      <c r="CT229" s="25"/>
      <c r="CU229" s="25"/>
      <c r="CV229" s="25"/>
      <c r="CW229" s="25"/>
      <c r="DP229" s="32"/>
      <c r="DQ229" s="32"/>
      <c r="DR229" s="32"/>
      <c r="DS229" s="32"/>
      <c r="DT229" s="32"/>
      <c r="DU229" s="32"/>
      <c r="DV229" s="32"/>
      <c r="DW229" s="32"/>
      <c r="DX229" s="32"/>
      <c r="DY229" s="32"/>
      <c r="DZ229" s="32"/>
      <c r="EA229" s="25"/>
      <c r="EB229" s="43"/>
      <c r="EC229" s="16">
        <v>5500083</v>
      </c>
      <c r="ED229" s="40" t="s">
        <v>219</v>
      </c>
      <c r="EE229" s="16">
        <v>2</v>
      </c>
      <c r="EF229" s="16">
        <v>505450101</v>
      </c>
      <c r="EG229" s="25" t="str">
        <f t="shared" si="188"/>
        <v>对随机3名敌人造成96%攻击伤害，并有15%几率使目标沉默，持续2秒。</v>
      </c>
    </row>
    <row r="230" spans="11:137" ht="13.5" customHeight="1">
      <c r="K230" s="2"/>
      <c r="L230" s="18"/>
      <c r="O230" s="25"/>
      <c r="AI230" s="28"/>
      <c r="AJ230" s="28"/>
      <c r="AK230" s="28"/>
      <c r="AL230" s="28"/>
      <c r="AM230" s="28"/>
      <c r="AN230" s="28"/>
      <c r="AO230" s="30"/>
      <c r="AP230" s="28"/>
      <c r="AS230" s="28"/>
      <c r="AT230" s="28"/>
      <c r="AU230" s="30"/>
      <c r="AV230" s="28"/>
      <c r="AW230" s="28"/>
      <c r="AX230" s="28"/>
      <c r="AZ230" s="28"/>
      <c r="BA230" s="16">
        <f t="shared" si="189"/>
        <v>46627.51986754984</v>
      </c>
      <c r="BC230" s="7" t="e">
        <f t="shared" si="184"/>
        <v>#N/A</v>
      </c>
      <c r="BR230" s="7">
        <v>5202073</v>
      </c>
      <c r="BS230" s="9">
        <f>[1]monsters!$N230</f>
        <v>229.97</v>
      </c>
      <c r="BT230" s="9">
        <f>[1]monsters!$O230</f>
        <v>23</v>
      </c>
      <c r="BU230" s="9">
        <f>[1]monsters!$P230</f>
        <v>1508.57</v>
      </c>
      <c r="BV230" s="9">
        <f>[1]monsters!$Q230</f>
        <v>150.86000000000001</v>
      </c>
      <c r="BW230" s="9">
        <f>[1]monsters!$R230</f>
        <v>28.75</v>
      </c>
      <c r="BX230" s="9">
        <f>[1]monsters!$S230</f>
        <v>2.87</v>
      </c>
      <c r="BY230" s="9">
        <f>[1]monsters!$K230</f>
        <v>1.4000000000000001</v>
      </c>
      <c r="BZ230" s="7">
        <f>[1]monsters!$D230</f>
        <v>5</v>
      </c>
      <c r="CA230" s="7">
        <f t="shared" si="185"/>
        <v>0.1</v>
      </c>
      <c r="CB230" s="7">
        <f t="shared" si="186"/>
        <v>268.11525269360271</v>
      </c>
      <c r="CC230" s="7">
        <f t="shared" si="187"/>
        <v>26.811525269360274</v>
      </c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>
        <v>0</v>
      </c>
      <c r="CR230" s="25"/>
      <c r="CS230" s="25"/>
      <c r="CT230" s="25"/>
      <c r="CU230" s="25"/>
      <c r="CV230" s="25"/>
      <c r="CW230" s="25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25"/>
      <c r="EB230" s="17"/>
      <c r="EC230" s="16">
        <v>5502083</v>
      </c>
      <c r="ED230" s="40" t="s">
        <v>227</v>
      </c>
      <c r="EE230" s="16">
        <v>2</v>
      </c>
      <c r="EF230" s="16">
        <v>505460001</v>
      </c>
      <c r="EG230" s="25" t="str">
        <f t="shared" si="188"/>
        <v>治疗血量最少的3名友军，每秒恢复45%攻击等量的生命。</v>
      </c>
    </row>
    <row r="231" spans="11:137" ht="13.5" customHeight="1">
      <c r="K231" s="2"/>
      <c r="L231" s="18"/>
      <c r="O231" s="25"/>
      <c r="AI231" s="28"/>
      <c r="AJ231" s="28"/>
      <c r="AK231" s="28"/>
      <c r="AL231" s="28"/>
      <c r="AM231" s="28"/>
      <c r="AN231" s="28"/>
      <c r="AO231" s="30"/>
      <c r="AP231" s="28"/>
      <c r="AS231" s="28"/>
      <c r="AT231" s="28"/>
      <c r="AU231" s="30"/>
      <c r="AV231" s="28"/>
      <c r="AW231" s="28"/>
      <c r="AX231" s="28"/>
      <c r="AZ231" s="28"/>
      <c r="BA231" s="16">
        <f t="shared" si="189"/>
        <v>46489.033112582954</v>
      </c>
      <c r="BC231" s="7" t="e">
        <f t="shared" si="184"/>
        <v>#N/A</v>
      </c>
      <c r="BR231" s="7">
        <v>5302073</v>
      </c>
      <c r="BS231" s="9">
        <f>[1]monsters!$N231</f>
        <v>272.8</v>
      </c>
      <c r="BT231" s="9">
        <f>[1]monsters!$O231</f>
        <v>27.28</v>
      </c>
      <c r="BU231" s="9">
        <f>[1]monsters!$P231</f>
        <v>1362.58</v>
      </c>
      <c r="BV231" s="9">
        <f>[1]monsters!$Q231</f>
        <v>136.26</v>
      </c>
      <c r="BW231" s="9">
        <f>[1]monsters!$R231</f>
        <v>27.28</v>
      </c>
      <c r="BX231" s="9">
        <f>[1]monsters!$S231</f>
        <v>2.73</v>
      </c>
      <c r="BY231" s="9">
        <f>[1]monsters!$K231</f>
        <v>1.5</v>
      </c>
      <c r="BZ231" s="7">
        <f>[1]monsters!$D231</f>
        <v>6</v>
      </c>
      <c r="CA231" s="7">
        <f t="shared" si="185"/>
        <v>0.1</v>
      </c>
      <c r="CB231" s="7">
        <f t="shared" si="186"/>
        <v>303.67411447811446</v>
      </c>
      <c r="CC231" s="7">
        <f t="shared" si="187"/>
        <v>30.367411447811449</v>
      </c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>
        <v>0</v>
      </c>
      <c r="CR231" s="25"/>
      <c r="CS231" s="25"/>
      <c r="CT231" s="25"/>
      <c r="CU231" s="25"/>
      <c r="CV231" s="25"/>
      <c r="CW231" s="25"/>
      <c r="DP231" s="32"/>
      <c r="DQ231" s="32"/>
      <c r="DR231" s="36"/>
      <c r="DS231" s="36"/>
      <c r="DT231" s="36"/>
      <c r="DU231" s="36"/>
      <c r="DV231" s="36"/>
      <c r="DW231" s="36"/>
      <c r="DX231" s="36"/>
      <c r="DY231" s="36"/>
      <c r="DZ231" s="36"/>
      <c r="EA231" s="25"/>
      <c r="EB231" s="17"/>
      <c r="EC231" s="16">
        <v>5601083</v>
      </c>
      <c r="ED231" s="40" t="s">
        <v>228</v>
      </c>
      <c r="EE231" s="16">
        <v>2</v>
      </c>
      <c r="EF231" s="16">
        <v>505460201</v>
      </c>
      <c r="EG231" s="25" t="str">
        <f t="shared" si="188"/>
        <v>治疗4名友军，恢复96%攻击等量的生命。</v>
      </c>
    </row>
    <row r="232" spans="11:137" ht="13.5" customHeight="1">
      <c r="K232" s="2"/>
      <c r="L232" s="18"/>
      <c r="O232" s="25"/>
      <c r="AI232" s="28"/>
      <c r="AJ232" s="28"/>
      <c r="AK232" s="28"/>
      <c r="AL232" s="28"/>
      <c r="AM232" s="28"/>
      <c r="AN232" s="28"/>
      <c r="AO232" s="30"/>
      <c r="AP232" s="28"/>
      <c r="AS232" s="28"/>
      <c r="AT232" s="28"/>
      <c r="AU232" s="30"/>
      <c r="AV232" s="28"/>
      <c r="AW232" s="28"/>
      <c r="AX232" s="28"/>
      <c r="AZ232" s="28"/>
      <c r="BA232" s="16">
        <f t="shared" si="189"/>
        <v>46350.546357616069</v>
      </c>
      <c r="BC232" s="7" t="e">
        <f t="shared" si="184"/>
        <v>#N/A</v>
      </c>
      <c r="BR232" s="7">
        <v>5301073</v>
      </c>
      <c r="BS232" s="9">
        <f>[1]monsters!$N232</f>
        <v>168.96</v>
      </c>
      <c r="BT232" s="9">
        <f>[1]monsters!$O232</f>
        <v>16.899999999999999</v>
      </c>
      <c r="BU232" s="9">
        <f>[1]monsters!$P232</f>
        <v>2640</v>
      </c>
      <c r="BV232" s="9">
        <f>[1]monsters!$Q232</f>
        <v>264</v>
      </c>
      <c r="BW232" s="9">
        <f>[1]monsters!$R232</f>
        <v>56.32</v>
      </c>
      <c r="BX232" s="9">
        <f>[1]monsters!$S232</f>
        <v>5.63</v>
      </c>
      <c r="BY232" s="9">
        <f>[1]monsters!$K232</f>
        <v>1.8</v>
      </c>
      <c r="BZ232" s="7">
        <f>[1]monsters!$D232</f>
        <v>2</v>
      </c>
      <c r="CA232" s="7">
        <f t="shared" si="185"/>
        <v>0.1</v>
      </c>
      <c r="CB232" s="7">
        <f t="shared" si="186"/>
        <v>248.55608888888889</v>
      </c>
      <c r="CC232" s="7">
        <f t="shared" si="187"/>
        <v>24.855608888888892</v>
      </c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>
        <v>0</v>
      </c>
      <c r="CR232" s="25"/>
      <c r="CS232" s="25"/>
      <c r="CT232" s="25"/>
      <c r="CU232" s="25"/>
      <c r="CV232" s="25"/>
      <c r="CW232" s="25"/>
      <c r="DP232" s="32"/>
      <c r="DQ232" s="32"/>
      <c r="DR232" s="32"/>
      <c r="DS232" s="36"/>
      <c r="DT232" s="36"/>
      <c r="DU232" s="36"/>
      <c r="DV232" s="36"/>
      <c r="DW232" s="36"/>
      <c r="DX232" s="36"/>
      <c r="DY232" s="36"/>
      <c r="DZ232" s="36"/>
      <c r="EA232" s="25"/>
      <c r="EB232" s="17"/>
      <c r="EC232" s="16">
        <v>5201084</v>
      </c>
      <c r="ED232" s="40" t="s">
        <v>229</v>
      </c>
      <c r="EE232" s="16">
        <v>1</v>
      </c>
      <c r="EF232" s="16">
        <v>505530001</v>
      </c>
      <c r="EG232" s="25" t="str">
        <f t="shared" si="188"/>
        <v>对随机1名敌人造成351%攻击伤害，并有100%几率使目标眩晕，持续1秒。</v>
      </c>
    </row>
    <row r="233" spans="11:137" ht="13.5" customHeight="1">
      <c r="K233" s="2"/>
      <c r="O233" s="25"/>
      <c r="AI233" s="28"/>
      <c r="AJ233" s="28"/>
      <c r="AK233" s="28"/>
      <c r="AL233" s="28"/>
      <c r="AM233" s="28"/>
      <c r="AN233" s="28"/>
      <c r="AO233" s="30"/>
      <c r="AP233" s="28"/>
      <c r="AS233" s="28"/>
      <c r="AT233" s="28"/>
      <c r="AU233" s="30"/>
      <c r="AV233" s="28"/>
      <c r="AW233" s="28"/>
      <c r="AX233" s="28"/>
      <c r="AZ233" s="28"/>
      <c r="BA233" s="16">
        <f t="shared" si="189"/>
        <v>46212.059602649184</v>
      </c>
      <c r="BC233" s="7" t="e">
        <f t="shared" si="184"/>
        <v>#N/A</v>
      </c>
      <c r="BR233" s="7">
        <v>5400073</v>
      </c>
      <c r="BS233" s="9">
        <f>[1]monsters!$N233</f>
        <v>147.84</v>
      </c>
      <c r="BT233" s="9">
        <f>[1]monsters!$O233</f>
        <v>14.78</v>
      </c>
      <c r="BU233" s="9">
        <f>[1]monsters!$P233</f>
        <v>2346.67</v>
      </c>
      <c r="BV233" s="9">
        <f>[1]monsters!$Q233</f>
        <v>234.67</v>
      </c>
      <c r="BW233" s="9">
        <f>[1]monsters!$R233</f>
        <v>29.57</v>
      </c>
      <c r="BX233" s="9">
        <f>[1]monsters!$S233</f>
        <v>2.96</v>
      </c>
      <c r="BY233" s="9">
        <f>[1]monsters!$K233</f>
        <v>1.4000000000000001</v>
      </c>
      <c r="BZ233" s="7">
        <f>[1]monsters!$D233</f>
        <v>3</v>
      </c>
      <c r="CA233" s="7">
        <f t="shared" si="185"/>
        <v>0.1</v>
      </c>
      <c r="CB233" s="7">
        <f t="shared" si="186"/>
        <v>218.7212579124579</v>
      </c>
      <c r="CC233" s="7">
        <f t="shared" si="187"/>
        <v>21.872125791245793</v>
      </c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>
        <v>1</v>
      </c>
      <c r="CR233" s="25"/>
      <c r="CS233" s="25"/>
      <c r="CT233" s="25"/>
      <c r="CU233" s="25"/>
      <c r="CV233" s="25"/>
      <c r="CW233" s="25"/>
      <c r="DP233" s="32"/>
      <c r="DQ233" s="32"/>
      <c r="DR233" s="36"/>
      <c r="DS233" s="14"/>
      <c r="DT233" s="36"/>
      <c r="DU233" s="36"/>
      <c r="DV233" s="36"/>
      <c r="DW233" s="36"/>
      <c r="DX233" s="36"/>
      <c r="DY233" s="36"/>
      <c r="DZ233" s="36"/>
      <c r="EA233" s="25"/>
      <c r="EB233" s="17"/>
      <c r="EC233" s="16">
        <v>5302084</v>
      </c>
      <c r="ED233" s="40" t="s">
        <v>230</v>
      </c>
      <c r="EE233" s="16">
        <v>1</v>
      </c>
      <c r="EF233" s="16">
        <v>505530201</v>
      </c>
      <c r="EG233" s="25" t="str">
        <f t="shared" si="188"/>
        <v>对距离最远的1名敌人造成248%攻击伤害，并有100%几率使目标中毒，每秒造成55%攻击伤害，持续3秒。</v>
      </c>
    </row>
    <row r="234" spans="11:137" ht="13.5" customHeight="1">
      <c r="K234" s="2"/>
      <c r="L234" s="18"/>
      <c r="O234" s="25"/>
      <c r="AI234" s="28"/>
      <c r="AJ234" s="28"/>
      <c r="AK234" s="28"/>
      <c r="AL234" s="28"/>
      <c r="AM234" s="28"/>
      <c r="AN234" s="28"/>
      <c r="AO234" s="30"/>
      <c r="AP234" s="28"/>
      <c r="AS234" s="28"/>
      <c r="AT234" s="28"/>
      <c r="AU234" s="30"/>
      <c r="AV234" s="28"/>
      <c r="AW234" s="28"/>
      <c r="AX234" s="28"/>
      <c r="AZ234" s="28"/>
      <c r="BA234" s="16">
        <f t="shared" si="189"/>
        <v>46073.572847682299</v>
      </c>
      <c r="BC234" s="7" t="e">
        <f t="shared" si="184"/>
        <v>#N/A</v>
      </c>
      <c r="BR234" s="7">
        <v>5401073</v>
      </c>
      <c r="BS234" s="9">
        <f>[1]monsters!$N234</f>
        <v>262.83</v>
      </c>
      <c r="BT234" s="9">
        <f>[1]monsters!$O234</f>
        <v>26.28</v>
      </c>
      <c r="BU234" s="9">
        <f>[1]monsters!$P234</f>
        <v>1508.57</v>
      </c>
      <c r="BV234" s="9">
        <f>[1]monsters!$Q234</f>
        <v>150.86000000000001</v>
      </c>
      <c r="BW234" s="9">
        <f>[1]monsters!$R234</f>
        <v>32.85</v>
      </c>
      <c r="BX234" s="9">
        <f>[1]monsters!$S234</f>
        <v>3.29</v>
      </c>
      <c r="BY234" s="9">
        <f>[1]monsters!$K234</f>
        <v>1.6</v>
      </c>
      <c r="BZ234" s="7">
        <f>[1]monsters!$D234</f>
        <v>5</v>
      </c>
      <c r="CA234" s="7">
        <f t="shared" si="185"/>
        <v>0.1</v>
      </c>
      <c r="CB234" s="7">
        <f t="shared" si="186"/>
        <v>299.16795269360267</v>
      </c>
      <c r="CC234" s="7">
        <f t="shared" si="187"/>
        <v>29.916795269360268</v>
      </c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  <c r="CO234" s="7"/>
      <c r="CP234" s="7">
        <v>0</v>
      </c>
      <c r="CR234" s="25"/>
      <c r="CS234" s="25"/>
      <c r="CT234" s="25"/>
      <c r="CU234" s="25"/>
      <c r="CV234" s="25"/>
      <c r="CW234" s="25"/>
      <c r="DP234" s="32"/>
      <c r="DQ234" s="32"/>
      <c r="DR234" s="32"/>
      <c r="DS234" s="36"/>
      <c r="DT234" s="36"/>
      <c r="DU234" s="36"/>
      <c r="DV234" s="36"/>
      <c r="DW234" s="36"/>
      <c r="DX234" s="36"/>
      <c r="DY234" s="36"/>
      <c r="DZ234" s="36"/>
      <c r="EA234" s="25"/>
      <c r="EB234" s="17"/>
      <c r="EC234" s="16">
        <v>5501084</v>
      </c>
      <c r="ED234" s="40" t="s">
        <v>226</v>
      </c>
      <c r="EE234" s="16">
        <v>2</v>
      </c>
      <c r="EF234" s="16">
        <v>505540001</v>
      </c>
      <c r="EG234" s="25" t="str">
        <f t="shared" si="188"/>
        <v>对随机4名敌人造成42%攻击伤害，并有100%几率使目标中毒，每秒造成20%攻击伤害，持续3秒。</v>
      </c>
    </row>
    <row r="235" spans="11:137" ht="13.5" customHeight="1">
      <c r="K235" s="2"/>
      <c r="L235" s="18"/>
      <c r="O235" s="25"/>
      <c r="AI235" s="28"/>
      <c r="AJ235" s="28"/>
      <c r="AK235" s="28"/>
      <c r="AL235" s="28"/>
      <c r="AM235" s="28"/>
      <c r="AN235" s="28"/>
      <c r="AO235" s="30"/>
      <c r="AP235" s="28"/>
      <c r="AS235" s="28"/>
      <c r="AT235" s="28"/>
      <c r="AU235" s="30"/>
      <c r="AV235" s="28"/>
      <c r="AW235" s="28"/>
      <c r="AX235" s="28"/>
      <c r="AZ235" s="28"/>
      <c r="BA235" s="16">
        <f t="shared" si="189"/>
        <v>45935.086092715414</v>
      </c>
      <c r="BC235" s="7" t="e">
        <f t="shared" si="184"/>
        <v>#N/A</v>
      </c>
      <c r="BR235" s="7">
        <v>5501073</v>
      </c>
      <c r="BS235" s="9">
        <f>[1]monsters!$N235</f>
        <v>254.61</v>
      </c>
      <c r="BT235" s="9">
        <f>[1]monsters!$O235</f>
        <v>25.46</v>
      </c>
      <c r="BU235" s="9">
        <f>[1]monsters!$P235</f>
        <v>1362.58</v>
      </c>
      <c r="BV235" s="9">
        <f>[1]monsters!$Q235</f>
        <v>136.26</v>
      </c>
      <c r="BW235" s="9">
        <f>[1]monsters!$R235</f>
        <v>25.46</v>
      </c>
      <c r="BX235" s="9">
        <f>[1]monsters!$S235</f>
        <v>2.5499999999999998</v>
      </c>
      <c r="BY235" s="9">
        <f>[1]monsters!$K235</f>
        <v>1.4000000000000001</v>
      </c>
      <c r="BZ235" s="7">
        <f>[1]monsters!$D235</f>
        <v>6</v>
      </c>
      <c r="CA235" s="7">
        <f t="shared" si="185"/>
        <v>0.1</v>
      </c>
      <c r="CB235" s="7">
        <f t="shared" si="186"/>
        <v>286.48456447811452</v>
      </c>
      <c r="CC235" s="7">
        <f t="shared" si="187"/>
        <v>28.648456447811455</v>
      </c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>
        <v>0</v>
      </c>
      <c r="CR235" s="25"/>
      <c r="CS235" s="25"/>
      <c r="CT235" s="25"/>
      <c r="CU235" s="25"/>
      <c r="CV235" s="25"/>
      <c r="CW235" s="25"/>
      <c r="DP235" s="32"/>
      <c r="DQ235" s="32"/>
      <c r="DR235" s="32"/>
      <c r="DS235" s="32"/>
      <c r="DT235" s="32"/>
      <c r="DU235" s="32"/>
      <c r="DV235" s="32"/>
      <c r="DW235" s="32"/>
      <c r="DX235" s="32"/>
      <c r="DY235" s="32"/>
      <c r="DZ235" s="32"/>
      <c r="EA235" s="25"/>
      <c r="EB235" s="17"/>
      <c r="EC235" s="16">
        <v>5600084</v>
      </c>
      <c r="ED235" s="40" t="s">
        <v>231</v>
      </c>
      <c r="EE235" s="16">
        <v>1</v>
      </c>
    </row>
    <row r="236" spans="11:137" ht="13.5" customHeight="1">
      <c r="K236" s="2"/>
      <c r="L236" s="18"/>
      <c r="O236" s="25"/>
      <c r="AI236" s="28"/>
      <c r="AJ236" s="28"/>
      <c r="AK236" s="28"/>
      <c r="AL236" s="28"/>
      <c r="AM236" s="28"/>
      <c r="AN236" s="28"/>
      <c r="AO236" s="30"/>
      <c r="AP236" s="28"/>
      <c r="AS236" s="28"/>
      <c r="AT236" s="28"/>
      <c r="AU236" s="30"/>
      <c r="AV236" s="28"/>
      <c r="AW236" s="28"/>
      <c r="AX236" s="28"/>
      <c r="AZ236" s="28"/>
      <c r="BA236" s="16">
        <f t="shared" si="189"/>
        <v>45796.599337748528</v>
      </c>
      <c r="BC236" s="7" t="e">
        <f t="shared" si="184"/>
        <v>#N/A</v>
      </c>
      <c r="BR236" s="7">
        <v>5502073</v>
      </c>
      <c r="BS236" s="9">
        <f>[1]monsters!$N236</f>
        <v>327.36</v>
      </c>
      <c r="BT236" s="9">
        <f>[1]monsters!$O236</f>
        <v>32.74</v>
      </c>
      <c r="BU236" s="9">
        <f>[1]monsters!$P236</f>
        <v>1362.58</v>
      </c>
      <c r="BV236" s="9">
        <f>[1]monsters!$Q236</f>
        <v>136.26</v>
      </c>
      <c r="BW236" s="9">
        <f>[1]monsters!$R236</f>
        <v>32.74</v>
      </c>
      <c r="BX236" s="9">
        <f>[1]monsters!$S236</f>
        <v>3.27</v>
      </c>
      <c r="BY236" s="9">
        <f>[1]monsters!$K236</f>
        <v>1.8</v>
      </c>
      <c r="BZ236" s="7">
        <f>[1]monsters!$D236</f>
        <v>6</v>
      </c>
      <c r="CA236" s="7">
        <f t="shared" si="185"/>
        <v>0.1</v>
      </c>
      <c r="CB236" s="7">
        <f t="shared" si="186"/>
        <v>355.23331447811449</v>
      </c>
      <c r="CC236" s="7">
        <f t="shared" si="187"/>
        <v>35.523331447811451</v>
      </c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>
        <v>0</v>
      </c>
      <c r="CR236" s="25"/>
      <c r="CS236" s="25"/>
      <c r="CT236" s="25"/>
      <c r="CU236" s="25"/>
      <c r="CV236" s="25"/>
      <c r="CW236" s="25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  <c r="DZ236" s="36"/>
      <c r="EA236" s="25"/>
      <c r="EB236" s="17"/>
      <c r="EC236" s="16">
        <v>5602084</v>
      </c>
      <c r="ED236" s="40" t="s">
        <v>232</v>
      </c>
      <c r="EE236" s="16">
        <v>2</v>
      </c>
    </row>
    <row r="237" spans="11:137" ht="13.5" customHeight="1">
      <c r="K237" s="2"/>
      <c r="L237" s="18"/>
      <c r="O237" s="25"/>
      <c r="AI237" s="28"/>
      <c r="AJ237" s="28"/>
      <c r="AK237" s="28"/>
      <c r="AL237" s="28"/>
      <c r="AM237" s="28"/>
      <c r="AN237" s="28"/>
      <c r="AO237" s="30"/>
      <c r="AP237" s="28"/>
      <c r="AS237" s="28"/>
      <c r="AT237" s="28"/>
      <c r="AU237" s="30"/>
      <c r="AV237" s="28"/>
      <c r="AW237" s="28"/>
      <c r="AX237" s="28"/>
      <c r="AZ237" s="28"/>
      <c r="BA237" s="16">
        <f t="shared" si="189"/>
        <v>45658.112582781643</v>
      </c>
      <c r="BC237" s="7" t="e">
        <f t="shared" si="184"/>
        <v>#N/A</v>
      </c>
      <c r="BR237" s="7">
        <v>5600073</v>
      </c>
      <c r="BS237" s="9">
        <f>[1]monsters!$N237</f>
        <v>190.08</v>
      </c>
      <c r="BT237" s="9">
        <f>[1]monsters!$O237</f>
        <v>19.010000000000002</v>
      </c>
      <c r="BU237" s="9">
        <f>[1]monsters!$P237</f>
        <v>2346.67</v>
      </c>
      <c r="BV237" s="9">
        <f>[1]monsters!$Q237</f>
        <v>234.67</v>
      </c>
      <c r="BW237" s="9">
        <f>[1]monsters!$R237</f>
        <v>38.020000000000003</v>
      </c>
      <c r="BX237" s="9">
        <f>[1]monsters!$S237</f>
        <v>3.8</v>
      </c>
      <c r="BY237" s="9">
        <f>[1]monsters!$K237</f>
        <v>1.8</v>
      </c>
      <c r="BZ237" s="7">
        <f>[1]monsters!$D237</f>
        <v>2</v>
      </c>
      <c r="CA237" s="7">
        <f t="shared" si="185"/>
        <v>0.1</v>
      </c>
      <c r="CB237" s="7">
        <f t="shared" si="186"/>
        <v>258.63805791245795</v>
      </c>
      <c r="CC237" s="7">
        <f t="shared" si="187"/>
        <v>25.863805791245795</v>
      </c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>
        <v>0</v>
      </c>
      <c r="CR237" s="25"/>
      <c r="CS237" s="25"/>
      <c r="CT237" s="25"/>
      <c r="CU237" s="25"/>
      <c r="CV237" s="25"/>
      <c r="CW237" s="25"/>
      <c r="DP237" s="32"/>
      <c r="DQ237" s="13"/>
      <c r="DR237" s="32"/>
      <c r="DS237" s="32"/>
      <c r="DT237" s="32"/>
      <c r="DU237" s="32"/>
      <c r="DV237" s="32"/>
      <c r="DW237" s="32"/>
      <c r="DX237" s="32"/>
      <c r="DY237" s="32"/>
      <c r="DZ237" s="32"/>
      <c r="EA237" s="25"/>
      <c r="EB237" s="17"/>
      <c r="EC237" s="16">
        <v>5202085</v>
      </c>
      <c r="ED237" s="40" t="s">
        <v>233</v>
      </c>
      <c r="EE237" s="16">
        <v>1</v>
      </c>
    </row>
    <row r="238" spans="11:137" ht="13.5" customHeight="1">
      <c r="K238" s="2"/>
      <c r="O238" s="25"/>
      <c r="AI238" s="28"/>
      <c r="AJ238" s="28"/>
      <c r="AK238" s="28"/>
      <c r="AL238" s="28"/>
      <c r="AM238" s="28"/>
      <c r="AN238" s="28"/>
      <c r="AO238" s="30"/>
      <c r="AP238" s="28"/>
      <c r="AS238" s="28"/>
      <c r="AT238" s="28"/>
      <c r="AU238" s="30"/>
      <c r="AV238" s="28"/>
      <c r="AW238" s="28"/>
      <c r="AX238" s="28"/>
      <c r="AZ238" s="28"/>
      <c r="BA238" s="16">
        <f t="shared" si="189"/>
        <v>45519.625827814758</v>
      </c>
      <c r="BC238" s="7" t="e">
        <f t="shared" si="184"/>
        <v>#N/A</v>
      </c>
      <c r="BR238" s="7">
        <v>5601073</v>
      </c>
      <c r="BS238" s="9">
        <f>[1]monsters!$N238</f>
        <v>137.28</v>
      </c>
      <c r="BT238" s="9">
        <f>[1]monsters!$O238</f>
        <v>13.73</v>
      </c>
      <c r="BU238" s="9">
        <f>[1]monsters!$P238</f>
        <v>2346.67</v>
      </c>
      <c r="BV238" s="9">
        <f>[1]monsters!$Q238</f>
        <v>234.67</v>
      </c>
      <c r="BW238" s="9">
        <f>[1]monsters!$R238</f>
        <v>27.46</v>
      </c>
      <c r="BX238" s="9">
        <f>[1]monsters!$S238</f>
        <v>2.75</v>
      </c>
      <c r="BY238" s="9">
        <f>[1]monsters!$K238</f>
        <v>1.3</v>
      </c>
      <c r="BZ238" s="7">
        <f>[1]monsters!$D238</f>
        <v>3</v>
      </c>
      <c r="CA238" s="7">
        <f t="shared" si="185"/>
        <v>0.1</v>
      </c>
      <c r="CB238" s="7">
        <f t="shared" si="186"/>
        <v>208.74205791245791</v>
      </c>
      <c r="CC238" s="7">
        <f t="shared" si="187"/>
        <v>20.874205791245792</v>
      </c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>
        <v>1</v>
      </c>
      <c r="CR238" s="25"/>
      <c r="CS238" s="25"/>
      <c r="CT238" s="25"/>
      <c r="CU238" s="25"/>
      <c r="CV238" s="25"/>
      <c r="CW238" s="25"/>
      <c r="DP238" s="13"/>
      <c r="DQ238" s="32"/>
      <c r="DR238" s="32"/>
      <c r="DS238" s="32"/>
      <c r="DT238" s="32"/>
      <c r="DU238" s="32"/>
      <c r="DV238" s="32"/>
      <c r="DW238" s="32"/>
      <c r="DX238" s="32"/>
      <c r="DY238" s="32"/>
      <c r="DZ238" s="32"/>
      <c r="EA238" s="25"/>
      <c r="EB238" s="17"/>
      <c r="EC238" s="16">
        <v>5300085</v>
      </c>
      <c r="ED238" s="40" t="s">
        <v>224</v>
      </c>
      <c r="EE238" s="16">
        <v>1</v>
      </c>
    </row>
    <row r="239" spans="11:137" ht="13.5" customHeight="1">
      <c r="K239" s="2"/>
      <c r="L239" s="18"/>
      <c r="O239" s="25"/>
      <c r="AI239" s="28"/>
      <c r="AJ239" s="28"/>
      <c r="AK239" s="28"/>
      <c r="AL239" s="28"/>
      <c r="AM239" s="28"/>
      <c r="AN239" s="28"/>
      <c r="AO239" s="30"/>
      <c r="AP239" s="28"/>
      <c r="AS239" s="28"/>
      <c r="AT239" s="28"/>
      <c r="AU239" s="30"/>
      <c r="AV239" s="28"/>
      <c r="AW239" s="28"/>
      <c r="AX239" s="28"/>
      <c r="AZ239" s="28"/>
      <c r="BA239" s="16">
        <f t="shared" si="189"/>
        <v>45381.139072847873</v>
      </c>
      <c r="BC239" s="7" t="e">
        <f t="shared" si="184"/>
        <v>#N/A</v>
      </c>
      <c r="BR239" s="7">
        <v>5200074</v>
      </c>
      <c r="BS239" s="9">
        <f>[1]monsters!$N239</f>
        <v>147.84</v>
      </c>
      <c r="BT239" s="9">
        <f>[1]monsters!$O239</f>
        <v>14.78</v>
      </c>
      <c r="BU239" s="9">
        <f>[1]monsters!$P239</f>
        <v>2346.67</v>
      </c>
      <c r="BV239" s="9">
        <f>[1]monsters!$Q239</f>
        <v>234.67</v>
      </c>
      <c r="BW239" s="9">
        <f>[1]monsters!$R239</f>
        <v>29.57</v>
      </c>
      <c r="BX239" s="9">
        <f>[1]monsters!$S239</f>
        <v>2.96</v>
      </c>
      <c r="BY239" s="9">
        <f>[1]monsters!$K239</f>
        <v>1.4000000000000001</v>
      </c>
      <c r="BZ239" s="7">
        <f>[1]monsters!$D239</f>
        <v>3</v>
      </c>
      <c r="CA239" s="7">
        <f t="shared" si="185"/>
        <v>0.1</v>
      </c>
      <c r="CB239" s="7">
        <f t="shared" si="186"/>
        <v>218.7212579124579</v>
      </c>
      <c r="CC239" s="7">
        <f t="shared" si="187"/>
        <v>21.872125791245793</v>
      </c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>
        <v>0</v>
      </c>
      <c r="CR239" s="25"/>
      <c r="CS239" s="25"/>
      <c r="CT239" s="25"/>
      <c r="CU239" s="25"/>
      <c r="CV239" s="25"/>
      <c r="CW239" s="25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25"/>
      <c r="EB239" s="43"/>
      <c r="EC239" s="16">
        <v>5302085</v>
      </c>
      <c r="ED239" s="40" t="s">
        <v>234</v>
      </c>
      <c r="EE239" s="16">
        <v>1</v>
      </c>
    </row>
    <row r="240" spans="11:137" ht="13.5" customHeight="1">
      <c r="K240" s="2"/>
      <c r="L240" s="18"/>
      <c r="O240" s="25"/>
      <c r="AI240" s="28"/>
      <c r="AJ240" s="28"/>
      <c r="AK240" s="28"/>
      <c r="AL240" s="28"/>
      <c r="AM240" s="28"/>
      <c r="AN240" s="28"/>
      <c r="AO240" s="30"/>
      <c r="AP240" s="28"/>
      <c r="AS240" s="28"/>
      <c r="AT240" s="28"/>
      <c r="AU240" s="30"/>
      <c r="AV240" s="28"/>
      <c r="AW240" s="28"/>
      <c r="AX240" s="28"/>
      <c r="AZ240" s="28"/>
      <c r="BA240" s="16">
        <f t="shared" si="189"/>
        <v>45242.652317880988</v>
      </c>
      <c r="BC240" s="7" t="e">
        <f t="shared" si="184"/>
        <v>#N/A</v>
      </c>
      <c r="BR240" s="7">
        <v>5201074</v>
      </c>
      <c r="BS240" s="9">
        <f>[1]monsters!$N240</f>
        <v>197.12</v>
      </c>
      <c r="BT240" s="9">
        <f>[1]monsters!$O240</f>
        <v>19.71</v>
      </c>
      <c r="BU240" s="9">
        <f>[1]monsters!$P240</f>
        <v>1760</v>
      </c>
      <c r="BV240" s="9">
        <f>[1]monsters!$Q240</f>
        <v>176</v>
      </c>
      <c r="BW240" s="9">
        <f>[1]monsters!$R240</f>
        <v>28.16</v>
      </c>
      <c r="BX240" s="9">
        <f>[1]monsters!$S240</f>
        <v>2.82</v>
      </c>
      <c r="BY240" s="9">
        <f>[1]monsters!$K240</f>
        <v>1.4000000000000001</v>
      </c>
      <c r="BZ240" s="7">
        <f>[1]monsters!$D240</f>
        <v>4</v>
      </c>
      <c r="CA240" s="7">
        <f t="shared" si="185"/>
        <v>0.1</v>
      </c>
      <c r="CB240" s="7">
        <f t="shared" si="186"/>
        <v>245.5376592592593</v>
      </c>
      <c r="CC240" s="7">
        <f t="shared" si="187"/>
        <v>24.55376592592593</v>
      </c>
      <c r="CD240" s="7"/>
      <c r="CE240" s="7"/>
      <c r="CF240" s="7"/>
      <c r="CG240" s="7"/>
      <c r="CH240" s="7"/>
      <c r="CI240" s="7"/>
      <c r="CJ240" s="7"/>
      <c r="CK240" s="7"/>
      <c r="CL240" s="7"/>
      <c r="CM240" s="7"/>
      <c r="CN240" s="7"/>
      <c r="CO240" s="7"/>
      <c r="CP240" s="7">
        <v>0</v>
      </c>
      <c r="CR240" s="25"/>
      <c r="CS240" s="25"/>
      <c r="CT240" s="25"/>
      <c r="CU240" s="25"/>
      <c r="CV240" s="25"/>
      <c r="CW240" s="25"/>
      <c r="DP240" s="32"/>
      <c r="DQ240" s="32"/>
      <c r="DR240" s="36"/>
      <c r="DS240" s="36"/>
      <c r="DT240" s="32"/>
      <c r="DU240" s="32"/>
      <c r="DV240" s="32"/>
      <c r="DW240" s="32"/>
      <c r="DX240" s="32"/>
      <c r="DY240" s="32"/>
      <c r="DZ240" s="32"/>
      <c r="EA240" s="25"/>
      <c r="EB240" s="17"/>
      <c r="EC240" s="16">
        <v>5400085</v>
      </c>
      <c r="ED240" s="40" t="s">
        <v>222</v>
      </c>
      <c r="EE240" s="16">
        <v>2</v>
      </c>
    </row>
    <row r="241" spans="11:135" ht="13.5" customHeight="1">
      <c r="K241" s="2"/>
      <c r="L241" s="18"/>
      <c r="O241" s="25"/>
      <c r="AI241" s="28"/>
      <c r="AJ241" s="28"/>
      <c r="AK241" s="28"/>
      <c r="AL241" s="28"/>
      <c r="AM241" s="28"/>
      <c r="AN241" s="28"/>
      <c r="AO241" s="30"/>
      <c r="AP241" s="28"/>
      <c r="AS241" s="28"/>
      <c r="AT241" s="28"/>
      <c r="AU241" s="30"/>
      <c r="AV241" s="28"/>
      <c r="AW241" s="28"/>
      <c r="AX241" s="28"/>
      <c r="AZ241" s="28"/>
      <c r="BA241" s="16">
        <f t="shared" si="189"/>
        <v>45104.165562914102</v>
      </c>
      <c r="BC241" s="7" t="e">
        <f t="shared" si="184"/>
        <v>#N/A</v>
      </c>
      <c r="BR241" s="7">
        <v>5300074</v>
      </c>
      <c r="BS241" s="9">
        <f>[1]monsters!$N241</f>
        <v>262.83</v>
      </c>
      <c r="BT241" s="9">
        <f>[1]monsters!$O241</f>
        <v>26.28</v>
      </c>
      <c r="BU241" s="9">
        <f>[1]monsters!$P241</f>
        <v>1508.57</v>
      </c>
      <c r="BV241" s="9">
        <f>[1]monsters!$Q241</f>
        <v>150.86000000000001</v>
      </c>
      <c r="BW241" s="9">
        <f>[1]monsters!$R241</f>
        <v>32.85</v>
      </c>
      <c r="BX241" s="9">
        <f>[1]monsters!$S241</f>
        <v>3.29</v>
      </c>
      <c r="BY241" s="9">
        <f>[1]monsters!$K241</f>
        <v>1.6</v>
      </c>
      <c r="BZ241" s="7">
        <f>[1]monsters!$D241</f>
        <v>5</v>
      </c>
      <c r="CA241" s="7">
        <f t="shared" si="185"/>
        <v>0.1</v>
      </c>
      <c r="CB241" s="7">
        <f t="shared" si="186"/>
        <v>299.16795269360267</v>
      </c>
      <c r="CC241" s="7">
        <f t="shared" si="187"/>
        <v>29.916795269360268</v>
      </c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>
        <v>0</v>
      </c>
      <c r="CR241" s="25"/>
      <c r="CS241" s="25"/>
      <c r="CT241" s="25"/>
      <c r="CU241" s="25"/>
      <c r="CV241" s="25"/>
      <c r="CW241" s="25"/>
      <c r="DP241" s="32"/>
      <c r="DQ241" s="32"/>
      <c r="DR241" s="36"/>
      <c r="DS241" s="36"/>
      <c r="DT241" s="36"/>
      <c r="DU241" s="36"/>
      <c r="DV241" s="36"/>
      <c r="DW241" s="36"/>
      <c r="DX241" s="36"/>
      <c r="DY241" s="36"/>
      <c r="DZ241" s="36"/>
      <c r="EA241" s="25"/>
      <c r="EB241" s="17"/>
      <c r="EC241" s="16">
        <v>5501085</v>
      </c>
      <c r="ED241" s="42" t="s">
        <v>235</v>
      </c>
      <c r="EE241" s="16">
        <v>2</v>
      </c>
    </row>
    <row r="242" spans="11:135" ht="13.5" customHeight="1">
      <c r="K242" s="2"/>
      <c r="L242" s="18"/>
      <c r="O242" s="25"/>
      <c r="AI242" s="28"/>
      <c r="AJ242" s="28"/>
      <c r="AK242" s="28"/>
      <c r="AL242" s="28"/>
      <c r="AM242" s="28"/>
      <c r="AN242" s="28"/>
      <c r="AO242" s="30"/>
      <c r="AP242" s="28"/>
      <c r="AS242" s="28"/>
      <c r="AT242" s="28"/>
      <c r="AU242" s="30"/>
      <c r="AV242" s="28"/>
      <c r="AW242" s="28"/>
      <c r="AX242" s="28"/>
      <c r="AZ242" s="28"/>
      <c r="BA242" s="16">
        <f t="shared" si="189"/>
        <v>44965.678807947217</v>
      </c>
      <c r="BC242" s="7" t="e">
        <f t="shared" si="184"/>
        <v>#N/A</v>
      </c>
      <c r="BR242" s="7">
        <v>5301074</v>
      </c>
      <c r="BS242" s="9">
        <f>[1]monsters!$N242</f>
        <v>192</v>
      </c>
      <c r="BT242" s="9">
        <f>[1]monsters!$O242</f>
        <v>19.2</v>
      </c>
      <c r="BU242" s="9">
        <f>[1]monsters!$P242</f>
        <v>2304</v>
      </c>
      <c r="BV242" s="9">
        <f>[1]monsters!$Q242</f>
        <v>230.4</v>
      </c>
      <c r="BW242" s="9">
        <f>[1]monsters!$R242</f>
        <v>48</v>
      </c>
      <c r="BX242" s="9">
        <f>[1]monsters!$S242</f>
        <v>4.8</v>
      </c>
      <c r="BY242" s="9">
        <f>[1]monsters!$K242</f>
        <v>1.5</v>
      </c>
      <c r="BZ242" s="7">
        <f>[1]monsters!$D242</f>
        <v>2</v>
      </c>
      <c r="CA242" s="7">
        <f t="shared" si="185"/>
        <v>0.1</v>
      </c>
      <c r="CB242" s="7">
        <f t="shared" si="186"/>
        <v>259.01575757575756</v>
      </c>
      <c r="CC242" s="7">
        <f t="shared" si="187"/>
        <v>25.901575757575756</v>
      </c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>
        <v>0</v>
      </c>
      <c r="CR242" s="25"/>
      <c r="CS242" s="25"/>
      <c r="CT242" s="25"/>
      <c r="CU242" s="25"/>
      <c r="CV242" s="25"/>
      <c r="CW242" s="25"/>
      <c r="DP242" s="32"/>
      <c r="DQ242" s="32"/>
      <c r="DR242" s="32"/>
      <c r="DS242" s="32"/>
      <c r="DT242" s="36"/>
      <c r="DU242" s="36"/>
      <c r="DV242" s="36"/>
      <c r="DW242" s="36"/>
      <c r="DX242" s="36"/>
      <c r="DY242" s="36"/>
      <c r="DZ242" s="36"/>
      <c r="EA242" s="25"/>
      <c r="EB242" s="17"/>
      <c r="EC242" s="16">
        <v>5200091</v>
      </c>
      <c r="ED242" s="40" t="s">
        <v>205</v>
      </c>
      <c r="EE242" s="16">
        <v>1</v>
      </c>
    </row>
    <row r="243" spans="11:135" ht="13.5" customHeight="1">
      <c r="K243" s="2"/>
      <c r="O243" s="25"/>
      <c r="AI243" s="28"/>
      <c r="AJ243" s="28"/>
      <c r="AK243" s="28"/>
      <c r="AL243" s="28"/>
      <c r="AM243" s="28"/>
      <c r="AN243" s="28"/>
      <c r="AO243" s="30"/>
      <c r="AP243" s="28"/>
      <c r="AS243" s="28"/>
      <c r="AT243" s="28"/>
      <c r="AU243" s="30"/>
      <c r="AV243" s="28"/>
      <c r="AW243" s="28"/>
      <c r="AX243" s="28"/>
      <c r="AZ243" s="28"/>
      <c r="BA243" s="16">
        <f t="shared" si="189"/>
        <v>44827.192052980332</v>
      </c>
      <c r="BC243" s="7" t="e">
        <f t="shared" si="184"/>
        <v>#N/A</v>
      </c>
      <c r="BR243" s="7">
        <v>5401074</v>
      </c>
      <c r="BS243" s="9">
        <f>[1]monsters!$N243</f>
        <v>184.32</v>
      </c>
      <c r="BT243" s="9">
        <f>[1]monsters!$O243</f>
        <v>18.43</v>
      </c>
      <c r="BU243" s="9">
        <f>[1]monsters!$P243</f>
        <v>2880</v>
      </c>
      <c r="BV243" s="9">
        <f>[1]monsters!$Q243</f>
        <v>288</v>
      </c>
      <c r="BW243" s="9">
        <f>[1]monsters!$R243</f>
        <v>61.44</v>
      </c>
      <c r="BX243" s="9">
        <f>[1]monsters!$S243</f>
        <v>6.14</v>
      </c>
      <c r="BY243" s="9">
        <f>[1]monsters!$K243</f>
        <v>1.8</v>
      </c>
      <c r="BZ243" s="7">
        <f>[1]monsters!$D243</f>
        <v>2</v>
      </c>
      <c r="CA243" s="7">
        <f t="shared" si="185"/>
        <v>0.1</v>
      </c>
      <c r="CB243" s="7">
        <f t="shared" si="186"/>
        <v>271.15209696969697</v>
      </c>
      <c r="CC243" s="7">
        <f t="shared" si="187"/>
        <v>27.1152096969697</v>
      </c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>
        <v>1</v>
      </c>
      <c r="CR243" s="25"/>
      <c r="CS243" s="25"/>
      <c r="CT243" s="25"/>
      <c r="CU243" s="25"/>
      <c r="CV243" s="25"/>
      <c r="CW243" s="25"/>
      <c r="DP243" s="32"/>
      <c r="DQ243" s="32"/>
      <c r="DR243" s="32"/>
      <c r="DS243" s="36"/>
      <c r="DT243" s="36"/>
      <c r="DU243" s="36"/>
      <c r="DV243" s="36"/>
      <c r="DW243" s="36"/>
      <c r="DX243" s="36"/>
      <c r="DY243" s="36"/>
      <c r="DZ243" s="36"/>
      <c r="EA243" s="25"/>
      <c r="EB243" s="17"/>
      <c r="EC243" s="16">
        <v>5201091</v>
      </c>
      <c r="ED243" s="40" t="s">
        <v>206</v>
      </c>
      <c r="EE243" s="16">
        <v>1</v>
      </c>
    </row>
    <row r="244" spans="11:135" ht="13.5" customHeight="1">
      <c r="K244" s="2"/>
      <c r="L244" s="18"/>
      <c r="O244" s="25"/>
      <c r="AI244" s="28"/>
      <c r="AJ244" s="28"/>
      <c r="AK244" s="28"/>
      <c r="AL244" s="28"/>
      <c r="AM244" s="28"/>
      <c r="AN244" s="28"/>
      <c r="AO244" s="30"/>
      <c r="AP244" s="28"/>
      <c r="AS244" s="28"/>
      <c r="AT244" s="28"/>
      <c r="AU244" s="30"/>
      <c r="AV244" s="28"/>
      <c r="AW244" s="28"/>
      <c r="AX244" s="28"/>
      <c r="AZ244" s="28"/>
      <c r="BA244" s="16">
        <f t="shared" si="189"/>
        <v>44688.705298013447</v>
      </c>
      <c r="BC244" s="7" t="e">
        <f t="shared" si="184"/>
        <v>#N/A</v>
      </c>
      <c r="BR244" s="7">
        <v>5402074</v>
      </c>
      <c r="BS244" s="9">
        <f>[1]monsters!$N244</f>
        <v>207.36</v>
      </c>
      <c r="BT244" s="9">
        <f>[1]monsters!$O244</f>
        <v>20.74</v>
      </c>
      <c r="BU244" s="9">
        <f>[1]monsters!$P244</f>
        <v>2560</v>
      </c>
      <c r="BV244" s="9">
        <f>[1]monsters!$Q244</f>
        <v>256</v>
      </c>
      <c r="BW244" s="9">
        <f>[1]monsters!$R244</f>
        <v>41.47</v>
      </c>
      <c r="BX244" s="9">
        <f>[1]monsters!$S244</f>
        <v>4.1500000000000004</v>
      </c>
      <c r="BY244" s="9">
        <f>[1]monsters!$K244</f>
        <v>1.8</v>
      </c>
      <c r="BZ244" s="7">
        <f>[1]monsters!$D244</f>
        <v>2</v>
      </c>
      <c r="CA244" s="7">
        <f t="shared" si="185"/>
        <v>0.1</v>
      </c>
      <c r="CB244" s="7">
        <f t="shared" si="186"/>
        <v>282.15048619528625</v>
      </c>
      <c r="CC244" s="7">
        <f t="shared" si="187"/>
        <v>28.215048619528627</v>
      </c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>
        <v>0</v>
      </c>
      <c r="CR244" s="25"/>
      <c r="CS244" s="25"/>
      <c r="CT244" s="25"/>
      <c r="CU244" s="25"/>
      <c r="CV244" s="25"/>
      <c r="CW244" s="25"/>
      <c r="DP244" s="32"/>
      <c r="DQ244" s="32"/>
      <c r="DR244" s="32"/>
      <c r="DS244" s="36"/>
      <c r="DT244" s="36"/>
      <c r="DU244" s="36"/>
      <c r="DV244" s="36"/>
      <c r="DW244" s="36"/>
      <c r="DX244" s="36"/>
      <c r="DY244" s="36"/>
      <c r="DZ244" s="36"/>
      <c r="EA244" s="25"/>
      <c r="EB244" s="17"/>
      <c r="EC244" s="16">
        <v>5202091</v>
      </c>
      <c r="ED244" s="40" t="s">
        <v>117</v>
      </c>
      <c r="EE244" s="16">
        <v>1</v>
      </c>
    </row>
    <row r="245" spans="11:135" ht="13.5" customHeight="1">
      <c r="K245" s="2"/>
      <c r="L245" s="18"/>
      <c r="O245" s="25"/>
      <c r="AI245" s="28"/>
      <c r="AJ245" s="28"/>
      <c r="AK245" s="28"/>
      <c r="AL245" s="28"/>
      <c r="AM245" s="28"/>
      <c r="AN245" s="28"/>
      <c r="AO245" s="30"/>
      <c r="AP245" s="28"/>
      <c r="AS245" s="28"/>
      <c r="AT245" s="28"/>
      <c r="AU245" s="30"/>
      <c r="AV245" s="28"/>
      <c r="AW245" s="28"/>
      <c r="AX245" s="28"/>
      <c r="AZ245" s="28"/>
      <c r="BA245" s="16">
        <f t="shared" si="189"/>
        <v>44550.218543046562</v>
      </c>
      <c r="BC245" s="7" t="e">
        <f t="shared" si="184"/>
        <v>#N/A</v>
      </c>
      <c r="BR245" s="7">
        <v>5501074</v>
      </c>
      <c r="BS245" s="9">
        <f>[1]monsters!$N245</f>
        <v>138.24</v>
      </c>
      <c r="BT245" s="9">
        <f>[1]monsters!$O245</f>
        <v>13.82</v>
      </c>
      <c r="BU245" s="9">
        <f>[1]monsters!$P245</f>
        <v>2560</v>
      </c>
      <c r="BV245" s="9">
        <f>[1]monsters!$Q245</f>
        <v>256</v>
      </c>
      <c r="BW245" s="9">
        <f>[1]monsters!$R245</f>
        <v>27.65</v>
      </c>
      <c r="BX245" s="9">
        <f>[1]monsters!$S245</f>
        <v>2.76</v>
      </c>
      <c r="BY245" s="9">
        <f>[1]monsters!$K245</f>
        <v>1.2</v>
      </c>
      <c r="BZ245" s="7">
        <f>[1]monsters!$D245</f>
        <v>3</v>
      </c>
      <c r="CA245" s="7">
        <f t="shared" si="185"/>
        <v>0.1</v>
      </c>
      <c r="CB245" s="7">
        <f t="shared" si="186"/>
        <v>216.83208619528622</v>
      </c>
      <c r="CC245" s="7">
        <f t="shared" si="187"/>
        <v>21.683208619528624</v>
      </c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>
        <v>0</v>
      </c>
      <c r="CR245" s="25"/>
      <c r="CS245" s="25"/>
      <c r="CT245" s="25"/>
      <c r="CU245" s="25"/>
      <c r="CV245" s="25"/>
      <c r="CW245" s="25"/>
      <c r="DP245" s="32"/>
      <c r="DQ245" s="32"/>
      <c r="DR245" s="32"/>
      <c r="DS245" s="36"/>
      <c r="DT245" s="36"/>
      <c r="DU245" s="36"/>
      <c r="DV245" s="36"/>
      <c r="DW245" s="36"/>
      <c r="DX245" s="36"/>
      <c r="DY245" s="36"/>
      <c r="DZ245" s="36"/>
      <c r="EA245" s="25"/>
      <c r="EB245" s="17"/>
      <c r="EC245" s="16">
        <v>5301091</v>
      </c>
      <c r="ED245" s="40" t="s">
        <v>113</v>
      </c>
      <c r="EE245" s="16">
        <v>1</v>
      </c>
    </row>
    <row r="246" spans="11:135" ht="13.5" customHeight="1">
      <c r="K246" s="2"/>
      <c r="L246" s="18"/>
      <c r="O246" s="25"/>
      <c r="AI246" s="28"/>
      <c r="AJ246" s="28"/>
      <c r="AK246" s="28"/>
      <c r="AL246" s="28"/>
      <c r="AM246" s="28"/>
      <c r="AN246" s="28"/>
      <c r="AO246" s="30"/>
      <c r="AP246" s="28"/>
      <c r="AS246" s="28"/>
      <c r="AT246" s="28"/>
      <c r="AU246" s="30"/>
      <c r="AV246" s="28"/>
      <c r="AW246" s="28"/>
      <c r="AX246" s="28"/>
      <c r="AZ246" s="28"/>
      <c r="BA246" s="16">
        <f t="shared" si="189"/>
        <v>44411.731788079676</v>
      </c>
      <c r="BC246" s="7" t="e">
        <f t="shared" si="184"/>
        <v>#N/A</v>
      </c>
      <c r="BR246" s="7">
        <v>5502074</v>
      </c>
      <c r="BS246" s="9">
        <f>[1]monsters!$N246</f>
        <v>245.76</v>
      </c>
      <c r="BT246" s="9">
        <f>[1]monsters!$O246</f>
        <v>24.58</v>
      </c>
      <c r="BU246" s="9">
        <f>[1]monsters!$P246</f>
        <v>1920</v>
      </c>
      <c r="BV246" s="9">
        <f>[1]monsters!$Q246</f>
        <v>192</v>
      </c>
      <c r="BW246" s="9">
        <f>[1]monsters!$R246</f>
        <v>35.11</v>
      </c>
      <c r="BX246" s="9">
        <f>[1]monsters!$S246</f>
        <v>3.51</v>
      </c>
      <c r="BY246" s="9">
        <f>[1]monsters!$K246</f>
        <v>1.6</v>
      </c>
      <c r="BZ246" s="7">
        <f>[1]monsters!$D246</f>
        <v>4</v>
      </c>
      <c r="CA246" s="7">
        <f t="shared" si="185"/>
        <v>0.1</v>
      </c>
      <c r="CB246" s="7">
        <f t="shared" si="186"/>
        <v>296.88966464646467</v>
      </c>
      <c r="CC246" s="7">
        <f t="shared" si="187"/>
        <v>29.688966464646469</v>
      </c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>
        <v>0</v>
      </c>
      <c r="CR246" s="25"/>
      <c r="CS246" s="25"/>
      <c r="CT246" s="25"/>
      <c r="CU246" s="25"/>
      <c r="CV246" s="25"/>
      <c r="CW246" s="25"/>
      <c r="DP246" s="32"/>
      <c r="DQ246" s="32"/>
      <c r="DR246" s="32"/>
      <c r="DS246" s="36"/>
      <c r="DT246" s="36"/>
      <c r="DU246" s="36"/>
      <c r="DV246" s="36"/>
      <c r="DW246" s="36"/>
      <c r="DX246" s="36"/>
      <c r="DY246" s="36"/>
      <c r="DZ246" s="36"/>
      <c r="EA246" s="25"/>
      <c r="EB246" s="17"/>
      <c r="EC246" s="16">
        <v>5401091</v>
      </c>
      <c r="ED246" s="40" t="s">
        <v>123</v>
      </c>
      <c r="EE246" s="16">
        <v>2</v>
      </c>
    </row>
    <row r="247" spans="11:135" ht="13.5" customHeight="1">
      <c r="K247" s="2"/>
      <c r="L247" s="18"/>
      <c r="O247" s="25"/>
      <c r="AI247" s="28"/>
      <c r="AJ247" s="28"/>
      <c r="AK247" s="28"/>
      <c r="AL247" s="28"/>
      <c r="AM247" s="28"/>
      <c r="AN247" s="28"/>
      <c r="AO247" s="30"/>
      <c r="AP247" s="28"/>
      <c r="AS247" s="28"/>
      <c r="AT247" s="28"/>
      <c r="AU247" s="30"/>
      <c r="AV247" s="28"/>
      <c r="AW247" s="28"/>
      <c r="AX247" s="28"/>
      <c r="AZ247" s="28"/>
      <c r="BA247" s="16">
        <f t="shared" si="189"/>
        <v>44273.245033112791</v>
      </c>
      <c r="BC247" s="7" t="e">
        <f t="shared" si="184"/>
        <v>#N/A</v>
      </c>
      <c r="BR247" s="7">
        <v>5600074</v>
      </c>
      <c r="BS247" s="9">
        <f>[1]monsters!$N247</f>
        <v>230.4</v>
      </c>
      <c r="BT247" s="9">
        <f>[1]monsters!$O247</f>
        <v>23.04</v>
      </c>
      <c r="BU247" s="9">
        <f>[1]monsters!$P247</f>
        <v>1920</v>
      </c>
      <c r="BV247" s="9">
        <f>[1]monsters!$Q247</f>
        <v>192</v>
      </c>
      <c r="BW247" s="9">
        <f>[1]monsters!$R247</f>
        <v>32.909999999999997</v>
      </c>
      <c r="BX247" s="9">
        <f>[1]monsters!$S247</f>
        <v>3.29</v>
      </c>
      <c r="BY247" s="9">
        <f>[1]monsters!$K247</f>
        <v>1.5</v>
      </c>
      <c r="BZ247" s="7">
        <f>[1]monsters!$D247</f>
        <v>4</v>
      </c>
      <c r="CA247" s="7">
        <f t="shared" si="185"/>
        <v>0.1</v>
      </c>
      <c r="CB247" s="7">
        <f t="shared" si="186"/>
        <v>282.37446464646462</v>
      </c>
      <c r="CC247" s="7">
        <f t="shared" si="187"/>
        <v>28.237446464646464</v>
      </c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>
        <v>0</v>
      </c>
      <c r="CR247" s="25"/>
      <c r="CS247" s="25"/>
      <c r="CT247" s="25"/>
      <c r="CU247" s="25"/>
      <c r="CV247" s="25"/>
      <c r="CW247" s="25"/>
      <c r="DP247" s="32"/>
      <c r="DQ247" s="32"/>
      <c r="DR247" s="13"/>
      <c r="DS247" s="32"/>
      <c r="DT247" s="14"/>
      <c r="DU247" s="14"/>
      <c r="DV247" s="14"/>
      <c r="DW247" s="14"/>
      <c r="DX247" s="14"/>
      <c r="DY247" s="14"/>
      <c r="DZ247" s="14"/>
      <c r="EA247" s="25"/>
      <c r="EB247" s="17"/>
      <c r="EC247" s="16">
        <v>5402091</v>
      </c>
      <c r="ED247" s="40" t="s">
        <v>207</v>
      </c>
      <c r="EE247" s="16">
        <v>2</v>
      </c>
    </row>
    <row r="248" spans="11:135" ht="13.5" customHeight="1">
      <c r="K248" s="2"/>
      <c r="O248" s="25"/>
      <c r="AI248" s="28"/>
      <c r="AJ248" s="28"/>
      <c r="AK248" s="28"/>
      <c r="AL248" s="28"/>
      <c r="AM248" s="28"/>
      <c r="AN248" s="28"/>
      <c r="AO248" s="30"/>
      <c r="AP248" s="28"/>
      <c r="AS248" s="28"/>
      <c r="AT248" s="28"/>
      <c r="AU248" s="30"/>
      <c r="AV248" s="28"/>
      <c r="AW248" s="28"/>
      <c r="AX248" s="28"/>
      <c r="AZ248" s="28"/>
      <c r="BA248" s="16">
        <f t="shared" si="189"/>
        <v>44134.758278145906</v>
      </c>
      <c r="BC248" s="7" t="e">
        <f t="shared" si="184"/>
        <v>#N/A</v>
      </c>
      <c r="BR248" s="7">
        <v>5601074</v>
      </c>
      <c r="BS248" s="9">
        <f>[1]monsters!$N248</f>
        <v>268.8</v>
      </c>
      <c r="BT248" s="9">
        <f>[1]monsters!$O248</f>
        <v>26.88</v>
      </c>
      <c r="BU248" s="9">
        <f>[1]monsters!$P248</f>
        <v>1645.71</v>
      </c>
      <c r="BV248" s="9">
        <f>[1]monsters!$Q248</f>
        <v>164.57</v>
      </c>
      <c r="BW248" s="9">
        <f>[1]monsters!$R248</f>
        <v>33.6</v>
      </c>
      <c r="BX248" s="9">
        <f>[1]monsters!$S248</f>
        <v>3.36</v>
      </c>
      <c r="BY248" s="9">
        <f>[1]monsters!$K248</f>
        <v>1.5</v>
      </c>
      <c r="BZ248" s="7">
        <f>[1]monsters!$D248</f>
        <v>5</v>
      </c>
      <c r="CA248" s="7">
        <f t="shared" si="185"/>
        <v>0.1</v>
      </c>
      <c r="CB248" s="7">
        <f t="shared" si="186"/>
        <v>309.42711111111112</v>
      </c>
      <c r="CC248" s="7">
        <f t="shared" si="187"/>
        <v>30.942711111111112</v>
      </c>
      <c r="CD248" s="7"/>
      <c r="CE248" s="7"/>
      <c r="CF248" s="7"/>
      <c r="CG248" s="7"/>
      <c r="CH248" s="7"/>
      <c r="CI248" s="7"/>
      <c r="CJ248" s="7"/>
      <c r="CK248" s="7"/>
      <c r="CL248" s="7"/>
      <c r="CM248" s="7"/>
      <c r="CN248" s="7"/>
      <c r="CO248" s="7"/>
      <c r="CP248" s="7">
        <v>1</v>
      </c>
      <c r="CR248" s="25"/>
      <c r="CS248" s="25"/>
      <c r="CT248" s="25"/>
      <c r="CU248" s="25"/>
      <c r="CV248" s="25"/>
      <c r="CW248" s="25"/>
      <c r="DP248" s="32"/>
      <c r="DQ248" s="32"/>
      <c r="DR248" s="36"/>
      <c r="DS248" s="36"/>
      <c r="DT248" s="32"/>
      <c r="DU248" s="32"/>
      <c r="DV248" s="32"/>
      <c r="DW248" s="32"/>
      <c r="DX248" s="32"/>
      <c r="DY248" s="32"/>
      <c r="DZ248" s="32"/>
      <c r="EA248" s="25"/>
      <c r="EB248" s="17"/>
      <c r="EC248" s="16">
        <v>5500091</v>
      </c>
      <c r="ED248" s="40" t="s">
        <v>208</v>
      </c>
      <c r="EE248" s="16">
        <v>2</v>
      </c>
    </row>
    <row r="249" spans="11:135" ht="13.5" customHeight="1">
      <c r="K249" s="2"/>
      <c r="L249" s="18"/>
      <c r="O249" s="25"/>
      <c r="AI249" s="28"/>
      <c r="AJ249" s="28"/>
      <c r="AK249" s="28"/>
      <c r="AL249" s="28"/>
      <c r="AM249" s="28"/>
      <c r="AN249" s="28"/>
      <c r="AO249" s="30"/>
      <c r="AP249" s="28"/>
      <c r="AS249" s="28"/>
      <c r="AT249" s="28"/>
      <c r="AU249" s="30"/>
      <c r="AV249" s="28"/>
      <c r="AW249" s="28"/>
      <c r="AX249" s="28"/>
      <c r="AZ249" s="28"/>
      <c r="BA249" s="16">
        <f t="shared" si="189"/>
        <v>43996.271523179021</v>
      </c>
      <c r="BC249" s="7" t="e">
        <f t="shared" si="184"/>
        <v>#N/A</v>
      </c>
      <c r="BR249" s="7">
        <v>5201075</v>
      </c>
      <c r="BS249" s="9">
        <f>[1]monsters!$N249</f>
        <v>250.88</v>
      </c>
      <c r="BT249" s="9">
        <f>[1]monsters!$O249</f>
        <v>25.09</v>
      </c>
      <c r="BU249" s="9">
        <f>[1]monsters!$P249</f>
        <v>1645.71</v>
      </c>
      <c r="BV249" s="9">
        <f>[1]monsters!$Q249</f>
        <v>164.57</v>
      </c>
      <c r="BW249" s="9">
        <f>[1]monsters!$R249</f>
        <v>31.36</v>
      </c>
      <c r="BX249" s="9">
        <f>[1]monsters!$S249</f>
        <v>3.14</v>
      </c>
      <c r="BY249" s="9">
        <f>[1]monsters!$K249</f>
        <v>1.4000000000000001</v>
      </c>
      <c r="BZ249" s="7">
        <f>[1]monsters!$D249</f>
        <v>5</v>
      </c>
      <c r="CA249" s="7">
        <f t="shared" si="185"/>
        <v>0.1</v>
      </c>
      <c r="CB249" s="7">
        <f t="shared" si="186"/>
        <v>292.49271111111108</v>
      </c>
      <c r="CC249" s="7">
        <f t="shared" si="187"/>
        <v>29.24927111111111</v>
      </c>
      <c r="CD249" s="7"/>
      <c r="CE249" s="7"/>
      <c r="CF249" s="7"/>
      <c r="CG249" s="7"/>
      <c r="CH249" s="7"/>
      <c r="CI249" s="7"/>
      <c r="CJ249" s="7"/>
      <c r="CK249" s="7"/>
      <c r="CL249" s="7"/>
      <c r="CM249" s="7"/>
      <c r="CN249" s="7"/>
      <c r="CO249" s="7"/>
      <c r="CP249" s="7">
        <v>0</v>
      </c>
      <c r="CR249" s="25"/>
      <c r="CS249" s="25"/>
      <c r="CT249" s="25"/>
      <c r="CU249" s="25"/>
      <c r="CV249" s="25"/>
      <c r="CW249" s="25"/>
      <c r="DP249" s="32"/>
      <c r="DQ249" s="32"/>
      <c r="DR249" s="32"/>
      <c r="DS249" s="14"/>
      <c r="DT249" s="14"/>
      <c r="DU249" s="14"/>
      <c r="DV249" s="14"/>
      <c r="DW249" s="14"/>
      <c r="DX249" s="14"/>
      <c r="DY249" s="14"/>
      <c r="DZ249" s="14"/>
      <c r="EA249" s="25"/>
      <c r="EB249" s="17"/>
      <c r="EC249" s="16">
        <v>5502091</v>
      </c>
      <c r="ED249" s="40" t="s">
        <v>130</v>
      </c>
      <c r="EE249" s="16">
        <v>2</v>
      </c>
    </row>
    <row r="250" spans="11:135" ht="13.5" customHeight="1">
      <c r="K250" s="2"/>
      <c r="L250" s="18"/>
      <c r="O250" s="25"/>
      <c r="AI250" s="28"/>
      <c r="AJ250" s="28"/>
      <c r="AK250" s="28"/>
      <c r="AL250" s="28"/>
      <c r="AM250" s="28"/>
      <c r="AN250" s="28"/>
      <c r="AO250" s="30"/>
      <c r="AP250" s="28"/>
      <c r="AS250" s="28"/>
      <c r="AT250" s="28"/>
      <c r="AU250" s="30"/>
      <c r="AV250" s="28"/>
      <c r="AW250" s="28"/>
      <c r="AX250" s="28"/>
      <c r="AZ250" s="28"/>
      <c r="BA250" s="16">
        <f t="shared" si="189"/>
        <v>43857.784768212136</v>
      </c>
      <c r="BC250" s="7" t="e">
        <f t="shared" si="184"/>
        <v>#N/A</v>
      </c>
      <c r="BR250" s="7">
        <v>5202075</v>
      </c>
      <c r="BS250" s="9">
        <f>[1]monsters!$N250</f>
        <v>297.60000000000002</v>
      </c>
      <c r="BT250" s="9">
        <f>[1]monsters!$O250</f>
        <v>29.76</v>
      </c>
      <c r="BU250" s="9">
        <f>[1]monsters!$P250</f>
        <v>1486.45</v>
      </c>
      <c r="BV250" s="9">
        <f>[1]monsters!$Q250</f>
        <v>148.65</v>
      </c>
      <c r="BW250" s="9">
        <f>[1]monsters!$R250</f>
        <v>29.76</v>
      </c>
      <c r="BX250" s="9">
        <f>[1]monsters!$S250</f>
        <v>2.98</v>
      </c>
      <c r="BY250" s="9">
        <f>[1]monsters!$K250</f>
        <v>1.5</v>
      </c>
      <c r="BZ250" s="7">
        <f>[1]monsters!$D250</f>
        <v>6</v>
      </c>
      <c r="CA250" s="7">
        <f t="shared" si="185"/>
        <v>0.1</v>
      </c>
      <c r="CB250" s="7">
        <f t="shared" si="186"/>
        <v>331.28082154882156</v>
      </c>
      <c r="CC250" s="7">
        <f t="shared" si="187"/>
        <v>33.128082154882158</v>
      </c>
      <c r="CD250" s="7"/>
      <c r="CE250" s="7"/>
      <c r="CF250" s="7"/>
      <c r="CG250" s="7"/>
      <c r="CH250" s="7"/>
      <c r="CI250" s="7"/>
      <c r="CJ250" s="7"/>
      <c r="CK250" s="7"/>
      <c r="CL250" s="7"/>
      <c r="CM250" s="7"/>
      <c r="CN250" s="7"/>
      <c r="CO250" s="7"/>
      <c r="CP250" s="7">
        <v>0</v>
      </c>
      <c r="CR250" s="25"/>
      <c r="CS250" s="25"/>
      <c r="CT250" s="25"/>
      <c r="CU250" s="25"/>
      <c r="CV250" s="25"/>
      <c r="CW250" s="25"/>
      <c r="DP250" s="32"/>
      <c r="DQ250" s="32"/>
      <c r="DR250" s="36"/>
      <c r="DS250" s="36"/>
      <c r="DT250" s="32"/>
      <c r="DU250" s="32"/>
      <c r="DV250" s="32"/>
      <c r="DW250" s="32"/>
      <c r="DX250" s="32"/>
      <c r="DY250" s="32"/>
      <c r="DZ250" s="32"/>
      <c r="EA250" s="25"/>
      <c r="EB250" s="17"/>
      <c r="EC250" s="16">
        <v>5601091</v>
      </c>
      <c r="ED250" s="40" t="s">
        <v>209</v>
      </c>
      <c r="EE250" s="16">
        <v>2</v>
      </c>
    </row>
    <row r="251" spans="11:135" ht="13.5" customHeight="1">
      <c r="K251" s="2"/>
      <c r="L251" s="18"/>
      <c r="O251" s="25"/>
      <c r="AI251" s="28"/>
      <c r="AJ251" s="28"/>
      <c r="AK251" s="28"/>
      <c r="AL251" s="28"/>
      <c r="AM251" s="28"/>
      <c r="AN251" s="28"/>
      <c r="AO251" s="30"/>
      <c r="AP251" s="28"/>
      <c r="AS251" s="28"/>
      <c r="AT251" s="28"/>
      <c r="AU251" s="30"/>
      <c r="AV251" s="28"/>
      <c r="AW251" s="28"/>
      <c r="AX251" s="28"/>
      <c r="AZ251" s="28"/>
      <c r="BA251" s="16">
        <f t="shared" si="189"/>
        <v>43719.29801324525</v>
      </c>
      <c r="BC251" s="7" t="e">
        <f t="shared" si="184"/>
        <v>#N/A</v>
      </c>
      <c r="BR251" s="7">
        <v>5302075</v>
      </c>
      <c r="BS251" s="9">
        <f>[1]monsters!$N251</f>
        <v>192</v>
      </c>
      <c r="BT251" s="9">
        <f>[1]monsters!$O251</f>
        <v>19.2</v>
      </c>
      <c r="BU251" s="9">
        <f>[1]monsters!$P251</f>
        <v>2304</v>
      </c>
      <c r="BV251" s="9">
        <f>[1]monsters!$Q251</f>
        <v>230.4</v>
      </c>
      <c r="BW251" s="9">
        <f>[1]monsters!$R251</f>
        <v>48</v>
      </c>
      <c r="BX251" s="9">
        <f>[1]monsters!$S251</f>
        <v>4.8</v>
      </c>
      <c r="BY251" s="9">
        <f>[1]monsters!$K251</f>
        <v>1.5</v>
      </c>
      <c r="BZ251" s="7">
        <f>[1]monsters!$D251</f>
        <v>2</v>
      </c>
      <c r="CA251" s="7">
        <f t="shared" si="185"/>
        <v>0.1</v>
      </c>
      <c r="CB251" s="7">
        <f t="shared" si="186"/>
        <v>259.01575757575756</v>
      </c>
      <c r="CC251" s="7">
        <f t="shared" si="187"/>
        <v>25.901575757575756</v>
      </c>
      <c r="CD251" s="7"/>
      <c r="CE251" s="7"/>
      <c r="CF251" s="7"/>
      <c r="CG251" s="7"/>
      <c r="CH251" s="7"/>
      <c r="CI251" s="7"/>
      <c r="CJ251" s="7"/>
      <c r="CK251" s="7"/>
      <c r="CL251" s="7"/>
      <c r="CM251" s="7"/>
      <c r="CN251" s="7"/>
      <c r="CO251" s="7"/>
      <c r="CP251" s="7">
        <v>0</v>
      </c>
      <c r="CR251" s="25"/>
      <c r="CS251" s="25"/>
      <c r="CT251" s="25"/>
      <c r="CU251" s="25"/>
      <c r="CV251" s="25"/>
      <c r="CW251" s="25"/>
      <c r="DP251" s="32"/>
      <c r="DQ251" s="32"/>
      <c r="DR251" s="36"/>
      <c r="DS251" s="36"/>
      <c r="DT251" s="36"/>
      <c r="DU251" s="36"/>
      <c r="DV251" s="36"/>
      <c r="DW251" s="36"/>
      <c r="DX251" s="36"/>
      <c r="DY251" s="36"/>
      <c r="DZ251" s="36"/>
      <c r="EA251" s="25"/>
      <c r="EB251" s="17"/>
      <c r="EC251" s="16">
        <v>5200092</v>
      </c>
      <c r="ED251" s="40" t="s">
        <v>210</v>
      </c>
      <c r="EE251" s="16">
        <v>1</v>
      </c>
    </row>
    <row r="252" spans="11:135" ht="13.5" customHeight="1">
      <c r="K252" s="2"/>
      <c r="L252" s="18"/>
      <c r="O252" s="25"/>
      <c r="AI252" s="28"/>
      <c r="AJ252" s="28"/>
      <c r="AK252" s="28"/>
      <c r="AL252" s="28"/>
      <c r="AM252" s="28"/>
      <c r="AN252" s="28"/>
      <c r="AO252" s="30"/>
      <c r="AP252" s="28"/>
      <c r="AS252" s="28"/>
      <c r="AT252" s="28"/>
      <c r="AU252" s="30"/>
      <c r="AV252" s="28"/>
      <c r="AW252" s="28"/>
      <c r="AX252" s="28"/>
      <c r="AZ252" s="28"/>
      <c r="BA252" s="16">
        <f t="shared" si="189"/>
        <v>43580.811258278365</v>
      </c>
      <c r="BC252" s="7" t="e">
        <f t="shared" si="184"/>
        <v>#N/A</v>
      </c>
      <c r="BR252" s="7">
        <v>5301075</v>
      </c>
      <c r="BS252" s="9">
        <f>[1]monsters!$N252</f>
        <v>184.32</v>
      </c>
      <c r="BT252" s="9">
        <f>[1]monsters!$O252</f>
        <v>18.43</v>
      </c>
      <c r="BU252" s="9">
        <f>[1]monsters!$P252</f>
        <v>2880</v>
      </c>
      <c r="BV252" s="9">
        <f>[1]monsters!$Q252</f>
        <v>288</v>
      </c>
      <c r="BW252" s="9">
        <f>[1]monsters!$R252</f>
        <v>61.44</v>
      </c>
      <c r="BX252" s="9">
        <f>[1]monsters!$S252</f>
        <v>6.14</v>
      </c>
      <c r="BY252" s="9">
        <f>[1]monsters!$K252</f>
        <v>1.8</v>
      </c>
      <c r="BZ252" s="7">
        <f>[1]monsters!$D252</f>
        <v>2</v>
      </c>
      <c r="CA252" s="7">
        <f t="shared" si="185"/>
        <v>0.1</v>
      </c>
      <c r="CB252" s="7">
        <f t="shared" si="186"/>
        <v>271.15209696969697</v>
      </c>
      <c r="CC252" s="7">
        <f t="shared" si="187"/>
        <v>27.1152096969697</v>
      </c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7"/>
      <c r="CP252" s="7">
        <v>0</v>
      </c>
      <c r="CR252" s="25"/>
      <c r="CS252" s="25"/>
      <c r="CT252" s="25"/>
      <c r="CU252" s="25"/>
      <c r="CV252" s="25"/>
      <c r="CW252" s="25"/>
      <c r="DP252" s="32"/>
      <c r="DQ252" s="36"/>
      <c r="DR252" s="32"/>
      <c r="DS252" s="36"/>
      <c r="DT252" s="36"/>
      <c r="DU252" s="14"/>
      <c r="DV252" s="14"/>
      <c r="DW252" s="14"/>
      <c r="DX252" s="14"/>
      <c r="DY252" s="14"/>
      <c r="DZ252" s="14"/>
      <c r="EA252" s="25"/>
      <c r="EB252" s="17"/>
      <c r="EC252" s="16">
        <v>5201092</v>
      </c>
      <c r="ED252" s="40" t="s">
        <v>120</v>
      </c>
      <c r="EE252" s="16">
        <v>1</v>
      </c>
    </row>
    <row r="253" spans="11:135" ht="13.5" customHeight="1">
      <c r="K253" s="2"/>
      <c r="O253" s="25"/>
      <c r="AI253" s="28"/>
      <c r="AJ253" s="28"/>
      <c r="AK253" s="28"/>
      <c r="AL253" s="28"/>
      <c r="AM253" s="28"/>
      <c r="AN253" s="28"/>
      <c r="AO253" s="30"/>
      <c r="AP253" s="28"/>
      <c r="AS253" s="28"/>
      <c r="AT253" s="28"/>
      <c r="AU253" s="30"/>
      <c r="AV253" s="28"/>
      <c r="AW253" s="28"/>
      <c r="AX253" s="28"/>
      <c r="AY253" s="16">
        <v>6</v>
      </c>
      <c r="AZ253" s="28">
        <v>140</v>
      </c>
      <c r="BA253" s="16">
        <v>266406</v>
      </c>
      <c r="BC253" s="7" t="e">
        <f t="shared" si="184"/>
        <v>#N/A</v>
      </c>
      <c r="BR253" s="7">
        <v>5400075</v>
      </c>
      <c r="BS253" s="9">
        <f>[1]monsters!$N253</f>
        <v>207.36</v>
      </c>
      <c r="BT253" s="9">
        <f>[1]monsters!$O253</f>
        <v>20.74</v>
      </c>
      <c r="BU253" s="9">
        <f>[1]monsters!$P253</f>
        <v>2560</v>
      </c>
      <c r="BV253" s="9">
        <f>[1]monsters!$Q253</f>
        <v>256</v>
      </c>
      <c r="BW253" s="9">
        <f>[1]monsters!$R253</f>
        <v>41.47</v>
      </c>
      <c r="BX253" s="9">
        <f>[1]monsters!$S253</f>
        <v>4.1500000000000004</v>
      </c>
      <c r="BY253" s="9">
        <f>[1]monsters!$K253</f>
        <v>1.8</v>
      </c>
      <c r="BZ253" s="7">
        <f>[1]monsters!$D253</f>
        <v>2</v>
      </c>
      <c r="CA253" s="7">
        <f t="shared" si="185"/>
        <v>0.1</v>
      </c>
      <c r="CB253" s="7">
        <f t="shared" si="186"/>
        <v>282.15048619528625</v>
      </c>
      <c r="CC253" s="7">
        <f t="shared" si="187"/>
        <v>28.215048619528627</v>
      </c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>
        <v>1</v>
      </c>
      <c r="CR253" s="25"/>
      <c r="CS253" s="25"/>
      <c r="CT253" s="25"/>
      <c r="CU253" s="25"/>
      <c r="CV253" s="25"/>
      <c r="CW253" s="25"/>
      <c r="DP253" s="32"/>
      <c r="DQ253" s="32"/>
      <c r="DR253" s="32"/>
      <c r="DS253" s="36"/>
      <c r="DT253" s="36"/>
      <c r="DU253" s="36"/>
      <c r="DV253" s="36"/>
      <c r="DW253" s="36"/>
      <c r="DX253" s="36"/>
      <c r="DY253" s="36"/>
      <c r="DZ253" s="36"/>
      <c r="EA253" s="25"/>
      <c r="EB253" s="17"/>
      <c r="EC253" s="16">
        <v>5202092</v>
      </c>
      <c r="ED253" s="40" t="s">
        <v>211</v>
      </c>
      <c r="EE253" s="16">
        <v>1</v>
      </c>
    </row>
    <row r="254" spans="11:135" ht="13.5" customHeight="1">
      <c r="K254" s="2"/>
      <c r="L254" s="18"/>
      <c r="O254" s="25"/>
      <c r="AI254" s="28"/>
      <c r="AJ254" s="28"/>
      <c r="AK254" s="28"/>
      <c r="AL254" s="28"/>
      <c r="AM254" s="28"/>
      <c r="AN254" s="28"/>
      <c r="AO254" s="30"/>
      <c r="AP254" s="28"/>
      <c r="AS254" s="28"/>
      <c r="AT254" s="28"/>
      <c r="AU254" s="30"/>
      <c r="AV254" s="28"/>
      <c r="AW254" s="28"/>
      <c r="AX254" s="28"/>
      <c r="AZ254" s="28"/>
      <c r="BA254" s="16" t="e">
        <f>BA253+($BA$353-$BA$253)/($A$353-$A$253)</f>
        <v>#DIV/0!</v>
      </c>
      <c r="BC254" s="7" t="e">
        <f t="shared" si="184"/>
        <v>#N/A</v>
      </c>
      <c r="BR254" s="7">
        <v>5402075</v>
      </c>
      <c r="BS254" s="9">
        <f>[1]monsters!$N254</f>
        <v>138.24</v>
      </c>
      <c r="BT254" s="9">
        <f>[1]monsters!$O254</f>
        <v>13.82</v>
      </c>
      <c r="BU254" s="9">
        <f>[1]monsters!$P254</f>
        <v>2560</v>
      </c>
      <c r="BV254" s="9">
        <f>[1]monsters!$Q254</f>
        <v>256</v>
      </c>
      <c r="BW254" s="9">
        <f>[1]monsters!$R254</f>
        <v>27.65</v>
      </c>
      <c r="BX254" s="9">
        <f>[1]monsters!$S254</f>
        <v>2.76</v>
      </c>
      <c r="BY254" s="9">
        <f>[1]monsters!$K254</f>
        <v>1.2</v>
      </c>
      <c r="BZ254" s="7">
        <f>[1]monsters!$D254</f>
        <v>3</v>
      </c>
      <c r="CA254" s="7">
        <f t="shared" si="185"/>
        <v>0.1</v>
      </c>
      <c r="CB254" s="7">
        <f t="shared" si="186"/>
        <v>216.83208619528622</v>
      </c>
      <c r="CC254" s="7">
        <f t="shared" si="187"/>
        <v>21.683208619528624</v>
      </c>
      <c r="CD254" s="7"/>
      <c r="CE254" s="7"/>
      <c r="CF254" s="7"/>
      <c r="CG254" s="7"/>
      <c r="CH254" s="7"/>
      <c r="CI254" s="7"/>
      <c r="CJ254" s="7"/>
      <c r="CK254" s="7"/>
      <c r="CL254" s="7"/>
      <c r="CM254" s="7"/>
      <c r="CN254" s="7"/>
      <c r="CO254" s="7"/>
      <c r="CP254" s="7">
        <v>0</v>
      </c>
      <c r="CR254" s="25"/>
      <c r="CS254" s="25"/>
      <c r="CT254" s="25"/>
      <c r="CU254" s="25"/>
      <c r="CV254" s="25"/>
      <c r="CW254" s="25"/>
      <c r="DP254" s="32"/>
      <c r="DQ254" s="32"/>
      <c r="DR254" s="32"/>
      <c r="DS254" s="32"/>
      <c r="DT254" s="32"/>
      <c r="DU254" s="32"/>
      <c r="DV254" s="32"/>
      <c r="DW254" s="32"/>
      <c r="DX254" s="32"/>
      <c r="DY254" s="32"/>
      <c r="DZ254" s="32"/>
      <c r="EA254" s="25"/>
      <c r="EB254" s="17"/>
      <c r="EC254" s="16">
        <v>5301092</v>
      </c>
      <c r="ED254" s="40" t="s">
        <v>212</v>
      </c>
      <c r="EE254" s="16">
        <v>1</v>
      </c>
    </row>
    <row r="255" spans="11:135" ht="13.5" customHeight="1">
      <c r="K255" s="2"/>
      <c r="L255" s="18"/>
      <c r="O255" s="25"/>
      <c r="AI255" s="28"/>
      <c r="AJ255" s="28"/>
      <c r="AK255" s="28"/>
      <c r="AL255" s="28"/>
      <c r="AM255" s="28"/>
      <c r="AN255" s="28"/>
      <c r="AO255" s="30"/>
      <c r="AP255" s="28"/>
      <c r="AS255" s="28"/>
      <c r="AT255" s="28"/>
      <c r="AU255" s="30"/>
      <c r="AV255" s="28"/>
      <c r="AW255" s="28"/>
      <c r="AX255" s="28"/>
      <c r="AZ255" s="28"/>
      <c r="BA255" s="16" t="e">
        <f t="shared" ref="BA255:BA318" si="190">BA254+($BA$353-$BA$253)/($A$353-$A$253)</f>
        <v>#DIV/0!</v>
      </c>
      <c r="BC255" s="7" t="e">
        <f t="shared" si="184"/>
        <v>#N/A</v>
      </c>
      <c r="BR255" s="7">
        <v>5500075</v>
      </c>
      <c r="BS255" s="9">
        <f>[1]monsters!$N255</f>
        <v>245.76</v>
      </c>
      <c r="BT255" s="9">
        <f>[1]monsters!$O255</f>
        <v>24.58</v>
      </c>
      <c r="BU255" s="9">
        <f>[1]monsters!$P255</f>
        <v>1920</v>
      </c>
      <c r="BV255" s="9">
        <f>[1]monsters!$Q255</f>
        <v>192</v>
      </c>
      <c r="BW255" s="9">
        <f>[1]monsters!$R255</f>
        <v>35.11</v>
      </c>
      <c r="BX255" s="9">
        <f>[1]monsters!$S255</f>
        <v>3.51</v>
      </c>
      <c r="BY255" s="9">
        <f>[1]monsters!$K255</f>
        <v>1.6</v>
      </c>
      <c r="BZ255" s="7">
        <f>[1]monsters!$D255</f>
        <v>4</v>
      </c>
      <c r="CA255" s="7">
        <f t="shared" si="185"/>
        <v>0.1</v>
      </c>
      <c r="CB255" s="7">
        <f t="shared" si="186"/>
        <v>296.88966464646467</v>
      </c>
      <c r="CC255" s="7">
        <f t="shared" si="187"/>
        <v>29.688966464646469</v>
      </c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>
        <v>0</v>
      </c>
      <c r="CR255" s="25"/>
      <c r="CS255" s="25"/>
      <c r="CT255" s="25"/>
      <c r="CU255" s="25"/>
      <c r="CV255" s="25"/>
      <c r="CW255" s="25"/>
      <c r="DP255" s="32"/>
      <c r="DQ255" s="32"/>
      <c r="DR255" s="32"/>
      <c r="DS255" s="32"/>
      <c r="DT255" s="32"/>
      <c r="DU255" s="32"/>
      <c r="DV255" s="32"/>
      <c r="DW255" s="32"/>
      <c r="DX255" s="32"/>
      <c r="DY255" s="32"/>
      <c r="DZ255" s="32"/>
      <c r="EA255" s="25"/>
      <c r="EB255" s="17"/>
      <c r="EC255" s="16">
        <v>5401092</v>
      </c>
      <c r="ED255" s="40" t="s">
        <v>213</v>
      </c>
      <c r="EE255" s="16">
        <v>2</v>
      </c>
    </row>
    <row r="256" spans="11:135" ht="13.5" customHeight="1">
      <c r="K256" s="2"/>
      <c r="L256" s="18"/>
      <c r="O256" s="25"/>
      <c r="AI256" s="28"/>
      <c r="AJ256" s="28"/>
      <c r="AK256" s="28"/>
      <c r="AL256" s="28"/>
      <c r="AM256" s="28"/>
      <c r="AN256" s="28"/>
      <c r="AO256" s="30"/>
      <c r="AP256" s="28"/>
      <c r="AS256" s="28"/>
      <c r="AT256" s="28"/>
      <c r="AU256" s="30"/>
      <c r="AV256" s="28"/>
      <c r="AW256" s="28"/>
      <c r="AX256" s="28"/>
      <c r="AZ256" s="28"/>
      <c r="BA256" s="16" t="e">
        <f t="shared" si="190"/>
        <v>#DIV/0!</v>
      </c>
      <c r="BC256" s="7" t="e">
        <f t="shared" si="184"/>
        <v>#N/A</v>
      </c>
      <c r="BR256" s="7">
        <v>5502075</v>
      </c>
      <c r="BS256" s="9">
        <f>[1]monsters!$N256</f>
        <v>230.4</v>
      </c>
      <c r="BT256" s="9">
        <f>[1]monsters!$O256</f>
        <v>23.04</v>
      </c>
      <c r="BU256" s="9">
        <f>[1]monsters!$P256</f>
        <v>1920</v>
      </c>
      <c r="BV256" s="9">
        <f>[1]monsters!$Q256</f>
        <v>192</v>
      </c>
      <c r="BW256" s="9">
        <f>[1]monsters!$R256</f>
        <v>32.909999999999997</v>
      </c>
      <c r="BX256" s="9">
        <f>[1]monsters!$S256</f>
        <v>3.29</v>
      </c>
      <c r="BY256" s="9">
        <f>[1]monsters!$K256</f>
        <v>1.5</v>
      </c>
      <c r="BZ256" s="7">
        <f>[1]monsters!$D256</f>
        <v>4</v>
      </c>
      <c r="CA256" s="7">
        <f t="shared" si="185"/>
        <v>0.1</v>
      </c>
      <c r="CB256" s="7">
        <f t="shared" si="186"/>
        <v>282.37446464646462</v>
      </c>
      <c r="CC256" s="7">
        <f t="shared" si="187"/>
        <v>28.237446464646464</v>
      </c>
      <c r="CD256" s="7"/>
      <c r="CE256" s="7"/>
      <c r="CF256" s="7"/>
      <c r="CG256" s="7"/>
      <c r="CH256" s="7"/>
      <c r="CI256" s="7"/>
      <c r="CJ256" s="7"/>
      <c r="CK256" s="7"/>
      <c r="CL256" s="7"/>
      <c r="CM256" s="7"/>
      <c r="CN256" s="7"/>
      <c r="CO256" s="7"/>
      <c r="CP256" s="7">
        <v>0</v>
      </c>
      <c r="CR256" s="25"/>
      <c r="CS256" s="25"/>
      <c r="CT256" s="25"/>
      <c r="CU256" s="25"/>
      <c r="CV256" s="25"/>
      <c r="CW256" s="25"/>
      <c r="DP256" s="32"/>
      <c r="DQ256" s="32"/>
      <c r="DR256" s="32"/>
      <c r="DS256" s="32"/>
      <c r="DT256" s="32"/>
      <c r="DU256" s="32"/>
      <c r="DV256" s="32"/>
      <c r="DW256" s="32"/>
      <c r="DX256" s="32"/>
      <c r="DY256" s="32"/>
      <c r="DZ256" s="32"/>
      <c r="EA256" s="25"/>
      <c r="EB256" s="17"/>
      <c r="EC256" s="16">
        <v>5402092</v>
      </c>
      <c r="ED256" s="40" t="s">
        <v>214</v>
      </c>
      <c r="EE256" s="16">
        <v>2</v>
      </c>
    </row>
    <row r="257" spans="11:135" ht="13.5" customHeight="1">
      <c r="K257" s="2"/>
      <c r="L257" s="18"/>
      <c r="O257" s="25"/>
      <c r="AI257" s="28"/>
      <c r="AJ257" s="28"/>
      <c r="AK257" s="28"/>
      <c r="AL257" s="28"/>
      <c r="AM257" s="28"/>
      <c r="AN257" s="28"/>
      <c r="AO257" s="30"/>
      <c r="AP257" s="28"/>
      <c r="AS257" s="28"/>
      <c r="AT257" s="28"/>
      <c r="AU257" s="30"/>
      <c r="AV257" s="28"/>
      <c r="AW257" s="28"/>
      <c r="AX257" s="28"/>
      <c r="AZ257" s="28"/>
      <c r="BA257" s="16" t="e">
        <f t="shared" si="190"/>
        <v>#DIV/0!</v>
      </c>
      <c r="BC257" s="7" t="e">
        <f t="shared" si="184"/>
        <v>#N/A</v>
      </c>
      <c r="BR257" s="7">
        <v>5600075</v>
      </c>
      <c r="BS257" s="9">
        <f>[1]monsters!$N257</f>
        <v>268.8</v>
      </c>
      <c r="BT257" s="9">
        <f>[1]monsters!$O257</f>
        <v>26.88</v>
      </c>
      <c r="BU257" s="9">
        <f>[1]monsters!$P257</f>
        <v>1645.71</v>
      </c>
      <c r="BV257" s="9">
        <f>[1]monsters!$Q257</f>
        <v>164.57</v>
      </c>
      <c r="BW257" s="9">
        <f>[1]monsters!$R257</f>
        <v>33.6</v>
      </c>
      <c r="BX257" s="9">
        <f>[1]monsters!$S257</f>
        <v>3.36</v>
      </c>
      <c r="BY257" s="9">
        <f>[1]monsters!$K257</f>
        <v>1.5</v>
      </c>
      <c r="BZ257" s="7">
        <f>[1]monsters!$D257</f>
        <v>5</v>
      </c>
      <c r="CA257" s="7">
        <f t="shared" si="185"/>
        <v>0.1</v>
      </c>
      <c r="CB257" s="7">
        <f t="shared" si="186"/>
        <v>309.42711111111112</v>
      </c>
      <c r="CC257" s="7">
        <f t="shared" si="187"/>
        <v>30.942711111111112</v>
      </c>
      <c r="CD257" s="7"/>
      <c r="CE257" s="7"/>
      <c r="CF257" s="7"/>
      <c r="CG257" s="7"/>
      <c r="CH257" s="7"/>
      <c r="CI257" s="7"/>
      <c r="CJ257" s="7"/>
      <c r="CK257" s="7"/>
      <c r="CL257" s="7"/>
      <c r="CM257" s="7"/>
      <c r="CN257" s="7"/>
      <c r="CO257" s="7"/>
      <c r="CP257" s="7">
        <v>0</v>
      </c>
      <c r="CR257" s="25"/>
      <c r="CS257" s="25"/>
      <c r="CT257" s="25"/>
      <c r="CU257" s="25"/>
      <c r="CV257" s="25"/>
      <c r="CW257" s="25"/>
      <c r="DP257" s="32"/>
      <c r="DQ257" s="32"/>
      <c r="DR257" s="32"/>
      <c r="DS257" s="32"/>
      <c r="DT257" s="32"/>
      <c r="DU257" s="32"/>
      <c r="DV257" s="32"/>
      <c r="DW257" s="32"/>
      <c r="DX257" s="32"/>
      <c r="DY257" s="32"/>
      <c r="DZ257" s="32"/>
      <c r="EA257" s="25"/>
      <c r="EB257" s="17"/>
      <c r="EC257" s="16">
        <v>5500092</v>
      </c>
      <c r="ED257" s="40" t="s">
        <v>115</v>
      </c>
      <c r="EE257" s="16">
        <v>2</v>
      </c>
    </row>
    <row r="258" spans="11:135" ht="13.5" customHeight="1">
      <c r="K258" s="2"/>
      <c r="O258" s="25"/>
      <c r="AI258" s="28"/>
      <c r="AJ258" s="28"/>
      <c r="AK258" s="28"/>
      <c r="AL258" s="28"/>
      <c r="AM258" s="28"/>
      <c r="AN258" s="28"/>
      <c r="AO258" s="30"/>
      <c r="AP258" s="28"/>
      <c r="AS258" s="28"/>
      <c r="AT258" s="28"/>
      <c r="AU258" s="30"/>
      <c r="AV258" s="28"/>
      <c r="AW258" s="28"/>
      <c r="AX258" s="28"/>
      <c r="AZ258" s="28"/>
      <c r="BA258" s="16" t="e">
        <f t="shared" si="190"/>
        <v>#DIV/0!</v>
      </c>
      <c r="BC258" s="7" t="e">
        <f t="shared" si="184"/>
        <v>#N/A</v>
      </c>
      <c r="BR258" s="7">
        <v>5602075</v>
      </c>
      <c r="BS258" s="9">
        <f>[1]monsters!$N258</f>
        <v>250.88</v>
      </c>
      <c r="BT258" s="9">
        <f>[1]monsters!$O258</f>
        <v>25.09</v>
      </c>
      <c r="BU258" s="9">
        <f>[1]monsters!$P258</f>
        <v>1645.71</v>
      </c>
      <c r="BV258" s="9">
        <f>[1]monsters!$Q258</f>
        <v>164.57</v>
      </c>
      <c r="BW258" s="9">
        <f>[1]monsters!$R258</f>
        <v>31.36</v>
      </c>
      <c r="BX258" s="9">
        <f>[1]monsters!$S258</f>
        <v>3.14</v>
      </c>
      <c r="BY258" s="9">
        <f>[1]monsters!$K258</f>
        <v>1.4000000000000001</v>
      </c>
      <c r="BZ258" s="7">
        <f>[1]monsters!$D258</f>
        <v>5</v>
      </c>
      <c r="CA258" s="7">
        <f t="shared" si="185"/>
        <v>0.1</v>
      </c>
      <c r="CB258" s="7">
        <f t="shared" si="186"/>
        <v>292.49271111111108</v>
      </c>
      <c r="CC258" s="7">
        <f t="shared" si="187"/>
        <v>29.24927111111111</v>
      </c>
      <c r="CD258" s="7"/>
      <c r="CE258" s="7"/>
      <c r="CF258" s="7"/>
      <c r="CG258" s="7"/>
      <c r="CH258" s="7"/>
      <c r="CI258" s="7"/>
      <c r="CJ258" s="7"/>
      <c r="CK258" s="7"/>
      <c r="CL258" s="7"/>
      <c r="CM258" s="7"/>
      <c r="CN258" s="7"/>
      <c r="CO258" s="7"/>
      <c r="CP258" s="7">
        <v>1</v>
      </c>
      <c r="CR258" s="25"/>
      <c r="CS258" s="25"/>
      <c r="CT258" s="25"/>
      <c r="CU258" s="25"/>
      <c r="CV258" s="25"/>
      <c r="CW258" s="25"/>
      <c r="DP258" s="32"/>
      <c r="DQ258" s="32"/>
      <c r="DR258" s="32"/>
      <c r="DS258" s="32"/>
      <c r="DT258" s="32"/>
      <c r="DU258" s="32"/>
      <c r="DV258" s="32"/>
      <c r="DW258" s="32"/>
      <c r="DX258" s="32"/>
      <c r="DY258" s="32"/>
      <c r="DZ258" s="32"/>
      <c r="EA258" s="25"/>
      <c r="EB258" s="17"/>
      <c r="EC258" s="16">
        <v>5502092</v>
      </c>
      <c r="ED258" s="40" t="s">
        <v>215</v>
      </c>
      <c r="EE258" s="16">
        <v>2</v>
      </c>
    </row>
    <row r="259" spans="11:135" ht="13.5" customHeight="1">
      <c r="K259" s="2"/>
      <c r="L259" s="18"/>
      <c r="O259" s="25"/>
      <c r="AI259" s="28"/>
      <c r="AJ259" s="28"/>
      <c r="AK259" s="28"/>
      <c r="AL259" s="28"/>
      <c r="AM259" s="28"/>
      <c r="AN259" s="28"/>
      <c r="AO259" s="30"/>
      <c r="AP259" s="28"/>
      <c r="AS259" s="28"/>
      <c r="AT259" s="28"/>
      <c r="AU259" s="30"/>
      <c r="AV259" s="28"/>
      <c r="AW259" s="28"/>
      <c r="AX259" s="28"/>
      <c r="AZ259" s="28"/>
      <c r="BA259" s="16" t="e">
        <f t="shared" si="190"/>
        <v>#DIV/0!</v>
      </c>
      <c r="BC259" s="7" t="e">
        <f t="shared" si="184"/>
        <v>#N/A</v>
      </c>
      <c r="BR259" s="7">
        <v>5200081</v>
      </c>
      <c r="BS259" s="9">
        <f>[1]monsters!$N259</f>
        <v>297.60000000000002</v>
      </c>
      <c r="BT259" s="9">
        <f>[1]monsters!$O259</f>
        <v>29.76</v>
      </c>
      <c r="BU259" s="9">
        <f>[1]monsters!$P259</f>
        <v>1486.45</v>
      </c>
      <c r="BV259" s="9">
        <f>[1]monsters!$Q259</f>
        <v>148.65</v>
      </c>
      <c r="BW259" s="9">
        <f>[1]monsters!$R259</f>
        <v>29.76</v>
      </c>
      <c r="BX259" s="9">
        <f>[1]monsters!$S259</f>
        <v>2.98</v>
      </c>
      <c r="BY259" s="9">
        <f>[1]monsters!$K259</f>
        <v>1.5</v>
      </c>
      <c r="BZ259" s="7">
        <f>[1]monsters!$D259</f>
        <v>6</v>
      </c>
      <c r="CA259" s="7">
        <f t="shared" si="185"/>
        <v>0.1</v>
      </c>
      <c r="CB259" s="7">
        <f t="shared" si="186"/>
        <v>331.28082154882156</v>
      </c>
      <c r="CC259" s="7">
        <f t="shared" si="187"/>
        <v>33.128082154882158</v>
      </c>
      <c r="CD259" s="7"/>
      <c r="CE259" s="7"/>
      <c r="CF259" s="7"/>
      <c r="CG259" s="7"/>
      <c r="CH259" s="7"/>
      <c r="CI259" s="7"/>
      <c r="CJ259" s="7"/>
      <c r="CK259" s="7"/>
      <c r="CL259" s="7"/>
      <c r="CM259" s="7"/>
      <c r="CN259" s="7"/>
      <c r="CO259" s="7"/>
      <c r="CP259" s="7">
        <v>0</v>
      </c>
      <c r="CR259" s="25"/>
      <c r="CS259" s="25"/>
      <c r="CT259" s="25"/>
      <c r="CU259" s="25"/>
      <c r="CV259" s="25"/>
      <c r="CW259" s="25"/>
      <c r="DP259" s="32"/>
      <c r="DQ259" s="32"/>
      <c r="DR259" s="32"/>
      <c r="DS259" s="32"/>
      <c r="DT259" s="32"/>
      <c r="DU259" s="32"/>
      <c r="DV259" s="32"/>
      <c r="DW259" s="32"/>
      <c r="DX259" s="32"/>
      <c r="DY259" s="32"/>
      <c r="DZ259" s="32"/>
      <c r="EA259" s="25"/>
      <c r="EB259" s="44"/>
      <c r="EC259" s="16">
        <v>5601092</v>
      </c>
      <c r="ED259" s="40" t="s">
        <v>216</v>
      </c>
      <c r="EE259" s="16">
        <v>2</v>
      </c>
    </row>
    <row r="260" spans="11:135" ht="13.5" customHeight="1">
      <c r="K260" s="2"/>
      <c r="L260" s="18"/>
      <c r="O260" s="25"/>
      <c r="AI260" s="28"/>
      <c r="AJ260" s="28"/>
      <c r="AK260" s="28"/>
      <c r="AL260" s="28"/>
      <c r="AM260" s="28"/>
      <c r="AN260" s="28"/>
      <c r="AO260" s="30"/>
      <c r="AP260" s="28"/>
      <c r="AS260" s="28"/>
      <c r="AT260" s="28"/>
      <c r="AU260" s="30"/>
      <c r="AV260" s="28"/>
      <c r="AW260" s="28"/>
      <c r="AX260" s="28"/>
      <c r="AZ260" s="28"/>
      <c r="BA260" s="16" t="e">
        <f t="shared" si="190"/>
        <v>#DIV/0!</v>
      </c>
      <c r="BC260" s="7" t="e">
        <f t="shared" si="184"/>
        <v>#N/A</v>
      </c>
      <c r="BR260" s="7">
        <v>5201081</v>
      </c>
      <c r="BS260" s="9">
        <f>[1]monsters!$N260</f>
        <v>192</v>
      </c>
      <c r="BT260" s="9">
        <f>[1]monsters!$O260</f>
        <v>19.2</v>
      </c>
      <c r="BU260" s="9">
        <f>[1]monsters!$P260</f>
        <v>2304</v>
      </c>
      <c r="BV260" s="9">
        <f>[1]monsters!$Q260</f>
        <v>230.4</v>
      </c>
      <c r="BW260" s="9">
        <f>[1]monsters!$R260</f>
        <v>48</v>
      </c>
      <c r="BX260" s="9">
        <f>[1]monsters!$S260</f>
        <v>4.8</v>
      </c>
      <c r="BY260" s="9">
        <f>[1]monsters!$K260</f>
        <v>1.5</v>
      </c>
      <c r="BZ260" s="7">
        <f>[1]monsters!$D260</f>
        <v>2</v>
      </c>
      <c r="CA260" s="7">
        <f t="shared" si="185"/>
        <v>0.1</v>
      </c>
      <c r="CB260" s="7">
        <f t="shared" si="186"/>
        <v>259.01575757575756</v>
      </c>
      <c r="CC260" s="7">
        <f t="shared" si="187"/>
        <v>25.901575757575756</v>
      </c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  <c r="CO260" s="7"/>
      <c r="CP260" s="7">
        <v>0</v>
      </c>
      <c r="CR260" s="25"/>
      <c r="CS260" s="25"/>
      <c r="CT260" s="25"/>
      <c r="CU260" s="25"/>
      <c r="CV260" s="25"/>
      <c r="CW260" s="25"/>
      <c r="DP260" s="13"/>
      <c r="DQ260" s="13"/>
      <c r="DR260" s="13"/>
      <c r="DS260" s="32"/>
      <c r="DT260" s="32"/>
      <c r="DU260" s="32"/>
      <c r="DV260" s="32"/>
      <c r="DW260" s="32"/>
      <c r="DX260" s="32"/>
      <c r="DY260" s="32"/>
      <c r="DZ260" s="32"/>
      <c r="EA260" s="25"/>
      <c r="EB260" s="45"/>
      <c r="EC260" s="16">
        <v>5200093</v>
      </c>
      <c r="ED260" s="40" t="s">
        <v>119</v>
      </c>
      <c r="EE260" s="16">
        <v>1</v>
      </c>
    </row>
    <row r="261" spans="11:135" ht="13.5" customHeight="1">
      <c r="K261" s="2"/>
      <c r="L261" s="18"/>
      <c r="O261" s="25"/>
      <c r="AI261" s="28"/>
      <c r="AJ261" s="28"/>
      <c r="AK261" s="28"/>
      <c r="AL261" s="28"/>
      <c r="AM261" s="28"/>
      <c r="AN261" s="28"/>
      <c r="AO261" s="30"/>
      <c r="AP261" s="28"/>
      <c r="AS261" s="28"/>
      <c r="AT261" s="28"/>
      <c r="AU261" s="30"/>
      <c r="AV261" s="28"/>
      <c r="AW261" s="28"/>
      <c r="AX261" s="28"/>
      <c r="AZ261" s="28"/>
      <c r="BA261" s="16" t="e">
        <f t="shared" si="190"/>
        <v>#DIV/0!</v>
      </c>
      <c r="BC261" s="7" t="e">
        <f t="shared" ref="BC261:BC324" si="191">FLOOR(POWER(((3000*1.5/0.9/1.05)/(96*INDEX($BD$4:$BO$4,MATCH(W261,$BD$3:$BO$3,0))*8*INDEX($BD$4:$BO$4,MATCH(W261,$BD$3:$BO$3,0)))*AI261/IF(AND(W261&gt;=2,W261&lt;4),1.2,IF(AND(W261&gt;=4,W261&lt;6),1.4,IF(W261&gt;=6,1.6,1)))),1/2)-10,1)</f>
        <v>#N/A</v>
      </c>
      <c r="BR261" s="7">
        <v>5300081</v>
      </c>
      <c r="BS261" s="9">
        <f>[1]monsters!$N261</f>
        <v>184.32</v>
      </c>
      <c r="BT261" s="9">
        <f>[1]monsters!$O261</f>
        <v>18.43</v>
      </c>
      <c r="BU261" s="9">
        <f>[1]monsters!$P261</f>
        <v>2880</v>
      </c>
      <c r="BV261" s="9">
        <f>[1]monsters!$Q261</f>
        <v>288</v>
      </c>
      <c r="BW261" s="9">
        <f>[1]monsters!$R261</f>
        <v>61.44</v>
      </c>
      <c r="BX261" s="9">
        <f>[1]monsters!$S261</f>
        <v>6.14</v>
      </c>
      <c r="BY261" s="9">
        <f>[1]monsters!$K261</f>
        <v>1.8</v>
      </c>
      <c r="BZ261" s="7">
        <f>[1]monsters!$D261</f>
        <v>2</v>
      </c>
      <c r="CA261" s="7">
        <f t="shared" ref="CA261:CA324" si="192">INDEX($CH$5:$CH$10,MATCH($BZ261,$CG$5:$CG$10))</f>
        <v>0.1</v>
      </c>
      <c r="CB261" s="7">
        <f t="shared" ref="CB261:CB324" si="193">(BU261/33/(1-CA261)/(1-0)+BS261*(1+0.5*0.1)*0.9)</f>
        <v>271.15209696969697</v>
      </c>
      <c r="CC261" s="7">
        <f t="shared" ref="CC261:CC324" si="194">(BU261/33/(1-CA261)/(1-0)+BS261*(1+0.5*0.1)*0.9)*0.1</f>
        <v>27.1152096969697</v>
      </c>
      <c r="CD261" s="7"/>
      <c r="CE261" s="7"/>
      <c r="CF261" s="7"/>
      <c r="CG261" s="7"/>
      <c r="CH261" s="7"/>
      <c r="CI261" s="7"/>
      <c r="CJ261" s="7"/>
      <c r="CK261" s="7"/>
      <c r="CL261" s="7"/>
      <c r="CM261" s="7"/>
      <c r="CN261" s="7"/>
      <c r="CO261" s="7"/>
      <c r="CP261" s="7">
        <v>0</v>
      </c>
      <c r="CR261" s="25"/>
      <c r="CS261" s="25"/>
      <c r="CT261" s="25"/>
      <c r="CU261" s="25"/>
      <c r="CV261" s="25"/>
      <c r="CW261" s="25"/>
      <c r="DP261" s="32"/>
      <c r="DQ261" s="32"/>
      <c r="DR261" s="32"/>
      <c r="DS261" s="32"/>
      <c r="DT261" s="32"/>
      <c r="DU261" s="32"/>
      <c r="DV261" s="32"/>
      <c r="DW261" s="32"/>
      <c r="DX261" s="32"/>
      <c r="DY261" s="32"/>
      <c r="DZ261" s="32"/>
      <c r="EA261" s="25"/>
      <c r="EB261" s="45"/>
      <c r="EC261" s="16">
        <v>5201093</v>
      </c>
      <c r="ED261" s="40" t="s">
        <v>217</v>
      </c>
      <c r="EE261" s="16">
        <v>1</v>
      </c>
    </row>
    <row r="262" spans="11:135" ht="13.5" customHeight="1">
      <c r="K262" s="2"/>
      <c r="L262" s="18"/>
      <c r="O262" s="25"/>
      <c r="AI262" s="28"/>
      <c r="AJ262" s="28"/>
      <c r="AK262" s="28"/>
      <c r="AL262" s="28"/>
      <c r="AM262" s="28"/>
      <c r="AN262" s="28"/>
      <c r="AO262" s="30"/>
      <c r="AP262" s="28"/>
      <c r="AS262" s="28"/>
      <c r="AT262" s="28"/>
      <c r="AU262" s="30"/>
      <c r="AV262" s="28"/>
      <c r="AW262" s="28"/>
      <c r="AX262" s="28"/>
      <c r="AZ262" s="28"/>
      <c r="BA262" s="16" t="e">
        <f t="shared" si="190"/>
        <v>#DIV/0!</v>
      </c>
      <c r="BC262" s="7" t="e">
        <f t="shared" si="191"/>
        <v>#N/A</v>
      </c>
      <c r="BR262" s="7">
        <v>5301081</v>
      </c>
      <c r="BS262" s="9">
        <f>[1]monsters!$N262</f>
        <v>207.36</v>
      </c>
      <c r="BT262" s="9">
        <f>[1]monsters!$O262</f>
        <v>20.74</v>
      </c>
      <c r="BU262" s="9">
        <f>[1]monsters!$P262</f>
        <v>2560</v>
      </c>
      <c r="BV262" s="9">
        <f>[1]monsters!$Q262</f>
        <v>256</v>
      </c>
      <c r="BW262" s="9">
        <f>[1]monsters!$R262</f>
        <v>41.47</v>
      </c>
      <c r="BX262" s="9">
        <f>[1]monsters!$S262</f>
        <v>4.1500000000000004</v>
      </c>
      <c r="BY262" s="9">
        <f>[1]monsters!$K262</f>
        <v>1.8</v>
      </c>
      <c r="BZ262" s="7">
        <f>[1]monsters!$D262</f>
        <v>2</v>
      </c>
      <c r="CA262" s="7">
        <f t="shared" si="192"/>
        <v>0.1</v>
      </c>
      <c r="CB262" s="7">
        <f t="shared" si="193"/>
        <v>282.15048619528625</v>
      </c>
      <c r="CC262" s="7">
        <f t="shared" si="194"/>
        <v>28.215048619528627</v>
      </c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>
        <v>0</v>
      </c>
      <c r="CR262" s="25"/>
      <c r="CS262" s="25"/>
      <c r="CT262" s="25"/>
      <c r="CU262" s="25"/>
      <c r="CV262" s="25"/>
      <c r="CW262" s="25"/>
      <c r="DP262" s="32"/>
      <c r="DQ262" s="32"/>
      <c r="DR262" s="32"/>
      <c r="DS262" s="32"/>
      <c r="DT262" s="32"/>
      <c r="DU262" s="32"/>
      <c r="DV262" s="32"/>
      <c r="DW262" s="32"/>
      <c r="DX262" s="32"/>
      <c r="DY262" s="32"/>
      <c r="DZ262" s="32"/>
      <c r="EA262" s="25"/>
      <c r="EB262" s="45"/>
      <c r="EC262" s="16">
        <v>5202093</v>
      </c>
      <c r="ED262" s="40" t="s">
        <v>220</v>
      </c>
      <c r="EE262" s="16">
        <v>1</v>
      </c>
    </row>
    <row r="263" spans="11:135" ht="13.5" customHeight="1">
      <c r="K263" s="2"/>
      <c r="O263" s="25"/>
      <c r="AI263" s="28"/>
      <c r="AJ263" s="28"/>
      <c r="AK263" s="28"/>
      <c r="AL263" s="28"/>
      <c r="AM263" s="28"/>
      <c r="AN263" s="28"/>
      <c r="AO263" s="30"/>
      <c r="AP263" s="28"/>
      <c r="AS263" s="28"/>
      <c r="AT263" s="28"/>
      <c r="AU263" s="30"/>
      <c r="AV263" s="28"/>
      <c r="AW263" s="28"/>
      <c r="AX263" s="28"/>
      <c r="AZ263" s="28"/>
      <c r="BA263" s="16" t="e">
        <f t="shared" si="190"/>
        <v>#DIV/0!</v>
      </c>
      <c r="BC263" s="7" t="e">
        <f t="shared" si="191"/>
        <v>#N/A</v>
      </c>
      <c r="BR263" s="7">
        <v>5401081</v>
      </c>
      <c r="BS263" s="9">
        <f>[1]monsters!$N263</f>
        <v>138.24</v>
      </c>
      <c r="BT263" s="9">
        <f>[1]monsters!$O263</f>
        <v>13.82</v>
      </c>
      <c r="BU263" s="9">
        <f>[1]monsters!$P263</f>
        <v>2560</v>
      </c>
      <c r="BV263" s="9">
        <f>[1]monsters!$Q263</f>
        <v>256</v>
      </c>
      <c r="BW263" s="9">
        <f>[1]monsters!$R263</f>
        <v>27.65</v>
      </c>
      <c r="BX263" s="9">
        <f>[1]monsters!$S263</f>
        <v>2.76</v>
      </c>
      <c r="BY263" s="9">
        <f>[1]monsters!$K263</f>
        <v>1.2</v>
      </c>
      <c r="BZ263" s="7">
        <f>[1]monsters!$D263</f>
        <v>3</v>
      </c>
      <c r="CA263" s="7">
        <f t="shared" si="192"/>
        <v>0.1</v>
      </c>
      <c r="CB263" s="7">
        <f t="shared" si="193"/>
        <v>216.83208619528622</v>
      </c>
      <c r="CC263" s="7">
        <f t="shared" si="194"/>
        <v>21.683208619528624</v>
      </c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  <c r="CO263" s="7"/>
      <c r="CP263" s="7">
        <v>1</v>
      </c>
      <c r="CR263" s="25"/>
      <c r="CS263" s="25"/>
      <c r="CT263" s="25"/>
      <c r="CU263" s="25"/>
      <c r="CV263" s="25"/>
      <c r="CW263" s="25"/>
      <c r="DP263" s="32"/>
      <c r="DQ263" s="32"/>
      <c r="DR263" s="32"/>
      <c r="DS263" s="32"/>
      <c r="DT263" s="32"/>
      <c r="DU263" s="32"/>
      <c r="DV263" s="32"/>
      <c r="DW263" s="32"/>
      <c r="DX263" s="32"/>
      <c r="DY263" s="32"/>
      <c r="DZ263" s="32"/>
      <c r="EA263" s="25"/>
      <c r="EB263" s="45"/>
      <c r="EC263" s="16">
        <v>5301093</v>
      </c>
      <c r="ED263" s="40" t="s">
        <v>218</v>
      </c>
      <c r="EE263" s="16">
        <v>1</v>
      </c>
    </row>
    <row r="264" spans="11:135" ht="13.5" customHeight="1">
      <c r="K264" s="2"/>
      <c r="L264" s="18"/>
      <c r="O264" s="25"/>
      <c r="AI264" s="28"/>
      <c r="AJ264" s="28"/>
      <c r="AK264" s="28"/>
      <c r="AL264" s="28"/>
      <c r="AM264" s="28"/>
      <c r="AN264" s="28"/>
      <c r="AO264" s="30"/>
      <c r="AP264" s="28"/>
      <c r="AS264" s="28"/>
      <c r="AT264" s="28"/>
      <c r="AU264" s="30"/>
      <c r="AV264" s="28"/>
      <c r="AW264" s="28"/>
      <c r="AX264" s="28"/>
      <c r="AZ264" s="28"/>
      <c r="BA264" s="16" t="e">
        <f t="shared" si="190"/>
        <v>#DIV/0!</v>
      </c>
      <c r="BC264" s="7" t="e">
        <f t="shared" si="191"/>
        <v>#N/A</v>
      </c>
      <c r="BR264" s="7">
        <v>5402081</v>
      </c>
      <c r="BS264" s="9">
        <f>[1]monsters!$N264</f>
        <v>245.76</v>
      </c>
      <c r="BT264" s="9">
        <f>[1]monsters!$O264</f>
        <v>24.58</v>
      </c>
      <c r="BU264" s="9">
        <f>[1]monsters!$P264</f>
        <v>1920</v>
      </c>
      <c r="BV264" s="9">
        <f>[1]monsters!$Q264</f>
        <v>192</v>
      </c>
      <c r="BW264" s="9">
        <f>[1]monsters!$R264</f>
        <v>35.11</v>
      </c>
      <c r="BX264" s="9">
        <f>[1]monsters!$S264</f>
        <v>3.51</v>
      </c>
      <c r="BY264" s="9">
        <f>[1]monsters!$K264</f>
        <v>1.6</v>
      </c>
      <c r="BZ264" s="7">
        <f>[1]monsters!$D264</f>
        <v>4</v>
      </c>
      <c r="CA264" s="7">
        <f t="shared" si="192"/>
        <v>0.1</v>
      </c>
      <c r="CB264" s="7">
        <f t="shared" si="193"/>
        <v>296.88966464646467</v>
      </c>
      <c r="CC264" s="7">
        <f t="shared" si="194"/>
        <v>29.688966464646469</v>
      </c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>
        <v>0</v>
      </c>
      <c r="CR264" s="25"/>
      <c r="CS264" s="25"/>
      <c r="CT264" s="25"/>
      <c r="CU264" s="25"/>
      <c r="CV264" s="25"/>
      <c r="CW264" s="25"/>
      <c r="DP264" s="32"/>
      <c r="DQ264" s="32"/>
      <c r="DR264" s="32"/>
      <c r="DS264" s="32"/>
      <c r="DT264" s="32"/>
      <c r="DU264" s="32"/>
      <c r="DV264" s="32"/>
      <c r="DW264" s="32"/>
      <c r="DX264" s="32"/>
      <c r="DY264" s="32"/>
      <c r="DZ264" s="32"/>
      <c r="EA264" s="25"/>
      <c r="EB264" s="45"/>
      <c r="EC264" s="16">
        <v>5401093</v>
      </c>
      <c r="ED264" s="40" t="s">
        <v>223</v>
      </c>
      <c r="EE264" s="16">
        <v>2</v>
      </c>
    </row>
    <row r="265" spans="11:135" ht="13.5" customHeight="1">
      <c r="K265" s="2"/>
      <c r="L265" s="18"/>
      <c r="O265" s="25"/>
      <c r="AI265" s="28"/>
      <c r="AJ265" s="28"/>
      <c r="AK265" s="28"/>
      <c r="AL265" s="28"/>
      <c r="AM265" s="28"/>
      <c r="AN265" s="28"/>
      <c r="AO265" s="30"/>
      <c r="AP265" s="28"/>
      <c r="AS265" s="28"/>
      <c r="AT265" s="28"/>
      <c r="AU265" s="30"/>
      <c r="AV265" s="28"/>
      <c r="AW265" s="28"/>
      <c r="AX265" s="28"/>
      <c r="AZ265" s="28"/>
      <c r="BA265" s="16" t="e">
        <f t="shared" si="190"/>
        <v>#DIV/0!</v>
      </c>
      <c r="BC265" s="7" t="e">
        <f t="shared" si="191"/>
        <v>#N/A</v>
      </c>
      <c r="BR265" s="7">
        <v>5500081</v>
      </c>
      <c r="BS265" s="9">
        <f>[1]monsters!$N265</f>
        <v>230.4</v>
      </c>
      <c r="BT265" s="9">
        <f>[1]monsters!$O265</f>
        <v>23.04</v>
      </c>
      <c r="BU265" s="9">
        <f>[1]monsters!$P265</f>
        <v>1920</v>
      </c>
      <c r="BV265" s="9">
        <f>[1]monsters!$Q265</f>
        <v>192</v>
      </c>
      <c r="BW265" s="9">
        <f>[1]monsters!$R265</f>
        <v>32.909999999999997</v>
      </c>
      <c r="BX265" s="9">
        <f>[1]monsters!$S265</f>
        <v>3.29</v>
      </c>
      <c r="BY265" s="9">
        <f>[1]monsters!$K265</f>
        <v>1.5</v>
      </c>
      <c r="BZ265" s="7">
        <f>[1]monsters!$D265</f>
        <v>4</v>
      </c>
      <c r="CA265" s="7">
        <f t="shared" si="192"/>
        <v>0.1</v>
      </c>
      <c r="CB265" s="7">
        <f t="shared" si="193"/>
        <v>282.37446464646462</v>
      </c>
      <c r="CC265" s="7">
        <f t="shared" si="194"/>
        <v>28.237446464646464</v>
      </c>
      <c r="CD265" s="7"/>
      <c r="CE265" s="7"/>
      <c r="CF265" s="7"/>
      <c r="CG265" s="7"/>
      <c r="CH265" s="7"/>
      <c r="CI265" s="7"/>
      <c r="CJ265" s="7"/>
      <c r="CK265" s="7"/>
      <c r="CL265" s="7"/>
      <c r="CM265" s="7"/>
      <c r="CN265" s="7"/>
      <c r="CO265" s="7"/>
      <c r="CP265" s="7">
        <v>0</v>
      </c>
      <c r="CR265" s="25"/>
      <c r="CS265" s="25"/>
      <c r="CT265" s="25"/>
      <c r="CU265" s="25"/>
      <c r="CV265" s="25"/>
      <c r="CW265" s="25"/>
      <c r="DP265" s="32"/>
      <c r="DQ265" s="32"/>
      <c r="DR265" s="32"/>
      <c r="DS265" s="32"/>
      <c r="DT265" s="32"/>
      <c r="DU265" s="32"/>
      <c r="DV265" s="32"/>
      <c r="DW265" s="32"/>
      <c r="DX265" s="32"/>
      <c r="DY265" s="32"/>
      <c r="DZ265" s="32"/>
      <c r="EA265" s="25"/>
      <c r="EB265" s="45"/>
      <c r="EC265" s="16">
        <v>5402093</v>
      </c>
      <c r="ED265" s="40" t="s">
        <v>124</v>
      </c>
      <c r="EE265" s="16">
        <v>2</v>
      </c>
    </row>
    <row r="266" spans="11:135" ht="13.5" customHeight="1">
      <c r="K266" s="2"/>
      <c r="L266" s="18"/>
      <c r="O266" s="25"/>
      <c r="AI266" s="28"/>
      <c r="AJ266" s="28"/>
      <c r="AK266" s="28"/>
      <c r="AL266" s="28"/>
      <c r="AM266" s="28"/>
      <c r="AN266" s="28"/>
      <c r="AO266" s="30"/>
      <c r="AP266" s="28"/>
      <c r="AS266" s="28"/>
      <c r="AT266" s="28"/>
      <c r="AU266" s="30"/>
      <c r="AV266" s="28"/>
      <c r="AW266" s="28"/>
      <c r="AX266" s="28"/>
      <c r="AZ266" s="28"/>
      <c r="BA266" s="16" t="e">
        <f t="shared" si="190"/>
        <v>#DIV/0!</v>
      </c>
      <c r="BC266" s="7" t="e">
        <f t="shared" si="191"/>
        <v>#N/A</v>
      </c>
      <c r="BR266" s="7">
        <v>5501081</v>
      </c>
      <c r="BS266" s="9">
        <f>[1]monsters!$N266</f>
        <v>268.8</v>
      </c>
      <c r="BT266" s="9">
        <f>[1]monsters!$O266</f>
        <v>26.88</v>
      </c>
      <c r="BU266" s="9">
        <f>[1]monsters!$P266</f>
        <v>1645.71</v>
      </c>
      <c r="BV266" s="9">
        <f>[1]monsters!$Q266</f>
        <v>164.57</v>
      </c>
      <c r="BW266" s="9">
        <f>[1]monsters!$R266</f>
        <v>33.6</v>
      </c>
      <c r="BX266" s="9">
        <f>[1]monsters!$S266</f>
        <v>3.36</v>
      </c>
      <c r="BY266" s="9">
        <f>[1]monsters!$K266</f>
        <v>1.5</v>
      </c>
      <c r="BZ266" s="7">
        <f>[1]monsters!$D266</f>
        <v>5</v>
      </c>
      <c r="CA266" s="7">
        <f t="shared" si="192"/>
        <v>0.1</v>
      </c>
      <c r="CB266" s="7">
        <f t="shared" si="193"/>
        <v>309.42711111111112</v>
      </c>
      <c r="CC266" s="7">
        <f t="shared" si="194"/>
        <v>30.942711111111112</v>
      </c>
      <c r="CD266" s="7"/>
      <c r="CE266" s="7"/>
      <c r="CF266" s="7"/>
      <c r="CG266" s="7"/>
      <c r="CH266" s="7"/>
      <c r="CI266" s="7"/>
      <c r="CJ266" s="7"/>
      <c r="CK266" s="7"/>
      <c r="CL266" s="7"/>
      <c r="CM266" s="7"/>
      <c r="CN266" s="7"/>
      <c r="CO266" s="7"/>
      <c r="CP266" s="7">
        <v>0</v>
      </c>
      <c r="CR266" s="25"/>
      <c r="CS266" s="25"/>
      <c r="CT266" s="25"/>
      <c r="CU266" s="25"/>
      <c r="CV266" s="25"/>
      <c r="CW266" s="25"/>
      <c r="DP266" s="32"/>
      <c r="DQ266" s="32"/>
      <c r="DR266" s="32"/>
      <c r="DS266" s="32"/>
      <c r="DT266" s="32"/>
      <c r="DU266" s="32"/>
      <c r="DV266" s="32"/>
      <c r="DW266" s="32"/>
      <c r="DX266" s="32"/>
      <c r="DY266" s="32"/>
      <c r="DZ266" s="32"/>
      <c r="EA266" s="25"/>
      <c r="EB266" s="45"/>
      <c r="EC266" s="16">
        <v>5500093</v>
      </c>
      <c r="ED266" s="40" t="s">
        <v>219</v>
      </c>
      <c r="EE266" s="16">
        <v>2</v>
      </c>
    </row>
    <row r="267" spans="11:135" ht="13.5" customHeight="1">
      <c r="K267" s="2"/>
      <c r="L267" s="18"/>
      <c r="O267" s="25"/>
      <c r="AI267" s="28"/>
      <c r="AJ267" s="28"/>
      <c r="AK267" s="28"/>
      <c r="AL267" s="28"/>
      <c r="AM267" s="28"/>
      <c r="AN267" s="28"/>
      <c r="AO267" s="30"/>
      <c r="AP267" s="28"/>
      <c r="AS267" s="28"/>
      <c r="AT267" s="28"/>
      <c r="AU267" s="30"/>
      <c r="AV267" s="28"/>
      <c r="AW267" s="28"/>
      <c r="AX267" s="28"/>
      <c r="AZ267" s="28"/>
      <c r="BA267" s="16" t="e">
        <f t="shared" si="190"/>
        <v>#DIV/0!</v>
      </c>
      <c r="BC267" s="7" t="e">
        <f t="shared" si="191"/>
        <v>#N/A</v>
      </c>
      <c r="BR267" s="7">
        <v>5600081</v>
      </c>
      <c r="BS267" s="9">
        <f>[1]monsters!$N267</f>
        <v>250.88</v>
      </c>
      <c r="BT267" s="9">
        <f>[1]monsters!$O267</f>
        <v>25.09</v>
      </c>
      <c r="BU267" s="9">
        <f>[1]monsters!$P267</f>
        <v>1645.71</v>
      </c>
      <c r="BV267" s="9">
        <f>[1]monsters!$Q267</f>
        <v>164.57</v>
      </c>
      <c r="BW267" s="9">
        <f>[1]monsters!$R267</f>
        <v>31.36</v>
      </c>
      <c r="BX267" s="9">
        <f>[1]monsters!$S267</f>
        <v>3.14</v>
      </c>
      <c r="BY267" s="9">
        <f>[1]monsters!$K267</f>
        <v>1.4000000000000001</v>
      </c>
      <c r="BZ267" s="7">
        <f>[1]monsters!$D267</f>
        <v>5</v>
      </c>
      <c r="CA267" s="7">
        <f t="shared" si="192"/>
        <v>0.1</v>
      </c>
      <c r="CB267" s="7">
        <f t="shared" si="193"/>
        <v>292.49271111111108</v>
      </c>
      <c r="CC267" s="7">
        <f t="shared" si="194"/>
        <v>29.24927111111111</v>
      </c>
      <c r="CD267" s="7"/>
      <c r="CE267" s="7"/>
      <c r="CF267" s="7"/>
      <c r="CG267" s="7"/>
      <c r="CH267" s="7"/>
      <c r="CI267" s="7"/>
      <c r="CJ267" s="7"/>
      <c r="CK267" s="7"/>
      <c r="CL267" s="7"/>
      <c r="CM267" s="7"/>
      <c r="CN267" s="7"/>
      <c r="CO267" s="7"/>
      <c r="CP267" s="7">
        <v>0</v>
      </c>
      <c r="CR267" s="25"/>
      <c r="CS267" s="25"/>
      <c r="CT267" s="25"/>
      <c r="CU267" s="25"/>
      <c r="CV267" s="25"/>
      <c r="CW267" s="25"/>
      <c r="DP267" s="32"/>
      <c r="DQ267" s="32"/>
      <c r="DR267" s="32"/>
      <c r="DS267" s="32"/>
      <c r="DT267" s="32"/>
      <c r="DU267" s="32"/>
      <c r="DV267" s="32"/>
      <c r="DW267" s="32"/>
      <c r="DX267" s="32"/>
      <c r="DY267" s="32"/>
      <c r="DZ267" s="32"/>
      <c r="EA267" s="25"/>
      <c r="EB267" s="45"/>
      <c r="EC267" s="16">
        <v>5502093</v>
      </c>
      <c r="ED267" s="40" t="s">
        <v>227</v>
      </c>
      <c r="EE267" s="16">
        <v>2</v>
      </c>
    </row>
    <row r="268" spans="11:135" ht="13.5" customHeight="1">
      <c r="K268" s="2"/>
      <c r="O268" s="25"/>
      <c r="AI268" s="28"/>
      <c r="AJ268" s="28"/>
      <c r="AK268" s="28"/>
      <c r="AL268" s="28"/>
      <c r="AM268" s="28"/>
      <c r="AN268" s="28"/>
      <c r="AO268" s="30"/>
      <c r="AP268" s="28"/>
      <c r="AS268" s="28"/>
      <c r="AT268" s="28"/>
      <c r="AU268" s="30"/>
      <c r="AV268" s="28"/>
      <c r="AW268" s="28"/>
      <c r="AX268" s="28"/>
      <c r="AZ268" s="28"/>
      <c r="BA268" s="16" t="e">
        <f t="shared" si="190"/>
        <v>#DIV/0!</v>
      </c>
      <c r="BC268" s="7" t="e">
        <f t="shared" si="191"/>
        <v>#N/A</v>
      </c>
      <c r="BR268" s="7">
        <v>5601081</v>
      </c>
      <c r="BS268" s="9">
        <f>[1]monsters!$N268</f>
        <v>297.60000000000002</v>
      </c>
      <c r="BT268" s="9">
        <f>[1]monsters!$O268</f>
        <v>29.76</v>
      </c>
      <c r="BU268" s="9">
        <f>[1]monsters!$P268</f>
        <v>1486.45</v>
      </c>
      <c r="BV268" s="9">
        <f>[1]monsters!$Q268</f>
        <v>148.65</v>
      </c>
      <c r="BW268" s="9">
        <f>[1]monsters!$R268</f>
        <v>29.76</v>
      </c>
      <c r="BX268" s="9">
        <f>[1]monsters!$S268</f>
        <v>2.98</v>
      </c>
      <c r="BY268" s="9">
        <f>[1]monsters!$K268</f>
        <v>1.5</v>
      </c>
      <c r="BZ268" s="7">
        <f>[1]monsters!$D268</f>
        <v>6</v>
      </c>
      <c r="CA268" s="7">
        <f t="shared" si="192"/>
        <v>0.1</v>
      </c>
      <c r="CB268" s="7">
        <f t="shared" si="193"/>
        <v>331.28082154882156</v>
      </c>
      <c r="CC268" s="7">
        <f t="shared" si="194"/>
        <v>33.128082154882158</v>
      </c>
      <c r="CD268" s="7"/>
      <c r="CE268" s="7"/>
      <c r="CF268" s="7"/>
      <c r="CG268" s="7"/>
      <c r="CH268" s="7"/>
      <c r="CI268" s="7"/>
      <c r="CJ268" s="7"/>
      <c r="CK268" s="7"/>
      <c r="CL268" s="7"/>
      <c r="CM268" s="7"/>
      <c r="CN268" s="7"/>
      <c r="CO268" s="7"/>
      <c r="CP268" s="7">
        <v>1</v>
      </c>
      <c r="CR268" s="25"/>
      <c r="CS268" s="25"/>
      <c r="CT268" s="25"/>
      <c r="CU268" s="25"/>
      <c r="CV268" s="25"/>
      <c r="CW268" s="25"/>
      <c r="DP268" s="32"/>
      <c r="DQ268" s="32"/>
      <c r="DR268" s="32"/>
      <c r="DS268" s="32"/>
      <c r="DT268" s="32"/>
      <c r="DU268" s="32"/>
      <c r="DV268" s="32"/>
      <c r="DW268" s="32"/>
      <c r="DX268" s="32"/>
      <c r="DY268" s="32"/>
      <c r="DZ268" s="32"/>
      <c r="EA268" s="25"/>
      <c r="EB268" s="45"/>
      <c r="EC268" s="16">
        <v>5601093</v>
      </c>
      <c r="ED268" s="40" t="s">
        <v>228</v>
      </c>
      <c r="EE268" s="16">
        <v>2</v>
      </c>
    </row>
    <row r="269" spans="11:135" ht="13.5" customHeight="1">
      <c r="K269" s="2"/>
      <c r="L269" s="18"/>
      <c r="O269" s="25"/>
      <c r="AI269" s="28"/>
      <c r="AJ269" s="28"/>
      <c r="AK269" s="28"/>
      <c r="AL269" s="28"/>
      <c r="AM269" s="28"/>
      <c r="AN269" s="28"/>
      <c r="AO269" s="30"/>
      <c r="AP269" s="28"/>
      <c r="AS269" s="28"/>
      <c r="AT269" s="28"/>
      <c r="AU269" s="30"/>
      <c r="AV269" s="28"/>
      <c r="AW269" s="28"/>
      <c r="AX269" s="28"/>
      <c r="AZ269" s="28"/>
      <c r="BA269" s="16" t="e">
        <f t="shared" si="190"/>
        <v>#DIV/0!</v>
      </c>
      <c r="BC269" s="7" t="e">
        <f t="shared" si="191"/>
        <v>#N/A</v>
      </c>
      <c r="BR269" s="7">
        <v>5200082</v>
      </c>
      <c r="BS269" s="9">
        <f>[1]monsters!$N269</f>
        <v>184.32</v>
      </c>
      <c r="BT269" s="9">
        <f>[1]monsters!$O269</f>
        <v>18.43</v>
      </c>
      <c r="BU269" s="9">
        <f>[1]monsters!$P269</f>
        <v>2880</v>
      </c>
      <c r="BV269" s="9">
        <f>[1]monsters!$Q269</f>
        <v>288</v>
      </c>
      <c r="BW269" s="9">
        <f>[1]monsters!$R269</f>
        <v>61.44</v>
      </c>
      <c r="BX269" s="9">
        <f>[1]monsters!$S269</f>
        <v>6.14</v>
      </c>
      <c r="BY269" s="9">
        <f>[1]monsters!$K269</f>
        <v>1.8</v>
      </c>
      <c r="BZ269" s="7">
        <f>[1]monsters!$D269</f>
        <v>2</v>
      </c>
      <c r="CA269" s="7">
        <f t="shared" si="192"/>
        <v>0.1</v>
      </c>
      <c r="CB269" s="7">
        <f t="shared" si="193"/>
        <v>271.15209696969697</v>
      </c>
      <c r="CC269" s="7">
        <f t="shared" si="194"/>
        <v>27.1152096969697</v>
      </c>
      <c r="CD269" s="7"/>
      <c r="CE269" s="7"/>
      <c r="CF269" s="7"/>
      <c r="CG269" s="7"/>
      <c r="CH269" s="7"/>
      <c r="CI269" s="7"/>
      <c r="CJ269" s="7"/>
      <c r="CK269" s="7"/>
      <c r="CL269" s="7"/>
      <c r="CM269" s="7"/>
      <c r="CN269" s="7"/>
      <c r="CO269" s="7"/>
      <c r="CP269" s="7">
        <v>0</v>
      </c>
      <c r="CR269" s="25"/>
      <c r="CS269" s="25"/>
      <c r="CT269" s="25"/>
      <c r="CU269" s="25"/>
      <c r="CV269" s="25"/>
      <c r="CW269" s="25"/>
      <c r="DP269" s="32"/>
      <c r="DQ269" s="32"/>
      <c r="DR269" s="32"/>
      <c r="DS269" s="32"/>
      <c r="DT269" s="32"/>
      <c r="DU269" s="32"/>
      <c r="DV269" s="32"/>
      <c r="DW269" s="32"/>
      <c r="DX269" s="32"/>
      <c r="DY269" s="32"/>
      <c r="DZ269" s="32"/>
      <c r="EA269" s="25"/>
      <c r="EB269" s="44"/>
      <c r="EC269" s="16">
        <v>5201094</v>
      </c>
      <c r="ED269" s="40" t="s">
        <v>229</v>
      </c>
      <c r="EE269" s="16">
        <v>1</v>
      </c>
    </row>
    <row r="270" spans="11:135" ht="13.5" customHeight="1">
      <c r="K270" s="2"/>
      <c r="L270" s="18"/>
      <c r="O270" s="25"/>
      <c r="AI270" s="28"/>
      <c r="AJ270" s="28"/>
      <c r="AK270" s="28"/>
      <c r="AL270" s="28"/>
      <c r="AM270" s="28"/>
      <c r="AN270" s="28"/>
      <c r="AO270" s="30"/>
      <c r="AP270" s="28"/>
      <c r="AS270" s="28"/>
      <c r="AT270" s="28"/>
      <c r="AU270" s="30"/>
      <c r="AV270" s="28"/>
      <c r="AW270" s="28"/>
      <c r="AX270" s="28"/>
      <c r="AZ270" s="28"/>
      <c r="BA270" s="16" t="e">
        <f t="shared" si="190"/>
        <v>#DIV/0!</v>
      </c>
      <c r="BC270" s="7" t="e">
        <f t="shared" si="191"/>
        <v>#N/A</v>
      </c>
      <c r="BR270" s="7">
        <v>5202082</v>
      </c>
      <c r="BS270" s="9">
        <f>[1]monsters!$N270</f>
        <v>161.28</v>
      </c>
      <c r="BT270" s="9">
        <f>[1]monsters!$O270</f>
        <v>16.13</v>
      </c>
      <c r="BU270" s="9">
        <f>[1]monsters!$P270</f>
        <v>2560</v>
      </c>
      <c r="BV270" s="9">
        <f>[1]monsters!$Q270</f>
        <v>256</v>
      </c>
      <c r="BW270" s="9">
        <f>[1]monsters!$R270</f>
        <v>32.26</v>
      </c>
      <c r="BX270" s="9">
        <f>[1]monsters!$S270</f>
        <v>3.23</v>
      </c>
      <c r="BY270" s="9">
        <f>[1]monsters!$K270</f>
        <v>1.4000000000000001</v>
      </c>
      <c r="BZ270" s="7">
        <f>[1]monsters!$D270</f>
        <v>3</v>
      </c>
      <c r="CA270" s="7">
        <f t="shared" si="192"/>
        <v>0.1</v>
      </c>
      <c r="CB270" s="7">
        <f t="shared" si="193"/>
        <v>238.60488619528621</v>
      </c>
      <c r="CC270" s="7">
        <f t="shared" si="194"/>
        <v>23.860488619528624</v>
      </c>
      <c r="CD270" s="7"/>
      <c r="CE270" s="7"/>
      <c r="CF270" s="7"/>
      <c r="CG270" s="7"/>
      <c r="CH270" s="7"/>
      <c r="CI270" s="7"/>
      <c r="CJ270" s="7"/>
      <c r="CK270" s="7"/>
      <c r="CL270" s="7"/>
      <c r="CM270" s="7"/>
      <c r="CN270" s="7"/>
      <c r="CO270" s="7"/>
      <c r="CP270" s="7">
        <v>0</v>
      </c>
      <c r="CR270" s="25"/>
      <c r="CS270" s="25"/>
      <c r="CT270" s="25"/>
      <c r="CU270" s="25"/>
      <c r="CV270" s="25"/>
      <c r="CW270" s="25"/>
      <c r="DP270" s="32"/>
      <c r="DQ270" s="32"/>
      <c r="DR270" s="32"/>
      <c r="DS270" s="32"/>
      <c r="DT270" s="32"/>
      <c r="DU270" s="32"/>
      <c r="DV270" s="32"/>
      <c r="DW270" s="32"/>
      <c r="DX270" s="32"/>
      <c r="DY270" s="32"/>
      <c r="DZ270" s="32"/>
      <c r="EA270" s="25"/>
      <c r="EB270" s="45"/>
      <c r="EC270" s="16">
        <v>5302094</v>
      </c>
      <c r="ED270" s="40" t="s">
        <v>230</v>
      </c>
      <c r="EE270" s="16">
        <v>1</v>
      </c>
    </row>
    <row r="271" spans="11:135" ht="13.5" customHeight="1">
      <c r="K271" s="2"/>
      <c r="L271" s="18"/>
      <c r="O271" s="25"/>
      <c r="AI271" s="28"/>
      <c r="AJ271" s="28"/>
      <c r="AK271" s="28"/>
      <c r="AL271" s="28"/>
      <c r="AM271" s="28"/>
      <c r="AN271" s="28"/>
      <c r="AO271" s="30"/>
      <c r="AP271" s="28"/>
      <c r="AS271" s="28"/>
      <c r="AT271" s="28"/>
      <c r="AU271" s="30"/>
      <c r="AV271" s="28"/>
      <c r="AW271" s="28"/>
      <c r="AX271" s="28"/>
      <c r="AZ271" s="28"/>
      <c r="BA271" s="16" t="e">
        <f t="shared" si="190"/>
        <v>#DIV/0!</v>
      </c>
      <c r="BC271" s="7" t="e">
        <f t="shared" si="191"/>
        <v>#N/A</v>
      </c>
      <c r="BR271" s="7">
        <v>5302082</v>
      </c>
      <c r="BS271" s="9">
        <f>[1]monsters!$N271</f>
        <v>286.72000000000003</v>
      </c>
      <c r="BT271" s="9">
        <f>[1]monsters!$O271</f>
        <v>28.67</v>
      </c>
      <c r="BU271" s="9">
        <f>[1]monsters!$P271</f>
        <v>1645.71</v>
      </c>
      <c r="BV271" s="9">
        <f>[1]monsters!$Q271</f>
        <v>164.57</v>
      </c>
      <c r="BW271" s="9">
        <f>[1]monsters!$R271</f>
        <v>35.840000000000003</v>
      </c>
      <c r="BX271" s="9">
        <f>[1]monsters!$S271</f>
        <v>3.58</v>
      </c>
      <c r="BY271" s="9">
        <f>[1]monsters!$K271</f>
        <v>1.6</v>
      </c>
      <c r="BZ271" s="7">
        <f>[1]monsters!$D271</f>
        <v>5</v>
      </c>
      <c r="CA271" s="7">
        <f t="shared" si="192"/>
        <v>0.1</v>
      </c>
      <c r="CB271" s="7">
        <f t="shared" si="193"/>
        <v>326.36151111111116</v>
      </c>
      <c r="CC271" s="7">
        <f t="shared" si="194"/>
        <v>32.636151111111118</v>
      </c>
      <c r="CD271" s="7"/>
      <c r="CE271" s="7"/>
      <c r="CF271" s="7"/>
      <c r="CG271" s="7"/>
      <c r="CH271" s="7"/>
      <c r="CI271" s="7"/>
      <c r="CJ271" s="7"/>
      <c r="CK271" s="7"/>
      <c r="CL271" s="7"/>
      <c r="CM271" s="7"/>
      <c r="CN271" s="7"/>
      <c r="CO271" s="7"/>
      <c r="CP271" s="7">
        <v>0</v>
      </c>
      <c r="CR271" s="25"/>
      <c r="CS271" s="25"/>
      <c r="CT271" s="25"/>
      <c r="CU271" s="25"/>
      <c r="CV271" s="25"/>
      <c r="CW271" s="25"/>
      <c r="DP271" s="32"/>
      <c r="DQ271" s="32"/>
      <c r="DR271" s="32"/>
      <c r="DS271" s="32"/>
      <c r="DT271" s="32"/>
      <c r="DU271" s="32"/>
      <c r="DV271" s="32"/>
      <c r="DW271" s="32"/>
      <c r="DX271" s="32"/>
      <c r="DY271" s="32"/>
      <c r="DZ271" s="32"/>
      <c r="EA271" s="25"/>
      <c r="EB271" s="45"/>
      <c r="EC271" s="16">
        <v>5501094</v>
      </c>
      <c r="ED271" s="40" t="s">
        <v>226</v>
      </c>
      <c r="EE271" s="16">
        <v>2</v>
      </c>
    </row>
    <row r="272" spans="11:135" ht="13.5" customHeight="1">
      <c r="K272" s="2"/>
      <c r="L272" s="18"/>
      <c r="O272" s="25"/>
      <c r="AI272" s="28"/>
      <c r="AJ272" s="28"/>
      <c r="AK272" s="28"/>
      <c r="AL272" s="28"/>
      <c r="AM272" s="28"/>
      <c r="AN272" s="28"/>
      <c r="AO272" s="30"/>
      <c r="AP272" s="28"/>
      <c r="AS272" s="28"/>
      <c r="AT272" s="28"/>
      <c r="AU272" s="30"/>
      <c r="AV272" s="28"/>
      <c r="AW272" s="28"/>
      <c r="AX272" s="28"/>
      <c r="AZ272" s="28"/>
      <c r="BA272" s="16" t="e">
        <f t="shared" si="190"/>
        <v>#DIV/0!</v>
      </c>
      <c r="BC272" s="7" t="e">
        <f t="shared" si="191"/>
        <v>#N/A</v>
      </c>
      <c r="BR272" s="7">
        <v>5300082</v>
      </c>
      <c r="BS272" s="9">
        <f>[1]monsters!$N272</f>
        <v>277.76</v>
      </c>
      <c r="BT272" s="9">
        <f>[1]monsters!$O272</f>
        <v>27.78</v>
      </c>
      <c r="BU272" s="9">
        <f>[1]monsters!$P272</f>
        <v>1486.45</v>
      </c>
      <c r="BV272" s="9">
        <f>[1]monsters!$Q272</f>
        <v>148.65</v>
      </c>
      <c r="BW272" s="9">
        <f>[1]monsters!$R272</f>
        <v>27.78</v>
      </c>
      <c r="BX272" s="9">
        <f>[1]monsters!$S272</f>
        <v>2.78</v>
      </c>
      <c r="BY272" s="9">
        <f>[1]monsters!$K272</f>
        <v>1.4000000000000001</v>
      </c>
      <c r="BZ272" s="7">
        <f>[1]monsters!$D272</f>
        <v>6</v>
      </c>
      <c r="CA272" s="7">
        <f t="shared" si="192"/>
        <v>0.1</v>
      </c>
      <c r="CB272" s="7">
        <f t="shared" si="193"/>
        <v>312.53202154882155</v>
      </c>
      <c r="CC272" s="7">
        <f t="shared" si="194"/>
        <v>31.253202154882157</v>
      </c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>
        <v>0</v>
      </c>
      <c r="CR272" s="25"/>
      <c r="CS272" s="25"/>
      <c r="CT272" s="25"/>
      <c r="CU272" s="25"/>
      <c r="CV272" s="25"/>
      <c r="CW272" s="25"/>
      <c r="DP272" s="32"/>
      <c r="DQ272" s="32"/>
      <c r="DR272" s="32"/>
      <c r="DS272" s="32"/>
      <c r="DT272" s="32"/>
      <c r="DU272" s="32"/>
      <c r="DV272" s="32"/>
      <c r="DW272" s="32"/>
      <c r="DX272" s="32"/>
      <c r="DY272" s="32"/>
      <c r="DZ272" s="32"/>
      <c r="EA272" s="25"/>
      <c r="EB272" s="45"/>
      <c r="EC272" s="16">
        <v>5600094</v>
      </c>
      <c r="ED272" s="40" t="s">
        <v>231</v>
      </c>
      <c r="EE272" s="16">
        <v>1</v>
      </c>
    </row>
    <row r="273" spans="11:135" ht="13.5" customHeight="1">
      <c r="K273" s="2"/>
      <c r="O273" s="25"/>
      <c r="AI273" s="28"/>
      <c r="AJ273" s="28"/>
      <c r="AK273" s="28"/>
      <c r="AL273" s="28"/>
      <c r="AM273" s="28"/>
      <c r="AN273" s="28"/>
      <c r="AO273" s="30"/>
      <c r="AP273" s="28"/>
      <c r="AS273" s="28"/>
      <c r="AT273" s="28"/>
      <c r="AU273" s="30"/>
      <c r="AV273" s="28"/>
      <c r="AW273" s="28"/>
      <c r="AX273" s="28"/>
      <c r="AZ273" s="28"/>
      <c r="BA273" s="16" t="e">
        <f t="shared" si="190"/>
        <v>#DIV/0!</v>
      </c>
      <c r="BC273" s="7" t="e">
        <f t="shared" si="191"/>
        <v>#N/A</v>
      </c>
      <c r="BR273" s="7">
        <v>5400082</v>
      </c>
      <c r="BS273" s="9">
        <f>[1]monsters!$N273</f>
        <v>357.12</v>
      </c>
      <c r="BT273" s="9">
        <f>[1]monsters!$O273</f>
        <v>35.71</v>
      </c>
      <c r="BU273" s="9">
        <f>[1]monsters!$P273</f>
        <v>1486.45</v>
      </c>
      <c r="BV273" s="9">
        <f>[1]monsters!$Q273</f>
        <v>148.65</v>
      </c>
      <c r="BW273" s="9">
        <f>[1]monsters!$R273</f>
        <v>35.71</v>
      </c>
      <c r="BX273" s="9">
        <f>[1]monsters!$S273</f>
        <v>3.57</v>
      </c>
      <c r="BY273" s="9">
        <f>[1]monsters!$K273</f>
        <v>1.8</v>
      </c>
      <c r="BZ273" s="7">
        <f>[1]monsters!$D273</f>
        <v>6</v>
      </c>
      <c r="CA273" s="7">
        <f t="shared" si="192"/>
        <v>0.1</v>
      </c>
      <c r="CB273" s="7">
        <f t="shared" si="193"/>
        <v>387.52722154882156</v>
      </c>
      <c r="CC273" s="7">
        <f t="shared" si="194"/>
        <v>38.752722154882157</v>
      </c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>
        <v>1</v>
      </c>
      <c r="CR273" s="25"/>
      <c r="CS273" s="25"/>
      <c r="CT273" s="25"/>
      <c r="CU273" s="25"/>
      <c r="CV273" s="25"/>
      <c r="CW273" s="25"/>
      <c r="DP273" s="32"/>
      <c r="DQ273" s="32"/>
      <c r="DR273" s="32"/>
      <c r="DS273" s="32"/>
      <c r="DT273" s="32"/>
      <c r="DU273" s="32"/>
      <c r="DV273" s="32"/>
      <c r="DW273" s="32"/>
      <c r="DX273" s="32"/>
      <c r="DY273" s="32"/>
      <c r="DZ273" s="32"/>
      <c r="EA273" s="25"/>
      <c r="EB273" s="45"/>
      <c r="EC273" s="16">
        <v>5602094</v>
      </c>
      <c r="ED273" s="40" t="s">
        <v>232</v>
      </c>
      <c r="EE273" s="16">
        <v>2</v>
      </c>
    </row>
    <row r="274" spans="11:135" ht="13.5" customHeight="1">
      <c r="K274" s="2"/>
      <c r="L274" s="18"/>
      <c r="O274" s="25"/>
      <c r="AI274" s="28"/>
      <c r="AJ274" s="28"/>
      <c r="AK274" s="28"/>
      <c r="AL274" s="28"/>
      <c r="AM274" s="28"/>
      <c r="AN274" s="28"/>
      <c r="AO274" s="30"/>
      <c r="AP274" s="28"/>
      <c r="AS274" s="28"/>
      <c r="AT274" s="28"/>
      <c r="AU274" s="30"/>
      <c r="AV274" s="28"/>
      <c r="AW274" s="28"/>
      <c r="AX274" s="28"/>
      <c r="AZ274" s="28"/>
      <c r="BA274" s="16" t="e">
        <f t="shared" si="190"/>
        <v>#DIV/0!</v>
      </c>
      <c r="BC274" s="7" t="e">
        <f t="shared" si="191"/>
        <v>#N/A</v>
      </c>
      <c r="BR274" s="7">
        <v>5402082</v>
      </c>
      <c r="BS274" s="9">
        <f>[1]monsters!$N274</f>
        <v>207.36</v>
      </c>
      <c r="BT274" s="9">
        <f>[1]monsters!$O274</f>
        <v>20.74</v>
      </c>
      <c r="BU274" s="9">
        <f>[1]monsters!$P274</f>
        <v>2560</v>
      </c>
      <c r="BV274" s="9">
        <f>[1]monsters!$Q274</f>
        <v>256</v>
      </c>
      <c r="BW274" s="9">
        <f>[1]monsters!$R274</f>
        <v>41.47</v>
      </c>
      <c r="BX274" s="9">
        <f>[1]monsters!$S274</f>
        <v>4.1500000000000004</v>
      </c>
      <c r="BY274" s="9">
        <f>[1]monsters!$K274</f>
        <v>1.8</v>
      </c>
      <c r="BZ274" s="7">
        <f>[1]monsters!$D274</f>
        <v>2</v>
      </c>
      <c r="CA274" s="7">
        <f t="shared" si="192"/>
        <v>0.1</v>
      </c>
      <c r="CB274" s="7">
        <f t="shared" si="193"/>
        <v>282.15048619528625</v>
      </c>
      <c r="CC274" s="7">
        <f t="shared" si="194"/>
        <v>28.215048619528627</v>
      </c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>
        <v>0</v>
      </c>
      <c r="CR274" s="25"/>
      <c r="CS274" s="25"/>
      <c r="CT274" s="25"/>
      <c r="CU274" s="25"/>
      <c r="CV274" s="25"/>
      <c r="CW274" s="25"/>
      <c r="DP274" s="32"/>
      <c r="DQ274" s="32"/>
      <c r="DR274" s="32"/>
      <c r="DS274" s="32"/>
      <c r="DT274" s="32"/>
      <c r="DU274" s="32"/>
      <c r="DV274" s="32"/>
      <c r="DW274" s="32"/>
      <c r="DX274" s="32"/>
      <c r="DY274" s="32"/>
      <c r="DZ274" s="32"/>
      <c r="EA274" s="25"/>
      <c r="EB274" s="45"/>
      <c r="EC274" s="16">
        <v>5202095</v>
      </c>
      <c r="ED274" s="40" t="s">
        <v>233</v>
      </c>
      <c r="EE274" s="16">
        <v>1</v>
      </c>
    </row>
    <row r="275" spans="11:135" ht="13.5" customHeight="1">
      <c r="K275" s="2"/>
      <c r="L275" s="18"/>
      <c r="O275" s="25"/>
      <c r="AI275" s="28"/>
      <c r="AJ275" s="28"/>
      <c r="AK275" s="28"/>
      <c r="AL275" s="28"/>
      <c r="AM275" s="28"/>
      <c r="AN275" s="28"/>
      <c r="AO275" s="30"/>
      <c r="AP275" s="28"/>
      <c r="AS275" s="28"/>
      <c r="AT275" s="28"/>
      <c r="AU275" s="30"/>
      <c r="AV275" s="28"/>
      <c r="AW275" s="28"/>
      <c r="AX275" s="28"/>
      <c r="AZ275" s="28"/>
      <c r="BA275" s="16" t="e">
        <f t="shared" si="190"/>
        <v>#DIV/0!</v>
      </c>
      <c r="BC275" s="7" t="e">
        <f t="shared" si="191"/>
        <v>#N/A</v>
      </c>
      <c r="BR275" s="7">
        <v>5500082</v>
      </c>
      <c r="BS275" s="9">
        <f>[1]monsters!$N275</f>
        <v>149.76</v>
      </c>
      <c r="BT275" s="9">
        <f>[1]monsters!$O275</f>
        <v>14.98</v>
      </c>
      <c r="BU275" s="9">
        <f>[1]monsters!$P275</f>
        <v>2560</v>
      </c>
      <c r="BV275" s="9">
        <f>[1]monsters!$Q275</f>
        <v>256</v>
      </c>
      <c r="BW275" s="9">
        <f>[1]monsters!$R275</f>
        <v>29.95</v>
      </c>
      <c r="BX275" s="9">
        <f>[1]monsters!$S275</f>
        <v>3</v>
      </c>
      <c r="BY275" s="9">
        <f>[1]monsters!$K275</f>
        <v>1.3</v>
      </c>
      <c r="BZ275" s="7">
        <f>[1]monsters!$D275</f>
        <v>3</v>
      </c>
      <c r="CA275" s="7">
        <f t="shared" si="192"/>
        <v>0.1</v>
      </c>
      <c r="CB275" s="7">
        <f t="shared" si="193"/>
        <v>227.7184861952862</v>
      </c>
      <c r="CC275" s="7">
        <f t="shared" si="194"/>
        <v>22.771848619528622</v>
      </c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>
        <v>0</v>
      </c>
      <c r="CR275" s="25"/>
      <c r="CS275" s="25"/>
      <c r="CT275" s="25"/>
      <c r="CU275" s="25"/>
      <c r="CV275" s="25"/>
      <c r="CW275" s="25"/>
      <c r="DP275" s="25"/>
      <c r="DQ275" s="25"/>
      <c r="DR275" s="25"/>
      <c r="DS275" s="25"/>
      <c r="DT275" s="25"/>
      <c r="DU275" s="25"/>
      <c r="DV275" s="25"/>
      <c r="DW275" s="25"/>
      <c r="DX275" s="25"/>
      <c r="DY275" s="25"/>
      <c r="DZ275" s="25"/>
      <c r="EA275" s="25"/>
      <c r="EB275" s="45"/>
      <c r="EC275" s="16">
        <v>5300095</v>
      </c>
      <c r="ED275" s="40" t="s">
        <v>224</v>
      </c>
      <c r="EE275" s="16">
        <v>1</v>
      </c>
    </row>
    <row r="276" spans="11:135" ht="13.5" customHeight="1">
      <c r="K276" s="2"/>
      <c r="L276" s="18"/>
      <c r="O276" s="25"/>
      <c r="AI276" s="28"/>
      <c r="AJ276" s="28"/>
      <c r="AK276" s="28"/>
      <c r="AL276" s="28"/>
      <c r="AM276" s="28"/>
      <c r="AN276" s="28"/>
      <c r="AO276" s="30"/>
      <c r="AP276" s="28"/>
      <c r="AS276" s="28"/>
      <c r="AT276" s="28"/>
      <c r="AU276" s="30"/>
      <c r="AV276" s="28"/>
      <c r="AW276" s="28"/>
      <c r="AX276" s="28"/>
      <c r="AZ276" s="28"/>
      <c r="BA276" s="16" t="e">
        <f t="shared" si="190"/>
        <v>#DIV/0!</v>
      </c>
      <c r="BC276" s="7" t="e">
        <f t="shared" si="191"/>
        <v>#N/A</v>
      </c>
      <c r="BR276" s="7">
        <v>5502082</v>
      </c>
      <c r="BS276" s="9">
        <f>[1]monsters!$N276</f>
        <v>161.28</v>
      </c>
      <c r="BT276" s="9">
        <f>[1]monsters!$O276</f>
        <v>16.13</v>
      </c>
      <c r="BU276" s="9">
        <f>[1]monsters!$P276</f>
        <v>2560</v>
      </c>
      <c r="BV276" s="9">
        <f>[1]monsters!$Q276</f>
        <v>256</v>
      </c>
      <c r="BW276" s="9">
        <f>[1]monsters!$R276</f>
        <v>32.26</v>
      </c>
      <c r="BX276" s="9">
        <f>[1]monsters!$S276</f>
        <v>3.23</v>
      </c>
      <c r="BY276" s="9">
        <f>[1]monsters!$K276</f>
        <v>1.4000000000000001</v>
      </c>
      <c r="BZ276" s="7">
        <f>[1]monsters!$D276</f>
        <v>3</v>
      </c>
      <c r="CA276" s="7">
        <f t="shared" si="192"/>
        <v>0.1</v>
      </c>
      <c r="CB276" s="7">
        <f t="shared" si="193"/>
        <v>238.60488619528621</v>
      </c>
      <c r="CC276" s="7">
        <f t="shared" si="194"/>
        <v>23.860488619528624</v>
      </c>
      <c r="CD276" s="7"/>
      <c r="CE276" s="7"/>
      <c r="CF276" s="7"/>
      <c r="CG276" s="7"/>
      <c r="CH276" s="7"/>
      <c r="CI276" s="7"/>
      <c r="CJ276" s="7"/>
      <c r="CK276" s="7"/>
      <c r="CL276" s="7"/>
      <c r="CM276" s="7"/>
      <c r="CN276" s="7"/>
      <c r="CO276" s="7"/>
      <c r="CP276" s="7">
        <v>0</v>
      </c>
      <c r="CR276" s="25"/>
      <c r="CS276" s="25"/>
      <c r="CT276" s="25"/>
      <c r="CU276" s="25"/>
      <c r="CV276" s="25"/>
      <c r="CW276" s="25"/>
      <c r="DP276" s="25"/>
      <c r="DQ276" s="25"/>
      <c r="DR276" s="25"/>
      <c r="DS276" s="32"/>
      <c r="DT276" s="32"/>
      <c r="DU276" s="32"/>
      <c r="DV276" s="32"/>
      <c r="DW276" s="32"/>
      <c r="DX276" s="32"/>
      <c r="DY276" s="32"/>
      <c r="DZ276" s="32"/>
      <c r="EA276" s="25"/>
      <c r="EB276" s="45"/>
      <c r="EC276" s="16">
        <v>5302095</v>
      </c>
      <c r="ED276" s="40" t="s">
        <v>234</v>
      </c>
      <c r="EE276" s="16">
        <v>1</v>
      </c>
    </row>
    <row r="277" spans="11:135" ht="13.5" customHeight="1">
      <c r="K277" s="2"/>
      <c r="L277" s="18"/>
      <c r="O277" s="25"/>
      <c r="AI277" s="28"/>
      <c r="AJ277" s="28"/>
      <c r="AK277" s="28"/>
      <c r="AL277" s="28"/>
      <c r="AM277" s="28"/>
      <c r="AN277" s="28"/>
      <c r="AO277" s="30"/>
      <c r="AP277" s="28"/>
      <c r="AS277" s="28"/>
      <c r="AT277" s="28"/>
      <c r="AU277" s="30"/>
      <c r="AV277" s="28"/>
      <c r="AW277" s="28"/>
      <c r="AX277" s="28"/>
      <c r="AZ277" s="28"/>
      <c r="BA277" s="16" t="e">
        <f t="shared" si="190"/>
        <v>#DIV/0!</v>
      </c>
      <c r="BC277" s="7" t="e">
        <f t="shared" si="191"/>
        <v>#N/A</v>
      </c>
      <c r="BR277" s="7">
        <v>5600082</v>
      </c>
      <c r="BS277" s="9">
        <f>[1]monsters!$N277</f>
        <v>215.04</v>
      </c>
      <c r="BT277" s="9">
        <f>[1]monsters!$O277</f>
        <v>21.5</v>
      </c>
      <c r="BU277" s="9">
        <f>[1]monsters!$P277</f>
        <v>1920</v>
      </c>
      <c r="BV277" s="9">
        <f>[1]monsters!$Q277</f>
        <v>192</v>
      </c>
      <c r="BW277" s="9">
        <f>[1]monsters!$R277</f>
        <v>30.72</v>
      </c>
      <c r="BX277" s="9">
        <f>[1]monsters!$S277</f>
        <v>3.07</v>
      </c>
      <c r="BY277" s="9">
        <f>[1]monsters!$K277</f>
        <v>1.4000000000000001</v>
      </c>
      <c r="BZ277" s="7">
        <f>[1]monsters!$D277</f>
        <v>4</v>
      </c>
      <c r="CA277" s="7">
        <f t="shared" si="192"/>
        <v>0.1</v>
      </c>
      <c r="CB277" s="7">
        <f t="shared" si="193"/>
        <v>267.85926464646468</v>
      </c>
      <c r="CC277" s="7">
        <f t="shared" si="194"/>
        <v>26.785926464646469</v>
      </c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>
        <v>0</v>
      </c>
      <c r="CR277" s="25"/>
      <c r="CS277" s="25"/>
      <c r="CT277" s="25"/>
      <c r="CU277" s="25"/>
      <c r="CV277" s="25"/>
      <c r="CW277" s="25"/>
      <c r="DP277" s="25"/>
      <c r="DQ277" s="25"/>
      <c r="DR277" s="25"/>
      <c r="DS277" s="25"/>
      <c r="DT277" s="25"/>
      <c r="DU277" s="25"/>
      <c r="DV277" s="25"/>
      <c r="DW277" s="25"/>
      <c r="DX277" s="25"/>
      <c r="DY277" s="25"/>
      <c r="DZ277" s="25"/>
      <c r="EA277" s="25"/>
      <c r="EB277" s="45"/>
      <c r="EC277" s="16">
        <v>5400095</v>
      </c>
      <c r="ED277" s="40" t="s">
        <v>222</v>
      </c>
      <c r="EE277" s="16">
        <v>2</v>
      </c>
    </row>
    <row r="278" spans="11:135" ht="13.5" customHeight="1">
      <c r="K278" s="2"/>
      <c r="O278" s="25"/>
      <c r="AI278" s="28"/>
      <c r="AJ278" s="28"/>
      <c r="AK278" s="28"/>
      <c r="AL278" s="28"/>
      <c r="AM278" s="28"/>
      <c r="AN278" s="28"/>
      <c r="AO278" s="30"/>
      <c r="AP278" s="28"/>
      <c r="AS278" s="28"/>
      <c r="AT278" s="28"/>
      <c r="AU278" s="30"/>
      <c r="AV278" s="28"/>
      <c r="AW278" s="28"/>
      <c r="AX278" s="28"/>
      <c r="AZ278" s="28"/>
      <c r="BA278" s="16" t="e">
        <f t="shared" si="190"/>
        <v>#DIV/0!</v>
      </c>
      <c r="BC278" s="7" t="e">
        <f t="shared" si="191"/>
        <v>#N/A</v>
      </c>
      <c r="BR278" s="7">
        <v>5602082</v>
      </c>
      <c r="BS278" s="9">
        <f>[1]monsters!$N278</f>
        <v>286.72000000000003</v>
      </c>
      <c r="BT278" s="9">
        <f>[1]monsters!$O278</f>
        <v>28.67</v>
      </c>
      <c r="BU278" s="9">
        <f>[1]monsters!$P278</f>
        <v>1645.71</v>
      </c>
      <c r="BV278" s="9">
        <f>[1]monsters!$Q278</f>
        <v>164.57</v>
      </c>
      <c r="BW278" s="9">
        <f>[1]monsters!$R278</f>
        <v>35.840000000000003</v>
      </c>
      <c r="BX278" s="9">
        <f>[1]monsters!$S278</f>
        <v>3.58</v>
      </c>
      <c r="BY278" s="9">
        <f>[1]monsters!$K278</f>
        <v>1.6</v>
      </c>
      <c r="BZ278" s="7">
        <f>[1]monsters!$D278</f>
        <v>5</v>
      </c>
      <c r="CA278" s="7">
        <f t="shared" si="192"/>
        <v>0.1</v>
      </c>
      <c r="CB278" s="7">
        <f t="shared" si="193"/>
        <v>326.36151111111116</v>
      </c>
      <c r="CC278" s="7">
        <f t="shared" si="194"/>
        <v>32.636151111111118</v>
      </c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>
        <v>1</v>
      </c>
      <c r="CR278" s="25"/>
      <c r="CS278" s="25"/>
      <c r="CT278" s="25"/>
      <c r="CU278" s="25"/>
      <c r="CV278" s="25"/>
      <c r="CW278" s="25"/>
      <c r="DP278" s="25"/>
      <c r="DQ278" s="25"/>
      <c r="DR278" s="25"/>
      <c r="DS278" s="25"/>
      <c r="DT278" s="25"/>
      <c r="DU278" s="25"/>
      <c r="DV278" s="25"/>
      <c r="DW278" s="25"/>
      <c r="DX278" s="25"/>
      <c r="DY278" s="25"/>
      <c r="DZ278" s="25"/>
      <c r="EA278" s="25"/>
      <c r="EB278" s="45"/>
      <c r="EC278" s="16">
        <v>5501095</v>
      </c>
      <c r="ED278" s="42" t="s">
        <v>235</v>
      </c>
      <c r="EE278" s="16">
        <v>2</v>
      </c>
    </row>
    <row r="279" spans="11:135" ht="13.5" customHeight="1">
      <c r="K279" s="2"/>
      <c r="L279" s="18"/>
      <c r="O279" s="25"/>
      <c r="AI279" s="28"/>
      <c r="AJ279" s="28"/>
      <c r="AK279" s="28"/>
      <c r="AL279" s="28"/>
      <c r="AM279" s="28"/>
      <c r="AN279" s="28"/>
      <c r="AO279" s="30"/>
      <c r="AP279" s="28"/>
      <c r="AS279" s="28"/>
      <c r="AT279" s="28"/>
      <c r="AU279" s="30"/>
      <c r="AV279" s="28"/>
      <c r="AW279" s="28"/>
      <c r="AX279" s="28"/>
      <c r="AZ279" s="28"/>
      <c r="BA279" s="16" t="e">
        <f t="shared" si="190"/>
        <v>#DIV/0!</v>
      </c>
      <c r="BC279" s="7" t="e">
        <f t="shared" si="191"/>
        <v>#N/A</v>
      </c>
      <c r="BR279" s="7">
        <v>5200083</v>
      </c>
      <c r="BS279" s="9">
        <f>[1]monsters!$N279</f>
        <v>208</v>
      </c>
      <c r="BT279" s="9">
        <f>[1]monsters!$O279</f>
        <v>20.8</v>
      </c>
      <c r="BU279" s="9">
        <f>[1]monsters!$P279</f>
        <v>2496</v>
      </c>
      <c r="BV279" s="9">
        <f>[1]monsters!$Q279</f>
        <v>249.6</v>
      </c>
      <c r="BW279" s="9">
        <f>[1]monsters!$R279</f>
        <v>52</v>
      </c>
      <c r="BX279" s="9">
        <f>[1]monsters!$S279</f>
        <v>5.2</v>
      </c>
      <c r="BY279" s="9">
        <f>[1]monsters!$K279</f>
        <v>1.5</v>
      </c>
      <c r="BZ279" s="7">
        <f>[1]monsters!$D279</f>
        <v>2</v>
      </c>
      <c r="CA279" s="7">
        <f t="shared" si="192"/>
        <v>0.1</v>
      </c>
      <c r="CB279" s="7">
        <f t="shared" si="193"/>
        <v>280.60040404040404</v>
      </c>
      <c r="CC279" s="7">
        <f t="shared" si="194"/>
        <v>28.060040404040407</v>
      </c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>
        <v>0</v>
      </c>
      <c r="CR279" s="25"/>
      <c r="CS279" s="25"/>
      <c r="CT279" s="25"/>
      <c r="CU279" s="25"/>
      <c r="CV279" s="25"/>
      <c r="CW279" s="25"/>
      <c r="DP279" s="25"/>
      <c r="DQ279" s="25"/>
      <c r="DR279" s="25"/>
      <c r="DS279" s="25"/>
      <c r="DT279" s="25"/>
      <c r="DU279" s="25"/>
      <c r="DV279" s="25"/>
      <c r="DW279" s="25"/>
      <c r="DX279" s="25"/>
      <c r="DY279" s="25"/>
      <c r="DZ279" s="25"/>
      <c r="EA279" s="25"/>
      <c r="EB279" s="44"/>
      <c r="EC279" s="16">
        <v>5200101</v>
      </c>
      <c r="ED279" s="40" t="s">
        <v>205</v>
      </c>
      <c r="EE279" s="16">
        <v>1</v>
      </c>
    </row>
    <row r="280" spans="11:135" ht="13.5" customHeight="1">
      <c r="K280" s="2"/>
      <c r="L280" s="18"/>
      <c r="O280" s="25"/>
      <c r="AI280" s="28"/>
      <c r="AJ280" s="28"/>
      <c r="AK280" s="28"/>
      <c r="AL280" s="28"/>
      <c r="AM280" s="28"/>
      <c r="AN280" s="28"/>
      <c r="AO280" s="30"/>
      <c r="AP280" s="28"/>
      <c r="AS280" s="28"/>
      <c r="AT280" s="28"/>
      <c r="AU280" s="30"/>
      <c r="AV280" s="28"/>
      <c r="AW280" s="28"/>
      <c r="AX280" s="28"/>
      <c r="AZ280" s="28"/>
      <c r="BA280" s="16" t="e">
        <f t="shared" si="190"/>
        <v>#DIV/0!</v>
      </c>
      <c r="BC280" s="7" t="e">
        <f t="shared" si="191"/>
        <v>#N/A</v>
      </c>
      <c r="BR280" s="7">
        <v>5202083</v>
      </c>
      <c r="BS280" s="9">
        <f>[1]monsters!$N280</f>
        <v>199.68</v>
      </c>
      <c r="BT280" s="9">
        <f>[1]monsters!$O280</f>
        <v>19.97</v>
      </c>
      <c r="BU280" s="9">
        <f>[1]monsters!$P280</f>
        <v>3120</v>
      </c>
      <c r="BV280" s="9">
        <f>[1]monsters!$Q280</f>
        <v>312</v>
      </c>
      <c r="BW280" s="9">
        <f>[1]monsters!$R280</f>
        <v>66.56</v>
      </c>
      <c r="BX280" s="9">
        <f>[1]monsters!$S280</f>
        <v>6.66</v>
      </c>
      <c r="BY280" s="9">
        <f>[1]monsters!$K280</f>
        <v>1.8</v>
      </c>
      <c r="BZ280" s="7">
        <f>[1]monsters!$D280</f>
        <v>2</v>
      </c>
      <c r="CA280" s="7">
        <f t="shared" si="192"/>
        <v>0.1</v>
      </c>
      <c r="CB280" s="7">
        <f t="shared" si="193"/>
        <v>293.74810505050505</v>
      </c>
      <c r="CC280" s="7">
        <f t="shared" si="194"/>
        <v>29.374810505050505</v>
      </c>
      <c r="CD280" s="7"/>
      <c r="CE280" s="7"/>
      <c r="CF280" s="7"/>
      <c r="CG280" s="7"/>
      <c r="CH280" s="7"/>
      <c r="CI280" s="7"/>
      <c r="CJ280" s="7"/>
      <c r="CK280" s="7"/>
      <c r="CL280" s="7"/>
      <c r="CM280" s="7"/>
      <c r="CN280" s="7"/>
      <c r="CO280" s="7"/>
      <c r="CP280" s="7">
        <v>0</v>
      </c>
      <c r="CR280" s="25"/>
      <c r="CS280" s="25"/>
      <c r="CT280" s="25"/>
      <c r="CU280" s="25"/>
      <c r="CV280" s="25"/>
      <c r="CW280" s="25"/>
      <c r="DP280" s="32"/>
      <c r="DQ280" s="32"/>
      <c r="DR280" s="32"/>
      <c r="DS280" s="32"/>
      <c r="DT280" s="32"/>
      <c r="DU280" s="32"/>
      <c r="DV280" s="32"/>
      <c r="DW280" s="32"/>
      <c r="DX280" s="32"/>
      <c r="DY280" s="32"/>
      <c r="DZ280" s="32"/>
      <c r="EA280" s="25"/>
      <c r="EB280" s="45"/>
      <c r="EC280" s="16">
        <v>5201101</v>
      </c>
      <c r="ED280" s="40" t="s">
        <v>206</v>
      </c>
      <c r="EE280" s="16">
        <v>1</v>
      </c>
    </row>
    <row r="281" spans="11:135" ht="13.5" customHeight="1">
      <c r="K281" s="2"/>
      <c r="L281" s="18"/>
      <c r="O281" s="25"/>
      <c r="AI281" s="28"/>
      <c r="AJ281" s="28"/>
      <c r="AK281" s="28"/>
      <c r="AL281" s="28"/>
      <c r="AM281" s="28"/>
      <c r="AN281" s="28"/>
      <c r="AO281" s="30"/>
      <c r="AP281" s="28"/>
      <c r="AS281" s="28"/>
      <c r="AT281" s="28"/>
      <c r="AU281" s="30"/>
      <c r="AV281" s="28"/>
      <c r="AW281" s="28"/>
      <c r="AX281" s="28"/>
      <c r="AZ281" s="28"/>
      <c r="BA281" s="16" t="e">
        <f t="shared" si="190"/>
        <v>#DIV/0!</v>
      </c>
      <c r="BC281" s="7" t="e">
        <f t="shared" si="191"/>
        <v>#N/A</v>
      </c>
      <c r="BR281" s="7">
        <v>5302083</v>
      </c>
      <c r="BS281" s="9">
        <f>[1]monsters!$N281</f>
        <v>224.64</v>
      </c>
      <c r="BT281" s="9">
        <f>[1]monsters!$O281</f>
        <v>22.46</v>
      </c>
      <c r="BU281" s="9">
        <f>[1]monsters!$P281</f>
        <v>2773.33</v>
      </c>
      <c r="BV281" s="9">
        <f>[1]monsters!$Q281</f>
        <v>277.33</v>
      </c>
      <c r="BW281" s="9">
        <f>[1]monsters!$R281</f>
        <v>44.93</v>
      </c>
      <c r="BX281" s="9">
        <f>[1]monsters!$S281</f>
        <v>4.49</v>
      </c>
      <c r="BY281" s="9">
        <f>[1]monsters!$K281</f>
        <v>1.8</v>
      </c>
      <c r="BZ281" s="7">
        <f>[1]monsters!$D281</f>
        <v>2</v>
      </c>
      <c r="CA281" s="7">
        <f t="shared" si="192"/>
        <v>0.1</v>
      </c>
      <c r="CB281" s="7">
        <f t="shared" si="193"/>
        <v>305.66291447811443</v>
      </c>
      <c r="CC281" s="7">
        <f t="shared" si="194"/>
        <v>30.566291447811444</v>
      </c>
      <c r="CD281" s="7"/>
      <c r="CE281" s="7"/>
      <c r="CF281" s="7"/>
      <c r="CG281" s="7"/>
      <c r="CH281" s="7"/>
      <c r="CI281" s="7"/>
      <c r="CJ281" s="7"/>
      <c r="CK281" s="7"/>
      <c r="CL281" s="7"/>
      <c r="CM281" s="7"/>
      <c r="CN281" s="7"/>
      <c r="CO281" s="7"/>
      <c r="CP281" s="7">
        <v>0</v>
      </c>
      <c r="CR281" s="25"/>
      <c r="CS281" s="25"/>
      <c r="CT281" s="25"/>
      <c r="CU281" s="25"/>
      <c r="CV281" s="25"/>
      <c r="CW281" s="25"/>
      <c r="DP281" s="36"/>
      <c r="DQ281" s="36"/>
      <c r="DR281" s="36"/>
      <c r="DS281" s="36"/>
      <c r="DT281" s="36"/>
      <c r="DU281" s="36"/>
      <c r="DV281" s="36"/>
      <c r="DW281" s="36"/>
      <c r="DX281" s="36"/>
      <c r="DY281" s="36"/>
      <c r="DZ281" s="36"/>
      <c r="EA281" s="25"/>
      <c r="EB281" s="45"/>
      <c r="EC281" s="16">
        <v>5202101</v>
      </c>
      <c r="ED281" s="40" t="s">
        <v>117</v>
      </c>
      <c r="EE281" s="16">
        <v>1</v>
      </c>
    </row>
    <row r="282" spans="11:135" ht="13.5" customHeight="1">
      <c r="K282" s="2"/>
      <c r="L282" s="18"/>
      <c r="O282" s="25"/>
      <c r="AI282" s="28"/>
      <c r="AJ282" s="28"/>
      <c r="AK282" s="28"/>
      <c r="AL282" s="28"/>
      <c r="AM282" s="28"/>
      <c r="AN282" s="28"/>
      <c r="AO282" s="30"/>
      <c r="AP282" s="28"/>
      <c r="AS282" s="28"/>
      <c r="AT282" s="28"/>
      <c r="AU282" s="30"/>
      <c r="AV282" s="28"/>
      <c r="AW282" s="28"/>
      <c r="AX282" s="28"/>
      <c r="AZ282" s="28"/>
      <c r="BA282" s="16" t="e">
        <f t="shared" si="190"/>
        <v>#DIV/0!</v>
      </c>
      <c r="BC282" s="7" t="e">
        <f t="shared" si="191"/>
        <v>#N/A</v>
      </c>
      <c r="BR282" s="7">
        <v>5301083</v>
      </c>
      <c r="BS282" s="9">
        <f>[1]monsters!$N282</f>
        <v>149.76</v>
      </c>
      <c r="BT282" s="9">
        <f>[1]monsters!$O282</f>
        <v>14.98</v>
      </c>
      <c r="BU282" s="9">
        <f>[1]monsters!$P282</f>
        <v>2773.33</v>
      </c>
      <c r="BV282" s="9">
        <f>[1]monsters!$Q282</f>
        <v>277.33</v>
      </c>
      <c r="BW282" s="9">
        <f>[1]monsters!$R282</f>
        <v>29.95</v>
      </c>
      <c r="BX282" s="9">
        <f>[1]monsters!$S282</f>
        <v>3</v>
      </c>
      <c r="BY282" s="9">
        <f>[1]monsters!$K282</f>
        <v>1.2</v>
      </c>
      <c r="BZ282" s="7">
        <f>[1]monsters!$D282</f>
        <v>3</v>
      </c>
      <c r="CA282" s="7">
        <f t="shared" si="192"/>
        <v>0.1</v>
      </c>
      <c r="CB282" s="7">
        <f t="shared" si="193"/>
        <v>234.90131447811447</v>
      </c>
      <c r="CC282" s="7">
        <f t="shared" si="194"/>
        <v>23.49013144781145</v>
      </c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>
        <v>0</v>
      </c>
      <c r="CR282" s="25"/>
      <c r="CS282" s="25"/>
      <c r="CT282" s="25"/>
      <c r="CU282" s="25"/>
      <c r="CV282" s="25"/>
      <c r="CW282" s="25"/>
      <c r="DP282" s="32"/>
      <c r="DQ282" s="32"/>
      <c r="DR282" s="36"/>
      <c r="DS282" s="36"/>
      <c r="DT282" s="36"/>
      <c r="DU282" s="36"/>
      <c r="DV282" s="36"/>
      <c r="DW282" s="36"/>
      <c r="DX282" s="36"/>
      <c r="DY282" s="36"/>
      <c r="DZ282" s="36"/>
      <c r="EA282" s="25"/>
      <c r="EB282" s="45"/>
      <c r="EC282" s="16">
        <v>5301101</v>
      </c>
      <c r="ED282" s="40" t="s">
        <v>113</v>
      </c>
      <c r="EE282" s="16">
        <v>1</v>
      </c>
    </row>
    <row r="283" spans="11:135" ht="13.5" customHeight="1">
      <c r="K283" s="2"/>
      <c r="O283" s="25"/>
      <c r="AI283" s="28"/>
      <c r="AJ283" s="28"/>
      <c r="AK283" s="28"/>
      <c r="AL283" s="28"/>
      <c r="AM283" s="28"/>
      <c r="AN283" s="28"/>
      <c r="AO283" s="30"/>
      <c r="AP283" s="28"/>
      <c r="AS283" s="28"/>
      <c r="AT283" s="28"/>
      <c r="AU283" s="30"/>
      <c r="AV283" s="28"/>
      <c r="AW283" s="28"/>
      <c r="AX283" s="28"/>
      <c r="AZ283" s="28"/>
      <c r="BA283" s="16" t="e">
        <f t="shared" si="190"/>
        <v>#DIV/0!</v>
      </c>
      <c r="BC283" s="7" t="e">
        <f t="shared" si="191"/>
        <v>#N/A</v>
      </c>
      <c r="BR283" s="7">
        <v>5400083</v>
      </c>
      <c r="BS283" s="9">
        <f>[1]monsters!$N283</f>
        <v>266.24</v>
      </c>
      <c r="BT283" s="9">
        <f>[1]monsters!$O283</f>
        <v>26.62</v>
      </c>
      <c r="BU283" s="9">
        <f>[1]monsters!$P283</f>
        <v>2080</v>
      </c>
      <c r="BV283" s="9">
        <f>[1]monsters!$Q283</f>
        <v>208</v>
      </c>
      <c r="BW283" s="9">
        <f>[1]monsters!$R283</f>
        <v>38.03</v>
      </c>
      <c r="BX283" s="9">
        <f>[1]monsters!$S283</f>
        <v>3.8</v>
      </c>
      <c r="BY283" s="9">
        <f>[1]monsters!$K283</f>
        <v>1.6</v>
      </c>
      <c r="BZ283" s="7">
        <f>[1]monsters!$D283</f>
        <v>4</v>
      </c>
      <c r="CA283" s="7">
        <f t="shared" si="192"/>
        <v>0.1</v>
      </c>
      <c r="CB283" s="7">
        <f t="shared" si="193"/>
        <v>321.63047003367006</v>
      </c>
      <c r="CC283" s="7">
        <f t="shared" si="194"/>
        <v>32.163047003367005</v>
      </c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>
        <v>1</v>
      </c>
      <c r="CR283" s="25"/>
      <c r="CS283" s="25"/>
      <c r="CT283" s="25"/>
      <c r="CU283" s="25"/>
      <c r="CV283" s="25"/>
      <c r="CW283" s="25"/>
      <c r="DP283" s="32"/>
      <c r="DQ283" s="32"/>
      <c r="DR283" s="32"/>
      <c r="DS283" s="36"/>
      <c r="DT283" s="36"/>
      <c r="DU283" s="36"/>
      <c r="DV283" s="36"/>
      <c r="DW283" s="36"/>
      <c r="DX283" s="36"/>
      <c r="DY283" s="36"/>
      <c r="DZ283" s="36"/>
      <c r="EA283" s="25"/>
      <c r="EB283" s="45"/>
      <c r="EC283" s="16">
        <v>5401101</v>
      </c>
      <c r="ED283" s="40" t="s">
        <v>123</v>
      </c>
      <c r="EE283" s="16">
        <v>2</v>
      </c>
    </row>
    <row r="284" spans="11:135" ht="13.5" customHeight="1">
      <c r="K284" s="2"/>
      <c r="L284" s="18"/>
      <c r="O284" s="25"/>
      <c r="AI284" s="28"/>
      <c r="AJ284" s="28"/>
      <c r="AK284" s="28"/>
      <c r="AL284" s="28"/>
      <c r="AM284" s="28"/>
      <c r="AN284" s="28"/>
      <c r="AO284" s="30"/>
      <c r="AP284" s="28"/>
      <c r="AS284" s="28"/>
      <c r="AT284" s="28"/>
      <c r="AU284" s="30"/>
      <c r="AV284" s="28"/>
      <c r="AW284" s="28"/>
      <c r="AX284" s="28"/>
      <c r="AZ284" s="28"/>
      <c r="BA284" s="16" t="e">
        <f t="shared" si="190"/>
        <v>#DIV/0!</v>
      </c>
      <c r="BC284" s="7" t="e">
        <f t="shared" si="191"/>
        <v>#N/A</v>
      </c>
      <c r="BR284" s="7">
        <v>5401083</v>
      </c>
      <c r="BS284" s="9">
        <f>[1]monsters!$N284</f>
        <v>249.6</v>
      </c>
      <c r="BT284" s="9">
        <f>[1]monsters!$O284</f>
        <v>24.96</v>
      </c>
      <c r="BU284" s="9">
        <f>[1]monsters!$P284</f>
        <v>2080</v>
      </c>
      <c r="BV284" s="9">
        <f>[1]monsters!$Q284</f>
        <v>208</v>
      </c>
      <c r="BW284" s="9">
        <f>[1]monsters!$R284</f>
        <v>35.659999999999997</v>
      </c>
      <c r="BX284" s="9">
        <f>[1]monsters!$S284</f>
        <v>3.57</v>
      </c>
      <c r="BY284" s="9">
        <f>[1]monsters!$K284</f>
        <v>1.5</v>
      </c>
      <c r="BZ284" s="7">
        <f>[1]monsters!$D284</f>
        <v>4</v>
      </c>
      <c r="CA284" s="7">
        <f t="shared" si="192"/>
        <v>0.1</v>
      </c>
      <c r="CB284" s="7">
        <f t="shared" si="193"/>
        <v>305.90567003367005</v>
      </c>
      <c r="CC284" s="7">
        <f t="shared" si="194"/>
        <v>30.590567003367006</v>
      </c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>
        <v>0</v>
      </c>
      <c r="CR284" s="25"/>
      <c r="CS284" s="25"/>
      <c r="CT284" s="25"/>
      <c r="CU284" s="25"/>
      <c r="CV284" s="25"/>
      <c r="CW284" s="25"/>
      <c r="DP284" s="32"/>
      <c r="DQ284" s="32"/>
      <c r="DR284" s="36"/>
      <c r="DS284" s="14"/>
      <c r="DT284" s="36"/>
      <c r="DU284" s="36"/>
      <c r="DV284" s="36"/>
      <c r="DW284" s="36"/>
      <c r="DX284" s="36"/>
      <c r="DY284" s="36"/>
      <c r="DZ284" s="36"/>
      <c r="EA284" s="25"/>
      <c r="EB284" s="45"/>
      <c r="EC284" s="16">
        <v>5402101</v>
      </c>
      <c r="ED284" s="40" t="s">
        <v>207</v>
      </c>
      <c r="EE284" s="16">
        <v>2</v>
      </c>
    </row>
    <row r="285" spans="11:135" ht="13.5" customHeight="1">
      <c r="K285" s="2"/>
      <c r="L285" s="18"/>
      <c r="O285" s="25"/>
      <c r="AI285" s="28"/>
      <c r="AJ285" s="28"/>
      <c r="AK285" s="28"/>
      <c r="AL285" s="28"/>
      <c r="AM285" s="28"/>
      <c r="AN285" s="28"/>
      <c r="AO285" s="30"/>
      <c r="AP285" s="28"/>
      <c r="AS285" s="28"/>
      <c r="AT285" s="28"/>
      <c r="AU285" s="30"/>
      <c r="AV285" s="28"/>
      <c r="AW285" s="28"/>
      <c r="AX285" s="28"/>
      <c r="AZ285" s="28"/>
      <c r="BA285" s="16" t="e">
        <f t="shared" si="190"/>
        <v>#DIV/0!</v>
      </c>
      <c r="BC285" s="7" t="e">
        <f t="shared" si="191"/>
        <v>#N/A</v>
      </c>
      <c r="BR285" s="7">
        <v>5501083</v>
      </c>
      <c r="BS285" s="9">
        <f>[1]monsters!$N285</f>
        <v>291.2</v>
      </c>
      <c r="BT285" s="9">
        <f>[1]monsters!$O285</f>
        <v>29.12</v>
      </c>
      <c r="BU285" s="9">
        <f>[1]monsters!$P285</f>
        <v>1782.86</v>
      </c>
      <c r="BV285" s="9">
        <f>[1]monsters!$Q285</f>
        <v>178.29</v>
      </c>
      <c r="BW285" s="9">
        <f>[1]monsters!$R285</f>
        <v>36.4</v>
      </c>
      <c r="BX285" s="9">
        <f>[1]monsters!$S285</f>
        <v>3.64</v>
      </c>
      <c r="BY285" s="9">
        <f>[1]monsters!$K285</f>
        <v>1.5</v>
      </c>
      <c r="BZ285" s="7">
        <f>[1]monsters!$D285</f>
        <v>5</v>
      </c>
      <c r="CA285" s="7">
        <f t="shared" si="192"/>
        <v>0.1</v>
      </c>
      <c r="CB285" s="7">
        <f t="shared" si="193"/>
        <v>335.21295622895627</v>
      </c>
      <c r="CC285" s="7">
        <f t="shared" si="194"/>
        <v>33.521295622895629</v>
      </c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>
        <v>0</v>
      </c>
      <c r="CR285" s="25"/>
      <c r="CS285" s="25"/>
      <c r="CT285" s="25"/>
      <c r="CU285" s="25"/>
      <c r="CV285" s="25"/>
      <c r="CW285" s="25"/>
      <c r="DP285" s="32"/>
      <c r="DQ285" s="32"/>
      <c r="DR285" s="32"/>
      <c r="DS285" s="36"/>
      <c r="DT285" s="36"/>
      <c r="DU285" s="36"/>
      <c r="DV285" s="36"/>
      <c r="DW285" s="36"/>
      <c r="DX285" s="36"/>
      <c r="DY285" s="36"/>
      <c r="DZ285" s="36"/>
      <c r="EA285" s="25"/>
      <c r="EB285" s="45"/>
      <c r="EC285" s="16">
        <v>5500101</v>
      </c>
      <c r="ED285" s="40" t="s">
        <v>208</v>
      </c>
      <c r="EE285" s="16">
        <v>2</v>
      </c>
    </row>
    <row r="286" spans="11:135" ht="13.5" customHeight="1">
      <c r="K286" s="2"/>
      <c r="L286" s="18"/>
      <c r="O286" s="25"/>
      <c r="AI286" s="28"/>
      <c r="AJ286" s="28"/>
      <c r="AK286" s="28"/>
      <c r="AL286" s="28"/>
      <c r="AM286" s="28"/>
      <c r="AN286" s="28"/>
      <c r="AO286" s="30"/>
      <c r="AP286" s="28"/>
      <c r="AS286" s="28"/>
      <c r="AT286" s="28"/>
      <c r="AU286" s="30"/>
      <c r="AV286" s="28"/>
      <c r="AW286" s="28"/>
      <c r="AX286" s="28"/>
      <c r="AZ286" s="28"/>
      <c r="BA286" s="16" t="e">
        <f t="shared" si="190"/>
        <v>#DIV/0!</v>
      </c>
      <c r="BC286" s="7" t="e">
        <f t="shared" si="191"/>
        <v>#N/A</v>
      </c>
      <c r="BR286" s="7">
        <v>5502083</v>
      </c>
      <c r="BS286" s="9">
        <f>[1]monsters!$N286</f>
        <v>271.79000000000002</v>
      </c>
      <c r="BT286" s="9">
        <f>[1]monsters!$O286</f>
        <v>27.18</v>
      </c>
      <c r="BU286" s="9">
        <f>[1]monsters!$P286</f>
        <v>1782.86</v>
      </c>
      <c r="BV286" s="9">
        <f>[1]monsters!$Q286</f>
        <v>178.29</v>
      </c>
      <c r="BW286" s="9">
        <f>[1]monsters!$R286</f>
        <v>33.97</v>
      </c>
      <c r="BX286" s="9">
        <f>[1]monsters!$S286</f>
        <v>3.4</v>
      </c>
      <c r="BY286" s="9">
        <f>[1]monsters!$K286</f>
        <v>1.4000000000000001</v>
      </c>
      <c r="BZ286" s="7">
        <f>[1]monsters!$D286</f>
        <v>5</v>
      </c>
      <c r="CA286" s="7">
        <f t="shared" si="192"/>
        <v>0.1</v>
      </c>
      <c r="CB286" s="7">
        <f t="shared" si="193"/>
        <v>316.87050622895629</v>
      </c>
      <c r="CC286" s="7">
        <f t="shared" si="194"/>
        <v>31.687050622895629</v>
      </c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>
        <v>0</v>
      </c>
      <c r="CR286" s="25"/>
      <c r="CS286" s="25"/>
      <c r="CT286" s="25"/>
      <c r="CU286" s="25"/>
      <c r="CV286" s="25"/>
      <c r="CW286" s="25"/>
      <c r="DP286" s="32"/>
      <c r="DQ286" s="32"/>
      <c r="DR286" s="32"/>
      <c r="DS286" s="32"/>
      <c r="DT286" s="32"/>
      <c r="DU286" s="32"/>
      <c r="DV286" s="32"/>
      <c r="DW286" s="32"/>
      <c r="DX286" s="32"/>
      <c r="DY286" s="32"/>
      <c r="DZ286" s="32"/>
      <c r="EA286" s="25"/>
      <c r="EB286" s="45"/>
      <c r="EC286" s="16">
        <v>5502101</v>
      </c>
      <c r="ED286" s="40" t="s">
        <v>130</v>
      </c>
      <c r="EE286" s="16">
        <v>2</v>
      </c>
    </row>
    <row r="287" spans="11:135" ht="13.5" customHeight="1">
      <c r="K287" s="2"/>
      <c r="L287" s="18"/>
      <c r="O287" s="25"/>
      <c r="AI287" s="28"/>
      <c r="AJ287" s="28"/>
      <c r="AK287" s="28"/>
      <c r="AL287" s="28"/>
      <c r="AM287" s="28"/>
      <c r="AN287" s="28"/>
      <c r="AO287" s="30"/>
      <c r="AP287" s="28"/>
      <c r="AS287" s="28"/>
      <c r="AT287" s="28"/>
      <c r="AU287" s="30"/>
      <c r="AV287" s="28"/>
      <c r="AW287" s="28"/>
      <c r="AX287" s="28"/>
      <c r="AZ287" s="28"/>
      <c r="BA287" s="16" t="e">
        <f t="shared" si="190"/>
        <v>#DIV/0!</v>
      </c>
      <c r="BC287" s="7" t="e">
        <f t="shared" si="191"/>
        <v>#N/A</v>
      </c>
      <c r="BR287" s="7">
        <v>5600083</v>
      </c>
      <c r="BS287" s="9">
        <f>[1]monsters!$N287</f>
        <v>322.39999999999998</v>
      </c>
      <c r="BT287" s="9">
        <f>[1]monsters!$O287</f>
        <v>32.24</v>
      </c>
      <c r="BU287" s="9">
        <f>[1]monsters!$P287</f>
        <v>1610.32</v>
      </c>
      <c r="BV287" s="9">
        <f>[1]monsters!$Q287</f>
        <v>161.03</v>
      </c>
      <c r="BW287" s="9">
        <f>[1]monsters!$R287</f>
        <v>32.24</v>
      </c>
      <c r="BX287" s="9">
        <f>[1]monsters!$S287</f>
        <v>3.22</v>
      </c>
      <c r="BY287" s="9">
        <f>[1]monsters!$K287</f>
        <v>1.5</v>
      </c>
      <c r="BZ287" s="7">
        <f>[1]monsters!$D287</f>
        <v>6</v>
      </c>
      <c r="CA287" s="7">
        <f t="shared" si="192"/>
        <v>0.1</v>
      </c>
      <c r="CB287" s="7">
        <f t="shared" si="193"/>
        <v>358.88752861952861</v>
      </c>
      <c r="CC287" s="7">
        <f t="shared" si="194"/>
        <v>35.88875286195286</v>
      </c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>
        <v>0</v>
      </c>
      <c r="CR287" s="25"/>
      <c r="CS287" s="25"/>
      <c r="CT287" s="25"/>
      <c r="CU287" s="25"/>
      <c r="CV287" s="25"/>
      <c r="CW287" s="25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25"/>
      <c r="EB287" s="45"/>
      <c r="EC287" s="16">
        <v>5601101</v>
      </c>
      <c r="ED287" s="40" t="s">
        <v>209</v>
      </c>
      <c r="EE287" s="16">
        <v>2</v>
      </c>
    </row>
    <row r="288" spans="11:135" ht="13.5" customHeight="1">
      <c r="K288" s="2"/>
      <c r="O288" s="25"/>
      <c r="AI288" s="28"/>
      <c r="AJ288" s="28"/>
      <c r="AK288" s="28"/>
      <c r="AL288" s="28"/>
      <c r="AM288" s="28"/>
      <c r="AN288" s="28"/>
      <c r="AO288" s="30"/>
      <c r="AP288" s="28"/>
      <c r="AS288" s="28"/>
      <c r="AT288" s="28"/>
      <c r="AU288" s="30"/>
      <c r="AV288" s="28"/>
      <c r="AW288" s="28"/>
      <c r="AX288" s="28"/>
      <c r="AZ288" s="28"/>
      <c r="BA288" s="16" t="e">
        <f t="shared" si="190"/>
        <v>#DIV/0!</v>
      </c>
      <c r="BC288" s="7" t="e">
        <f t="shared" si="191"/>
        <v>#N/A</v>
      </c>
      <c r="BR288" s="7">
        <v>5601083</v>
      </c>
      <c r="BS288" s="9">
        <f>[1]monsters!$N288</f>
        <v>208</v>
      </c>
      <c r="BT288" s="9">
        <f>[1]monsters!$O288</f>
        <v>20.8</v>
      </c>
      <c r="BU288" s="9">
        <f>[1]monsters!$P288</f>
        <v>2496</v>
      </c>
      <c r="BV288" s="9">
        <f>[1]monsters!$Q288</f>
        <v>249.6</v>
      </c>
      <c r="BW288" s="9">
        <f>[1]monsters!$R288</f>
        <v>52</v>
      </c>
      <c r="BX288" s="9">
        <f>[1]monsters!$S288</f>
        <v>5.2</v>
      </c>
      <c r="BY288" s="9">
        <f>[1]monsters!$K288</f>
        <v>1.5</v>
      </c>
      <c r="BZ288" s="7">
        <f>[1]monsters!$D288</f>
        <v>2</v>
      </c>
      <c r="CA288" s="7">
        <f t="shared" si="192"/>
        <v>0.1</v>
      </c>
      <c r="CB288" s="7">
        <f t="shared" si="193"/>
        <v>280.60040404040404</v>
      </c>
      <c r="CC288" s="7">
        <f t="shared" si="194"/>
        <v>28.060040404040407</v>
      </c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>
        <v>1</v>
      </c>
      <c r="CR288" s="25"/>
      <c r="CS288" s="25"/>
      <c r="CT288" s="25"/>
      <c r="CU288" s="25"/>
      <c r="CV288" s="25"/>
      <c r="CW288" s="25"/>
      <c r="DP288" s="32"/>
      <c r="DQ288" s="32"/>
      <c r="DR288" s="32"/>
      <c r="DS288" s="32"/>
      <c r="DT288" s="32"/>
      <c r="DU288" s="32"/>
      <c r="DV288" s="32"/>
      <c r="DW288" s="32"/>
      <c r="DX288" s="32"/>
      <c r="DY288" s="32"/>
      <c r="DZ288" s="32"/>
      <c r="EA288" s="25"/>
      <c r="EB288" s="45"/>
      <c r="EC288" s="16">
        <v>5200102</v>
      </c>
      <c r="ED288" s="40" t="s">
        <v>210</v>
      </c>
      <c r="EE288" s="16">
        <v>1</v>
      </c>
    </row>
    <row r="289" spans="11:135" ht="13.5" customHeight="1">
      <c r="K289" s="2"/>
      <c r="L289" s="18"/>
      <c r="O289" s="25"/>
      <c r="AI289" s="28"/>
      <c r="AJ289" s="28"/>
      <c r="AK289" s="28"/>
      <c r="AL289" s="28"/>
      <c r="AM289" s="28"/>
      <c r="AN289" s="28"/>
      <c r="AO289" s="30"/>
      <c r="AP289" s="28"/>
      <c r="AS289" s="28"/>
      <c r="AT289" s="28"/>
      <c r="AU289" s="30"/>
      <c r="AV289" s="28"/>
      <c r="AW289" s="28"/>
      <c r="AX289" s="28"/>
      <c r="AZ289" s="28"/>
      <c r="BA289" s="16" t="e">
        <f t="shared" si="190"/>
        <v>#DIV/0!</v>
      </c>
      <c r="BC289" s="7" t="e">
        <f t="shared" si="191"/>
        <v>#N/A</v>
      </c>
      <c r="BR289" s="7">
        <v>5200084</v>
      </c>
      <c r="BS289" s="9">
        <f>[1]monsters!$N289</f>
        <v>199.68</v>
      </c>
      <c r="BT289" s="9">
        <f>[1]monsters!$O289</f>
        <v>19.97</v>
      </c>
      <c r="BU289" s="9">
        <f>[1]monsters!$P289</f>
        <v>3120</v>
      </c>
      <c r="BV289" s="9">
        <f>[1]monsters!$Q289</f>
        <v>312</v>
      </c>
      <c r="BW289" s="9">
        <f>[1]monsters!$R289</f>
        <v>66.56</v>
      </c>
      <c r="BX289" s="9">
        <f>[1]monsters!$S289</f>
        <v>6.66</v>
      </c>
      <c r="BY289" s="9">
        <f>[1]monsters!$K289</f>
        <v>1.8</v>
      </c>
      <c r="BZ289" s="7">
        <f>[1]monsters!$D289</f>
        <v>2</v>
      </c>
      <c r="CA289" s="7">
        <f t="shared" si="192"/>
        <v>0.1</v>
      </c>
      <c r="CB289" s="7">
        <f t="shared" si="193"/>
        <v>293.74810505050505</v>
      </c>
      <c r="CC289" s="7">
        <f t="shared" si="194"/>
        <v>29.374810505050505</v>
      </c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>
        <v>0</v>
      </c>
      <c r="CR289" s="25"/>
      <c r="CS289" s="25"/>
      <c r="CT289" s="25"/>
      <c r="CU289" s="25"/>
      <c r="CV289" s="25"/>
      <c r="CW289" s="25"/>
      <c r="DP289" s="13"/>
      <c r="DQ289" s="32"/>
      <c r="DR289" s="13"/>
      <c r="DS289" s="32"/>
      <c r="DT289" s="32"/>
      <c r="DU289" s="32"/>
      <c r="DV289" s="32"/>
      <c r="DW289" s="32"/>
      <c r="DX289" s="32"/>
      <c r="DY289" s="32"/>
      <c r="DZ289" s="32"/>
      <c r="EA289" s="25"/>
      <c r="EB289" s="44"/>
      <c r="EC289" s="16">
        <v>5201102</v>
      </c>
      <c r="ED289" s="40" t="s">
        <v>120</v>
      </c>
      <c r="EE289" s="16">
        <v>1</v>
      </c>
    </row>
    <row r="290" spans="11:135" ht="13.5" customHeight="1">
      <c r="K290" s="2"/>
      <c r="L290" s="18"/>
      <c r="O290" s="25"/>
      <c r="AI290" s="28"/>
      <c r="AJ290" s="28"/>
      <c r="AK290" s="28"/>
      <c r="AL290" s="28"/>
      <c r="AM290" s="28"/>
      <c r="AN290" s="28"/>
      <c r="AO290" s="30"/>
      <c r="AP290" s="28"/>
      <c r="AS290" s="28"/>
      <c r="AT290" s="28"/>
      <c r="AU290" s="30"/>
      <c r="AV290" s="28"/>
      <c r="AW290" s="28"/>
      <c r="AX290" s="28"/>
      <c r="AZ290" s="28"/>
      <c r="BA290" s="16" t="e">
        <f t="shared" si="190"/>
        <v>#DIV/0!</v>
      </c>
      <c r="BC290" s="7" t="e">
        <f t="shared" si="191"/>
        <v>#N/A</v>
      </c>
      <c r="BR290" s="7">
        <v>5201084</v>
      </c>
      <c r="BS290" s="9">
        <f>[1]monsters!$N290</f>
        <v>224.64</v>
      </c>
      <c r="BT290" s="9">
        <f>[1]monsters!$O290</f>
        <v>22.46</v>
      </c>
      <c r="BU290" s="9">
        <f>[1]monsters!$P290</f>
        <v>2773.33</v>
      </c>
      <c r="BV290" s="9">
        <f>[1]monsters!$Q290</f>
        <v>277.33</v>
      </c>
      <c r="BW290" s="9">
        <f>[1]monsters!$R290</f>
        <v>44.93</v>
      </c>
      <c r="BX290" s="9">
        <f>[1]monsters!$S290</f>
        <v>4.49</v>
      </c>
      <c r="BY290" s="9">
        <f>[1]monsters!$K290</f>
        <v>1.8</v>
      </c>
      <c r="BZ290" s="7">
        <f>[1]monsters!$D290</f>
        <v>2</v>
      </c>
      <c r="CA290" s="7">
        <f t="shared" si="192"/>
        <v>0.1</v>
      </c>
      <c r="CB290" s="7">
        <f t="shared" si="193"/>
        <v>305.66291447811443</v>
      </c>
      <c r="CC290" s="7">
        <f t="shared" si="194"/>
        <v>30.566291447811444</v>
      </c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>
        <v>0</v>
      </c>
      <c r="CR290" s="25"/>
      <c r="CS290" s="25"/>
      <c r="CT290" s="25"/>
      <c r="CU290" s="25"/>
      <c r="CV290" s="25"/>
      <c r="CW290" s="25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25"/>
      <c r="EB290" s="45"/>
      <c r="EC290" s="16">
        <v>5202102</v>
      </c>
      <c r="ED290" s="40" t="s">
        <v>211</v>
      </c>
      <c r="EE290" s="16">
        <v>1</v>
      </c>
    </row>
    <row r="291" spans="11:135" ht="13.5" customHeight="1">
      <c r="K291" s="2"/>
      <c r="L291" s="18"/>
      <c r="O291" s="25"/>
      <c r="AI291" s="28"/>
      <c r="AJ291" s="28"/>
      <c r="AK291" s="28"/>
      <c r="AL291" s="28"/>
      <c r="AM291" s="28"/>
      <c r="AN291" s="28"/>
      <c r="AO291" s="30"/>
      <c r="AP291" s="28"/>
      <c r="AS291" s="28"/>
      <c r="AT291" s="28"/>
      <c r="AU291" s="30"/>
      <c r="AV291" s="28"/>
      <c r="AW291" s="28"/>
      <c r="AX291" s="28"/>
      <c r="AZ291" s="28"/>
      <c r="BA291" s="16" t="e">
        <f t="shared" si="190"/>
        <v>#DIV/0!</v>
      </c>
      <c r="BC291" s="7" t="e">
        <f t="shared" si="191"/>
        <v>#N/A</v>
      </c>
      <c r="BR291" s="7">
        <v>5300084</v>
      </c>
      <c r="BS291" s="9">
        <f>[1]monsters!$N291</f>
        <v>149.76</v>
      </c>
      <c r="BT291" s="9">
        <f>[1]monsters!$O291</f>
        <v>14.98</v>
      </c>
      <c r="BU291" s="9">
        <f>[1]monsters!$P291</f>
        <v>2773.33</v>
      </c>
      <c r="BV291" s="9">
        <f>[1]monsters!$Q291</f>
        <v>277.33</v>
      </c>
      <c r="BW291" s="9">
        <f>[1]monsters!$R291</f>
        <v>29.95</v>
      </c>
      <c r="BX291" s="9">
        <f>[1]monsters!$S291</f>
        <v>3</v>
      </c>
      <c r="BY291" s="9">
        <f>[1]monsters!$K291</f>
        <v>1.2</v>
      </c>
      <c r="BZ291" s="7">
        <f>[1]monsters!$D291</f>
        <v>3</v>
      </c>
      <c r="CA291" s="7">
        <f t="shared" si="192"/>
        <v>0.1</v>
      </c>
      <c r="CB291" s="7">
        <f t="shared" si="193"/>
        <v>234.90131447811447</v>
      </c>
      <c r="CC291" s="7">
        <f t="shared" si="194"/>
        <v>23.49013144781145</v>
      </c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>
        <v>0</v>
      </c>
      <c r="CR291" s="25"/>
      <c r="CS291" s="25"/>
      <c r="CT291" s="25"/>
      <c r="CU291" s="25"/>
      <c r="CV291" s="25"/>
      <c r="CW291" s="25"/>
      <c r="DP291" s="32"/>
      <c r="DQ291" s="32"/>
      <c r="DR291" s="36"/>
      <c r="DS291" s="36"/>
      <c r="DT291" s="32"/>
      <c r="DU291" s="32"/>
      <c r="DV291" s="32"/>
      <c r="DW291" s="32"/>
      <c r="DX291" s="32"/>
      <c r="DY291" s="32"/>
      <c r="DZ291" s="32"/>
      <c r="EA291" s="25"/>
      <c r="EB291" s="45"/>
      <c r="EC291" s="16">
        <v>5301102</v>
      </c>
      <c r="ED291" s="40" t="s">
        <v>212</v>
      </c>
      <c r="EE291" s="16">
        <v>1</v>
      </c>
    </row>
    <row r="292" spans="11:135" ht="13.5" customHeight="1">
      <c r="K292" s="2"/>
      <c r="L292" s="18"/>
      <c r="O292" s="25"/>
      <c r="AI292" s="28"/>
      <c r="AJ292" s="28"/>
      <c r="AK292" s="28"/>
      <c r="AL292" s="28"/>
      <c r="AM292" s="28"/>
      <c r="AN292" s="28"/>
      <c r="AO292" s="30"/>
      <c r="AP292" s="28"/>
      <c r="AS292" s="28"/>
      <c r="AT292" s="28"/>
      <c r="AU292" s="30"/>
      <c r="AV292" s="28"/>
      <c r="AW292" s="28"/>
      <c r="AX292" s="28"/>
      <c r="AZ292" s="28"/>
      <c r="BA292" s="16" t="e">
        <f t="shared" si="190"/>
        <v>#DIV/0!</v>
      </c>
      <c r="BC292" s="7" t="e">
        <f t="shared" si="191"/>
        <v>#N/A</v>
      </c>
      <c r="BR292" s="7">
        <v>5301084</v>
      </c>
      <c r="BS292" s="9">
        <f>[1]monsters!$N292</f>
        <v>266.24</v>
      </c>
      <c r="BT292" s="9">
        <f>[1]monsters!$O292</f>
        <v>26.62</v>
      </c>
      <c r="BU292" s="9">
        <f>[1]monsters!$P292</f>
        <v>2080</v>
      </c>
      <c r="BV292" s="9">
        <f>[1]monsters!$Q292</f>
        <v>208</v>
      </c>
      <c r="BW292" s="9">
        <f>[1]monsters!$R292</f>
        <v>38.03</v>
      </c>
      <c r="BX292" s="9">
        <f>[1]monsters!$S292</f>
        <v>3.8</v>
      </c>
      <c r="BY292" s="9">
        <f>[1]monsters!$K292</f>
        <v>1.6</v>
      </c>
      <c r="BZ292" s="7">
        <f>[1]monsters!$D292</f>
        <v>4</v>
      </c>
      <c r="CA292" s="7">
        <f t="shared" si="192"/>
        <v>0.1</v>
      </c>
      <c r="CB292" s="7">
        <f t="shared" si="193"/>
        <v>321.63047003367006</v>
      </c>
      <c r="CC292" s="7">
        <f t="shared" si="194"/>
        <v>32.163047003367005</v>
      </c>
      <c r="CD292" s="7"/>
      <c r="CE292" s="7"/>
      <c r="CF292" s="7"/>
      <c r="CG292" s="7"/>
      <c r="CH292" s="7"/>
      <c r="CI292" s="7"/>
      <c r="CJ292" s="7"/>
      <c r="CK292" s="7"/>
      <c r="CL292" s="7"/>
      <c r="CM292" s="7"/>
      <c r="CN292" s="7"/>
      <c r="CO292" s="7"/>
      <c r="CP292" s="7">
        <v>0</v>
      </c>
      <c r="CR292" s="25"/>
      <c r="CS292" s="25"/>
      <c r="CT292" s="25"/>
      <c r="CU292" s="25"/>
      <c r="CV292" s="25"/>
      <c r="CW292" s="25"/>
      <c r="DP292" s="32"/>
      <c r="DQ292" s="32"/>
      <c r="DR292" s="36"/>
      <c r="DS292" s="36"/>
      <c r="DT292" s="36"/>
      <c r="DU292" s="36"/>
      <c r="DV292" s="36"/>
      <c r="DW292" s="36"/>
      <c r="DX292" s="36"/>
      <c r="DY292" s="36"/>
      <c r="DZ292" s="36"/>
      <c r="EA292" s="25"/>
      <c r="EB292" s="45"/>
      <c r="EC292" s="16">
        <v>5401102</v>
      </c>
      <c r="ED292" s="40" t="s">
        <v>213</v>
      </c>
      <c r="EE292" s="16">
        <v>2</v>
      </c>
    </row>
    <row r="293" spans="11:135" ht="13.5" customHeight="1">
      <c r="K293" s="2"/>
      <c r="O293" s="25"/>
      <c r="AI293" s="28"/>
      <c r="AJ293" s="28"/>
      <c r="AK293" s="28"/>
      <c r="AL293" s="28"/>
      <c r="AM293" s="28"/>
      <c r="AN293" s="28"/>
      <c r="AO293" s="30"/>
      <c r="AP293" s="28"/>
      <c r="AS293" s="28"/>
      <c r="AT293" s="28"/>
      <c r="AU293" s="30"/>
      <c r="AV293" s="28"/>
      <c r="AW293" s="28"/>
      <c r="AX293" s="28"/>
      <c r="AZ293" s="28"/>
      <c r="BA293" s="16" t="e">
        <f t="shared" si="190"/>
        <v>#DIV/0!</v>
      </c>
      <c r="BC293" s="7" t="e">
        <f t="shared" si="191"/>
        <v>#N/A</v>
      </c>
      <c r="BR293" s="7">
        <v>5401084</v>
      </c>
      <c r="BS293" s="9">
        <f>[1]monsters!$N293</f>
        <v>249.6</v>
      </c>
      <c r="BT293" s="9">
        <f>[1]monsters!$O293</f>
        <v>24.96</v>
      </c>
      <c r="BU293" s="9">
        <f>[1]monsters!$P293</f>
        <v>2080</v>
      </c>
      <c r="BV293" s="9">
        <f>[1]monsters!$Q293</f>
        <v>208</v>
      </c>
      <c r="BW293" s="9">
        <f>[1]monsters!$R293</f>
        <v>35.659999999999997</v>
      </c>
      <c r="BX293" s="9">
        <f>[1]monsters!$S293</f>
        <v>3.57</v>
      </c>
      <c r="BY293" s="9">
        <f>[1]monsters!$K293</f>
        <v>1.5</v>
      </c>
      <c r="BZ293" s="7">
        <f>[1]monsters!$D293</f>
        <v>4</v>
      </c>
      <c r="CA293" s="7">
        <f t="shared" si="192"/>
        <v>0.1</v>
      </c>
      <c r="CB293" s="7">
        <f t="shared" si="193"/>
        <v>305.90567003367005</v>
      </c>
      <c r="CC293" s="7">
        <f t="shared" si="194"/>
        <v>30.590567003367006</v>
      </c>
      <c r="CD293" s="7"/>
      <c r="CE293" s="7"/>
      <c r="CF293" s="7"/>
      <c r="CG293" s="7"/>
      <c r="CH293" s="7"/>
      <c r="CI293" s="7"/>
      <c r="CJ293" s="7"/>
      <c r="CK293" s="7"/>
      <c r="CL293" s="7"/>
      <c r="CM293" s="7"/>
      <c r="CN293" s="7"/>
      <c r="CO293" s="7"/>
      <c r="CP293" s="7">
        <v>1</v>
      </c>
      <c r="CR293" s="25"/>
      <c r="CS293" s="25"/>
      <c r="CT293" s="25"/>
      <c r="CU293" s="25"/>
      <c r="CV293" s="25"/>
      <c r="CW293" s="25"/>
      <c r="DP293" s="32"/>
      <c r="DQ293" s="32"/>
      <c r="DR293" s="32"/>
      <c r="DS293" s="32"/>
      <c r="DT293" s="36"/>
      <c r="DU293" s="36"/>
      <c r="DV293" s="36"/>
      <c r="DW293" s="36"/>
      <c r="DX293" s="36"/>
      <c r="DY293" s="36"/>
      <c r="DZ293" s="36"/>
      <c r="EA293" s="25"/>
      <c r="EB293" s="45"/>
      <c r="EC293" s="16">
        <v>5402102</v>
      </c>
      <c r="ED293" s="40" t="s">
        <v>214</v>
      </c>
      <c r="EE293" s="16">
        <v>2</v>
      </c>
    </row>
    <row r="294" spans="11:135" ht="13.5" customHeight="1">
      <c r="K294" s="2"/>
      <c r="L294" s="18"/>
      <c r="O294" s="25"/>
      <c r="AI294" s="28"/>
      <c r="AJ294" s="28"/>
      <c r="AK294" s="28"/>
      <c r="AL294" s="28"/>
      <c r="AM294" s="28"/>
      <c r="AN294" s="28"/>
      <c r="AO294" s="30"/>
      <c r="AP294" s="28"/>
      <c r="AS294" s="28"/>
      <c r="AT294" s="28"/>
      <c r="AU294" s="30"/>
      <c r="AV294" s="28"/>
      <c r="AW294" s="28"/>
      <c r="AX294" s="28"/>
      <c r="AZ294" s="28"/>
      <c r="BA294" s="16" t="e">
        <f t="shared" si="190"/>
        <v>#DIV/0!</v>
      </c>
      <c r="BC294" s="7" t="e">
        <f t="shared" si="191"/>
        <v>#N/A</v>
      </c>
      <c r="BR294" s="7">
        <v>5402084</v>
      </c>
      <c r="BS294" s="9">
        <f>[1]monsters!$N294</f>
        <v>291.2</v>
      </c>
      <c r="BT294" s="9">
        <f>[1]monsters!$O294</f>
        <v>29.12</v>
      </c>
      <c r="BU294" s="9">
        <f>[1]monsters!$P294</f>
        <v>1782.86</v>
      </c>
      <c r="BV294" s="9">
        <f>[1]monsters!$Q294</f>
        <v>178.29</v>
      </c>
      <c r="BW294" s="9">
        <f>[1]monsters!$R294</f>
        <v>36.4</v>
      </c>
      <c r="BX294" s="9">
        <f>[1]monsters!$S294</f>
        <v>3.64</v>
      </c>
      <c r="BY294" s="9">
        <f>[1]monsters!$K294</f>
        <v>1.5</v>
      </c>
      <c r="BZ294" s="7">
        <f>[1]monsters!$D294</f>
        <v>5</v>
      </c>
      <c r="CA294" s="7">
        <f t="shared" si="192"/>
        <v>0.1</v>
      </c>
      <c r="CB294" s="7">
        <f t="shared" si="193"/>
        <v>335.21295622895627</v>
      </c>
      <c r="CC294" s="7">
        <f t="shared" si="194"/>
        <v>33.521295622895629</v>
      </c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>
        <v>0</v>
      </c>
      <c r="CR294" s="25"/>
      <c r="CS294" s="25"/>
      <c r="CT294" s="25"/>
      <c r="CU294" s="25"/>
      <c r="CV294" s="25"/>
      <c r="CW294" s="25"/>
      <c r="DP294" s="32"/>
      <c r="DQ294" s="32"/>
      <c r="DR294" s="32"/>
      <c r="DS294" s="36"/>
      <c r="DT294" s="36"/>
      <c r="DU294" s="36"/>
      <c r="DV294" s="36"/>
      <c r="DW294" s="36"/>
      <c r="DX294" s="36"/>
      <c r="DY294" s="36"/>
      <c r="DZ294" s="36"/>
      <c r="EA294" s="25"/>
      <c r="EB294" s="45"/>
      <c r="EC294" s="16">
        <v>5500102</v>
      </c>
      <c r="ED294" s="40" t="s">
        <v>115</v>
      </c>
      <c r="EE294" s="16">
        <v>2</v>
      </c>
    </row>
    <row r="295" spans="11:135" ht="13.5" customHeight="1">
      <c r="K295" s="2"/>
      <c r="L295" s="18"/>
      <c r="O295" s="25"/>
      <c r="AI295" s="28"/>
      <c r="AJ295" s="28"/>
      <c r="AK295" s="28"/>
      <c r="AL295" s="28"/>
      <c r="AM295" s="28"/>
      <c r="AN295" s="28"/>
      <c r="AO295" s="30"/>
      <c r="AP295" s="28"/>
      <c r="AS295" s="28"/>
      <c r="AT295" s="28"/>
      <c r="AU295" s="30"/>
      <c r="AV295" s="28"/>
      <c r="AW295" s="28"/>
      <c r="AX295" s="28"/>
      <c r="AZ295" s="28"/>
      <c r="BA295" s="16" t="e">
        <f t="shared" si="190"/>
        <v>#DIV/0!</v>
      </c>
      <c r="BC295" s="7" t="e">
        <f t="shared" si="191"/>
        <v>#N/A</v>
      </c>
      <c r="BR295" s="7">
        <v>5501084</v>
      </c>
      <c r="BS295" s="9">
        <f>[1]monsters!$N295</f>
        <v>271.79000000000002</v>
      </c>
      <c r="BT295" s="9">
        <f>[1]monsters!$O295</f>
        <v>27.18</v>
      </c>
      <c r="BU295" s="9">
        <f>[1]monsters!$P295</f>
        <v>1782.86</v>
      </c>
      <c r="BV295" s="9">
        <f>[1]monsters!$Q295</f>
        <v>178.29</v>
      </c>
      <c r="BW295" s="9">
        <f>[1]monsters!$R295</f>
        <v>33.97</v>
      </c>
      <c r="BX295" s="9">
        <f>[1]monsters!$S295</f>
        <v>3.4</v>
      </c>
      <c r="BY295" s="9">
        <f>[1]monsters!$K295</f>
        <v>1.4000000000000001</v>
      </c>
      <c r="BZ295" s="7">
        <f>[1]monsters!$D295</f>
        <v>5</v>
      </c>
      <c r="CA295" s="7">
        <f t="shared" si="192"/>
        <v>0.1</v>
      </c>
      <c r="CB295" s="7">
        <f t="shared" si="193"/>
        <v>316.87050622895629</v>
      </c>
      <c r="CC295" s="7">
        <f t="shared" si="194"/>
        <v>31.687050622895629</v>
      </c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>
        <v>0</v>
      </c>
      <c r="CR295" s="25"/>
      <c r="CS295" s="25"/>
      <c r="CT295" s="25"/>
      <c r="CU295" s="25"/>
      <c r="CV295" s="25"/>
      <c r="CW295" s="25"/>
      <c r="DP295" s="32"/>
      <c r="DQ295" s="32"/>
      <c r="DR295" s="32"/>
      <c r="DS295" s="36"/>
      <c r="DT295" s="36"/>
      <c r="DU295" s="36"/>
      <c r="DV295" s="36"/>
      <c r="DW295" s="36"/>
      <c r="DX295" s="36"/>
      <c r="DY295" s="36"/>
      <c r="DZ295" s="36"/>
      <c r="EA295" s="25"/>
      <c r="EB295" s="45"/>
      <c r="EC295" s="16">
        <v>5502102</v>
      </c>
      <c r="ED295" s="40" t="s">
        <v>215</v>
      </c>
      <c r="EE295" s="16">
        <v>2</v>
      </c>
    </row>
    <row r="296" spans="11:135" ht="13.5" customHeight="1">
      <c r="K296" s="2"/>
      <c r="L296" s="18"/>
      <c r="O296" s="25"/>
      <c r="AI296" s="28"/>
      <c r="AJ296" s="28"/>
      <c r="AK296" s="28"/>
      <c r="AL296" s="28"/>
      <c r="AM296" s="28"/>
      <c r="AN296" s="28"/>
      <c r="AO296" s="30"/>
      <c r="AP296" s="28"/>
      <c r="AS296" s="28"/>
      <c r="AT296" s="28"/>
      <c r="AU296" s="30"/>
      <c r="AV296" s="28"/>
      <c r="AW296" s="28"/>
      <c r="AX296" s="28"/>
      <c r="AZ296" s="28"/>
      <c r="BA296" s="16" t="e">
        <f t="shared" si="190"/>
        <v>#DIV/0!</v>
      </c>
      <c r="BC296" s="7" t="e">
        <f t="shared" si="191"/>
        <v>#N/A</v>
      </c>
      <c r="BR296" s="7">
        <v>5502084</v>
      </c>
      <c r="BS296" s="9">
        <f>[1]monsters!$N296</f>
        <v>322.39999999999998</v>
      </c>
      <c r="BT296" s="9">
        <f>[1]monsters!$O296</f>
        <v>32.24</v>
      </c>
      <c r="BU296" s="9">
        <f>[1]monsters!$P296</f>
        <v>1610.32</v>
      </c>
      <c r="BV296" s="9">
        <f>[1]monsters!$Q296</f>
        <v>161.03</v>
      </c>
      <c r="BW296" s="9">
        <f>[1]monsters!$R296</f>
        <v>32.24</v>
      </c>
      <c r="BX296" s="9">
        <f>[1]monsters!$S296</f>
        <v>3.22</v>
      </c>
      <c r="BY296" s="9">
        <f>[1]monsters!$K296</f>
        <v>1.5</v>
      </c>
      <c r="BZ296" s="7">
        <f>[1]monsters!$D296</f>
        <v>6</v>
      </c>
      <c r="CA296" s="7">
        <f t="shared" si="192"/>
        <v>0.1</v>
      </c>
      <c r="CB296" s="7">
        <f t="shared" si="193"/>
        <v>358.88752861952861</v>
      </c>
      <c r="CC296" s="7">
        <f t="shared" si="194"/>
        <v>35.88875286195286</v>
      </c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>
        <v>0</v>
      </c>
      <c r="CR296" s="25"/>
      <c r="CS296" s="25"/>
      <c r="CT296" s="25"/>
      <c r="CU296" s="25"/>
      <c r="CV296" s="25"/>
      <c r="CW296" s="25"/>
      <c r="DP296" s="32"/>
      <c r="DQ296" s="32"/>
      <c r="DR296" s="32"/>
      <c r="DS296" s="36"/>
      <c r="DT296" s="36"/>
      <c r="DU296" s="36"/>
      <c r="DV296" s="36"/>
      <c r="DW296" s="36"/>
      <c r="DX296" s="36"/>
      <c r="DY296" s="36"/>
      <c r="DZ296" s="36"/>
      <c r="EA296" s="25"/>
      <c r="EB296" s="45"/>
      <c r="EC296" s="16">
        <v>5601102</v>
      </c>
      <c r="ED296" s="40" t="s">
        <v>216</v>
      </c>
      <c r="EE296" s="16">
        <v>2</v>
      </c>
    </row>
    <row r="297" spans="11:135" ht="13.5" customHeight="1">
      <c r="K297" s="2"/>
      <c r="L297" s="18"/>
      <c r="O297" s="25"/>
      <c r="AI297" s="28"/>
      <c r="AJ297" s="28"/>
      <c r="AK297" s="28"/>
      <c r="AL297" s="28"/>
      <c r="AM297" s="28"/>
      <c r="AN297" s="28"/>
      <c r="AO297" s="30"/>
      <c r="AP297" s="28"/>
      <c r="AS297" s="28"/>
      <c r="AT297" s="28"/>
      <c r="AU297" s="30"/>
      <c r="AV297" s="28"/>
      <c r="AW297" s="28"/>
      <c r="AX297" s="28"/>
      <c r="AZ297" s="28"/>
      <c r="BA297" s="16" t="e">
        <f t="shared" si="190"/>
        <v>#DIV/0!</v>
      </c>
      <c r="BC297" s="7" t="e">
        <f t="shared" si="191"/>
        <v>#N/A</v>
      </c>
      <c r="BR297" s="7">
        <v>5600084</v>
      </c>
      <c r="BS297" s="9">
        <f>[1]monsters!$N297</f>
        <v>208</v>
      </c>
      <c r="BT297" s="9">
        <f>[1]monsters!$O297</f>
        <v>20.8</v>
      </c>
      <c r="BU297" s="9">
        <f>[1]monsters!$P297</f>
        <v>2496</v>
      </c>
      <c r="BV297" s="9">
        <f>[1]monsters!$Q297</f>
        <v>249.6</v>
      </c>
      <c r="BW297" s="9">
        <f>[1]monsters!$R297</f>
        <v>52</v>
      </c>
      <c r="BX297" s="9">
        <f>[1]monsters!$S297</f>
        <v>5.2</v>
      </c>
      <c r="BY297" s="9">
        <f>[1]monsters!$K297</f>
        <v>1.5</v>
      </c>
      <c r="BZ297" s="7">
        <f>[1]monsters!$D297</f>
        <v>2</v>
      </c>
      <c r="CA297" s="7">
        <f t="shared" si="192"/>
        <v>0.1</v>
      </c>
      <c r="CB297" s="7">
        <f t="shared" si="193"/>
        <v>280.60040404040404</v>
      </c>
      <c r="CC297" s="7">
        <f t="shared" si="194"/>
        <v>28.060040404040407</v>
      </c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>
        <v>0</v>
      </c>
      <c r="CR297" s="25"/>
      <c r="CS297" s="25"/>
      <c r="CT297" s="25"/>
      <c r="CU297" s="25"/>
      <c r="CV297" s="25"/>
      <c r="CW297" s="25"/>
      <c r="DP297" s="32"/>
      <c r="DQ297" s="32"/>
      <c r="DR297" s="32"/>
      <c r="DS297" s="36"/>
      <c r="DT297" s="36"/>
      <c r="DU297" s="36"/>
      <c r="DV297" s="36"/>
      <c r="DW297" s="36"/>
      <c r="DX297" s="36"/>
      <c r="DY297" s="36"/>
      <c r="DZ297" s="36"/>
      <c r="EA297" s="25"/>
      <c r="EB297" s="45"/>
      <c r="EC297" s="16">
        <v>5200103</v>
      </c>
      <c r="ED297" s="40" t="s">
        <v>119</v>
      </c>
      <c r="EE297" s="16">
        <v>1</v>
      </c>
    </row>
    <row r="298" spans="11:135" ht="13.5" customHeight="1">
      <c r="K298" s="2"/>
      <c r="O298" s="25"/>
      <c r="AI298" s="28"/>
      <c r="AJ298" s="28"/>
      <c r="AK298" s="28"/>
      <c r="AL298" s="28"/>
      <c r="AM298" s="28"/>
      <c r="AN298" s="28"/>
      <c r="AO298" s="30"/>
      <c r="AP298" s="28"/>
      <c r="AS298" s="28"/>
      <c r="AT298" s="28"/>
      <c r="AU298" s="30"/>
      <c r="AV298" s="28"/>
      <c r="AW298" s="28"/>
      <c r="AX298" s="28"/>
      <c r="AZ298" s="28"/>
      <c r="BA298" s="16" t="e">
        <f t="shared" si="190"/>
        <v>#DIV/0!</v>
      </c>
      <c r="BC298" s="7" t="e">
        <f t="shared" si="191"/>
        <v>#N/A</v>
      </c>
      <c r="BR298" s="7">
        <v>5601084</v>
      </c>
      <c r="BS298" s="9">
        <f>[1]monsters!$N298</f>
        <v>199.68</v>
      </c>
      <c r="BT298" s="9">
        <f>[1]monsters!$O298</f>
        <v>19.97</v>
      </c>
      <c r="BU298" s="9">
        <f>[1]monsters!$P298</f>
        <v>3120</v>
      </c>
      <c r="BV298" s="9">
        <f>[1]monsters!$Q298</f>
        <v>312</v>
      </c>
      <c r="BW298" s="9">
        <f>[1]monsters!$R298</f>
        <v>66.56</v>
      </c>
      <c r="BX298" s="9">
        <f>[1]monsters!$S298</f>
        <v>6.66</v>
      </c>
      <c r="BY298" s="9">
        <f>[1]monsters!$K298</f>
        <v>1.8</v>
      </c>
      <c r="BZ298" s="7">
        <f>[1]monsters!$D298</f>
        <v>2</v>
      </c>
      <c r="CA298" s="7">
        <f t="shared" si="192"/>
        <v>0.1</v>
      </c>
      <c r="CB298" s="7">
        <f t="shared" si="193"/>
        <v>293.74810505050505</v>
      </c>
      <c r="CC298" s="7">
        <f t="shared" si="194"/>
        <v>29.374810505050505</v>
      </c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>
        <v>1</v>
      </c>
      <c r="CR298" s="25"/>
      <c r="CS298" s="25"/>
      <c r="CT298" s="25"/>
      <c r="CU298" s="25"/>
      <c r="CV298" s="25"/>
      <c r="CW298" s="25"/>
      <c r="DP298" s="32"/>
      <c r="DQ298" s="13"/>
      <c r="DR298" s="13"/>
      <c r="DS298" s="32"/>
      <c r="DT298" s="14"/>
      <c r="DU298" s="14"/>
      <c r="DV298" s="14"/>
      <c r="DW298" s="14"/>
      <c r="DX298" s="14"/>
      <c r="DY298" s="14"/>
      <c r="DZ298" s="14"/>
      <c r="EA298" s="25"/>
      <c r="EB298" s="45"/>
      <c r="EC298" s="16">
        <v>5201103</v>
      </c>
      <c r="ED298" s="40" t="s">
        <v>217</v>
      </c>
      <c r="EE298" s="16">
        <v>1</v>
      </c>
    </row>
    <row r="299" spans="11:135" ht="13.5" customHeight="1">
      <c r="K299" s="2"/>
      <c r="L299" s="18"/>
      <c r="O299" s="25"/>
      <c r="AI299" s="28"/>
      <c r="AJ299" s="28"/>
      <c r="AK299" s="28"/>
      <c r="AL299" s="28"/>
      <c r="AM299" s="28"/>
      <c r="AN299" s="28"/>
      <c r="AO299" s="30"/>
      <c r="AP299" s="28"/>
      <c r="AS299" s="28"/>
      <c r="AT299" s="28"/>
      <c r="AU299" s="30"/>
      <c r="AV299" s="28"/>
      <c r="AW299" s="28"/>
      <c r="AX299" s="28"/>
      <c r="AZ299" s="28"/>
      <c r="BA299" s="16" t="e">
        <f t="shared" si="190"/>
        <v>#DIV/0!</v>
      </c>
      <c r="BC299" s="7" t="e">
        <f t="shared" si="191"/>
        <v>#N/A</v>
      </c>
      <c r="BR299" s="7">
        <v>5201085</v>
      </c>
      <c r="BS299" s="9">
        <f>[1]monsters!$N299</f>
        <v>224.64</v>
      </c>
      <c r="BT299" s="9">
        <f>[1]monsters!$O299</f>
        <v>22.46</v>
      </c>
      <c r="BU299" s="9">
        <f>[1]monsters!$P299</f>
        <v>2773.33</v>
      </c>
      <c r="BV299" s="9">
        <f>[1]monsters!$Q299</f>
        <v>277.33</v>
      </c>
      <c r="BW299" s="9">
        <f>[1]monsters!$R299</f>
        <v>44.93</v>
      </c>
      <c r="BX299" s="9">
        <f>[1]monsters!$S299</f>
        <v>4.49</v>
      </c>
      <c r="BY299" s="9">
        <f>[1]monsters!$K299</f>
        <v>1.8</v>
      </c>
      <c r="BZ299" s="7">
        <f>[1]monsters!$D299</f>
        <v>2</v>
      </c>
      <c r="CA299" s="7">
        <f t="shared" si="192"/>
        <v>0.1</v>
      </c>
      <c r="CB299" s="7">
        <f t="shared" si="193"/>
        <v>305.66291447811443</v>
      </c>
      <c r="CC299" s="7">
        <f t="shared" si="194"/>
        <v>30.566291447811444</v>
      </c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>
        <v>0</v>
      </c>
      <c r="CR299" s="25"/>
      <c r="CS299" s="25"/>
      <c r="CT299" s="25"/>
      <c r="CU299" s="25"/>
      <c r="CV299" s="25"/>
      <c r="CW299" s="25"/>
      <c r="DP299" s="32"/>
      <c r="DQ299" s="32"/>
      <c r="DR299" s="36"/>
      <c r="DS299" s="36"/>
      <c r="DT299" s="32"/>
      <c r="DU299" s="32"/>
      <c r="DV299" s="32"/>
      <c r="DW299" s="32"/>
      <c r="DX299" s="32"/>
      <c r="DY299" s="32"/>
      <c r="DZ299" s="32"/>
      <c r="EA299" s="25"/>
      <c r="EB299" s="45"/>
      <c r="EC299" s="16">
        <v>5202103</v>
      </c>
      <c r="ED299" s="40" t="s">
        <v>220</v>
      </c>
      <c r="EE299" s="16">
        <v>1</v>
      </c>
    </row>
    <row r="300" spans="11:135" ht="13.5" customHeight="1">
      <c r="K300" s="2"/>
      <c r="L300" s="18"/>
      <c r="O300" s="25"/>
      <c r="AI300" s="28"/>
      <c r="AJ300" s="28"/>
      <c r="AK300" s="28"/>
      <c r="AL300" s="28"/>
      <c r="AM300" s="28"/>
      <c r="AN300" s="28"/>
      <c r="AO300" s="30"/>
      <c r="AP300" s="28"/>
      <c r="AS300" s="28"/>
      <c r="AT300" s="28"/>
      <c r="AU300" s="30"/>
      <c r="AV300" s="28"/>
      <c r="AW300" s="28"/>
      <c r="AX300" s="28"/>
      <c r="AZ300" s="28"/>
      <c r="BA300" s="16" t="e">
        <f t="shared" si="190"/>
        <v>#DIV/0!</v>
      </c>
      <c r="BC300" s="7" t="e">
        <f t="shared" si="191"/>
        <v>#N/A</v>
      </c>
      <c r="BR300" s="7">
        <v>5202085</v>
      </c>
      <c r="BS300" s="9">
        <f>[1]monsters!$N300</f>
        <v>149.76</v>
      </c>
      <c r="BT300" s="9">
        <f>[1]monsters!$O300</f>
        <v>14.98</v>
      </c>
      <c r="BU300" s="9">
        <f>[1]monsters!$P300</f>
        <v>2773.33</v>
      </c>
      <c r="BV300" s="9">
        <f>[1]monsters!$Q300</f>
        <v>277.33</v>
      </c>
      <c r="BW300" s="9">
        <f>[1]monsters!$R300</f>
        <v>29.95</v>
      </c>
      <c r="BX300" s="9">
        <f>[1]monsters!$S300</f>
        <v>3</v>
      </c>
      <c r="BY300" s="9">
        <f>[1]monsters!$K300</f>
        <v>1.2</v>
      </c>
      <c r="BZ300" s="7">
        <f>[1]monsters!$D300</f>
        <v>3</v>
      </c>
      <c r="CA300" s="7">
        <f t="shared" si="192"/>
        <v>0.1</v>
      </c>
      <c r="CB300" s="7">
        <f t="shared" si="193"/>
        <v>234.90131447811447</v>
      </c>
      <c r="CC300" s="7">
        <f t="shared" si="194"/>
        <v>23.49013144781145</v>
      </c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>
        <v>0</v>
      </c>
      <c r="CR300" s="25"/>
      <c r="CS300" s="25"/>
      <c r="CT300" s="25"/>
      <c r="CU300" s="25"/>
      <c r="CV300" s="25"/>
      <c r="CW300" s="25"/>
      <c r="DP300" s="32"/>
      <c r="DQ300" s="32"/>
      <c r="DR300" s="32"/>
      <c r="DS300" s="14"/>
      <c r="DT300" s="14"/>
      <c r="DU300" s="14"/>
      <c r="DV300" s="14"/>
      <c r="DW300" s="14"/>
      <c r="DX300" s="14"/>
      <c r="DY300" s="14"/>
      <c r="DZ300" s="14"/>
      <c r="EA300" s="25"/>
      <c r="EB300" s="45"/>
      <c r="EC300" s="16">
        <v>5301103</v>
      </c>
      <c r="ED300" s="40" t="s">
        <v>218</v>
      </c>
      <c r="EE300" s="16">
        <v>1</v>
      </c>
    </row>
    <row r="301" spans="11:135" ht="13.5" customHeight="1">
      <c r="K301" s="2"/>
      <c r="L301" s="18"/>
      <c r="O301" s="25"/>
      <c r="AI301" s="28"/>
      <c r="AJ301" s="28"/>
      <c r="AK301" s="28"/>
      <c r="AL301" s="28"/>
      <c r="AM301" s="28"/>
      <c r="AN301" s="28"/>
      <c r="AO301" s="30"/>
      <c r="AP301" s="28"/>
      <c r="AS301" s="28"/>
      <c r="AT301" s="28"/>
      <c r="AU301" s="30"/>
      <c r="AV301" s="28"/>
      <c r="AW301" s="28"/>
      <c r="AX301" s="28"/>
      <c r="AZ301" s="28"/>
      <c r="BA301" s="16" t="e">
        <f t="shared" si="190"/>
        <v>#DIV/0!</v>
      </c>
      <c r="BC301" s="7" t="e">
        <f t="shared" si="191"/>
        <v>#N/A</v>
      </c>
      <c r="BR301" s="7">
        <v>5302085</v>
      </c>
      <c r="BS301" s="9">
        <f>[1]monsters!$N301</f>
        <v>266.24</v>
      </c>
      <c r="BT301" s="9">
        <f>[1]monsters!$O301</f>
        <v>26.62</v>
      </c>
      <c r="BU301" s="9">
        <f>[1]monsters!$P301</f>
        <v>2080</v>
      </c>
      <c r="BV301" s="9">
        <f>[1]monsters!$Q301</f>
        <v>208</v>
      </c>
      <c r="BW301" s="9">
        <f>[1]monsters!$R301</f>
        <v>38.03</v>
      </c>
      <c r="BX301" s="9">
        <f>[1]monsters!$S301</f>
        <v>3.8</v>
      </c>
      <c r="BY301" s="9">
        <f>[1]monsters!$K301</f>
        <v>1.6</v>
      </c>
      <c r="BZ301" s="7">
        <f>[1]monsters!$D301</f>
        <v>4</v>
      </c>
      <c r="CA301" s="7">
        <f t="shared" si="192"/>
        <v>0.1</v>
      </c>
      <c r="CB301" s="7">
        <f t="shared" si="193"/>
        <v>321.63047003367006</v>
      </c>
      <c r="CC301" s="7">
        <f t="shared" si="194"/>
        <v>32.163047003367005</v>
      </c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>
        <v>0</v>
      </c>
      <c r="CR301" s="25"/>
      <c r="CS301" s="25"/>
      <c r="CT301" s="25"/>
      <c r="CU301" s="25"/>
      <c r="CV301" s="25"/>
      <c r="CW301" s="25"/>
      <c r="DP301" s="32"/>
      <c r="DQ301" s="32"/>
      <c r="DR301" s="36"/>
      <c r="DS301" s="36"/>
      <c r="DT301" s="32"/>
      <c r="DU301" s="32"/>
      <c r="DV301" s="32"/>
      <c r="DW301" s="32"/>
      <c r="DX301" s="32"/>
      <c r="DY301" s="32"/>
      <c r="DZ301" s="32"/>
      <c r="EA301" s="25"/>
      <c r="EB301" s="45"/>
      <c r="EC301" s="16">
        <v>5401103</v>
      </c>
      <c r="ED301" s="40" t="s">
        <v>223</v>
      </c>
      <c r="EE301" s="16">
        <v>2</v>
      </c>
    </row>
    <row r="302" spans="11:135" ht="13.5" customHeight="1">
      <c r="K302" s="2"/>
      <c r="L302" s="18"/>
      <c r="O302" s="25"/>
      <c r="AI302" s="28"/>
      <c r="AJ302" s="28"/>
      <c r="AK302" s="28"/>
      <c r="AL302" s="28"/>
      <c r="AM302" s="28"/>
      <c r="AN302" s="28"/>
      <c r="AO302" s="30"/>
      <c r="AP302" s="28"/>
      <c r="AS302" s="28"/>
      <c r="AT302" s="28"/>
      <c r="AU302" s="30"/>
      <c r="AV302" s="28"/>
      <c r="AW302" s="28"/>
      <c r="AX302" s="28"/>
      <c r="AZ302" s="28"/>
      <c r="BA302" s="16" t="e">
        <f t="shared" si="190"/>
        <v>#DIV/0!</v>
      </c>
      <c r="BC302" s="7" t="e">
        <f t="shared" si="191"/>
        <v>#N/A</v>
      </c>
      <c r="BR302" s="7">
        <v>5301085</v>
      </c>
      <c r="BS302" s="9">
        <f>[1]monsters!$N302</f>
        <v>249.6</v>
      </c>
      <c r="BT302" s="9">
        <f>[1]monsters!$O302</f>
        <v>24.96</v>
      </c>
      <c r="BU302" s="9">
        <f>[1]monsters!$P302</f>
        <v>2080</v>
      </c>
      <c r="BV302" s="9">
        <f>[1]monsters!$Q302</f>
        <v>208</v>
      </c>
      <c r="BW302" s="9">
        <f>[1]monsters!$R302</f>
        <v>35.659999999999997</v>
      </c>
      <c r="BX302" s="9">
        <f>[1]monsters!$S302</f>
        <v>3.57</v>
      </c>
      <c r="BY302" s="9">
        <f>[1]monsters!$K302</f>
        <v>1.5</v>
      </c>
      <c r="BZ302" s="7">
        <f>[1]monsters!$D302</f>
        <v>4</v>
      </c>
      <c r="CA302" s="7">
        <f t="shared" si="192"/>
        <v>0.1</v>
      </c>
      <c r="CB302" s="7">
        <f t="shared" si="193"/>
        <v>305.90567003367005</v>
      </c>
      <c r="CC302" s="7">
        <f t="shared" si="194"/>
        <v>30.590567003367006</v>
      </c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>
        <v>0</v>
      </c>
      <c r="CR302" s="25"/>
      <c r="CS302" s="25"/>
      <c r="CT302" s="25"/>
      <c r="CU302" s="25"/>
      <c r="CV302" s="25"/>
      <c r="CW302" s="25"/>
      <c r="DP302" s="32"/>
      <c r="DQ302" s="32"/>
      <c r="DR302" s="36"/>
      <c r="DS302" s="36"/>
      <c r="DT302" s="36"/>
      <c r="DU302" s="36"/>
      <c r="DV302" s="36"/>
      <c r="DW302" s="36"/>
      <c r="DX302" s="36"/>
      <c r="DY302" s="36"/>
      <c r="DZ302" s="36"/>
      <c r="EA302" s="25"/>
      <c r="EB302" s="45"/>
      <c r="EC302" s="16">
        <v>5402103</v>
      </c>
      <c r="ED302" s="40" t="s">
        <v>124</v>
      </c>
      <c r="EE302" s="16">
        <v>2</v>
      </c>
    </row>
    <row r="303" spans="11:135" ht="13.5" customHeight="1">
      <c r="K303" s="2"/>
      <c r="O303" s="25"/>
      <c r="AI303" s="28"/>
      <c r="AJ303" s="28"/>
      <c r="AK303" s="28"/>
      <c r="AL303" s="28"/>
      <c r="AM303" s="28"/>
      <c r="AN303" s="28"/>
      <c r="AO303" s="30"/>
      <c r="AP303" s="28"/>
      <c r="AS303" s="28"/>
      <c r="AT303" s="28"/>
      <c r="AU303" s="30"/>
      <c r="AV303" s="28"/>
      <c r="AW303" s="28"/>
      <c r="AX303" s="28"/>
      <c r="AZ303" s="28"/>
      <c r="BA303" s="16" t="e">
        <f t="shared" si="190"/>
        <v>#DIV/0!</v>
      </c>
      <c r="BC303" s="7" t="e">
        <f t="shared" si="191"/>
        <v>#N/A</v>
      </c>
      <c r="BR303" s="7">
        <v>5400085</v>
      </c>
      <c r="BS303" s="9">
        <f>[1]monsters!$N303</f>
        <v>291.2</v>
      </c>
      <c r="BT303" s="9">
        <f>[1]monsters!$O303</f>
        <v>29.12</v>
      </c>
      <c r="BU303" s="9">
        <f>[1]monsters!$P303</f>
        <v>1782.86</v>
      </c>
      <c r="BV303" s="9">
        <f>[1]monsters!$Q303</f>
        <v>178.29</v>
      </c>
      <c r="BW303" s="9">
        <f>[1]monsters!$R303</f>
        <v>36.4</v>
      </c>
      <c r="BX303" s="9">
        <f>[1]monsters!$S303</f>
        <v>3.64</v>
      </c>
      <c r="BY303" s="9">
        <f>[1]monsters!$K303</f>
        <v>1.5</v>
      </c>
      <c r="BZ303" s="7">
        <f>[1]monsters!$D303</f>
        <v>5</v>
      </c>
      <c r="CA303" s="7">
        <f t="shared" si="192"/>
        <v>0.1</v>
      </c>
      <c r="CB303" s="7">
        <f t="shared" si="193"/>
        <v>335.21295622895627</v>
      </c>
      <c r="CC303" s="7">
        <f t="shared" si="194"/>
        <v>33.521295622895629</v>
      </c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>
        <v>1</v>
      </c>
      <c r="CR303" s="25"/>
      <c r="CS303" s="25"/>
      <c r="CT303" s="25"/>
      <c r="CU303" s="25"/>
      <c r="CV303" s="25"/>
      <c r="CW303" s="25"/>
      <c r="DP303" s="32"/>
      <c r="DQ303" s="36"/>
      <c r="DR303" s="32"/>
      <c r="DS303" s="36"/>
      <c r="DT303" s="36"/>
      <c r="DU303" s="14"/>
      <c r="DV303" s="14"/>
      <c r="DW303" s="14"/>
      <c r="DX303" s="14"/>
      <c r="DY303" s="14"/>
      <c r="DZ303" s="14"/>
      <c r="EA303" s="25"/>
      <c r="EB303" s="45"/>
      <c r="EC303" s="16">
        <v>5500103</v>
      </c>
      <c r="ED303" s="40" t="s">
        <v>219</v>
      </c>
      <c r="EE303" s="16">
        <v>2</v>
      </c>
    </row>
    <row r="304" spans="11:135" ht="13.5" customHeight="1">
      <c r="K304" s="2"/>
      <c r="L304" s="18"/>
      <c r="O304" s="25"/>
      <c r="AI304" s="28"/>
      <c r="AJ304" s="28"/>
      <c r="AK304" s="28"/>
      <c r="AL304" s="28"/>
      <c r="AM304" s="28"/>
      <c r="AN304" s="28"/>
      <c r="AO304" s="30"/>
      <c r="AP304" s="28"/>
      <c r="AS304" s="28"/>
      <c r="AT304" s="28"/>
      <c r="AU304" s="30"/>
      <c r="AV304" s="28"/>
      <c r="AW304" s="28"/>
      <c r="AX304" s="28"/>
      <c r="AZ304" s="28"/>
      <c r="BA304" s="16" t="e">
        <f t="shared" si="190"/>
        <v>#DIV/0!</v>
      </c>
      <c r="BC304" s="7" t="e">
        <f t="shared" si="191"/>
        <v>#N/A</v>
      </c>
      <c r="BR304" s="7">
        <v>5402085</v>
      </c>
      <c r="BS304" s="9">
        <f>[1]monsters!$N304</f>
        <v>271.79000000000002</v>
      </c>
      <c r="BT304" s="9">
        <f>[1]monsters!$O304</f>
        <v>27.18</v>
      </c>
      <c r="BU304" s="9">
        <f>[1]monsters!$P304</f>
        <v>1782.86</v>
      </c>
      <c r="BV304" s="9">
        <f>[1]monsters!$Q304</f>
        <v>178.29</v>
      </c>
      <c r="BW304" s="9">
        <f>[1]monsters!$R304</f>
        <v>33.97</v>
      </c>
      <c r="BX304" s="9">
        <f>[1]monsters!$S304</f>
        <v>3.4</v>
      </c>
      <c r="BY304" s="9">
        <f>[1]monsters!$K304</f>
        <v>1.4000000000000001</v>
      </c>
      <c r="BZ304" s="7">
        <f>[1]monsters!$D304</f>
        <v>5</v>
      </c>
      <c r="CA304" s="7">
        <f t="shared" si="192"/>
        <v>0.1</v>
      </c>
      <c r="CB304" s="7">
        <f t="shared" si="193"/>
        <v>316.87050622895629</v>
      </c>
      <c r="CC304" s="7">
        <f t="shared" si="194"/>
        <v>31.687050622895629</v>
      </c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>
        <v>0</v>
      </c>
      <c r="CR304" s="25"/>
      <c r="CS304" s="25"/>
      <c r="CT304" s="25"/>
      <c r="CU304" s="25"/>
      <c r="CV304" s="25"/>
      <c r="CW304" s="25"/>
      <c r="DP304" s="32"/>
      <c r="DQ304" s="32"/>
      <c r="DR304" s="32"/>
      <c r="DS304" s="36"/>
      <c r="DT304" s="36"/>
      <c r="DU304" s="36"/>
      <c r="DV304" s="36"/>
      <c r="DW304" s="36"/>
      <c r="DX304" s="36"/>
      <c r="DY304" s="36"/>
      <c r="DZ304" s="36"/>
      <c r="EA304" s="25"/>
      <c r="EB304" s="45"/>
      <c r="EC304" s="16">
        <v>5502103</v>
      </c>
      <c r="ED304" s="40" t="s">
        <v>227</v>
      </c>
      <c r="EE304" s="16">
        <v>2</v>
      </c>
    </row>
    <row r="305" spans="11:135" ht="13.5" customHeight="1">
      <c r="K305" s="2"/>
      <c r="L305" s="18"/>
      <c r="O305" s="25"/>
      <c r="AI305" s="28"/>
      <c r="AJ305" s="28"/>
      <c r="AK305" s="28"/>
      <c r="AL305" s="28"/>
      <c r="AM305" s="28"/>
      <c r="AN305" s="28"/>
      <c r="AO305" s="30"/>
      <c r="AP305" s="28"/>
      <c r="AS305" s="28"/>
      <c r="AT305" s="28"/>
      <c r="AU305" s="30"/>
      <c r="AV305" s="28"/>
      <c r="AW305" s="28"/>
      <c r="AX305" s="28"/>
      <c r="AZ305" s="28"/>
      <c r="BA305" s="16" t="e">
        <f t="shared" si="190"/>
        <v>#DIV/0!</v>
      </c>
      <c r="BC305" s="7" t="e">
        <f t="shared" si="191"/>
        <v>#N/A</v>
      </c>
      <c r="BR305" s="7">
        <v>5500085</v>
      </c>
      <c r="BS305" s="9">
        <f>[1]monsters!$N305</f>
        <v>322.39999999999998</v>
      </c>
      <c r="BT305" s="9">
        <f>[1]monsters!$O305</f>
        <v>32.24</v>
      </c>
      <c r="BU305" s="9">
        <f>[1]monsters!$P305</f>
        <v>1610.32</v>
      </c>
      <c r="BV305" s="9">
        <f>[1]monsters!$Q305</f>
        <v>161.03</v>
      </c>
      <c r="BW305" s="9">
        <f>[1]monsters!$R305</f>
        <v>32.24</v>
      </c>
      <c r="BX305" s="9">
        <f>[1]monsters!$S305</f>
        <v>3.22</v>
      </c>
      <c r="BY305" s="9">
        <f>[1]monsters!$K305</f>
        <v>1.5</v>
      </c>
      <c r="BZ305" s="7">
        <f>[1]monsters!$D305</f>
        <v>6</v>
      </c>
      <c r="CA305" s="7">
        <f t="shared" si="192"/>
        <v>0.1</v>
      </c>
      <c r="CB305" s="7">
        <f t="shared" si="193"/>
        <v>358.88752861952861</v>
      </c>
      <c r="CC305" s="7">
        <f t="shared" si="194"/>
        <v>35.88875286195286</v>
      </c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>
        <v>0</v>
      </c>
      <c r="CR305" s="25"/>
      <c r="CS305" s="25"/>
      <c r="CT305" s="25"/>
      <c r="CU305" s="25"/>
      <c r="CV305" s="25"/>
      <c r="CW305" s="25"/>
      <c r="DP305" s="32"/>
      <c r="DQ305" s="32"/>
      <c r="DR305" s="32"/>
      <c r="DS305" s="32"/>
      <c r="DT305" s="32"/>
      <c r="DU305" s="32"/>
      <c r="DV305" s="32"/>
      <c r="DW305" s="32"/>
      <c r="DX305" s="32"/>
      <c r="DY305" s="32"/>
      <c r="DZ305" s="32"/>
      <c r="EA305" s="25"/>
      <c r="EB305" s="45"/>
      <c r="EC305" s="16">
        <v>5601103</v>
      </c>
      <c r="ED305" s="40" t="s">
        <v>228</v>
      </c>
      <c r="EE305" s="16">
        <v>2</v>
      </c>
    </row>
    <row r="306" spans="11:135" ht="13.5" customHeight="1">
      <c r="K306" s="2"/>
      <c r="L306" s="18"/>
      <c r="O306" s="25"/>
      <c r="AI306" s="28"/>
      <c r="AJ306" s="28"/>
      <c r="AK306" s="28"/>
      <c r="AL306" s="28"/>
      <c r="AM306" s="28"/>
      <c r="AN306" s="28"/>
      <c r="AO306" s="30"/>
      <c r="AP306" s="28"/>
      <c r="AS306" s="28"/>
      <c r="AT306" s="28"/>
      <c r="AU306" s="30"/>
      <c r="AV306" s="28"/>
      <c r="AW306" s="28"/>
      <c r="AX306" s="28"/>
      <c r="AZ306" s="28"/>
      <c r="BA306" s="16" t="e">
        <f t="shared" si="190"/>
        <v>#DIV/0!</v>
      </c>
      <c r="BC306" s="7" t="e">
        <f t="shared" si="191"/>
        <v>#N/A</v>
      </c>
      <c r="BR306" s="7">
        <v>5502085</v>
      </c>
      <c r="BS306" s="9">
        <f>[1]monsters!$N306</f>
        <v>199.68</v>
      </c>
      <c r="BT306" s="9">
        <f>[1]monsters!$O306</f>
        <v>19.97</v>
      </c>
      <c r="BU306" s="9">
        <f>[1]monsters!$P306</f>
        <v>3120</v>
      </c>
      <c r="BV306" s="9">
        <f>[1]monsters!$Q306</f>
        <v>312</v>
      </c>
      <c r="BW306" s="9">
        <f>[1]monsters!$R306</f>
        <v>66.56</v>
      </c>
      <c r="BX306" s="9">
        <f>[1]monsters!$S306</f>
        <v>6.66</v>
      </c>
      <c r="BY306" s="9">
        <f>[1]monsters!$K306</f>
        <v>1.8</v>
      </c>
      <c r="BZ306" s="7">
        <f>[1]monsters!$D306</f>
        <v>2</v>
      </c>
      <c r="CA306" s="7">
        <f t="shared" si="192"/>
        <v>0.1</v>
      </c>
      <c r="CB306" s="7">
        <f t="shared" si="193"/>
        <v>293.74810505050505</v>
      </c>
      <c r="CC306" s="7">
        <f t="shared" si="194"/>
        <v>29.374810505050505</v>
      </c>
      <c r="CD306" s="7"/>
      <c r="CE306" s="7"/>
      <c r="CF306" s="7"/>
      <c r="CG306" s="7"/>
      <c r="CH306" s="7"/>
      <c r="CI306" s="7"/>
      <c r="CJ306" s="7"/>
      <c r="CK306" s="7"/>
      <c r="CL306" s="7"/>
      <c r="CM306" s="7"/>
      <c r="CN306" s="7"/>
      <c r="CO306" s="7"/>
      <c r="CP306" s="7">
        <v>0</v>
      </c>
      <c r="CR306" s="25"/>
      <c r="CS306" s="25"/>
      <c r="CT306" s="25"/>
      <c r="CU306" s="25"/>
      <c r="CV306" s="25"/>
      <c r="CW306" s="25"/>
      <c r="DP306" s="32"/>
      <c r="DQ306" s="32"/>
      <c r="DR306" s="32"/>
      <c r="DS306" s="32"/>
      <c r="DT306" s="32"/>
      <c r="DU306" s="32"/>
      <c r="DV306" s="32"/>
      <c r="DW306" s="32"/>
      <c r="DX306" s="32"/>
      <c r="DY306" s="32"/>
      <c r="DZ306" s="32"/>
      <c r="EA306" s="25"/>
      <c r="EB306" s="45"/>
      <c r="EC306" s="16">
        <v>5201104</v>
      </c>
      <c r="ED306" s="40" t="s">
        <v>229</v>
      </c>
      <c r="EE306" s="16">
        <v>1</v>
      </c>
    </row>
    <row r="307" spans="11:135" ht="13.5" customHeight="1">
      <c r="K307" s="2"/>
      <c r="L307" s="18"/>
      <c r="O307" s="25"/>
      <c r="AI307" s="28"/>
      <c r="AJ307" s="28"/>
      <c r="AK307" s="28"/>
      <c r="AL307" s="28"/>
      <c r="AM307" s="28"/>
      <c r="AN307" s="28"/>
      <c r="AO307" s="30"/>
      <c r="AP307" s="28"/>
      <c r="AS307" s="28"/>
      <c r="AT307" s="28"/>
      <c r="AU307" s="30"/>
      <c r="AV307" s="28"/>
      <c r="AW307" s="28"/>
      <c r="AX307" s="28"/>
      <c r="AZ307" s="28"/>
      <c r="BA307" s="16" t="e">
        <f t="shared" si="190"/>
        <v>#DIV/0!</v>
      </c>
      <c r="BC307" s="7" t="e">
        <f t="shared" si="191"/>
        <v>#N/A</v>
      </c>
      <c r="BR307" s="7">
        <v>5600085</v>
      </c>
      <c r="BS307" s="9">
        <f>[1]monsters!$N307</f>
        <v>174.72</v>
      </c>
      <c r="BT307" s="9">
        <f>[1]monsters!$O307</f>
        <v>17.47</v>
      </c>
      <c r="BU307" s="9">
        <f>[1]monsters!$P307</f>
        <v>2773.33</v>
      </c>
      <c r="BV307" s="9">
        <f>[1]monsters!$Q307</f>
        <v>277.33</v>
      </c>
      <c r="BW307" s="9">
        <f>[1]monsters!$R307</f>
        <v>34.94</v>
      </c>
      <c r="BX307" s="9">
        <f>[1]monsters!$S307</f>
        <v>3.49</v>
      </c>
      <c r="BY307" s="9">
        <f>[1]monsters!$K307</f>
        <v>1.4000000000000001</v>
      </c>
      <c r="BZ307" s="7">
        <f>[1]monsters!$D307</f>
        <v>3</v>
      </c>
      <c r="CA307" s="7">
        <f t="shared" si="192"/>
        <v>0.1</v>
      </c>
      <c r="CB307" s="7">
        <f t="shared" si="193"/>
        <v>258.4885144781145</v>
      </c>
      <c r="CC307" s="7">
        <f t="shared" si="194"/>
        <v>25.848851447811452</v>
      </c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>
        <v>0</v>
      </c>
      <c r="CR307" s="25"/>
      <c r="CS307" s="25"/>
      <c r="CT307" s="25"/>
      <c r="CU307" s="25"/>
      <c r="CV307" s="25"/>
      <c r="CW307" s="25"/>
      <c r="DP307" s="32"/>
      <c r="DQ307" s="32"/>
      <c r="DR307" s="32"/>
      <c r="DS307" s="32"/>
      <c r="DT307" s="32"/>
      <c r="DU307" s="32"/>
      <c r="DV307" s="32"/>
      <c r="DW307" s="32"/>
      <c r="DX307" s="32"/>
      <c r="DY307" s="32"/>
      <c r="DZ307" s="32"/>
      <c r="EA307" s="25"/>
      <c r="EB307" s="45"/>
      <c r="EC307" s="16">
        <v>5302104</v>
      </c>
      <c r="ED307" s="40" t="s">
        <v>230</v>
      </c>
      <c r="EE307" s="16">
        <v>1</v>
      </c>
    </row>
    <row r="308" spans="11:135" ht="13.5" customHeight="1">
      <c r="K308" s="2"/>
      <c r="O308" s="25"/>
      <c r="AI308" s="28"/>
      <c r="AJ308" s="28"/>
      <c r="AK308" s="28"/>
      <c r="AL308" s="28"/>
      <c r="AM308" s="28"/>
      <c r="AN308" s="28"/>
      <c r="AO308" s="30"/>
      <c r="AP308" s="28"/>
      <c r="AS308" s="28"/>
      <c r="AT308" s="28"/>
      <c r="AU308" s="30"/>
      <c r="AV308" s="28"/>
      <c r="AW308" s="28"/>
      <c r="AX308" s="28"/>
      <c r="AZ308" s="28"/>
      <c r="BA308" s="16" t="e">
        <f t="shared" si="190"/>
        <v>#DIV/0!</v>
      </c>
      <c r="BC308" s="7" t="e">
        <f t="shared" si="191"/>
        <v>#N/A</v>
      </c>
      <c r="BR308" s="7">
        <v>5602085</v>
      </c>
      <c r="BS308" s="9">
        <f>[1]monsters!$N308</f>
        <v>310.61</v>
      </c>
      <c r="BT308" s="9">
        <f>[1]monsters!$O308</f>
        <v>31.06</v>
      </c>
      <c r="BU308" s="9">
        <f>[1]monsters!$P308</f>
        <v>1782.86</v>
      </c>
      <c r="BV308" s="9">
        <f>[1]monsters!$Q308</f>
        <v>178.29</v>
      </c>
      <c r="BW308" s="9">
        <f>[1]monsters!$R308</f>
        <v>38.83</v>
      </c>
      <c r="BX308" s="9">
        <f>[1]monsters!$S308</f>
        <v>3.88</v>
      </c>
      <c r="BY308" s="9">
        <f>[1]monsters!$K308</f>
        <v>1.6</v>
      </c>
      <c r="BZ308" s="7">
        <f>[1]monsters!$D308</f>
        <v>5</v>
      </c>
      <c r="CA308" s="7">
        <f t="shared" si="192"/>
        <v>0.1</v>
      </c>
      <c r="CB308" s="7">
        <f t="shared" si="193"/>
        <v>353.55540622895626</v>
      </c>
      <c r="CC308" s="7">
        <f t="shared" si="194"/>
        <v>35.355540622895624</v>
      </c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>
        <v>1</v>
      </c>
      <c r="CR308" s="25"/>
      <c r="CS308" s="25"/>
      <c r="CT308" s="25"/>
      <c r="CU308" s="25"/>
      <c r="CV308" s="25"/>
      <c r="CW308" s="25"/>
      <c r="DP308" s="32"/>
      <c r="DQ308" s="32"/>
      <c r="DR308" s="32"/>
      <c r="DS308" s="32"/>
      <c r="DT308" s="32"/>
      <c r="DU308" s="32"/>
      <c r="DV308" s="32"/>
      <c r="DW308" s="32"/>
      <c r="DX308" s="32"/>
      <c r="DY308" s="32"/>
      <c r="DZ308" s="32"/>
      <c r="EA308" s="25"/>
      <c r="EB308" s="45"/>
      <c r="EC308" s="16">
        <v>5501104</v>
      </c>
      <c r="ED308" s="40" t="s">
        <v>226</v>
      </c>
      <c r="EE308" s="16">
        <v>2</v>
      </c>
    </row>
    <row r="309" spans="11:135" ht="13.5" customHeight="1">
      <c r="K309" s="2"/>
      <c r="L309" s="18"/>
      <c r="O309" s="25"/>
      <c r="AI309" s="28"/>
      <c r="AJ309" s="28"/>
      <c r="AK309" s="28"/>
      <c r="AL309" s="28"/>
      <c r="AM309" s="28"/>
      <c r="AN309" s="28"/>
      <c r="AO309" s="30"/>
      <c r="AP309" s="28"/>
      <c r="AS309" s="28"/>
      <c r="AT309" s="28"/>
      <c r="AU309" s="30"/>
      <c r="AV309" s="28"/>
      <c r="AW309" s="28"/>
      <c r="AX309" s="28"/>
      <c r="AZ309" s="28"/>
      <c r="BA309" s="16" t="e">
        <f t="shared" si="190"/>
        <v>#DIV/0!</v>
      </c>
      <c r="BC309" s="7" t="e">
        <f t="shared" si="191"/>
        <v>#N/A</v>
      </c>
      <c r="BR309" s="7">
        <v>5200091</v>
      </c>
      <c r="BS309" s="9">
        <f>[1]monsters!$N309</f>
        <v>300.91000000000003</v>
      </c>
      <c r="BT309" s="9">
        <f>[1]monsters!$O309</f>
        <v>30.09</v>
      </c>
      <c r="BU309" s="9">
        <f>[1]monsters!$P309</f>
        <v>1610.32</v>
      </c>
      <c r="BV309" s="9">
        <f>[1]monsters!$Q309</f>
        <v>161.03</v>
      </c>
      <c r="BW309" s="9">
        <f>[1]monsters!$R309</f>
        <v>30.09</v>
      </c>
      <c r="BX309" s="9">
        <f>[1]monsters!$S309</f>
        <v>3.01</v>
      </c>
      <c r="BY309" s="9">
        <f>[1]monsters!$K309</f>
        <v>1.4000000000000001</v>
      </c>
      <c r="BZ309" s="7">
        <f>[1]monsters!$D309</f>
        <v>6</v>
      </c>
      <c r="CA309" s="7">
        <f t="shared" si="192"/>
        <v>0.1</v>
      </c>
      <c r="CB309" s="7">
        <f t="shared" si="193"/>
        <v>338.57947861952863</v>
      </c>
      <c r="CC309" s="7">
        <f t="shared" si="194"/>
        <v>33.857947861952866</v>
      </c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>
        <v>0</v>
      </c>
      <c r="CR309" s="25"/>
      <c r="CS309" s="25"/>
      <c r="CT309" s="25"/>
      <c r="CU309" s="25"/>
      <c r="CV309" s="25"/>
      <c r="CW309" s="25"/>
      <c r="DP309" s="32"/>
      <c r="DQ309" s="32"/>
      <c r="DR309" s="32"/>
      <c r="DS309" s="32"/>
      <c r="DT309" s="32"/>
      <c r="DU309" s="32"/>
      <c r="DV309" s="32"/>
      <c r="DW309" s="32"/>
      <c r="DX309" s="32"/>
      <c r="DY309" s="32"/>
      <c r="DZ309" s="32"/>
      <c r="EA309" s="25"/>
      <c r="EB309" s="46"/>
      <c r="EC309" s="16">
        <v>5600104</v>
      </c>
      <c r="ED309" s="40" t="s">
        <v>231</v>
      </c>
      <c r="EE309" s="16">
        <v>1</v>
      </c>
    </row>
    <row r="310" spans="11:135" ht="13.5" customHeight="1">
      <c r="K310" s="2"/>
      <c r="L310" s="18"/>
      <c r="O310" s="25"/>
      <c r="AI310" s="28"/>
      <c r="AJ310" s="28"/>
      <c r="AK310" s="28"/>
      <c r="AL310" s="28"/>
      <c r="AM310" s="28"/>
      <c r="AN310" s="28"/>
      <c r="AO310" s="30"/>
      <c r="AP310" s="28"/>
      <c r="AS310" s="28"/>
      <c r="AT310" s="28"/>
      <c r="AU310" s="30"/>
      <c r="AV310" s="28"/>
      <c r="AW310" s="28"/>
      <c r="AX310" s="28"/>
      <c r="AZ310" s="28"/>
      <c r="BA310" s="16" t="e">
        <f t="shared" si="190"/>
        <v>#DIV/0!</v>
      </c>
      <c r="BC310" s="7" t="e">
        <f t="shared" si="191"/>
        <v>#N/A</v>
      </c>
      <c r="BR310" s="7">
        <v>5201091</v>
      </c>
      <c r="BS310" s="9">
        <f>[1]monsters!$N310</f>
        <v>386.88</v>
      </c>
      <c r="BT310" s="9">
        <f>[1]monsters!$O310</f>
        <v>38.69</v>
      </c>
      <c r="BU310" s="9">
        <f>[1]monsters!$P310</f>
        <v>1610.32</v>
      </c>
      <c r="BV310" s="9">
        <f>[1]monsters!$Q310</f>
        <v>161.03</v>
      </c>
      <c r="BW310" s="9">
        <f>[1]monsters!$R310</f>
        <v>38.69</v>
      </c>
      <c r="BX310" s="9">
        <f>[1]monsters!$S310</f>
        <v>3.87</v>
      </c>
      <c r="BY310" s="9">
        <f>[1]monsters!$K310</f>
        <v>1.8</v>
      </c>
      <c r="BZ310" s="7">
        <f>[1]monsters!$D310</f>
        <v>6</v>
      </c>
      <c r="CA310" s="7">
        <f t="shared" si="192"/>
        <v>0.1</v>
      </c>
      <c r="CB310" s="7">
        <f t="shared" si="193"/>
        <v>419.82112861952862</v>
      </c>
      <c r="CC310" s="7">
        <f t="shared" si="194"/>
        <v>41.982112861952864</v>
      </c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>
        <v>0</v>
      </c>
      <c r="CR310" s="25"/>
      <c r="CS310" s="25"/>
      <c r="CT310" s="25"/>
      <c r="CU310" s="25"/>
      <c r="CV310" s="25"/>
      <c r="CW310" s="25"/>
      <c r="DP310" s="32"/>
      <c r="DQ310" s="32"/>
      <c r="DR310" s="32"/>
      <c r="DS310" s="32"/>
      <c r="DT310" s="32"/>
      <c r="DU310" s="32"/>
      <c r="DV310" s="32"/>
      <c r="DW310" s="32"/>
      <c r="DX310" s="32"/>
      <c r="DY310" s="32"/>
      <c r="DZ310" s="32"/>
      <c r="EA310" s="25"/>
      <c r="EB310" s="19"/>
      <c r="EC310" s="16">
        <v>5602104</v>
      </c>
      <c r="ED310" s="40" t="s">
        <v>232</v>
      </c>
      <c r="EE310" s="16">
        <v>2</v>
      </c>
    </row>
    <row r="311" spans="11:135" ht="13.5" customHeight="1">
      <c r="K311" s="2"/>
      <c r="L311" s="18"/>
      <c r="O311" s="25"/>
      <c r="AI311" s="28"/>
      <c r="AJ311" s="28"/>
      <c r="AK311" s="28"/>
      <c r="AL311" s="28"/>
      <c r="AM311" s="28"/>
      <c r="AN311" s="28"/>
      <c r="AO311" s="30"/>
      <c r="AP311" s="28"/>
      <c r="AS311" s="28"/>
      <c r="AT311" s="28"/>
      <c r="AU311" s="30"/>
      <c r="AV311" s="28"/>
      <c r="AW311" s="28"/>
      <c r="AX311" s="28"/>
      <c r="AZ311" s="28"/>
      <c r="BA311" s="16" t="e">
        <f t="shared" si="190"/>
        <v>#DIV/0!</v>
      </c>
      <c r="BC311" s="7" t="e">
        <f t="shared" si="191"/>
        <v>#N/A</v>
      </c>
      <c r="BR311" s="7">
        <v>5300091</v>
      </c>
      <c r="BS311" s="9">
        <f>[1]monsters!$N311</f>
        <v>224.64</v>
      </c>
      <c r="BT311" s="9">
        <f>[1]monsters!$O311</f>
        <v>22.46</v>
      </c>
      <c r="BU311" s="9">
        <f>[1]monsters!$P311</f>
        <v>2773.33</v>
      </c>
      <c r="BV311" s="9">
        <f>[1]monsters!$Q311</f>
        <v>277.33</v>
      </c>
      <c r="BW311" s="9">
        <f>[1]monsters!$R311</f>
        <v>44.93</v>
      </c>
      <c r="BX311" s="9">
        <f>[1]monsters!$S311</f>
        <v>4.49</v>
      </c>
      <c r="BY311" s="9">
        <f>[1]monsters!$K311</f>
        <v>1.8</v>
      </c>
      <c r="BZ311" s="7">
        <f>[1]monsters!$D311</f>
        <v>2</v>
      </c>
      <c r="CA311" s="7">
        <f t="shared" si="192"/>
        <v>0.1</v>
      </c>
      <c r="CB311" s="7">
        <f t="shared" si="193"/>
        <v>305.66291447811443</v>
      </c>
      <c r="CC311" s="7">
        <f t="shared" si="194"/>
        <v>30.566291447811444</v>
      </c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>
        <v>0</v>
      </c>
      <c r="CR311" s="25"/>
      <c r="CS311" s="25"/>
      <c r="CT311" s="25"/>
      <c r="CU311" s="25"/>
      <c r="CV311" s="25"/>
      <c r="CW311" s="25"/>
      <c r="DP311" s="13"/>
      <c r="DQ311" s="13"/>
      <c r="DR311" s="13"/>
      <c r="DS311" s="32"/>
      <c r="DT311" s="32"/>
      <c r="DU311" s="32"/>
      <c r="DV311" s="32"/>
      <c r="DW311" s="32"/>
      <c r="DX311" s="32"/>
      <c r="DY311" s="32"/>
      <c r="DZ311" s="32"/>
      <c r="EA311" s="25"/>
      <c r="EB311" s="19"/>
      <c r="EC311" s="16">
        <v>5202105</v>
      </c>
      <c r="ED311" s="40" t="s">
        <v>233</v>
      </c>
      <c r="EE311" s="16">
        <v>1</v>
      </c>
    </row>
    <row r="312" spans="11:135" ht="13.5" customHeight="1">
      <c r="K312" s="2"/>
      <c r="L312" s="18"/>
      <c r="O312" s="25"/>
      <c r="AI312" s="28"/>
      <c r="AJ312" s="28"/>
      <c r="AK312" s="28"/>
      <c r="AL312" s="28"/>
      <c r="AM312" s="28"/>
      <c r="AN312" s="28"/>
      <c r="AO312" s="30"/>
      <c r="AP312" s="28"/>
      <c r="AS312" s="28"/>
      <c r="AT312" s="28"/>
      <c r="AU312" s="30"/>
      <c r="AV312" s="28"/>
      <c r="AW312" s="28"/>
      <c r="AX312" s="28"/>
      <c r="AZ312" s="28"/>
      <c r="BA312" s="16" t="e">
        <f t="shared" si="190"/>
        <v>#DIV/0!</v>
      </c>
      <c r="BC312" s="7" t="e">
        <f t="shared" si="191"/>
        <v>#N/A</v>
      </c>
      <c r="BR312" s="7">
        <v>5301091</v>
      </c>
      <c r="BS312" s="9">
        <f>[1]monsters!$N312</f>
        <v>162.24</v>
      </c>
      <c r="BT312" s="9">
        <f>[1]monsters!$O312</f>
        <v>16.22</v>
      </c>
      <c r="BU312" s="9">
        <f>[1]monsters!$P312</f>
        <v>2773.33</v>
      </c>
      <c r="BV312" s="9">
        <f>[1]monsters!$Q312</f>
        <v>277.33</v>
      </c>
      <c r="BW312" s="9">
        <f>[1]monsters!$R312</f>
        <v>32.450000000000003</v>
      </c>
      <c r="BX312" s="9">
        <f>[1]monsters!$S312</f>
        <v>3.24</v>
      </c>
      <c r="BY312" s="9">
        <f>[1]monsters!$K312</f>
        <v>1.3</v>
      </c>
      <c r="BZ312" s="7">
        <f>[1]monsters!$D312</f>
        <v>3</v>
      </c>
      <c r="CA312" s="7">
        <f t="shared" si="192"/>
        <v>0.1</v>
      </c>
      <c r="CB312" s="7">
        <f t="shared" si="193"/>
        <v>246.69491447811447</v>
      </c>
      <c r="CC312" s="7">
        <f t="shared" si="194"/>
        <v>24.669491447811449</v>
      </c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>
        <v>0</v>
      </c>
      <c r="CR312" s="25"/>
      <c r="CS312" s="25"/>
      <c r="CT312" s="25"/>
      <c r="CU312" s="25"/>
      <c r="CV312" s="25"/>
      <c r="CW312" s="25"/>
      <c r="DP312" s="32"/>
      <c r="DQ312" s="32"/>
      <c r="DR312" s="32"/>
      <c r="DS312" s="32"/>
      <c r="DT312" s="32"/>
      <c r="DU312" s="32"/>
      <c r="DV312" s="32"/>
      <c r="DW312" s="32"/>
      <c r="DX312" s="32"/>
      <c r="DY312" s="32"/>
      <c r="DZ312" s="32"/>
      <c r="EA312" s="25"/>
      <c r="EB312" s="19"/>
      <c r="EC312" s="16">
        <v>5300105</v>
      </c>
      <c r="ED312" s="40" t="s">
        <v>224</v>
      </c>
      <c r="EE312" s="16">
        <v>1</v>
      </c>
    </row>
    <row r="313" spans="11:135" ht="13.5" customHeight="1">
      <c r="K313" s="2"/>
      <c r="O313" s="25"/>
      <c r="AI313" s="28"/>
      <c r="AJ313" s="28"/>
      <c r="AK313" s="28"/>
      <c r="AL313" s="28"/>
      <c r="AM313" s="28"/>
      <c r="AN313" s="28"/>
      <c r="AO313" s="30"/>
      <c r="AP313" s="28"/>
      <c r="AS313" s="28"/>
      <c r="AT313" s="28"/>
      <c r="AU313" s="30"/>
      <c r="AV313" s="28"/>
      <c r="AW313" s="28"/>
      <c r="AX313" s="28"/>
      <c r="AZ313" s="28"/>
      <c r="BA313" s="16" t="e">
        <f t="shared" si="190"/>
        <v>#DIV/0!</v>
      </c>
      <c r="BC313" s="7" t="e">
        <f t="shared" si="191"/>
        <v>#N/A</v>
      </c>
      <c r="BR313" s="7">
        <v>5401091</v>
      </c>
      <c r="BS313" s="9">
        <f>[1]monsters!$N313</f>
        <v>174.72</v>
      </c>
      <c r="BT313" s="9">
        <f>[1]monsters!$O313</f>
        <v>17.47</v>
      </c>
      <c r="BU313" s="9">
        <f>[1]monsters!$P313</f>
        <v>2773.33</v>
      </c>
      <c r="BV313" s="9">
        <f>[1]monsters!$Q313</f>
        <v>277.33</v>
      </c>
      <c r="BW313" s="9">
        <f>[1]monsters!$R313</f>
        <v>34.94</v>
      </c>
      <c r="BX313" s="9">
        <f>[1]monsters!$S313</f>
        <v>3.49</v>
      </c>
      <c r="BY313" s="9">
        <f>[1]monsters!$K313</f>
        <v>1.4000000000000001</v>
      </c>
      <c r="BZ313" s="7">
        <f>[1]monsters!$D313</f>
        <v>3</v>
      </c>
      <c r="CA313" s="7">
        <f t="shared" si="192"/>
        <v>0.1</v>
      </c>
      <c r="CB313" s="7">
        <f t="shared" si="193"/>
        <v>258.4885144781145</v>
      </c>
      <c r="CC313" s="7">
        <f t="shared" si="194"/>
        <v>25.848851447811452</v>
      </c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>
        <v>1</v>
      </c>
      <c r="CR313" s="25"/>
      <c r="CS313" s="25"/>
      <c r="CT313" s="25"/>
      <c r="CU313" s="25"/>
      <c r="CV313" s="25"/>
      <c r="CW313" s="25"/>
      <c r="DP313" s="32"/>
      <c r="DQ313" s="32"/>
      <c r="DR313" s="32"/>
      <c r="DS313" s="32"/>
      <c r="DT313" s="32"/>
      <c r="DU313" s="32"/>
      <c r="DV313" s="32"/>
      <c r="DW313" s="32"/>
      <c r="DX313" s="32"/>
      <c r="DY313" s="32"/>
      <c r="DZ313" s="32"/>
      <c r="EA313" s="25"/>
      <c r="EB313" s="19"/>
      <c r="EC313" s="16">
        <v>5302105</v>
      </c>
      <c r="ED313" s="40" t="s">
        <v>234</v>
      </c>
      <c r="EE313" s="16">
        <v>1</v>
      </c>
    </row>
    <row r="314" spans="11:135" ht="13.5" customHeight="1">
      <c r="K314" s="2"/>
      <c r="L314" s="18"/>
      <c r="O314" s="25"/>
      <c r="AI314" s="28"/>
      <c r="AJ314" s="28"/>
      <c r="AK314" s="28"/>
      <c r="AL314" s="28"/>
      <c r="AM314" s="28"/>
      <c r="AN314" s="28"/>
      <c r="AO314" s="30"/>
      <c r="AP314" s="28"/>
      <c r="AS314" s="28"/>
      <c r="AT314" s="28"/>
      <c r="AU314" s="30"/>
      <c r="AV314" s="28"/>
      <c r="AW314" s="28"/>
      <c r="AX314" s="28"/>
      <c r="AZ314" s="28"/>
      <c r="BA314" s="16" t="e">
        <f t="shared" si="190"/>
        <v>#DIV/0!</v>
      </c>
      <c r="BC314" s="7" t="e">
        <f t="shared" si="191"/>
        <v>#N/A</v>
      </c>
      <c r="BR314" s="7">
        <v>5402091</v>
      </c>
      <c r="BS314" s="9">
        <f>[1]monsters!$N314</f>
        <v>232.96</v>
      </c>
      <c r="BT314" s="9">
        <f>[1]monsters!$O314</f>
        <v>23.3</v>
      </c>
      <c r="BU314" s="9">
        <f>[1]monsters!$P314</f>
        <v>2080</v>
      </c>
      <c r="BV314" s="9">
        <f>[1]monsters!$Q314</f>
        <v>208</v>
      </c>
      <c r="BW314" s="9">
        <f>[1]monsters!$R314</f>
        <v>33.28</v>
      </c>
      <c r="BX314" s="9">
        <f>[1]monsters!$S314</f>
        <v>3.33</v>
      </c>
      <c r="BY314" s="9">
        <f>[1]monsters!$K314</f>
        <v>1.4000000000000001</v>
      </c>
      <c r="BZ314" s="7">
        <f>[1]monsters!$D314</f>
        <v>4</v>
      </c>
      <c r="CA314" s="7">
        <f t="shared" si="192"/>
        <v>0.1</v>
      </c>
      <c r="CB314" s="7">
        <f t="shared" si="193"/>
        <v>290.18087003367009</v>
      </c>
      <c r="CC314" s="7">
        <f t="shared" si="194"/>
        <v>29.018087003367011</v>
      </c>
      <c r="CD314" s="7"/>
      <c r="CE314" s="7"/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>
        <v>0</v>
      </c>
      <c r="CR314" s="25"/>
      <c r="CS314" s="25"/>
      <c r="CT314" s="25"/>
      <c r="CU314" s="25"/>
      <c r="CV314" s="25"/>
      <c r="CW314" s="25"/>
      <c r="DP314" s="32"/>
      <c r="DQ314" s="32"/>
      <c r="DR314" s="32"/>
      <c r="DS314" s="32"/>
      <c r="DT314" s="32"/>
      <c r="DU314" s="32"/>
      <c r="DV314" s="32"/>
      <c r="DW314" s="32"/>
      <c r="DX314" s="32"/>
      <c r="DY314" s="32"/>
      <c r="DZ314" s="32"/>
      <c r="EA314" s="25"/>
      <c r="EB314" s="19"/>
      <c r="EC314" s="16">
        <v>5400105</v>
      </c>
      <c r="ED314" s="40" t="s">
        <v>222</v>
      </c>
      <c r="EE314" s="16">
        <v>2</v>
      </c>
    </row>
    <row r="315" spans="11:135" ht="13.5" customHeight="1">
      <c r="K315" s="2"/>
      <c r="L315" s="18"/>
      <c r="O315" s="25"/>
      <c r="AI315" s="28"/>
      <c r="AJ315" s="28"/>
      <c r="AK315" s="28"/>
      <c r="AL315" s="28"/>
      <c r="AM315" s="28"/>
      <c r="AN315" s="28"/>
      <c r="AO315" s="30"/>
      <c r="AP315" s="28"/>
      <c r="AS315" s="28"/>
      <c r="AT315" s="28"/>
      <c r="AU315" s="30"/>
      <c r="AV315" s="28"/>
      <c r="AW315" s="28"/>
      <c r="AX315" s="28"/>
      <c r="AZ315" s="28"/>
      <c r="BA315" s="16" t="e">
        <f t="shared" si="190"/>
        <v>#DIV/0!</v>
      </c>
      <c r="BC315" s="7" t="e">
        <f t="shared" si="191"/>
        <v>#N/A</v>
      </c>
      <c r="BR315" s="7">
        <v>5500091</v>
      </c>
      <c r="BS315" s="9">
        <f>[1]monsters!$N315</f>
        <v>310.61</v>
      </c>
      <c r="BT315" s="9">
        <f>[1]monsters!$O315</f>
        <v>31.06</v>
      </c>
      <c r="BU315" s="9">
        <f>[1]monsters!$P315</f>
        <v>1782.86</v>
      </c>
      <c r="BV315" s="9">
        <f>[1]monsters!$Q315</f>
        <v>178.29</v>
      </c>
      <c r="BW315" s="9">
        <f>[1]monsters!$R315</f>
        <v>38.83</v>
      </c>
      <c r="BX315" s="9">
        <f>[1]monsters!$S315</f>
        <v>3.88</v>
      </c>
      <c r="BY315" s="9">
        <f>[1]monsters!$K315</f>
        <v>1.6</v>
      </c>
      <c r="BZ315" s="7">
        <f>[1]monsters!$D315</f>
        <v>5</v>
      </c>
      <c r="CA315" s="7">
        <f t="shared" si="192"/>
        <v>0.1</v>
      </c>
      <c r="CB315" s="7">
        <f t="shared" si="193"/>
        <v>353.55540622895626</v>
      </c>
      <c r="CC315" s="7">
        <f t="shared" si="194"/>
        <v>35.355540622895624</v>
      </c>
      <c r="CD315" s="7"/>
      <c r="CE315" s="7"/>
      <c r="CF315" s="7"/>
      <c r="CG315" s="7"/>
      <c r="CH315" s="7"/>
      <c r="CI315" s="7"/>
      <c r="CJ315" s="7"/>
      <c r="CK315" s="7"/>
      <c r="CL315" s="7"/>
      <c r="CM315" s="7"/>
      <c r="CN315" s="7"/>
      <c r="CO315" s="7"/>
      <c r="CP315" s="7">
        <v>0</v>
      </c>
      <c r="CR315" s="25"/>
      <c r="CS315" s="25"/>
      <c r="CT315" s="25"/>
      <c r="CU315" s="25"/>
      <c r="CV315" s="25"/>
      <c r="CW315" s="25"/>
      <c r="DP315" s="32"/>
      <c r="DQ315" s="32"/>
      <c r="DR315" s="32"/>
      <c r="DS315" s="32"/>
      <c r="DT315" s="32"/>
      <c r="DU315" s="32"/>
      <c r="DV315" s="32"/>
      <c r="DW315" s="32"/>
      <c r="DX315" s="32"/>
      <c r="DY315" s="32"/>
      <c r="DZ315" s="32"/>
      <c r="EA315" s="25"/>
      <c r="EB315" s="19"/>
      <c r="EC315" s="16">
        <v>5501105</v>
      </c>
      <c r="ED315" s="42" t="s">
        <v>235</v>
      </c>
      <c r="EE315" s="16">
        <v>2</v>
      </c>
    </row>
    <row r="316" spans="11:135" ht="13.5" customHeight="1">
      <c r="K316" s="2"/>
      <c r="L316" s="18"/>
      <c r="O316" s="25"/>
      <c r="AI316" s="28"/>
      <c r="AJ316" s="28"/>
      <c r="AK316" s="28"/>
      <c r="AL316" s="28"/>
      <c r="AM316" s="28"/>
      <c r="AN316" s="28"/>
      <c r="AO316" s="30"/>
      <c r="AP316" s="28"/>
      <c r="AS316" s="28"/>
      <c r="AT316" s="28"/>
      <c r="AU316" s="30"/>
      <c r="AV316" s="28"/>
      <c r="AW316" s="28"/>
      <c r="AX316" s="28"/>
      <c r="AZ316" s="28"/>
      <c r="BA316" s="16" t="e">
        <f t="shared" si="190"/>
        <v>#DIV/0!</v>
      </c>
      <c r="BC316" s="7" t="e">
        <f t="shared" si="191"/>
        <v>#N/A</v>
      </c>
      <c r="BR316" s="7">
        <v>5501091</v>
      </c>
      <c r="BS316" s="9">
        <f>[1]monsters!$N316</f>
        <v>224</v>
      </c>
      <c r="BT316" s="9">
        <f>[1]monsters!$O316</f>
        <v>22.4</v>
      </c>
      <c r="BU316" s="9">
        <f>[1]monsters!$P316</f>
        <v>2688</v>
      </c>
      <c r="BV316" s="9">
        <f>[1]monsters!$Q316</f>
        <v>268.8</v>
      </c>
      <c r="BW316" s="9">
        <f>[1]monsters!$R316</f>
        <v>56</v>
      </c>
      <c r="BX316" s="9">
        <f>[1]monsters!$S316</f>
        <v>5.6</v>
      </c>
      <c r="BY316" s="9">
        <f>[1]monsters!$K316</f>
        <v>1.5</v>
      </c>
      <c r="BZ316" s="7">
        <f>[1]monsters!$D316</f>
        <v>2</v>
      </c>
      <c r="CA316" s="7">
        <f t="shared" si="192"/>
        <v>0.1</v>
      </c>
      <c r="CB316" s="7">
        <f t="shared" si="193"/>
        <v>302.18505050505053</v>
      </c>
      <c r="CC316" s="7">
        <f t="shared" si="194"/>
        <v>30.218505050505055</v>
      </c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>
        <v>0</v>
      </c>
      <c r="CR316" s="25"/>
      <c r="CS316" s="25"/>
      <c r="CT316" s="25"/>
      <c r="CU316" s="25"/>
      <c r="CV316" s="25"/>
      <c r="CW316" s="25"/>
      <c r="DP316" s="32"/>
      <c r="DQ316" s="32"/>
      <c r="DR316" s="32"/>
      <c r="DS316" s="32"/>
      <c r="DT316" s="32"/>
      <c r="DU316" s="32"/>
      <c r="DV316" s="32"/>
      <c r="DW316" s="32"/>
      <c r="DX316" s="32"/>
      <c r="DY316" s="32"/>
      <c r="DZ316" s="32"/>
      <c r="EA316" s="25"/>
      <c r="EB316" s="19"/>
      <c r="EC316" s="16">
        <v>5200111</v>
      </c>
      <c r="ED316" s="40" t="s">
        <v>205</v>
      </c>
      <c r="EE316" s="16">
        <v>1</v>
      </c>
    </row>
    <row r="317" spans="11:135" ht="13.5" customHeight="1">
      <c r="K317" s="2"/>
      <c r="L317" s="18"/>
      <c r="O317" s="25"/>
      <c r="AI317" s="28"/>
      <c r="AJ317" s="28"/>
      <c r="AK317" s="28"/>
      <c r="AL317" s="28"/>
      <c r="AM317" s="28"/>
      <c r="AN317" s="28"/>
      <c r="AO317" s="30"/>
      <c r="AP317" s="28"/>
      <c r="AS317" s="28"/>
      <c r="AT317" s="28"/>
      <c r="AU317" s="30"/>
      <c r="AV317" s="28"/>
      <c r="AW317" s="28"/>
      <c r="AX317" s="28"/>
      <c r="AZ317" s="28"/>
      <c r="BA317" s="16" t="e">
        <f t="shared" si="190"/>
        <v>#DIV/0!</v>
      </c>
      <c r="BC317" s="7" t="e">
        <f t="shared" si="191"/>
        <v>#N/A</v>
      </c>
      <c r="BR317" s="7">
        <v>5600091</v>
      </c>
      <c r="BS317" s="9">
        <f>[1]monsters!$N317</f>
        <v>215.04</v>
      </c>
      <c r="BT317" s="9">
        <f>[1]monsters!$O317</f>
        <v>21.5</v>
      </c>
      <c r="BU317" s="9">
        <f>[1]monsters!$P317</f>
        <v>3360</v>
      </c>
      <c r="BV317" s="9">
        <f>[1]monsters!$Q317</f>
        <v>336</v>
      </c>
      <c r="BW317" s="9">
        <f>[1]monsters!$R317</f>
        <v>71.680000000000007</v>
      </c>
      <c r="BX317" s="9">
        <f>[1]monsters!$S317</f>
        <v>7.17</v>
      </c>
      <c r="BY317" s="9">
        <f>[1]monsters!$K317</f>
        <v>1.8</v>
      </c>
      <c r="BZ317" s="7">
        <f>[1]monsters!$D317</f>
        <v>2</v>
      </c>
      <c r="CA317" s="7">
        <f t="shared" si="192"/>
        <v>0.1</v>
      </c>
      <c r="CB317" s="7">
        <f t="shared" si="193"/>
        <v>316.34411313131312</v>
      </c>
      <c r="CC317" s="7">
        <f t="shared" si="194"/>
        <v>31.634411313131313</v>
      </c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>
        <v>0</v>
      </c>
      <c r="CR317" s="25"/>
      <c r="CS317" s="25"/>
      <c r="CT317" s="25"/>
      <c r="CU317" s="25"/>
      <c r="CV317" s="25"/>
      <c r="CW317" s="25"/>
      <c r="DP317" s="32"/>
      <c r="DQ317" s="32"/>
      <c r="DR317" s="32"/>
      <c r="DS317" s="32"/>
      <c r="DT317" s="32"/>
      <c r="DU317" s="32"/>
      <c r="DV317" s="32"/>
      <c r="DW317" s="32"/>
      <c r="DX317" s="32"/>
      <c r="DY317" s="32"/>
      <c r="DZ317" s="32"/>
      <c r="EA317" s="25"/>
      <c r="EB317" s="19"/>
      <c r="EC317" s="16">
        <v>5201111</v>
      </c>
      <c r="ED317" s="40" t="s">
        <v>206</v>
      </c>
      <c r="EE317" s="16">
        <v>1</v>
      </c>
    </row>
    <row r="318" spans="11:135" ht="13.5" customHeight="1">
      <c r="K318" s="2"/>
      <c r="O318" s="25"/>
      <c r="AI318" s="28"/>
      <c r="AJ318" s="28"/>
      <c r="AK318" s="28"/>
      <c r="AL318" s="28"/>
      <c r="AM318" s="28"/>
      <c r="AN318" s="28"/>
      <c r="AO318" s="30"/>
      <c r="AP318" s="28"/>
      <c r="AS318" s="28"/>
      <c r="AT318" s="28"/>
      <c r="AU318" s="30"/>
      <c r="AV318" s="28"/>
      <c r="AW318" s="28"/>
      <c r="AX318" s="28"/>
      <c r="AZ318" s="28"/>
      <c r="BA318" s="16" t="e">
        <f t="shared" si="190"/>
        <v>#DIV/0!</v>
      </c>
      <c r="BC318" s="7" t="e">
        <f t="shared" si="191"/>
        <v>#N/A</v>
      </c>
      <c r="BR318" s="7">
        <v>5601091</v>
      </c>
      <c r="BS318" s="9">
        <f>[1]monsters!$N318</f>
        <v>241.92</v>
      </c>
      <c r="BT318" s="9">
        <f>[1]monsters!$O318</f>
        <v>24.19</v>
      </c>
      <c r="BU318" s="9">
        <f>[1]monsters!$P318</f>
        <v>2986.67</v>
      </c>
      <c r="BV318" s="9">
        <f>[1]monsters!$Q318</f>
        <v>298.67</v>
      </c>
      <c r="BW318" s="9">
        <f>[1]monsters!$R318</f>
        <v>48.38</v>
      </c>
      <c r="BX318" s="9">
        <f>[1]monsters!$S318</f>
        <v>4.84</v>
      </c>
      <c r="BY318" s="9">
        <f>[1]monsters!$K318</f>
        <v>1.8</v>
      </c>
      <c r="BZ318" s="7">
        <f>[1]monsters!$D318</f>
        <v>2</v>
      </c>
      <c r="CA318" s="7">
        <f t="shared" si="192"/>
        <v>0.1</v>
      </c>
      <c r="CB318" s="7">
        <f t="shared" si="193"/>
        <v>329.17567946127946</v>
      </c>
      <c r="CC318" s="7">
        <f t="shared" si="194"/>
        <v>32.917567946127946</v>
      </c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>
        <v>1</v>
      </c>
      <c r="CR318" s="25"/>
      <c r="CS318" s="25"/>
      <c r="CT318" s="25"/>
      <c r="CU318" s="25"/>
      <c r="CV318" s="25"/>
      <c r="CW318" s="25"/>
      <c r="DP318" s="32"/>
      <c r="DQ318" s="32"/>
      <c r="DR318" s="32"/>
      <c r="DS318" s="32"/>
      <c r="DT318" s="32"/>
      <c r="DU318" s="32"/>
      <c r="DV318" s="32"/>
      <c r="DW318" s="32"/>
      <c r="DX318" s="32"/>
      <c r="DY318" s="32"/>
      <c r="DZ318" s="32"/>
      <c r="EA318" s="25"/>
      <c r="EB318" s="19"/>
      <c r="EC318" s="16">
        <v>5202111</v>
      </c>
      <c r="ED318" s="40" t="s">
        <v>117</v>
      </c>
      <c r="EE318" s="16">
        <v>1</v>
      </c>
    </row>
    <row r="319" spans="11:135" ht="13.5" customHeight="1">
      <c r="K319" s="2"/>
      <c r="L319" s="18"/>
      <c r="O319" s="25"/>
      <c r="AI319" s="28"/>
      <c r="AJ319" s="28"/>
      <c r="AK319" s="28"/>
      <c r="AL319" s="28"/>
      <c r="AM319" s="28"/>
      <c r="AN319" s="28"/>
      <c r="AO319" s="30"/>
      <c r="AP319" s="28"/>
      <c r="AS319" s="28"/>
      <c r="AT319" s="28"/>
      <c r="AU319" s="30"/>
      <c r="AV319" s="28"/>
      <c r="AW319" s="28"/>
      <c r="AX319" s="28"/>
      <c r="AZ319" s="28"/>
      <c r="BA319" s="16" t="e">
        <f t="shared" ref="BA319:BA352" si="195">BA318+($BA$353-$BA$253)/($A$353-$A$253)</f>
        <v>#DIV/0!</v>
      </c>
      <c r="BC319" s="7" t="e">
        <f t="shared" si="191"/>
        <v>#N/A</v>
      </c>
      <c r="BR319" s="7">
        <v>5200092</v>
      </c>
      <c r="BS319" s="9">
        <f>[1]monsters!$N319</f>
        <v>161.28</v>
      </c>
      <c r="BT319" s="9">
        <f>[1]monsters!$O319</f>
        <v>16.13</v>
      </c>
      <c r="BU319" s="9">
        <f>[1]monsters!$P319</f>
        <v>2986.67</v>
      </c>
      <c r="BV319" s="9">
        <f>[1]monsters!$Q319</f>
        <v>298.67</v>
      </c>
      <c r="BW319" s="9">
        <f>[1]monsters!$R319</f>
        <v>32.26</v>
      </c>
      <c r="BX319" s="9">
        <f>[1]monsters!$S319</f>
        <v>3.23</v>
      </c>
      <c r="BY319" s="9">
        <f>[1]monsters!$K319</f>
        <v>1.2</v>
      </c>
      <c r="BZ319" s="7">
        <f>[1]monsters!$D319</f>
        <v>3</v>
      </c>
      <c r="CA319" s="7">
        <f t="shared" si="192"/>
        <v>0.1</v>
      </c>
      <c r="CB319" s="7">
        <f t="shared" si="193"/>
        <v>252.97087946127948</v>
      </c>
      <c r="CC319" s="7">
        <f t="shared" si="194"/>
        <v>25.297087946127949</v>
      </c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>
        <v>0</v>
      </c>
      <c r="CR319" s="25"/>
      <c r="CS319" s="25"/>
      <c r="CT319" s="25"/>
      <c r="CU319" s="25"/>
      <c r="CV319" s="25"/>
      <c r="CW319" s="25"/>
      <c r="DP319" s="32"/>
      <c r="DQ319" s="32"/>
      <c r="DR319" s="32"/>
      <c r="DS319" s="32"/>
      <c r="DT319" s="32"/>
      <c r="DU319" s="32"/>
      <c r="DV319" s="32"/>
      <c r="DW319" s="32"/>
      <c r="DX319" s="32"/>
      <c r="DY319" s="32"/>
      <c r="DZ319" s="32"/>
      <c r="EA319" s="25"/>
      <c r="EB319" s="46"/>
      <c r="EC319" s="16">
        <v>5301111</v>
      </c>
      <c r="ED319" s="40" t="s">
        <v>113</v>
      </c>
      <c r="EE319" s="16">
        <v>1</v>
      </c>
    </row>
    <row r="320" spans="11:135" ht="13.5" customHeight="1">
      <c r="K320" s="2"/>
      <c r="L320" s="18"/>
      <c r="O320" s="25"/>
      <c r="AI320" s="28"/>
      <c r="AJ320" s="28"/>
      <c r="AK320" s="28"/>
      <c r="AL320" s="28"/>
      <c r="AM320" s="28"/>
      <c r="AN320" s="28"/>
      <c r="AO320" s="30"/>
      <c r="AP320" s="28"/>
      <c r="AS320" s="28"/>
      <c r="AT320" s="28"/>
      <c r="AU320" s="30"/>
      <c r="AV320" s="28"/>
      <c r="AW320" s="28"/>
      <c r="AX320" s="28"/>
      <c r="AZ320" s="28"/>
      <c r="BA320" s="16" t="e">
        <f t="shared" si="195"/>
        <v>#DIV/0!</v>
      </c>
      <c r="BC320" s="7" t="e">
        <f t="shared" si="191"/>
        <v>#N/A</v>
      </c>
      <c r="BR320" s="7">
        <v>5202092</v>
      </c>
      <c r="BS320" s="9">
        <f>[1]monsters!$N320</f>
        <v>286.72000000000003</v>
      </c>
      <c r="BT320" s="9">
        <f>[1]monsters!$O320</f>
        <v>28.67</v>
      </c>
      <c r="BU320" s="9">
        <f>[1]monsters!$P320</f>
        <v>2240</v>
      </c>
      <c r="BV320" s="9">
        <f>[1]monsters!$Q320</f>
        <v>224</v>
      </c>
      <c r="BW320" s="9">
        <f>[1]monsters!$R320</f>
        <v>40.96</v>
      </c>
      <c r="BX320" s="9">
        <f>[1]monsters!$S320</f>
        <v>4.0999999999999996</v>
      </c>
      <c r="BY320" s="9">
        <f>[1]monsters!$K320</f>
        <v>1.6</v>
      </c>
      <c r="BZ320" s="7">
        <f>[1]monsters!$D320</f>
        <v>4</v>
      </c>
      <c r="CA320" s="7">
        <f t="shared" si="192"/>
        <v>0.1</v>
      </c>
      <c r="CB320" s="7">
        <f t="shared" si="193"/>
        <v>346.37127542087546</v>
      </c>
      <c r="CC320" s="7">
        <f t="shared" si="194"/>
        <v>34.637127542087548</v>
      </c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>
        <v>0</v>
      </c>
      <c r="CR320" s="25"/>
      <c r="CS320" s="25"/>
      <c r="CT320" s="25"/>
      <c r="CU320" s="25"/>
      <c r="CV320" s="25"/>
      <c r="CW320" s="25"/>
      <c r="DP320" s="32"/>
      <c r="DQ320" s="32"/>
      <c r="DR320" s="32"/>
      <c r="DS320" s="32"/>
      <c r="DT320" s="32"/>
      <c r="DU320" s="32"/>
      <c r="DV320" s="32"/>
      <c r="DW320" s="32"/>
      <c r="DX320" s="32"/>
      <c r="DY320" s="32"/>
      <c r="DZ320" s="32"/>
      <c r="EA320" s="25"/>
      <c r="EB320" s="19"/>
      <c r="EC320" s="16">
        <v>5401111</v>
      </c>
      <c r="ED320" s="40" t="s">
        <v>123</v>
      </c>
      <c r="EE320" s="16">
        <v>2</v>
      </c>
    </row>
    <row r="321" spans="11:135" ht="13.5" customHeight="1">
      <c r="K321" s="2"/>
      <c r="L321" s="18"/>
      <c r="O321" s="25"/>
      <c r="AI321" s="28"/>
      <c r="AJ321" s="28"/>
      <c r="AK321" s="28"/>
      <c r="AL321" s="28"/>
      <c r="AM321" s="28"/>
      <c r="AN321" s="28"/>
      <c r="AO321" s="30"/>
      <c r="AP321" s="28"/>
      <c r="AS321" s="28"/>
      <c r="AT321" s="28"/>
      <c r="AU321" s="30"/>
      <c r="AV321" s="28"/>
      <c r="AW321" s="28"/>
      <c r="AX321" s="28"/>
      <c r="AZ321" s="28"/>
      <c r="BA321" s="16" t="e">
        <f t="shared" si="195"/>
        <v>#DIV/0!</v>
      </c>
      <c r="BC321" s="7" t="e">
        <f t="shared" si="191"/>
        <v>#N/A</v>
      </c>
      <c r="BR321" s="7">
        <v>5302092</v>
      </c>
      <c r="BS321" s="9">
        <f>[1]monsters!$N321</f>
        <v>268.8</v>
      </c>
      <c r="BT321" s="9">
        <f>[1]monsters!$O321</f>
        <v>26.88</v>
      </c>
      <c r="BU321" s="9">
        <f>[1]monsters!$P321</f>
        <v>2240</v>
      </c>
      <c r="BV321" s="9">
        <f>[1]monsters!$Q321</f>
        <v>224</v>
      </c>
      <c r="BW321" s="9">
        <f>[1]monsters!$R321</f>
        <v>38.4</v>
      </c>
      <c r="BX321" s="9">
        <f>[1]monsters!$S321</f>
        <v>3.84</v>
      </c>
      <c r="BY321" s="9">
        <f>[1]monsters!$K321</f>
        <v>1.5</v>
      </c>
      <c r="BZ321" s="7">
        <f>[1]monsters!$D321</f>
        <v>4</v>
      </c>
      <c r="CA321" s="7">
        <f t="shared" si="192"/>
        <v>0.1</v>
      </c>
      <c r="CB321" s="7">
        <f t="shared" si="193"/>
        <v>329.43687542087542</v>
      </c>
      <c r="CC321" s="7">
        <f t="shared" si="194"/>
        <v>32.943687542087545</v>
      </c>
      <c r="CD321" s="7"/>
      <c r="CE321" s="7"/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>
        <v>0</v>
      </c>
      <c r="CR321" s="25"/>
      <c r="CS321" s="25"/>
      <c r="CT321" s="25"/>
      <c r="CU321" s="25"/>
      <c r="CV321" s="25"/>
      <c r="CW321" s="25"/>
      <c r="DP321" s="32"/>
      <c r="DQ321" s="32"/>
      <c r="DR321" s="32"/>
      <c r="DS321" s="32"/>
      <c r="DT321" s="32"/>
      <c r="DU321" s="32"/>
      <c r="DV321" s="32"/>
      <c r="DW321" s="32"/>
      <c r="DX321" s="32"/>
      <c r="DY321" s="32"/>
      <c r="DZ321" s="32"/>
      <c r="EA321" s="25"/>
      <c r="EB321" s="19"/>
      <c r="EC321" s="16">
        <v>5402111</v>
      </c>
      <c r="ED321" s="40" t="s">
        <v>207</v>
      </c>
      <c r="EE321" s="16">
        <v>2</v>
      </c>
    </row>
    <row r="322" spans="11:135" ht="13.5" customHeight="1">
      <c r="K322" s="2"/>
      <c r="L322" s="18"/>
      <c r="O322" s="25"/>
      <c r="AI322" s="28"/>
      <c r="AJ322" s="28"/>
      <c r="AK322" s="28"/>
      <c r="AL322" s="28"/>
      <c r="AM322" s="28"/>
      <c r="AN322" s="28"/>
      <c r="AO322" s="30"/>
      <c r="AP322" s="28"/>
      <c r="AS322" s="28"/>
      <c r="AT322" s="28"/>
      <c r="AU322" s="30"/>
      <c r="AV322" s="28"/>
      <c r="AW322" s="28"/>
      <c r="AX322" s="28"/>
      <c r="AZ322" s="28"/>
      <c r="BA322" s="16" t="e">
        <f t="shared" si="195"/>
        <v>#DIV/0!</v>
      </c>
      <c r="BC322" s="7" t="e">
        <f t="shared" si="191"/>
        <v>#N/A</v>
      </c>
      <c r="BR322" s="7">
        <v>5300092</v>
      </c>
      <c r="BS322" s="9">
        <f>[1]monsters!$N322</f>
        <v>313.60000000000002</v>
      </c>
      <c r="BT322" s="9">
        <f>[1]monsters!$O322</f>
        <v>31.36</v>
      </c>
      <c r="BU322" s="9">
        <f>[1]monsters!$P322</f>
        <v>1920</v>
      </c>
      <c r="BV322" s="9">
        <f>[1]monsters!$Q322</f>
        <v>192</v>
      </c>
      <c r="BW322" s="9">
        <f>[1]monsters!$R322</f>
        <v>39.200000000000003</v>
      </c>
      <c r="BX322" s="9">
        <f>[1]monsters!$S322</f>
        <v>3.92</v>
      </c>
      <c r="BY322" s="9">
        <f>[1]monsters!$K322</f>
        <v>1.5</v>
      </c>
      <c r="BZ322" s="7">
        <f>[1]monsters!$D322</f>
        <v>5</v>
      </c>
      <c r="CA322" s="7">
        <f t="shared" si="192"/>
        <v>0.1</v>
      </c>
      <c r="CB322" s="7">
        <f t="shared" si="193"/>
        <v>360.99846464646464</v>
      </c>
      <c r="CC322" s="7">
        <f t="shared" si="194"/>
        <v>36.099846464646468</v>
      </c>
      <c r="CD322" s="7"/>
      <c r="CE322" s="7"/>
      <c r="CF322" s="7"/>
      <c r="CG322" s="7"/>
      <c r="CH322" s="7"/>
      <c r="CI322" s="7"/>
      <c r="CJ322" s="7"/>
      <c r="CK322" s="7"/>
      <c r="CL322" s="7"/>
      <c r="CM322" s="7"/>
      <c r="CN322" s="7"/>
      <c r="CO322" s="7"/>
      <c r="CP322" s="7">
        <v>0</v>
      </c>
      <c r="CR322" s="25"/>
      <c r="CS322" s="25"/>
      <c r="CT322" s="25"/>
      <c r="CU322" s="25"/>
      <c r="CV322" s="25"/>
      <c r="CW322" s="25"/>
      <c r="DP322" s="32"/>
      <c r="DQ322" s="32"/>
      <c r="DR322" s="32"/>
      <c r="DS322" s="32"/>
      <c r="DT322" s="32"/>
      <c r="DU322" s="32"/>
      <c r="DV322" s="32"/>
      <c r="DW322" s="32"/>
      <c r="DX322" s="32"/>
      <c r="DY322" s="32"/>
      <c r="DZ322" s="32"/>
      <c r="EA322" s="25"/>
      <c r="EB322" s="19"/>
      <c r="EC322" s="16">
        <v>5500111</v>
      </c>
      <c r="ED322" s="40" t="s">
        <v>208</v>
      </c>
      <c r="EE322" s="16">
        <v>2</v>
      </c>
    </row>
    <row r="323" spans="11:135" ht="13.5" customHeight="1">
      <c r="K323" s="2"/>
      <c r="O323" s="25"/>
      <c r="AI323" s="28"/>
      <c r="AJ323" s="28"/>
      <c r="AK323" s="28"/>
      <c r="AL323" s="28"/>
      <c r="AM323" s="28"/>
      <c r="AN323" s="28"/>
      <c r="AO323" s="30"/>
      <c r="AP323" s="28"/>
      <c r="AS323" s="28"/>
      <c r="AT323" s="28"/>
      <c r="AU323" s="30"/>
      <c r="AV323" s="28"/>
      <c r="AW323" s="28"/>
      <c r="AX323" s="28"/>
      <c r="AZ323" s="28"/>
      <c r="BA323" s="16" t="e">
        <f t="shared" si="195"/>
        <v>#DIV/0!</v>
      </c>
      <c r="BC323" s="7" t="e">
        <f t="shared" si="191"/>
        <v>#N/A</v>
      </c>
      <c r="BR323" s="7">
        <v>5400092</v>
      </c>
      <c r="BS323" s="9">
        <f>[1]monsters!$N323</f>
        <v>292.69</v>
      </c>
      <c r="BT323" s="9">
        <f>[1]monsters!$O323</f>
        <v>29.27</v>
      </c>
      <c r="BU323" s="9">
        <f>[1]monsters!$P323</f>
        <v>1920</v>
      </c>
      <c r="BV323" s="9">
        <f>[1]monsters!$Q323</f>
        <v>192</v>
      </c>
      <c r="BW323" s="9">
        <f>[1]monsters!$R323</f>
        <v>36.590000000000003</v>
      </c>
      <c r="BX323" s="9">
        <f>[1]monsters!$S323</f>
        <v>3.66</v>
      </c>
      <c r="BY323" s="9">
        <f>[1]monsters!$K323</f>
        <v>1.4000000000000001</v>
      </c>
      <c r="BZ323" s="7">
        <f>[1]monsters!$D323</f>
        <v>5</v>
      </c>
      <c r="CA323" s="7">
        <f t="shared" si="192"/>
        <v>0.1</v>
      </c>
      <c r="CB323" s="7">
        <f t="shared" si="193"/>
        <v>341.23851464646464</v>
      </c>
      <c r="CC323" s="7">
        <f t="shared" si="194"/>
        <v>34.123851464646464</v>
      </c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>
        <v>1</v>
      </c>
      <c r="CR323" s="25"/>
      <c r="CS323" s="25"/>
      <c r="CT323" s="25"/>
      <c r="CU323" s="25"/>
      <c r="CV323" s="25"/>
      <c r="CW323" s="25"/>
      <c r="DP323" s="32"/>
      <c r="DQ323" s="32"/>
      <c r="DR323" s="32"/>
      <c r="DS323" s="32"/>
      <c r="DT323" s="32"/>
      <c r="DU323" s="32"/>
      <c r="DV323" s="32"/>
      <c r="DW323" s="32"/>
      <c r="DX323" s="32"/>
      <c r="DY323" s="32"/>
      <c r="DZ323" s="32"/>
      <c r="EA323" s="25"/>
      <c r="EB323" s="19"/>
      <c r="EC323" s="16">
        <v>5502111</v>
      </c>
      <c r="ED323" s="40" t="s">
        <v>130</v>
      </c>
      <c r="EE323" s="16">
        <v>2</v>
      </c>
    </row>
    <row r="324" spans="11:135" ht="13.5" customHeight="1">
      <c r="K324" s="2"/>
      <c r="L324" s="18"/>
      <c r="O324" s="25"/>
      <c r="AI324" s="28"/>
      <c r="AJ324" s="28"/>
      <c r="AK324" s="28"/>
      <c r="AL324" s="28"/>
      <c r="AM324" s="28"/>
      <c r="AN324" s="28"/>
      <c r="AO324" s="30"/>
      <c r="AP324" s="28"/>
      <c r="AS324" s="28"/>
      <c r="AT324" s="28"/>
      <c r="AU324" s="30"/>
      <c r="AV324" s="28"/>
      <c r="AW324" s="28"/>
      <c r="AX324" s="28"/>
      <c r="AZ324" s="28"/>
      <c r="BA324" s="16" t="e">
        <f t="shared" si="195"/>
        <v>#DIV/0!</v>
      </c>
      <c r="BC324" s="7" t="e">
        <f t="shared" si="191"/>
        <v>#N/A</v>
      </c>
      <c r="BR324" s="7">
        <v>5402092</v>
      </c>
      <c r="BS324" s="9">
        <f>[1]monsters!$N324</f>
        <v>347.2</v>
      </c>
      <c r="BT324" s="9">
        <f>[1]monsters!$O324</f>
        <v>34.72</v>
      </c>
      <c r="BU324" s="9">
        <f>[1]monsters!$P324</f>
        <v>1734.19</v>
      </c>
      <c r="BV324" s="9">
        <f>[1]monsters!$Q324</f>
        <v>173.42</v>
      </c>
      <c r="BW324" s="9">
        <f>[1]monsters!$R324</f>
        <v>34.72</v>
      </c>
      <c r="BX324" s="9">
        <f>[1]monsters!$S324</f>
        <v>3.47</v>
      </c>
      <c r="BY324" s="9">
        <f>[1]monsters!$K324</f>
        <v>1.5</v>
      </c>
      <c r="BZ324" s="7">
        <f>[1]monsters!$D324</f>
        <v>6</v>
      </c>
      <c r="CA324" s="7">
        <f t="shared" si="192"/>
        <v>0.1</v>
      </c>
      <c r="CB324" s="7">
        <f t="shared" si="193"/>
        <v>386.49423569023566</v>
      </c>
      <c r="CC324" s="7">
        <f t="shared" si="194"/>
        <v>38.649423569023568</v>
      </c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>
        <v>0</v>
      </c>
      <c r="CR324" s="25"/>
      <c r="CS324" s="25"/>
      <c r="CT324" s="25"/>
      <c r="CU324" s="25"/>
      <c r="CV324" s="25"/>
      <c r="CW324" s="25"/>
      <c r="DP324" s="32"/>
      <c r="DQ324" s="32"/>
      <c r="DR324" s="32"/>
      <c r="DS324" s="32"/>
      <c r="DT324" s="32"/>
      <c r="DU324" s="32"/>
      <c r="DV324" s="32"/>
      <c r="DW324" s="32"/>
      <c r="DX324" s="32"/>
      <c r="DY324" s="32"/>
      <c r="DZ324" s="32"/>
      <c r="EA324" s="25"/>
      <c r="EB324" s="19"/>
      <c r="EC324" s="16">
        <v>5601111</v>
      </c>
      <c r="ED324" s="40" t="s">
        <v>209</v>
      </c>
      <c r="EE324" s="16">
        <v>2</v>
      </c>
    </row>
    <row r="325" spans="11:135" ht="13.5" customHeight="1">
      <c r="K325" s="2"/>
      <c r="L325" s="18"/>
      <c r="O325" s="25"/>
      <c r="AI325" s="28"/>
      <c r="AJ325" s="28"/>
      <c r="AK325" s="28"/>
      <c r="AL325" s="28"/>
      <c r="AM325" s="28"/>
      <c r="AN325" s="28"/>
      <c r="AO325" s="30"/>
      <c r="AP325" s="28"/>
      <c r="AS325" s="28"/>
      <c r="AT325" s="28"/>
      <c r="AU325" s="30"/>
      <c r="AV325" s="28"/>
      <c r="AW325" s="28"/>
      <c r="AX325" s="28"/>
      <c r="AZ325" s="28"/>
      <c r="BA325" s="16" t="e">
        <f t="shared" si="195"/>
        <v>#DIV/0!</v>
      </c>
      <c r="BC325" s="7" t="e">
        <f t="shared" ref="BC325:BC388" si="196">FLOOR(POWER(((3000*1.5/0.9/1.05)/(96*INDEX($BD$4:$BO$4,MATCH(W325,$BD$3:$BO$3,0))*8*INDEX($BD$4:$BO$4,MATCH(W325,$BD$3:$BO$3,0)))*AI325/IF(AND(W325&gt;=2,W325&lt;4),1.2,IF(AND(W325&gt;=4,W325&lt;6),1.4,IF(W325&gt;=6,1.6,1)))),1/2)-10,1)</f>
        <v>#N/A</v>
      </c>
      <c r="BR325" s="7">
        <v>5500092</v>
      </c>
      <c r="BS325" s="9">
        <f>[1]monsters!$N325</f>
        <v>224</v>
      </c>
      <c r="BT325" s="9">
        <f>[1]monsters!$O325</f>
        <v>22.4</v>
      </c>
      <c r="BU325" s="9">
        <f>[1]monsters!$P325</f>
        <v>2688</v>
      </c>
      <c r="BV325" s="9">
        <f>[1]monsters!$Q325</f>
        <v>268.8</v>
      </c>
      <c r="BW325" s="9">
        <f>[1]monsters!$R325</f>
        <v>56</v>
      </c>
      <c r="BX325" s="9">
        <f>[1]monsters!$S325</f>
        <v>5.6</v>
      </c>
      <c r="BY325" s="9">
        <f>[1]monsters!$K325</f>
        <v>1.5</v>
      </c>
      <c r="BZ325" s="7">
        <f>[1]monsters!$D325</f>
        <v>2</v>
      </c>
      <c r="CA325" s="7">
        <f t="shared" ref="CA325:CA388" si="197">INDEX($CH$5:$CH$10,MATCH($BZ325,$CG$5:$CG$10))</f>
        <v>0.1</v>
      </c>
      <c r="CB325" s="7">
        <f t="shared" ref="CB325:CB388" si="198">(BU325/33/(1-CA325)/(1-0)+BS325*(1+0.5*0.1)*0.9)</f>
        <v>302.18505050505053</v>
      </c>
      <c r="CC325" s="7">
        <f t="shared" ref="CC325:CC388" si="199">(BU325/33/(1-CA325)/(1-0)+BS325*(1+0.5*0.1)*0.9)*0.1</f>
        <v>30.218505050505055</v>
      </c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>
        <v>0</v>
      </c>
      <c r="CR325" s="25"/>
      <c r="CS325" s="25"/>
      <c r="CT325" s="25"/>
      <c r="CU325" s="25"/>
      <c r="CV325" s="25"/>
      <c r="CW325" s="25"/>
      <c r="DP325" s="32"/>
      <c r="DQ325" s="32"/>
      <c r="DR325" s="32"/>
      <c r="DS325" s="32"/>
      <c r="DT325" s="32"/>
      <c r="DU325" s="32"/>
      <c r="DV325" s="32"/>
      <c r="DW325" s="32"/>
      <c r="DX325" s="32"/>
      <c r="DY325" s="32"/>
      <c r="DZ325" s="32"/>
      <c r="EA325" s="25"/>
      <c r="EB325" s="19"/>
      <c r="EC325" s="16">
        <v>5200112</v>
      </c>
      <c r="ED325" s="40" t="s">
        <v>210</v>
      </c>
      <c r="EE325" s="16">
        <v>1</v>
      </c>
    </row>
    <row r="326" spans="11:135" ht="13.5" customHeight="1">
      <c r="K326" s="2"/>
      <c r="L326" s="18"/>
      <c r="O326" s="25"/>
      <c r="AI326" s="28"/>
      <c r="AJ326" s="28"/>
      <c r="AK326" s="28"/>
      <c r="AL326" s="28"/>
      <c r="AM326" s="28"/>
      <c r="AN326" s="28"/>
      <c r="AO326" s="30"/>
      <c r="AP326" s="28"/>
      <c r="AS326" s="28"/>
      <c r="AT326" s="28"/>
      <c r="AU326" s="30"/>
      <c r="AV326" s="28"/>
      <c r="AW326" s="28"/>
      <c r="AX326" s="28"/>
      <c r="AZ326" s="28"/>
      <c r="BA326" s="16" t="e">
        <f t="shared" si="195"/>
        <v>#DIV/0!</v>
      </c>
      <c r="BC326" s="7" t="e">
        <f t="shared" si="196"/>
        <v>#N/A</v>
      </c>
      <c r="BR326" s="7">
        <v>5502092</v>
      </c>
      <c r="BS326" s="9">
        <f>[1]monsters!$N326</f>
        <v>215.04</v>
      </c>
      <c r="BT326" s="9">
        <f>[1]monsters!$O326</f>
        <v>21.5</v>
      </c>
      <c r="BU326" s="9">
        <f>[1]monsters!$P326</f>
        <v>3360</v>
      </c>
      <c r="BV326" s="9">
        <f>[1]monsters!$Q326</f>
        <v>336</v>
      </c>
      <c r="BW326" s="9">
        <f>[1]monsters!$R326</f>
        <v>71.680000000000007</v>
      </c>
      <c r="BX326" s="9">
        <f>[1]monsters!$S326</f>
        <v>7.17</v>
      </c>
      <c r="BY326" s="9">
        <f>[1]monsters!$K326</f>
        <v>1.8</v>
      </c>
      <c r="BZ326" s="7">
        <f>[1]monsters!$D326</f>
        <v>2</v>
      </c>
      <c r="CA326" s="7">
        <f t="shared" si="197"/>
        <v>0.1</v>
      </c>
      <c r="CB326" s="7">
        <f t="shared" si="198"/>
        <v>316.34411313131312</v>
      </c>
      <c r="CC326" s="7">
        <f t="shared" si="199"/>
        <v>31.634411313131313</v>
      </c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>
        <v>0</v>
      </c>
      <c r="CR326" s="25"/>
      <c r="CS326" s="25"/>
      <c r="CT326" s="25"/>
      <c r="CU326" s="25"/>
      <c r="CV326" s="25"/>
      <c r="CW326" s="25"/>
      <c r="DP326" s="32"/>
      <c r="DQ326" s="32"/>
      <c r="DR326" s="32"/>
      <c r="DS326" s="32"/>
      <c r="DT326" s="32"/>
      <c r="DU326" s="32"/>
      <c r="DV326" s="32"/>
      <c r="DW326" s="32"/>
      <c r="DX326" s="32"/>
      <c r="DY326" s="32"/>
      <c r="DZ326" s="32"/>
      <c r="EA326" s="25"/>
      <c r="EB326" s="19"/>
      <c r="EC326" s="16">
        <v>5201112</v>
      </c>
      <c r="ED326" s="40" t="s">
        <v>120</v>
      </c>
      <c r="EE326" s="16">
        <v>1</v>
      </c>
    </row>
    <row r="327" spans="11:135" ht="13.5" customHeight="1">
      <c r="K327" s="2"/>
      <c r="L327" s="18"/>
      <c r="O327" s="25"/>
      <c r="AI327" s="28"/>
      <c r="AJ327" s="28"/>
      <c r="AK327" s="28"/>
      <c r="AL327" s="28"/>
      <c r="AM327" s="28"/>
      <c r="AN327" s="28"/>
      <c r="AO327" s="30"/>
      <c r="AP327" s="28"/>
      <c r="AS327" s="28"/>
      <c r="AT327" s="28"/>
      <c r="AU327" s="30"/>
      <c r="AV327" s="28"/>
      <c r="AW327" s="28"/>
      <c r="AX327" s="28"/>
      <c r="AZ327" s="28"/>
      <c r="BA327" s="16" t="e">
        <f t="shared" si="195"/>
        <v>#DIV/0!</v>
      </c>
      <c r="BC327" s="7" t="e">
        <f t="shared" si="196"/>
        <v>#N/A</v>
      </c>
      <c r="BR327" s="7">
        <v>5600092</v>
      </c>
      <c r="BS327" s="9">
        <f>[1]monsters!$N327</f>
        <v>241.92</v>
      </c>
      <c r="BT327" s="9">
        <f>[1]monsters!$O327</f>
        <v>24.19</v>
      </c>
      <c r="BU327" s="9">
        <f>[1]monsters!$P327</f>
        <v>2986.67</v>
      </c>
      <c r="BV327" s="9">
        <f>[1]monsters!$Q327</f>
        <v>298.67</v>
      </c>
      <c r="BW327" s="9">
        <f>[1]monsters!$R327</f>
        <v>48.38</v>
      </c>
      <c r="BX327" s="9">
        <f>[1]monsters!$S327</f>
        <v>4.84</v>
      </c>
      <c r="BY327" s="9">
        <f>[1]monsters!$K327</f>
        <v>1.8</v>
      </c>
      <c r="BZ327" s="7">
        <f>[1]monsters!$D327</f>
        <v>2</v>
      </c>
      <c r="CA327" s="7">
        <f t="shared" si="197"/>
        <v>0.1</v>
      </c>
      <c r="CB327" s="7">
        <f t="shared" si="198"/>
        <v>329.17567946127946</v>
      </c>
      <c r="CC327" s="7">
        <f t="shared" si="199"/>
        <v>32.917567946127946</v>
      </c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>
        <v>0</v>
      </c>
      <c r="CR327" s="25"/>
      <c r="CS327" s="25"/>
      <c r="CT327" s="25"/>
      <c r="CU327" s="25"/>
      <c r="CV327" s="25"/>
      <c r="CW327" s="25"/>
      <c r="DP327" s="32"/>
      <c r="DQ327" s="32"/>
      <c r="DR327" s="32"/>
      <c r="DS327" s="32"/>
      <c r="DT327" s="32"/>
      <c r="DU327" s="32"/>
      <c r="DV327" s="32"/>
      <c r="DW327" s="32"/>
      <c r="DX327" s="32"/>
      <c r="DY327" s="32"/>
      <c r="DZ327" s="32"/>
      <c r="EA327" s="25"/>
      <c r="EB327" s="19"/>
      <c r="EC327" s="16">
        <v>5202112</v>
      </c>
      <c r="ED327" s="40" t="s">
        <v>211</v>
      </c>
      <c r="EE327" s="16">
        <v>1</v>
      </c>
    </row>
    <row r="328" spans="11:135" ht="13.5" customHeight="1">
      <c r="K328" s="2"/>
      <c r="O328" s="25"/>
      <c r="AI328" s="28"/>
      <c r="AJ328" s="28"/>
      <c r="AK328" s="28"/>
      <c r="AL328" s="28"/>
      <c r="AM328" s="28"/>
      <c r="AN328" s="28"/>
      <c r="AO328" s="30"/>
      <c r="AP328" s="28"/>
      <c r="AS328" s="28"/>
      <c r="AT328" s="28"/>
      <c r="AU328" s="30"/>
      <c r="AV328" s="28"/>
      <c r="AW328" s="28"/>
      <c r="AX328" s="28"/>
      <c r="AZ328" s="28"/>
      <c r="BA328" s="16" t="e">
        <f t="shared" si="195"/>
        <v>#DIV/0!</v>
      </c>
      <c r="BC328" s="7" t="e">
        <f t="shared" si="196"/>
        <v>#N/A</v>
      </c>
      <c r="BR328" s="7">
        <v>5602092</v>
      </c>
      <c r="BS328" s="9">
        <f>[1]monsters!$N328</f>
        <v>161.28</v>
      </c>
      <c r="BT328" s="9">
        <f>[1]monsters!$O328</f>
        <v>16.13</v>
      </c>
      <c r="BU328" s="9">
        <f>[1]monsters!$P328</f>
        <v>2986.67</v>
      </c>
      <c r="BV328" s="9">
        <f>[1]monsters!$Q328</f>
        <v>298.67</v>
      </c>
      <c r="BW328" s="9">
        <f>[1]monsters!$R328</f>
        <v>32.26</v>
      </c>
      <c r="BX328" s="9">
        <f>[1]monsters!$S328</f>
        <v>3.23</v>
      </c>
      <c r="BY328" s="9">
        <f>[1]monsters!$K328</f>
        <v>1.2</v>
      </c>
      <c r="BZ328" s="7">
        <f>[1]monsters!$D328</f>
        <v>3</v>
      </c>
      <c r="CA328" s="7">
        <f t="shared" si="197"/>
        <v>0.1</v>
      </c>
      <c r="CB328" s="7">
        <f t="shared" si="198"/>
        <v>252.97087946127948</v>
      </c>
      <c r="CC328" s="7">
        <f t="shared" si="199"/>
        <v>25.297087946127949</v>
      </c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>
        <v>1</v>
      </c>
      <c r="CR328" s="25"/>
      <c r="CS328" s="25"/>
      <c r="CT328" s="25"/>
      <c r="CU328" s="25"/>
      <c r="CV328" s="25"/>
      <c r="CW328" s="25"/>
      <c r="DP328" s="32"/>
      <c r="DQ328" s="32"/>
      <c r="DR328" s="32"/>
      <c r="DS328" s="32"/>
      <c r="DT328" s="32"/>
      <c r="DU328" s="32"/>
      <c r="DV328" s="32"/>
      <c r="DW328" s="32"/>
      <c r="DX328" s="32"/>
      <c r="DY328" s="32"/>
      <c r="DZ328" s="32"/>
      <c r="EA328" s="25"/>
      <c r="EB328" s="19"/>
      <c r="EC328" s="16">
        <v>5301112</v>
      </c>
      <c r="ED328" s="40" t="s">
        <v>212</v>
      </c>
      <c r="EE328" s="16">
        <v>1</v>
      </c>
    </row>
    <row r="329" spans="11:135" ht="13.5" customHeight="1">
      <c r="K329" s="2"/>
      <c r="L329" s="18"/>
      <c r="O329" s="25"/>
      <c r="AI329" s="28"/>
      <c r="AJ329" s="28"/>
      <c r="AK329" s="28"/>
      <c r="AL329" s="28"/>
      <c r="AM329" s="28"/>
      <c r="AN329" s="28"/>
      <c r="AO329" s="30"/>
      <c r="AP329" s="28"/>
      <c r="AS329" s="28"/>
      <c r="AT329" s="28"/>
      <c r="AU329" s="30"/>
      <c r="AV329" s="28"/>
      <c r="AW329" s="28"/>
      <c r="AX329" s="28"/>
      <c r="AZ329" s="28"/>
      <c r="BA329" s="16" t="e">
        <f t="shared" si="195"/>
        <v>#DIV/0!</v>
      </c>
      <c r="BC329" s="7" t="e">
        <f t="shared" si="196"/>
        <v>#N/A</v>
      </c>
      <c r="BR329" s="7">
        <v>5200093</v>
      </c>
      <c r="BS329" s="9">
        <f>[1]monsters!$N329</f>
        <v>286.72000000000003</v>
      </c>
      <c r="BT329" s="9">
        <f>[1]monsters!$O329</f>
        <v>28.67</v>
      </c>
      <c r="BU329" s="9">
        <f>[1]monsters!$P329</f>
        <v>2240</v>
      </c>
      <c r="BV329" s="9">
        <f>[1]monsters!$Q329</f>
        <v>224</v>
      </c>
      <c r="BW329" s="9">
        <f>[1]monsters!$R329</f>
        <v>40.96</v>
      </c>
      <c r="BX329" s="9">
        <f>[1]monsters!$S329</f>
        <v>4.0999999999999996</v>
      </c>
      <c r="BY329" s="9">
        <f>[1]monsters!$K329</f>
        <v>1.6</v>
      </c>
      <c r="BZ329" s="7">
        <f>[1]monsters!$D329</f>
        <v>4</v>
      </c>
      <c r="CA329" s="7">
        <f t="shared" si="197"/>
        <v>0.1</v>
      </c>
      <c r="CB329" s="7">
        <f t="shared" si="198"/>
        <v>346.37127542087546</v>
      </c>
      <c r="CC329" s="7">
        <f t="shared" si="199"/>
        <v>34.637127542087548</v>
      </c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>
        <v>0</v>
      </c>
      <c r="CR329" s="25"/>
      <c r="CS329" s="25"/>
      <c r="CT329" s="25"/>
      <c r="CU329" s="25"/>
      <c r="CV329" s="25"/>
      <c r="CW329" s="25"/>
      <c r="DP329" s="32"/>
      <c r="DQ329" s="32"/>
      <c r="DR329" s="32"/>
      <c r="DS329" s="32"/>
      <c r="DT329" s="32"/>
      <c r="DU329" s="32"/>
      <c r="DV329" s="32"/>
      <c r="DW329" s="32"/>
      <c r="DX329" s="32"/>
      <c r="DY329" s="32"/>
      <c r="DZ329" s="32"/>
      <c r="EA329" s="25"/>
      <c r="EB329" s="46"/>
      <c r="EC329" s="16">
        <v>5401112</v>
      </c>
      <c r="ED329" s="40" t="s">
        <v>213</v>
      </c>
      <c r="EE329" s="16">
        <v>2</v>
      </c>
    </row>
    <row r="330" spans="11:135" ht="13.5" customHeight="1">
      <c r="K330" s="2"/>
      <c r="L330" s="18"/>
      <c r="O330" s="25"/>
      <c r="AI330" s="28"/>
      <c r="AJ330" s="28"/>
      <c r="AK330" s="28"/>
      <c r="AL330" s="28"/>
      <c r="AM330" s="28"/>
      <c r="AN330" s="28"/>
      <c r="AO330" s="30"/>
      <c r="AP330" s="28"/>
      <c r="AS330" s="28"/>
      <c r="AT330" s="28"/>
      <c r="AU330" s="30"/>
      <c r="AV330" s="28"/>
      <c r="AW330" s="28"/>
      <c r="AX330" s="28"/>
      <c r="AZ330" s="28"/>
      <c r="BA330" s="16" t="e">
        <f t="shared" si="195"/>
        <v>#DIV/0!</v>
      </c>
      <c r="BC330" s="7" t="e">
        <f t="shared" si="196"/>
        <v>#N/A</v>
      </c>
      <c r="BR330" s="7">
        <v>5202093</v>
      </c>
      <c r="BS330" s="9">
        <f>[1]monsters!$N330</f>
        <v>268.8</v>
      </c>
      <c r="BT330" s="9">
        <f>[1]monsters!$O330</f>
        <v>26.88</v>
      </c>
      <c r="BU330" s="9">
        <f>[1]monsters!$P330</f>
        <v>2240</v>
      </c>
      <c r="BV330" s="9">
        <f>[1]monsters!$Q330</f>
        <v>224</v>
      </c>
      <c r="BW330" s="9">
        <f>[1]monsters!$R330</f>
        <v>38.4</v>
      </c>
      <c r="BX330" s="9">
        <f>[1]monsters!$S330</f>
        <v>3.84</v>
      </c>
      <c r="BY330" s="9">
        <f>[1]monsters!$K330</f>
        <v>1.5</v>
      </c>
      <c r="BZ330" s="7">
        <f>[1]monsters!$D330</f>
        <v>4</v>
      </c>
      <c r="CA330" s="7">
        <f t="shared" si="197"/>
        <v>0.1</v>
      </c>
      <c r="CB330" s="7">
        <f t="shared" si="198"/>
        <v>329.43687542087542</v>
      </c>
      <c r="CC330" s="7">
        <f t="shared" si="199"/>
        <v>32.943687542087545</v>
      </c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>
        <v>0</v>
      </c>
      <c r="CR330" s="25"/>
      <c r="CS330" s="25"/>
      <c r="CT330" s="25"/>
      <c r="CU330" s="25"/>
      <c r="CV330" s="25"/>
      <c r="CW330" s="25"/>
      <c r="DP330" s="32"/>
      <c r="DQ330" s="32"/>
      <c r="DR330" s="32"/>
      <c r="DS330" s="32"/>
      <c r="DT330" s="32"/>
      <c r="DU330" s="32"/>
      <c r="DV330" s="32"/>
      <c r="DW330" s="32"/>
      <c r="DX330" s="32"/>
      <c r="DY330" s="32"/>
      <c r="DZ330" s="32"/>
      <c r="EA330" s="25"/>
      <c r="EB330" s="19"/>
      <c r="EC330" s="16">
        <v>5402112</v>
      </c>
      <c r="ED330" s="40" t="s">
        <v>214</v>
      </c>
      <c r="EE330" s="16">
        <v>2</v>
      </c>
    </row>
    <row r="331" spans="11:135" ht="13.5" customHeight="1">
      <c r="K331" s="2"/>
      <c r="L331" s="18"/>
      <c r="O331" s="25"/>
      <c r="AI331" s="28"/>
      <c r="AJ331" s="28"/>
      <c r="AK331" s="28"/>
      <c r="AL331" s="28"/>
      <c r="AM331" s="28"/>
      <c r="AN331" s="28"/>
      <c r="AO331" s="30"/>
      <c r="AP331" s="28"/>
      <c r="AS331" s="28"/>
      <c r="AT331" s="28"/>
      <c r="AU331" s="30"/>
      <c r="AV331" s="28"/>
      <c r="AW331" s="28"/>
      <c r="AX331" s="28"/>
      <c r="AZ331" s="28"/>
      <c r="BA331" s="16" t="e">
        <f t="shared" si="195"/>
        <v>#DIV/0!</v>
      </c>
      <c r="BC331" s="7" t="e">
        <f t="shared" si="196"/>
        <v>#N/A</v>
      </c>
      <c r="BR331" s="7">
        <v>5302093</v>
      </c>
      <c r="BS331" s="9">
        <f>[1]monsters!$N331</f>
        <v>313.60000000000002</v>
      </c>
      <c r="BT331" s="9">
        <f>[1]monsters!$O331</f>
        <v>31.36</v>
      </c>
      <c r="BU331" s="9">
        <f>[1]monsters!$P331</f>
        <v>1920</v>
      </c>
      <c r="BV331" s="9">
        <f>[1]monsters!$Q331</f>
        <v>192</v>
      </c>
      <c r="BW331" s="9">
        <f>[1]monsters!$R331</f>
        <v>39.200000000000003</v>
      </c>
      <c r="BX331" s="9">
        <f>[1]monsters!$S331</f>
        <v>3.92</v>
      </c>
      <c r="BY331" s="9">
        <f>[1]monsters!$K331</f>
        <v>1.5</v>
      </c>
      <c r="BZ331" s="7">
        <f>[1]monsters!$D331</f>
        <v>5</v>
      </c>
      <c r="CA331" s="7">
        <f t="shared" si="197"/>
        <v>0.1</v>
      </c>
      <c r="CB331" s="7">
        <f t="shared" si="198"/>
        <v>360.99846464646464</v>
      </c>
      <c r="CC331" s="7">
        <f t="shared" si="199"/>
        <v>36.099846464646468</v>
      </c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>
        <v>0</v>
      </c>
      <c r="CR331" s="25"/>
      <c r="CS331" s="25"/>
      <c r="CT331" s="25"/>
      <c r="CU331" s="25"/>
      <c r="CV331" s="25"/>
      <c r="CW331" s="25"/>
      <c r="DP331" s="32"/>
      <c r="DQ331" s="32"/>
      <c r="DR331" s="32"/>
      <c r="DS331" s="32"/>
      <c r="DT331" s="32"/>
      <c r="DU331" s="32"/>
      <c r="DV331" s="32"/>
      <c r="DW331" s="32"/>
      <c r="DX331" s="32"/>
      <c r="DY331" s="32"/>
      <c r="DZ331" s="32"/>
      <c r="EA331" s="25"/>
      <c r="EB331" s="19"/>
      <c r="EC331" s="16">
        <v>5500112</v>
      </c>
      <c r="ED331" s="40" t="s">
        <v>115</v>
      </c>
      <c r="EE331" s="16">
        <v>2</v>
      </c>
    </row>
    <row r="332" spans="11:135" ht="13.5" customHeight="1">
      <c r="K332" s="2"/>
      <c r="L332" s="18"/>
      <c r="O332" s="25"/>
      <c r="AI332" s="28"/>
      <c r="AJ332" s="28"/>
      <c r="AK332" s="28"/>
      <c r="AL332" s="28"/>
      <c r="AM332" s="28"/>
      <c r="AN332" s="28"/>
      <c r="AO332" s="30"/>
      <c r="AP332" s="28"/>
      <c r="AS332" s="28"/>
      <c r="AT332" s="28"/>
      <c r="AU332" s="30"/>
      <c r="AV332" s="28"/>
      <c r="AW332" s="28"/>
      <c r="AX332" s="28"/>
      <c r="AZ332" s="28"/>
      <c r="BA332" s="16" t="e">
        <f t="shared" si="195"/>
        <v>#DIV/0!</v>
      </c>
      <c r="BC332" s="7" t="e">
        <f t="shared" si="196"/>
        <v>#N/A</v>
      </c>
      <c r="BR332" s="7">
        <v>5301093</v>
      </c>
      <c r="BS332" s="9">
        <f>[1]monsters!$N332</f>
        <v>292.69</v>
      </c>
      <c r="BT332" s="9">
        <f>[1]monsters!$O332</f>
        <v>29.27</v>
      </c>
      <c r="BU332" s="9">
        <f>[1]monsters!$P332</f>
        <v>1920</v>
      </c>
      <c r="BV332" s="9">
        <f>[1]monsters!$Q332</f>
        <v>192</v>
      </c>
      <c r="BW332" s="9">
        <f>[1]monsters!$R332</f>
        <v>36.590000000000003</v>
      </c>
      <c r="BX332" s="9">
        <f>[1]monsters!$S332</f>
        <v>3.66</v>
      </c>
      <c r="BY332" s="9">
        <f>[1]monsters!$K332</f>
        <v>1.4000000000000001</v>
      </c>
      <c r="BZ332" s="7">
        <f>[1]monsters!$D332</f>
        <v>5</v>
      </c>
      <c r="CA332" s="7">
        <f t="shared" si="197"/>
        <v>0.1</v>
      </c>
      <c r="CB332" s="7">
        <f t="shared" si="198"/>
        <v>341.23851464646464</v>
      </c>
      <c r="CC332" s="7">
        <f t="shared" si="199"/>
        <v>34.123851464646464</v>
      </c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>
        <v>0</v>
      </c>
      <c r="CR332" s="25"/>
      <c r="CS332" s="25"/>
      <c r="CT332" s="25"/>
      <c r="CU332" s="25"/>
      <c r="CV332" s="25"/>
      <c r="CW332" s="25"/>
      <c r="DP332" s="32"/>
      <c r="DQ332" s="32"/>
      <c r="DR332" s="32"/>
      <c r="DS332" s="32"/>
      <c r="DT332" s="32"/>
      <c r="DU332" s="32"/>
      <c r="DV332" s="32"/>
      <c r="DW332" s="32"/>
      <c r="DX332" s="32"/>
      <c r="DY332" s="32"/>
      <c r="DZ332" s="32"/>
      <c r="EA332" s="25"/>
      <c r="EB332" s="19"/>
      <c r="EC332" s="16">
        <v>5502112</v>
      </c>
      <c r="ED332" s="40" t="s">
        <v>215</v>
      </c>
      <c r="EE332" s="16">
        <v>2</v>
      </c>
    </row>
    <row r="333" spans="11:135" ht="13.5" customHeight="1">
      <c r="K333" s="2"/>
      <c r="O333" s="25"/>
      <c r="AI333" s="28"/>
      <c r="AJ333" s="28"/>
      <c r="AK333" s="28"/>
      <c r="AL333" s="28"/>
      <c r="AM333" s="28"/>
      <c r="AN333" s="28"/>
      <c r="AO333" s="30"/>
      <c r="AP333" s="28"/>
      <c r="AS333" s="28"/>
      <c r="AT333" s="28"/>
      <c r="AU333" s="30"/>
      <c r="AV333" s="28"/>
      <c r="AW333" s="28"/>
      <c r="AX333" s="28"/>
      <c r="AZ333" s="28"/>
      <c r="BA333" s="16" t="e">
        <f t="shared" si="195"/>
        <v>#DIV/0!</v>
      </c>
      <c r="BC333" s="7" t="e">
        <f t="shared" si="196"/>
        <v>#N/A</v>
      </c>
      <c r="BR333" s="7">
        <v>5400093</v>
      </c>
      <c r="BS333" s="9">
        <f>[1]monsters!$N333</f>
        <v>347.2</v>
      </c>
      <c r="BT333" s="9">
        <f>[1]monsters!$O333</f>
        <v>34.72</v>
      </c>
      <c r="BU333" s="9">
        <f>[1]monsters!$P333</f>
        <v>1734.19</v>
      </c>
      <c r="BV333" s="9">
        <f>[1]monsters!$Q333</f>
        <v>173.42</v>
      </c>
      <c r="BW333" s="9">
        <f>[1]monsters!$R333</f>
        <v>34.72</v>
      </c>
      <c r="BX333" s="9">
        <f>[1]monsters!$S333</f>
        <v>3.47</v>
      </c>
      <c r="BY333" s="9">
        <f>[1]monsters!$K333</f>
        <v>1.5</v>
      </c>
      <c r="BZ333" s="7">
        <f>[1]monsters!$D333</f>
        <v>6</v>
      </c>
      <c r="CA333" s="7">
        <f t="shared" si="197"/>
        <v>0.1</v>
      </c>
      <c r="CB333" s="7">
        <f t="shared" si="198"/>
        <v>386.49423569023566</v>
      </c>
      <c r="CC333" s="7">
        <f t="shared" si="199"/>
        <v>38.649423569023568</v>
      </c>
      <c r="CD333" s="7"/>
      <c r="CE333" s="7"/>
      <c r="CF333" s="7"/>
      <c r="CG333" s="7"/>
      <c r="CH333" s="7"/>
      <c r="CI333" s="7"/>
      <c r="CJ333" s="7"/>
      <c r="CK333" s="7"/>
      <c r="CL333" s="7"/>
      <c r="CM333" s="7"/>
      <c r="CN333" s="7"/>
      <c r="CO333" s="7"/>
      <c r="CP333" s="7">
        <v>1</v>
      </c>
      <c r="CR333" s="25"/>
      <c r="CS333" s="25"/>
      <c r="CT333" s="25"/>
      <c r="CU333" s="25"/>
      <c r="CV333" s="25"/>
      <c r="CW333" s="25"/>
      <c r="DP333" s="32"/>
      <c r="DQ333" s="32"/>
      <c r="DR333" s="32"/>
      <c r="DS333" s="32"/>
      <c r="DT333" s="32"/>
      <c r="DU333" s="32"/>
      <c r="DV333" s="32"/>
      <c r="DW333" s="32"/>
      <c r="DX333" s="32"/>
      <c r="DY333" s="32"/>
      <c r="DZ333" s="32"/>
      <c r="EA333" s="25"/>
      <c r="EB333" s="19"/>
      <c r="EC333" s="16">
        <v>5601112</v>
      </c>
      <c r="ED333" s="40" t="s">
        <v>216</v>
      </c>
      <c r="EE333" s="16">
        <v>2</v>
      </c>
    </row>
    <row r="334" spans="11:135" ht="13.5" customHeight="1">
      <c r="K334" s="2"/>
      <c r="L334" s="18"/>
      <c r="O334" s="25"/>
      <c r="AI334" s="28"/>
      <c r="AJ334" s="28"/>
      <c r="AK334" s="28"/>
      <c r="AL334" s="28"/>
      <c r="AM334" s="28"/>
      <c r="AN334" s="28"/>
      <c r="AO334" s="30"/>
      <c r="AP334" s="28"/>
      <c r="AS334" s="28"/>
      <c r="AT334" s="28"/>
      <c r="AU334" s="30"/>
      <c r="AV334" s="28"/>
      <c r="AW334" s="28"/>
      <c r="AX334" s="28"/>
      <c r="AZ334" s="28"/>
      <c r="BA334" s="16" t="e">
        <f t="shared" si="195"/>
        <v>#DIV/0!</v>
      </c>
      <c r="BC334" s="7" t="e">
        <f t="shared" si="196"/>
        <v>#N/A</v>
      </c>
      <c r="BR334" s="7">
        <v>5401093</v>
      </c>
      <c r="BS334" s="9">
        <f>[1]monsters!$N334</f>
        <v>224</v>
      </c>
      <c r="BT334" s="9">
        <f>[1]monsters!$O334</f>
        <v>22.4</v>
      </c>
      <c r="BU334" s="9">
        <f>[1]monsters!$P334</f>
        <v>2688</v>
      </c>
      <c r="BV334" s="9">
        <f>[1]monsters!$Q334</f>
        <v>268.8</v>
      </c>
      <c r="BW334" s="9">
        <f>[1]monsters!$R334</f>
        <v>56</v>
      </c>
      <c r="BX334" s="9">
        <f>[1]monsters!$S334</f>
        <v>5.6</v>
      </c>
      <c r="BY334" s="9">
        <f>[1]monsters!$K334</f>
        <v>1.5</v>
      </c>
      <c r="BZ334" s="7">
        <f>[1]monsters!$D334</f>
        <v>2</v>
      </c>
      <c r="CA334" s="7">
        <f t="shared" si="197"/>
        <v>0.1</v>
      </c>
      <c r="CB334" s="7">
        <f t="shared" si="198"/>
        <v>302.18505050505053</v>
      </c>
      <c r="CC334" s="7">
        <f t="shared" si="199"/>
        <v>30.218505050505055</v>
      </c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>
        <v>0</v>
      </c>
      <c r="CR334" s="25"/>
      <c r="CS334" s="25"/>
      <c r="CT334" s="25"/>
      <c r="CU334" s="25"/>
      <c r="CV334" s="25"/>
      <c r="CW334" s="25"/>
      <c r="DP334" s="25"/>
      <c r="DQ334" s="25"/>
      <c r="DR334" s="25"/>
      <c r="DS334" s="25"/>
      <c r="DT334" s="25"/>
      <c r="DU334" s="25"/>
      <c r="DV334" s="25"/>
      <c r="DW334" s="25"/>
      <c r="DX334" s="25"/>
      <c r="DY334" s="25"/>
      <c r="DZ334" s="25"/>
      <c r="EA334" s="25"/>
      <c r="EB334" s="19"/>
      <c r="EC334" s="16">
        <v>5200113</v>
      </c>
      <c r="ED334" s="40" t="s">
        <v>119</v>
      </c>
      <c r="EE334" s="16">
        <v>1</v>
      </c>
    </row>
    <row r="335" spans="11:135" ht="13.5" customHeight="1">
      <c r="K335" s="2"/>
      <c r="L335" s="18"/>
      <c r="O335" s="25"/>
      <c r="AI335" s="28"/>
      <c r="AJ335" s="28"/>
      <c r="AK335" s="28"/>
      <c r="AL335" s="28"/>
      <c r="AM335" s="28"/>
      <c r="AN335" s="28"/>
      <c r="AO335" s="30"/>
      <c r="AP335" s="28"/>
      <c r="AS335" s="28"/>
      <c r="AT335" s="28"/>
      <c r="AU335" s="30"/>
      <c r="AV335" s="28"/>
      <c r="AW335" s="28"/>
      <c r="AX335" s="28"/>
      <c r="AZ335" s="28"/>
      <c r="BA335" s="16" t="e">
        <f t="shared" si="195"/>
        <v>#DIV/0!</v>
      </c>
      <c r="BC335" s="7" t="e">
        <f t="shared" si="196"/>
        <v>#N/A</v>
      </c>
      <c r="BR335" s="7">
        <v>5501093</v>
      </c>
      <c r="BS335" s="9">
        <f>[1]monsters!$N335</f>
        <v>215.04</v>
      </c>
      <c r="BT335" s="9">
        <f>[1]monsters!$O335</f>
        <v>21.5</v>
      </c>
      <c r="BU335" s="9">
        <f>[1]monsters!$P335</f>
        <v>3360</v>
      </c>
      <c r="BV335" s="9">
        <f>[1]monsters!$Q335</f>
        <v>336</v>
      </c>
      <c r="BW335" s="9">
        <f>[1]monsters!$R335</f>
        <v>71.680000000000007</v>
      </c>
      <c r="BX335" s="9">
        <f>[1]monsters!$S335</f>
        <v>7.17</v>
      </c>
      <c r="BY335" s="9">
        <f>[1]monsters!$K335</f>
        <v>1.8</v>
      </c>
      <c r="BZ335" s="7">
        <f>[1]monsters!$D335</f>
        <v>2</v>
      </c>
      <c r="CA335" s="7">
        <f t="shared" si="197"/>
        <v>0.1</v>
      </c>
      <c r="CB335" s="7">
        <f t="shared" si="198"/>
        <v>316.34411313131312</v>
      </c>
      <c r="CC335" s="7">
        <f t="shared" si="199"/>
        <v>31.634411313131313</v>
      </c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>
        <v>0</v>
      </c>
      <c r="CR335" s="25"/>
      <c r="CS335" s="25"/>
      <c r="CT335" s="25"/>
      <c r="CU335" s="25"/>
      <c r="CV335" s="25"/>
      <c r="CW335" s="25"/>
      <c r="DP335" s="25"/>
      <c r="DQ335" s="25"/>
      <c r="DR335" s="25"/>
      <c r="DS335" s="32"/>
      <c r="DT335" s="32"/>
      <c r="DU335" s="32"/>
      <c r="DV335" s="32"/>
      <c r="DW335" s="32"/>
      <c r="DX335" s="32"/>
      <c r="DY335" s="32"/>
      <c r="DZ335" s="32"/>
      <c r="EA335" s="25"/>
      <c r="EB335" s="19"/>
      <c r="EC335" s="16">
        <v>5201113</v>
      </c>
      <c r="ED335" s="40" t="s">
        <v>217</v>
      </c>
      <c r="EE335" s="16">
        <v>1</v>
      </c>
    </row>
    <row r="336" spans="11:135" ht="13.5" customHeight="1">
      <c r="K336" s="2"/>
      <c r="L336" s="18"/>
      <c r="O336" s="25"/>
      <c r="AI336" s="28"/>
      <c r="AJ336" s="28"/>
      <c r="AK336" s="28"/>
      <c r="AL336" s="28"/>
      <c r="AM336" s="28"/>
      <c r="AN336" s="28"/>
      <c r="AO336" s="30"/>
      <c r="AP336" s="28"/>
      <c r="AS336" s="28"/>
      <c r="AT336" s="28"/>
      <c r="AU336" s="30"/>
      <c r="AV336" s="28"/>
      <c r="AW336" s="28"/>
      <c r="AX336" s="28"/>
      <c r="AZ336" s="28"/>
      <c r="BA336" s="16" t="e">
        <f t="shared" si="195"/>
        <v>#DIV/0!</v>
      </c>
      <c r="BC336" s="7" t="e">
        <f t="shared" si="196"/>
        <v>#N/A</v>
      </c>
      <c r="BR336" s="7">
        <v>5502093</v>
      </c>
      <c r="BS336" s="9">
        <f>[1]monsters!$N336</f>
        <v>241.92</v>
      </c>
      <c r="BT336" s="9">
        <f>[1]monsters!$O336</f>
        <v>24.19</v>
      </c>
      <c r="BU336" s="9">
        <f>[1]monsters!$P336</f>
        <v>2986.67</v>
      </c>
      <c r="BV336" s="9">
        <f>[1]monsters!$Q336</f>
        <v>298.67</v>
      </c>
      <c r="BW336" s="9">
        <f>[1]monsters!$R336</f>
        <v>48.38</v>
      </c>
      <c r="BX336" s="9">
        <f>[1]monsters!$S336</f>
        <v>4.84</v>
      </c>
      <c r="BY336" s="9">
        <f>[1]monsters!$K336</f>
        <v>1.8</v>
      </c>
      <c r="BZ336" s="7">
        <f>[1]monsters!$D336</f>
        <v>2</v>
      </c>
      <c r="CA336" s="7">
        <f t="shared" si="197"/>
        <v>0.1</v>
      </c>
      <c r="CB336" s="7">
        <f t="shared" si="198"/>
        <v>329.17567946127946</v>
      </c>
      <c r="CC336" s="7">
        <f t="shared" si="199"/>
        <v>32.917567946127946</v>
      </c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>
        <v>0</v>
      </c>
      <c r="CR336" s="25"/>
      <c r="CS336" s="25"/>
      <c r="CT336" s="25"/>
      <c r="CU336" s="25"/>
      <c r="CV336" s="25"/>
      <c r="CW336" s="25"/>
      <c r="DP336" s="25"/>
      <c r="DQ336" s="25"/>
      <c r="DR336" s="25"/>
      <c r="DS336" s="25"/>
      <c r="DT336" s="25"/>
      <c r="DU336" s="25"/>
      <c r="DV336" s="25"/>
      <c r="DW336" s="25"/>
      <c r="DX336" s="25"/>
      <c r="DY336" s="25"/>
      <c r="DZ336" s="25"/>
      <c r="EA336" s="25"/>
      <c r="EB336" s="19"/>
      <c r="EC336" s="16">
        <v>5202113</v>
      </c>
      <c r="ED336" s="40" t="s">
        <v>220</v>
      </c>
      <c r="EE336" s="16">
        <v>1</v>
      </c>
    </row>
    <row r="337" spans="11:135" ht="13.5" customHeight="1">
      <c r="K337" s="2"/>
      <c r="L337" s="18"/>
      <c r="O337" s="25"/>
      <c r="AI337" s="28"/>
      <c r="AJ337" s="28"/>
      <c r="AK337" s="28"/>
      <c r="AL337" s="28"/>
      <c r="AM337" s="28"/>
      <c r="AN337" s="28"/>
      <c r="AO337" s="30"/>
      <c r="AP337" s="28"/>
      <c r="AS337" s="28"/>
      <c r="AT337" s="28"/>
      <c r="AU337" s="30"/>
      <c r="AV337" s="28"/>
      <c r="AW337" s="28"/>
      <c r="AX337" s="28"/>
      <c r="AZ337" s="28"/>
      <c r="BA337" s="16" t="e">
        <f t="shared" si="195"/>
        <v>#DIV/0!</v>
      </c>
      <c r="BC337" s="7" t="e">
        <f t="shared" si="196"/>
        <v>#N/A</v>
      </c>
      <c r="BR337" s="7">
        <v>5600093</v>
      </c>
      <c r="BS337" s="9">
        <f>[1]monsters!$N337</f>
        <v>161.28</v>
      </c>
      <c r="BT337" s="9">
        <f>[1]monsters!$O337</f>
        <v>16.13</v>
      </c>
      <c r="BU337" s="9">
        <f>[1]monsters!$P337</f>
        <v>2986.67</v>
      </c>
      <c r="BV337" s="9">
        <f>[1]monsters!$Q337</f>
        <v>298.67</v>
      </c>
      <c r="BW337" s="9">
        <f>[1]monsters!$R337</f>
        <v>32.26</v>
      </c>
      <c r="BX337" s="9">
        <f>[1]monsters!$S337</f>
        <v>3.23</v>
      </c>
      <c r="BY337" s="9">
        <f>[1]monsters!$K337</f>
        <v>1.2</v>
      </c>
      <c r="BZ337" s="7">
        <f>[1]monsters!$D337</f>
        <v>3</v>
      </c>
      <c r="CA337" s="7">
        <f t="shared" si="197"/>
        <v>0.1</v>
      </c>
      <c r="CB337" s="7">
        <f t="shared" si="198"/>
        <v>252.97087946127948</v>
      </c>
      <c r="CC337" s="7">
        <f t="shared" si="199"/>
        <v>25.297087946127949</v>
      </c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>
        <v>0</v>
      </c>
      <c r="CR337" s="25"/>
      <c r="CS337" s="25"/>
      <c r="CT337" s="25"/>
      <c r="CU337" s="25"/>
      <c r="CV337" s="25"/>
      <c r="CW337" s="25"/>
      <c r="DP337" s="25"/>
      <c r="DQ337" s="25"/>
      <c r="DR337" s="25"/>
      <c r="DS337" s="25"/>
      <c r="DT337" s="25"/>
      <c r="DU337" s="25"/>
      <c r="DV337" s="25"/>
      <c r="DW337" s="25"/>
      <c r="DX337" s="25"/>
      <c r="DY337" s="25"/>
      <c r="DZ337" s="25"/>
      <c r="EA337" s="25"/>
      <c r="EB337" s="19"/>
      <c r="EC337" s="16">
        <v>5301113</v>
      </c>
      <c r="ED337" s="40" t="s">
        <v>218</v>
      </c>
      <c r="EE337" s="16">
        <v>1</v>
      </c>
    </row>
    <row r="338" spans="11:135" ht="13.5" customHeight="1">
      <c r="K338" s="2"/>
      <c r="O338" s="25"/>
      <c r="AI338" s="28"/>
      <c r="AJ338" s="28"/>
      <c r="AK338" s="28"/>
      <c r="AL338" s="28"/>
      <c r="AM338" s="28"/>
      <c r="AN338" s="28"/>
      <c r="AO338" s="30"/>
      <c r="AP338" s="28"/>
      <c r="AS338" s="28"/>
      <c r="AT338" s="28"/>
      <c r="AU338" s="30"/>
      <c r="AV338" s="28"/>
      <c r="AW338" s="28"/>
      <c r="AX338" s="28"/>
      <c r="AZ338" s="28"/>
      <c r="BA338" s="16" t="e">
        <f t="shared" si="195"/>
        <v>#DIV/0!</v>
      </c>
      <c r="BC338" s="7" t="e">
        <f t="shared" si="196"/>
        <v>#N/A</v>
      </c>
      <c r="BR338" s="7">
        <v>5601093</v>
      </c>
      <c r="BS338" s="9">
        <f>[1]monsters!$N338</f>
        <v>286.72000000000003</v>
      </c>
      <c r="BT338" s="9">
        <f>[1]monsters!$O338</f>
        <v>28.67</v>
      </c>
      <c r="BU338" s="9">
        <f>[1]monsters!$P338</f>
        <v>2240</v>
      </c>
      <c r="BV338" s="9">
        <f>[1]monsters!$Q338</f>
        <v>224</v>
      </c>
      <c r="BW338" s="9">
        <f>[1]monsters!$R338</f>
        <v>40.96</v>
      </c>
      <c r="BX338" s="9">
        <f>[1]monsters!$S338</f>
        <v>4.0999999999999996</v>
      </c>
      <c r="BY338" s="9">
        <f>[1]monsters!$K338</f>
        <v>1.6</v>
      </c>
      <c r="BZ338" s="7">
        <f>[1]monsters!$D338</f>
        <v>4</v>
      </c>
      <c r="CA338" s="7">
        <f t="shared" si="197"/>
        <v>0.1</v>
      </c>
      <c r="CB338" s="7">
        <f t="shared" si="198"/>
        <v>346.37127542087546</v>
      </c>
      <c r="CC338" s="7">
        <f t="shared" si="199"/>
        <v>34.637127542087548</v>
      </c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>
        <v>1</v>
      </c>
      <c r="CR338" s="25"/>
      <c r="CS338" s="25"/>
      <c r="CT338" s="25"/>
      <c r="CU338" s="25"/>
      <c r="CV338" s="25"/>
      <c r="CW338" s="25"/>
      <c r="DP338" s="25"/>
      <c r="DQ338" s="25"/>
      <c r="DR338" s="25"/>
      <c r="DS338" s="25"/>
      <c r="DT338" s="25"/>
      <c r="DU338" s="25"/>
      <c r="DV338" s="25"/>
      <c r="DW338" s="25"/>
      <c r="DX338" s="25"/>
      <c r="DY338" s="25"/>
      <c r="DZ338" s="25"/>
      <c r="EA338" s="25"/>
      <c r="EB338" s="19"/>
      <c r="EC338" s="16">
        <v>5401113</v>
      </c>
      <c r="ED338" s="40" t="s">
        <v>223</v>
      </c>
      <c r="EE338" s="16">
        <v>2</v>
      </c>
    </row>
    <row r="339" spans="11:135" ht="13.5" customHeight="1">
      <c r="K339" s="2"/>
      <c r="L339" s="18"/>
      <c r="O339" s="25"/>
      <c r="AI339" s="28"/>
      <c r="AJ339" s="28"/>
      <c r="AK339" s="28"/>
      <c r="AL339" s="28"/>
      <c r="AM339" s="28"/>
      <c r="AN339" s="28"/>
      <c r="AO339" s="30"/>
      <c r="AP339" s="28"/>
      <c r="AS339" s="28"/>
      <c r="AT339" s="28"/>
      <c r="AU339" s="30"/>
      <c r="AV339" s="28"/>
      <c r="AW339" s="28"/>
      <c r="AX339" s="28"/>
      <c r="AZ339" s="28"/>
      <c r="BA339" s="16" t="e">
        <f t="shared" si="195"/>
        <v>#DIV/0!</v>
      </c>
      <c r="BC339" s="7" t="e">
        <f t="shared" si="196"/>
        <v>#N/A</v>
      </c>
      <c r="BR339" s="7">
        <v>5200094</v>
      </c>
      <c r="BS339" s="9">
        <f>[1]monsters!$N339</f>
        <v>268.8</v>
      </c>
      <c r="BT339" s="9">
        <f>[1]monsters!$O339</f>
        <v>26.88</v>
      </c>
      <c r="BU339" s="9">
        <f>[1]monsters!$P339</f>
        <v>2240</v>
      </c>
      <c r="BV339" s="9">
        <f>[1]monsters!$Q339</f>
        <v>224</v>
      </c>
      <c r="BW339" s="9">
        <f>[1]monsters!$R339</f>
        <v>38.4</v>
      </c>
      <c r="BX339" s="9">
        <f>[1]monsters!$S339</f>
        <v>3.84</v>
      </c>
      <c r="BY339" s="9">
        <f>[1]monsters!$K339</f>
        <v>1.5</v>
      </c>
      <c r="BZ339" s="7">
        <f>[1]monsters!$D339</f>
        <v>4</v>
      </c>
      <c r="CA339" s="7">
        <f t="shared" si="197"/>
        <v>0.1</v>
      </c>
      <c r="CB339" s="7">
        <f t="shared" si="198"/>
        <v>329.43687542087542</v>
      </c>
      <c r="CC339" s="7">
        <f t="shared" si="199"/>
        <v>32.943687542087545</v>
      </c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>
        <v>0</v>
      </c>
      <c r="CR339" s="25"/>
      <c r="CS339" s="25"/>
      <c r="CT339" s="25"/>
      <c r="CU339" s="25"/>
      <c r="CV339" s="25"/>
      <c r="CW339" s="25"/>
      <c r="DP339" s="32"/>
      <c r="DQ339" s="32"/>
      <c r="DR339" s="32"/>
      <c r="DS339" s="32"/>
      <c r="DT339" s="32"/>
      <c r="DU339" s="32"/>
      <c r="DV339" s="32"/>
      <c r="DW339" s="32"/>
      <c r="DX339" s="32"/>
      <c r="DY339" s="32"/>
      <c r="DZ339" s="32"/>
      <c r="EA339" s="25"/>
      <c r="EB339" s="46"/>
      <c r="EC339" s="16">
        <v>5402113</v>
      </c>
      <c r="ED339" s="40" t="s">
        <v>124</v>
      </c>
      <c r="EE339" s="16">
        <v>2</v>
      </c>
    </row>
    <row r="340" spans="11:135" ht="13.5" customHeight="1">
      <c r="K340" s="2"/>
      <c r="L340" s="18"/>
      <c r="O340" s="25"/>
      <c r="AI340" s="28"/>
      <c r="AJ340" s="28"/>
      <c r="AK340" s="28"/>
      <c r="AL340" s="28"/>
      <c r="AM340" s="28"/>
      <c r="AN340" s="28"/>
      <c r="AO340" s="30"/>
      <c r="AP340" s="28"/>
      <c r="AS340" s="28"/>
      <c r="AT340" s="28"/>
      <c r="AU340" s="30"/>
      <c r="AV340" s="28"/>
      <c r="AW340" s="28"/>
      <c r="AX340" s="28"/>
      <c r="AZ340" s="28"/>
      <c r="BA340" s="16" t="e">
        <f t="shared" si="195"/>
        <v>#DIV/0!</v>
      </c>
      <c r="BC340" s="7" t="e">
        <f t="shared" si="196"/>
        <v>#N/A</v>
      </c>
      <c r="BR340" s="7">
        <v>5201094</v>
      </c>
      <c r="BS340" s="9">
        <f>[1]monsters!$N340</f>
        <v>313.60000000000002</v>
      </c>
      <c r="BT340" s="9">
        <f>[1]monsters!$O340</f>
        <v>31.36</v>
      </c>
      <c r="BU340" s="9">
        <f>[1]monsters!$P340</f>
        <v>1920</v>
      </c>
      <c r="BV340" s="9">
        <f>[1]monsters!$Q340</f>
        <v>192</v>
      </c>
      <c r="BW340" s="9">
        <f>[1]monsters!$R340</f>
        <v>39.200000000000003</v>
      </c>
      <c r="BX340" s="9">
        <f>[1]monsters!$S340</f>
        <v>3.92</v>
      </c>
      <c r="BY340" s="9">
        <f>[1]monsters!$K340</f>
        <v>1.5</v>
      </c>
      <c r="BZ340" s="7">
        <f>[1]monsters!$D340</f>
        <v>5</v>
      </c>
      <c r="CA340" s="7">
        <f t="shared" si="197"/>
        <v>0.1</v>
      </c>
      <c r="CB340" s="7">
        <f t="shared" si="198"/>
        <v>360.99846464646464</v>
      </c>
      <c r="CC340" s="7">
        <f t="shared" si="199"/>
        <v>36.099846464646468</v>
      </c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>
        <v>0</v>
      </c>
      <c r="CR340" s="25"/>
      <c r="CS340" s="25"/>
      <c r="CT340" s="25"/>
      <c r="CU340" s="25"/>
      <c r="CV340" s="25"/>
      <c r="CW340" s="25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25"/>
      <c r="EB340" s="19"/>
      <c r="EC340" s="16">
        <v>5500113</v>
      </c>
      <c r="ED340" s="40" t="s">
        <v>219</v>
      </c>
      <c r="EE340" s="16">
        <v>2</v>
      </c>
    </row>
    <row r="341" spans="11:135" ht="13.5" customHeight="1">
      <c r="K341" s="2"/>
      <c r="L341" s="18"/>
      <c r="O341" s="25"/>
      <c r="AI341" s="28"/>
      <c r="AJ341" s="28"/>
      <c r="AK341" s="28"/>
      <c r="AL341" s="28"/>
      <c r="AM341" s="28"/>
      <c r="AN341" s="28"/>
      <c r="AO341" s="30"/>
      <c r="AP341" s="28"/>
      <c r="AS341" s="28"/>
      <c r="AT341" s="28"/>
      <c r="AU341" s="30"/>
      <c r="AV341" s="28"/>
      <c r="AW341" s="28"/>
      <c r="AX341" s="28"/>
      <c r="AZ341" s="28"/>
      <c r="BA341" s="16" t="e">
        <f t="shared" si="195"/>
        <v>#DIV/0!</v>
      </c>
      <c r="BC341" s="7" t="e">
        <f t="shared" si="196"/>
        <v>#N/A</v>
      </c>
      <c r="BR341" s="7">
        <v>5300094</v>
      </c>
      <c r="BS341" s="9">
        <f>[1]monsters!$N341</f>
        <v>292.69</v>
      </c>
      <c r="BT341" s="9">
        <f>[1]monsters!$O341</f>
        <v>29.27</v>
      </c>
      <c r="BU341" s="9">
        <f>[1]monsters!$P341</f>
        <v>1920</v>
      </c>
      <c r="BV341" s="9">
        <f>[1]monsters!$Q341</f>
        <v>192</v>
      </c>
      <c r="BW341" s="9">
        <f>[1]monsters!$R341</f>
        <v>36.590000000000003</v>
      </c>
      <c r="BX341" s="9">
        <f>[1]monsters!$S341</f>
        <v>3.66</v>
      </c>
      <c r="BY341" s="9">
        <f>[1]monsters!$K341</f>
        <v>1.4000000000000001</v>
      </c>
      <c r="BZ341" s="7">
        <f>[1]monsters!$D341</f>
        <v>5</v>
      </c>
      <c r="CA341" s="7">
        <f t="shared" si="197"/>
        <v>0.1</v>
      </c>
      <c r="CB341" s="7">
        <f t="shared" si="198"/>
        <v>341.23851464646464</v>
      </c>
      <c r="CC341" s="7">
        <f t="shared" si="199"/>
        <v>34.123851464646464</v>
      </c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>
        <v>0</v>
      </c>
      <c r="CR341" s="25"/>
      <c r="CS341" s="25"/>
      <c r="CT341" s="25"/>
      <c r="CU341" s="25"/>
      <c r="CV341" s="25"/>
      <c r="CW341" s="25"/>
      <c r="DP341" s="32"/>
      <c r="DQ341" s="32"/>
      <c r="DR341" s="36"/>
      <c r="DS341" s="36"/>
      <c r="DT341" s="36"/>
      <c r="DU341" s="36"/>
      <c r="DV341" s="36"/>
      <c r="DW341" s="36"/>
      <c r="DX341" s="36"/>
      <c r="DY341" s="36"/>
      <c r="DZ341" s="36"/>
      <c r="EA341" s="25"/>
      <c r="EB341" s="19"/>
      <c r="EC341" s="16">
        <v>5502113</v>
      </c>
      <c r="ED341" s="40" t="s">
        <v>227</v>
      </c>
      <c r="EE341" s="16">
        <v>2</v>
      </c>
    </row>
    <row r="342" spans="11:135" ht="13.5" customHeight="1">
      <c r="K342" s="2"/>
      <c r="L342" s="18"/>
      <c r="O342" s="25"/>
      <c r="AI342" s="28"/>
      <c r="AJ342" s="28"/>
      <c r="AK342" s="28"/>
      <c r="AL342" s="28"/>
      <c r="AM342" s="28"/>
      <c r="AN342" s="28"/>
      <c r="AO342" s="30"/>
      <c r="AP342" s="28"/>
      <c r="AS342" s="28"/>
      <c r="AT342" s="28"/>
      <c r="AU342" s="30"/>
      <c r="AV342" s="28"/>
      <c r="AW342" s="28"/>
      <c r="AX342" s="28"/>
      <c r="AZ342" s="28"/>
      <c r="BA342" s="16" t="e">
        <f t="shared" si="195"/>
        <v>#DIV/0!</v>
      </c>
      <c r="BC342" s="7" t="e">
        <f t="shared" si="196"/>
        <v>#N/A</v>
      </c>
      <c r="BR342" s="7">
        <v>5301094</v>
      </c>
      <c r="BS342" s="9">
        <f>[1]monsters!$N342</f>
        <v>347.2</v>
      </c>
      <c r="BT342" s="9">
        <f>[1]monsters!$O342</f>
        <v>34.72</v>
      </c>
      <c r="BU342" s="9">
        <f>[1]monsters!$P342</f>
        <v>1734.19</v>
      </c>
      <c r="BV342" s="9">
        <f>[1]monsters!$Q342</f>
        <v>173.42</v>
      </c>
      <c r="BW342" s="9">
        <f>[1]monsters!$R342</f>
        <v>34.72</v>
      </c>
      <c r="BX342" s="9">
        <f>[1]monsters!$S342</f>
        <v>3.47</v>
      </c>
      <c r="BY342" s="9">
        <f>[1]monsters!$K342</f>
        <v>1.5</v>
      </c>
      <c r="BZ342" s="7">
        <f>[1]monsters!$D342</f>
        <v>6</v>
      </c>
      <c r="CA342" s="7">
        <f t="shared" si="197"/>
        <v>0.1</v>
      </c>
      <c r="CB342" s="7">
        <f t="shared" si="198"/>
        <v>386.49423569023566</v>
      </c>
      <c r="CC342" s="7">
        <f t="shared" si="199"/>
        <v>38.649423569023568</v>
      </c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>
        <v>0</v>
      </c>
      <c r="CR342" s="25"/>
      <c r="CS342" s="25"/>
      <c r="CT342" s="25"/>
      <c r="CU342" s="25"/>
      <c r="CV342" s="25"/>
      <c r="CW342" s="25"/>
      <c r="DP342" s="32"/>
      <c r="DQ342" s="32"/>
      <c r="DR342" s="32"/>
      <c r="DS342" s="36"/>
      <c r="DT342" s="36"/>
      <c r="DU342" s="36"/>
      <c r="DV342" s="36"/>
      <c r="DW342" s="36"/>
      <c r="DX342" s="36"/>
      <c r="DY342" s="36"/>
      <c r="DZ342" s="36"/>
      <c r="EA342" s="25"/>
      <c r="EB342" s="19"/>
      <c r="EC342" s="16">
        <v>5601113</v>
      </c>
      <c r="ED342" s="40" t="s">
        <v>228</v>
      </c>
      <c r="EE342" s="16">
        <v>2</v>
      </c>
    </row>
    <row r="343" spans="11:135" ht="13.5" customHeight="1">
      <c r="K343" s="2"/>
      <c r="O343" s="25"/>
      <c r="AI343" s="28"/>
      <c r="AJ343" s="28"/>
      <c r="AK343" s="28"/>
      <c r="AL343" s="28"/>
      <c r="AM343" s="28"/>
      <c r="AN343" s="28"/>
      <c r="AO343" s="30"/>
      <c r="AP343" s="28"/>
      <c r="AS343" s="28"/>
      <c r="AT343" s="28"/>
      <c r="AU343" s="30"/>
      <c r="AV343" s="28"/>
      <c r="AW343" s="28"/>
      <c r="AX343" s="28"/>
      <c r="AZ343" s="28"/>
      <c r="BA343" s="16" t="e">
        <f t="shared" si="195"/>
        <v>#DIV/0!</v>
      </c>
      <c r="BC343" s="7" t="e">
        <f t="shared" si="196"/>
        <v>#N/A</v>
      </c>
      <c r="BR343" s="7">
        <v>5401094</v>
      </c>
      <c r="BS343" s="9">
        <f>[1]monsters!$N343</f>
        <v>215.04</v>
      </c>
      <c r="BT343" s="9">
        <f>[1]monsters!$O343</f>
        <v>21.5</v>
      </c>
      <c r="BU343" s="9">
        <f>[1]monsters!$P343</f>
        <v>3360</v>
      </c>
      <c r="BV343" s="9">
        <f>[1]monsters!$Q343</f>
        <v>336</v>
      </c>
      <c r="BW343" s="9">
        <f>[1]monsters!$R343</f>
        <v>71.680000000000007</v>
      </c>
      <c r="BX343" s="9">
        <f>[1]monsters!$S343</f>
        <v>7.17</v>
      </c>
      <c r="BY343" s="9">
        <f>[1]monsters!$K343</f>
        <v>1.8</v>
      </c>
      <c r="BZ343" s="7">
        <f>[1]monsters!$D343</f>
        <v>2</v>
      </c>
      <c r="CA343" s="7">
        <f t="shared" si="197"/>
        <v>0.1</v>
      </c>
      <c r="CB343" s="7">
        <f t="shared" si="198"/>
        <v>316.34411313131312</v>
      </c>
      <c r="CC343" s="7">
        <f t="shared" si="199"/>
        <v>31.634411313131313</v>
      </c>
      <c r="CD343" s="7"/>
      <c r="CE343" s="7"/>
      <c r="CF343" s="7"/>
      <c r="CG343" s="7"/>
      <c r="CH343" s="7"/>
      <c r="CI343" s="7"/>
      <c r="CJ343" s="7"/>
      <c r="CK343" s="7"/>
      <c r="CL343" s="7"/>
      <c r="CM343" s="7"/>
      <c r="CN343" s="7"/>
      <c r="CO343" s="7"/>
      <c r="CP343" s="7">
        <v>1</v>
      </c>
      <c r="CR343" s="25"/>
      <c r="CS343" s="25"/>
      <c r="CT343" s="25"/>
      <c r="CU343" s="25"/>
      <c r="CV343" s="25"/>
      <c r="CW343" s="25"/>
      <c r="DP343" s="32"/>
      <c r="DQ343" s="32"/>
      <c r="DR343" s="36"/>
      <c r="DS343" s="14"/>
      <c r="DT343" s="36"/>
      <c r="DU343" s="36"/>
      <c r="DV343" s="36"/>
      <c r="DW343" s="36"/>
      <c r="DX343" s="36"/>
      <c r="DY343" s="36"/>
      <c r="DZ343" s="36"/>
      <c r="EA343" s="25"/>
      <c r="EB343" s="19"/>
      <c r="EC343" s="16">
        <v>5201114</v>
      </c>
      <c r="ED343" s="40" t="s">
        <v>229</v>
      </c>
      <c r="EE343" s="16">
        <v>1</v>
      </c>
    </row>
    <row r="344" spans="11:135" ht="13.5" customHeight="1">
      <c r="K344" s="2"/>
      <c r="L344" s="18"/>
      <c r="O344" s="25"/>
      <c r="AI344" s="28"/>
      <c r="AJ344" s="28"/>
      <c r="AK344" s="28"/>
      <c r="AL344" s="28"/>
      <c r="AM344" s="28"/>
      <c r="AN344" s="28"/>
      <c r="AO344" s="30"/>
      <c r="AP344" s="28"/>
      <c r="AS344" s="28"/>
      <c r="AT344" s="28"/>
      <c r="AU344" s="30"/>
      <c r="AV344" s="28"/>
      <c r="AW344" s="28"/>
      <c r="AX344" s="28"/>
      <c r="AZ344" s="28"/>
      <c r="BA344" s="16" t="e">
        <f t="shared" si="195"/>
        <v>#DIV/0!</v>
      </c>
      <c r="BC344" s="7" t="e">
        <f t="shared" si="196"/>
        <v>#N/A</v>
      </c>
      <c r="BR344" s="7">
        <v>5402094</v>
      </c>
      <c r="BS344" s="9">
        <f>[1]monsters!$N344</f>
        <v>188.16</v>
      </c>
      <c r="BT344" s="9">
        <f>[1]monsters!$O344</f>
        <v>18.82</v>
      </c>
      <c r="BU344" s="9">
        <f>[1]monsters!$P344</f>
        <v>2986.67</v>
      </c>
      <c r="BV344" s="9">
        <f>[1]monsters!$Q344</f>
        <v>298.67</v>
      </c>
      <c r="BW344" s="9">
        <f>[1]monsters!$R344</f>
        <v>37.630000000000003</v>
      </c>
      <c r="BX344" s="9">
        <f>[1]monsters!$S344</f>
        <v>3.76</v>
      </c>
      <c r="BY344" s="9">
        <f>[1]monsters!$K344</f>
        <v>1.4000000000000001</v>
      </c>
      <c r="BZ344" s="7">
        <f>[1]monsters!$D344</f>
        <v>3</v>
      </c>
      <c r="CA344" s="7">
        <f t="shared" si="197"/>
        <v>0.1</v>
      </c>
      <c r="CB344" s="7">
        <f t="shared" si="198"/>
        <v>278.37247946127945</v>
      </c>
      <c r="CC344" s="7">
        <f t="shared" si="199"/>
        <v>27.837247946127945</v>
      </c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>
        <v>0</v>
      </c>
      <c r="CR344" s="25"/>
      <c r="CS344" s="25"/>
      <c r="CT344" s="25"/>
      <c r="CU344" s="25"/>
      <c r="CV344" s="25"/>
      <c r="CW344" s="25"/>
      <c r="DP344" s="32"/>
      <c r="DQ344" s="32"/>
      <c r="DR344" s="32"/>
      <c r="DS344" s="36"/>
      <c r="DT344" s="36"/>
      <c r="DU344" s="36"/>
      <c r="DV344" s="36"/>
      <c r="DW344" s="36"/>
      <c r="DX344" s="36"/>
      <c r="DY344" s="36"/>
      <c r="DZ344" s="36"/>
      <c r="EA344" s="25"/>
      <c r="EB344" s="19"/>
      <c r="EC344" s="16">
        <v>5302114</v>
      </c>
      <c r="ED344" s="40" t="s">
        <v>230</v>
      </c>
      <c r="EE344" s="16">
        <v>1</v>
      </c>
    </row>
    <row r="345" spans="11:135" ht="13.5" customHeight="1">
      <c r="K345" s="2"/>
      <c r="L345" s="18"/>
      <c r="O345" s="25"/>
      <c r="AI345" s="28"/>
      <c r="AJ345" s="28"/>
      <c r="AK345" s="28"/>
      <c r="AL345" s="28"/>
      <c r="AM345" s="28"/>
      <c r="AN345" s="28"/>
      <c r="AO345" s="30"/>
      <c r="AP345" s="28"/>
      <c r="AS345" s="28"/>
      <c r="AT345" s="28"/>
      <c r="AU345" s="30"/>
      <c r="AV345" s="28"/>
      <c r="AW345" s="28"/>
      <c r="AX345" s="28"/>
      <c r="AZ345" s="28"/>
      <c r="BA345" s="16" t="e">
        <f t="shared" si="195"/>
        <v>#DIV/0!</v>
      </c>
      <c r="BC345" s="7" t="e">
        <f t="shared" si="196"/>
        <v>#N/A</v>
      </c>
      <c r="BR345" s="7">
        <v>5501094</v>
      </c>
      <c r="BS345" s="9">
        <f>[1]monsters!$N345</f>
        <v>334.51</v>
      </c>
      <c r="BT345" s="9">
        <f>[1]monsters!$O345</f>
        <v>33.450000000000003</v>
      </c>
      <c r="BU345" s="9">
        <f>[1]monsters!$P345</f>
        <v>1920</v>
      </c>
      <c r="BV345" s="9">
        <f>[1]monsters!$Q345</f>
        <v>192</v>
      </c>
      <c r="BW345" s="9">
        <f>[1]monsters!$R345</f>
        <v>41.81</v>
      </c>
      <c r="BX345" s="9">
        <f>[1]monsters!$S345</f>
        <v>4.18</v>
      </c>
      <c r="BY345" s="9">
        <f>[1]monsters!$K345</f>
        <v>1.6</v>
      </c>
      <c r="BZ345" s="7">
        <f>[1]monsters!$D345</f>
        <v>5</v>
      </c>
      <c r="CA345" s="7">
        <f t="shared" si="197"/>
        <v>0.1</v>
      </c>
      <c r="CB345" s="7">
        <f t="shared" si="198"/>
        <v>380.75841464646464</v>
      </c>
      <c r="CC345" s="7">
        <f t="shared" si="199"/>
        <v>38.075841464646466</v>
      </c>
      <c r="CD345" s="7"/>
      <c r="CE345" s="7"/>
      <c r="CF345" s="7"/>
      <c r="CG345" s="7"/>
      <c r="CH345" s="7"/>
      <c r="CI345" s="7"/>
      <c r="CJ345" s="7"/>
      <c r="CK345" s="7"/>
      <c r="CL345" s="7"/>
      <c r="CM345" s="7"/>
      <c r="CN345" s="7"/>
      <c r="CO345" s="7"/>
      <c r="CP345" s="7">
        <v>0</v>
      </c>
      <c r="CR345" s="25"/>
      <c r="CS345" s="25"/>
      <c r="CT345" s="25"/>
      <c r="CU345" s="25"/>
      <c r="CV345" s="25"/>
      <c r="CW345" s="25"/>
      <c r="DP345" s="32"/>
      <c r="DQ345" s="32"/>
      <c r="DR345" s="32"/>
      <c r="DS345" s="32"/>
      <c r="DT345" s="32"/>
      <c r="DU345" s="32"/>
      <c r="DV345" s="32"/>
      <c r="DW345" s="32"/>
      <c r="DX345" s="32"/>
      <c r="DY345" s="32"/>
      <c r="DZ345" s="32"/>
      <c r="EA345" s="25"/>
      <c r="EB345" s="19"/>
      <c r="EC345" s="16">
        <v>5501114</v>
      </c>
      <c r="ED345" s="40" t="s">
        <v>226</v>
      </c>
      <c r="EE345" s="16">
        <v>2</v>
      </c>
    </row>
    <row r="346" spans="11:135" ht="13.5" customHeight="1">
      <c r="K346" s="2"/>
      <c r="L346" s="18"/>
      <c r="O346" s="25"/>
      <c r="AI346" s="28"/>
      <c r="AJ346" s="28"/>
      <c r="AK346" s="28"/>
      <c r="AL346" s="28"/>
      <c r="AM346" s="28"/>
      <c r="AN346" s="28"/>
      <c r="AO346" s="30"/>
      <c r="AP346" s="28"/>
      <c r="AS346" s="28"/>
      <c r="AT346" s="28"/>
      <c r="AU346" s="30"/>
      <c r="AV346" s="28"/>
      <c r="AW346" s="28"/>
      <c r="AX346" s="28"/>
      <c r="AZ346" s="28"/>
      <c r="BA346" s="16" t="e">
        <f t="shared" si="195"/>
        <v>#DIV/0!</v>
      </c>
      <c r="BC346" s="7" t="e">
        <f t="shared" si="196"/>
        <v>#N/A</v>
      </c>
      <c r="BR346" s="7">
        <v>5502094</v>
      </c>
      <c r="BS346" s="9">
        <f>[1]monsters!$N346</f>
        <v>324.05</v>
      </c>
      <c r="BT346" s="9">
        <f>[1]monsters!$O346</f>
        <v>32.409999999999997</v>
      </c>
      <c r="BU346" s="9">
        <f>[1]monsters!$P346</f>
        <v>1734.19</v>
      </c>
      <c r="BV346" s="9">
        <f>[1]monsters!$Q346</f>
        <v>173.42</v>
      </c>
      <c r="BW346" s="9">
        <f>[1]monsters!$R346</f>
        <v>32.409999999999997</v>
      </c>
      <c r="BX346" s="9">
        <f>[1]monsters!$S346</f>
        <v>3.24</v>
      </c>
      <c r="BY346" s="9">
        <f>[1]monsters!$K346</f>
        <v>1.4000000000000001</v>
      </c>
      <c r="BZ346" s="7">
        <f>[1]monsters!$D346</f>
        <v>6</v>
      </c>
      <c r="CA346" s="7">
        <f t="shared" si="197"/>
        <v>0.1</v>
      </c>
      <c r="CB346" s="7">
        <f t="shared" si="198"/>
        <v>364.61748569023575</v>
      </c>
      <c r="CC346" s="7">
        <f t="shared" si="199"/>
        <v>36.461748569023577</v>
      </c>
      <c r="CD346" s="7"/>
      <c r="CE346" s="7"/>
      <c r="CF346" s="7"/>
      <c r="CG346" s="7"/>
      <c r="CH346" s="7"/>
      <c r="CI346" s="7"/>
      <c r="CJ346" s="7"/>
      <c r="CK346" s="7"/>
      <c r="CL346" s="7"/>
      <c r="CM346" s="7"/>
      <c r="CN346" s="7"/>
      <c r="CO346" s="7"/>
      <c r="CP346" s="7">
        <v>0</v>
      </c>
      <c r="CR346" s="25"/>
      <c r="CS346" s="25"/>
      <c r="CT346" s="25"/>
      <c r="CU346" s="25"/>
      <c r="CV346" s="25"/>
      <c r="CW346" s="25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25"/>
      <c r="EB346" s="19"/>
      <c r="EC346" s="16">
        <v>5600114</v>
      </c>
      <c r="ED346" s="40" t="s">
        <v>231</v>
      </c>
      <c r="EE346" s="16">
        <v>1</v>
      </c>
    </row>
    <row r="347" spans="11:135" ht="13.5" customHeight="1">
      <c r="K347" s="2"/>
      <c r="L347" s="18"/>
      <c r="O347" s="25"/>
      <c r="AI347" s="28"/>
      <c r="AJ347" s="28"/>
      <c r="AK347" s="28"/>
      <c r="AL347" s="28"/>
      <c r="AM347" s="28"/>
      <c r="AN347" s="28"/>
      <c r="AO347" s="30"/>
      <c r="AP347" s="28"/>
      <c r="AS347" s="28"/>
      <c r="AT347" s="28"/>
      <c r="AU347" s="30"/>
      <c r="AV347" s="28"/>
      <c r="AW347" s="28"/>
      <c r="AX347" s="28"/>
      <c r="AZ347" s="28"/>
      <c r="BA347" s="16" t="e">
        <f t="shared" si="195"/>
        <v>#DIV/0!</v>
      </c>
      <c r="BC347" s="7" t="e">
        <f t="shared" si="196"/>
        <v>#N/A</v>
      </c>
      <c r="BR347" s="7">
        <v>5600094</v>
      </c>
      <c r="BS347" s="9">
        <f>[1]monsters!$N347</f>
        <v>416.64</v>
      </c>
      <c r="BT347" s="9">
        <f>[1]monsters!$O347</f>
        <v>41.66</v>
      </c>
      <c r="BU347" s="9">
        <f>[1]monsters!$P347</f>
        <v>1734.19</v>
      </c>
      <c r="BV347" s="9">
        <f>[1]monsters!$Q347</f>
        <v>173.42</v>
      </c>
      <c r="BW347" s="9">
        <f>[1]monsters!$R347</f>
        <v>41.66</v>
      </c>
      <c r="BX347" s="9">
        <f>[1]monsters!$S347</f>
        <v>4.17</v>
      </c>
      <c r="BY347" s="9">
        <f>[1]monsters!$K347</f>
        <v>1.8</v>
      </c>
      <c r="BZ347" s="7">
        <f>[1]monsters!$D347</f>
        <v>6</v>
      </c>
      <c r="CA347" s="7">
        <f t="shared" si="197"/>
        <v>0.1</v>
      </c>
      <c r="CB347" s="7">
        <f t="shared" si="198"/>
        <v>452.11503569023569</v>
      </c>
      <c r="CC347" s="7">
        <f t="shared" si="199"/>
        <v>45.21150356902357</v>
      </c>
      <c r="CD347" s="7"/>
      <c r="CE347" s="7"/>
      <c r="CF347" s="7"/>
      <c r="CG347" s="7"/>
      <c r="CH347" s="7"/>
      <c r="CI347" s="7"/>
      <c r="CJ347" s="7"/>
      <c r="CK347" s="7"/>
      <c r="CL347" s="7"/>
      <c r="CM347" s="7"/>
      <c r="CN347" s="7"/>
      <c r="CO347" s="7"/>
      <c r="CP347" s="7">
        <v>0</v>
      </c>
      <c r="CR347" s="25"/>
      <c r="CS347" s="25"/>
      <c r="CT347" s="25"/>
      <c r="CU347" s="25"/>
      <c r="CV347" s="25"/>
      <c r="CW347" s="25"/>
      <c r="DP347" s="32"/>
      <c r="DQ347" s="13"/>
      <c r="DR347" s="32"/>
      <c r="DS347" s="32"/>
      <c r="DT347" s="32"/>
      <c r="DU347" s="32"/>
      <c r="DV347" s="32"/>
      <c r="DW347" s="32"/>
      <c r="DX347" s="32"/>
      <c r="DY347" s="32"/>
      <c r="DZ347" s="32"/>
      <c r="EA347" s="25"/>
      <c r="EB347" s="19"/>
      <c r="EC347" s="16">
        <v>5602114</v>
      </c>
      <c r="ED347" s="40" t="s">
        <v>232</v>
      </c>
      <c r="EE347" s="16">
        <v>2</v>
      </c>
    </row>
    <row r="348" spans="11:135" ht="13.5" customHeight="1">
      <c r="K348" s="2"/>
      <c r="O348" s="25"/>
      <c r="AI348" s="28"/>
      <c r="AJ348" s="28"/>
      <c r="AK348" s="28"/>
      <c r="AL348" s="28"/>
      <c r="AM348" s="28"/>
      <c r="AN348" s="28"/>
      <c r="AO348" s="30"/>
      <c r="AP348" s="28"/>
      <c r="AS348" s="28"/>
      <c r="AT348" s="28"/>
      <c r="AU348" s="30"/>
      <c r="AV348" s="28"/>
      <c r="AW348" s="28"/>
      <c r="AX348" s="28"/>
      <c r="AZ348" s="28"/>
      <c r="BA348" s="16" t="e">
        <f t="shared" si="195"/>
        <v>#DIV/0!</v>
      </c>
      <c r="BC348" s="7" t="e">
        <f t="shared" si="196"/>
        <v>#N/A</v>
      </c>
      <c r="BR348" s="7">
        <v>5601094</v>
      </c>
      <c r="BS348" s="9">
        <f>[1]monsters!$N348</f>
        <v>241.92</v>
      </c>
      <c r="BT348" s="9">
        <f>[1]monsters!$O348</f>
        <v>24.19</v>
      </c>
      <c r="BU348" s="9">
        <f>[1]monsters!$P348</f>
        <v>2986.67</v>
      </c>
      <c r="BV348" s="9">
        <f>[1]monsters!$Q348</f>
        <v>298.67</v>
      </c>
      <c r="BW348" s="9">
        <f>[1]monsters!$R348</f>
        <v>48.38</v>
      </c>
      <c r="BX348" s="9">
        <f>[1]monsters!$S348</f>
        <v>4.84</v>
      </c>
      <c r="BY348" s="9">
        <f>[1]monsters!$K348</f>
        <v>1.8</v>
      </c>
      <c r="BZ348" s="7">
        <f>[1]monsters!$D348</f>
        <v>2</v>
      </c>
      <c r="CA348" s="7">
        <f t="shared" si="197"/>
        <v>0.1</v>
      </c>
      <c r="CB348" s="7">
        <f t="shared" si="198"/>
        <v>329.17567946127946</v>
      </c>
      <c r="CC348" s="7">
        <f t="shared" si="199"/>
        <v>32.917567946127946</v>
      </c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>
        <v>1</v>
      </c>
      <c r="CR348" s="25"/>
      <c r="CS348" s="25"/>
      <c r="CT348" s="25"/>
      <c r="CU348" s="25"/>
      <c r="CV348" s="25"/>
      <c r="CW348" s="25"/>
      <c r="DP348" s="13"/>
      <c r="DQ348" s="32"/>
      <c r="DR348" s="32"/>
      <c r="DS348" s="32"/>
      <c r="DT348" s="32"/>
      <c r="DU348" s="32"/>
      <c r="DV348" s="32"/>
      <c r="DW348" s="32"/>
      <c r="DX348" s="32"/>
      <c r="DY348" s="32"/>
      <c r="DZ348" s="32"/>
      <c r="EA348" s="25"/>
      <c r="EB348" s="19"/>
      <c r="EC348" s="16">
        <v>5202115</v>
      </c>
      <c r="ED348" s="40" t="s">
        <v>233</v>
      </c>
      <c r="EE348" s="16">
        <v>1</v>
      </c>
    </row>
    <row r="349" spans="11:135" ht="13.5" customHeight="1">
      <c r="K349" s="2"/>
      <c r="L349" s="18"/>
      <c r="O349" s="25"/>
      <c r="AI349" s="28"/>
      <c r="AJ349" s="28"/>
      <c r="AK349" s="28"/>
      <c r="AL349" s="28"/>
      <c r="AM349" s="28"/>
      <c r="AN349" s="28"/>
      <c r="AO349" s="30"/>
      <c r="AP349" s="28"/>
      <c r="AS349" s="28"/>
      <c r="AT349" s="28"/>
      <c r="AU349" s="30"/>
      <c r="AV349" s="28"/>
      <c r="AW349" s="28"/>
      <c r="AX349" s="28"/>
      <c r="AZ349" s="28"/>
      <c r="BA349" s="16" t="e">
        <f t="shared" si="195"/>
        <v>#DIV/0!</v>
      </c>
      <c r="BC349" s="7" t="e">
        <f t="shared" si="196"/>
        <v>#N/A</v>
      </c>
      <c r="BR349" s="7">
        <v>5201095</v>
      </c>
      <c r="BS349" s="9">
        <f>[1]monsters!$N349</f>
        <v>174.72</v>
      </c>
      <c r="BT349" s="9">
        <f>[1]monsters!$O349</f>
        <v>17.47</v>
      </c>
      <c r="BU349" s="9">
        <f>[1]monsters!$P349</f>
        <v>2986.67</v>
      </c>
      <c r="BV349" s="9">
        <f>[1]monsters!$Q349</f>
        <v>298.67</v>
      </c>
      <c r="BW349" s="9">
        <f>[1]monsters!$R349</f>
        <v>34.94</v>
      </c>
      <c r="BX349" s="9">
        <f>[1]monsters!$S349</f>
        <v>3.49</v>
      </c>
      <c r="BY349" s="9">
        <f>[1]monsters!$K349</f>
        <v>1.3</v>
      </c>
      <c r="BZ349" s="7">
        <f>[1]monsters!$D349</f>
        <v>3</v>
      </c>
      <c r="CA349" s="7">
        <f t="shared" si="197"/>
        <v>0.1</v>
      </c>
      <c r="CB349" s="7">
        <f t="shared" si="198"/>
        <v>265.6716794612795</v>
      </c>
      <c r="CC349" s="7">
        <f t="shared" si="199"/>
        <v>26.567167946127952</v>
      </c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>
        <v>0</v>
      </c>
      <c r="CR349" s="25"/>
      <c r="CS349" s="25"/>
      <c r="CT349" s="25"/>
      <c r="CU349" s="25"/>
      <c r="CV349" s="25"/>
      <c r="CW349" s="25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25"/>
      <c r="EB349" s="19"/>
      <c r="EC349" s="16">
        <v>5300115</v>
      </c>
      <c r="ED349" s="40" t="s">
        <v>224</v>
      </c>
      <c r="EE349" s="16">
        <v>1</v>
      </c>
    </row>
    <row r="350" spans="11:135" ht="13.5" customHeight="1">
      <c r="K350" s="2"/>
      <c r="L350" s="18"/>
      <c r="O350" s="25"/>
      <c r="AI350" s="28"/>
      <c r="AJ350" s="28"/>
      <c r="AK350" s="28"/>
      <c r="AL350" s="28"/>
      <c r="AM350" s="28"/>
      <c r="AN350" s="28"/>
      <c r="AO350" s="30"/>
      <c r="AP350" s="28"/>
      <c r="AS350" s="28"/>
      <c r="AT350" s="28"/>
      <c r="AU350" s="30"/>
      <c r="AV350" s="28"/>
      <c r="AW350" s="28"/>
      <c r="AX350" s="28"/>
      <c r="AZ350" s="28"/>
      <c r="BA350" s="16" t="e">
        <f t="shared" si="195"/>
        <v>#DIV/0!</v>
      </c>
      <c r="BC350" s="7" t="e">
        <f t="shared" si="196"/>
        <v>#N/A</v>
      </c>
      <c r="BR350" s="7">
        <v>5202095</v>
      </c>
      <c r="BS350" s="9">
        <f>[1]monsters!$N350</f>
        <v>188.16</v>
      </c>
      <c r="BT350" s="9">
        <f>[1]monsters!$O350</f>
        <v>18.82</v>
      </c>
      <c r="BU350" s="9">
        <f>[1]monsters!$P350</f>
        <v>2986.67</v>
      </c>
      <c r="BV350" s="9">
        <f>[1]monsters!$Q350</f>
        <v>298.67</v>
      </c>
      <c r="BW350" s="9">
        <f>[1]monsters!$R350</f>
        <v>37.630000000000003</v>
      </c>
      <c r="BX350" s="9">
        <f>[1]monsters!$S350</f>
        <v>3.76</v>
      </c>
      <c r="BY350" s="9">
        <f>[1]monsters!$K350</f>
        <v>1.4000000000000001</v>
      </c>
      <c r="BZ350" s="7">
        <f>[1]monsters!$D350</f>
        <v>3</v>
      </c>
      <c r="CA350" s="7">
        <f t="shared" si="197"/>
        <v>0.1</v>
      </c>
      <c r="CB350" s="7">
        <f t="shared" si="198"/>
        <v>278.37247946127945</v>
      </c>
      <c r="CC350" s="7">
        <f t="shared" si="199"/>
        <v>27.837247946127945</v>
      </c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>
        <v>0</v>
      </c>
      <c r="CR350" s="25"/>
      <c r="CS350" s="25"/>
      <c r="CT350" s="25"/>
      <c r="CU350" s="25"/>
      <c r="CV350" s="25"/>
      <c r="CW350" s="25"/>
      <c r="DP350" s="32"/>
      <c r="DQ350" s="32"/>
      <c r="DR350" s="36"/>
      <c r="DS350" s="36"/>
      <c r="DT350" s="32"/>
      <c r="DU350" s="32"/>
      <c r="DV350" s="32"/>
      <c r="DW350" s="32"/>
      <c r="DX350" s="32"/>
      <c r="DY350" s="32"/>
      <c r="DZ350" s="32"/>
      <c r="EA350" s="25"/>
      <c r="EB350" s="19"/>
      <c r="EC350" s="16">
        <v>5302115</v>
      </c>
      <c r="ED350" s="40" t="s">
        <v>234</v>
      </c>
      <c r="EE350" s="16">
        <v>1</v>
      </c>
    </row>
    <row r="351" spans="11:135" ht="13.5" customHeight="1">
      <c r="K351" s="2"/>
      <c r="L351" s="18"/>
      <c r="O351" s="25"/>
      <c r="AI351" s="28"/>
      <c r="AJ351" s="28"/>
      <c r="AK351" s="28"/>
      <c r="AL351" s="28"/>
      <c r="AM351" s="28"/>
      <c r="AN351" s="28"/>
      <c r="AO351" s="30"/>
      <c r="AP351" s="28"/>
      <c r="AS351" s="28"/>
      <c r="AT351" s="28"/>
      <c r="AU351" s="30"/>
      <c r="AV351" s="28"/>
      <c r="AW351" s="28"/>
      <c r="AX351" s="28"/>
      <c r="AZ351" s="28"/>
      <c r="BA351" s="16" t="e">
        <f t="shared" si="195"/>
        <v>#DIV/0!</v>
      </c>
      <c r="BC351" s="7" t="e">
        <f t="shared" si="196"/>
        <v>#N/A</v>
      </c>
      <c r="BR351" s="7">
        <v>5302095</v>
      </c>
      <c r="BS351" s="9">
        <f>[1]monsters!$N351</f>
        <v>250.88</v>
      </c>
      <c r="BT351" s="9">
        <f>[1]monsters!$O351</f>
        <v>25.09</v>
      </c>
      <c r="BU351" s="9">
        <f>[1]monsters!$P351</f>
        <v>2240</v>
      </c>
      <c r="BV351" s="9">
        <f>[1]monsters!$Q351</f>
        <v>224</v>
      </c>
      <c r="BW351" s="9">
        <f>[1]monsters!$R351</f>
        <v>35.840000000000003</v>
      </c>
      <c r="BX351" s="9">
        <f>[1]monsters!$S351</f>
        <v>3.58</v>
      </c>
      <c r="BY351" s="9">
        <f>[1]monsters!$K351</f>
        <v>1.4000000000000001</v>
      </c>
      <c r="BZ351" s="7">
        <f>[1]monsters!$D351</f>
        <v>4</v>
      </c>
      <c r="CA351" s="7">
        <f t="shared" si="197"/>
        <v>0.1</v>
      </c>
      <c r="CB351" s="7">
        <f t="shared" si="198"/>
        <v>312.50247542087538</v>
      </c>
      <c r="CC351" s="7">
        <f t="shared" si="199"/>
        <v>31.250247542087539</v>
      </c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>
        <v>0</v>
      </c>
      <c r="CR351" s="25"/>
      <c r="CS351" s="25"/>
      <c r="CT351" s="25"/>
      <c r="CU351" s="25"/>
      <c r="CV351" s="25"/>
      <c r="CW351" s="25"/>
      <c r="DP351" s="32"/>
      <c r="DQ351" s="32"/>
      <c r="DR351" s="36"/>
      <c r="DS351" s="36"/>
      <c r="DT351" s="36"/>
      <c r="DU351" s="36"/>
      <c r="DV351" s="36"/>
      <c r="DW351" s="36"/>
      <c r="DX351" s="36"/>
      <c r="DY351" s="36"/>
      <c r="DZ351" s="36"/>
      <c r="EA351" s="25"/>
      <c r="EB351" s="19"/>
      <c r="EC351" s="16">
        <v>5400115</v>
      </c>
      <c r="ED351" s="40" t="s">
        <v>222</v>
      </c>
      <c r="EE351" s="16">
        <v>2</v>
      </c>
    </row>
    <row r="352" spans="11:135" ht="13.5" customHeight="1">
      <c r="K352" s="2"/>
      <c r="L352" s="18"/>
      <c r="O352" s="25"/>
      <c r="AI352" s="28"/>
      <c r="AJ352" s="28"/>
      <c r="AK352" s="28"/>
      <c r="AL352" s="28"/>
      <c r="AM352" s="28"/>
      <c r="AN352" s="28"/>
      <c r="AO352" s="30"/>
      <c r="AP352" s="28"/>
      <c r="AS352" s="28"/>
      <c r="AT352" s="28"/>
      <c r="AU352" s="30"/>
      <c r="AV352" s="28"/>
      <c r="AW352" s="28"/>
      <c r="AX352" s="28"/>
      <c r="AZ352" s="28"/>
      <c r="BA352" s="16" t="e">
        <f t="shared" si="195"/>
        <v>#DIV/0!</v>
      </c>
      <c r="BC352" s="7" t="e">
        <f t="shared" si="196"/>
        <v>#N/A</v>
      </c>
      <c r="BR352" s="7">
        <v>5301095</v>
      </c>
      <c r="BS352" s="9">
        <f>[1]monsters!$N352</f>
        <v>334.51</v>
      </c>
      <c r="BT352" s="9">
        <f>[1]monsters!$O352</f>
        <v>33.450000000000003</v>
      </c>
      <c r="BU352" s="9">
        <f>[1]monsters!$P352</f>
        <v>1920</v>
      </c>
      <c r="BV352" s="9">
        <f>[1]monsters!$Q352</f>
        <v>192</v>
      </c>
      <c r="BW352" s="9">
        <f>[1]monsters!$R352</f>
        <v>41.81</v>
      </c>
      <c r="BX352" s="9">
        <f>[1]monsters!$S352</f>
        <v>4.18</v>
      </c>
      <c r="BY352" s="9">
        <f>[1]monsters!$K352</f>
        <v>1.6</v>
      </c>
      <c r="BZ352" s="7">
        <f>[1]monsters!$D352</f>
        <v>5</v>
      </c>
      <c r="CA352" s="7">
        <f t="shared" si="197"/>
        <v>0.1</v>
      </c>
      <c r="CB352" s="7">
        <f t="shared" si="198"/>
        <v>380.75841464646464</v>
      </c>
      <c r="CC352" s="7">
        <f t="shared" si="199"/>
        <v>38.075841464646466</v>
      </c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>
        <v>0</v>
      </c>
      <c r="CR352" s="25"/>
      <c r="CS352" s="25"/>
      <c r="CT352" s="25"/>
      <c r="CU352" s="25"/>
      <c r="CV352" s="25"/>
      <c r="CW352" s="25"/>
      <c r="DP352" s="32"/>
      <c r="DQ352" s="32"/>
      <c r="DR352" s="32"/>
      <c r="DS352" s="32"/>
      <c r="DT352" s="36"/>
      <c r="DU352" s="36"/>
      <c r="DV352" s="36"/>
      <c r="DW352" s="36"/>
      <c r="DX352" s="36"/>
      <c r="DY352" s="36"/>
      <c r="DZ352" s="36"/>
      <c r="EA352" s="25"/>
      <c r="EB352" s="19"/>
      <c r="EC352" s="16">
        <v>5501115</v>
      </c>
      <c r="ED352" s="42" t="s">
        <v>235</v>
      </c>
      <c r="EE352" s="16">
        <v>2</v>
      </c>
    </row>
    <row r="353" spans="11:135" ht="13.5" customHeight="1">
      <c r="K353" s="2"/>
      <c r="O353" s="25"/>
      <c r="AI353" s="28"/>
      <c r="AJ353" s="28"/>
      <c r="AK353" s="28"/>
      <c r="AL353" s="28"/>
      <c r="AM353" s="28"/>
      <c r="AN353" s="28"/>
      <c r="AO353" s="30"/>
      <c r="AP353" s="28"/>
      <c r="AS353" s="28"/>
      <c r="AT353" s="28"/>
      <c r="AU353" s="30"/>
      <c r="AV353" s="28"/>
      <c r="AW353" s="28"/>
      <c r="AX353" s="28"/>
      <c r="AY353" s="16">
        <v>7</v>
      </c>
      <c r="AZ353" s="28">
        <v>160</v>
      </c>
      <c r="BA353" s="16">
        <v>505442</v>
      </c>
      <c r="BC353" s="7" t="e">
        <f t="shared" si="196"/>
        <v>#N/A</v>
      </c>
      <c r="BR353" s="7">
        <v>5400095</v>
      </c>
      <c r="BS353" s="9">
        <f>[1]monsters!$N353</f>
        <v>240</v>
      </c>
      <c r="BT353" s="9">
        <f>[1]monsters!$O353</f>
        <v>24</v>
      </c>
      <c r="BU353" s="9">
        <f>[1]monsters!$P353</f>
        <v>2880</v>
      </c>
      <c r="BV353" s="9">
        <f>[1]monsters!$Q353</f>
        <v>288</v>
      </c>
      <c r="BW353" s="9">
        <f>[1]monsters!$R353</f>
        <v>60</v>
      </c>
      <c r="BX353" s="9">
        <f>[1]monsters!$S353</f>
        <v>6</v>
      </c>
      <c r="BY353" s="9">
        <f>[1]monsters!$K353</f>
        <v>1.5</v>
      </c>
      <c r="BZ353" s="7">
        <f>[1]monsters!$D353</f>
        <v>2</v>
      </c>
      <c r="CA353" s="7">
        <f t="shared" si="197"/>
        <v>0.1</v>
      </c>
      <c r="CB353" s="7">
        <f t="shared" si="198"/>
        <v>323.76969696969695</v>
      </c>
      <c r="CC353" s="7">
        <f t="shared" si="199"/>
        <v>32.376969696969695</v>
      </c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>
        <v>1</v>
      </c>
      <c r="CR353" s="25"/>
      <c r="CS353" s="25"/>
      <c r="CT353" s="25"/>
      <c r="CU353" s="25"/>
      <c r="CV353" s="25"/>
      <c r="CW353" s="25"/>
      <c r="DP353" s="32"/>
      <c r="DQ353" s="32"/>
      <c r="DR353" s="32"/>
      <c r="DS353" s="36"/>
      <c r="DT353" s="36"/>
      <c r="DU353" s="36"/>
      <c r="DV353" s="36"/>
      <c r="DW353" s="36"/>
      <c r="DX353" s="36"/>
      <c r="DY353" s="36"/>
      <c r="DZ353" s="36"/>
      <c r="EA353" s="25"/>
      <c r="EB353" s="19"/>
      <c r="EC353" s="16">
        <v>5200121</v>
      </c>
      <c r="ED353" s="40" t="s">
        <v>205</v>
      </c>
      <c r="EE353" s="16">
        <v>1</v>
      </c>
    </row>
    <row r="354" spans="11:135" ht="13.5" customHeight="1">
      <c r="K354" s="2"/>
      <c r="L354" s="18"/>
      <c r="O354" s="25"/>
      <c r="AI354" s="28"/>
      <c r="AJ354" s="28"/>
      <c r="AK354" s="28"/>
      <c r="AL354" s="28"/>
      <c r="AM354" s="28"/>
      <c r="AN354" s="28"/>
      <c r="AO354" s="30"/>
      <c r="AP354" s="28"/>
      <c r="AS354" s="28"/>
      <c r="AT354" s="28"/>
      <c r="AU354" s="30"/>
      <c r="AV354" s="28"/>
      <c r="AW354" s="28"/>
      <c r="AX354" s="28"/>
      <c r="AZ354" s="28"/>
      <c r="BA354" s="16" t="e">
        <f>BA353+($BA$453-$BA$353)/($A$453-$A$353)</f>
        <v>#DIV/0!</v>
      </c>
      <c r="BC354" s="7" t="e">
        <f t="shared" si="196"/>
        <v>#N/A</v>
      </c>
      <c r="BR354" s="7">
        <v>5402095</v>
      </c>
      <c r="BS354" s="9">
        <f>[1]monsters!$N354</f>
        <v>230.4</v>
      </c>
      <c r="BT354" s="9">
        <f>[1]monsters!$O354</f>
        <v>23.04</v>
      </c>
      <c r="BU354" s="9">
        <f>[1]monsters!$P354</f>
        <v>3600</v>
      </c>
      <c r="BV354" s="9">
        <f>[1]monsters!$Q354</f>
        <v>360</v>
      </c>
      <c r="BW354" s="9">
        <f>[1]monsters!$R354</f>
        <v>76.8</v>
      </c>
      <c r="BX354" s="9">
        <f>[1]monsters!$S354</f>
        <v>7.68</v>
      </c>
      <c r="BY354" s="9">
        <f>[1]monsters!$K354</f>
        <v>1.8</v>
      </c>
      <c r="BZ354" s="7">
        <f>[1]monsters!$D354</f>
        <v>2</v>
      </c>
      <c r="CA354" s="7">
        <f t="shared" si="197"/>
        <v>0.1</v>
      </c>
      <c r="CB354" s="7">
        <f t="shared" si="198"/>
        <v>338.9401212121212</v>
      </c>
      <c r="CC354" s="7">
        <f t="shared" si="199"/>
        <v>33.894012121212121</v>
      </c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>
        <v>0</v>
      </c>
      <c r="CR354" s="25"/>
      <c r="CS354" s="25"/>
      <c r="CT354" s="25"/>
      <c r="CU354" s="25"/>
      <c r="CV354" s="25"/>
      <c r="CW354" s="25"/>
      <c r="DP354" s="32"/>
      <c r="DQ354" s="32"/>
      <c r="DR354" s="32"/>
      <c r="DS354" s="36"/>
      <c r="DT354" s="36"/>
      <c r="DU354" s="36"/>
      <c r="DV354" s="36"/>
      <c r="DW354" s="36"/>
      <c r="DX354" s="36"/>
      <c r="DY354" s="36"/>
      <c r="DZ354" s="36"/>
      <c r="EA354" s="25"/>
      <c r="EB354" s="19"/>
      <c r="EC354" s="16">
        <v>5201121</v>
      </c>
      <c r="ED354" s="40" t="s">
        <v>206</v>
      </c>
      <c r="EE354" s="16">
        <v>1</v>
      </c>
    </row>
    <row r="355" spans="11:135" ht="13.5" customHeight="1">
      <c r="K355" s="2"/>
      <c r="L355" s="18"/>
      <c r="O355" s="25"/>
      <c r="AI355" s="28"/>
      <c r="AJ355" s="28"/>
      <c r="AK355" s="28"/>
      <c r="AL355" s="28"/>
      <c r="AM355" s="28"/>
      <c r="AN355" s="28"/>
      <c r="AO355" s="30"/>
      <c r="AP355" s="28"/>
      <c r="AS355" s="28"/>
      <c r="AT355" s="28"/>
      <c r="AU355" s="30"/>
      <c r="AV355" s="28"/>
      <c r="AW355" s="28"/>
      <c r="AX355" s="28"/>
      <c r="AZ355" s="28"/>
      <c r="BA355" s="16" t="e">
        <f t="shared" ref="BA355:BA418" si="200">BA354+($BA$453-$BA$353)/($A$453-$A$353)</f>
        <v>#DIV/0!</v>
      </c>
      <c r="BC355" s="7" t="e">
        <f t="shared" si="196"/>
        <v>#N/A</v>
      </c>
      <c r="BR355" s="7">
        <v>5500095</v>
      </c>
      <c r="BS355" s="9">
        <f>[1]monsters!$N355</f>
        <v>259.2</v>
      </c>
      <c r="BT355" s="9">
        <f>[1]monsters!$O355</f>
        <v>25.92</v>
      </c>
      <c r="BU355" s="9">
        <f>[1]monsters!$P355</f>
        <v>3200</v>
      </c>
      <c r="BV355" s="9">
        <f>[1]monsters!$Q355</f>
        <v>320</v>
      </c>
      <c r="BW355" s="9">
        <f>[1]monsters!$R355</f>
        <v>51.84</v>
      </c>
      <c r="BX355" s="9">
        <f>[1]monsters!$S355</f>
        <v>5.18</v>
      </c>
      <c r="BY355" s="9">
        <f>[1]monsters!$K355</f>
        <v>1.8</v>
      </c>
      <c r="BZ355" s="7">
        <f>[1]monsters!$D355</f>
        <v>2</v>
      </c>
      <c r="CA355" s="7">
        <f t="shared" si="197"/>
        <v>0.1</v>
      </c>
      <c r="CB355" s="7">
        <f t="shared" si="198"/>
        <v>352.68810774410775</v>
      </c>
      <c r="CC355" s="7">
        <f t="shared" si="199"/>
        <v>35.268810774410774</v>
      </c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>
        <v>0</v>
      </c>
      <c r="CR355" s="25"/>
      <c r="CS355" s="25"/>
      <c r="CT355" s="25"/>
      <c r="CU355" s="25"/>
      <c r="CV355" s="25"/>
      <c r="CW355" s="25"/>
      <c r="DP355" s="32"/>
      <c r="DQ355" s="32"/>
      <c r="DR355" s="32"/>
      <c r="DS355" s="36"/>
      <c r="DT355" s="36"/>
      <c r="DU355" s="36"/>
      <c r="DV355" s="36"/>
      <c r="DW355" s="36"/>
      <c r="DX355" s="36"/>
      <c r="DY355" s="36"/>
      <c r="DZ355" s="36"/>
      <c r="EA355" s="25"/>
      <c r="EB355" s="19"/>
      <c r="EC355" s="16">
        <v>5202121</v>
      </c>
      <c r="ED355" s="40" t="s">
        <v>117</v>
      </c>
      <c r="EE355" s="16">
        <v>1</v>
      </c>
    </row>
    <row r="356" spans="11:135" ht="13.5" customHeight="1">
      <c r="K356" s="2"/>
      <c r="L356" s="18"/>
      <c r="O356" s="25"/>
      <c r="AI356" s="28"/>
      <c r="AJ356" s="28"/>
      <c r="AK356" s="28"/>
      <c r="AL356" s="28"/>
      <c r="AM356" s="28"/>
      <c r="AN356" s="28"/>
      <c r="AO356" s="30"/>
      <c r="AP356" s="28"/>
      <c r="AS356" s="28"/>
      <c r="AT356" s="28"/>
      <c r="AU356" s="30"/>
      <c r="AV356" s="28"/>
      <c r="AW356" s="28"/>
      <c r="AX356" s="28"/>
      <c r="AZ356" s="28"/>
      <c r="BA356" s="16" t="e">
        <f t="shared" si="200"/>
        <v>#DIV/0!</v>
      </c>
      <c r="BC356" s="7" t="e">
        <f t="shared" si="196"/>
        <v>#N/A</v>
      </c>
      <c r="BR356" s="7">
        <v>5502095</v>
      </c>
      <c r="BS356" s="9">
        <f>[1]monsters!$N356</f>
        <v>172.8</v>
      </c>
      <c r="BT356" s="9">
        <f>[1]monsters!$O356</f>
        <v>17.28</v>
      </c>
      <c r="BU356" s="9">
        <f>[1]monsters!$P356</f>
        <v>3200</v>
      </c>
      <c r="BV356" s="9">
        <f>[1]monsters!$Q356</f>
        <v>320</v>
      </c>
      <c r="BW356" s="9">
        <f>[1]monsters!$R356</f>
        <v>34.56</v>
      </c>
      <c r="BX356" s="9">
        <f>[1]monsters!$S356</f>
        <v>3.46</v>
      </c>
      <c r="BY356" s="9">
        <f>[1]monsters!$K356</f>
        <v>1.2</v>
      </c>
      <c r="BZ356" s="7">
        <f>[1]monsters!$D356</f>
        <v>3</v>
      </c>
      <c r="CA356" s="7">
        <f t="shared" si="197"/>
        <v>0.1</v>
      </c>
      <c r="CB356" s="7">
        <f t="shared" si="198"/>
        <v>271.04010774410779</v>
      </c>
      <c r="CC356" s="7">
        <f t="shared" si="199"/>
        <v>27.104010774410781</v>
      </c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>
        <v>0</v>
      </c>
      <c r="CR356" s="25"/>
      <c r="CS356" s="25"/>
      <c r="CT356" s="25"/>
      <c r="CU356" s="25"/>
      <c r="CV356" s="25"/>
      <c r="CW356" s="25"/>
      <c r="DP356" s="32"/>
      <c r="DQ356" s="32"/>
      <c r="DR356" s="32"/>
      <c r="DS356" s="36"/>
      <c r="DT356" s="36"/>
      <c r="DU356" s="36"/>
      <c r="DV356" s="36"/>
      <c r="DW356" s="36"/>
      <c r="DX356" s="36"/>
      <c r="DY356" s="36"/>
      <c r="DZ356" s="36"/>
      <c r="EA356" s="25"/>
      <c r="EB356" s="19"/>
      <c r="EC356" s="16">
        <v>5301121</v>
      </c>
      <c r="ED356" s="40" t="s">
        <v>113</v>
      </c>
      <c r="EE356" s="16">
        <v>1</v>
      </c>
    </row>
    <row r="357" spans="11:135" ht="13.5" customHeight="1">
      <c r="K357" s="2"/>
      <c r="L357" s="18"/>
      <c r="O357" s="25"/>
      <c r="AI357" s="28"/>
      <c r="AJ357" s="28"/>
      <c r="AK357" s="28"/>
      <c r="AL357" s="28"/>
      <c r="AM357" s="28"/>
      <c r="AN357" s="28"/>
      <c r="AO357" s="30"/>
      <c r="AP357" s="28"/>
      <c r="AS357" s="28"/>
      <c r="AT357" s="28"/>
      <c r="AU357" s="30"/>
      <c r="AV357" s="28"/>
      <c r="AW357" s="28"/>
      <c r="AX357" s="28"/>
      <c r="AZ357" s="28"/>
      <c r="BA357" s="16" t="e">
        <f t="shared" si="200"/>
        <v>#DIV/0!</v>
      </c>
      <c r="BC357" s="7" t="e">
        <f t="shared" si="196"/>
        <v>#N/A</v>
      </c>
      <c r="BR357" s="7">
        <v>5600095</v>
      </c>
      <c r="BS357" s="9">
        <f>[1]monsters!$N357</f>
        <v>307.2</v>
      </c>
      <c r="BT357" s="9">
        <f>[1]monsters!$O357</f>
        <v>30.72</v>
      </c>
      <c r="BU357" s="9">
        <f>[1]monsters!$P357</f>
        <v>2400</v>
      </c>
      <c r="BV357" s="9">
        <f>[1]monsters!$Q357</f>
        <v>240</v>
      </c>
      <c r="BW357" s="9">
        <f>[1]monsters!$R357</f>
        <v>43.89</v>
      </c>
      <c r="BX357" s="9">
        <f>[1]monsters!$S357</f>
        <v>4.3899999999999997</v>
      </c>
      <c r="BY357" s="9">
        <f>[1]monsters!$K357</f>
        <v>1.6</v>
      </c>
      <c r="BZ357" s="7">
        <f>[1]monsters!$D357</f>
        <v>4</v>
      </c>
      <c r="CA357" s="7">
        <f t="shared" si="197"/>
        <v>0.1</v>
      </c>
      <c r="CB357" s="7">
        <f t="shared" si="198"/>
        <v>371.11208080808086</v>
      </c>
      <c r="CC357" s="7">
        <f t="shared" si="199"/>
        <v>37.11120808080809</v>
      </c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>
        <v>0</v>
      </c>
      <c r="CR357" s="25"/>
      <c r="CS357" s="25"/>
      <c r="CT357" s="25"/>
      <c r="CU357" s="25"/>
      <c r="CV357" s="25"/>
      <c r="CW357" s="25"/>
      <c r="DP357" s="13"/>
      <c r="DQ357" s="13"/>
      <c r="DR357" s="13"/>
      <c r="DS357" s="32"/>
      <c r="DT357" s="14"/>
      <c r="DU357" s="14"/>
      <c r="DV357" s="14"/>
      <c r="DW357" s="14"/>
      <c r="DX357" s="14"/>
      <c r="DY357" s="14"/>
      <c r="DZ357" s="14"/>
      <c r="EA357" s="25"/>
      <c r="EB357" s="19"/>
      <c r="EC357" s="16">
        <v>5401121</v>
      </c>
      <c r="ED357" s="40" t="s">
        <v>123</v>
      </c>
      <c r="EE357" s="16">
        <v>2</v>
      </c>
    </row>
    <row r="358" spans="11:135" ht="13.5" customHeight="1">
      <c r="K358" s="2"/>
      <c r="O358" s="25"/>
      <c r="AI358" s="28"/>
      <c r="AJ358" s="28"/>
      <c r="AK358" s="28"/>
      <c r="AL358" s="28"/>
      <c r="AM358" s="28"/>
      <c r="AN358" s="28"/>
      <c r="AO358" s="30"/>
      <c r="AP358" s="28"/>
      <c r="AS358" s="28"/>
      <c r="AT358" s="28"/>
      <c r="AU358" s="30"/>
      <c r="AV358" s="28"/>
      <c r="AW358" s="28"/>
      <c r="AX358" s="28"/>
      <c r="AZ358" s="28"/>
      <c r="BA358" s="16" t="e">
        <f t="shared" si="200"/>
        <v>#DIV/0!</v>
      </c>
      <c r="BC358" s="7" t="e">
        <f t="shared" si="196"/>
        <v>#N/A</v>
      </c>
      <c r="BR358" s="7">
        <v>5602095</v>
      </c>
      <c r="BS358" s="9">
        <f>[1]monsters!$N358</f>
        <v>288</v>
      </c>
      <c r="BT358" s="9">
        <f>[1]monsters!$O358</f>
        <v>28.8</v>
      </c>
      <c r="BU358" s="9">
        <f>[1]monsters!$P358</f>
        <v>2400</v>
      </c>
      <c r="BV358" s="9">
        <f>[1]monsters!$Q358</f>
        <v>240</v>
      </c>
      <c r="BW358" s="9">
        <f>[1]monsters!$R358</f>
        <v>41.14</v>
      </c>
      <c r="BX358" s="9">
        <f>[1]monsters!$S358</f>
        <v>4.1100000000000003</v>
      </c>
      <c r="BY358" s="9">
        <f>[1]monsters!$K358</f>
        <v>1.5</v>
      </c>
      <c r="BZ358" s="7">
        <f>[1]monsters!$D358</f>
        <v>4</v>
      </c>
      <c r="CA358" s="7">
        <f t="shared" si="197"/>
        <v>0.1</v>
      </c>
      <c r="CB358" s="7">
        <f t="shared" si="198"/>
        <v>352.96808080808086</v>
      </c>
      <c r="CC358" s="7">
        <f t="shared" si="199"/>
        <v>35.296808080808084</v>
      </c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>
        <v>1</v>
      </c>
      <c r="CR358" s="25"/>
      <c r="CS358" s="25"/>
      <c r="CT358" s="25"/>
      <c r="CU358" s="25"/>
      <c r="CV358" s="25"/>
      <c r="CW358" s="25"/>
      <c r="DP358" s="32"/>
      <c r="DQ358" s="32"/>
      <c r="DR358" s="36"/>
      <c r="DS358" s="36"/>
      <c r="DT358" s="32"/>
      <c r="DU358" s="32"/>
      <c r="DV358" s="32"/>
      <c r="DW358" s="32"/>
      <c r="DX358" s="32"/>
      <c r="DY358" s="32"/>
      <c r="DZ358" s="32"/>
      <c r="EA358" s="25"/>
      <c r="EB358" s="19"/>
      <c r="EC358" s="16">
        <v>5402121</v>
      </c>
      <c r="ED358" s="40" t="s">
        <v>207</v>
      </c>
      <c r="EE358" s="16">
        <v>2</v>
      </c>
    </row>
    <row r="359" spans="11:135" ht="13.5" customHeight="1">
      <c r="K359" s="2"/>
      <c r="L359" s="18"/>
      <c r="O359" s="25"/>
      <c r="AI359" s="28"/>
      <c r="AJ359" s="28"/>
      <c r="AK359" s="28"/>
      <c r="AL359" s="28"/>
      <c r="AM359" s="28"/>
      <c r="AN359" s="28"/>
      <c r="AO359" s="30"/>
      <c r="AP359" s="28"/>
      <c r="AS359" s="28"/>
      <c r="AT359" s="28"/>
      <c r="AU359" s="30"/>
      <c r="AV359" s="28"/>
      <c r="AW359" s="28"/>
      <c r="AX359" s="28"/>
      <c r="AZ359" s="28"/>
      <c r="BA359" s="16" t="e">
        <f t="shared" si="200"/>
        <v>#DIV/0!</v>
      </c>
      <c r="BC359" s="7" t="e">
        <f t="shared" si="196"/>
        <v>#N/A</v>
      </c>
      <c r="BR359" s="7">
        <v>1206011</v>
      </c>
      <c r="BS359" s="9">
        <f>[1]monsters!$N359</f>
        <v>336</v>
      </c>
      <c r="BT359" s="9">
        <f>[1]monsters!$O359</f>
        <v>33.6</v>
      </c>
      <c r="BU359" s="9">
        <f>[1]monsters!$P359</f>
        <v>2057.14</v>
      </c>
      <c r="BV359" s="9">
        <f>[1]monsters!$Q359</f>
        <v>205.71</v>
      </c>
      <c r="BW359" s="9">
        <f>[1]monsters!$R359</f>
        <v>42</v>
      </c>
      <c r="BX359" s="9">
        <f>[1]monsters!$S359</f>
        <v>4.2</v>
      </c>
      <c r="BY359" s="9">
        <f>[1]monsters!$K359</f>
        <v>1.5</v>
      </c>
      <c r="BZ359" s="7">
        <f>[1]monsters!$D359</f>
        <v>5</v>
      </c>
      <c r="CA359" s="7">
        <f t="shared" si="197"/>
        <v>0.1</v>
      </c>
      <c r="CB359" s="7">
        <f t="shared" si="198"/>
        <v>386.78397306397312</v>
      </c>
      <c r="CC359" s="7">
        <f t="shared" si="199"/>
        <v>38.678397306397315</v>
      </c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>
        <v>0</v>
      </c>
      <c r="CR359" s="25"/>
      <c r="CS359" s="25"/>
      <c r="CT359" s="25"/>
      <c r="CU359" s="25"/>
      <c r="CV359" s="25"/>
      <c r="CW359" s="25"/>
      <c r="DP359" s="32"/>
      <c r="DQ359" s="32"/>
      <c r="DR359" s="32"/>
      <c r="DS359" s="14"/>
      <c r="DT359" s="14"/>
      <c r="DU359" s="14"/>
      <c r="DV359" s="14"/>
      <c r="DW359" s="14"/>
      <c r="DX359" s="14"/>
      <c r="DY359" s="14"/>
      <c r="DZ359" s="14"/>
      <c r="EA359" s="25"/>
      <c r="EB359" s="47"/>
      <c r="EC359" s="16">
        <v>5500121</v>
      </c>
      <c r="ED359" s="40" t="s">
        <v>208</v>
      </c>
      <c r="EE359" s="16">
        <v>2</v>
      </c>
    </row>
    <row r="360" spans="11:135" ht="13.5" customHeight="1">
      <c r="K360" s="2"/>
      <c r="L360" s="18"/>
      <c r="O360" s="25"/>
      <c r="AI360" s="28"/>
      <c r="AJ360" s="28"/>
      <c r="AK360" s="28"/>
      <c r="AL360" s="28"/>
      <c r="AM360" s="28"/>
      <c r="AN360" s="28"/>
      <c r="AO360" s="30"/>
      <c r="AP360" s="28"/>
      <c r="AS360" s="28"/>
      <c r="AT360" s="28"/>
      <c r="AU360" s="30"/>
      <c r="AV360" s="28"/>
      <c r="AW360" s="28"/>
      <c r="AX360" s="28"/>
      <c r="AZ360" s="28"/>
      <c r="BA360" s="16" t="e">
        <f t="shared" si="200"/>
        <v>#DIV/0!</v>
      </c>
      <c r="BC360" s="7" t="e">
        <f t="shared" si="196"/>
        <v>#N/A</v>
      </c>
      <c r="BR360" s="7">
        <v>1406011</v>
      </c>
      <c r="BS360" s="9">
        <f>[1]monsters!$N360</f>
        <v>313.60000000000002</v>
      </c>
      <c r="BT360" s="9">
        <f>[1]monsters!$O360</f>
        <v>31.36</v>
      </c>
      <c r="BU360" s="9">
        <f>[1]monsters!$P360</f>
        <v>2057.14</v>
      </c>
      <c r="BV360" s="9">
        <f>[1]monsters!$Q360</f>
        <v>205.71</v>
      </c>
      <c r="BW360" s="9">
        <f>[1]monsters!$R360</f>
        <v>39.200000000000003</v>
      </c>
      <c r="BX360" s="9">
        <f>[1]monsters!$S360</f>
        <v>3.92</v>
      </c>
      <c r="BY360" s="9">
        <f>[1]monsters!$K360</f>
        <v>1.4000000000000001</v>
      </c>
      <c r="BZ360" s="7">
        <f>[1]monsters!$D360</f>
        <v>5</v>
      </c>
      <c r="CA360" s="7">
        <f t="shared" si="197"/>
        <v>0.1</v>
      </c>
      <c r="CB360" s="7">
        <f t="shared" si="198"/>
        <v>365.61597306397312</v>
      </c>
      <c r="CC360" s="7">
        <f t="shared" si="199"/>
        <v>36.56159730639731</v>
      </c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>
        <v>0</v>
      </c>
      <c r="CR360" s="25"/>
      <c r="CS360" s="25"/>
      <c r="CT360" s="25"/>
      <c r="CU360" s="25"/>
      <c r="CV360" s="25"/>
      <c r="CW360" s="25"/>
      <c r="DP360" s="32"/>
      <c r="DQ360" s="32"/>
      <c r="DR360" s="36"/>
      <c r="DS360" s="36"/>
      <c r="DT360" s="32"/>
      <c r="DU360" s="32"/>
      <c r="DV360" s="32"/>
      <c r="DW360" s="32"/>
      <c r="DX360" s="32"/>
      <c r="DY360" s="32"/>
      <c r="DZ360" s="32"/>
      <c r="EA360" s="25"/>
      <c r="EB360" s="47"/>
      <c r="EC360" s="16">
        <v>5502121</v>
      </c>
      <c r="ED360" s="40" t="s">
        <v>130</v>
      </c>
      <c r="EE360" s="16">
        <v>2</v>
      </c>
    </row>
    <row r="361" spans="11:135" ht="13.5" customHeight="1">
      <c r="K361" s="2"/>
      <c r="L361" s="18"/>
      <c r="O361" s="25"/>
      <c r="AI361" s="28"/>
      <c r="AJ361" s="28"/>
      <c r="AK361" s="28"/>
      <c r="AL361" s="28"/>
      <c r="AM361" s="28"/>
      <c r="AN361" s="28"/>
      <c r="AO361" s="30"/>
      <c r="AP361" s="28"/>
      <c r="AS361" s="28"/>
      <c r="AT361" s="28"/>
      <c r="AU361" s="30"/>
      <c r="AV361" s="28"/>
      <c r="AW361" s="28"/>
      <c r="AX361" s="28"/>
      <c r="AZ361" s="28"/>
      <c r="BA361" s="16" t="e">
        <f t="shared" si="200"/>
        <v>#DIV/0!</v>
      </c>
      <c r="BC361" s="7" t="e">
        <f t="shared" si="196"/>
        <v>#N/A</v>
      </c>
      <c r="BR361" s="7">
        <v>1205011</v>
      </c>
      <c r="BS361" s="9">
        <f>[1]monsters!$N361</f>
        <v>372</v>
      </c>
      <c r="BT361" s="9">
        <f>[1]monsters!$O361</f>
        <v>37.200000000000003</v>
      </c>
      <c r="BU361" s="9">
        <f>[1]monsters!$P361</f>
        <v>1858.06</v>
      </c>
      <c r="BV361" s="9">
        <f>[1]monsters!$Q361</f>
        <v>185.81</v>
      </c>
      <c r="BW361" s="9">
        <f>[1]monsters!$R361</f>
        <v>37.200000000000003</v>
      </c>
      <c r="BX361" s="9">
        <f>[1]monsters!$S361</f>
        <v>3.72</v>
      </c>
      <c r="BY361" s="9">
        <f>[1]monsters!$K361</f>
        <v>1.5</v>
      </c>
      <c r="BZ361" s="7">
        <f>[1]monsters!$D361</f>
        <v>6</v>
      </c>
      <c r="CA361" s="7">
        <f t="shared" si="197"/>
        <v>0.1</v>
      </c>
      <c r="CB361" s="7">
        <f t="shared" si="198"/>
        <v>414.10094276094276</v>
      </c>
      <c r="CC361" s="7">
        <f t="shared" si="199"/>
        <v>41.410094276094277</v>
      </c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>
        <v>0</v>
      </c>
      <c r="CR361" s="25"/>
      <c r="CS361" s="25"/>
      <c r="CT361" s="25"/>
      <c r="CU361" s="25"/>
      <c r="CV361" s="25"/>
      <c r="CW361" s="25"/>
      <c r="DP361" s="32"/>
      <c r="DQ361" s="32"/>
      <c r="DR361" s="36"/>
      <c r="DS361" s="36"/>
      <c r="DT361" s="36"/>
      <c r="DU361" s="36"/>
      <c r="DV361" s="36"/>
      <c r="DW361" s="36"/>
      <c r="DX361" s="36"/>
      <c r="DY361" s="36"/>
      <c r="DZ361" s="36"/>
      <c r="EA361" s="25"/>
      <c r="EB361" s="47"/>
      <c r="EC361" s="16">
        <v>5601121</v>
      </c>
      <c r="ED361" s="40" t="s">
        <v>209</v>
      </c>
      <c r="EE361" s="16">
        <v>2</v>
      </c>
    </row>
    <row r="362" spans="11:135" ht="13.5" customHeight="1">
      <c r="K362" s="2"/>
      <c r="L362" s="18"/>
      <c r="O362" s="25"/>
      <c r="AI362" s="28"/>
      <c r="AJ362" s="28"/>
      <c r="AK362" s="28"/>
      <c r="AL362" s="28"/>
      <c r="AM362" s="28"/>
      <c r="AN362" s="28"/>
      <c r="AO362" s="30"/>
      <c r="AP362" s="28"/>
      <c r="AS362" s="28"/>
      <c r="AT362" s="28"/>
      <c r="AU362" s="30"/>
      <c r="AV362" s="28"/>
      <c r="AW362" s="28"/>
      <c r="AX362" s="28"/>
      <c r="AZ362" s="28"/>
      <c r="BA362" s="16" t="e">
        <f t="shared" si="200"/>
        <v>#DIV/0!</v>
      </c>
      <c r="BC362" s="7" t="e">
        <f t="shared" si="196"/>
        <v>#N/A</v>
      </c>
      <c r="BR362" s="7">
        <v>1405011</v>
      </c>
      <c r="BS362" s="9">
        <f>[1]monsters!$N362</f>
        <v>240</v>
      </c>
      <c r="BT362" s="9">
        <f>[1]monsters!$O362</f>
        <v>24</v>
      </c>
      <c r="BU362" s="9">
        <f>[1]monsters!$P362</f>
        <v>2880</v>
      </c>
      <c r="BV362" s="9">
        <f>[1]monsters!$Q362</f>
        <v>288</v>
      </c>
      <c r="BW362" s="9">
        <f>[1]monsters!$R362</f>
        <v>60</v>
      </c>
      <c r="BX362" s="9">
        <f>[1]monsters!$S362</f>
        <v>6</v>
      </c>
      <c r="BY362" s="9">
        <f>[1]monsters!$K362</f>
        <v>1.5</v>
      </c>
      <c r="BZ362" s="7">
        <f>[1]monsters!$D362</f>
        <v>2</v>
      </c>
      <c r="CA362" s="7">
        <f t="shared" si="197"/>
        <v>0.1</v>
      </c>
      <c r="CB362" s="7">
        <f t="shared" si="198"/>
        <v>323.76969696969695</v>
      </c>
      <c r="CC362" s="7">
        <f t="shared" si="199"/>
        <v>32.376969696969695</v>
      </c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>
        <v>0</v>
      </c>
      <c r="CR362" s="25"/>
      <c r="CS362" s="25"/>
      <c r="CT362" s="25"/>
      <c r="CU362" s="25"/>
      <c r="CV362" s="25"/>
      <c r="CW362" s="25"/>
      <c r="DP362" s="32"/>
      <c r="DQ362" s="36"/>
      <c r="DR362" s="32"/>
      <c r="DS362" s="36"/>
      <c r="DT362" s="36"/>
      <c r="DU362" s="14"/>
      <c r="DV362" s="14"/>
      <c r="DW362" s="14"/>
      <c r="DX362" s="14"/>
      <c r="DY362" s="14"/>
      <c r="DZ362" s="14"/>
      <c r="EA362" s="25"/>
      <c r="EB362" s="48"/>
      <c r="EC362" s="16">
        <v>5200122</v>
      </c>
      <c r="ED362" s="40" t="s">
        <v>210</v>
      </c>
      <c r="EE362" s="16">
        <v>1</v>
      </c>
    </row>
    <row r="363" spans="11:135" ht="13.5" customHeight="1">
      <c r="K363" s="2"/>
      <c r="O363" s="25"/>
      <c r="AI363" s="28"/>
      <c r="AJ363" s="28"/>
      <c r="AK363" s="28"/>
      <c r="AL363" s="28"/>
      <c r="AM363" s="28"/>
      <c r="AN363" s="28"/>
      <c r="AO363" s="30"/>
      <c r="AP363" s="28"/>
      <c r="AS363" s="28"/>
      <c r="AT363" s="28"/>
      <c r="AU363" s="30"/>
      <c r="AV363" s="28"/>
      <c r="AW363" s="28"/>
      <c r="AX363" s="28"/>
      <c r="AZ363" s="28"/>
      <c r="BA363" s="16" t="e">
        <f t="shared" si="200"/>
        <v>#DIV/0!</v>
      </c>
      <c r="BC363" s="7" t="e">
        <f t="shared" si="196"/>
        <v>#N/A</v>
      </c>
      <c r="BR363" s="7">
        <v>1203011</v>
      </c>
      <c r="BS363" s="9">
        <f>[1]monsters!$N363</f>
        <v>230.4</v>
      </c>
      <c r="BT363" s="9">
        <f>[1]monsters!$O363</f>
        <v>23.04</v>
      </c>
      <c r="BU363" s="9">
        <f>[1]monsters!$P363</f>
        <v>3600</v>
      </c>
      <c r="BV363" s="9">
        <f>[1]monsters!$Q363</f>
        <v>360</v>
      </c>
      <c r="BW363" s="9">
        <f>[1]monsters!$R363</f>
        <v>76.8</v>
      </c>
      <c r="BX363" s="9">
        <f>[1]monsters!$S363</f>
        <v>7.68</v>
      </c>
      <c r="BY363" s="9">
        <f>[1]monsters!$K363</f>
        <v>1.8</v>
      </c>
      <c r="BZ363" s="7">
        <f>[1]monsters!$D363</f>
        <v>2</v>
      </c>
      <c r="CA363" s="7">
        <f t="shared" si="197"/>
        <v>0.1</v>
      </c>
      <c r="CB363" s="7">
        <f t="shared" si="198"/>
        <v>338.9401212121212</v>
      </c>
      <c r="CC363" s="7">
        <f t="shared" si="199"/>
        <v>33.894012121212121</v>
      </c>
      <c r="CD363" s="7"/>
      <c r="CE363" s="7"/>
      <c r="CF363" s="7"/>
      <c r="CG363" s="7"/>
      <c r="CH363" s="7"/>
      <c r="CI363" s="7"/>
      <c r="CJ363" s="7"/>
      <c r="CK363" s="7"/>
      <c r="CL363" s="7"/>
      <c r="CM363" s="7"/>
      <c r="CN363" s="7"/>
      <c r="CO363" s="7"/>
      <c r="CP363" s="7">
        <v>1</v>
      </c>
      <c r="CR363" s="25"/>
      <c r="CS363" s="25"/>
      <c r="CT363" s="25"/>
      <c r="CU363" s="25"/>
      <c r="CV363" s="25"/>
      <c r="CW363" s="25"/>
      <c r="DP363" s="32"/>
      <c r="DQ363" s="32"/>
      <c r="DR363" s="32"/>
      <c r="DS363" s="36"/>
      <c r="DT363" s="36"/>
      <c r="DU363" s="36"/>
      <c r="DV363" s="36"/>
      <c r="DW363" s="36"/>
      <c r="DX363" s="36"/>
      <c r="DY363" s="36"/>
      <c r="DZ363" s="36"/>
      <c r="EA363" s="25"/>
      <c r="EB363" s="47"/>
      <c r="EC363" s="16">
        <v>5201122</v>
      </c>
      <c r="ED363" s="40" t="s">
        <v>120</v>
      </c>
      <c r="EE363" s="16">
        <v>1</v>
      </c>
    </row>
    <row r="364" spans="11:135" ht="13.5" customHeight="1">
      <c r="K364" s="2"/>
      <c r="L364" s="18"/>
      <c r="O364" s="25"/>
      <c r="AI364" s="28"/>
      <c r="AJ364" s="28"/>
      <c r="AK364" s="28"/>
      <c r="AL364" s="28"/>
      <c r="AM364" s="28"/>
      <c r="AN364" s="28"/>
      <c r="AO364" s="30"/>
      <c r="AP364" s="28"/>
      <c r="AS364" s="28"/>
      <c r="AT364" s="28"/>
      <c r="AU364" s="30"/>
      <c r="AV364" s="28"/>
      <c r="AW364" s="28"/>
      <c r="AX364" s="28"/>
      <c r="AZ364" s="28"/>
      <c r="BA364" s="16" t="e">
        <f t="shared" si="200"/>
        <v>#DIV/0!</v>
      </c>
      <c r="BC364" s="7" t="e">
        <f t="shared" si="196"/>
        <v>#N/A</v>
      </c>
      <c r="BR364" s="7">
        <v>1403011</v>
      </c>
      <c r="BS364" s="9">
        <f>[1]monsters!$N364</f>
        <v>259.2</v>
      </c>
      <c r="BT364" s="9">
        <f>[1]monsters!$O364</f>
        <v>25.92</v>
      </c>
      <c r="BU364" s="9">
        <f>[1]monsters!$P364</f>
        <v>3200</v>
      </c>
      <c r="BV364" s="9">
        <f>[1]monsters!$Q364</f>
        <v>320</v>
      </c>
      <c r="BW364" s="9">
        <f>[1]monsters!$R364</f>
        <v>51.84</v>
      </c>
      <c r="BX364" s="9">
        <f>[1]monsters!$S364</f>
        <v>5.18</v>
      </c>
      <c r="BY364" s="9">
        <f>[1]monsters!$K364</f>
        <v>1.8</v>
      </c>
      <c r="BZ364" s="7">
        <f>[1]monsters!$D364</f>
        <v>2</v>
      </c>
      <c r="CA364" s="7">
        <f t="shared" si="197"/>
        <v>0.1</v>
      </c>
      <c r="CB364" s="7">
        <f t="shared" si="198"/>
        <v>352.68810774410775</v>
      </c>
      <c r="CC364" s="7">
        <f t="shared" si="199"/>
        <v>35.268810774410774</v>
      </c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>
        <v>0</v>
      </c>
      <c r="CR364" s="25"/>
      <c r="CS364" s="25"/>
      <c r="CT364" s="25"/>
      <c r="CU364" s="25"/>
      <c r="CV364" s="25"/>
      <c r="CW364" s="25"/>
      <c r="DP364" s="32"/>
      <c r="DQ364" s="32"/>
      <c r="DR364" s="32"/>
      <c r="DS364" s="32"/>
      <c r="DT364" s="32"/>
      <c r="DU364" s="32"/>
      <c r="DV364" s="32"/>
      <c r="DW364" s="32"/>
      <c r="DX364" s="32"/>
      <c r="DY364" s="32"/>
      <c r="DZ364" s="32"/>
      <c r="EA364" s="25"/>
      <c r="EB364" s="47"/>
      <c r="EC364" s="16">
        <v>5202122</v>
      </c>
      <c r="ED364" s="40" t="s">
        <v>211</v>
      </c>
      <c r="EE364" s="16">
        <v>1</v>
      </c>
    </row>
    <row r="365" spans="11:135" ht="13.5" customHeight="1">
      <c r="K365" s="2"/>
      <c r="L365" s="18"/>
      <c r="O365" s="25"/>
      <c r="AI365" s="28"/>
      <c r="AJ365" s="28"/>
      <c r="AK365" s="28"/>
      <c r="AL365" s="28"/>
      <c r="AM365" s="28"/>
      <c r="AN365" s="28"/>
      <c r="AO365" s="30"/>
      <c r="AP365" s="28"/>
      <c r="AS365" s="28"/>
      <c r="AT365" s="28"/>
      <c r="AU365" s="30"/>
      <c r="AV365" s="28"/>
      <c r="AW365" s="28"/>
      <c r="AX365" s="28"/>
      <c r="AZ365" s="28"/>
      <c r="BA365" s="16" t="e">
        <f t="shared" si="200"/>
        <v>#DIV/0!</v>
      </c>
      <c r="BC365" s="7" t="e">
        <f t="shared" si="196"/>
        <v>#N/A</v>
      </c>
      <c r="BR365" s="7">
        <v>1204011</v>
      </c>
      <c r="BS365" s="9">
        <f>[1]monsters!$N365</f>
        <v>172.8</v>
      </c>
      <c r="BT365" s="9">
        <f>[1]monsters!$O365</f>
        <v>17.28</v>
      </c>
      <c r="BU365" s="9">
        <f>[1]monsters!$P365</f>
        <v>3200</v>
      </c>
      <c r="BV365" s="9">
        <f>[1]monsters!$Q365</f>
        <v>320</v>
      </c>
      <c r="BW365" s="9">
        <f>[1]monsters!$R365</f>
        <v>34.56</v>
      </c>
      <c r="BX365" s="9">
        <f>[1]monsters!$S365</f>
        <v>3.46</v>
      </c>
      <c r="BY365" s="9">
        <f>[1]monsters!$K365</f>
        <v>1.2</v>
      </c>
      <c r="BZ365" s="7">
        <f>[1]monsters!$D365</f>
        <v>3</v>
      </c>
      <c r="CA365" s="7">
        <f t="shared" si="197"/>
        <v>0.1</v>
      </c>
      <c r="CB365" s="7">
        <f t="shared" si="198"/>
        <v>271.04010774410779</v>
      </c>
      <c r="CC365" s="7">
        <f t="shared" si="199"/>
        <v>27.104010774410781</v>
      </c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>
        <v>0</v>
      </c>
      <c r="CR365" s="25"/>
      <c r="CS365" s="25"/>
      <c r="CT365" s="25"/>
      <c r="CU365" s="25"/>
      <c r="CV365" s="25"/>
      <c r="CW365" s="25"/>
      <c r="DP365" s="32"/>
      <c r="DQ365" s="32"/>
      <c r="DR365" s="32"/>
      <c r="DS365" s="32"/>
      <c r="DT365" s="32"/>
      <c r="DU365" s="32"/>
      <c r="DV365" s="32"/>
      <c r="DW365" s="32"/>
      <c r="DX365" s="32"/>
      <c r="DY365" s="32"/>
      <c r="DZ365" s="32"/>
      <c r="EA365" s="25"/>
      <c r="EB365" s="47"/>
      <c r="EC365" s="16">
        <v>5301122</v>
      </c>
      <c r="ED365" s="40" t="s">
        <v>212</v>
      </c>
      <c r="EE365" s="16">
        <v>1</v>
      </c>
    </row>
    <row r="366" spans="11:135" ht="13.5" customHeight="1">
      <c r="K366" s="2"/>
      <c r="L366" s="18"/>
      <c r="O366" s="25"/>
      <c r="AI366" s="28"/>
      <c r="AJ366" s="28"/>
      <c r="AK366" s="28"/>
      <c r="AL366" s="28"/>
      <c r="AM366" s="28"/>
      <c r="AN366" s="28"/>
      <c r="AO366" s="30"/>
      <c r="AP366" s="28"/>
      <c r="AS366" s="28"/>
      <c r="AT366" s="28"/>
      <c r="AU366" s="30"/>
      <c r="AV366" s="28"/>
      <c r="AW366" s="28"/>
      <c r="AX366" s="28"/>
      <c r="AZ366" s="28"/>
      <c r="BA366" s="16" t="e">
        <f t="shared" si="200"/>
        <v>#DIV/0!</v>
      </c>
      <c r="BC366" s="7" t="e">
        <f t="shared" si="196"/>
        <v>#N/A</v>
      </c>
      <c r="BR366" s="7">
        <v>1404011</v>
      </c>
      <c r="BS366" s="9">
        <f>[1]monsters!$N366</f>
        <v>307.2</v>
      </c>
      <c r="BT366" s="9">
        <f>[1]monsters!$O366</f>
        <v>30.72</v>
      </c>
      <c r="BU366" s="9">
        <f>[1]monsters!$P366</f>
        <v>2400</v>
      </c>
      <c r="BV366" s="9">
        <f>[1]monsters!$Q366</f>
        <v>240</v>
      </c>
      <c r="BW366" s="9">
        <f>[1]monsters!$R366</f>
        <v>43.89</v>
      </c>
      <c r="BX366" s="9">
        <f>[1]monsters!$S366</f>
        <v>4.3899999999999997</v>
      </c>
      <c r="BY366" s="9">
        <f>[1]monsters!$K366</f>
        <v>1.6</v>
      </c>
      <c r="BZ366" s="7">
        <f>[1]monsters!$D366</f>
        <v>4</v>
      </c>
      <c r="CA366" s="7">
        <f t="shared" si="197"/>
        <v>0.1</v>
      </c>
      <c r="CB366" s="7">
        <f t="shared" si="198"/>
        <v>371.11208080808086</v>
      </c>
      <c r="CC366" s="7">
        <f t="shared" si="199"/>
        <v>37.11120808080809</v>
      </c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>
        <v>0</v>
      </c>
      <c r="CR366" s="25"/>
      <c r="CS366" s="25"/>
      <c r="CT366" s="25"/>
      <c r="CU366" s="25"/>
      <c r="CV366" s="25"/>
      <c r="CW366" s="25"/>
      <c r="DP366" s="32"/>
      <c r="DQ366" s="32"/>
      <c r="DR366" s="32"/>
      <c r="DS366" s="32"/>
      <c r="DT366" s="32"/>
      <c r="DU366" s="32"/>
      <c r="DV366" s="32"/>
      <c r="DW366" s="32"/>
      <c r="DX366" s="32"/>
      <c r="DY366" s="32"/>
      <c r="DZ366" s="32"/>
      <c r="EA366" s="25"/>
      <c r="EB366" s="48"/>
      <c r="EC366" s="16">
        <v>5401122</v>
      </c>
      <c r="ED366" s="40" t="s">
        <v>213</v>
      </c>
      <c r="EE366" s="16">
        <v>2</v>
      </c>
    </row>
    <row r="367" spans="11:135" ht="13.5" customHeight="1">
      <c r="K367" s="2"/>
      <c r="L367" s="18"/>
      <c r="O367" s="25"/>
      <c r="AI367" s="28"/>
      <c r="AJ367" s="28"/>
      <c r="AK367" s="28"/>
      <c r="AL367" s="28"/>
      <c r="AM367" s="28"/>
      <c r="AN367" s="28"/>
      <c r="AO367" s="30"/>
      <c r="AP367" s="28"/>
      <c r="AS367" s="28"/>
      <c r="AT367" s="28"/>
      <c r="AU367" s="30"/>
      <c r="AV367" s="28"/>
      <c r="AW367" s="28"/>
      <c r="AX367" s="28"/>
      <c r="AZ367" s="28"/>
      <c r="BA367" s="16" t="e">
        <f t="shared" si="200"/>
        <v>#DIV/0!</v>
      </c>
      <c r="BC367" s="7" t="e">
        <f t="shared" si="196"/>
        <v>#N/A</v>
      </c>
      <c r="BR367" s="7">
        <v>1303011</v>
      </c>
      <c r="BS367" s="9">
        <f>[1]monsters!$N367</f>
        <v>288</v>
      </c>
      <c r="BT367" s="9">
        <f>[1]monsters!$O367</f>
        <v>28.8</v>
      </c>
      <c r="BU367" s="9">
        <f>[1]monsters!$P367</f>
        <v>2400</v>
      </c>
      <c r="BV367" s="9">
        <f>[1]monsters!$Q367</f>
        <v>240</v>
      </c>
      <c r="BW367" s="9">
        <f>[1]monsters!$R367</f>
        <v>41.14</v>
      </c>
      <c r="BX367" s="9">
        <f>[1]monsters!$S367</f>
        <v>4.1100000000000003</v>
      </c>
      <c r="BY367" s="9">
        <f>[1]monsters!$K367</f>
        <v>1.5</v>
      </c>
      <c r="BZ367" s="7">
        <f>[1]monsters!$D367</f>
        <v>4</v>
      </c>
      <c r="CA367" s="7">
        <f t="shared" si="197"/>
        <v>0.1</v>
      </c>
      <c r="CB367" s="7">
        <f t="shared" si="198"/>
        <v>352.96808080808086</v>
      </c>
      <c r="CC367" s="7">
        <f t="shared" si="199"/>
        <v>35.296808080808084</v>
      </c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>
        <v>0</v>
      </c>
      <c r="CR367" s="25"/>
      <c r="CS367" s="25"/>
      <c r="CT367" s="25"/>
      <c r="CU367" s="25"/>
      <c r="CV367" s="25"/>
      <c r="CW367" s="25"/>
      <c r="DP367" s="32"/>
      <c r="DQ367" s="32"/>
      <c r="DR367" s="32"/>
      <c r="DS367" s="32"/>
      <c r="DT367" s="32"/>
      <c r="DU367" s="32"/>
      <c r="DV367" s="32"/>
      <c r="DW367" s="32"/>
      <c r="DX367" s="32"/>
      <c r="DY367" s="32"/>
      <c r="DZ367" s="32"/>
      <c r="EA367" s="25"/>
      <c r="EB367" s="47"/>
      <c r="EC367" s="16">
        <v>5402122</v>
      </c>
      <c r="ED367" s="40" t="s">
        <v>214</v>
      </c>
      <c r="EE367" s="16">
        <v>2</v>
      </c>
    </row>
    <row r="368" spans="11:135" ht="13.5" customHeight="1">
      <c r="K368" s="2"/>
      <c r="O368" s="25"/>
      <c r="AI368" s="28"/>
      <c r="AJ368" s="28"/>
      <c r="AK368" s="28"/>
      <c r="AL368" s="28"/>
      <c r="AM368" s="28"/>
      <c r="AN368" s="28"/>
      <c r="AO368" s="30"/>
      <c r="AP368" s="28"/>
      <c r="AS368" s="28"/>
      <c r="AT368" s="28"/>
      <c r="AU368" s="30"/>
      <c r="AV368" s="28"/>
      <c r="AW368" s="28"/>
      <c r="AX368" s="28"/>
      <c r="AZ368" s="28"/>
      <c r="BA368" s="16" t="e">
        <f t="shared" si="200"/>
        <v>#DIV/0!</v>
      </c>
      <c r="BC368" s="7" t="e">
        <f t="shared" si="196"/>
        <v>#N/A</v>
      </c>
      <c r="BR368" s="7">
        <v>1304011</v>
      </c>
      <c r="BS368" s="9">
        <f>[1]monsters!$N368</f>
        <v>336</v>
      </c>
      <c r="BT368" s="9">
        <f>[1]monsters!$O368</f>
        <v>33.6</v>
      </c>
      <c r="BU368" s="9">
        <f>[1]monsters!$P368</f>
        <v>2057.14</v>
      </c>
      <c r="BV368" s="9">
        <f>[1]monsters!$Q368</f>
        <v>205.71</v>
      </c>
      <c r="BW368" s="9">
        <f>[1]monsters!$R368</f>
        <v>42</v>
      </c>
      <c r="BX368" s="9">
        <f>[1]monsters!$S368</f>
        <v>4.2</v>
      </c>
      <c r="BY368" s="9">
        <f>[1]monsters!$K368</f>
        <v>1.5</v>
      </c>
      <c r="BZ368" s="7">
        <f>[1]monsters!$D368</f>
        <v>5</v>
      </c>
      <c r="CA368" s="7">
        <f t="shared" si="197"/>
        <v>0.1</v>
      </c>
      <c r="CB368" s="7">
        <f t="shared" si="198"/>
        <v>386.78397306397312</v>
      </c>
      <c r="CC368" s="7">
        <f t="shared" si="199"/>
        <v>38.678397306397315</v>
      </c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>
        <v>1</v>
      </c>
      <c r="CR368" s="25"/>
      <c r="CS368" s="25"/>
      <c r="CT368" s="25"/>
      <c r="CU368" s="25"/>
      <c r="CV368" s="25"/>
      <c r="CW368" s="25"/>
      <c r="DP368" s="32"/>
      <c r="DQ368" s="32"/>
      <c r="DR368" s="32"/>
      <c r="DS368" s="32"/>
      <c r="DT368" s="32"/>
      <c r="DU368" s="32"/>
      <c r="DV368" s="32"/>
      <c r="DW368" s="32"/>
      <c r="DX368" s="32"/>
      <c r="DY368" s="32"/>
      <c r="DZ368" s="32"/>
      <c r="EA368" s="25"/>
      <c r="EB368" s="47"/>
      <c r="EC368" s="16">
        <v>5500122</v>
      </c>
      <c r="ED368" s="40" t="s">
        <v>115</v>
      </c>
      <c r="EE368" s="16">
        <v>2</v>
      </c>
    </row>
    <row r="369" spans="11:135" ht="13.5" customHeight="1">
      <c r="K369" s="2"/>
      <c r="L369" s="18"/>
      <c r="O369" s="25"/>
      <c r="AI369" s="28"/>
      <c r="AJ369" s="28"/>
      <c r="AK369" s="28"/>
      <c r="AL369" s="28"/>
      <c r="AM369" s="28"/>
      <c r="AN369" s="28"/>
      <c r="AO369" s="30"/>
      <c r="AP369" s="28"/>
      <c r="AS369" s="28"/>
      <c r="AT369" s="28"/>
      <c r="AU369" s="30"/>
      <c r="AV369" s="28"/>
      <c r="AW369" s="28"/>
      <c r="AX369" s="28"/>
      <c r="AZ369" s="28"/>
      <c r="BA369" s="16" t="e">
        <f t="shared" si="200"/>
        <v>#DIV/0!</v>
      </c>
      <c r="BC369" s="7" t="e">
        <f t="shared" si="196"/>
        <v>#N/A</v>
      </c>
      <c r="BR369" s="7">
        <v>1503011</v>
      </c>
      <c r="BS369" s="9">
        <f>[1]monsters!$N369</f>
        <v>313.60000000000002</v>
      </c>
      <c r="BT369" s="9">
        <f>[1]monsters!$O369</f>
        <v>31.36</v>
      </c>
      <c r="BU369" s="9">
        <f>[1]monsters!$P369</f>
        <v>2057.14</v>
      </c>
      <c r="BV369" s="9">
        <f>[1]monsters!$Q369</f>
        <v>205.71</v>
      </c>
      <c r="BW369" s="9">
        <f>[1]monsters!$R369</f>
        <v>39.200000000000003</v>
      </c>
      <c r="BX369" s="9">
        <f>[1]monsters!$S369</f>
        <v>3.92</v>
      </c>
      <c r="BY369" s="9">
        <f>[1]monsters!$K369</f>
        <v>1.4000000000000001</v>
      </c>
      <c r="BZ369" s="7">
        <f>[1]monsters!$D369</f>
        <v>5</v>
      </c>
      <c r="CA369" s="7">
        <f t="shared" si="197"/>
        <v>0.1</v>
      </c>
      <c r="CB369" s="7">
        <f t="shared" si="198"/>
        <v>365.61597306397312</v>
      </c>
      <c r="CC369" s="7">
        <f t="shared" si="199"/>
        <v>36.56159730639731</v>
      </c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>
        <v>0</v>
      </c>
      <c r="CR369" s="25"/>
      <c r="CS369" s="25"/>
      <c r="CT369" s="25"/>
      <c r="CU369" s="25"/>
      <c r="CV369" s="25"/>
      <c r="CW369" s="25"/>
      <c r="DP369" s="32"/>
      <c r="DQ369" s="32"/>
      <c r="DR369" s="32"/>
      <c r="DS369" s="32"/>
      <c r="DT369" s="32"/>
      <c r="DU369" s="32"/>
      <c r="DV369" s="32"/>
      <c r="DW369" s="32"/>
      <c r="DX369" s="32"/>
      <c r="DY369" s="32"/>
      <c r="DZ369" s="32"/>
      <c r="EA369" s="25"/>
      <c r="EB369" s="48"/>
      <c r="EC369" s="16">
        <v>5502122</v>
      </c>
      <c r="ED369" s="40" t="s">
        <v>215</v>
      </c>
      <c r="EE369" s="16">
        <v>2</v>
      </c>
    </row>
    <row r="370" spans="11:135" ht="13.5" customHeight="1">
      <c r="K370" s="2"/>
      <c r="L370" s="18"/>
      <c r="O370" s="25"/>
      <c r="AI370" s="28"/>
      <c r="AJ370" s="28"/>
      <c r="AK370" s="28"/>
      <c r="AL370" s="28"/>
      <c r="AM370" s="28"/>
      <c r="AN370" s="28"/>
      <c r="AO370" s="30"/>
      <c r="AP370" s="28"/>
      <c r="AS370" s="28"/>
      <c r="AT370" s="28"/>
      <c r="AU370" s="30"/>
      <c r="AV370" s="28"/>
      <c r="AW370" s="28"/>
      <c r="AX370" s="28"/>
      <c r="AZ370" s="28"/>
      <c r="BA370" s="16" t="e">
        <f t="shared" si="200"/>
        <v>#DIV/0!</v>
      </c>
      <c r="BC370" s="7" t="e">
        <f t="shared" si="196"/>
        <v>#N/A</v>
      </c>
      <c r="BR370" s="7">
        <v>1504011</v>
      </c>
      <c r="BS370" s="9">
        <f>[1]monsters!$N370</f>
        <v>372</v>
      </c>
      <c r="BT370" s="9">
        <f>[1]monsters!$O370</f>
        <v>37.200000000000003</v>
      </c>
      <c r="BU370" s="9">
        <f>[1]monsters!$P370</f>
        <v>1858.06</v>
      </c>
      <c r="BV370" s="9">
        <f>[1]monsters!$Q370</f>
        <v>185.81</v>
      </c>
      <c r="BW370" s="9">
        <f>[1]monsters!$R370</f>
        <v>37.200000000000003</v>
      </c>
      <c r="BX370" s="9">
        <f>[1]monsters!$S370</f>
        <v>3.72</v>
      </c>
      <c r="BY370" s="9">
        <f>[1]monsters!$K370</f>
        <v>1.5</v>
      </c>
      <c r="BZ370" s="7">
        <f>[1]monsters!$D370</f>
        <v>6</v>
      </c>
      <c r="CA370" s="7">
        <f t="shared" si="197"/>
        <v>0.1</v>
      </c>
      <c r="CB370" s="7">
        <f t="shared" si="198"/>
        <v>414.10094276094276</v>
      </c>
      <c r="CC370" s="7">
        <f t="shared" si="199"/>
        <v>41.410094276094277</v>
      </c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>
        <v>0</v>
      </c>
      <c r="CR370" s="25"/>
      <c r="CS370" s="25"/>
      <c r="CT370" s="25"/>
      <c r="CU370" s="25"/>
      <c r="CV370" s="25"/>
      <c r="CW370" s="25"/>
      <c r="DP370" s="13"/>
      <c r="DQ370" s="13"/>
      <c r="DR370" s="13"/>
      <c r="DS370" s="32"/>
      <c r="DT370" s="32"/>
      <c r="DU370" s="32"/>
      <c r="DV370" s="32"/>
      <c r="DW370" s="32"/>
      <c r="DX370" s="32"/>
      <c r="DY370" s="32"/>
      <c r="DZ370" s="32"/>
      <c r="EA370" s="25"/>
      <c r="EB370" s="47"/>
      <c r="EC370" s="16">
        <v>5601122</v>
      </c>
      <c r="ED370" s="40" t="s">
        <v>216</v>
      </c>
      <c r="EE370" s="16">
        <v>2</v>
      </c>
    </row>
    <row r="371" spans="11:135" ht="13.5" customHeight="1">
      <c r="K371" s="2"/>
      <c r="L371" s="18"/>
      <c r="O371" s="25"/>
      <c r="AI371" s="28"/>
      <c r="AJ371" s="28"/>
      <c r="AK371" s="28"/>
      <c r="AL371" s="28"/>
      <c r="AM371" s="28"/>
      <c r="AN371" s="28"/>
      <c r="AO371" s="30"/>
      <c r="AP371" s="28"/>
      <c r="AS371" s="28"/>
      <c r="AT371" s="28"/>
      <c r="AU371" s="30"/>
      <c r="AV371" s="28"/>
      <c r="AW371" s="28"/>
      <c r="AX371" s="28"/>
      <c r="AZ371" s="28"/>
      <c r="BA371" s="16" t="e">
        <f t="shared" si="200"/>
        <v>#DIV/0!</v>
      </c>
      <c r="BC371" s="7" t="e">
        <f t="shared" si="196"/>
        <v>#N/A</v>
      </c>
      <c r="BR371" s="7">
        <v>1101011</v>
      </c>
      <c r="BS371" s="9">
        <f>[1]monsters!$N371</f>
        <v>240</v>
      </c>
      <c r="BT371" s="9">
        <f>[1]monsters!$O371</f>
        <v>24</v>
      </c>
      <c r="BU371" s="9">
        <f>[1]monsters!$P371</f>
        <v>2880</v>
      </c>
      <c r="BV371" s="9">
        <f>[1]monsters!$Q371</f>
        <v>288</v>
      </c>
      <c r="BW371" s="9">
        <f>[1]monsters!$R371</f>
        <v>60</v>
      </c>
      <c r="BX371" s="9">
        <f>[1]monsters!$S371</f>
        <v>6</v>
      </c>
      <c r="BY371" s="9">
        <f>[1]monsters!$K371</f>
        <v>1.5</v>
      </c>
      <c r="BZ371" s="7">
        <f>[1]monsters!$D371</f>
        <v>2</v>
      </c>
      <c r="CA371" s="7">
        <f t="shared" si="197"/>
        <v>0.1</v>
      </c>
      <c r="CB371" s="7">
        <f t="shared" si="198"/>
        <v>323.76969696969695</v>
      </c>
      <c r="CC371" s="7">
        <f t="shared" si="199"/>
        <v>32.376969696969695</v>
      </c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>
        <v>0</v>
      </c>
      <c r="CR371" s="25"/>
      <c r="CS371" s="25"/>
      <c r="CT371" s="25"/>
      <c r="CU371" s="25"/>
      <c r="CV371" s="25"/>
      <c r="CW371" s="25"/>
      <c r="DP371" s="32"/>
      <c r="DQ371" s="32"/>
      <c r="DR371" s="32"/>
      <c r="DS371" s="32"/>
      <c r="DT371" s="32"/>
      <c r="DU371" s="32"/>
      <c r="DV371" s="32"/>
      <c r="DW371" s="32"/>
      <c r="DX371" s="32"/>
      <c r="DY371" s="32"/>
      <c r="DZ371" s="32"/>
      <c r="EA371" s="25"/>
      <c r="EB371" s="47"/>
      <c r="EC371" s="16">
        <v>5200123</v>
      </c>
      <c r="ED371" s="40" t="s">
        <v>119</v>
      </c>
      <c r="EE371" s="16">
        <v>1</v>
      </c>
    </row>
    <row r="372" spans="11:135" ht="13.5" customHeight="1">
      <c r="K372" s="2"/>
      <c r="L372" s="18"/>
      <c r="O372" s="25"/>
      <c r="AI372" s="28"/>
      <c r="AJ372" s="28"/>
      <c r="AK372" s="28"/>
      <c r="AL372" s="28"/>
      <c r="AM372" s="28"/>
      <c r="AN372" s="28"/>
      <c r="AO372" s="30"/>
      <c r="AP372" s="28"/>
      <c r="AS372" s="28"/>
      <c r="AT372" s="28"/>
      <c r="AU372" s="30"/>
      <c r="AV372" s="28"/>
      <c r="AW372" s="28"/>
      <c r="AX372" s="28"/>
      <c r="AZ372" s="28"/>
      <c r="BA372" s="16" t="e">
        <f t="shared" si="200"/>
        <v>#DIV/0!</v>
      </c>
      <c r="BC372" s="7" t="e">
        <f t="shared" si="196"/>
        <v>#N/A</v>
      </c>
      <c r="BR372" s="7">
        <v>1102011</v>
      </c>
      <c r="BS372" s="9">
        <f>[1]monsters!$N372</f>
        <v>230.4</v>
      </c>
      <c r="BT372" s="9">
        <f>[1]monsters!$O372</f>
        <v>23.04</v>
      </c>
      <c r="BU372" s="9">
        <f>[1]monsters!$P372</f>
        <v>3600</v>
      </c>
      <c r="BV372" s="9">
        <f>[1]monsters!$Q372</f>
        <v>360</v>
      </c>
      <c r="BW372" s="9">
        <f>[1]monsters!$R372</f>
        <v>76.8</v>
      </c>
      <c r="BX372" s="9">
        <f>[1]monsters!$S372</f>
        <v>7.68</v>
      </c>
      <c r="BY372" s="9">
        <f>[1]monsters!$K372</f>
        <v>1.8</v>
      </c>
      <c r="BZ372" s="7">
        <f>[1]monsters!$D372</f>
        <v>2</v>
      </c>
      <c r="CA372" s="7">
        <f t="shared" si="197"/>
        <v>0.1</v>
      </c>
      <c r="CB372" s="7">
        <f t="shared" si="198"/>
        <v>338.9401212121212</v>
      </c>
      <c r="CC372" s="7">
        <f t="shared" si="199"/>
        <v>33.894012121212121</v>
      </c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>
        <v>0</v>
      </c>
      <c r="CR372" s="25"/>
      <c r="CS372" s="25"/>
      <c r="CT372" s="25"/>
      <c r="CU372" s="25"/>
      <c r="CV372" s="25"/>
      <c r="CW372" s="25"/>
      <c r="DP372" s="32"/>
      <c r="DQ372" s="32"/>
      <c r="DR372" s="32"/>
      <c r="DS372" s="32"/>
      <c r="DT372" s="32"/>
      <c r="DU372" s="32"/>
      <c r="DV372" s="32"/>
      <c r="DW372" s="32"/>
      <c r="DX372" s="32"/>
      <c r="DY372" s="32"/>
      <c r="DZ372" s="32"/>
      <c r="EA372" s="25"/>
      <c r="EB372" s="47"/>
      <c r="EC372" s="16">
        <v>5201123</v>
      </c>
      <c r="ED372" s="40" t="s">
        <v>217</v>
      </c>
      <c r="EE372" s="16">
        <v>1</v>
      </c>
    </row>
    <row r="373" spans="11:135" ht="13.5" customHeight="1">
      <c r="K373" s="2"/>
      <c r="O373" s="25"/>
      <c r="AI373" s="28"/>
      <c r="AJ373" s="28"/>
      <c r="AK373" s="28"/>
      <c r="AL373" s="28"/>
      <c r="AM373" s="28"/>
      <c r="AN373" s="28"/>
      <c r="AO373" s="30"/>
      <c r="AP373" s="28"/>
      <c r="AS373" s="28"/>
      <c r="AT373" s="28"/>
      <c r="AU373" s="30"/>
      <c r="AV373" s="28"/>
      <c r="AW373" s="28"/>
      <c r="AX373" s="28"/>
      <c r="AZ373" s="28"/>
      <c r="BA373" s="16" t="e">
        <f t="shared" si="200"/>
        <v>#DIV/0!</v>
      </c>
      <c r="BC373" s="7" t="e">
        <f t="shared" si="196"/>
        <v>#N/A</v>
      </c>
      <c r="BR373" s="7">
        <v>1206012</v>
      </c>
      <c r="BS373" s="9">
        <f>[1]monsters!$N373</f>
        <v>259.2</v>
      </c>
      <c r="BT373" s="9">
        <f>[1]monsters!$O373</f>
        <v>25.92</v>
      </c>
      <c r="BU373" s="9">
        <f>[1]monsters!$P373</f>
        <v>3200</v>
      </c>
      <c r="BV373" s="9">
        <f>[1]monsters!$Q373</f>
        <v>320</v>
      </c>
      <c r="BW373" s="9">
        <f>[1]monsters!$R373</f>
        <v>51.84</v>
      </c>
      <c r="BX373" s="9">
        <f>[1]monsters!$S373</f>
        <v>5.18</v>
      </c>
      <c r="BY373" s="9">
        <f>[1]monsters!$K373</f>
        <v>1.8</v>
      </c>
      <c r="BZ373" s="7">
        <f>[1]monsters!$D373</f>
        <v>2</v>
      </c>
      <c r="CA373" s="7">
        <f t="shared" si="197"/>
        <v>0.1</v>
      </c>
      <c r="CB373" s="7">
        <f t="shared" si="198"/>
        <v>352.68810774410775</v>
      </c>
      <c r="CC373" s="7">
        <f t="shared" si="199"/>
        <v>35.268810774410774</v>
      </c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>
        <v>1</v>
      </c>
      <c r="CR373" s="25"/>
      <c r="CS373" s="25"/>
      <c r="CT373" s="25"/>
      <c r="CU373" s="25"/>
      <c r="CV373" s="25"/>
      <c r="CW373" s="25"/>
      <c r="DP373" s="32"/>
      <c r="DQ373" s="32"/>
      <c r="DR373" s="32"/>
      <c r="DS373" s="32"/>
      <c r="DT373" s="32"/>
      <c r="DU373" s="32"/>
      <c r="DV373" s="32"/>
      <c r="DW373" s="32"/>
      <c r="DX373" s="32"/>
      <c r="DY373" s="32"/>
      <c r="DZ373" s="32"/>
      <c r="EA373" s="25"/>
      <c r="EB373" s="49"/>
      <c r="EC373" s="16">
        <v>5202123</v>
      </c>
      <c r="ED373" s="40" t="s">
        <v>220</v>
      </c>
      <c r="EE373" s="16">
        <v>1</v>
      </c>
    </row>
    <row r="374" spans="11:135" ht="13.5" customHeight="1">
      <c r="K374" s="2"/>
      <c r="L374" s="18"/>
      <c r="O374" s="25"/>
      <c r="AI374" s="28"/>
      <c r="AJ374" s="28"/>
      <c r="AK374" s="28"/>
      <c r="AL374" s="28"/>
      <c r="AM374" s="28"/>
      <c r="AN374" s="28"/>
      <c r="AO374" s="30"/>
      <c r="AP374" s="28"/>
      <c r="AS374" s="28"/>
      <c r="AT374" s="28"/>
      <c r="AU374" s="30"/>
      <c r="AV374" s="28"/>
      <c r="AW374" s="28"/>
      <c r="AX374" s="28"/>
      <c r="AZ374" s="28"/>
      <c r="BA374" s="16" t="e">
        <f t="shared" si="200"/>
        <v>#DIV/0!</v>
      </c>
      <c r="BC374" s="7" t="e">
        <f t="shared" si="196"/>
        <v>#N/A</v>
      </c>
      <c r="BR374" s="7">
        <v>1406012</v>
      </c>
      <c r="BS374" s="9">
        <f>[1]monsters!$N374</f>
        <v>172.8</v>
      </c>
      <c r="BT374" s="9">
        <f>[1]monsters!$O374</f>
        <v>17.28</v>
      </c>
      <c r="BU374" s="9">
        <f>[1]monsters!$P374</f>
        <v>3200</v>
      </c>
      <c r="BV374" s="9">
        <f>[1]monsters!$Q374</f>
        <v>320</v>
      </c>
      <c r="BW374" s="9">
        <f>[1]monsters!$R374</f>
        <v>34.56</v>
      </c>
      <c r="BX374" s="9">
        <f>[1]monsters!$S374</f>
        <v>3.46</v>
      </c>
      <c r="BY374" s="9">
        <f>[1]monsters!$K374</f>
        <v>1.2</v>
      </c>
      <c r="BZ374" s="7">
        <f>[1]monsters!$D374</f>
        <v>3</v>
      </c>
      <c r="CA374" s="7">
        <f t="shared" si="197"/>
        <v>0.1</v>
      </c>
      <c r="CB374" s="7">
        <f t="shared" si="198"/>
        <v>271.04010774410779</v>
      </c>
      <c r="CC374" s="7">
        <f t="shared" si="199"/>
        <v>27.104010774410781</v>
      </c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>
        <v>0</v>
      </c>
      <c r="CR374" s="25"/>
      <c r="CS374" s="25"/>
      <c r="CT374" s="25"/>
      <c r="CU374" s="25"/>
      <c r="CV374" s="25"/>
      <c r="CW374" s="25"/>
      <c r="DP374" s="32"/>
      <c r="DQ374" s="32"/>
      <c r="DR374" s="32"/>
      <c r="DS374" s="32"/>
      <c r="DT374" s="32"/>
      <c r="DU374" s="32"/>
      <c r="DV374" s="32"/>
      <c r="DW374" s="32"/>
      <c r="DX374" s="32"/>
      <c r="DY374" s="32"/>
      <c r="DZ374" s="32"/>
      <c r="EA374" s="25"/>
      <c r="EB374" s="49"/>
      <c r="EC374" s="16">
        <v>5301123</v>
      </c>
      <c r="ED374" s="40" t="s">
        <v>218</v>
      </c>
      <c r="EE374" s="16">
        <v>1</v>
      </c>
    </row>
    <row r="375" spans="11:135" ht="13.5" customHeight="1">
      <c r="K375" s="2"/>
      <c r="L375" s="18"/>
      <c r="O375" s="25"/>
      <c r="AI375" s="28"/>
      <c r="AJ375" s="28"/>
      <c r="AK375" s="28"/>
      <c r="AL375" s="28"/>
      <c r="AM375" s="28"/>
      <c r="AN375" s="28"/>
      <c r="AO375" s="30"/>
      <c r="AP375" s="28"/>
      <c r="AS375" s="28"/>
      <c r="AT375" s="28"/>
      <c r="AU375" s="30"/>
      <c r="AV375" s="28"/>
      <c r="AW375" s="28"/>
      <c r="AX375" s="28"/>
      <c r="AZ375" s="28"/>
      <c r="BA375" s="16" t="e">
        <f t="shared" si="200"/>
        <v>#DIV/0!</v>
      </c>
      <c r="BC375" s="7" t="e">
        <f t="shared" si="196"/>
        <v>#N/A</v>
      </c>
      <c r="BR375" s="7">
        <v>1205012</v>
      </c>
      <c r="BS375" s="9">
        <f>[1]monsters!$N375</f>
        <v>307.2</v>
      </c>
      <c r="BT375" s="9">
        <f>[1]monsters!$O375</f>
        <v>30.72</v>
      </c>
      <c r="BU375" s="9">
        <f>[1]monsters!$P375</f>
        <v>2400</v>
      </c>
      <c r="BV375" s="9">
        <f>[1]monsters!$Q375</f>
        <v>240</v>
      </c>
      <c r="BW375" s="9">
        <f>[1]monsters!$R375</f>
        <v>43.89</v>
      </c>
      <c r="BX375" s="9">
        <f>[1]monsters!$S375</f>
        <v>4.3899999999999997</v>
      </c>
      <c r="BY375" s="9">
        <f>[1]monsters!$K375</f>
        <v>1.6</v>
      </c>
      <c r="BZ375" s="7">
        <f>[1]monsters!$D375</f>
        <v>4</v>
      </c>
      <c r="CA375" s="7">
        <f t="shared" si="197"/>
        <v>0.1</v>
      </c>
      <c r="CB375" s="7">
        <f t="shared" si="198"/>
        <v>371.11208080808086</v>
      </c>
      <c r="CC375" s="7">
        <f t="shared" si="199"/>
        <v>37.11120808080809</v>
      </c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>
        <v>0</v>
      </c>
      <c r="CR375" s="25"/>
      <c r="CS375" s="25"/>
      <c r="CT375" s="25"/>
      <c r="CU375" s="25"/>
      <c r="CV375" s="25"/>
      <c r="CW375" s="25"/>
      <c r="DP375" s="32"/>
      <c r="DQ375" s="32"/>
      <c r="DR375" s="32"/>
      <c r="DS375" s="32"/>
      <c r="DT375" s="32"/>
      <c r="DU375" s="32"/>
      <c r="DV375" s="32"/>
      <c r="DW375" s="32"/>
      <c r="DX375" s="32"/>
      <c r="DY375" s="32"/>
      <c r="DZ375" s="32"/>
      <c r="EA375" s="25"/>
      <c r="EB375" s="49"/>
      <c r="EC375" s="16">
        <v>5401123</v>
      </c>
      <c r="ED375" s="40" t="s">
        <v>223</v>
      </c>
      <c r="EE375" s="16">
        <v>2</v>
      </c>
    </row>
    <row r="376" spans="11:135" ht="13.5" customHeight="1">
      <c r="K376" s="2"/>
      <c r="L376" s="18"/>
      <c r="O376" s="25"/>
      <c r="AI376" s="28"/>
      <c r="AJ376" s="28"/>
      <c r="AK376" s="28"/>
      <c r="AL376" s="28"/>
      <c r="AM376" s="28"/>
      <c r="AN376" s="28"/>
      <c r="AO376" s="30"/>
      <c r="AP376" s="28"/>
      <c r="AS376" s="28"/>
      <c r="AT376" s="28"/>
      <c r="AU376" s="30"/>
      <c r="AV376" s="28"/>
      <c r="AW376" s="28"/>
      <c r="AX376" s="28"/>
      <c r="AZ376" s="28"/>
      <c r="BA376" s="16" t="e">
        <f t="shared" si="200"/>
        <v>#DIV/0!</v>
      </c>
      <c r="BC376" s="7" t="e">
        <f t="shared" si="196"/>
        <v>#N/A</v>
      </c>
      <c r="BR376" s="7">
        <v>1405012</v>
      </c>
      <c r="BS376" s="9">
        <f>[1]monsters!$N376</f>
        <v>288</v>
      </c>
      <c r="BT376" s="9">
        <f>[1]monsters!$O376</f>
        <v>28.8</v>
      </c>
      <c r="BU376" s="9">
        <f>[1]monsters!$P376</f>
        <v>2400</v>
      </c>
      <c r="BV376" s="9">
        <f>[1]monsters!$Q376</f>
        <v>240</v>
      </c>
      <c r="BW376" s="9">
        <f>[1]monsters!$R376</f>
        <v>41.14</v>
      </c>
      <c r="BX376" s="9">
        <f>[1]monsters!$S376</f>
        <v>4.1100000000000003</v>
      </c>
      <c r="BY376" s="9">
        <f>[1]monsters!$K376</f>
        <v>1.5</v>
      </c>
      <c r="BZ376" s="7">
        <f>[1]monsters!$D376</f>
        <v>4</v>
      </c>
      <c r="CA376" s="7">
        <f t="shared" si="197"/>
        <v>0.1</v>
      </c>
      <c r="CB376" s="7">
        <f t="shared" si="198"/>
        <v>352.96808080808086</v>
      </c>
      <c r="CC376" s="7">
        <f t="shared" si="199"/>
        <v>35.296808080808084</v>
      </c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>
        <v>0</v>
      </c>
      <c r="CR376" s="25"/>
      <c r="CS376" s="25"/>
      <c r="CT376" s="25"/>
      <c r="CU376" s="25"/>
      <c r="CV376" s="25"/>
      <c r="CW376" s="25"/>
      <c r="DP376" s="32"/>
      <c r="DQ376" s="32"/>
      <c r="DR376" s="32"/>
      <c r="DS376" s="32"/>
      <c r="DT376" s="32"/>
      <c r="DU376" s="32"/>
      <c r="DV376" s="32"/>
      <c r="DW376" s="32"/>
      <c r="DX376" s="32"/>
      <c r="DY376" s="32"/>
      <c r="DZ376" s="32"/>
      <c r="EA376" s="25"/>
      <c r="EB376" s="20"/>
      <c r="EC376" s="16">
        <v>5402123</v>
      </c>
      <c r="ED376" s="40" t="s">
        <v>124</v>
      </c>
      <c r="EE376" s="16">
        <v>2</v>
      </c>
    </row>
    <row r="377" spans="11:135" ht="13.5" customHeight="1">
      <c r="K377" s="2"/>
      <c r="L377" s="18"/>
      <c r="O377" s="25"/>
      <c r="AI377" s="28"/>
      <c r="AJ377" s="28"/>
      <c r="AK377" s="28"/>
      <c r="AL377" s="28"/>
      <c r="AM377" s="28"/>
      <c r="AN377" s="28"/>
      <c r="AO377" s="30"/>
      <c r="AP377" s="28"/>
      <c r="AS377" s="28"/>
      <c r="AT377" s="28"/>
      <c r="AU377" s="30"/>
      <c r="AV377" s="28"/>
      <c r="AW377" s="28"/>
      <c r="AX377" s="28"/>
      <c r="AZ377" s="28"/>
      <c r="BA377" s="16" t="e">
        <f t="shared" si="200"/>
        <v>#DIV/0!</v>
      </c>
      <c r="BC377" s="7" t="e">
        <f t="shared" si="196"/>
        <v>#N/A</v>
      </c>
      <c r="BR377" s="7">
        <v>1203012</v>
      </c>
      <c r="BS377" s="9">
        <f>[1]monsters!$N377</f>
        <v>336</v>
      </c>
      <c r="BT377" s="9">
        <f>[1]monsters!$O377</f>
        <v>33.6</v>
      </c>
      <c r="BU377" s="9">
        <f>[1]monsters!$P377</f>
        <v>2057.14</v>
      </c>
      <c r="BV377" s="9">
        <f>[1]monsters!$Q377</f>
        <v>205.71</v>
      </c>
      <c r="BW377" s="9">
        <f>[1]monsters!$R377</f>
        <v>42</v>
      </c>
      <c r="BX377" s="9">
        <f>[1]monsters!$S377</f>
        <v>4.2</v>
      </c>
      <c r="BY377" s="9">
        <f>[1]monsters!$K377</f>
        <v>1.5</v>
      </c>
      <c r="BZ377" s="7">
        <f>[1]monsters!$D377</f>
        <v>5</v>
      </c>
      <c r="CA377" s="7">
        <f t="shared" si="197"/>
        <v>0.1</v>
      </c>
      <c r="CB377" s="7">
        <f t="shared" si="198"/>
        <v>386.78397306397312</v>
      </c>
      <c r="CC377" s="7">
        <f t="shared" si="199"/>
        <v>38.678397306397315</v>
      </c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>
        <v>0</v>
      </c>
      <c r="CR377" s="25"/>
      <c r="CS377" s="25"/>
      <c r="CT377" s="25"/>
      <c r="CU377" s="25"/>
      <c r="CV377" s="25"/>
      <c r="CW377" s="25"/>
      <c r="DP377" s="32"/>
      <c r="DQ377" s="32"/>
      <c r="DR377" s="32"/>
      <c r="DS377" s="32"/>
      <c r="DT377" s="32"/>
      <c r="DU377" s="32"/>
      <c r="DV377" s="32"/>
      <c r="DW377" s="32"/>
      <c r="DX377" s="32"/>
      <c r="DY377" s="32"/>
      <c r="DZ377" s="32"/>
      <c r="EA377" s="25"/>
      <c r="EB377" s="49"/>
      <c r="EC377" s="16">
        <v>5500123</v>
      </c>
      <c r="ED377" s="40" t="s">
        <v>219</v>
      </c>
      <c r="EE377" s="16">
        <v>2</v>
      </c>
    </row>
    <row r="378" spans="11:135" ht="13.5" customHeight="1">
      <c r="K378" s="2"/>
      <c r="O378" s="25"/>
      <c r="AI378" s="28"/>
      <c r="AJ378" s="28"/>
      <c r="AK378" s="28"/>
      <c r="AL378" s="28"/>
      <c r="AM378" s="28"/>
      <c r="AN378" s="28"/>
      <c r="AO378" s="30"/>
      <c r="AP378" s="28"/>
      <c r="AS378" s="28"/>
      <c r="AT378" s="28"/>
      <c r="AU378" s="30"/>
      <c r="AV378" s="28"/>
      <c r="AW378" s="28"/>
      <c r="AX378" s="28"/>
      <c r="AZ378" s="28"/>
      <c r="BA378" s="16" t="e">
        <f t="shared" si="200"/>
        <v>#DIV/0!</v>
      </c>
      <c r="BC378" s="7" t="e">
        <f t="shared" si="196"/>
        <v>#N/A</v>
      </c>
      <c r="BR378" s="7">
        <v>1403012</v>
      </c>
      <c r="BS378" s="9">
        <f>[1]monsters!$N378</f>
        <v>313.60000000000002</v>
      </c>
      <c r="BT378" s="9">
        <f>[1]monsters!$O378</f>
        <v>31.36</v>
      </c>
      <c r="BU378" s="9">
        <f>[1]monsters!$P378</f>
        <v>2057.14</v>
      </c>
      <c r="BV378" s="9">
        <f>[1]monsters!$Q378</f>
        <v>205.71</v>
      </c>
      <c r="BW378" s="9">
        <f>[1]monsters!$R378</f>
        <v>39.200000000000003</v>
      </c>
      <c r="BX378" s="9">
        <f>[1]monsters!$S378</f>
        <v>3.92</v>
      </c>
      <c r="BY378" s="9">
        <f>[1]monsters!$K378</f>
        <v>1.4000000000000001</v>
      </c>
      <c r="BZ378" s="7">
        <f>[1]monsters!$D378</f>
        <v>5</v>
      </c>
      <c r="CA378" s="7">
        <f t="shared" si="197"/>
        <v>0.1</v>
      </c>
      <c r="CB378" s="7">
        <f t="shared" si="198"/>
        <v>365.61597306397312</v>
      </c>
      <c r="CC378" s="7">
        <f t="shared" si="199"/>
        <v>36.56159730639731</v>
      </c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>
        <v>1</v>
      </c>
      <c r="CR378" s="25"/>
      <c r="CS378" s="25"/>
      <c r="CT378" s="25"/>
      <c r="CU378" s="25"/>
      <c r="CV378" s="25"/>
      <c r="CW378" s="25"/>
      <c r="DP378" s="32"/>
      <c r="DQ378" s="32"/>
      <c r="DR378" s="32"/>
      <c r="DS378" s="32"/>
      <c r="DT378" s="32"/>
      <c r="DU378" s="32"/>
      <c r="DV378" s="32"/>
      <c r="DW378" s="32"/>
      <c r="DX378" s="32"/>
      <c r="DY378" s="32"/>
      <c r="DZ378" s="32"/>
      <c r="EA378" s="25"/>
      <c r="EB378" s="49"/>
      <c r="EC378" s="16">
        <v>5502123</v>
      </c>
      <c r="ED378" s="40" t="s">
        <v>227</v>
      </c>
      <c r="EE378" s="16">
        <v>2</v>
      </c>
    </row>
    <row r="379" spans="11:135" ht="13.5" customHeight="1">
      <c r="K379" s="2"/>
      <c r="L379" s="18"/>
      <c r="O379" s="25"/>
      <c r="AI379" s="28"/>
      <c r="AJ379" s="28"/>
      <c r="AK379" s="28"/>
      <c r="AL379" s="28"/>
      <c r="AM379" s="28"/>
      <c r="AN379" s="28"/>
      <c r="AO379" s="30"/>
      <c r="AP379" s="28"/>
      <c r="AS379" s="28"/>
      <c r="AT379" s="28"/>
      <c r="AU379" s="30"/>
      <c r="AV379" s="28"/>
      <c r="AW379" s="28"/>
      <c r="AX379" s="28"/>
      <c r="AZ379" s="28"/>
      <c r="BA379" s="16" t="e">
        <f t="shared" si="200"/>
        <v>#DIV/0!</v>
      </c>
      <c r="BC379" s="7" t="e">
        <f t="shared" si="196"/>
        <v>#N/A</v>
      </c>
      <c r="BR379" s="7">
        <v>1204012</v>
      </c>
      <c r="BS379" s="9">
        <f>[1]monsters!$N379</f>
        <v>372</v>
      </c>
      <c r="BT379" s="9">
        <f>[1]monsters!$O379</f>
        <v>37.200000000000003</v>
      </c>
      <c r="BU379" s="9">
        <f>[1]monsters!$P379</f>
        <v>1858.06</v>
      </c>
      <c r="BV379" s="9">
        <f>[1]monsters!$Q379</f>
        <v>185.81</v>
      </c>
      <c r="BW379" s="9">
        <f>[1]monsters!$R379</f>
        <v>37.200000000000003</v>
      </c>
      <c r="BX379" s="9">
        <f>[1]monsters!$S379</f>
        <v>3.72</v>
      </c>
      <c r="BY379" s="9">
        <f>[1]monsters!$K379</f>
        <v>1.5</v>
      </c>
      <c r="BZ379" s="7">
        <f>[1]monsters!$D379</f>
        <v>6</v>
      </c>
      <c r="CA379" s="7">
        <f t="shared" si="197"/>
        <v>0.1</v>
      </c>
      <c r="CB379" s="7">
        <f t="shared" si="198"/>
        <v>414.10094276094276</v>
      </c>
      <c r="CC379" s="7">
        <f t="shared" si="199"/>
        <v>41.410094276094277</v>
      </c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>
        <v>0</v>
      </c>
      <c r="CR379" s="25"/>
      <c r="CS379" s="25"/>
      <c r="CT379" s="25"/>
      <c r="CU379" s="25"/>
      <c r="CV379" s="25"/>
      <c r="CW379" s="25"/>
      <c r="DP379" s="32"/>
      <c r="DQ379" s="32"/>
      <c r="DR379" s="32"/>
      <c r="DS379" s="32"/>
      <c r="DT379" s="32"/>
      <c r="DU379" s="32"/>
      <c r="DV379" s="32"/>
      <c r="DW379" s="32"/>
      <c r="DX379" s="32"/>
      <c r="DY379" s="32"/>
      <c r="DZ379" s="32"/>
      <c r="EA379" s="25"/>
      <c r="EB379" s="49"/>
      <c r="EC379" s="16">
        <v>5601123</v>
      </c>
      <c r="ED379" s="40" t="s">
        <v>228</v>
      </c>
      <c r="EE379" s="16">
        <v>2</v>
      </c>
    </row>
    <row r="380" spans="11:135" ht="13.5" customHeight="1">
      <c r="K380" s="2"/>
      <c r="L380" s="18"/>
      <c r="O380" s="25"/>
      <c r="AI380" s="28"/>
      <c r="AJ380" s="28"/>
      <c r="AK380" s="28"/>
      <c r="AL380" s="28"/>
      <c r="AM380" s="28"/>
      <c r="AN380" s="28"/>
      <c r="AO380" s="30"/>
      <c r="AP380" s="28"/>
      <c r="AS380" s="28"/>
      <c r="AT380" s="28"/>
      <c r="AU380" s="30"/>
      <c r="AV380" s="28"/>
      <c r="AW380" s="28"/>
      <c r="AX380" s="28"/>
      <c r="AZ380" s="28"/>
      <c r="BA380" s="16" t="e">
        <f t="shared" si="200"/>
        <v>#DIV/0!</v>
      </c>
      <c r="BC380" s="7" t="e">
        <f t="shared" si="196"/>
        <v>#N/A</v>
      </c>
      <c r="BR380" s="7">
        <v>1404012</v>
      </c>
      <c r="BS380" s="9">
        <f>[1]monsters!$N380</f>
        <v>230.4</v>
      </c>
      <c r="BT380" s="9">
        <f>[1]monsters!$O380</f>
        <v>23.04</v>
      </c>
      <c r="BU380" s="9">
        <f>[1]monsters!$P380</f>
        <v>3600</v>
      </c>
      <c r="BV380" s="9">
        <f>[1]monsters!$Q380</f>
        <v>360</v>
      </c>
      <c r="BW380" s="9">
        <f>[1]monsters!$R380</f>
        <v>76.8</v>
      </c>
      <c r="BX380" s="9">
        <f>[1]monsters!$S380</f>
        <v>7.68</v>
      </c>
      <c r="BY380" s="9">
        <f>[1]monsters!$K380</f>
        <v>1.8</v>
      </c>
      <c r="BZ380" s="7">
        <f>[1]monsters!$D380</f>
        <v>2</v>
      </c>
      <c r="CA380" s="7">
        <f t="shared" si="197"/>
        <v>0.1</v>
      </c>
      <c r="CB380" s="7">
        <f t="shared" si="198"/>
        <v>338.9401212121212</v>
      </c>
      <c r="CC380" s="7">
        <f t="shared" si="199"/>
        <v>33.894012121212121</v>
      </c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>
        <v>0</v>
      </c>
      <c r="CR380" s="25"/>
      <c r="CS380" s="25"/>
      <c r="CT380" s="25"/>
      <c r="CU380" s="25"/>
      <c r="CV380" s="25"/>
      <c r="CW380" s="25"/>
      <c r="DP380" s="32"/>
      <c r="DQ380" s="32"/>
      <c r="DR380" s="32"/>
      <c r="DS380" s="32"/>
      <c r="DT380" s="32"/>
      <c r="DU380" s="32"/>
      <c r="DV380" s="32"/>
      <c r="DW380" s="32"/>
      <c r="DX380" s="32"/>
      <c r="DY380" s="32"/>
      <c r="DZ380" s="32"/>
      <c r="EA380" s="25"/>
      <c r="EB380" s="20"/>
      <c r="EC380" s="16">
        <v>5201124</v>
      </c>
      <c r="ED380" s="40" t="s">
        <v>229</v>
      </c>
      <c r="EE380" s="16">
        <v>1</v>
      </c>
    </row>
    <row r="381" spans="11:135" ht="13.5" customHeight="1">
      <c r="K381" s="2"/>
      <c r="L381" s="18"/>
      <c r="O381" s="25"/>
      <c r="AI381" s="28"/>
      <c r="AJ381" s="28"/>
      <c r="AK381" s="28"/>
      <c r="AL381" s="28"/>
      <c r="AM381" s="28"/>
      <c r="AN381" s="28"/>
      <c r="AO381" s="30"/>
      <c r="AP381" s="28"/>
      <c r="AS381" s="28"/>
      <c r="AT381" s="28"/>
      <c r="AU381" s="30"/>
      <c r="AV381" s="28"/>
      <c r="AW381" s="28"/>
      <c r="AX381" s="28"/>
      <c r="AZ381" s="28"/>
      <c r="BA381" s="16" t="e">
        <f t="shared" si="200"/>
        <v>#DIV/0!</v>
      </c>
      <c r="BC381" s="7" t="e">
        <f t="shared" si="196"/>
        <v>#N/A</v>
      </c>
      <c r="BR381" s="7">
        <v>1303012</v>
      </c>
      <c r="BS381" s="9">
        <f>[1]monsters!$N381</f>
        <v>201.6</v>
      </c>
      <c r="BT381" s="9">
        <f>[1]monsters!$O381</f>
        <v>20.16</v>
      </c>
      <c r="BU381" s="9">
        <f>[1]monsters!$P381</f>
        <v>3200</v>
      </c>
      <c r="BV381" s="9">
        <f>[1]monsters!$Q381</f>
        <v>320</v>
      </c>
      <c r="BW381" s="9">
        <f>[1]monsters!$R381</f>
        <v>40.32</v>
      </c>
      <c r="BX381" s="9">
        <f>[1]monsters!$S381</f>
        <v>4.03</v>
      </c>
      <c r="BY381" s="9">
        <f>[1]monsters!$K381</f>
        <v>1.4000000000000001</v>
      </c>
      <c r="BZ381" s="7">
        <f>[1]monsters!$D381</f>
        <v>3</v>
      </c>
      <c r="CA381" s="7">
        <f t="shared" si="197"/>
        <v>0.1</v>
      </c>
      <c r="CB381" s="7">
        <f t="shared" si="198"/>
        <v>298.25610774410774</v>
      </c>
      <c r="CC381" s="7">
        <f t="shared" si="199"/>
        <v>29.825610774410777</v>
      </c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>
        <v>0</v>
      </c>
      <c r="CR381" s="25"/>
      <c r="CS381" s="25"/>
      <c r="CT381" s="25"/>
      <c r="CU381" s="25"/>
      <c r="CV381" s="25"/>
      <c r="CW381" s="25"/>
      <c r="DP381" s="32"/>
      <c r="DQ381" s="32"/>
      <c r="DR381" s="32"/>
      <c r="DS381" s="32"/>
      <c r="DT381" s="32"/>
      <c r="DU381" s="32"/>
      <c r="DV381" s="32"/>
      <c r="DW381" s="32"/>
      <c r="DX381" s="32"/>
      <c r="DY381" s="32"/>
      <c r="DZ381" s="32"/>
      <c r="EA381" s="25"/>
      <c r="EB381" s="49"/>
      <c r="EC381" s="16">
        <v>5302124</v>
      </c>
      <c r="ED381" s="40" t="s">
        <v>230</v>
      </c>
      <c r="EE381" s="16">
        <v>1</v>
      </c>
    </row>
    <row r="382" spans="11:135" ht="13.5" customHeight="1">
      <c r="K382" s="2"/>
      <c r="L382" s="18"/>
      <c r="O382" s="25"/>
      <c r="AI382" s="28"/>
      <c r="AJ382" s="28"/>
      <c r="AK382" s="28"/>
      <c r="AL382" s="28"/>
      <c r="AM382" s="28"/>
      <c r="AN382" s="28"/>
      <c r="AO382" s="30"/>
      <c r="AP382" s="28"/>
      <c r="AS382" s="28"/>
      <c r="AT382" s="28"/>
      <c r="AU382" s="30"/>
      <c r="AV382" s="28"/>
      <c r="AW382" s="28"/>
      <c r="AX382" s="28"/>
      <c r="AZ382" s="28"/>
      <c r="BA382" s="16" t="e">
        <f t="shared" si="200"/>
        <v>#DIV/0!</v>
      </c>
      <c r="BC382" s="7" t="e">
        <f t="shared" si="196"/>
        <v>#N/A</v>
      </c>
      <c r="BR382" s="7">
        <v>1304012</v>
      </c>
      <c r="BS382" s="9">
        <f>[1]monsters!$N382</f>
        <v>358.4</v>
      </c>
      <c r="BT382" s="9">
        <f>[1]monsters!$O382</f>
        <v>35.840000000000003</v>
      </c>
      <c r="BU382" s="9">
        <f>[1]monsters!$P382</f>
        <v>2057.14</v>
      </c>
      <c r="BV382" s="9">
        <f>[1]monsters!$Q382</f>
        <v>205.71</v>
      </c>
      <c r="BW382" s="9">
        <f>[1]monsters!$R382</f>
        <v>44.8</v>
      </c>
      <c r="BX382" s="9">
        <f>[1]monsters!$S382</f>
        <v>4.4800000000000004</v>
      </c>
      <c r="BY382" s="9">
        <f>[1]monsters!$K382</f>
        <v>1.6</v>
      </c>
      <c r="BZ382" s="7">
        <f>[1]monsters!$D382</f>
        <v>5</v>
      </c>
      <c r="CA382" s="7">
        <f t="shared" si="197"/>
        <v>0.1</v>
      </c>
      <c r="CB382" s="7">
        <f t="shared" si="198"/>
        <v>407.95197306397301</v>
      </c>
      <c r="CC382" s="7">
        <f t="shared" si="199"/>
        <v>40.795197306397306</v>
      </c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>
        <v>0</v>
      </c>
      <c r="CR382" s="25"/>
      <c r="CS382" s="25"/>
      <c r="CT382" s="25"/>
      <c r="CU382" s="25"/>
      <c r="CV382" s="25"/>
      <c r="CW382" s="25"/>
      <c r="DP382" s="32"/>
      <c r="DQ382" s="32"/>
      <c r="DR382" s="32"/>
      <c r="DS382" s="32"/>
      <c r="DT382" s="32"/>
      <c r="DU382" s="32"/>
      <c r="DV382" s="32"/>
      <c r="DW382" s="32"/>
      <c r="DX382" s="32"/>
      <c r="DY382" s="32"/>
      <c r="DZ382" s="32"/>
      <c r="EA382" s="25"/>
      <c r="EB382" s="49"/>
      <c r="EC382" s="16">
        <v>5501124</v>
      </c>
      <c r="ED382" s="40" t="s">
        <v>226</v>
      </c>
      <c r="EE382" s="16">
        <v>2</v>
      </c>
    </row>
    <row r="383" spans="11:135" ht="13.5" customHeight="1">
      <c r="K383" s="2"/>
      <c r="O383" s="25"/>
      <c r="AI383" s="28"/>
      <c r="AJ383" s="28"/>
      <c r="AK383" s="28"/>
      <c r="AL383" s="28"/>
      <c r="AM383" s="28"/>
      <c r="AN383" s="28"/>
      <c r="AO383" s="30"/>
      <c r="AP383" s="28"/>
      <c r="AS383" s="28"/>
      <c r="AT383" s="28"/>
      <c r="AU383" s="30"/>
      <c r="AV383" s="28"/>
      <c r="AW383" s="28"/>
      <c r="AX383" s="28"/>
      <c r="AZ383" s="28"/>
      <c r="BA383" s="16" t="e">
        <f t="shared" si="200"/>
        <v>#DIV/0!</v>
      </c>
      <c r="BC383" s="7" t="e">
        <f t="shared" si="196"/>
        <v>#N/A</v>
      </c>
      <c r="BR383" s="7">
        <v>1503012</v>
      </c>
      <c r="BS383" s="9">
        <f>[1]monsters!$N383</f>
        <v>347.2</v>
      </c>
      <c r="BT383" s="9">
        <f>[1]monsters!$O383</f>
        <v>34.72</v>
      </c>
      <c r="BU383" s="9">
        <f>[1]monsters!$P383</f>
        <v>1858.06</v>
      </c>
      <c r="BV383" s="9">
        <f>[1]monsters!$Q383</f>
        <v>185.81</v>
      </c>
      <c r="BW383" s="9">
        <f>[1]monsters!$R383</f>
        <v>34.72</v>
      </c>
      <c r="BX383" s="9">
        <f>[1]monsters!$S383</f>
        <v>3.47</v>
      </c>
      <c r="BY383" s="9">
        <f>[1]monsters!$K383</f>
        <v>1.4000000000000001</v>
      </c>
      <c r="BZ383" s="7">
        <f>[1]monsters!$D383</f>
        <v>6</v>
      </c>
      <c r="CA383" s="7">
        <f t="shared" si="197"/>
        <v>0.1</v>
      </c>
      <c r="CB383" s="7">
        <f t="shared" si="198"/>
        <v>390.66494276094272</v>
      </c>
      <c r="CC383" s="7">
        <f t="shared" si="199"/>
        <v>39.066494276094275</v>
      </c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>
        <v>1</v>
      </c>
      <c r="CR383" s="25"/>
      <c r="CS383" s="25"/>
      <c r="CT383" s="25"/>
      <c r="CU383" s="25"/>
      <c r="CV383" s="25"/>
      <c r="CW383" s="25"/>
      <c r="DP383" s="32"/>
      <c r="DQ383" s="32"/>
      <c r="DR383" s="32"/>
      <c r="DS383" s="32"/>
      <c r="DT383" s="32"/>
      <c r="DU383" s="32"/>
      <c r="DV383" s="32"/>
      <c r="DW383" s="32"/>
      <c r="DX383" s="32"/>
      <c r="DY383" s="32"/>
      <c r="DZ383" s="32"/>
      <c r="EA383" s="25"/>
      <c r="EB383" s="20"/>
      <c r="EC383" s="16">
        <v>5600124</v>
      </c>
      <c r="ED383" s="40" t="s">
        <v>231</v>
      </c>
      <c r="EE383" s="16">
        <v>1</v>
      </c>
    </row>
    <row r="384" spans="11:135" ht="13.5" customHeight="1">
      <c r="K384" s="2"/>
      <c r="L384" s="18"/>
      <c r="O384" s="25"/>
      <c r="AI384" s="28"/>
      <c r="AJ384" s="28"/>
      <c r="AK384" s="28"/>
      <c r="AL384" s="28"/>
      <c r="AM384" s="28"/>
      <c r="AN384" s="28"/>
      <c r="AO384" s="30"/>
      <c r="AP384" s="28"/>
      <c r="AS384" s="28"/>
      <c r="AT384" s="28"/>
      <c r="AU384" s="30"/>
      <c r="AV384" s="28"/>
      <c r="AW384" s="28"/>
      <c r="AX384" s="28"/>
      <c r="AZ384" s="28"/>
      <c r="BA384" s="16" t="e">
        <f t="shared" si="200"/>
        <v>#DIV/0!</v>
      </c>
      <c r="BC384" s="7" t="e">
        <f t="shared" si="196"/>
        <v>#N/A</v>
      </c>
      <c r="BR384" s="7">
        <v>1504012</v>
      </c>
      <c r="BS384" s="9">
        <f>[1]monsters!$N384</f>
        <v>446.4</v>
      </c>
      <c r="BT384" s="9">
        <f>[1]monsters!$O384</f>
        <v>44.64</v>
      </c>
      <c r="BU384" s="9">
        <f>[1]monsters!$P384</f>
        <v>1858.06</v>
      </c>
      <c r="BV384" s="9">
        <f>[1]monsters!$Q384</f>
        <v>185.81</v>
      </c>
      <c r="BW384" s="9">
        <f>[1]monsters!$R384</f>
        <v>44.64</v>
      </c>
      <c r="BX384" s="9">
        <f>[1]monsters!$S384</f>
        <v>4.46</v>
      </c>
      <c r="BY384" s="9">
        <f>[1]monsters!$K384</f>
        <v>1.8</v>
      </c>
      <c r="BZ384" s="7">
        <f>[1]monsters!$D384</f>
        <v>6</v>
      </c>
      <c r="CA384" s="7">
        <f t="shared" si="197"/>
        <v>0.1</v>
      </c>
      <c r="CB384" s="7">
        <f t="shared" si="198"/>
        <v>484.40894276094269</v>
      </c>
      <c r="CC384" s="7">
        <f t="shared" si="199"/>
        <v>48.440894276094269</v>
      </c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>
        <v>0</v>
      </c>
      <c r="CR384" s="25"/>
      <c r="CS384" s="25"/>
      <c r="CT384" s="25"/>
      <c r="CU384" s="25"/>
      <c r="CV384" s="25"/>
      <c r="CW384" s="25"/>
      <c r="DP384" s="32"/>
      <c r="DQ384" s="32"/>
      <c r="DR384" s="32"/>
      <c r="DS384" s="32"/>
      <c r="DT384" s="32"/>
      <c r="DU384" s="32"/>
      <c r="DV384" s="32"/>
      <c r="DW384" s="32"/>
      <c r="DX384" s="32"/>
      <c r="DY384" s="32"/>
      <c r="DZ384" s="32"/>
      <c r="EA384" s="25"/>
      <c r="EB384" s="49"/>
      <c r="EC384" s="16">
        <v>5602124</v>
      </c>
      <c r="ED384" s="40" t="s">
        <v>232</v>
      </c>
      <c r="EE384" s="16">
        <v>2</v>
      </c>
    </row>
    <row r="385" spans="11:135" ht="13.5" customHeight="1">
      <c r="K385" s="2"/>
      <c r="L385" s="18"/>
      <c r="O385" s="25"/>
      <c r="AI385" s="28"/>
      <c r="AJ385" s="28"/>
      <c r="AK385" s="28"/>
      <c r="AL385" s="28"/>
      <c r="AM385" s="28"/>
      <c r="AN385" s="28"/>
      <c r="AO385" s="30"/>
      <c r="AP385" s="28"/>
      <c r="AS385" s="28"/>
      <c r="AT385" s="28"/>
      <c r="AU385" s="30"/>
      <c r="AV385" s="28"/>
      <c r="AW385" s="28"/>
      <c r="AX385" s="28"/>
      <c r="AZ385" s="28"/>
      <c r="BA385" s="16" t="e">
        <f t="shared" si="200"/>
        <v>#DIV/0!</v>
      </c>
      <c r="BC385" s="7" t="e">
        <f t="shared" si="196"/>
        <v>#N/A</v>
      </c>
      <c r="BR385" s="7">
        <v>1101012</v>
      </c>
      <c r="BS385" s="9">
        <f>[1]monsters!$N385</f>
        <v>259.2</v>
      </c>
      <c r="BT385" s="9">
        <f>[1]monsters!$O385</f>
        <v>25.92</v>
      </c>
      <c r="BU385" s="9">
        <f>[1]monsters!$P385</f>
        <v>3200</v>
      </c>
      <c r="BV385" s="9">
        <f>[1]monsters!$Q385</f>
        <v>320</v>
      </c>
      <c r="BW385" s="9">
        <f>[1]monsters!$R385</f>
        <v>51.84</v>
      </c>
      <c r="BX385" s="9">
        <f>[1]monsters!$S385</f>
        <v>5.18</v>
      </c>
      <c r="BY385" s="9">
        <f>[1]monsters!$K385</f>
        <v>1.8</v>
      </c>
      <c r="BZ385" s="7">
        <f>[1]monsters!$D385</f>
        <v>2</v>
      </c>
      <c r="CA385" s="7">
        <f t="shared" si="197"/>
        <v>0.1</v>
      </c>
      <c r="CB385" s="7">
        <f t="shared" si="198"/>
        <v>352.68810774410775</v>
      </c>
      <c r="CC385" s="7">
        <f t="shared" si="199"/>
        <v>35.268810774410774</v>
      </c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>
        <v>0</v>
      </c>
      <c r="CR385" s="25"/>
      <c r="CS385" s="25"/>
      <c r="CT385" s="25"/>
      <c r="CU385" s="25"/>
      <c r="CV385" s="25"/>
      <c r="CW385" s="25"/>
      <c r="DP385" s="25"/>
      <c r="DQ385" s="25"/>
      <c r="DR385" s="25"/>
      <c r="DS385" s="25"/>
      <c r="DT385" s="25"/>
      <c r="DU385" s="25"/>
      <c r="DV385" s="25"/>
      <c r="DW385" s="25"/>
      <c r="DX385" s="25"/>
      <c r="DY385" s="25"/>
      <c r="DZ385" s="25"/>
      <c r="EA385" s="25"/>
      <c r="EB385" s="49"/>
      <c r="EC385" s="16">
        <v>5202125</v>
      </c>
      <c r="ED385" s="40" t="s">
        <v>233</v>
      </c>
      <c r="EE385" s="16">
        <v>1</v>
      </c>
    </row>
    <row r="386" spans="11:135" ht="13.5" customHeight="1">
      <c r="K386" s="2"/>
      <c r="L386" s="18"/>
      <c r="O386" s="25"/>
      <c r="AI386" s="28"/>
      <c r="AJ386" s="28"/>
      <c r="AK386" s="28"/>
      <c r="AL386" s="28"/>
      <c r="AM386" s="28"/>
      <c r="AN386" s="28"/>
      <c r="AO386" s="30"/>
      <c r="AP386" s="28"/>
      <c r="AS386" s="28"/>
      <c r="AT386" s="28"/>
      <c r="AU386" s="30"/>
      <c r="AV386" s="28"/>
      <c r="AW386" s="28"/>
      <c r="AX386" s="28"/>
      <c r="AZ386" s="28"/>
      <c r="BA386" s="16" t="e">
        <f t="shared" si="200"/>
        <v>#DIV/0!</v>
      </c>
      <c r="BC386" s="7" t="e">
        <f t="shared" si="196"/>
        <v>#N/A</v>
      </c>
      <c r="BR386" s="7">
        <v>1102012</v>
      </c>
      <c r="BS386" s="9">
        <f>[1]monsters!$N386</f>
        <v>187.2</v>
      </c>
      <c r="BT386" s="9">
        <f>[1]monsters!$O386</f>
        <v>18.72</v>
      </c>
      <c r="BU386" s="9">
        <f>[1]monsters!$P386</f>
        <v>3200</v>
      </c>
      <c r="BV386" s="9">
        <f>[1]monsters!$Q386</f>
        <v>320</v>
      </c>
      <c r="BW386" s="9">
        <f>[1]monsters!$R386</f>
        <v>37.44</v>
      </c>
      <c r="BX386" s="9">
        <f>[1]monsters!$S386</f>
        <v>3.74</v>
      </c>
      <c r="BY386" s="9">
        <f>[1]monsters!$K386</f>
        <v>1.3</v>
      </c>
      <c r="BZ386" s="7">
        <f>[1]monsters!$D386</f>
        <v>3</v>
      </c>
      <c r="CA386" s="7">
        <f t="shared" si="197"/>
        <v>0.1</v>
      </c>
      <c r="CB386" s="7">
        <f t="shared" si="198"/>
        <v>284.64810774410773</v>
      </c>
      <c r="CC386" s="7">
        <f t="shared" si="199"/>
        <v>28.464810774410775</v>
      </c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>
        <v>0</v>
      </c>
      <c r="CR386" s="25"/>
      <c r="CS386" s="25"/>
      <c r="CT386" s="25"/>
      <c r="CU386" s="25"/>
      <c r="CV386" s="25"/>
      <c r="CW386" s="25"/>
      <c r="DP386" s="25"/>
      <c r="DQ386" s="25"/>
      <c r="DR386" s="25"/>
      <c r="DS386" s="32"/>
      <c r="DT386" s="32"/>
      <c r="DU386" s="32"/>
      <c r="DV386" s="32"/>
      <c r="DW386" s="32"/>
      <c r="DX386" s="32"/>
      <c r="DY386" s="32"/>
      <c r="DZ386" s="32"/>
      <c r="EA386" s="25"/>
      <c r="EB386" s="49"/>
      <c r="EC386" s="16">
        <v>5300125</v>
      </c>
      <c r="ED386" s="40" t="s">
        <v>224</v>
      </c>
      <c r="EE386" s="16">
        <v>1</v>
      </c>
    </row>
    <row r="387" spans="11:135" ht="13.5" customHeight="1">
      <c r="K387" s="2"/>
      <c r="L387" s="18"/>
      <c r="O387" s="25"/>
      <c r="AI387" s="28"/>
      <c r="AJ387" s="28"/>
      <c r="AK387" s="28"/>
      <c r="AL387" s="28"/>
      <c r="AM387" s="28"/>
      <c r="AN387" s="28"/>
      <c r="AO387" s="30"/>
      <c r="AP387" s="28"/>
      <c r="AS387" s="28"/>
      <c r="AT387" s="28"/>
      <c r="AU387" s="30"/>
      <c r="AV387" s="28"/>
      <c r="AW387" s="28"/>
      <c r="AX387" s="28"/>
      <c r="AZ387" s="28"/>
      <c r="BA387" s="16" t="e">
        <f t="shared" si="200"/>
        <v>#DIV/0!</v>
      </c>
      <c r="BC387" s="7" t="e">
        <f t="shared" si="196"/>
        <v>#N/A</v>
      </c>
      <c r="BR387" s="7">
        <v>1206013</v>
      </c>
      <c r="BS387" s="9">
        <f>[1]monsters!$N387</f>
        <v>201.6</v>
      </c>
      <c r="BT387" s="9">
        <f>[1]monsters!$O387</f>
        <v>20.16</v>
      </c>
      <c r="BU387" s="9">
        <f>[1]monsters!$P387</f>
        <v>3200</v>
      </c>
      <c r="BV387" s="9">
        <f>[1]monsters!$Q387</f>
        <v>320</v>
      </c>
      <c r="BW387" s="9">
        <f>[1]monsters!$R387</f>
        <v>40.32</v>
      </c>
      <c r="BX387" s="9">
        <f>[1]monsters!$S387</f>
        <v>4.03</v>
      </c>
      <c r="BY387" s="9">
        <f>[1]monsters!$K387</f>
        <v>1.4000000000000001</v>
      </c>
      <c r="BZ387" s="7">
        <f>[1]monsters!$D387</f>
        <v>3</v>
      </c>
      <c r="CA387" s="7">
        <f t="shared" si="197"/>
        <v>0.1</v>
      </c>
      <c r="CB387" s="7">
        <f t="shared" si="198"/>
        <v>298.25610774410774</v>
      </c>
      <c r="CC387" s="7">
        <f t="shared" si="199"/>
        <v>29.825610774410777</v>
      </c>
      <c r="CD387" s="7"/>
      <c r="CE387" s="7"/>
      <c r="CF387" s="7"/>
      <c r="CG387" s="7"/>
      <c r="CH387" s="7"/>
      <c r="CI387" s="7"/>
      <c r="CJ387" s="7"/>
      <c r="CK387" s="7"/>
      <c r="CL387" s="7"/>
      <c r="CM387" s="7"/>
      <c r="CN387" s="7"/>
      <c r="CO387" s="7"/>
      <c r="CP387" s="7">
        <v>0</v>
      </c>
      <c r="CR387" s="25"/>
      <c r="CS387" s="25"/>
      <c r="CT387" s="25"/>
      <c r="CU387" s="25"/>
      <c r="CV387" s="25"/>
      <c r="CW387" s="25"/>
      <c r="DP387" s="25"/>
      <c r="DQ387" s="25"/>
      <c r="DR387" s="25"/>
      <c r="DS387" s="25"/>
      <c r="DT387" s="25"/>
      <c r="DU387" s="25"/>
      <c r="DV387" s="25"/>
      <c r="DW387" s="25"/>
      <c r="DX387" s="25"/>
      <c r="DY387" s="25"/>
      <c r="DZ387" s="25"/>
      <c r="EA387" s="25"/>
      <c r="EB387" s="31"/>
      <c r="EC387" s="16">
        <v>5302125</v>
      </c>
      <c r="ED387" s="40" t="s">
        <v>234</v>
      </c>
      <c r="EE387" s="16">
        <v>1</v>
      </c>
    </row>
    <row r="388" spans="11:135" ht="13.5" customHeight="1">
      <c r="K388" s="2"/>
      <c r="O388" s="25"/>
      <c r="AI388" s="28"/>
      <c r="AJ388" s="28"/>
      <c r="AK388" s="28"/>
      <c r="AL388" s="28"/>
      <c r="AM388" s="28"/>
      <c r="AN388" s="28"/>
      <c r="AO388" s="30"/>
      <c r="AP388" s="28"/>
      <c r="AS388" s="28"/>
      <c r="AT388" s="28"/>
      <c r="AU388" s="30"/>
      <c r="AV388" s="28"/>
      <c r="AW388" s="28"/>
      <c r="AX388" s="28"/>
      <c r="AZ388" s="28"/>
      <c r="BA388" s="16" t="e">
        <f t="shared" si="200"/>
        <v>#DIV/0!</v>
      </c>
      <c r="BC388" s="7" t="e">
        <f t="shared" si="196"/>
        <v>#N/A</v>
      </c>
      <c r="BR388" s="7">
        <v>1406013</v>
      </c>
      <c r="BS388" s="9">
        <f>[1]monsters!$N388</f>
        <v>268.8</v>
      </c>
      <c r="BT388" s="9">
        <f>[1]monsters!$O388</f>
        <v>26.88</v>
      </c>
      <c r="BU388" s="9">
        <f>[1]monsters!$P388</f>
        <v>2400</v>
      </c>
      <c r="BV388" s="9">
        <f>[1]monsters!$Q388</f>
        <v>240</v>
      </c>
      <c r="BW388" s="9">
        <f>[1]monsters!$R388</f>
        <v>38.4</v>
      </c>
      <c r="BX388" s="9">
        <f>[1]monsters!$S388</f>
        <v>3.84</v>
      </c>
      <c r="BY388" s="9">
        <f>[1]monsters!$K388</f>
        <v>1.4000000000000001</v>
      </c>
      <c r="BZ388" s="7">
        <f>[1]monsters!$D388</f>
        <v>4</v>
      </c>
      <c r="CA388" s="7">
        <f t="shared" si="197"/>
        <v>0.1</v>
      </c>
      <c r="CB388" s="7">
        <f t="shared" si="198"/>
        <v>334.82408080808085</v>
      </c>
      <c r="CC388" s="7">
        <f t="shared" si="199"/>
        <v>33.482408080808085</v>
      </c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>
        <v>1</v>
      </c>
      <c r="CR388" s="25"/>
      <c r="CS388" s="25"/>
      <c r="CT388" s="25"/>
      <c r="CU388" s="25"/>
      <c r="CV388" s="25"/>
      <c r="CW388" s="25"/>
      <c r="DP388" s="25"/>
      <c r="DQ388" s="25"/>
      <c r="DR388" s="25"/>
      <c r="DS388" s="25"/>
      <c r="DT388" s="25"/>
      <c r="DU388" s="25"/>
      <c r="DV388" s="25"/>
      <c r="DW388" s="25"/>
      <c r="DX388" s="25"/>
      <c r="DY388" s="25"/>
      <c r="DZ388" s="25"/>
      <c r="EA388" s="25"/>
      <c r="EB388" s="31"/>
      <c r="EC388" s="16">
        <v>5400125</v>
      </c>
      <c r="ED388" s="40" t="s">
        <v>222</v>
      </c>
      <c r="EE388" s="16">
        <v>2</v>
      </c>
    </row>
    <row r="389" spans="11:135" ht="13.5" customHeight="1">
      <c r="K389" s="2"/>
      <c r="L389" s="18"/>
      <c r="O389" s="25"/>
      <c r="AI389" s="28"/>
      <c r="AJ389" s="28"/>
      <c r="AK389" s="28"/>
      <c r="AL389" s="28"/>
      <c r="AM389" s="28"/>
      <c r="AN389" s="28"/>
      <c r="AO389" s="30"/>
      <c r="AP389" s="28"/>
      <c r="AS389" s="28"/>
      <c r="AT389" s="28"/>
      <c r="AU389" s="30"/>
      <c r="AV389" s="28"/>
      <c r="AW389" s="28"/>
      <c r="AX389" s="28"/>
      <c r="AZ389" s="28"/>
      <c r="BA389" s="16" t="e">
        <f t="shared" si="200"/>
        <v>#DIV/0!</v>
      </c>
      <c r="BC389" s="7" t="e">
        <f t="shared" ref="BC389:BC452" si="201">FLOOR(POWER(((3000*1.5/0.9/1.05)/(96*INDEX($BD$4:$BO$4,MATCH(W389,$BD$3:$BO$3,0))*8*INDEX($BD$4:$BO$4,MATCH(W389,$BD$3:$BO$3,0)))*AI389/IF(AND(W389&gt;=2,W389&lt;4),1.2,IF(AND(W389&gt;=4,W389&lt;6),1.4,IF(W389&gt;=6,1.6,1)))),1/2)-10,1)</f>
        <v>#N/A</v>
      </c>
      <c r="BR389" s="7">
        <v>1205013</v>
      </c>
      <c r="BS389" s="9">
        <f>[1]monsters!$N389</f>
        <v>358.4</v>
      </c>
      <c r="BT389" s="9">
        <f>[1]monsters!$O389</f>
        <v>35.840000000000003</v>
      </c>
      <c r="BU389" s="9">
        <f>[1]monsters!$P389</f>
        <v>2057.14</v>
      </c>
      <c r="BV389" s="9">
        <f>[1]monsters!$Q389</f>
        <v>205.71</v>
      </c>
      <c r="BW389" s="9">
        <f>[1]monsters!$R389</f>
        <v>44.8</v>
      </c>
      <c r="BX389" s="9">
        <f>[1]monsters!$S389</f>
        <v>4.4800000000000004</v>
      </c>
      <c r="BY389" s="9">
        <f>[1]monsters!$K389</f>
        <v>1.6</v>
      </c>
      <c r="BZ389" s="7">
        <f>[1]monsters!$D389</f>
        <v>5</v>
      </c>
      <c r="CA389" s="7">
        <f t="shared" ref="CA389:CA452" si="202">INDEX($CH$5:$CH$10,MATCH($BZ389,$CG$5:$CG$10))</f>
        <v>0.1</v>
      </c>
      <c r="CB389" s="7">
        <f t="shared" ref="CB389:CB452" si="203">(BU389/33/(1-CA389)/(1-0)+BS389*(1+0.5*0.1)*0.9)</f>
        <v>407.95197306397301</v>
      </c>
      <c r="CC389" s="7">
        <f t="shared" ref="CC389:CC452" si="204">(BU389/33/(1-CA389)/(1-0)+BS389*(1+0.5*0.1)*0.9)*0.1</f>
        <v>40.795197306397306</v>
      </c>
      <c r="CD389" s="7"/>
      <c r="CE389" s="7"/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>
        <v>0</v>
      </c>
      <c r="CR389" s="25"/>
      <c r="CS389" s="25"/>
      <c r="CT389" s="25"/>
      <c r="CU389" s="25"/>
      <c r="CV389" s="25"/>
      <c r="CW389" s="25"/>
      <c r="DP389" s="25"/>
      <c r="DQ389" s="25"/>
      <c r="DR389" s="25"/>
      <c r="DS389" s="25"/>
      <c r="DT389" s="25"/>
      <c r="DU389" s="25"/>
      <c r="DV389" s="25"/>
      <c r="DW389" s="25"/>
      <c r="DX389" s="25"/>
      <c r="DY389" s="25"/>
      <c r="DZ389" s="25"/>
      <c r="EA389" s="25"/>
      <c r="EB389" s="31"/>
      <c r="EC389" s="16">
        <v>5501125</v>
      </c>
      <c r="ED389" s="42" t="s">
        <v>235</v>
      </c>
      <c r="EE389" s="16">
        <v>2</v>
      </c>
    </row>
    <row r="390" spans="11:135" ht="13.5" customHeight="1">
      <c r="K390" s="2"/>
      <c r="L390" s="18"/>
      <c r="O390" s="25"/>
      <c r="AI390" s="28"/>
      <c r="AJ390" s="28"/>
      <c r="AK390" s="28"/>
      <c r="AL390" s="28"/>
      <c r="AM390" s="28"/>
      <c r="AN390" s="28"/>
      <c r="AO390" s="30"/>
      <c r="AP390" s="28"/>
      <c r="AS390" s="28"/>
      <c r="AT390" s="28"/>
      <c r="AU390" s="30"/>
      <c r="AV390" s="28"/>
      <c r="AW390" s="28"/>
      <c r="AX390" s="28"/>
      <c r="AZ390" s="28"/>
      <c r="BA390" s="16" t="e">
        <f t="shared" si="200"/>
        <v>#DIV/0!</v>
      </c>
      <c r="BC390" s="7" t="e">
        <f t="shared" si="201"/>
        <v>#N/A</v>
      </c>
      <c r="BR390" s="7">
        <v>1405013</v>
      </c>
      <c r="BS390" s="9">
        <f>[1]monsters!$N390</f>
        <v>256</v>
      </c>
      <c r="BT390" s="9">
        <f>[1]monsters!$O390</f>
        <v>25.6</v>
      </c>
      <c r="BU390" s="9">
        <f>[1]monsters!$P390</f>
        <v>3072</v>
      </c>
      <c r="BV390" s="9">
        <f>[1]monsters!$Q390</f>
        <v>307.2</v>
      </c>
      <c r="BW390" s="9">
        <f>[1]monsters!$R390</f>
        <v>64</v>
      </c>
      <c r="BX390" s="9">
        <f>[1]monsters!$S390</f>
        <v>6.4</v>
      </c>
      <c r="BY390" s="9">
        <f>[1]monsters!$K390</f>
        <v>1.5</v>
      </c>
      <c r="BZ390" s="7">
        <f>[1]monsters!$D390</f>
        <v>2</v>
      </c>
      <c r="CA390" s="7">
        <f t="shared" si="202"/>
        <v>0.1</v>
      </c>
      <c r="CB390" s="7">
        <f t="shared" si="203"/>
        <v>345.35434343434343</v>
      </c>
      <c r="CC390" s="7">
        <f t="shared" si="204"/>
        <v>34.535434343434346</v>
      </c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>
        <v>0</v>
      </c>
      <c r="CR390" s="25"/>
      <c r="CS390" s="25"/>
      <c r="CT390" s="25"/>
      <c r="CU390" s="25"/>
      <c r="CV390" s="25"/>
      <c r="CW390" s="25"/>
      <c r="DP390" s="32"/>
      <c r="DQ390" s="32"/>
      <c r="DR390" s="32"/>
      <c r="DS390" s="32"/>
      <c r="DT390" s="32"/>
      <c r="DU390" s="32"/>
      <c r="DV390" s="32"/>
      <c r="DW390" s="32"/>
      <c r="DX390" s="32"/>
      <c r="DY390" s="32"/>
      <c r="DZ390" s="32"/>
      <c r="EA390" s="25"/>
      <c r="EB390" s="15"/>
      <c r="EC390" s="16">
        <v>5200131</v>
      </c>
      <c r="ED390" s="40" t="s">
        <v>205</v>
      </c>
      <c r="EE390" s="16">
        <v>1</v>
      </c>
    </row>
    <row r="391" spans="11:135" ht="13.5" customHeight="1">
      <c r="K391" s="2"/>
      <c r="L391" s="18"/>
      <c r="O391" s="25"/>
      <c r="AI391" s="28"/>
      <c r="AJ391" s="28"/>
      <c r="AK391" s="28"/>
      <c r="AL391" s="28"/>
      <c r="AM391" s="28"/>
      <c r="AN391" s="28"/>
      <c r="AO391" s="30"/>
      <c r="AP391" s="28"/>
      <c r="AS391" s="28"/>
      <c r="AT391" s="28"/>
      <c r="AU391" s="30"/>
      <c r="AV391" s="28"/>
      <c r="AW391" s="28"/>
      <c r="AX391" s="28"/>
      <c r="AZ391" s="28"/>
      <c r="BA391" s="16" t="e">
        <f t="shared" si="200"/>
        <v>#DIV/0!</v>
      </c>
      <c r="BC391" s="7" t="e">
        <f t="shared" si="201"/>
        <v>#N/A</v>
      </c>
      <c r="BR391" s="7">
        <v>1203013</v>
      </c>
      <c r="BS391" s="9">
        <f>[1]monsters!$N391</f>
        <v>245.76</v>
      </c>
      <c r="BT391" s="9">
        <f>[1]monsters!$O391</f>
        <v>24.58</v>
      </c>
      <c r="BU391" s="9">
        <f>[1]monsters!$P391</f>
        <v>3840</v>
      </c>
      <c r="BV391" s="9">
        <f>[1]monsters!$Q391</f>
        <v>384</v>
      </c>
      <c r="BW391" s="9">
        <f>[1]monsters!$R391</f>
        <v>81.92</v>
      </c>
      <c r="BX391" s="9">
        <f>[1]monsters!$S391</f>
        <v>8.19</v>
      </c>
      <c r="BY391" s="9">
        <f>[1]monsters!$K391</f>
        <v>1.8</v>
      </c>
      <c r="BZ391" s="7">
        <f>[1]monsters!$D391</f>
        <v>2</v>
      </c>
      <c r="CA391" s="7">
        <f t="shared" si="202"/>
        <v>0.1</v>
      </c>
      <c r="CB391" s="7">
        <f t="shared" si="203"/>
        <v>361.53612929292927</v>
      </c>
      <c r="CC391" s="7">
        <f t="shared" si="204"/>
        <v>36.153612929292926</v>
      </c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>
        <v>0</v>
      </c>
      <c r="CR391" s="25"/>
      <c r="CS391" s="25"/>
      <c r="CT391" s="25"/>
      <c r="CU391" s="25"/>
      <c r="CV391" s="25"/>
      <c r="CW391" s="25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25"/>
      <c r="EB391" s="31"/>
      <c r="EC391" s="16">
        <v>5201131</v>
      </c>
      <c r="ED391" s="40" t="s">
        <v>206</v>
      </c>
      <c r="EE391" s="16">
        <v>1</v>
      </c>
    </row>
    <row r="392" spans="11:135" ht="13.5" customHeight="1">
      <c r="K392" s="2"/>
      <c r="L392" s="18"/>
      <c r="O392" s="25"/>
      <c r="AI392" s="28"/>
      <c r="AJ392" s="28"/>
      <c r="AK392" s="28"/>
      <c r="AL392" s="28"/>
      <c r="AM392" s="28"/>
      <c r="AN392" s="28"/>
      <c r="AO392" s="30"/>
      <c r="AP392" s="28"/>
      <c r="AS392" s="28"/>
      <c r="AT392" s="28"/>
      <c r="AU392" s="30"/>
      <c r="AV392" s="28"/>
      <c r="AW392" s="28"/>
      <c r="AX392" s="28"/>
      <c r="AZ392" s="28"/>
      <c r="BA392" s="16" t="e">
        <f t="shared" si="200"/>
        <v>#DIV/0!</v>
      </c>
      <c r="BC392" s="7" t="e">
        <f t="shared" si="201"/>
        <v>#N/A</v>
      </c>
      <c r="BR392" s="7">
        <v>1403013</v>
      </c>
      <c r="BS392" s="9">
        <f>[1]monsters!$N392</f>
        <v>276.48</v>
      </c>
      <c r="BT392" s="9">
        <f>[1]monsters!$O392</f>
        <v>27.65</v>
      </c>
      <c r="BU392" s="9">
        <f>[1]monsters!$P392</f>
        <v>3413.33</v>
      </c>
      <c r="BV392" s="9">
        <f>[1]monsters!$Q392</f>
        <v>341.33</v>
      </c>
      <c r="BW392" s="9">
        <f>[1]monsters!$R392</f>
        <v>55.3</v>
      </c>
      <c r="BX392" s="9">
        <f>[1]monsters!$S392</f>
        <v>5.53</v>
      </c>
      <c r="BY392" s="9">
        <f>[1]monsters!$K392</f>
        <v>1.8</v>
      </c>
      <c r="BZ392" s="7">
        <f>[1]monsters!$D392</f>
        <v>2</v>
      </c>
      <c r="CA392" s="7">
        <f t="shared" si="202"/>
        <v>0.1</v>
      </c>
      <c r="CB392" s="7">
        <f t="shared" si="203"/>
        <v>376.20053602693611</v>
      </c>
      <c r="CC392" s="7">
        <f t="shared" si="204"/>
        <v>37.620053602693609</v>
      </c>
      <c r="CD392" s="7"/>
      <c r="CE392" s="7"/>
      <c r="CF392" s="7"/>
      <c r="CG392" s="7"/>
      <c r="CH392" s="7"/>
      <c r="CI392" s="7"/>
      <c r="CJ392" s="7"/>
      <c r="CK392" s="7"/>
      <c r="CL392" s="7"/>
      <c r="CM392" s="7"/>
      <c r="CN392" s="7"/>
      <c r="CO392" s="7"/>
      <c r="CP392" s="7">
        <v>0</v>
      </c>
      <c r="CR392" s="25"/>
      <c r="CS392" s="25"/>
      <c r="CT392" s="25"/>
      <c r="CU392" s="25"/>
      <c r="CV392" s="25"/>
      <c r="CW392" s="25"/>
      <c r="DP392" s="32"/>
      <c r="DQ392" s="32"/>
      <c r="DR392" s="36"/>
      <c r="DS392" s="36"/>
      <c r="DT392" s="36"/>
      <c r="DU392" s="36"/>
      <c r="DV392" s="36"/>
      <c r="DW392" s="36"/>
      <c r="DX392" s="36"/>
      <c r="DY392" s="36"/>
      <c r="DZ392" s="36"/>
      <c r="EA392" s="25"/>
      <c r="EB392" s="31"/>
      <c r="EC392" s="16">
        <v>5202131</v>
      </c>
      <c r="ED392" s="40" t="s">
        <v>117</v>
      </c>
      <c r="EE392" s="16">
        <v>1</v>
      </c>
    </row>
    <row r="393" spans="11:135" ht="13.5" customHeight="1">
      <c r="K393" s="2"/>
      <c r="O393" s="25"/>
      <c r="AI393" s="28"/>
      <c r="AJ393" s="28"/>
      <c r="AK393" s="28"/>
      <c r="AL393" s="28"/>
      <c r="AM393" s="28"/>
      <c r="AN393" s="28"/>
      <c r="AO393" s="30"/>
      <c r="AP393" s="28"/>
      <c r="AS393" s="28"/>
      <c r="AT393" s="28"/>
      <c r="AU393" s="30"/>
      <c r="AV393" s="28"/>
      <c r="AW393" s="28"/>
      <c r="AX393" s="28"/>
      <c r="AZ393" s="28"/>
      <c r="BA393" s="16" t="e">
        <f t="shared" si="200"/>
        <v>#DIV/0!</v>
      </c>
      <c r="BC393" s="7" t="e">
        <f t="shared" si="201"/>
        <v>#N/A</v>
      </c>
      <c r="BR393" s="7">
        <v>1204013</v>
      </c>
      <c r="BS393" s="9">
        <f>[1]monsters!$N393</f>
        <v>184.32</v>
      </c>
      <c r="BT393" s="9">
        <f>[1]monsters!$O393</f>
        <v>18.43</v>
      </c>
      <c r="BU393" s="9">
        <f>[1]monsters!$P393</f>
        <v>3413.33</v>
      </c>
      <c r="BV393" s="9">
        <f>[1]monsters!$Q393</f>
        <v>341.33</v>
      </c>
      <c r="BW393" s="9">
        <f>[1]monsters!$R393</f>
        <v>36.86</v>
      </c>
      <c r="BX393" s="9">
        <f>[1]monsters!$S393</f>
        <v>3.69</v>
      </c>
      <c r="BY393" s="9">
        <f>[1]monsters!$K393</f>
        <v>1.2</v>
      </c>
      <c r="BZ393" s="7">
        <f>[1]monsters!$D393</f>
        <v>3</v>
      </c>
      <c r="CA393" s="7">
        <f t="shared" si="202"/>
        <v>0.1</v>
      </c>
      <c r="CB393" s="7">
        <f t="shared" si="203"/>
        <v>289.10933602693603</v>
      </c>
      <c r="CC393" s="7">
        <f t="shared" si="204"/>
        <v>28.910933602693603</v>
      </c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>
        <v>1</v>
      </c>
      <c r="CR393" s="25"/>
      <c r="CS393" s="25"/>
      <c r="CT393" s="25"/>
      <c r="CU393" s="25"/>
      <c r="CV393" s="25"/>
      <c r="CW393" s="25"/>
      <c r="DP393" s="32"/>
      <c r="DQ393" s="32"/>
      <c r="DR393" s="32"/>
      <c r="DS393" s="36"/>
      <c r="DT393" s="36"/>
      <c r="DU393" s="36"/>
      <c r="DV393" s="36"/>
      <c r="DW393" s="36"/>
      <c r="DX393" s="36"/>
      <c r="DY393" s="36"/>
      <c r="DZ393" s="36"/>
      <c r="EA393" s="25"/>
      <c r="EB393" s="31"/>
      <c r="EC393" s="16">
        <v>5301131</v>
      </c>
      <c r="ED393" s="40" t="s">
        <v>113</v>
      </c>
      <c r="EE393" s="16">
        <v>1</v>
      </c>
    </row>
    <row r="394" spans="11:135" ht="13.5" customHeight="1">
      <c r="K394" s="2"/>
      <c r="L394" s="18"/>
      <c r="O394" s="25"/>
      <c r="AI394" s="28"/>
      <c r="AJ394" s="28"/>
      <c r="AK394" s="28"/>
      <c r="AL394" s="28"/>
      <c r="AM394" s="28"/>
      <c r="AN394" s="28"/>
      <c r="AO394" s="30"/>
      <c r="AP394" s="28"/>
      <c r="AS394" s="28"/>
      <c r="AT394" s="28"/>
      <c r="AU394" s="30"/>
      <c r="AV394" s="28"/>
      <c r="AW394" s="28"/>
      <c r="AX394" s="28"/>
      <c r="AZ394" s="28"/>
      <c r="BA394" s="16" t="e">
        <f t="shared" si="200"/>
        <v>#DIV/0!</v>
      </c>
      <c r="BC394" s="7" t="e">
        <f t="shared" si="201"/>
        <v>#N/A</v>
      </c>
      <c r="BR394" s="7">
        <v>1404013</v>
      </c>
      <c r="BS394" s="9">
        <f>[1]monsters!$N394</f>
        <v>327.68</v>
      </c>
      <c r="BT394" s="9">
        <f>[1]monsters!$O394</f>
        <v>32.770000000000003</v>
      </c>
      <c r="BU394" s="9">
        <f>[1]monsters!$P394</f>
        <v>2560</v>
      </c>
      <c r="BV394" s="9">
        <f>[1]monsters!$Q394</f>
        <v>256</v>
      </c>
      <c r="BW394" s="9">
        <f>[1]monsters!$R394</f>
        <v>46.81</v>
      </c>
      <c r="BX394" s="9">
        <f>[1]monsters!$S394</f>
        <v>4.68</v>
      </c>
      <c r="BY394" s="9">
        <f>[1]monsters!$K394</f>
        <v>1.6</v>
      </c>
      <c r="BZ394" s="7">
        <f>[1]monsters!$D394</f>
        <v>4</v>
      </c>
      <c r="CA394" s="7">
        <f t="shared" si="202"/>
        <v>0.1</v>
      </c>
      <c r="CB394" s="7">
        <f t="shared" si="203"/>
        <v>395.8528861952862</v>
      </c>
      <c r="CC394" s="7">
        <f t="shared" si="204"/>
        <v>39.585288619528626</v>
      </c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>
        <v>0</v>
      </c>
      <c r="CR394" s="25"/>
      <c r="CS394" s="25"/>
      <c r="CT394" s="25"/>
      <c r="CU394" s="25"/>
      <c r="CV394" s="25"/>
      <c r="CW394" s="25"/>
      <c r="DP394" s="32"/>
      <c r="DQ394" s="32"/>
      <c r="DR394" s="36"/>
      <c r="DS394" s="14"/>
      <c r="DT394" s="36"/>
      <c r="DU394" s="36"/>
      <c r="DV394" s="36"/>
      <c r="DW394" s="36"/>
      <c r="DX394" s="36"/>
      <c r="DY394" s="36"/>
      <c r="DZ394" s="36"/>
      <c r="EA394" s="25"/>
      <c r="EB394" s="15"/>
      <c r="EC394" s="16">
        <v>5401131</v>
      </c>
      <c r="ED394" s="40" t="s">
        <v>123</v>
      </c>
      <c r="EE394" s="16">
        <v>2</v>
      </c>
    </row>
    <row r="395" spans="11:135" ht="13.5" customHeight="1">
      <c r="K395" s="2"/>
      <c r="L395" s="18"/>
      <c r="O395" s="25"/>
      <c r="AI395" s="28"/>
      <c r="AJ395" s="28"/>
      <c r="AK395" s="28"/>
      <c r="AL395" s="28"/>
      <c r="AM395" s="28"/>
      <c r="AN395" s="28"/>
      <c r="AO395" s="30"/>
      <c r="AP395" s="28"/>
      <c r="AS395" s="28"/>
      <c r="AT395" s="28"/>
      <c r="AU395" s="30"/>
      <c r="AV395" s="28"/>
      <c r="AW395" s="28"/>
      <c r="AX395" s="28"/>
      <c r="AZ395" s="28"/>
      <c r="BA395" s="16" t="e">
        <f t="shared" si="200"/>
        <v>#DIV/0!</v>
      </c>
      <c r="BC395" s="7" t="e">
        <f t="shared" si="201"/>
        <v>#N/A</v>
      </c>
      <c r="BR395" s="7">
        <v>1303013</v>
      </c>
      <c r="BS395" s="9">
        <f>[1]monsters!$N395</f>
        <v>307.2</v>
      </c>
      <c r="BT395" s="9">
        <f>[1]monsters!$O395</f>
        <v>30.72</v>
      </c>
      <c r="BU395" s="9">
        <f>[1]monsters!$P395</f>
        <v>2560</v>
      </c>
      <c r="BV395" s="9">
        <f>[1]monsters!$Q395</f>
        <v>256</v>
      </c>
      <c r="BW395" s="9">
        <f>[1]monsters!$R395</f>
        <v>43.89</v>
      </c>
      <c r="BX395" s="9">
        <f>[1]monsters!$S395</f>
        <v>4.3899999999999997</v>
      </c>
      <c r="BY395" s="9">
        <f>[1]monsters!$K395</f>
        <v>1.5</v>
      </c>
      <c r="BZ395" s="7">
        <f>[1]monsters!$D395</f>
        <v>4</v>
      </c>
      <c r="CA395" s="7">
        <f t="shared" si="202"/>
        <v>0.1</v>
      </c>
      <c r="CB395" s="7">
        <f t="shared" si="203"/>
        <v>376.49928619528623</v>
      </c>
      <c r="CC395" s="7">
        <f t="shared" si="204"/>
        <v>37.649928619528623</v>
      </c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>
        <v>0</v>
      </c>
      <c r="CR395" s="25"/>
      <c r="CS395" s="25"/>
      <c r="CT395" s="25"/>
      <c r="CU395" s="25"/>
      <c r="CV395" s="25"/>
      <c r="CW395" s="25"/>
      <c r="DP395" s="32"/>
      <c r="DQ395" s="32"/>
      <c r="DR395" s="32"/>
      <c r="DS395" s="36"/>
      <c r="DT395" s="36"/>
      <c r="DU395" s="36"/>
      <c r="DV395" s="36"/>
      <c r="DW395" s="36"/>
      <c r="DX395" s="36"/>
      <c r="DY395" s="36"/>
      <c r="DZ395" s="36"/>
      <c r="EA395" s="25"/>
      <c r="EB395" s="31"/>
      <c r="EC395" s="16">
        <v>5402131</v>
      </c>
      <c r="ED395" s="40" t="s">
        <v>207</v>
      </c>
      <c r="EE395" s="16">
        <v>2</v>
      </c>
    </row>
    <row r="396" spans="11:135" ht="13.5" customHeight="1">
      <c r="K396" s="2"/>
      <c r="L396" s="18"/>
      <c r="O396" s="25"/>
      <c r="AI396" s="28"/>
      <c r="AJ396" s="28"/>
      <c r="AK396" s="28"/>
      <c r="AL396" s="28"/>
      <c r="AM396" s="28"/>
      <c r="AN396" s="28"/>
      <c r="AO396" s="30"/>
      <c r="AP396" s="28"/>
      <c r="AS396" s="28"/>
      <c r="AT396" s="28"/>
      <c r="AU396" s="30"/>
      <c r="AV396" s="28"/>
      <c r="AW396" s="28"/>
      <c r="AX396" s="28"/>
      <c r="AZ396" s="28"/>
      <c r="BA396" s="16" t="e">
        <f t="shared" si="200"/>
        <v>#DIV/0!</v>
      </c>
      <c r="BC396" s="7" t="e">
        <f t="shared" si="201"/>
        <v>#N/A</v>
      </c>
      <c r="BR396" s="7">
        <v>1304013</v>
      </c>
      <c r="BS396" s="9">
        <f>[1]monsters!$N396</f>
        <v>358.4</v>
      </c>
      <c r="BT396" s="9">
        <f>[1]monsters!$O396</f>
        <v>35.840000000000003</v>
      </c>
      <c r="BU396" s="9">
        <f>[1]monsters!$P396</f>
        <v>2194.29</v>
      </c>
      <c r="BV396" s="9">
        <f>[1]monsters!$Q396</f>
        <v>219.43</v>
      </c>
      <c r="BW396" s="9">
        <f>[1]monsters!$R396</f>
        <v>44.8</v>
      </c>
      <c r="BX396" s="9">
        <f>[1]monsters!$S396</f>
        <v>4.4800000000000004</v>
      </c>
      <c r="BY396" s="9">
        <f>[1]monsters!$K396</f>
        <v>1.5</v>
      </c>
      <c r="BZ396" s="7">
        <f>[1]monsters!$D396</f>
        <v>5</v>
      </c>
      <c r="CA396" s="7">
        <f t="shared" si="202"/>
        <v>0.1</v>
      </c>
      <c r="CB396" s="7">
        <f t="shared" si="203"/>
        <v>412.56981818181816</v>
      </c>
      <c r="CC396" s="7">
        <f t="shared" si="204"/>
        <v>41.256981818181821</v>
      </c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>
        <v>0</v>
      </c>
      <c r="CR396" s="25"/>
      <c r="CS396" s="25"/>
      <c r="CT396" s="25"/>
      <c r="CU396" s="25"/>
      <c r="CV396" s="25"/>
      <c r="CW396" s="25"/>
      <c r="DP396" s="32"/>
      <c r="DQ396" s="32"/>
      <c r="DR396" s="32"/>
      <c r="DS396" s="32"/>
      <c r="DT396" s="32"/>
      <c r="DU396" s="32"/>
      <c r="DV396" s="32"/>
      <c r="DW396" s="32"/>
      <c r="DX396" s="32"/>
      <c r="DY396" s="32"/>
      <c r="DZ396" s="32"/>
      <c r="EA396" s="25"/>
      <c r="EB396" s="31"/>
      <c r="EC396" s="16">
        <v>5500131</v>
      </c>
      <c r="ED396" s="40" t="s">
        <v>208</v>
      </c>
      <c r="EE396" s="16">
        <v>2</v>
      </c>
    </row>
    <row r="397" spans="11:135" ht="13.5" customHeight="1">
      <c r="K397" s="2"/>
      <c r="L397" s="18"/>
      <c r="O397" s="25"/>
      <c r="AI397" s="28"/>
      <c r="AJ397" s="28"/>
      <c r="AK397" s="28"/>
      <c r="AL397" s="28"/>
      <c r="AM397" s="28"/>
      <c r="AN397" s="28"/>
      <c r="AO397" s="30"/>
      <c r="AP397" s="28"/>
      <c r="AS397" s="28"/>
      <c r="AT397" s="28"/>
      <c r="AU397" s="30"/>
      <c r="AV397" s="28"/>
      <c r="AW397" s="28"/>
      <c r="AX397" s="28"/>
      <c r="AZ397" s="28"/>
      <c r="BA397" s="16" t="e">
        <f t="shared" si="200"/>
        <v>#DIV/0!</v>
      </c>
      <c r="BC397" s="7" t="e">
        <f t="shared" si="201"/>
        <v>#N/A</v>
      </c>
      <c r="BR397" s="7">
        <v>1503013</v>
      </c>
      <c r="BS397" s="9">
        <f>[1]monsters!$N397</f>
        <v>334.51</v>
      </c>
      <c r="BT397" s="9">
        <f>[1]monsters!$O397</f>
        <v>33.450000000000003</v>
      </c>
      <c r="BU397" s="9">
        <f>[1]monsters!$P397</f>
        <v>2194.29</v>
      </c>
      <c r="BV397" s="9">
        <f>[1]monsters!$Q397</f>
        <v>219.43</v>
      </c>
      <c r="BW397" s="9">
        <f>[1]monsters!$R397</f>
        <v>41.81</v>
      </c>
      <c r="BX397" s="9">
        <f>[1]monsters!$S397</f>
        <v>4.18</v>
      </c>
      <c r="BY397" s="9">
        <f>[1]monsters!$K397</f>
        <v>1.4000000000000001</v>
      </c>
      <c r="BZ397" s="7">
        <f>[1]monsters!$D397</f>
        <v>5</v>
      </c>
      <c r="CA397" s="7">
        <f t="shared" si="202"/>
        <v>0.1</v>
      </c>
      <c r="CB397" s="7">
        <f t="shared" si="203"/>
        <v>389.99376818181821</v>
      </c>
      <c r="CC397" s="7">
        <f t="shared" si="204"/>
        <v>38.999376818181823</v>
      </c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>
        <v>0</v>
      </c>
      <c r="CR397" s="25"/>
      <c r="CS397" s="25"/>
      <c r="CT397" s="25"/>
      <c r="CU397" s="25"/>
      <c r="CV397" s="25"/>
      <c r="CW397" s="25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25"/>
      <c r="EB397" s="15"/>
      <c r="EC397" s="16">
        <v>5502131</v>
      </c>
      <c r="ED397" s="40" t="s">
        <v>130</v>
      </c>
      <c r="EE397" s="16">
        <v>2</v>
      </c>
    </row>
    <row r="398" spans="11:135" ht="13.5" customHeight="1">
      <c r="K398" s="2"/>
      <c r="O398" s="25"/>
      <c r="AI398" s="28"/>
      <c r="AJ398" s="28"/>
      <c r="AK398" s="28"/>
      <c r="AL398" s="28"/>
      <c r="AM398" s="28"/>
      <c r="AN398" s="28"/>
      <c r="AO398" s="30"/>
      <c r="AP398" s="28"/>
      <c r="AS398" s="28"/>
      <c r="AT398" s="28"/>
      <c r="AU398" s="30"/>
      <c r="AV398" s="28"/>
      <c r="AW398" s="28"/>
      <c r="AX398" s="28"/>
      <c r="AZ398" s="28"/>
      <c r="BA398" s="16" t="e">
        <f t="shared" si="200"/>
        <v>#DIV/0!</v>
      </c>
      <c r="BC398" s="7" t="e">
        <f t="shared" si="201"/>
        <v>#N/A</v>
      </c>
      <c r="BR398" s="7">
        <v>1504013</v>
      </c>
      <c r="BS398" s="9">
        <f>[1]monsters!$N398</f>
        <v>396.8</v>
      </c>
      <c r="BT398" s="9">
        <f>[1]monsters!$O398</f>
        <v>39.68</v>
      </c>
      <c r="BU398" s="9">
        <f>[1]monsters!$P398</f>
        <v>1981.94</v>
      </c>
      <c r="BV398" s="9">
        <f>[1]monsters!$Q398</f>
        <v>198.19</v>
      </c>
      <c r="BW398" s="9">
        <f>[1]monsters!$R398</f>
        <v>39.68</v>
      </c>
      <c r="BX398" s="9">
        <f>[1]monsters!$S398</f>
        <v>3.97</v>
      </c>
      <c r="BY398" s="9">
        <f>[1]monsters!$K398</f>
        <v>1.5</v>
      </c>
      <c r="BZ398" s="7">
        <f>[1]monsters!$D398</f>
        <v>6</v>
      </c>
      <c r="CA398" s="7">
        <f t="shared" si="202"/>
        <v>0.1</v>
      </c>
      <c r="CB398" s="7">
        <f t="shared" si="203"/>
        <v>441.70798653198659</v>
      </c>
      <c r="CC398" s="7">
        <f t="shared" si="204"/>
        <v>44.170798653198659</v>
      </c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>
        <v>1</v>
      </c>
      <c r="CR398" s="25"/>
      <c r="CS398" s="25"/>
      <c r="CT398" s="25"/>
      <c r="CU398" s="25"/>
      <c r="CV398" s="25"/>
      <c r="CW398" s="25"/>
      <c r="DP398" s="32"/>
      <c r="DQ398" s="32"/>
      <c r="DR398" s="32"/>
      <c r="DS398" s="32"/>
      <c r="DT398" s="32"/>
      <c r="DU398" s="32"/>
      <c r="DV398" s="32"/>
      <c r="DW398" s="32"/>
      <c r="DX398" s="32"/>
      <c r="DY398" s="32"/>
      <c r="DZ398" s="32"/>
      <c r="EA398" s="25"/>
      <c r="EB398" s="31"/>
      <c r="EC398" s="16">
        <v>5601131</v>
      </c>
      <c r="ED398" s="40" t="s">
        <v>209</v>
      </c>
      <c r="EE398" s="16">
        <v>2</v>
      </c>
    </row>
    <row r="399" spans="11:135" ht="13.5" customHeight="1">
      <c r="K399" s="2"/>
      <c r="L399" s="18"/>
      <c r="O399" s="25"/>
      <c r="AI399" s="28"/>
      <c r="AJ399" s="28"/>
      <c r="AK399" s="28"/>
      <c r="AL399" s="28"/>
      <c r="AM399" s="28"/>
      <c r="AN399" s="28"/>
      <c r="AO399" s="30"/>
      <c r="AP399" s="28"/>
      <c r="AS399" s="28"/>
      <c r="AT399" s="28"/>
      <c r="AU399" s="30"/>
      <c r="AV399" s="28"/>
      <c r="AW399" s="28"/>
      <c r="AX399" s="28"/>
      <c r="AZ399" s="28"/>
      <c r="BA399" s="16" t="e">
        <f t="shared" si="200"/>
        <v>#DIV/0!</v>
      </c>
      <c r="BC399" s="7" t="e">
        <f t="shared" si="201"/>
        <v>#N/A</v>
      </c>
      <c r="BR399" s="7">
        <v>1101013</v>
      </c>
      <c r="BS399" s="9">
        <f>[1]monsters!$N399</f>
        <v>256</v>
      </c>
      <c r="BT399" s="9">
        <f>[1]monsters!$O399</f>
        <v>25.6</v>
      </c>
      <c r="BU399" s="9">
        <f>[1]monsters!$P399</f>
        <v>3072</v>
      </c>
      <c r="BV399" s="9">
        <f>[1]monsters!$Q399</f>
        <v>307.2</v>
      </c>
      <c r="BW399" s="9">
        <f>[1]monsters!$R399</f>
        <v>64</v>
      </c>
      <c r="BX399" s="9">
        <f>[1]monsters!$S399</f>
        <v>6.4</v>
      </c>
      <c r="BY399" s="9">
        <f>[1]monsters!$K399</f>
        <v>1.5</v>
      </c>
      <c r="BZ399" s="7">
        <f>[1]monsters!$D399</f>
        <v>2</v>
      </c>
      <c r="CA399" s="7">
        <f t="shared" si="202"/>
        <v>0.1</v>
      </c>
      <c r="CB399" s="7">
        <f t="shared" si="203"/>
        <v>345.35434343434343</v>
      </c>
      <c r="CC399" s="7">
        <f t="shared" si="204"/>
        <v>34.535434343434346</v>
      </c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>
        <v>0</v>
      </c>
      <c r="CR399" s="25"/>
      <c r="CS399" s="25"/>
      <c r="CT399" s="25"/>
      <c r="CU399" s="25"/>
      <c r="CV399" s="25"/>
      <c r="CW399" s="25"/>
      <c r="DP399" s="13"/>
      <c r="DQ399" s="32"/>
      <c r="DR399" s="13"/>
      <c r="DS399" s="32"/>
      <c r="DT399" s="32"/>
      <c r="DU399" s="32"/>
      <c r="DV399" s="32"/>
      <c r="DW399" s="32"/>
      <c r="DX399" s="32"/>
      <c r="DY399" s="32"/>
      <c r="DZ399" s="32"/>
      <c r="EA399" s="25"/>
      <c r="EB399" s="31"/>
      <c r="EC399" s="16">
        <v>5200132</v>
      </c>
      <c r="ED399" s="40" t="s">
        <v>210</v>
      </c>
      <c r="EE399" s="16">
        <v>1</v>
      </c>
    </row>
    <row r="400" spans="11:135" ht="13.5" customHeight="1">
      <c r="K400" s="2"/>
      <c r="L400" s="18"/>
      <c r="O400" s="25"/>
      <c r="AI400" s="28"/>
      <c r="AJ400" s="28"/>
      <c r="AK400" s="28"/>
      <c r="AL400" s="28"/>
      <c r="AM400" s="28"/>
      <c r="AN400" s="28"/>
      <c r="AO400" s="30"/>
      <c r="AP400" s="28"/>
      <c r="AS400" s="28"/>
      <c r="AT400" s="28"/>
      <c r="AU400" s="30"/>
      <c r="AV400" s="28"/>
      <c r="AW400" s="28"/>
      <c r="AX400" s="28"/>
      <c r="AZ400" s="28"/>
      <c r="BA400" s="16" t="e">
        <f t="shared" si="200"/>
        <v>#DIV/0!</v>
      </c>
      <c r="BC400" s="7" t="e">
        <f t="shared" si="201"/>
        <v>#N/A</v>
      </c>
      <c r="BR400" s="7">
        <v>1102013</v>
      </c>
      <c r="BS400" s="9">
        <f>[1]monsters!$N400</f>
        <v>245.76</v>
      </c>
      <c r="BT400" s="9">
        <f>[1]monsters!$O400</f>
        <v>24.58</v>
      </c>
      <c r="BU400" s="9">
        <f>[1]monsters!$P400</f>
        <v>3840</v>
      </c>
      <c r="BV400" s="9">
        <f>[1]monsters!$Q400</f>
        <v>384</v>
      </c>
      <c r="BW400" s="9">
        <f>[1]monsters!$R400</f>
        <v>81.92</v>
      </c>
      <c r="BX400" s="9">
        <f>[1]monsters!$S400</f>
        <v>8.19</v>
      </c>
      <c r="BY400" s="9">
        <f>[1]monsters!$K400</f>
        <v>1.8</v>
      </c>
      <c r="BZ400" s="7">
        <f>[1]monsters!$D400</f>
        <v>2</v>
      </c>
      <c r="CA400" s="7">
        <f t="shared" si="202"/>
        <v>0.1</v>
      </c>
      <c r="CB400" s="7">
        <f t="shared" si="203"/>
        <v>361.53612929292927</v>
      </c>
      <c r="CC400" s="7">
        <f t="shared" si="204"/>
        <v>36.153612929292926</v>
      </c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>
        <v>0</v>
      </c>
      <c r="CR400" s="25"/>
      <c r="CS400" s="25"/>
      <c r="CT400" s="25"/>
      <c r="CU400" s="25"/>
      <c r="CV400" s="25"/>
      <c r="CW400" s="25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25"/>
      <c r="EB400" s="31"/>
      <c r="EC400" s="16">
        <v>5201132</v>
      </c>
      <c r="ED400" s="40" t="s">
        <v>120</v>
      </c>
      <c r="EE400" s="16">
        <v>1</v>
      </c>
    </row>
    <row r="401" spans="11:135" ht="13.5" customHeight="1">
      <c r="K401" s="2"/>
      <c r="L401" s="18"/>
      <c r="O401" s="25"/>
      <c r="AI401" s="28"/>
      <c r="AJ401" s="28"/>
      <c r="AK401" s="28"/>
      <c r="AL401" s="28"/>
      <c r="AM401" s="28"/>
      <c r="AN401" s="28"/>
      <c r="AO401" s="30"/>
      <c r="AP401" s="28"/>
      <c r="AS401" s="28"/>
      <c r="AT401" s="28"/>
      <c r="AU401" s="30"/>
      <c r="AV401" s="28"/>
      <c r="AW401" s="28"/>
      <c r="AX401" s="28"/>
      <c r="AZ401" s="28"/>
      <c r="BA401" s="16" t="e">
        <f t="shared" si="200"/>
        <v>#DIV/0!</v>
      </c>
      <c r="BC401" s="7" t="e">
        <f t="shared" si="201"/>
        <v>#N/A</v>
      </c>
      <c r="BR401" s="7">
        <v>1206014</v>
      </c>
      <c r="BS401" s="9">
        <f>[1]monsters!$N401</f>
        <v>276.48</v>
      </c>
      <c r="BT401" s="9">
        <f>[1]monsters!$O401</f>
        <v>27.65</v>
      </c>
      <c r="BU401" s="9">
        <f>[1]monsters!$P401</f>
        <v>3413.33</v>
      </c>
      <c r="BV401" s="9">
        <f>[1]monsters!$Q401</f>
        <v>341.33</v>
      </c>
      <c r="BW401" s="9">
        <f>[1]monsters!$R401</f>
        <v>55.3</v>
      </c>
      <c r="BX401" s="9">
        <f>[1]monsters!$S401</f>
        <v>5.53</v>
      </c>
      <c r="BY401" s="9">
        <f>[1]monsters!$K401</f>
        <v>1.8</v>
      </c>
      <c r="BZ401" s="7">
        <f>[1]monsters!$D401</f>
        <v>2</v>
      </c>
      <c r="CA401" s="7">
        <f t="shared" si="202"/>
        <v>0.1</v>
      </c>
      <c r="CB401" s="7">
        <f t="shared" si="203"/>
        <v>376.20053602693611</v>
      </c>
      <c r="CC401" s="7">
        <f t="shared" si="204"/>
        <v>37.620053602693609</v>
      </c>
      <c r="CD401" s="7"/>
      <c r="CE401" s="7"/>
      <c r="CF401" s="7"/>
      <c r="CG401" s="7"/>
      <c r="CH401" s="7"/>
      <c r="CI401" s="7"/>
      <c r="CJ401" s="7"/>
      <c r="CK401" s="7"/>
      <c r="CL401" s="7"/>
      <c r="CM401" s="7"/>
      <c r="CN401" s="7"/>
      <c r="CO401" s="7"/>
      <c r="CP401" s="7">
        <v>0</v>
      </c>
      <c r="CR401" s="25"/>
      <c r="CS401" s="25"/>
      <c r="CT401" s="25"/>
      <c r="CU401" s="25"/>
      <c r="CV401" s="25"/>
      <c r="CW401" s="25"/>
      <c r="DP401" s="32"/>
      <c r="DQ401" s="32"/>
      <c r="DR401" s="36"/>
      <c r="DS401" s="36"/>
      <c r="DT401" s="32"/>
      <c r="DU401" s="32"/>
      <c r="DV401" s="32"/>
      <c r="DW401" s="32"/>
      <c r="DX401" s="32"/>
      <c r="DY401" s="32"/>
      <c r="DZ401" s="32"/>
      <c r="EA401" s="25"/>
      <c r="EB401" s="43"/>
      <c r="EC401" s="16">
        <v>5202132</v>
      </c>
      <c r="ED401" s="40" t="s">
        <v>211</v>
      </c>
      <c r="EE401" s="16">
        <v>1</v>
      </c>
    </row>
    <row r="402" spans="11:135" ht="13.5" customHeight="1">
      <c r="K402" s="2"/>
      <c r="L402" s="18"/>
      <c r="O402" s="25"/>
      <c r="AI402" s="28"/>
      <c r="AJ402" s="28"/>
      <c r="AK402" s="28"/>
      <c r="AL402" s="28"/>
      <c r="AM402" s="28"/>
      <c r="AN402" s="28"/>
      <c r="AO402" s="30"/>
      <c r="AP402" s="28"/>
      <c r="AS402" s="28"/>
      <c r="AT402" s="28"/>
      <c r="AU402" s="30"/>
      <c r="AV402" s="28"/>
      <c r="AW402" s="28"/>
      <c r="AX402" s="28"/>
      <c r="AZ402" s="28"/>
      <c r="BA402" s="16" t="e">
        <f t="shared" si="200"/>
        <v>#DIV/0!</v>
      </c>
      <c r="BC402" s="7" t="e">
        <f t="shared" si="201"/>
        <v>#N/A</v>
      </c>
      <c r="BR402" s="7">
        <v>1406014</v>
      </c>
      <c r="BS402" s="9">
        <f>[1]monsters!$N402</f>
        <v>184.32</v>
      </c>
      <c r="BT402" s="9">
        <f>[1]monsters!$O402</f>
        <v>18.43</v>
      </c>
      <c r="BU402" s="9">
        <f>[1]monsters!$P402</f>
        <v>3413.33</v>
      </c>
      <c r="BV402" s="9">
        <f>[1]monsters!$Q402</f>
        <v>341.33</v>
      </c>
      <c r="BW402" s="9">
        <f>[1]monsters!$R402</f>
        <v>36.86</v>
      </c>
      <c r="BX402" s="9">
        <f>[1]monsters!$S402</f>
        <v>3.69</v>
      </c>
      <c r="BY402" s="9">
        <f>[1]monsters!$K402</f>
        <v>1.2</v>
      </c>
      <c r="BZ402" s="7">
        <f>[1]monsters!$D402</f>
        <v>3</v>
      </c>
      <c r="CA402" s="7">
        <f t="shared" si="202"/>
        <v>0.1</v>
      </c>
      <c r="CB402" s="7">
        <f t="shared" si="203"/>
        <v>289.10933602693603</v>
      </c>
      <c r="CC402" s="7">
        <f t="shared" si="204"/>
        <v>28.910933602693603</v>
      </c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>
        <v>0</v>
      </c>
      <c r="CR402" s="25"/>
      <c r="CS402" s="25"/>
      <c r="CT402" s="25"/>
      <c r="CU402" s="25"/>
      <c r="CV402" s="25"/>
      <c r="CW402" s="25"/>
      <c r="DP402" s="32"/>
      <c r="DQ402" s="32"/>
      <c r="DR402" s="36"/>
      <c r="DS402" s="36"/>
      <c r="DT402" s="36"/>
      <c r="DU402" s="36"/>
      <c r="DV402" s="36"/>
      <c r="DW402" s="36"/>
      <c r="DX402" s="36"/>
      <c r="DY402" s="36"/>
      <c r="DZ402" s="36"/>
      <c r="EA402" s="25"/>
      <c r="EB402" s="43"/>
      <c r="EC402" s="16">
        <v>5301132</v>
      </c>
      <c r="ED402" s="40" t="s">
        <v>212</v>
      </c>
      <c r="EE402" s="16">
        <v>1</v>
      </c>
    </row>
    <row r="403" spans="11:135" ht="13.5" customHeight="1">
      <c r="K403" s="2"/>
      <c r="O403" s="25"/>
      <c r="AI403" s="28"/>
      <c r="AJ403" s="28"/>
      <c r="AK403" s="28"/>
      <c r="AL403" s="28"/>
      <c r="AM403" s="28"/>
      <c r="AN403" s="28"/>
      <c r="AO403" s="30"/>
      <c r="AP403" s="28"/>
      <c r="AS403" s="28"/>
      <c r="AT403" s="28"/>
      <c r="AU403" s="30"/>
      <c r="AV403" s="28"/>
      <c r="AW403" s="28"/>
      <c r="AX403" s="28"/>
      <c r="AZ403" s="28"/>
      <c r="BA403" s="16" t="e">
        <f t="shared" si="200"/>
        <v>#DIV/0!</v>
      </c>
      <c r="BC403" s="7" t="e">
        <f t="shared" si="201"/>
        <v>#N/A</v>
      </c>
      <c r="BR403" s="7">
        <v>1205014</v>
      </c>
      <c r="BS403" s="9">
        <f>[1]monsters!$N403</f>
        <v>327.68</v>
      </c>
      <c r="BT403" s="9">
        <f>[1]monsters!$O403</f>
        <v>32.770000000000003</v>
      </c>
      <c r="BU403" s="9">
        <f>[1]monsters!$P403</f>
        <v>2560</v>
      </c>
      <c r="BV403" s="9">
        <f>[1]monsters!$Q403</f>
        <v>256</v>
      </c>
      <c r="BW403" s="9">
        <f>[1]monsters!$R403</f>
        <v>46.81</v>
      </c>
      <c r="BX403" s="9">
        <f>[1]monsters!$S403</f>
        <v>4.68</v>
      </c>
      <c r="BY403" s="9">
        <f>[1]monsters!$K403</f>
        <v>1.6</v>
      </c>
      <c r="BZ403" s="7">
        <f>[1]monsters!$D403</f>
        <v>4</v>
      </c>
      <c r="CA403" s="7">
        <f t="shared" si="202"/>
        <v>0.1</v>
      </c>
      <c r="CB403" s="7">
        <f t="shared" si="203"/>
        <v>395.8528861952862</v>
      </c>
      <c r="CC403" s="7">
        <f t="shared" si="204"/>
        <v>39.585288619528626</v>
      </c>
      <c r="CD403" s="7"/>
      <c r="CE403" s="7"/>
      <c r="CF403" s="7"/>
      <c r="CG403" s="7"/>
      <c r="CH403" s="7"/>
      <c r="CI403" s="7"/>
      <c r="CJ403" s="7"/>
      <c r="CK403" s="7"/>
      <c r="CL403" s="7"/>
      <c r="CM403" s="7"/>
      <c r="CN403" s="7"/>
      <c r="CO403" s="7"/>
      <c r="CP403" s="7">
        <v>1</v>
      </c>
      <c r="CR403" s="25"/>
      <c r="CS403" s="25"/>
      <c r="CT403" s="25"/>
      <c r="CU403" s="25"/>
      <c r="CV403" s="25"/>
      <c r="CW403" s="25"/>
      <c r="DP403" s="32"/>
      <c r="DQ403" s="32"/>
      <c r="DR403" s="32"/>
      <c r="DS403" s="32"/>
      <c r="DT403" s="36"/>
      <c r="DU403" s="36"/>
      <c r="DV403" s="36"/>
      <c r="DW403" s="36"/>
      <c r="DX403" s="36"/>
      <c r="DY403" s="36"/>
      <c r="DZ403" s="36"/>
      <c r="EA403" s="25"/>
      <c r="EB403" s="43"/>
      <c r="EC403" s="16">
        <v>5401132</v>
      </c>
      <c r="ED403" s="40" t="s">
        <v>213</v>
      </c>
      <c r="EE403" s="16">
        <v>2</v>
      </c>
    </row>
    <row r="404" spans="11:135" ht="13.5" customHeight="1">
      <c r="K404" s="2"/>
      <c r="L404" s="18"/>
      <c r="O404" s="25"/>
      <c r="AI404" s="28"/>
      <c r="AJ404" s="28"/>
      <c r="AK404" s="28"/>
      <c r="AL404" s="28"/>
      <c r="AM404" s="28"/>
      <c r="AN404" s="28"/>
      <c r="AO404" s="30"/>
      <c r="AP404" s="28"/>
      <c r="AS404" s="28"/>
      <c r="AT404" s="28"/>
      <c r="AU404" s="30"/>
      <c r="AV404" s="28"/>
      <c r="AW404" s="28"/>
      <c r="AX404" s="28"/>
      <c r="AZ404" s="28"/>
      <c r="BA404" s="16" t="e">
        <f t="shared" si="200"/>
        <v>#DIV/0!</v>
      </c>
      <c r="BC404" s="7" t="e">
        <f t="shared" si="201"/>
        <v>#N/A</v>
      </c>
      <c r="BR404" s="7">
        <v>1405014</v>
      </c>
      <c r="BS404" s="9">
        <f>[1]monsters!$N404</f>
        <v>307.2</v>
      </c>
      <c r="BT404" s="9">
        <f>[1]monsters!$O404</f>
        <v>30.72</v>
      </c>
      <c r="BU404" s="9">
        <f>[1]monsters!$P404</f>
        <v>2560</v>
      </c>
      <c r="BV404" s="9">
        <f>[1]monsters!$Q404</f>
        <v>256</v>
      </c>
      <c r="BW404" s="9">
        <f>[1]monsters!$R404</f>
        <v>43.89</v>
      </c>
      <c r="BX404" s="9">
        <f>[1]monsters!$S404</f>
        <v>4.3899999999999997</v>
      </c>
      <c r="BY404" s="9">
        <f>[1]monsters!$K404</f>
        <v>1.5</v>
      </c>
      <c r="BZ404" s="7">
        <f>[1]monsters!$D404</f>
        <v>4</v>
      </c>
      <c r="CA404" s="7">
        <f t="shared" si="202"/>
        <v>0.1</v>
      </c>
      <c r="CB404" s="7">
        <f t="shared" si="203"/>
        <v>376.49928619528623</v>
      </c>
      <c r="CC404" s="7">
        <f t="shared" si="204"/>
        <v>37.649928619528623</v>
      </c>
      <c r="CD404" s="7"/>
      <c r="CE404" s="7"/>
      <c r="CF404" s="7"/>
      <c r="CG404" s="7"/>
      <c r="CH404" s="7"/>
      <c r="CI404" s="7"/>
      <c r="CJ404" s="7"/>
      <c r="CK404" s="7"/>
      <c r="CL404" s="7"/>
      <c r="CM404" s="7"/>
      <c r="CN404" s="7"/>
      <c r="CO404" s="7"/>
      <c r="CP404" s="7">
        <v>0</v>
      </c>
      <c r="CR404" s="25"/>
      <c r="CS404" s="25"/>
      <c r="CT404" s="25"/>
      <c r="CU404" s="25"/>
      <c r="CV404" s="25"/>
      <c r="CW404" s="25"/>
      <c r="DP404" s="32"/>
      <c r="DQ404" s="32"/>
      <c r="DR404" s="32"/>
      <c r="DS404" s="36"/>
      <c r="DT404" s="36"/>
      <c r="DU404" s="36"/>
      <c r="DV404" s="36"/>
      <c r="DW404" s="36"/>
      <c r="DX404" s="36"/>
      <c r="DY404" s="36"/>
      <c r="DZ404" s="36"/>
      <c r="EA404" s="25"/>
      <c r="EB404" s="21"/>
      <c r="EC404" s="16">
        <v>5402132</v>
      </c>
      <c r="ED404" s="40" t="s">
        <v>214</v>
      </c>
      <c r="EE404" s="16">
        <v>2</v>
      </c>
    </row>
    <row r="405" spans="11:135" ht="13.5" customHeight="1">
      <c r="K405" s="2"/>
      <c r="L405" s="18"/>
      <c r="O405" s="25"/>
      <c r="AI405" s="28"/>
      <c r="AJ405" s="28"/>
      <c r="AK405" s="28"/>
      <c r="AL405" s="28"/>
      <c r="AM405" s="28"/>
      <c r="AN405" s="28"/>
      <c r="AO405" s="30"/>
      <c r="AP405" s="28"/>
      <c r="AS405" s="28"/>
      <c r="AT405" s="28"/>
      <c r="AU405" s="30"/>
      <c r="AV405" s="28"/>
      <c r="AW405" s="28"/>
      <c r="AX405" s="28"/>
      <c r="AZ405" s="28"/>
      <c r="BA405" s="16" t="e">
        <f t="shared" si="200"/>
        <v>#DIV/0!</v>
      </c>
      <c r="BC405" s="7" t="e">
        <f t="shared" si="201"/>
        <v>#N/A</v>
      </c>
      <c r="BR405" s="7">
        <v>1203014</v>
      </c>
      <c r="BS405" s="9">
        <f>[1]monsters!$N405</f>
        <v>358.4</v>
      </c>
      <c r="BT405" s="9">
        <f>[1]monsters!$O405</f>
        <v>35.840000000000003</v>
      </c>
      <c r="BU405" s="9">
        <f>[1]monsters!$P405</f>
        <v>2194.29</v>
      </c>
      <c r="BV405" s="9">
        <f>[1]monsters!$Q405</f>
        <v>219.43</v>
      </c>
      <c r="BW405" s="9">
        <f>[1]monsters!$R405</f>
        <v>44.8</v>
      </c>
      <c r="BX405" s="9">
        <f>[1]monsters!$S405</f>
        <v>4.4800000000000004</v>
      </c>
      <c r="BY405" s="9">
        <f>[1]monsters!$K405</f>
        <v>1.5</v>
      </c>
      <c r="BZ405" s="7">
        <f>[1]monsters!$D405</f>
        <v>5</v>
      </c>
      <c r="CA405" s="7">
        <f t="shared" si="202"/>
        <v>0.1</v>
      </c>
      <c r="CB405" s="7">
        <f t="shared" si="203"/>
        <v>412.56981818181816</v>
      </c>
      <c r="CC405" s="7">
        <f t="shared" si="204"/>
        <v>41.256981818181821</v>
      </c>
      <c r="CD405" s="7"/>
      <c r="CE405" s="7"/>
      <c r="CF405" s="7"/>
      <c r="CG405" s="7"/>
      <c r="CH405" s="7"/>
      <c r="CI405" s="7"/>
      <c r="CJ405" s="7"/>
      <c r="CK405" s="7"/>
      <c r="CL405" s="7"/>
      <c r="CM405" s="7"/>
      <c r="CN405" s="7"/>
      <c r="CO405" s="7"/>
      <c r="CP405" s="7">
        <v>0</v>
      </c>
      <c r="CR405" s="25"/>
      <c r="CS405" s="25"/>
      <c r="CT405" s="25"/>
      <c r="CU405" s="25"/>
      <c r="CV405" s="25"/>
      <c r="CW405" s="25"/>
      <c r="DP405" s="32"/>
      <c r="DQ405" s="32"/>
      <c r="DR405" s="32"/>
      <c r="DS405" s="36"/>
      <c r="DT405" s="36"/>
      <c r="DU405" s="36"/>
      <c r="DV405" s="36"/>
      <c r="DW405" s="36"/>
      <c r="DX405" s="36"/>
      <c r="DY405" s="36"/>
      <c r="DZ405" s="36"/>
      <c r="EA405" s="25"/>
      <c r="EB405" s="43"/>
      <c r="EC405" s="16">
        <v>5500132</v>
      </c>
      <c r="ED405" s="40" t="s">
        <v>115</v>
      </c>
      <c r="EE405" s="16">
        <v>2</v>
      </c>
    </row>
    <row r="406" spans="11:135" ht="13.5" customHeight="1">
      <c r="K406" s="2"/>
      <c r="L406" s="18"/>
      <c r="O406" s="25"/>
      <c r="AI406" s="28"/>
      <c r="AJ406" s="28"/>
      <c r="AK406" s="28"/>
      <c r="AL406" s="28"/>
      <c r="AM406" s="28"/>
      <c r="AN406" s="28"/>
      <c r="AO406" s="30"/>
      <c r="AP406" s="28"/>
      <c r="AS406" s="28"/>
      <c r="AT406" s="28"/>
      <c r="AU406" s="30"/>
      <c r="AV406" s="28"/>
      <c r="AW406" s="28"/>
      <c r="AX406" s="28"/>
      <c r="AZ406" s="28"/>
      <c r="BA406" s="16" t="e">
        <f t="shared" si="200"/>
        <v>#DIV/0!</v>
      </c>
      <c r="BC406" s="7" t="e">
        <f t="shared" si="201"/>
        <v>#N/A</v>
      </c>
      <c r="BR406" s="7">
        <v>1403014</v>
      </c>
      <c r="BS406" s="9">
        <f>[1]monsters!$N406</f>
        <v>334.51</v>
      </c>
      <c r="BT406" s="9">
        <f>[1]monsters!$O406</f>
        <v>33.450000000000003</v>
      </c>
      <c r="BU406" s="9">
        <f>[1]monsters!$P406</f>
        <v>2194.29</v>
      </c>
      <c r="BV406" s="9">
        <f>[1]monsters!$Q406</f>
        <v>219.43</v>
      </c>
      <c r="BW406" s="9">
        <f>[1]monsters!$R406</f>
        <v>41.81</v>
      </c>
      <c r="BX406" s="9">
        <f>[1]monsters!$S406</f>
        <v>4.18</v>
      </c>
      <c r="BY406" s="9">
        <f>[1]monsters!$K406</f>
        <v>1.4000000000000001</v>
      </c>
      <c r="BZ406" s="7">
        <f>[1]monsters!$D406</f>
        <v>5</v>
      </c>
      <c r="CA406" s="7">
        <f t="shared" si="202"/>
        <v>0.1</v>
      </c>
      <c r="CB406" s="7">
        <f t="shared" si="203"/>
        <v>389.99376818181821</v>
      </c>
      <c r="CC406" s="7">
        <f t="shared" si="204"/>
        <v>38.999376818181823</v>
      </c>
      <c r="CD406" s="7"/>
      <c r="CE406" s="7"/>
      <c r="CF406" s="7"/>
      <c r="CG406" s="7"/>
      <c r="CH406" s="7"/>
      <c r="CI406" s="7"/>
      <c r="CJ406" s="7"/>
      <c r="CK406" s="7"/>
      <c r="CL406" s="7"/>
      <c r="CM406" s="7"/>
      <c r="CN406" s="7"/>
      <c r="CO406" s="7"/>
      <c r="CP406" s="7">
        <v>0</v>
      </c>
      <c r="CR406" s="25"/>
      <c r="CS406" s="25"/>
      <c r="CT406" s="25"/>
      <c r="CU406" s="25"/>
      <c r="CV406" s="25"/>
      <c r="CW406" s="25"/>
      <c r="DP406" s="32"/>
      <c r="DQ406" s="32"/>
      <c r="DR406" s="32"/>
      <c r="DS406" s="36"/>
      <c r="DT406" s="36"/>
      <c r="DU406" s="36"/>
      <c r="DV406" s="36"/>
      <c r="DW406" s="36"/>
      <c r="DX406" s="36"/>
      <c r="DY406" s="36"/>
      <c r="DZ406" s="36"/>
      <c r="EA406" s="25"/>
      <c r="EB406" s="43"/>
      <c r="EC406" s="16">
        <v>5502132</v>
      </c>
      <c r="ED406" s="40" t="s">
        <v>215</v>
      </c>
      <c r="EE406" s="16">
        <v>2</v>
      </c>
    </row>
    <row r="407" spans="11:135" ht="13.5" customHeight="1">
      <c r="K407" s="2"/>
      <c r="L407" s="18"/>
      <c r="O407" s="25"/>
      <c r="AI407" s="28"/>
      <c r="AJ407" s="28"/>
      <c r="AK407" s="28"/>
      <c r="AL407" s="28"/>
      <c r="AM407" s="28"/>
      <c r="AN407" s="28"/>
      <c r="AO407" s="30"/>
      <c r="AP407" s="28"/>
      <c r="AS407" s="28"/>
      <c r="AT407" s="28"/>
      <c r="AU407" s="30"/>
      <c r="AV407" s="28"/>
      <c r="AW407" s="28"/>
      <c r="AX407" s="28"/>
      <c r="AZ407" s="28"/>
      <c r="BA407" s="16" t="e">
        <f t="shared" si="200"/>
        <v>#DIV/0!</v>
      </c>
      <c r="BC407" s="7" t="e">
        <f t="shared" si="201"/>
        <v>#N/A</v>
      </c>
      <c r="BR407" s="7">
        <v>1204014</v>
      </c>
      <c r="BS407" s="9">
        <f>[1]monsters!$N407</f>
        <v>396.8</v>
      </c>
      <c r="BT407" s="9">
        <f>[1]monsters!$O407</f>
        <v>39.68</v>
      </c>
      <c r="BU407" s="9">
        <f>[1]monsters!$P407</f>
        <v>1981.94</v>
      </c>
      <c r="BV407" s="9">
        <f>[1]monsters!$Q407</f>
        <v>198.19</v>
      </c>
      <c r="BW407" s="9">
        <f>[1]monsters!$R407</f>
        <v>39.68</v>
      </c>
      <c r="BX407" s="9">
        <f>[1]monsters!$S407</f>
        <v>3.97</v>
      </c>
      <c r="BY407" s="9">
        <f>[1]monsters!$K407</f>
        <v>1.5</v>
      </c>
      <c r="BZ407" s="7">
        <f>[1]monsters!$D407</f>
        <v>6</v>
      </c>
      <c r="CA407" s="7">
        <f t="shared" si="202"/>
        <v>0.1</v>
      </c>
      <c r="CB407" s="7">
        <f t="shared" si="203"/>
        <v>441.70798653198659</v>
      </c>
      <c r="CC407" s="7">
        <f t="shared" si="204"/>
        <v>44.170798653198659</v>
      </c>
      <c r="CD407" s="7"/>
      <c r="CE407" s="7"/>
      <c r="CF407" s="7"/>
      <c r="CG407" s="7"/>
      <c r="CH407" s="7"/>
      <c r="CI407" s="7"/>
      <c r="CJ407" s="7"/>
      <c r="CK407" s="7"/>
      <c r="CL407" s="7"/>
      <c r="CM407" s="7"/>
      <c r="CN407" s="7"/>
      <c r="CO407" s="7"/>
      <c r="CP407" s="7">
        <v>0</v>
      </c>
      <c r="CR407" s="25"/>
      <c r="CS407" s="25"/>
      <c r="CT407" s="25"/>
      <c r="CU407" s="25"/>
      <c r="CV407" s="25"/>
      <c r="CW407" s="25"/>
      <c r="DP407" s="32"/>
      <c r="DQ407" s="32"/>
      <c r="DR407" s="32"/>
      <c r="DS407" s="36"/>
      <c r="DT407" s="36"/>
      <c r="DU407" s="36"/>
      <c r="DV407" s="36"/>
      <c r="DW407" s="36"/>
      <c r="DX407" s="36"/>
      <c r="DY407" s="36"/>
      <c r="DZ407" s="36"/>
      <c r="EA407" s="25"/>
      <c r="EB407" s="43"/>
      <c r="EC407" s="16">
        <v>5601132</v>
      </c>
      <c r="ED407" s="40" t="s">
        <v>216</v>
      </c>
      <c r="EE407" s="16">
        <v>2</v>
      </c>
    </row>
    <row r="408" spans="11:135" ht="13.5" customHeight="1">
      <c r="K408" s="2"/>
      <c r="O408" s="25"/>
      <c r="AI408" s="28"/>
      <c r="AJ408" s="28"/>
      <c r="AK408" s="28"/>
      <c r="AL408" s="28"/>
      <c r="AM408" s="28"/>
      <c r="AN408" s="28"/>
      <c r="AO408" s="30"/>
      <c r="AP408" s="28"/>
      <c r="AS408" s="28"/>
      <c r="AT408" s="28"/>
      <c r="AU408" s="30"/>
      <c r="AV408" s="28"/>
      <c r="AW408" s="28"/>
      <c r="AX408" s="28"/>
      <c r="AZ408" s="28"/>
      <c r="BA408" s="16" t="e">
        <f t="shared" si="200"/>
        <v>#DIV/0!</v>
      </c>
      <c r="BC408" s="7" t="e">
        <f t="shared" si="201"/>
        <v>#N/A</v>
      </c>
      <c r="BR408" s="7">
        <v>1404014</v>
      </c>
      <c r="BS408" s="9">
        <f>[1]monsters!$N408</f>
        <v>256</v>
      </c>
      <c r="BT408" s="9">
        <f>[1]monsters!$O408</f>
        <v>25.6</v>
      </c>
      <c r="BU408" s="9">
        <f>[1]monsters!$P408</f>
        <v>3072</v>
      </c>
      <c r="BV408" s="9">
        <f>[1]monsters!$Q408</f>
        <v>307.2</v>
      </c>
      <c r="BW408" s="9">
        <f>[1]monsters!$R408</f>
        <v>64</v>
      </c>
      <c r="BX408" s="9">
        <f>[1]monsters!$S408</f>
        <v>6.4</v>
      </c>
      <c r="BY408" s="9">
        <f>[1]monsters!$K408</f>
        <v>1.5</v>
      </c>
      <c r="BZ408" s="7">
        <f>[1]monsters!$D408</f>
        <v>2</v>
      </c>
      <c r="CA408" s="7">
        <f t="shared" si="202"/>
        <v>0.1</v>
      </c>
      <c r="CB408" s="7">
        <f t="shared" si="203"/>
        <v>345.35434343434343</v>
      </c>
      <c r="CC408" s="7">
        <f t="shared" si="204"/>
        <v>34.535434343434346</v>
      </c>
      <c r="CD408" s="7"/>
      <c r="CE408" s="7"/>
      <c r="CF408" s="7"/>
      <c r="CG408" s="7"/>
      <c r="CH408" s="7"/>
      <c r="CI408" s="7"/>
      <c r="CJ408" s="7"/>
      <c r="CK408" s="7"/>
      <c r="CL408" s="7"/>
      <c r="CM408" s="7"/>
      <c r="CN408" s="7"/>
      <c r="CO408" s="7"/>
      <c r="CP408" s="7">
        <v>1</v>
      </c>
      <c r="CR408" s="25"/>
      <c r="CS408" s="25"/>
      <c r="CT408" s="25"/>
      <c r="CU408" s="25"/>
      <c r="CV408" s="25"/>
      <c r="CW408" s="25"/>
      <c r="DP408" s="13"/>
      <c r="DQ408" s="13"/>
      <c r="DR408" s="13"/>
      <c r="DS408" s="14"/>
      <c r="DT408" s="14"/>
      <c r="DU408" s="14"/>
      <c r="DV408" s="14"/>
      <c r="DW408" s="14"/>
      <c r="DX408" s="14"/>
      <c r="DY408" s="14"/>
      <c r="DZ408" s="14"/>
      <c r="EA408" s="25"/>
      <c r="EB408" s="21"/>
      <c r="EC408" s="16">
        <v>5200133</v>
      </c>
      <c r="ED408" s="40" t="s">
        <v>119</v>
      </c>
      <c r="EE408" s="16">
        <v>1</v>
      </c>
    </row>
    <row r="409" spans="11:135" ht="13.5" customHeight="1">
      <c r="K409" s="2"/>
      <c r="L409" s="18"/>
      <c r="O409" s="25"/>
      <c r="AI409" s="28"/>
      <c r="AJ409" s="28"/>
      <c r="AK409" s="28"/>
      <c r="AL409" s="28"/>
      <c r="AM409" s="28"/>
      <c r="AN409" s="28"/>
      <c r="AO409" s="30"/>
      <c r="AP409" s="28"/>
      <c r="AS409" s="28"/>
      <c r="AT409" s="28"/>
      <c r="AU409" s="30"/>
      <c r="AV409" s="28"/>
      <c r="AW409" s="28"/>
      <c r="AX409" s="28"/>
      <c r="AZ409" s="28"/>
      <c r="BA409" s="16" t="e">
        <f t="shared" si="200"/>
        <v>#DIV/0!</v>
      </c>
      <c r="BC409" s="7" t="e">
        <f t="shared" si="201"/>
        <v>#N/A</v>
      </c>
      <c r="BR409" s="7">
        <v>1303014</v>
      </c>
      <c r="BS409" s="9">
        <f>[1]monsters!$N409</f>
        <v>245.76</v>
      </c>
      <c r="BT409" s="9">
        <f>[1]monsters!$O409</f>
        <v>24.58</v>
      </c>
      <c r="BU409" s="9">
        <f>[1]monsters!$P409</f>
        <v>3840</v>
      </c>
      <c r="BV409" s="9">
        <f>[1]monsters!$Q409</f>
        <v>384</v>
      </c>
      <c r="BW409" s="9">
        <f>[1]monsters!$R409</f>
        <v>81.92</v>
      </c>
      <c r="BX409" s="9">
        <f>[1]monsters!$S409</f>
        <v>8.19</v>
      </c>
      <c r="BY409" s="9">
        <f>[1]monsters!$K409</f>
        <v>1.8</v>
      </c>
      <c r="BZ409" s="7">
        <f>[1]monsters!$D409</f>
        <v>2</v>
      </c>
      <c r="CA409" s="7">
        <f t="shared" si="202"/>
        <v>0.1</v>
      </c>
      <c r="CB409" s="7">
        <f t="shared" si="203"/>
        <v>361.53612929292927</v>
      </c>
      <c r="CC409" s="7">
        <f t="shared" si="204"/>
        <v>36.153612929292926</v>
      </c>
      <c r="CD409" s="7"/>
      <c r="CE409" s="7"/>
      <c r="CF409" s="7"/>
      <c r="CG409" s="7"/>
      <c r="CH409" s="7"/>
      <c r="CI409" s="7"/>
      <c r="CJ409" s="7"/>
      <c r="CK409" s="7"/>
      <c r="CL409" s="7"/>
      <c r="CM409" s="7"/>
      <c r="CN409" s="7"/>
      <c r="CO409" s="7"/>
      <c r="CP409" s="7">
        <v>0</v>
      </c>
      <c r="CR409" s="25"/>
      <c r="CS409" s="25"/>
      <c r="CT409" s="25"/>
      <c r="CU409" s="25"/>
      <c r="CV409" s="25"/>
      <c r="CW409" s="25"/>
      <c r="DP409" s="32"/>
      <c r="DQ409" s="32"/>
      <c r="DR409" s="36"/>
      <c r="DS409" s="36"/>
      <c r="DT409" s="32"/>
      <c r="DU409" s="32"/>
      <c r="DV409" s="32"/>
      <c r="DW409" s="32"/>
      <c r="DX409" s="32"/>
      <c r="DY409" s="32"/>
      <c r="DZ409" s="32"/>
      <c r="EA409" s="25"/>
      <c r="EB409" s="43"/>
      <c r="EC409" s="16">
        <v>5201133</v>
      </c>
      <c r="ED409" s="40" t="s">
        <v>217</v>
      </c>
      <c r="EE409" s="16">
        <v>1</v>
      </c>
    </row>
    <row r="410" spans="11:135" ht="13.5" customHeight="1">
      <c r="K410" s="2"/>
      <c r="L410" s="18"/>
      <c r="O410" s="25"/>
      <c r="AI410" s="28"/>
      <c r="AJ410" s="28"/>
      <c r="AK410" s="28"/>
      <c r="AL410" s="28"/>
      <c r="AM410" s="28"/>
      <c r="AN410" s="28"/>
      <c r="AO410" s="30"/>
      <c r="AP410" s="28"/>
      <c r="AS410" s="28"/>
      <c r="AT410" s="28"/>
      <c r="AU410" s="30"/>
      <c r="AV410" s="28"/>
      <c r="AW410" s="28"/>
      <c r="AX410" s="28"/>
      <c r="AZ410" s="28"/>
      <c r="BA410" s="16" t="e">
        <f t="shared" si="200"/>
        <v>#DIV/0!</v>
      </c>
      <c r="BC410" s="7" t="e">
        <f t="shared" si="201"/>
        <v>#N/A</v>
      </c>
      <c r="BR410" s="7">
        <v>1304014</v>
      </c>
      <c r="BS410" s="9">
        <f>[1]monsters!$N410</f>
        <v>276.48</v>
      </c>
      <c r="BT410" s="9">
        <f>[1]monsters!$O410</f>
        <v>27.65</v>
      </c>
      <c r="BU410" s="9">
        <f>[1]monsters!$P410</f>
        <v>3413.33</v>
      </c>
      <c r="BV410" s="9">
        <f>[1]monsters!$Q410</f>
        <v>341.33</v>
      </c>
      <c r="BW410" s="9">
        <f>[1]monsters!$R410</f>
        <v>55.3</v>
      </c>
      <c r="BX410" s="9">
        <f>[1]monsters!$S410</f>
        <v>5.53</v>
      </c>
      <c r="BY410" s="9">
        <f>[1]monsters!$K410</f>
        <v>1.8</v>
      </c>
      <c r="BZ410" s="7">
        <f>[1]monsters!$D410</f>
        <v>2</v>
      </c>
      <c r="CA410" s="7">
        <f t="shared" si="202"/>
        <v>0.1</v>
      </c>
      <c r="CB410" s="7">
        <f t="shared" si="203"/>
        <v>376.20053602693611</v>
      </c>
      <c r="CC410" s="7">
        <f t="shared" si="204"/>
        <v>37.620053602693609</v>
      </c>
      <c r="CD410" s="7"/>
      <c r="CE410" s="7"/>
      <c r="CF410" s="7"/>
      <c r="CG410" s="7"/>
      <c r="CH410" s="7"/>
      <c r="CI410" s="7"/>
      <c r="CJ410" s="7"/>
      <c r="CK410" s="7"/>
      <c r="CL410" s="7"/>
      <c r="CM410" s="7"/>
      <c r="CN410" s="7"/>
      <c r="CO410" s="7"/>
      <c r="CP410" s="7">
        <v>0</v>
      </c>
      <c r="CR410" s="25"/>
      <c r="CS410" s="25"/>
      <c r="CT410" s="25"/>
      <c r="CU410" s="25"/>
      <c r="CV410" s="25"/>
      <c r="CW410" s="25"/>
      <c r="DP410" s="32"/>
      <c r="DQ410" s="32"/>
      <c r="DR410" s="32"/>
      <c r="DS410" s="14"/>
      <c r="DT410" s="14"/>
      <c r="DU410" s="14"/>
      <c r="DV410" s="14"/>
      <c r="DW410" s="14"/>
      <c r="DX410" s="14"/>
      <c r="DY410" s="14"/>
      <c r="DZ410" s="14"/>
      <c r="EA410" s="25"/>
      <c r="EB410" s="43"/>
      <c r="EC410" s="16">
        <v>5202133</v>
      </c>
      <c r="ED410" s="40" t="s">
        <v>220</v>
      </c>
      <c r="EE410" s="16">
        <v>1</v>
      </c>
    </row>
    <row r="411" spans="11:135" ht="13.5" customHeight="1">
      <c r="K411" s="2"/>
      <c r="L411" s="18"/>
      <c r="O411" s="25"/>
      <c r="AI411" s="28"/>
      <c r="AJ411" s="28"/>
      <c r="AK411" s="28"/>
      <c r="AL411" s="28"/>
      <c r="AM411" s="28"/>
      <c r="AN411" s="28"/>
      <c r="AO411" s="30"/>
      <c r="AP411" s="28"/>
      <c r="AS411" s="28"/>
      <c r="AT411" s="28"/>
      <c r="AU411" s="30"/>
      <c r="AV411" s="28"/>
      <c r="AW411" s="28"/>
      <c r="AX411" s="28"/>
      <c r="AZ411" s="28"/>
      <c r="BA411" s="16" t="e">
        <f t="shared" si="200"/>
        <v>#DIV/0!</v>
      </c>
      <c r="BC411" s="7" t="e">
        <f t="shared" si="201"/>
        <v>#N/A</v>
      </c>
      <c r="BR411" s="7">
        <v>1503014</v>
      </c>
      <c r="BS411" s="9">
        <f>[1]monsters!$N411</f>
        <v>184.32</v>
      </c>
      <c r="BT411" s="9">
        <f>[1]monsters!$O411</f>
        <v>18.43</v>
      </c>
      <c r="BU411" s="9">
        <f>[1]monsters!$P411</f>
        <v>3413.33</v>
      </c>
      <c r="BV411" s="9">
        <f>[1]monsters!$Q411</f>
        <v>341.33</v>
      </c>
      <c r="BW411" s="9">
        <f>[1]monsters!$R411</f>
        <v>36.86</v>
      </c>
      <c r="BX411" s="9">
        <f>[1]monsters!$S411</f>
        <v>3.69</v>
      </c>
      <c r="BY411" s="9">
        <f>[1]monsters!$K411</f>
        <v>1.2</v>
      </c>
      <c r="BZ411" s="7">
        <f>[1]monsters!$D411</f>
        <v>3</v>
      </c>
      <c r="CA411" s="7">
        <f t="shared" si="202"/>
        <v>0.1</v>
      </c>
      <c r="CB411" s="7">
        <f t="shared" si="203"/>
        <v>289.10933602693603</v>
      </c>
      <c r="CC411" s="7">
        <f t="shared" si="204"/>
        <v>28.910933602693603</v>
      </c>
      <c r="CD411" s="7"/>
      <c r="CE411" s="7"/>
      <c r="CF411" s="7"/>
      <c r="CG411" s="7"/>
      <c r="CH411" s="7"/>
      <c r="CI411" s="7"/>
      <c r="CJ411" s="7"/>
      <c r="CK411" s="7"/>
      <c r="CL411" s="7"/>
      <c r="CM411" s="7"/>
      <c r="CN411" s="7"/>
      <c r="CO411" s="7"/>
      <c r="CP411" s="7">
        <v>0</v>
      </c>
      <c r="CR411" s="25"/>
      <c r="CS411" s="25"/>
      <c r="CT411" s="25"/>
      <c r="CU411" s="25"/>
      <c r="CV411" s="25"/>
      <c r="CW411" s="25"/>
      <c r="DP411" s="32"/>
      <c r="DQ411" s="32"/>
      <c r="DR411" s="36"/>
      <c r="DS411" s="36"/>
      <c r="DT411" s="32"/>
      <c r="DU411" s="32"/>
      <c r="DV411" s="32"/>
      <c r="DW411" s="32"/>
      <c r="DX411" s="32"/>
      <c r="DY411" s="32"/>
      <c r="DZ411" s="32"/>
      <c r="EA411" s="25"/>
      <c r="EB411" s="21"/>
      <c r="EC411" s="16">
        <v>5301133</v>
      </c>
      <c r="ED411" s="40" t="s">
        <v>218</v>
      </c>
      <c r="EE411" s="16">
        <v>1</v>
      </c>
    </row>
    <row r="412" spans="11:135" ht="13.5" customHeight="1">
      <c r="K412" s="2"/>
      <c r="L412" s="18"/>
      <c r="O412" s="25"/>
      <c r="AI412" s="28"/>
      <c r="AJ412" s="28"/>
      <c r="AK412" s="28"/>
      <c r="AL412" s="28"/>
      <c r="AM412" s="28"/>
      <c r="AN412" s="28"/>
      <c r="AO412" s="30"/>
      <c r="AP412" s="28"/>
      <c r="AS412" s="28"/>
      <c r="AT412" s="28"/>
      <c r="AU412" s="30"/>
      <c r="AV412" s="28"/>
      <c r="AW412" s="28"/>
      <c r="AX412" s="28"/>
      <c r="AZ412" s="28"/>
      <c r="BA412" s="16" t="e">
        <f t="shared" si="200"/>
        <v>#DIV/0!</v>
      </c>
      <c r="BC412" s="7" t="e">
        <f t="shared" si="201"/>
        <v>#N/A</v>
      </c>
      <c r="BR412" s="7">
        <v>1504014</v>
      </c>
      <c r="BS412" s="9">
        <f>[1]monsters!$N412</f>
        <v>327.68</v>
      </c>
      <c r="BT412" s="9">
        <f>[1]monsters!$O412</f>
        <v>32.770000000000003</v>
      </c>
      <c r="BU412" s="9">
        <f>[1]monsters!$P412</f>
        <v>2560</v>
      </c>
      <c r="BV412" s="9">
        <f>[1]monsters!$Q412</f>
        <v>256</v>
      </c>
      <c r="BW412" s="9">
        <f>[1]monsters!$R412</f>
        <v>46.81</v>
      </c>
      <c r="BX412" s="9">
        <f>[1]monsters!$S412</f>
        <v>4.68</v>
      </c>
      <c r="BY412" s="9">
        <f>[1]monsters!$K412</f>
        <v>1.6</v>
      </c>
      <c r="BZ412" s="7">
        <f>[1]monsters!$D412</f>
        <v>4</v>
      </c>
      <c r="CA412" s="7">
        <f t="shared" si="202"/>
        <v>0.1</v>
      </c>
      <c r="CB412" s="7">
        <f t="shared" si="203"/>
        <v>395.8528861952862</v>
      </c>
      <c r="CC412" s="7">
        <f t="shared" si="204"/>
        <v>39.585288619528626</v>
      </c>
      <c r="CD412" s="7"/>
      <c r="CE412" s="7"/>
      <c r="CF412" s="7"/>
      <c r="CG412" s="7"/>
      <c r="CH412" s="7"/>
      <c r="CI412" s="7"/>
      <c r="CJ412" s="7"/>
      <c r="CK412" s="7"/>
      <c r="CL412" s="7"/>
      <c r="CM412" s="7"/>
      <c r="CN412" s="7"/>
      <c r="CO412" s="7"/>
      <c r="CP412" s="7">
        <v>0</v>
      </c>
      <c r="CR412" s="25"/>
      <c r="CS412" s="25"/>
      <c r="CT412" s="25"/>
      <c r="CU412" s="25"/>
      <c r="CV412" s="25"/>
      <c r="CW412" s="25"/>
      <c r="DP412" s="32"/>
      <c r="DQ412" s="32"/>
      <c r="DR412" s="36"/>
      <c r="DS412" s="36"/>
      <c r="DT412" s="36"/>
      <c r="DU412" s="36"/>
      <c r="DV412" s="36"/>
      <c r="DW412" s="36"/>
      <c r="DX412" s="36"/>
      <c r="DY412" s="36"/>
      <c r="DZ412" s="36"/>
      <c r="EA412" s="25"/>
      <c r="EB412" s="43"/>
      <c r="EC412" s="16">
        <v>5401133</v>
      </c>
      <c r="ED412" s="40" t="s">
        <v>223</v>
      </c>
      <c r="EE412" s="16">
        <v>2</v>
      </c>
    </row>
    <row r="413" spans="11:135" ht="13.5" customHeight="1">
      <c r="K413" s="2"/>
      <c r="O413" s="25"/>
      <c r="AI413" s="28"/>
      <c r="AJ413" s="28"/>
      <c r="AK413" s="28"/>
      <c r="AL413" s="28"/>
      <c r="AM413" s="28"/>
      <c r="AN413" s="28"/>
      <c r="AO413" s="30"/>
      <c r="AP413" s="28"/>
      <c r="AS413" s="28"/>
      <c r="AT413" s="28"/>
      <c r="AU413" s="30"/>
      <c r="AV413" s="28"/>
      <c r="AW413" s="28"/>
      <c r="AX413" s="28"/>
      <c r="AZ413" s="28"/>
      <c r="BA413" s="16" t="e">
        <f t="shared" si="200"/>
        <v>#DIV/0!</v>
      </c>
      <c r="BC413" s="7" t="e">
        <f t="shared" si="201"/>
        <v>#N/A</v>
      </c>
      <c r="BR413" s="7">
        <v>1101014</v>
      </c>
      <c r="BS413" s="9">
        <f>[1]monsters!$N413</f>
        <v>307.2</v>
      </c>
      <c r="BT413" s="9">
        <f>[1]monsters!$O413</f>
        <v>30.72</v>
      </c>
      <c r="BU413" s="9">
        <f>[1]monsters!$P413</f>
        <v>2560</v>
      </c>
      <c r="BV413" s="9">
        <f>[1]monsters!$Q413</f>
        <v>256</v>
      </c>
      <c r="BW413" s="9">
        <f>[1]monsters!$R413</f>
        <v>43.89</v>
      </c>
      <c r="BX413" s="9">
        <f>[1]monsters!$S413</f>
        <v>4.3899999999999997</v>
      </c>
      <c r="BY413" s="9">
        <f>[1]monsters!$K413</f>
        <v>1.5</v>
      </c>
      <c r="BZ413" s="7">
        <f>[1]monsters!$D413</f>
        <v>4</v>
      </c>
      <c r="CA413" s="7">
        <f t="shared" si="202"/>
        <v>0.1</v>
      </c>
      <c r="CB413" s="7">
        <f t="shared" si="203"/>
        <v>376.49928619528623</v>
      </c>
      <c r="CC413" s="7">
        <f t="shared" si="204"/>
        <v>37.649928619528623</v>
      </c>
      <c r="CD413" s="7"/>
      <c r="CE413" s="7"/>
      <c r="CF413" s="7"/>
      <c r="CG413" s="7"/>
      <c r="CH413" s="7"/>
      <c r="CI413" s="7"/>
      <c r="CJ413" s="7"/>
      <c r="CK413" s="7"/>
      <c r="CL413" s="7"/>
      <c r="CM413" s="7"/>
      <c r="CN413" s="7"/>
      <c r="CO413" s="7"/>
      <c r="CP413" s="7">
        <v>1</v>
      </c>
      <c r="CR413" s="25"/>
      <c r="CS413" s="25"/>
      <c r="CT413" s="25"/>
      <c r="CU413" s="25"/>
      <c r="CV413" s="25"/>
      <c r="CW413" s="25"/>
      <c r="DP413" s="32"/>
      <c r="DQ413" s="36"/>
      <c r="DR413" s="32"/>
      <c r="DS413" s="36"/>
      <c r="DT413" s="36"/>
      <c r="DU413" s="14"/>
      <c r="DV413" s="14"/>
      <c r="DW413" s="14"/>
      <c r="DX413" s="14"/>
      <c r="DY413" s="14"/>
      <c r="DZ413" s="14"/>
      <c r="EA413" s="25"/>
      <c r="EB413" s="43"/>
      <c r="EC413" s="16">
        <v>5402133</v>
      </c>
      <c r="ED413" s="40" t="s">
        <v>124</v>
      </c>
      <c r="EE413" s="16">
        <v>2</v>
      </c>
    </row>
    <row r="414" spans="11:135" ht="13.5" customHeight="1">
      <c r="K414" s="2"/>
      <c r="L414" s="18"/>
      <c r="O414" s="25"/>
      <c r="AI414" s="28"/>
      <c r="AJ414" s="28"/>
      <c r="AK414" s="28"/>
      <c r="AL414" s="28"/>
      <c r="AM414" s="28"/>
      <c r="AN414" s="28"/>
      <c r="AO414" s="30"/>
      <c r="AP414" s="28"/>
      <c r="AS414" s="28"/>
      <c r="AT414" s="28"/>
      <c r="AU414" s="30"/>
      <c r="AV414" s="28"/>
      <c r="AW414" s="28"/>
      <c r="AX414" s="28"/>
      <c r="AZ414" s="28"/>
      <c r="BA414" s="16" t="e">
        <f t="shared" si="200"/>
        <v>#DIV/0!</v>
      </c>
      <c r="BC414" s="7" t="e">
        <f t="shared" si="201"/>
        <v>#N/A</v>
      </c>
      <c r="BR414" s="7">
        <v>1102014</v>
      </c>
      <c r="BS414" s="9">
        <f>[1]monsters!$N414</f>
        <v>358.4</v>
      </c>
      <c r="BT414" s="9">
        <f>[1]monsters!$O414</f>
        <v>35.840000000000003</v>
      </c>
      <c r="BU414" s="9">
        <f>[1]monsters!$P414</f>
        <v>2194.29</v>
      </c>
      <c r="BV414" s="9">
        <f>[1]monsters!$Q414</f>
        <v>219.43</v>
      </c>
      <c r="BW414" s="9">
        <f>[1]monsters!$R414</f>
        <v>44.8</v>
      </c>
      <c r="BX414" s="9">
        <f>[1]monsters!$S414</f>
        <v>4.4800000000000004</v>
      </c>
      <c r="BY414" s="9">
        <f>[1]monsters!$K414</f>
        <v>1.5</v>
      </c>
      <c r="BZ414" s="7">
        <f>[1]monsters!$D414</f>
        <v>5</v>
      </c>
      <c r="CA414" s="7">
        <f t="shared" si="202"/>
        <v>0.1</v>
      </c>
      <c r="CB414" s="7">
        <f t="shared" si="203"/>
        <v>412.56981818181816</v>
      </c>
      <c r="CC414" s="7">
        <f t="shared" si="204"/>
        <v>41.256981818181821</v>
      </c>
      <c r="CD414" s="7"/>
      <c r="CE414" s="7"/>
      <c r="CF414" s="7"/>
      <c r="CG414" s="7"/>
      <c r="CH414" s="7"/>
      <c r="CI414" s="7"/>
      <c r="CJ414" s="7"/>
      <c r="CK414" s="7"/>
      <c r="CL414" s="7"/>
      <c r="CM414" s="7"/>
      <c r="CN414" s="7"/>
      <c r="CO414" s="7"/>
      <c r="CP414" s="7">
        <v>0</v>
      </c>
      <c r="CR414" s="25"/>
      <c r="CS414" s="25"/>
      <c r="CT414" s="25"/>
      <c r="CU414" s="25"/>
      <c r="CV414" s="25"/>
      <c r="CW414" s="25"/>
      <c r="DP414" s="32"/>
      <c r="DQ414" s="32"/>
      <c r="DR414" s="32"/>
      <c r="DS414" s="36"/>
      <c r="DT414" s="36"/>
      <c r="DU414" s="36"/>
      <c r="DV414" s="36"/>
      <c r="DW414" s="36"/>
      <c r="DX414" s="36"/>
      <c r="DY414" s="36"/>
      <c r="DZ414" s="36"/>
      <c r="EA414" s="25"/>
      <c r="EB414" s="43"/>
      <c r="EC414" s="16">
        <v>5500133</v>
      </c>
      <c r="ED414" s="40" t="s">
        <v>219</v>
      </c>
      <c r="EE414" s="16">
        <v>2</v>
      </c>
    </row>
    <row r="415" spans="11:135" ht="13.5" customHeight="1">
      <c r="K415" s="2"/>
      <c r="L415" s="18"/>
      <c r="O415" s="25"/>
      <c r="AI415" s="28"/>
      <c r="AJ415" s="28"/>
      <c r="AK415" s="28"/>
      <c r="AL415" s="28"/>
      <c r="AM415" s="28"/>
      <c r="AN415" s="28"/>
      <c r="AO415" s="30"/>
      <c r="AP415" s="28"/>
      <c r="AS415" s="28"/>
      <c r="AT415" s="28"/>
      <c r="AU415" s="30"/>
      <c r="AV415" s="28"/>
      <c r="AW415" s="28"/>
      <c r="AX415" s="28"/>
      <c r="AZ415" s="28"/>
      <c r="BA415" s="16" t="e">
        <f t="shared" si="200"/>
        <v>#DIV/0!</v>
      </c>
      <c r="BC415" s="7" t="e">
        <f t="shared" si="201"/>
        <v>#N/A</v>
      </c>
      <c r="BR415" s="7">
        <v>1206015</v>
      </c>
      <c r="BS415" s="9">
        <f>[1]monsters!$N415</f>
        <v>334.51</v>
      </c>
      <c r="BT415" s="9">
        <f>[1]monsters!$O415</f>
        <v>33.450000000000003</v>
      </c>
      <c r="BU415" s="9">
        <f>[1]monsters!$P415</f>
        <v>2194.29</v>
      </c>
      <c r="BV415" s="9">
        <f>[1]monsters!$Q415</f>
        <v>219.43</v>
      </c>
      <c r="BW415" s="9">
        <f>[1]monsters!$R415</f>
        <v>41.81</v>
      </c>
      <c r="BX415" s="9">
        <f>[1]monsters!$S415</f>
        <v>4.18</v>
      </c>
      <c r="BY415" s="9">
        <f>[1]monsters!$K415</f>
        <v>1.4000000000000001</v>
      </c>
      <c r="BZ415" s="7">
        <f>[1]monsters!$D415</f>
        <v>5</v>
      </c>
      <c r="CA415" s="7">
        <f t="shared" si="202"/>
        <v>0.1</v>
      </c>
      <c r="CB415" s="7">
        <f t="shared" si="203"/>
        <v>389.99376818181821</v>
      </c>
      <c r="CC415" s="7">
        <f t="shared" si="204"/>
        <v>38.999376818181823</v>
      </c>
      <c r="CD415" s="7"/>
      <c r="CE415" s="7"/>
      <c r="CF415" s="7"/>
      <c r="CG415" s="7"/>
      <c r="CH415" s="7"/>
      <c r="CI415" s="7"/>
      <c r="CJ415" s="7"/>
      <c r="CK415" s="7"/>
      <c r="CL415" s="7"/>
      <c r="CM415" s="7"/>
      <c r="CN415" s="7"/>
      <c r="CO415" s="7"/>
      <c r="CP415" s="7">
        <v>0</v>
      </c>
      <c r="CR415" s="25"/>
      <c r="CS415" s="25"/>
      <c r="CT415" s="25"/>
      <c r="CU415" s="25"/>
      <c r="CV415" s="25"/>
      <c r="CW415" s="25"/>
      <c r="DP415" s="32"/>
      <c r="DQ415" s="32"/>
      <c r="DR415" s="32"/>
      <c r="DS415" s="32"/>
      <c r="DT415" s="32"/>
      <c r="DU415" s="32"/>
      <c r="DV415" s="32"/>
      <c r="DW415" s="32"/>
      <c r="DX415" s="32"/>
      <c r="DY415" s="32"/>
      <c r="DZ415" s="32"/>
      <c r="EA415" s="25"/>
      <c r="EB415" s="50"/>
      <c r="EC415" s="16">
        <v>5502133</v>
      </c>
      <c r="ED415" s="40" t="s">
        <v>227</v>
      </c>
      <c r="EE415" s="16">
        <v>2</v>
      </c>
    </row>
    <row r="416" spans="11:135" ht="13.5" customHeight="1">
      <c r="K416" s="2"/>
      <c r="L416" s="18"/>
      <c r="O416" s="25"/>
      <c r="AI416" s="28"/>
      <c r="AJ416" s="28"/>
      <c r="AK416" s="28"/>
      <c r="AL416" s="28"/>
      <c r="AM416" s="28"/>
      <c r="AN416" s="28"/>
      <c r="AO416" s="30"/>
      <c r="AP416" s="28"/>
      <c r="AS416" s="28"/>
      <c r="AT416" s="28"/>
      <c r="AU416" s="30"/>
      <c r="AV416" s="28"/>
      <c r="AW416" s="28"/>
      <c r="AX416" s="28"/>
      <c r="AZ416" s="28"/>
      <c r="BA416" s="16" t="e">
        <f t="shared" si="200"/>
        <v>#DIV/0!</v>
      </c>
      <c r="BC416" s="7" t="e">
        <f t="shared" si="201"/>
        <v>#N/A</v>
      </c>
      <c r="BR416" s="7">
        <v>1406015</v>
      </c>
      <c r="BS416" s="9">
        <f>[1]monsters!$N416</f>
        <v>396.8</v>
      </c>
      <c r="BT416" s="9">
        <f>[1]monsters!$O416</f>
        <v>39.68</v>
      </c>
      <c r="BU416" s="9">
        <f>[1]monsters!$P416</f>
        <v>1981.94</v>
      </c>
      <c r="BV416" s="9">
        <f>[1]monsters!$Q416</f>
        <v>198.19</v>
      </c>
      <c r="BW416" s="9">
        <f>[1]monsters!$R416</f>
        <v>39.68</v>
      </c>
      <c r="BX416" s="9">
        <f>[1]monsters!$S416</f>
        <v>3.97</v>
      </c>
      <c r="BY416" s="9">
        <f>[1]monsters!$K416</f>
        <v>1.5</v>
      </c>
      <c r="BZ416" s="7">
        <f>[1]monsters!$D416</f>
        <v>6</v>
      </c>
      <c r="CA416" s="7">
        <f t="shared" si="202"/>
        <v>0.1</v>
      </c>
      <c r="CB416" s="7">
        <f t="shared" si="203"/>
        <v>441.70798653198659</v>
      </c>
      <c r="CC416" s="7">
        <f t="shared" si="204"/>
        <v>44.170798653198659</v>
      </c>
      <c r="CD416" s="7"/>
      <c r="CE416" s="7"/>
      <c r="CF416" s="7"/>
      <c r="CG416" s="7"/>
      <c r="CH416" s="7"/>
      <c r="CI416" s="7"/>
      <c r="CJ416" s="7"/>
      <c r="CK416" s="7"/>
      <c r="CL416" s="7"/>
      <c r="CM416" s="7"/>
      <c r="CN416" s="7"/>
      <c r="CO416" s="7"/>
      <c r="CP416" s="7">
        <v>0</v>
      </c>
      <c r="CR416" s="25"/>
      <c r="CS416" s="25"/>
      <c r="CT416" s="25"/>
      <c r="CU416" s="25"/>
      <c r="CV416" s="25"/>
      <c r="CW416" s="25"/>
      <c r="DP416" s="32"/>
      <c r="DQ416" s="32"/>
      <c r="DR416" s="32"/>
      <c r="DS416" s="32"/>
      <c r="DT416" s="32"/>
      <c r="DU416" s="32"/>
      <c r="DV416" s="32"/>
      <c r="DW416" s="32"/>
      <c r="DX416" s="32"/>
      <c r="DY416" s="32"/>
      <c r="DZ416" s="32"/>
      <c r="EA416" s="25"/>
      <c r="EB416" s="50"/>
      <c r="EC416" s="16">
        <v>5601133</v>
      </c>
      <c r="ED416" s="40" t="s">
        <v>228</v>
      </c>
      <c r="EE416" s="16">
        <v>2</v>
      </c>
    </row>
    <row r="417" spans="11:135" ht="13.5" customHeight="1">
      <c r="K417" s="2"/>
      <c r="L417" s="18"/>
      <c r="O417" s="25"/>
      <c r="AI417" s="28"/>
      <c r="AJ417" s="28"/>
      <c r="AK417" s="28"/>
      <c r="AL417" s="28"/>
      <c r="AM417" s="28"/>
      <c r="AN417" s="28"/>
      <c r="AO417" s="30"/>
      <c r="AP417" s="28"/>
      <c r="AS417" s="28"/>
      <c r="AT417" s="28"/>
      <c r="AU417" s="30"/>
      <c r="AV417" s="28"/>
      <c r="AW417" s="28"/>
      <c r="AX417" s="28"/>
      <c r="AZ417" s="28"/>
      <c r="BA417" s="16" t="e">
        <f t="shared" si="200"/>
        <v>#DIV/0!</v>
      </c>
      <c r="BC417" s="7" t="e">
        <f t="shared" si="201"/>
        <v>#N/A</v>
      </c>
      <c r="BR417" s="7">
        <v>1205015</v>
      </c>
      <c r="BS417" s="9">
        <f>[1]monsters!$N417</f>
        <v>245.76</v>
      </c>
      <c r="BT417" s="9">
        <f>[1]monsters!$O417</f>
        <v>24.58</v>
      </c>
      <c r="BU417" s="9">
        <f>[1]monsters!$P417</f>
        <v>3840</v>
      </c>
      <c r="BV417" s="9">
        <f>[1]monsters!$Q417</f>
        <v>384</v>
      </c>
      <c r="BW417" s="9">
        <f>[1]monsters!$R417</f>
        <v>81.92</v>
      </c>
      <c r="BX417" s="9">
        <f>[1]monsters!$S417</f>
        <v>8.19</v>
      </c>
      <c r="BY417" s="9">
        <f>[1]monsters!$K417</f>
        <v>1.8</v>
      </c>
      <c r="BZ417" s="7">
        <f>[1]monsters!$D417</f>
        <v>2</v>
      </c>
      <c r="CA417" s="7">
        <f t="shared" si="202"/>
        <v>0.1</v>
      </c>
      <c r="CB417" s="7">
        <f t="shared" si="203"/>
        <v>361.53612929292927</v>
      </c>
      <c r="CC417" s="7">
        <f t="shared" si="204"/>
        <v>36.153612929292926</v>
      </c>
      <c r="CD417" s="7"/>
      <c r="CE417" s="7"/>
      <c r="CF417" s="7"/>
      <c r="CG417" s="7"/>
      <c r="CH417" s="7"/>
      <c r="CI417" s="7"/>
      <c r="CJ417" s="7"/>
      <c r="CK417" s="7"/>
      <c r="CL417" s="7"/>
      <c r="CM417" s="7"/>
      <c r="CN417" s="7"/>
      <c r="CO417" s="7"/>
      <c r="CP417" s="7">
        <v>0</v>
      </c>
      <c r="CR417" s="25"/>
      <c r="CS417" s="25"/>
      <c r="CT417" s="25"/>
      <c r="CU417" s="25"/>
      <c r="CV417" s="25"/>
      <c r="CW417" s="25"/>
      <c r="DP417" s="32"/>
      <c r="DQ417" s="32"/>
      <c r="DR417" s="32"/>
      <c r="DS417" s="32"/>
      <c r="DT417" s="32"/>
      <c r="DU417" s="32"/>
      <c r="DV417" s="32"/>
      <c r="DW417" s="32"/>
      <c r="DX417" s="32"/>
      <c r="DY417" s="32"/>
      <c r="DZ417" s="32"/>
      <c r="EA417" s="25"/>
      <c r="EB417" s="50"/>
      <c r="EC417" s="16">
        <v>5201134</v>
      </c>
      <c r="ED417" s="40" t="s">
        <v>229</v>
      </c>
      <c r="EE417" s="16">
        <v>1</v>
      </c>
    </row>
    <row r="418" spans="11:135" ht="13.5" customHeight="1">
      <c r="K418" s="2"/>
      <c r="O418" s="25"/>
      <c r="AI418" s="28"/>
      <c r="AJ418" s="28"/>
      <c r="AK418" s="28"/>
      <c r="AL418" s="28"/>
      <c r="AM418" s="28"/>
      <c r="AN418" s="28"/>
      <c r="AO418" s="30"/>
      <c r="AP418" s="28"/>
      <c r="AS418" s="28"/>
      <c r="AT418" s="28"/>
      <c r="AU418" s="30"/>
      <c r="AV418" s="28"/>
      <c r="AW418" s="28"/>
      <c r="AX418" s="28"/>
      <c r="AZ418" s="28"/>
      <c r="BA418" s="16" t="e">
        <f t="shared" si="200"/>
        <v>#DIV/0!</v>
      </c>
      <c r="BC418" s="7" t="e">
        <f t="shared" si="201"/>
        <v>#N/A</v>
      </c>
      <c r="BR418" s="7">
        <v>1405015</v>
      </c>
      <c r="BS418" s="9">
        <f>[1]monsters!$N418</f>
        <v>215.04</v>
      </c>
      <c r="BT418" s="9">
        <f>[1]monsters!$O418</f>
        <v>21.5</v>
      </c>
      <c r="BU418" s="9">
        <f>[1]monsters!$P418</f>
        <v>3413.33</v>
      </c>
      <c r="BV418" s="9">
        <f>[1]monsters!$Q418</f>
        <v>341.33</v>
      </c>
      <c r="BW418" s="9">
        <f>[1]monsters!$R418</f>
        <v>43.01</v>
      </c>
      <c r="BX418" s="9">
        <f>[1]monsters!$S418</f>
        <v>4.3</v>
      </c>
      <c r="BY418" s="9">
        <f>[1]monsters!$K418</f>
        <v>1.4000000000000001</v>
      </c>
      <c r="BZ418" s="7">
        <f>[1]monsters!$D418</f>
        <v>3</v>
      </c>
      <c r="CA418" s="7">
        <f t="shared" si="202"/>
        <v>0.1</v>
      </c>
      <c r="CB418" s="7">
        <f t="shared" si="203"/>
        <v>318.13973602693602</v>
      </c>
      <c r="CC418" s="7">
        <f t="shared" si="204"/>
        <v>31.813973602693604</v>
      </c>
      <c r="CD418" s="7"/>
      <c r="CE418" s="7"/>
      <c r="CF418" s="7"/>
      <c r="CG418" s="7"/>
      <c r="CH418" s="7"/>
      <c r="CI418" s="7"/>
      <c r="CJ418" s="7"/>
      <c r="CK418" s="7"/>
      <c r="CL418" s="7"/>
      <c r="CM418" s="7"/>
      <c r="CN418" s="7"/>
      <c r="CO418" s="7"/>
      <c r="CP418" s="7">
        <v>1</v>
      </c>
      <c r="CR418" s="25"/>
      <c r="CS418" s="25"/>
      <c r="CT418" s="25"/>
      <c r="CU418" s="25"/>
      <c r="CV418" s="25"/>
      <c r="CW418" s="25"/>
      <c r="DP418" s="32"/>
      <c r="DQ418" s="32"/>
      <c r="DR418" s="32"/>
      <c r="DS418" s="32"/>
      <c r="DT418" s="32"/>
      <c r="DU418" s="32"/>
      <c r="DV418" s="32"/>
      <c r="DW418" s="32"/>
      <c r="DX418" s="32"/>
      <c r="DY418" s="32"/>
      <c r="DZ418" s="32"/>
      <c r="EA418" s="25"/>
      <c r="EB418" s="22"/>
      <c r="EC418" s="16">
        <v>5302134</v>
      </c>
      <c r="ED418" s="40" t="s">
        <v>230</v>
      </c>
      <c r="EE418" s="16">
        <v>1</v>
      </c>
    </row>
    <row r="419" spans="11:135" ht="13.5" customHeight="1">
      <c r="K419" s="2"/>
      <c r="L419" s="18"/>
      <c r="O419" s="25"/>
      <c r="AI419" s="28"/>
      <c r="AJ419" s="28"/>
      <c r="AK419" s="28"/>
      <c r="AL419" s="28"/>
      <c r="AM419" s="28"/>
      <c r="AN419" s="28"/>
      <c r="AO419" s="30"/>
      <c r="AP419" s="28"/>
      <c r="AS419" s="28"/>
      <c r="AT419" s="28"/>
      <c r="AU419" s="30"/>
      <c r="AV419" s="28"/>
      <c r="AW419" s="28"/>
      <c r="AX419" s="28"/>
      <c r="AZ419" s="28"/>
      <c r="BA419" s="16" t="e">
        <f t="shared" ref="BA419:BA452" si="205">BA418+($BA$453-$BA$353)/($A$453-$A$353)</f>
        <v>#DIV/0!</v>
      </c>
      <c r="BC419" s="7" t="e">
        <f t="shared" si="201"/>
        <v>#N/A</v>
      </c>
      <c r="BR419" s="7">
        <v>1203015</v>
      </c>
      <c r="BS419" s="9">
        <f>[1]monsters!$N419</f>
        <v>382.29</v>
      </c>
      <c r="BT419" s="9">
        <f>[1]monsters!$O419</f>
        <v>38.229999999999997</v>
      </c>
      <c r="BU419" s="9">
        <f>[1]monsters!$P419</f>
        <v>2194.29</v>
      </c>
      <c r="BV419" s="9">
        <f>[1]monsters!$Q419</f>
        <v>219.43</v>
      </c>
      <c r="BW419" s="9">
        <f>[1]monsters!$R419</f>
        <v>47.79</v>
      </c>
      <c r="BX419" s="9">
        <f>[1]monsters!$S419</f>
        <v>4.78</v>
      </c>
      <c r="BY419" s="9">
        <f>[1]monsters!$K419</f>
        <v>1.6</v>
      </c>
      <c r="BZ419" s="7">
        <f>[1]monsters!$D419</f>
        <v>5</v>
      </c>
      <c r="CA419" s="7">
        <f t="shared" si="202"/>
        <v>0.1</v>
      </c>
      <c r="CB419" s="7">
        <f t="shared" si="203"/>
        <v>435.14586818181823</v>
      </c>
      <c r="CC419" s="7">
        <f t="shared" si="204"/>
        <v>43.514586818181826</v>
      </c>
      <c r="CD419" s="7"/>
      <c r="CE419" s="7"/>
      <c r="CF419" s="7"/>
      <c r="CG419" s="7"/>
      <c r="CH419" s="7"/>
      <c r="CI419" s="7"/>
      <c r="CJ419" s="7"/>
      <c r="CK419" s="7"/>
      <c r="CL419" s="7"/>
      <c r="CM419" s="7"/>
      <c r="CN419" s="7"/>
      <c r="CO419" s="7"/>
      <c r="CP419" s="7">
        <v>0</v>
      </c>
      <c r="CR419" s="25"/>
      <c r="CS419" s="25"/>
      <c r="CT419" s="25"/>
      <c r="CU419" s="25"/>
      <c r="CV419" s="25"/>
      <c r="CW419" s="25"/>
      <c r="DP419" s="32"/>
      <c r="DQ419" s="32"/>
      <c r="DR419" s="32"/>
      <c r="DS419" s="32"/>
      <c r="DT419" s="32"/>
      <c r="DU419" s="32"/>
      <c r="DV419" s="32"/>
      <c r="DW419" s="32"/>
      <c r="DX419" s="32"/>
      <c r="DY419" s="32"/>
      <c r="DZ419" s="32"/>
      <c r="EA419" s="25"/>
      <c r="EB419" s="50"/>
      <c r="EC419" s="16">
        <v>5501134</v>
      </c>
      <c r="ED419" s="40" t="s">
        <v>226</v>
      </c>
      <c r="EE419" s="16">
        <v>2</v>
      </c>
    </row>
    <row r="420" spans="11:135" ht="13.5" customHeight="1">
      <c r="K420" s="2"/>
      <c r="L420" s="18"/>
      <c r="O420" s="25"/>
      <c r="AI420" s="28"/>
      <c r="AJ420" s="28"/>
      <c r="AK420" s="28"/>
      <c r="AL420" s="28"/>
      <c r="AM420" s="28"/>
      <c r="AN420" s="28"/>
      <c r="AO420" s="30"/>
      <c r="AP420" s="28"/>
      <c r="AS420" s="28"/>
      <c r="AT420" s="28"/>
      <c r="AU420" s="30"/>
      <c r="AV420" s="28"/>
      <c r="AW420" s="28"/>
      <c r="AX420" s="28"/>
      <c r="AZ420" s="28"/>
      <c r="BA420" s="16" t="e">
        <f t="shared" si="205"/>
        <v>#DIV/0!</v>
      </c>
      <c r="BC420" s="7" t="e">
        <f t="shared" si="201"/>
        <v>#N/A</v>
      </c>
      <c r="BR420" s="7">
        <v>1403015</v>
      </c>
      <c r="BS420" s="9">
        <f>[1]monsters!$N420</f>
        <v>370.35</v>
      </c>
      <c r="BT420" s="9">
        <f>[1]monsters!$O420</f>
        <v>37.03</v>
      </c>
      <c r="BU420" s="9">
        <f>[1]monsters!$P420</f>
        <v>1981.94</v>
      </c>
      <c r="BV420" s="9">
        <f>[1]monsters!$Q420</f>
        <v>198.19</v>
      </c>
      <c r="BW420" s="9">
        <f>[1]monsters!$R420</f>
        <v>37.03</v>
      </c>
      <c r="BX420" s="9">
        <f>[1]monsters!$S420</f>
        <v>3.7</v>
      </c>
      <c r="BY420" s="9">
        <f>[1]monsters!$K420</f>
        <v>1.4000000000000001</v>
      </c>
      <c r="BZ420" s="7">
        <f>[1]monsters!$D420</f>
        <v>6</v>
      </c>
      <c r="CA420" s="7">
        <f t="shared" si="202"/>
        <v>0.1</v>
      </c>
      <c r="CB420" s="7">
        <f t="shared" si="203"/>
        <v>416.71273653198659</v>
      </c>
      <c r="CC420" s="7">
        <f t="shared" si="204"/>
        <v>41.671273653198661</v>
      </c>
      <c r="CD420" s="7"/>
      <c r="CE420" s="7"/>
      <c r="CF420" s="7"/>
      <c r="CG420" s="7"/>
      <c r="CH420" s="7"/>
      <c r="CI420" s="7"/>
      <c r="CJ420" s="7"/>
      <c r="CK420" s="7"/>
      <c r="CL420" s="7"/>
      <c r="CM420" s="7"/>
      <c r="CN420" s="7"/>
      <c r="CO420" s="7"/>
      <c r="CP420" s="7">
        <v>0</v>
      </c>
      <c r="CR420" s="25"/>
      <c r="CS420" s="25"/>
      <c r="CT420" s="25"/>
      <c r="CU420" s="25"/>
      <c r="CV420" s="25"/>
      <c r="CW420" s="25"/>
      <c r="DP420" s="32"/>
      <c r="DQ420" s="32"/>
      <c r="DR420" s="32"/>
      <c r="DS420" s="32"/>
      <c r="DT420" s="32"/>
      <c r="DU420" s="32"/>
      <c r="DV420" s="32"/>
      <c r="DW420" s="32"/>
      <c r="DX420" s="32"/>
      <c r="DY420" s="32"/>
      <c r="DZ420" s="32"/>
      <c r="EA420" s="25"/>
      <c r="EB420" s="50"/>
      <c r="EC420" s="16">
        <v>5600134</v>
      </c>
      <c r="ED420" s="40" t="s">
        <v>231</v>
      </c>
      <c r="EE420" s="16">
        <v>1</v>
      </c>
    </row>
    <row r="421" spans="11:135" ht="13.5" customHeight="1">
      <c r="K421" s="2"/>
      <c r="L421" s="18"/>
      <c r="O421" s="25"/>
      <c r="AI421" s="28"/>
      <c r="AJ421" s="28"/>
      <c r="AK421" s="28"/>
      <c r="AL421" s="28"/>
      <c r="AM421" s="28"/>
      <c r="AN421" s="28"/>
      <c r="AO421" s="30"/>
      <c r="AP421" s="28"/>
      <c r="AS421" s="28"/>
      <c r="AT421" s="28"/>
      <c r="AU421" s="30"/>
      <c r="AV421" s="28"/>
      <c r="AW421" s="28"/>
      <c r="AX421" s="28"/>
      <c r="AZ421" s="28"/>
      <c r="BA421" s="16" t="e">
        <f t="shared" si="205"/>
        <v>#DIV/0!</v>
      </c>
      <c r="BC421" s="7" t="e">
        <f t="shared" si="201"/>
        <v>#N/A</v>
      </c>
      <c r="BR421" s="7">
        <v>1204015</v>
      </c>
      <c r="BS421" s="9">
        <f>[1]monsters!$N421</f>
        <v>476.16</v>
      </c>
      <c r="BT421" s="9">
        <f>[1]monsters!$O421</f>
        <v>47.62</v>
      </c>
      <c r="BU421" s="9">
        <f>[1]monsters!$P421</f>
        <v>1981.94</v>
      </c>
      <c r="BV421" s="9">
        <f>[1]monsters!$Q421</f>
        <v>198.19</v>
      </c>
      <c r="BW421" s="9">
        <f>[1]monsters!$R421</f>
        <v>47.62</v>
      </c>
      <c r="BX421" s="9">
        <f>[1]monsters!$S421</f>
        <v>4.76</v>
      </c>
      <c r="BY421" s="9">
        <f>[1]monsters!$K421</f>
        <v>1.8</v>
      </c>
      <c r="BZ421" s="7">
        <f>[1]monsters!$D421</f>
        <v>6</v>
      </c>
      <c r="CA421" s="7">
        <f t="shared" si="202"/>
        <v>0.1</v>
      </c>
      <c r="CB421" s="7">
        <f t="shared" si="203"/>
        <v>516.7031865319866</v>
      </c>
      <c r="CC421" s="7">
        <f t="shared" si="204"/>
        <v>51.670318653198663</v>
      </c>
      <c r="CD421" s="7"/>
      <c r="CE421" s="7"/>
      <c r="CF421" s="7"/>
      <c r="CG421" s="7"/>
      <c r="CH421" s="7"/>
      <c r="CI421" s="7"/>
      <c r="CJ421" s="7"/>
      <c r="CK421" s="7"/>
      <c r="CL421" s="7"/>
      <c r="CM421" s="7"/>
      <c r="CN421" s="7"/>
      <c r="CO421" s="7"/>
      <c r="CP421" s="7">
        <v>0</v>
      </c>
      <c r="CR421" s="25"/>
      <c r="CS421" s="25"/>
      <c r="CT421" s="25"/>
      <c r="CU421" s="25"/>
      <c r="CV421" s="25"/>
      <c r="CW421" s="25"/>
      <c r="DP421" s="13"/>
      <c r="DQ421" s="13"/>
      <c r="DR421" s="13"/>
      <c r="DS421" s="32"/>
      <c r="DT421" s="32"/>
      <c r="DU421" s="32"/>
      <c r="DV421" s="32"/>
      <c r="DW421" s="32"/>
      <c r="DX421" s="32"/>
      <c r="DY421" s="32"/>
      <c r="DZ421" s="32"/>
      <c r="EA421" s="25"/>
      <c r="EB421" s="50"/>
      <c r="EC421" s="16">
        <v>5602134</v>
      </c>
      <c r="ED421" s="40" t="s">
        <v>232</v>
      </c>
      <c r="EE421" s="16">
        <v>2</v>
      </c>
    </row>
    <row r="422" spans="11:135" ht="13.5" customHeight="1">
      <c r="K422" s="2"/>
      <c r="L422" s="18"/>
      <c r="O422" s="25"/>
      <c r="AI422" s="28"/>
      <c r="AJ422" s="28"/>
      <c r="AK422" s="28"/>
      <c r="AL422" s="28"/>
      <c r="AM422" s="28"/>
      <c r="AN422" s="28"/>
      <c r="AO422" s="30"/>
      <c r="AP422" s="28"/>
      <c r="AS422" s="28"/>
      <c r="AT422" s="28"/>
      <c r="AU422" s="30"/>
      <c r="AV422" s="28"/>
      <c r="AW422" s="28"/>
      <c r="AX422" s="28"/>
      <c r="AZ422" s="28"/>
      <c r="BA422" s="16" t="e">
        <f t="shared" si="205"/>
        <v>#DIV/0!</v>
      </c>
      <c r="BC422" s="7" t="e">
        <f t="shared" si="201"/>
        <v>#N/A</v>
      </c>
      <c r="BR422" s="7">
        <v>1404015</v>
      </c>
      <c r="BS422" s="9">
        <f>[1]monsters!$N422</f>
        <v>276.48</v>
      </c>
      <c r="BT422" s="9">
        <f>[1]monsters!$O422</f>
        <v>27.65</v>
      </c>
      <c r="BU422" s="9">
        <f>[1]monsters!$P422</f>
        <v>3413.33</v>
      </c>
      <c r="BV422" s="9">
        <f>[1]monsters!$Q422</f>
        <v>341.33</v>
      </c>
      <c r="BW422" s="9">
        <f>[1]monsters!$R422</f>
        <v>55.3</v>
      </c>
      <c r="BX422" s="9">
        <f>[1]monsters!$S422</f>
        <v>5.53</v>
      </c>
      <c r="BY422" s="9">
        <f>[1]monsters!$K422</f>
        <v>1.8</v>
      </c>
      <c r="BZ422" s="7">
        <f>[1]monsters!$D422</f>
        <v>2</v>
      </c>
      <c r="CA422" s="7">
        <f t="shared" si="202"/>
        <v>0.1</v>
      </c>
      <c r="CB422" s="7">
        <f t="shared" si="203"/>
        <v>376.20053602693611</v>
      </c>
      <c r="CC422" s="7">
        <f t="shared" si="204"/>
        <v>37.620053602693609</v>
      </c>
      <c r="CD422" s="7"/>
      <c r="CE422" s="7"/>
      <c r="CF422" s="7"/>
      <c r="CG422" s="7"/>
      <c r="CH422" s="7"/>
      <c r="CI422" s="7"/>
      <c r="CJ422" s="7"/>
      <c r="CK422" s="7"/>
      <c r="CL422" s="7"/>
      <c r="CM422" s="7"/>
      <c r="CN422" s="7"/>
      <c r="CO422" s="7"/>
      <c r="CP422" s="7">
        <v>0</v>
      </c>
      <c r="CR422" s="25"/>
      <c r="CS422" s="25"/>
      <c r="CT422" s="25"/>
      <c r="CU422" s="25"/>
      <c r="CV422" s="25"/>
      <c r="CW422" s="25"/>
      <c r="DP422" s="32"/>
      <c r="DQ422" s="32"/>
      <c r="DR422" s="32"/>
      <c r="DS422" s="32"/>
      <c r="DT422" s="32"/>
      <c r="DU422" s="32"/>
      <c r="DV422" s="32"/>
      <c r="DW422" s="32"/>
      <c r="DX422" s="32"/>
      <c r="DY422" s="32"/>
      <c r="DZ422" s="32"/>
      <c r="EA422" s="25"/>
      <c r="EB422" s="22"/>
      <c r="EC422" s="16">
        <v>5202135</v>
      </c>
      <c r="ED422" s="40" t="s">
        <v>233</v>
      </c>
      <c r="EE422" s="16">
        <v>1</v>
      </c>
    </row>
    <row r="423" spans="11:135" ht="13.5" customHeight="1">
      <c r="K423" s="2"/>
      <c r="O423" s="25"/>
      <c r="AI423" s="28"/>
      <c r="AJ423" s="28"/>
      <c r="AK423" s="28"/>
      <c r="AL423" s="28"/>
      <c r="AM423" s="28"/>
      <c r="AN423" s="28"/>
      <c r="AO423" s="30"/>
      <c r="AP423" s="28"/>
      <c r="AS423" s="28"/>
      <c r="AT423" s="28"/>
      <c r="AU423" s="30"/>
      <c r="AV423" s="28"/>
      <c r="AW423" s="28"/>
      <c r="AX423" s="28"/>
      <c r="AZ423" s="28"/>
      <c r="BA423" s="16" t="e">
        <f t="shared" si="205"/>
        <v>#DIV/0!</v>
      </c>
      <c r="BC423" s="7" t="e">
        <f t="shared" si="201"/>
        <v>#N/A</v>
      </c>
      <c r="BR423" s="7">
        <v>1303015</v>
      </c>
      <c r="BS423" s="9">
        <f>[1]monsters!$N423</f>
        <v>199.68</v>
      </c>
      <c r="BT423" s="9">
        <f>[1]monsters!$O423</f>
        <v>19.97</v>
      </c>
      <c r="BU423" s="9">
        <f>[1]monsters!$P423</f>
        <v>3413.33</v>
      </c>
      <c r="BV423" s="9">
        <f>[1]monsters!$Q423</f>
        <v>341.33</v>
      </c>
      <c r="BW423" s="9">
        <f>[1]monsters!$R423</f>
        <v>39.94</v>
      </c>
      <c r="BX423" s="9">
        <f>[1]monsters!$S423</f>
        <v>3.99</v>
      </c>
      <c r="BY423" s="9">
        <f>[1]monsters!$K423</f>
        <v>1.3</v>
      </c>
      <c r="BZ423" s="7">
        <f>[1]monsters!$D423</f>
        <v>3</v>
      </c>
      <c r="CA423" s="7">
        <f t="shared" si="202"/>
        <v>0.1</v>
      </c>
      <c r="CB423" s="7">
        <f t="shared" si="203"/>
        <v>303.62453602693608</v>
      </c>
      <c r="CC423" s="7">
        <f t="shared" si="204"/>
        <v>30.362453602693609</v>
      </c>
      <c r="CD423" s="7"/>
      <c r="CE423" s="7"/>
      <c r="CF423" s="7"/>
      <c r="CG423" s="7"/>
      <c r="CH423" s="7"/>
      <c r="CI423" s="7"/>
      <c r="CJ423" s="7"/>
      <c r="CK423" s="7"/>
      <c r="CL423" s="7"/>
      <c r="CM423" s="7"/>
      <c r="CN423" s="7"/>
      <c r="CO423" s="7"/>
      <c r="CP423" s="7">
        <v>1</v>
      </c>
      <c r="CR423" s="25"/>
      <c r="CS423" s="25"/>
      <c r="CT423" s="25"/>
      <c r="CU423" s="25"/>
      <c r="CV423" s="25"/>
      <c r="CW423" s="25"/>
      <c r="DP423" s="32"/>
      <c r="DQ423" s="32"/>
      <c r="DR423" s="32"/>
      <c r="DS423" s="32"/>
      <c r="DT423" s="32"/>
      <c r="DU423" s="32"/>
      <c r="DV423" s="32"/>
      <c r="DW423" s="32"/>
      <c r="DX423" s="32"/>
      <c r="DY423" s="32"/>
      <c r="DZ423" s="32"/>
      <c r="EA423" s="25"/>
      <c r="EB423" s="50"/>
      <c r="EC423" s="16">
        <v>5300135</v>
      </c>
      <c r="ED423" s="40" t="s">
        <v>224</v>
      </c>
      <c r="EE423" s="16">
        <v>1</v>
      </c>
    </row>
    <row r="424" spans="11:135" ht="13.5" customHeight="1">
      <c r="K424" s="2"/>
      <c r="L424" s="18"/>
      <c r="O424" s="25"/>
      <c r="AI424" s="28"/>
      <c r="AJ424" s="28"/>
      <c r="AK424" s="28"/>
      <c r="AL424" s="28"/>
      <c r="AM424" s="28"/>
      <c r="AN424" s="28"/>
      <c r="AO424" s="30"/>
      <c r="AP424" s="28"/>
      <c r="AS424" s="28"/>
      <c r="AT424" s="28"/>
      <c r="AU424" s="30"/>
      <c r="AV424" s="28"/>
      <c r="AW424" s="28"/>
      <c r="AX424" s="28"/>
      <c r="AZ424" s="28"/>
      <c r="BA424" s="16" t="e">
        <f t="shared" si="205"/>
        <v>#DIV/0!</v>
      </c>
      <c r="BC424" s="7" t="e">
        <f t="shared" si="201"/>
        <v>#N/A</v>
      </c>
      <c r="BR424" s="7">
        <v>1304015</v>
      </c>
      <c r="BS424" s="9">
        <f>[1]monsters!$N424</f>
        <v>215.04</v>
      </c>
      <c r="BT424" s="9">
        <f>[1]monsters!$O424</f>
        <v>21.5</v>
      </c>
      <c r="BU424" s="9">
        <f>[1]monsters!$P424</f>
        <v>3413.33</v>
      </c>
      <c r="BV424" s="9">
        <f>[1]monsters!$Q424</f>
        <v>341.33</v>
      </c>
      <c r="BW424" s="9">
        <f>[1]monsters!$R424</f>
        <v>43.01</v>
      </c>
      <c r="BX424" s="9">
        <f>[1]monsters!$S424</f>
        <v>4.3</v>
      </c>
      <c r="BY424" s="9">
        <f>[1]monsters!$K424</f>
        <v>1.4000000000000001</v>
      </c>
      <c r="BZ424" s="7">
        <f>[1]monsters!$D424</f>
        <v>3</v>
      </c>
      <c r="CA424" s="7">
        <f t="shared" si="202"/>
        <v>0.1</v>
      </c>
      <c r="CB424" s="7">
        <f t="shared" si="203"/>
        <v>318.13973602693602</v>
      </c>
      <c r="CC424" s="7">
        <f t="shared" si="204"/>
        <v>31.813973602693604</v>
      </c>
      <c r="CD424" s="7"/>
      <c r="CE424" s="7"/>
      <c r="CF424" s="7"/>
      <c r="CG424" s="7"/>
      <c r="CH424" s="7"/>
      <c r="CI424" s="7"/>
      <c r="CJ424" s="7"/>
      <c r="CK424" s="7"/>
      <c r="CL424" s="7"/>
      <c r="CM424" s="7"/>
      <c r="CN424" s="7"/>
      <c r="CO424" s="7"/>
      <c r="CP424" s="7">
        <v>0</v>
      </c>
      <c r="CR424" s="25"/>
      <c r="CS424" s="25"/>
      <c r="CT424" s="25"/>
      <c r="CU424" s="25"/>
      <c r="CV424" s="25"/>
      <c r="CW424" s="25"/>
      <c r="DP424" s="32"/>
      <c r="DQ424" s="32"/>
      <c r="DR424" s="32"/>
      <c r="DS424" s="32"/>
      <c r="DT424" s="32"/>
      <c r="DU424" s="32"/>
      <c r="DV424" s="32"/>
      <c r="DW424" s="32"/>
      <c r="DX424" s="32"/>
      <c r="DY424" s="32"/>
      <c r="DZ424" s="32"/>
      <c r="EA424" s="25"/>
      <c r="EB424" s="50"/>
      <c r="EC424" s="16">
        <v>5302135</v>
      </c>
      <c r="ED424" s="40" t="s">
        <v>234</v>
      </c>
      <c r="EE424" s="16">
        <v>1</v>
      </c>
    </row>
    <row r="425" spans="11:135" ht="13.5" customHeight="1">
      <c r="K425" s="2"/>
      <c r="L425" s="18"/>
      <c r="O425" s="25"/>
      <c r="AI425" s="28"/>
      <c r="AJ425" s="28"/>
      <c r="AK425" s="28"/>
      <c r="AL425" s="28"/>
      <c r="AM425" s="28"/>
      <c r="AN425" s="28"/>
      <c r="AO425" s="30"/>
      <c r="AP425" s="28"/>
      <c r="AS425" s="28"/>
      <c r="AT425" s="28"/>
      <c r="AU425" s="30"/>
      <c r="AV425" s="28"/>
      <c r="AW425" s="28"/>
      <c r="AX425" s="28"/>
      <c r="AZ425" s="28"/>
      <c r="BA425" s="16" t="e">
        <f t="shared" si="205"/>
        <v>#DIV/0!</v>
      </c>
      <c r="BC425" s="7" t="e">
        <f t="shared" si="201"/>
        <v>#N/A</v>
      </c>
      <c r="BR425" s="7">
        <v>1503015</v>
      </c>
      <c r="BS425" s="9">
        <f>[1]monsters!$N425</f>
        <v>286.72000000000003</v>
      </c>
      <c r="BT425" s="9">
        <f>[1]monsters!$O425</f>
        <v>28.67</v>
      </c>
      <c r="BU425" s="9">
        <f>[1]monsters!$P425</f>
        <v>2560</v>
      </c>
      <c r="BV425" s="9">
        <f>[1]monsters!$Q425</f>
        <v>256</v>
      </c>
      <c r="BW425" s="9">
        <f>[1]monsters!$R425</f>
        <v>40.96</v>
      </c>
      <c r="BX425" s="9">
        <f>[1]monsters!$S425</f>
        <v>4.0999999999999996</v>
      </c>
      <c r="BY425" s="9">
        <f>[1]monsters!$K425</f>
        <v>1.4000000000000001</v>
      </c>
      <c r="BZ425" s="7">
        <f>[1]monsters!$D425</f>
        <v>4</v>
      </c>
      <c r="CA425" s="7">
        <f t="shared" si="202"/>
        <v>0.1</v>
      </c>
      <c r="CB425" s="7">
        <f t="shared" si="203"/>
        <v>357.14568619528626</v>
      </c>
      <c r="CC425" s="7">
        <f t="shared" si="204"/>
        <v>35.714568619528627</v>
      </c>
      <c r="CD425" s="7"/>
      <c r="CE425" s="7"/>
      <c r="CF425" s="7"/>
      <c r="CG425" s="7"/>
      <c r="CH425" s="7"/>
      <c r="CI425" s="7"/>
      <c r="CJ425" s="7"/>
      <c r="CK425" s="7"/>
      <c r="CL425" s="7"/>
      <c r="CM425" s="7"/>
      <c r="CN425" s="7"/>
      <c r="CO425" s="7"/>
      <c r="CP425" s="7">
        <v>0</v>
      </c>
      <c r="CR425" s="25"/>
      <c r="CS425" s="25"/>
      <c r="CT425" s="25"/>
      <c r="CU425" s="25"/>
      <c r="CV425" s="25"/>
      <c r="CW425" s="25"/>
      <c r="DP425" s="32"/>
      <c r="DQ425" s="32"/>
      <c r="DR425" s="32"/>
      <c r="DS425" s="32"/>
      <c r="DT425" s="32"/>
      <c r="DU425" s="32"/>
      <c r="DV425" s="32"/>
      <c r="DW425" s="32"/>
      <c r="DX425" s="32"/>
      <c r="DY425" s="32"/>
      <c r="DZ425" s="32"/>
      <c r="EA425" s="25"/>
      <c r="EB425" s="22"/>
      <c r="EC425" s="16">
        <v>5400135</v>
      </c>
      <c r="ED425" s="40" t="s">
        <v>222</v>
      </c>
      <c r="EE425" s="16">
        <v>2</v>
      </c>
    </row>
    <row r="426" spans="11:135" ht="13.5" customHeight="1">
      <c r="K426" s="2"/>
      <c r="L426" s="18"/>
      <c r="O426" s="25"/>
      <c r="AI426" s="28"/>
      <c r="AJ426" s="28"/>
      <c r="AK426" s="28"/>
      <c r="AL426" s="28"/>
      <c r="AM426" s="28"/>
      <c r="AN426" s="28"/>
      <c r="AO426" s="30"/>
      <c r="AP426" s="28"/>
      <c r="AS426" s="28"/>
      <c r="AT426" s="28"/>
      <c r="AU426" s="30"/>
      <c r="AV426" s="28"/>
      <c r="AW426" s="28"/>
      <c r="AX426" s="28"/>
      <c r="AZ426" s="28"/>
      <c r="BA426" s="16" t="e">
        <f t="shared" si="205"/>
        <v>#DIV/0!</v>
      </c>
      <c r="BC426" s="7" t="e">
        <f t="shared" si="201"/>
        <v>#N/A</v>
      </c>
      <c r="BR426" s="7">
        <v>1504015</v>
      </c>
      <c r="BS426" s="9">
        <f>[1]monsters!$N426</f>
        <v>382.29</v>
      </c>
      <c r="BT426" s="9">
        <f>[1]monsters!$O426</f>
        <v>38.229999999999997</v>
      </c>
      <c r="BU426" s="9">
        <f>[1]monsters!$P426</f>
        <v>2194.29</v>
      </c>
      <c r="BV426" s="9">
        <f>[1]monsters!$Q426</f>
        <v>219.43</v>
      </c>
      <c r="BW426" s="9">
        <f>[1]monsters!$R426</f>
        <v>47.79</v>
      </c>
      <c r="BX426" s="9">
        <f>[1]monsters!$S426</f>
        <v>4.78</v>
      </c>
      <c r="BY426" s="9">
        <f>[1]monsters!$K426</f>
        <v>1.6</v>
      </c>
      <c r="BZ426" s="7">
        <f>[1]monsters!$D426</f>
        <v>5</v>
      </c>
      <c r="CA426" s="7">
        <f t="shared" si="202"/>
        <v>0.1</v>
      </c>
      <c r="CB426" s="7">
        <f t="shared" si="203"/>
        <v>435.14586818181823</v>
      </c>
      <c r="CC426" s="7">
        <f t="shared" si="204"/>
        <v>43.514586818181826</v>
      </c>
      <c r="CD426" s="7"/>
      <c r="CE426" s="7"/>
      <c r="CF426" s="7"/>
      <c r="CG426" s="7"/>
      <c r="CH426" s="7"/>
      <c r="CI426" s="7"/>
      <c r="CJ426" s="7"/>
      <c r="CK426" s="7"/>
      <c r="CL426" s="7"/>
      <c r="CM426" s="7"/>
      <c r="CN426" s="7"/>
      <c r="CO426" s="7"/>
      <c r="CP426" s="7">
        <v>0</v>
      </c>
      <c r="CR426" s="25"/>
      <c r="CS426" s="25"/>
      <c r="CT426" s="25"/>
      <c r="CU426" s="25"/>
      <c r="CV426" s="25"/>
      <c r="CW426" s="25"/>
      <c r="DP426" s="32"/>
      <c r="DQ426" s="32"/>
      <c r="DR426" s="32"/>
      <c r="DS426" s="32"/>
      <c r="DT426" s="32"/>
      <c r="DU426" s="32"/>
      <c r="DV426" s="32"/>
      <c r="DW426" s="32"/>
      <c r="DX426" s="32"/>
      <c r="DY426" s="32"/>
      <c r="DZ426" s="32"/>
      <c r="EA426" s="25"/>
      <c r="EB426" s="50"/>
      <c r="EC426" s="16">
        <v>5501135</v>
      </c>
      <c r="ED426" s="42" t="s">
        <v>235</v>
      </c>
      <c r="EE426" s="16">
        <v>2</v>
      </c>
    </row>
    <row r="427" spans="11:135" ht="13.5" customHeight="1">
      <c r="K427" s="2"/>
      <c r="L427" s="18"/>
      <c r="O427" s="25"/>
      <c r="AI427" s="28"/>
      <c r="AJ427" s="28"/>
      <c r="AK427" s="28"/>
      <c r="AL427" s="28"/>
      <c r="AM427" s="28"/>
      <c r="AN427" s="28"/>
      <c r="AO427" s="30"/>
      <c r="AP427" s="28"/>
      <c r="AS427" s="28"/>
      <c r="AT427" s="28"/>
      <c r="AU427" s="30"/>
      <c r="AV427" s="28"/>
      <c r="AW427" s="28"/>
      <c r="AX427" s="28"/>
      <c r="AZ427" s="28"/>
      <c r="BA427" s="16" t="e">
        <f t="shared" si="205"/>
        <v>#DIV/0!</v>
      </c>
      <c r="BC427" s="7" t="e">
        <f t="shared" si="201"/>
        <v>#N/A</v>
      </c>
      <c r="BR427" s="7">
        <v>1101015</v>
      </c>
      <c r="BS427" s="9">
        <f>[1]monsters!$N427</f>
        <v>62.4</v>
      </c>
      <c r="BT427" s="9">
        <f>[1]monsters!$O427</f>
        <v>6.24</v>
      </c>
      <c r="BU427" s="9">
        <f>[1]monsters!$P427</f>
        <v>1066.67</v>
      </c>
      <c r="BV427" s="9">
        <f>[1]monsters!$Q427</f>
        <v>106.67</v>
      </c>
      <c r="BW427" s="9">
        <f>[1]monsters!$R427</f>
        <v>12.48</v>
      </c>
      <c r="BX427" s="9">
        <f>[1]monsters!$S427</f>
        <v>1.25</v>
      </c>
      <c r="BY427" s="9">
        <f>[1]monsters!$K427</f>
        <v>1.3</v>
      </c>
      <c r="BZ427" s="7">
        <f>[1]monsters!$D427</f>
        <v>2</v>
      </c>
      <c r="CA427" s="7">
        <f t="shared" si="202"/>
        <v>0.1</v>
      </c>
      <c r="CB427" s="7">
        <f t="shared" si="203"/>
        <v>94.882814814814822</v>
      </c>
      <c r="CC427" s="7">
        <f t="shared" si="204"/>
        <v>9.4882814814814829</v>
      </c>
      <c r="CD427" s="7"/>
      <c r="CE427" s="7"/>
      <c r="CF427" s="7"/>
      <c r="CG427" s="7"/>
      <c r="CH427" s="7"/>
      <c r="CI427" s="7"/>
      <c r="CJ427" s="7"/>
      <c r="CK427" s="7"/>
      <c r="CL427" s="7"/>
      <c r="CM427" s="7"/>
      <c r="CN427" s="7"/>
      <c r="CO427" s="7"/>
      <c r="CP427" s="7">
        <v>0</v>
      </c>
      <c r="CR427" s="25"/>
      <c r="CS427" s="25"/>
      <c r="CT427" s="25"/>
      <c r="CU427" s="25"/>
      <c r="CV427" s="25"/>
      <c r="CW427" s="25"/>
      <c r="DP427" s="32"/>
      <c r="DQ427" s="32"/>
      <c r="DR427" s="32"/>
      <c r="DS427" s="32"/>
      <c r="DT427" s="32"/>
      <c r="DU427" s="32"/>
      <c r="DV427" s="32"/>
      <c r="DW427" s="32"/>
      <c r="DX427" s="32"/>
      <c r="DY427" s="32"/>
      <c r="DZ427" s="32"/>
      <c r="EA427" s="25"/>
      <c r="EB427" s="50"/>
      <c r="EC427" s="16">
        <v>1203011</v>
      </c>
      <c r="ED427" s="16" t="s">
        <v>238</v>
      </c>
      <c r="EE427" s="16">
        <v>1</v>
      </c>
    </row>
    <row r="428" spans="11:135" ht="13.5" customHeight="1">
      <c r="K428" s="2"/>
      <c r="O428" s="25"/>
      <c r="AI428" s="28"/>
      <c r="AJ428" s="28"/>
      <c r="AK428" s="28"/>
      <c r="AL428" s="28"/>
      <c r="AM428" s="28"/>
      <c r="AN428" s="28"/>
      <c r="AO428" s="30"/>
      <c r="AP428" s="28"/>
      <c r="AS428" s="28"/>
      <c r="AT428" s="28"/>
      <c r="AU428" s="30"/>
      <c r="AV428" s="28"/>
      <c r="AW428" s="28"/>
      <c r="AX428" s="28"/>
      <c r="AZ428" s="28"/>
      <c r="BA428" s="16" t="e">
        <f t="shared" si="205"/>
        <v>#DIV/0!</v>
      </c>
      <c r="BC428" s="7" t="e">
        <f t="shared" si="201"/>
        <v>#N/A</v>
      </c>
      <c r="BR428" s="7">
        <v>1102015</v>
      </c>
      <c r="BS428" s="9">
        <f>[1]monsters!$N428</f>
        <v>83.2</v>
      </c>
      <c r="BT428" s="9">
        <f>[1]monsters!$O428</f>
        <v>8.32</v>
      </c>
      <c r="BU428" s="9">
        <f>[1]monsters!$P428</f>
        <v>800</v>
      </c>
      <c r="BV428" s="9">
        <f>[1]monsters!$Q428</f>
        <v>80</v>
      </c>
      <c r="BW428" s="9">
        <f>[1]monsters!$R428</f>
        <v>8.32</v>
      </c>
      <c r="BX428" s="9">
        <f>[1]monsters!$S428</f>
        <v>0.83</v>
      </c>
      <c r="BY428" s="9">
        <f>[1]monsters!$K428</f>
        <v>1.3</v>
      </c>
      <c r="BZ428" s="7">
        <f>[1]monsters!$D428</f>
        <v>4</v>
      </c>
      <c r="CA428" s="7">
        <f t="shared" si="202"/>
        <v>0.1</v>
      </c>
      <c r="CB428" s="7">
        <f t="shared" si="203"/>
        <v>105.56002693602694</v>
      </c>
      <c r="CC428" s="7">
        <f t="shared" si="204"/>
        <v>10.556002693602695</v>
      </c>
      <c r="CD428" s="7"/>
      <c r="CE428" s="7"/>
      <c r="CF428" s="7"/>
      <c r="CG428" s="7"/>
      <c r="CH428" s="7"/>
      <c r="CI428" s="7"/>
      <c r="CJ428" s="7"/>
      <c r="CK428" s="7"/>
      <c r="CL428" s="7"/>
      <c r="CM428" s="7"/>
      <c r="CN428" s="7"/>
      <c r="CO428" s="7"/>
      <c r="CP428" s="7">
        <v>1</v>
      </c>
      <c r="CR428" s="25"/>
      <c r="CS428" s="25"/>
      <c r="CT428" s="25"/>
      <c r="CU428" s="25"/>
      <c r="CV428" s="25"/>
      <c r="CW428" s="25"/>
      <c r="DP428" s="32"/>
      <c r="DQ428" s="32"/>
      <c r="DR428" s="32"/>
      <c r="DS428" s="32"/>
      <c r="DT428" s="32"/>
      <c r="DU428" s="32"/>
      <c r="DV428" s="32"/>
      <c r="DW428" s="32"/>
      <c r="DX428" s="32"/>
      <c r="DY428" s="32"/>
      <c r="DZ428" s="32"/>
      <c r="EA428" s="25"/>
      <c r="EB428" s="50"/>
      <c r="EC428" s="16">
        <v>1403011</v>
      </c>
      <c r="ED428" s="16" t="s">
        <v>239</v>
      </c>
      <c r="EE428" s="16">
        <v>2</v>
      </c>
    </row>
    <row r="429" spans="11:135" ht="13.5" customHeight="1">
      <c r="K429" s="2"/>
      <c r="L429" s="18"/>
      <c r="O429" s="25"/>
      <c r="AI429" s="28"/>
      <c r="AJ429" s="28"/>
      <c r="AK429" s="28"/>
      <c r="AL429" s="28"/>
      <c r="AM429" s="28"/>
      <c r="AN429" s="28"/>
      <c r="AO429" s="30"/>
      <c r="AP429" s="28"/>
      <c r="AS429" s="28"/>
      <c r="AT429" s="28"/>
      <c r="AU429" s="30"/>
      <c r="AV429" s="28"/>
      <c r="AW429" s="28"/>
      <c r="AX429" s="28"/>
      <c r="AZ429" s="28"/>
      <c r="BA429" s="16" t="e">
        <f t="shared" si="205"/>
        <v>#DIV/0!</v>
      </c>
      <c r="BC429" s="7" t="e">
        <f t="shared" si="201"/>
        <v>#N/A</v>
      </c>
      <c r="BR429" s="7">
        <v>2206021</v>
      </c>
      <c r="BS429" s="9">
        <f>[1]monsters!$N429</f>
        <v>86.4</v>
      </c>
      <c r="BT429" s="9">
        <f>[1]monsters!$O429</f>
        <v>8.64</v>
      </c>
      <c r="BU429" s="9">
        <f>[1]monsters!$P429</f>
        <v>1066.67</v>
      </c>
      <c r="BV429" s="9">
        <f>[1]monsters!$Q429</f>
        <v>106.67</v>
      </c>
      <c r="BW429" s="9">
        <f>[1]monsters!$R429</f>
        <v>17.28</v>
      </c>
      <c r="BX429" s="9">
        <f>[1]monsters!$S429</f>
        <v>1.73</v>
      </c>
      <c r="BY429" s="9">
        <f>[1]monsters!$K429</f>
        <v>1.8</v>
      </c>
      <c r="BZ429" s="7">
        <f>[1]monsters!$D429</f>
        <v>2</v>
      </c>
      <c r="CA429" s="7">
        <f t="shared" si="202"/>
        <v>0.1</v>
      </c>
      <c r="CB429" s="7">
        <f t="shared" si="203"/>
        <v>117.56281481481483</v>
      </c>
      <c r="CC429" s="7">
        <f t="shared" si="204"/>
        <v>11.756281481481484</v>
      </c>
      <c r="CD429" s="7"/>
      <c r="CE429" s="7"/>
      <c r="CF429" s="7"/>
      <c r="CG429" s="7"/>
      <c r="CH429" s="7"/>
      <c r="CI429" s="7"/>
      <c r="CJ429" s="7"/>
      <c r="CK429" s="7"/>
      <c r="CL429" s="7"/>
      <c r="CM429" s="7"/>
      <c r="CN429" s="7"/>
      <c r="CO429" s="7"/>
      <c r="CP429" s="7">
        <v>0</v>
      </c>
      <c r="CR429" s="25"/>
      <c r="CS429" s="25"/>
      <c r="CT429" s="25"/>
      <c r="CU429" s="25"/>
      <c r="CV429" s="25"/>
      <c r="CW429" s="25"/>
      <c r="DP429" s="32"/>
      <c r="DQ429" s="32"/>
      <c r="DR429" s="32"/>
      <c r="DS429" s="32"/>
      <c r="DT429" s="32"/>
      <c r="DU429" s="32"/>
      <c r="DV429" s="32"/>
      <c r="DW429" s="32"/>
      <c r="DX429" s="32"/>
      <c r="DY429" s="32"/>
      <c r="DZ429" s="32"/>
      <c r="EA429" s="25"/>
      <c r="EB429" s="47"/>
      <c r="EC429" s="16">
        <v>1205011</v>
      </c>
      <c r="ED429" s="16" t="s">
        <v>240</v>
      </c>
      <c r="EE429" s="16">
        <v>1</v>
      </c>
    </row>
    <row r="430" spans="11:135" ht="13.5" customHeight="1">
      <c r="K430" s="2"/>
      <c r="L430" s="18"/>
      <c r="O430" s="25"/>
      <c r="AI430" s="28"/>
      <c r="AJ430" s="28"/>
      <c r="AK430" s="28"/>
      <c r="AL430" s="28"/>
      <c r="AM430" s="28"/>
      <c r="AN430" s="28"/>
      <c r="AO430" s="30"/>
      <c r="AP430" s="28"/>
      <c r="AS430" s="28"/>
      <c r="AT430" s="28"/>
      <c r="AU430" s="30"/>
      <c r="AV430" s="28"/>
      <c r="AW430" s="28"/>
      <c r="AX430" s="28"/>
      <c r="AZ430" s="28"/>
      <c r="BA430" s="16" t="e">
        <f t="shared" si="205"/>
        <v>#DIV/0!</v>
      </c>
      <c r="BC430" s="7" t="e">
        <f t="shared" si="201"/>
        <v>#N/A</v>
      </c>
      <c r="BR430" s="7">
        <v>2406021</v>
      </c>
      <c r="BS430" s="9">
        <f>[1]monsters!$N430</f>
        <v>100</v>
      </c>
      <c r="BT430" s="9">
        <f>[1]monsters!$O430</f>
        <v>10</v>
      </c>
      <c r="BU430" s="9">
        <f>[1]monsters!$P430</f>
        <v>768</v>
      </c>
      <c r="BV430" s="9">
        <f>[1]monsters!$Q430</f>
        <v>76.8</v>
      </c>
      <c r="BW430" s="9">
        <f>[1]monsters!$R430</f>
        <v>10</v>
      </c>
      <c r="BX430" s="9">
        <f>[1]monsters!$S430</f>
        <v>1</v>
      </c>
      <c r="BY430" s="9">
        <f>[1]monsters!$K430</f>
        <v>1.5</v>
      </c>
      <c r="BZ430" s="7">
        <f>[1]monsters!$D430</f>
        <v>4</v>
      </c>
      <c r="CA430" s="7">
        <f t="shared" si="202"/>
        <v>0.1</v>
      </c>
      <c r="CB430" s="7">
        <f t="shared" si="203"/>
        <v>120.35858585858585</v>
      </c>
      <c r="CC430" s="7">
        <f t="shared" si="204"/>
        <v>12.035858585858586</v>
      </c>
      <c r="CD430" s="7"/>
      <c r="CE430" s="7"/>
      <c r="CF430" s="7"/>
      <c r="CG430" s="7"/>
      <c r="CH430" s="7"/>
      <c r="CI430" s="7"/>
      <c r="CJ430" s="7"/>
      <c r="CK430" s="7"/>
      <c r="CL430" s="7"/>
      <c r="CM430" s="7"/>
      <c r="CN430" s="7"/>
      <c r="CO430" s="7"/>
      <c r="CP430" s="7">
        <v>0</v>
      </c>
      <c r="CR430" s="25"/>
      <c r="CS430" s="25"/>
      <c r="CT430" s="25"/>
      <c r="CU430" s="25"/>
      <c r="CV430" s="25"/>
      <c r="CW430" s="25"/>
      <c r="DP430" s="32"/>
      <c r="DQ430" s="32"/>
      <c r="DR430" s="32"/>
      <c r="DS430" s="32"/>
      <c r="DT430" s="32"/>
      <c r="DU430" s="32"/>
      <c r="DV430" s="32"/>
      <c r="DW430" s="32"/>
      <c r="DX430" s="32"/>
      <c r="DY430" s="32"/>
      <c r="DZ430" s="32"/>
      <c r="EA430" s="25"/>
      <c r="EB430" s="47"/>
      <c r="EC430" s="16">
        <v>1405011</v>
      </c>
      <c r="ED430" s="16" t="s">
        <v>241</v>
      </c>
      <c r="EE430" s="16">
        <v>2</v>
      </c>
    </row>
    <row r="431" spans="11:135" ht="13.5" customHeight="1">
      <c r="K431" s="2"/>
      <c r="L431" s="18"/>
      <c r="O431" s="25"/>
      <c r="AI431" s="28"/>
      <c r="AJ431" s="28"/>
      <c r="AK431" s="28"/>
      <c r="AL431" s="28"/>
      <c r="AM431" s="28"/>
      <c r="AN431" s="28"/>
      <c r="AO431" s="30"/>
      <c r="AP431" s="28"/>
      <c r="AS431" s="28"/>
      <c r="AT431" s="28"/>
      <c r="AU431" s="30"/>
      <c r="AV431" s="28"/>
      <c r="AW431" s="28"/>
      <c r="AX431" s="28"/>
      <c r="AZ431" s="28"/>
      <c r="BA431" s="16" t="e">
        <f t="shared" si="205"/>
        <v>#DIV/0!</v>
      </c>
      <c r="BC431" s="7" t="e">
        <f t="shared" si="201"/>
        <v>#N/A</v>
      </c>
      <c r="BR431" s="7">
        <v>2205021</v>
      </c>
      <c r="BS431" s="9">
        <f>[1]monsters!$N431</f>
        <v>76.27</v>
      </c>
      <c r="BT431" s="9">
        <f>[1]monsters!$O431</f>
        <v>7.63</v>
      </c>
      <c r="BU431" s="9">
        <f>[1]monsters!$P431</f>
        <v>872.73</v>
      </c>
      <c r="BV431" s="9">
        <f>[1]monsters!$Q431</f>
        <v>87.27</v>
      </c>
      <c r="BW431" s="9">
        <f>[1]monsters!$R431</f>
        <v>9.5299999999999994</v>
      </c>
      <c r="BX431" s="9">
        <f>[1]monsters!$S431</f>
        <v>0.95</v>
      </c>
      <c r="BY431" s="9">
        <f>[1]monsters!$K431</f>
        <v>1.3</v>
      </c>
      <c r="BZ431" s="7">
        <f>[1]monsters!$D431</f>
        <v>3</v>
      </c>
      <c r="CA431" s="7">
        <f t="shared" si="202"/>
        <v>0.1</v>
      </c>
      <c r="CB431" s="7">
        <f t="shared" si="203"/>
        <v>101.45999848484848</v>
      </c>
      <c r="CC431" s="7">
        <f t="shared" si="204"/>
        <v>10.145999848484848</v>
      </c>
      <c r="CD431" s="7"/>
      <c r="CE431" s="7"/>
      <c r="CF431" s="7"/>
      <c r="CG431" s="7"/>
      <c r="CH431" s="7"/>
      <c r="CI431" s="7"/>
      <c r="CJ431" s="7"/>
      <c r="CK431" s="7"/>
      <c r="CL431" s="7"/>
      <c r="CM431" s="7"/>
      <c r="CN431" s="7"/>
      <c r="CO431" s="7"/>
      <c r="CP431" s="7">
        <v>0</v>
      </c>
      <c r="CR431" s="25"/>
      <c r="CS431" s="25"/>
      <c r="CT431" s="25"/>
      <c r="CU431" s="25"/>
      <c r="CV431" s="25"/>
      <c r="CW431" s="25"/>
      <c r="DP431" s="32"/>
      <c r="DQ431" s="32"/>
      <c r="DR431" s="32"/>
      <c r="DS431" s="32"/>
      <c r="DT431" s="32"/>
      <c r="DU431" s="32"/>
      <c r="DV431" s="32"/>
      <c r="DW431" s="32"/>
      <c r="DX431" s="32"/>
      <c r="DY431" s="32"/>
      <c r="DZ431" s="32"/>
      <c r="EA431" s="25"/>
      <c r="EB431" s="47"/>
      <c r="EC431" s="16">
        <v>1303011</v>
      </c>
      <c r="ED431" s="16" t="s">
        <v>242</v>
      </c>
      <c r="EE431" s="16">
        <v>1</v>
      </c>
    </row>
    <row r="432" spans="11:135" ht="13.5" customHeight="1">
      <c r="K432" s="2"/>
      <c r="L432" s="18"/>
      <c r="O432" s="25"/>
      <c r="AI432" s="28"/>
      <c r="AJ432" s="28"/>
      <c r="AK432" s="28"/>
      <c r="AL432" s="28"/>
      <c r="AM432" s="28"/>
      <c r="AN432" s="28"/>
      <c r="AO432" s="30"/>
      <c r="AP432" s="28"/>
      <c r="AS432" s="28"/>
      <c r="AT432" s="28"/>
      <c r="AU432" s="30"/>
      <c r="AV432" s="28"/>
      <c r="AW432" s="28"/>
      <c r="AX432" s="28"/>
      <c r="AZ432" s="28"/>
      <c r="BA432" s="16" t="e">
        <f t="shared" si="205"/>
        <v>#DIV/0!</v>
      </c>
      <c r="BC432" s="7" t="e">
        <f t="shared" si="201"/>
        <v>#N/A</v>
      </c>
      <c r="BR432" s="7">
        <v>2405021</v>
      </c>
      <c r="BS432" s="9">
        <f>[1]monsters!$N432</f>
        <v>105.6</v>
      </c>
      <c r="BT432" s="9">
        <f>[1]monsters!$O432</f>
        <v>10.56</v>
      </c>
      <c r="BU432" s="9">
        <f>[1]monsters!$P432</f>
        <v>872.73</v>
      </c>
      <c r="BV432" s="9">
        <f>[1]monsters!$Q432</f>
        <v>87.27</v>
      </c>
      <c r="BW432" s="9">
        <f>[1]monsters!$R432</f>
        <v>17.600000000000001</v>
      </c>
      <c r="BX432" s="9">
        <f>[1]monsters!$S432</f>
        <v>1.76</v>
      </c>
      <c r="BY432" s="9">
        <f>[1]monsters!$K432</f>
        <v>1.8</v>
      </c>
      <c r="BZ432" s="7">
        <f>[1]monsters!$D432</f>
        <v>5</v>
      </c>
      <c r="CA432" s="7">
        <f t="shared" si="202"/>
        <v>0.1</v>
      </c>
      <c r="CB432" s="7">
        <f t="shared" si="203"/>
        <v>129.17684848484848</v>
      </c>
      <c r="CC432" s="7">
        <f t="shared" si="204"/>
        <v>12.917684848484848</v>
      </c>
      <c r="CD432" s="7"/>
      <c r="CE432" s="7"/>
      <c r="CF432" s="7"/>
      <c r="CG432" s="7"/>
      <c r="CH432" s="7"/>
      <c r="CI432" s="7"/>
      <c r="CJ432" s="7"/>
      <c r="CK432" s="7"/>
      <c r="CL432" s="7"/>
      <c r="CM432" s="7"/>
      <c r="CN432" s="7"/>
      <c r="CO432" s="7"/>
      <c r="CP432" s="7">
        <v>0</v>
      </c>
      <c r="CR432" s="25"/>
      <c r="CS432" s="25"/>
      <c r="CT432" s="25"/>
      <c r="CU432" s="25"/>
      <c r="CV432" s="25"/>
      <c r="CW432" s="25"/>
      <c r="DP432" s="32"/>
      <c r="DQ432" s="32"/>
      <c r="DR432" s="32"/>
      <c r="DS432" s="32"/>
      <c r="DT432" s="32"/>
      <c r="DU432" s="32"/>
      <c r="DV432" s="32"/>
      <c r="DW432" s="32"/>
      <c r="DX432" s="32"/>
      <c r="DY432" s="32"/>
      <c r="DZ432" s="32"/>
      <c r="EA432" s="25"/>
      <c r="EB432" s="48"/>
      <c r="EC432" s="16">
        <v>1504011</v>
      </c>
      <c r="ED432" s="16" t="s">
        <v>243</v>
      </c>
      <c r="EE432" s="16">
        <v>1</v>
      </c>
    </row>
    <row r="433" spans="11:135" ht="13.5" customHeight="1">
      <c r="K433" s="2"/>
      <c r="O433" s="25"/>
      <c r="AI433" s="28"/>
      <c r="AJ433" s="28"/>
      <c r="AK433" s="28"/>
      <c r="AL433" s="28"/>
      <c r="AM433" s="28"/>
      <c r="AN433" s="28"/>
      <c r="AO433" s="30"/>
      <c r="AP433" s="28"/>
      <c r="AS433" s="28"/>
      <c r="AT433" s="28"/>
      <c r="AU433" s="30"/>
      <c r="AV433" s="28"/>
      <c r="AW433" s="28"/>
      <c r="AX433" s="28"/>
      <c r="AZ433" s="28"/>
      <c r="BA433" s="16" t="e">
        <f t="shared" si="205"/>
        <v>#DIV/0!</v>
      </c>
      <c r="BC433" s="7" t="e">
        <f t="shared" si="201"/>
        <v>#N/A</v>
      </c>
      <c r="BR433" s="7">
        <v>2203021</v>
      </c>
      <c r="BS433" s="9">
        <f>[1]monsters!$N433</f>
        <v>76.8</v>
      </c>
      <c r="BT433" s="9">
        <f>[1]monsters!$O433</f>
        <v>7.68</v>
      </c>
      <c r="BU433" s="9">
        <f>[1]monsters!$P433</f>
        <v>1066.67</v>
      </c>
      <c r="BV433" s="9">
        <f>[1]monsters!$Q433</f>
        <v>106.67</v>
      </c>
      <c r="BW433" s="9">
        <f>[1]monsters!$R433</f>
        <v>15.36</v>
      </c>
      <c r="BX433" s="9">
        <f>[1]monsters!$S433</f>
        <v>1.54</v>
      </c>
      <c r="BY433" s="9">
        <f>[1]monsters!$K433</f>
        <v>1.6</v>
      </c>
      <c r="BZ433" s="7">
        <f>[1]monsters!$D433</f>
        <v>2</v>
      </c>
      <c r="CA433" s="7">
        <f t="shared" si="202"/>
        <v>0.1</v>
      </c>
      <c r="CB433" s="7">
        <f t="shared" si="203"/>
        <v>108.49081481481483</v>
      </c>
      <c r="CC433" s="7">
        <f t="shared" si="204"/>
        <v>10.849081481481484</v>
      </c>
      <c r="CD433" s="7"/>
      <c r="CE433" s="7"/>
      <c r="CF433" s="7"/>
      <c r="CG433" s="7"/>
      <c r="CH433" s="7"/>
      <c r="CI433" s="7"/>
      <c r="CJ433" s="7"/>
      <c r="CK433" s="7"/>
      <c r="CL433" s="7"/>
      <c r="CM433" s="7"/>
      <c r="CN433" s="7"/>
      <c r="CO433" s="7"/>
      <c r="CP433" s="7">
        <v>1</v>
      </c>
      <c r="CR433" s="25"/>
      <c r="CS433" s="25"/>
      <c r="CT433" s="25"/>
      <c r="CU433" s="25"/>
      <c r="CV433" s="25"/>
      <c r="CW433" s="25"/>
      <c r="DP433" s="32"/>
      <c r="DQ433" s="32"/>
      <c r="DR433" s="32"/>
      <c r="DS433" s="32"/>
      <c r="DT433" s="32"/>
      <c r="DU433" s="32"/>
      <c r="DV433" s="32"/>
      <c r="DW433" s="32"/>
      <c r="DX433" s="32"/>
      <c r="DY433" s="32"/>
      <c r="DZ433" s="32"/>
      <c r="EA433" s="25"/>
      <c r="EB433" s="47"/>
      <c r="EC433" s="16">
        <v>1206011</v>
      </c>
      <c r="ED433" s="16" t="s">
        <v>244</v>
      </c>
      <c r="EE433" s="16">
        <v>1</v>
      </c>
    </row>
    <row r="434" spans="11:135" ht="13.5" customHeight="1">
      <c r="K434" s="2"/>
      <c r="L434" s="18"/>
      <c r="O434" s="25"/>
      <c r="AI434" s="28"/>
      <c r="AJ434" s="28"/>
      <c r="AK434" s="28"/>
      <c r="AL434" s="28"/>
      <c r="AM434" s="28"/>
      <c r="AN434" s="28"/>
      <c r="AO434" s="30"/>
      <c r="AP434" s="28"/>
      <c r="AS434" s="28"/>
      <c r="AT434" s="28"/>
      <c r="AU434" s="30"/>
      <c r="AV434" s="28"/>
      <c r="AW434" s="28"/>
      <c r="AX434" s="28"/>
      <c r="AZ434" s="28"/>
      <c r="BA434" s="16" t="e">
        <f t="shared" si="205"/>
        <v>#DIV/0!</v>
      </c>
      <c r="BC434" s="7" t="e">
        <f t="shared" si="201"/>
        <v>#N/A</v>
      </c>
      <c r="BR434" s="7">
        <v>2403021</v>
      </c>
      <c r="BS434" s="9">
        <f>[1]monsters!$N434</f>
        <v>97.07</v>
      </c>
      <c r="BT434" s="9">
        <f>[1]monsters!$O434</f>
        <v>9.7100000000000009</v>
      </c>
      <c r="BU434" s="9">
        <f>[1]monsters!$P434</f>
        <v>738.46</v>
      </c>
      <c r="BV434" s="9">
        <f>[1]monsters!$Q434</f>
        <v>73.849999999999994</v>
      </c>
      <c r="BW434" s="9">
        <f>[1]monsters!$R434</f>
        <v>9.7100000000000009</v>
      </c>
      <c r="BX434" s="9">
        <f>[1]monsters!$S434</f>
        <v>0.97</v>
      </c>
      <c r="BY434" s="9">
        <f>[1]monsters!$K434</f>
        <v>1.4000000000000001</v>
      </c>
      <c r="BZ434" s="7">
        <f>[1]monsters!$D434</f>
        <v>4</v>
      </c>
      <c r="CA434" s="7">
        <f t="shared" si="202"/>
        <v>0.1</v>
      </c>
      <c r="CB434" s="7">
        <f t="shared" si="203"/>
        <v>116.59512306397306</v>
      </c>
      <c r="CC434" s="7">
        <f t="shared" si="204"/>
        <v>11.659512306397307</v>
      </c>
      <c r="CD434" s="7"/>
      <c r="CE434" s="7"/>
      <c r="CF434" s="7"/>
      <c r="CG434" s="7"/>
      <c r="CH434" s="7"/>
      <c r="CI434" s="7"/>
      <c r="CJ434" s="7"/>
      <c r="CK434" s="7"/>
      <c r="CL434" s="7"/>
      <c r="CM434" s="7"/>
      <c r="CN434" s="7"/>
      <c r="CO434" s="7"/>
      <c r="CP434" s="7">
        <v>0</v>
      </c>
      <c r="CR434" s="25"/>
      <c r="CS434" s="25"/>
      <c r="CT434" s="25"/>
      <c r="CU434" s="25"/>
      <c r="CV434" s="25"/>
      <c r="CW434" s="25"/>
      <c r="DP434" s="32"/>
      <c r="DQ434" s="32"/>
      <c r="DR434" s="32"/>
      <c r="DS434" s="32"/>
      <c r="DT434" s="32"/>
      <c r="DU434" s="32"/>
      <c r="DV434" s="32"/>
      <c r="DW434" s="32"/>
      <c r="DX434" s="32"/>
      <c r="DY434" s="32"/>
      <c r="DZ434" s="32"/>
      <c r="EA434" s="25"/>
      <c r="EB434" s="47"/>
      <c r="EC434" s="16">
        <v>1406011</v>
      </c>
      <c r="ED434" s="16" t="s">
        <v>245</v>
      </c>
      <c r="EE434" s="16">
        <v>2</v>
      </c>
    </row>
    <row r="435" spans="11:135" ht="13.5" customHeight="1">
      <c r="K435" s="2"/>
      <c r="L435" s="18"/>
      <c r="O435" s="25"/>
      <c r="AI435" s="28"/>
      <c r="AJ435" s="28"/>
      <c r="AK435" s="28"/>
      <c r="AL435" s="28"/>
      <c r="AM435" s="28"/>
      <c r="AN435" s="28"/>
      <c r="AO435" s="30"/>
      <c r="AP435" s="28"/>
      <c r="AS435" s="28"/>
      <c r="AT435" s="28"/>
      <c r="AU435" s="30"/>
      <c r="AV435" s="28"/>
      <c r="AW435" s="28"/>
      <c r="AX435" s="28"/>
      <c r="AZ435" s="28"/>
      <c r="BA435" s="16" t="e">
        <f t="shared" si="205"/>
        <v>#DIV/0!</v>
      </c>
      <c r="BC435" s="7" t="e">
        <f t="shared" si="201"/>
        <v>#N/A</v>
      </c>
      <c r="BR435" s="7">
        <v>2204021</v>
      </c>
      <c r="BS435" s="9">
        <f>[1]monsters!$N435</f>
        <v>67.2</v>
      </c>
      <c r="BT435" s="9">
        <f>[1]monsters!$O435</f>
        <v>6.72</v>
      </c>
      <c r="BU435" s="9">
        <f>[1]monsters!$P435</f>
        <v>1066.67</v>
      </c>
      <c r="BV435" s="9">
        <f>[1]monsters!$Q435</f>
        <v>106.67</v>
      </c>
      <c r="BW435" s="9">
        <f>[1]monsters!$R435</f>
        <v>13.44</v>
      </c>
      <c r="BX435" s="9">
        <f>[1]monsters!$S435</f>
        <v>1.34</v>
      </c>
      <c r="BY435" s="9">
        <f>[1]monsters!$K435</f>
        <v>1.4000000000000001</v>
      </c>
      <c r="BZ435" s="7">
        <f>[1]monsters!$D435</f>
        <v>2</v>
      </c>
      <c r="CA435" s="7">
        <f t="shared" si="202"/>
        <v>0.1</v>
      </c>
      <c r="CB435" s="7">
        <f t="shared" si="203"/>
        <v>99.418814814814823</v>
      </c>
      <c r="CC435" s="7">
        <f t="shared" si="204"/>
        <v>9.9418814814814827</v>
      </c>
      <c r="CD435" s="7"/>
      <c r="CE435" s="7"/>
      <c r="CF435" s="7"/>
      <c r="CG435" s="7"/>
      <c r="CH435" s="7"/>
      <c r="CI435" s="7"/>
      <c r="CJ435" s="7"/>
      <c r="CK435" s="7"/>
      <c r="CL435" s="7"/>
      <c r="CM435" s="7"/>
      <c r="CN435" s="7"/>
      <c r="CO435" s="7"/>
      <c r="CP435" s="7">
        <v>0</v>
      </c>
      <c r="CR435" s="25"/>
      <c r="CS435" s="25"/>
      <c r="CT435" s="25"/>
      <c r="CU435" s="25"/>
      <c r="CV435" s="25"/>
      <c r="CW435" s="25"/>
      <c r="DP435" s="32"/>
      <c r="DQ435" s="32"/>
      <c r="DR435" s="32"/>
      <c r="DS435" s="32"/>
      <c r="DT435" s="32"/>
      <c r="DU435" s="32"/>
      <c r="DV435" s="32"/>
      <c r="DW435" s="32"/>
      <c r="DX435" s="32"/>
      <c r="DY435" s="32"/>
      <c r="DZ435" s="32"/>
      <c r="EA435" s="25"/>
      <c r="EB435" s="47"/>
      <c r="EC435" s="16">
        <v>1204011</v>
      </c>
      <c r="ED435" s="16" t="s">
        <v>246</v>
      </c>
      <c r="EE435" s="16">
        <v>1</v>
      </c>
    </row>
    <row r="436" spans="11:135" ht="13.5" customHeight="1">
      <c r="K436" s="2"/>
      <c r="L436" s="18"/>
      <c r="O436" s="25"/>
      <c r="AI436" s="28"/>
      <c r="AJ436" s="28"/>
      <c r="AK436" s="28"/>
      <c r="AL436" s="28"/>
      <c r="AM436" s="28"/>
      <c r="AN436" s="28"/>
      <c r="AO436" s="30"/>
      <c r="AP436" s="28"/>
      <c r="AS436" s="28"/>
      <c r="AT436" s="28"/>
      <c r="AU436" s="30"/>
      <c r="AV436" s="28"/>
      <c r="AW436" s="28"/>
      <c r="AX436" s="28"/>
      <c r="AZ436" s="28"/>
      <c r="BA436" s="16" t="e">
        <f t="shared" si="205"/>
        <v>#DIV/0!</v>
      </c>
      <c r="BC436" s="7" t="e">
        <f t="shared" si="201"/>
        <v>#N/A</v>
      </c>
      <c r="BR436" s="7">
        <v>2404021</v>
      </c>
      <c r="BS436" s="9">
        <f>[1]monsters!$N436</f>
        <v>110.93</v>
      </c>
      <c r="BT436" s="9">
        <f>[1]monsters!$O436</f>
        <v>11.09</v>
      </c>
      <c r="BU436" s="9">
        <f>[1]monsters!$P436</f>
        <v>738.46</v>
      </c>
      <c r="BV436" s="9">
        <f>[1]monsters!$Q436</f>
        <v>73.849999999999994</v>
      </c>
      <c r="BW436" s="9">
        <f>[1]monsters!$R436</f>
        <v>11.09</v>
      </c>
      <c r="BX436" s="9">
        <f>[1]monsters!$S436</f>
        <v>1.1100000000000001</v>
      </c>
      <c r="BY436" s="9">
        <f>[1]monsters!$K436</f>
        <v>1.6</v>
      </c>
      <c r="BZ436" s="7">
        <f>[1]monsters!$D436</f>
        <v>4</v>
      </c>
      <c r="CA436" s="7">
        <f t="shared" si="202"/>
        <v>0.1</v>
      </c>
      <c r="CB436" s="7">
        <f t="shared" si="203"/>
        <v>129.69282306397309</v>
      </c>
      <c r="CC436" s="7">
        <f t="shared" si="204"/>
        <v>12.969282306397311</v>
      </c>
      <c r="CD436" s="7"/>
      <c r="CE436" s="7"/>
      <c r="CF436" s="7"/>
      <c r="CG436" s="7"/>
      <c r="CH436" s="7"/>
      <c r="CI436" s="7"/>
      <c r="CJ436" s="7"/>
      <c r="CK436" s="7"/>
      <c r="CL436" s="7"/>
      <c r="CM436" s="7"/>
      <c r="CN436" s="7"/>
      <c r="CO436" s="7"/>
      <c r="CP436" s="7">
        <v>0</v>
      </c>
      <c r="CR436" s="25"/>
      <c r="CS436" s="25"/>
      <c r="CT436" s="25"/>
      <c r="CU436" s="25"/>
      <c r="CV436" s="25"/>
      <c r="CW436" s="25"/>
      <c r="DP436" s="32"/>
      <c r="DQ436" s="32"/>
      <c r="DR436" s="32"/>
      <c r="DS436" s="32"/>
      <c r="DT436" s="32"/>
      <c r="DU436" s="32"/>
      <c r="DV436" s="32"/>
      <c r="DW436" s="32"/>
      <c r="DX436" s="32"/>
      <c r="DY436" s="32"/>
      <c r="DZ436" s="32"/>
      <c r="EA436" s="25"/>
      <c r="EB436" s="48"/>
      <c r="EC436" s="16">
        <v>1404011</v>
      </c>
      <c r="ED436" s="16" t="s">
        <v>247</v>
      </c>
      <c r="EE436" s="16">
        <v>2</v>
      </c>
    </row>
    <row r="437" spans="11:135" ht="13.5" customHeight="1">
      <c r="K437" s="2"/>
      <c r="L437" s="18"/>
      <c r="O437" s="25"/>
      <c r="AI437" s="28"/>
      <c r="AJ437" s="28"/>
      <c r="AK437" s="28"/>
      <c r="AL437" s="28"/>
      <c r="AM437" s="28"/>
      <c r="AN437" s="28"/>
      <c r="AO437" s="30"/>
      <c r="AP437" s="28"/>
      <c r="AS437" s="28"/>
      <c r="AT437" s="28"/>
      <c r="AU437" s="30"/>
      <c r="AV437" s="28"/>
      <c r="AW437" s="28"/>
      <c r="AX437" s="28"/>
      <c r="AZ437" s="28"/>
      <c r="BA437" s="16" t="e">
        <f t="shared" si="205"/>
        <v>#DIV/0!</v>
      </c>
      <c r="BC437" s="7" t="e">
        <f t="shared" si="201"/>
        <v>#N/A</v>
      </c>
      <c r="BR437" s="7">
        <v>2303021</v>
      </c>
      <c r="BS437" s="9">
        <f>[1]monsters!$N437</f>
        <v>102.4</v>
      </c>
      <c r="BT437" s="9">
        <f>[1]monsters!$O437</f>
        <v>10.24</v>
      </c>
      <c r="BU437" s="9">
        <f>[1]monsters!$P437</f>
        <v>800</v>
      </c>
      <c r="BV437" s="9">
        <f>[1]monsters!$Q437</f>
        <v>80</v>
      </c>
      <c r="BW437" s="9">
        <f>[1]monsters!$R437</f>
        <v>17.07</v>
      </c>
      <c r="BX437" s="9">
        <f>[1]monsters!$S437</f>
        <v>1.71</v>
      </c>
      <c r="BY437" s="9">
        <f>[1]monsters!$K437</f>
        <v>1.6</v>
      </c>
      <c r="BZ437" s="7">
        <f>[1]monsters!$D437</f>
        <v>5</v>
      </c>
      <c r="CA437" s="7">
        <f t="shared" si="202"/>
        <v>0.1</v>
      </c>
      <c r="CB437" s="7">
        <f t="shared" si="203"/>
        <v>123.70402693602695</v>
      </c>
      <c r="CC437" s="7">
        <f t="shared" si="204"/>
        <v>12.370402693602696</v>
      </c>
      <c r="CD437" s="7"/>
      <c r="CE437" s="7"/>
      <c r="CF437" s="7"/>
      <c r="CG437" s="7"/>
      <c r="CH437" s="7"/>
      <c r="CI437" s="7"/>
      <c r="CJ437" s="7"/>
      <c r="CK437" s="7"/>
      <c r="CL437" s="7"/>
      <c r="CM437" s="7"/>
      <c r="CN437" s="7"/>
      <c r="CO437" s="7"/>
      <c r="CP437" s="7">
        <v>0</v>
      </c>
      <c r="CR437" s="25"/>
      <c r="CS437" s="25"/>
      <c r="CT437" s="25"/>
      <c r="CU437" s="25"/>
      <c r="CV437" s="25"/>
      <c r="CW437" s="25"/>
      <c r="DP437" s="32"/>
      <c r="DQ437" s="32"/>
      <c r="DR437" s="32"/>
      <c r="DS437" s="32"/>
      <c r="DT437" s="32"/>
      <c r="DU437" s="32"/>
      <c r="DV437" s="32"/>
      <c r="DW437" s="32"/>
      <c r="DX437" s="32"/>
      <c r="DY437" s="32"/>
      <c r="DZ437" s="32"/>
      <c r="EA437" s="25"/>
      <c r="EB437" s="47"/>
      <c r="EC437" s="16">
        <v>1503011</v>
      </c>
      <c r="ED437" s="16" t="s">
        <v>248</v>
      </c>
      <c r="EE437" s="16">
        <v>1</v>
      </c>
    </row>
    <row r="438" spans="11:135" ht="13.5" customHeight="1">
      <c r="K438" s="2"/>
      <c r="O438" s="25"/>
      <c r="AI438" s="28"/>
      <c r="AJ438" s="28"/>
      <c r="AK438" s="28"/>
      <c r="AL438" s="28"/>
      <c r="AM438" s="28"/>
      <c r="AN438" s="28"/>
      <c r="AO438" s="30"/>
      <c r="AP438" s="28"/>
      <c r="AS438" s="28"/>
      <c r="AT438" s="28"/>
      <c r="AU438" s="30"/>
      <c r="AV438" s="28"/>
      <c r="AW438" s="28"/>
      <c r="AX438" s="28"/>
      <c r="AZ438" s="28"/>
      <c r="BA438" s="16" t="e">
        <f t="shared" si="205"/>
        <v>#DIV/0!</v>
      </c>
      <c r="BC438" s="7" t="e">
        <f t="shared" si="201"/>
        <v>#N/A</v>
      </c>
      <c r="BR438" s="7">
        <v>2304021</v>
      </c>
      <c r="BS438" s="9">
        <f>[1]monsters!$N438</f>
        <v>85.87</v>
      </c>
      <c r="BT438" s="9">
        <f>[1]monsters!$O438</f>
        <v>8.59</v>
      </c>
      <c r="BU438" s="9">
        <f>[1]monsters!$P438</f>
        <v>834.78</v>
      </c>
      <c r="BV438" s="9">
        <f>[1]monsters!$Q438</f>
        <v>83.48</v>
      </c>
      <c r="BW438" s="9">
        <f>[1]monsters!$R438</f>
        <v>10.73</v>
      </c>
      <c r="BX438" s="9">
        <f>[1]monsters!$S438</f>
        <v>1.07</v>
      </c>
      <c r="BY438" s="9">
        <f>[1]monsters!$K438</f>
        <v>1.4000000000000001</v>
      </c>
      <c r="BZ438" s="7">
        <f>[1]monsters!$D438</f>
        <v>3</v>
      </c>
      <c r="CA438" s="7">
        <f t="shared" si="202"/>
        <v>0.1</v>
      </c>
      <c r="CB438" s="7">
        <f t="shared" si="203"/>
        <v>109.25422070707071</v>
      </c>
      <c r="CC438" s="7">
        <f t="shared" si="204"/>
        <v>10.925422070707071</v>
      </c>
      <c r="CD438" s="7"/>
      <c r="CE438" s="7"/>
      <c r="CF438" s="7"/>
      <c r="CG438" s="7"/>
      <c r="CH438" s="7"/>
      <c r="CI438" s="7"/>
      <c r="CJ438" s="7"/>
      <c r="CK438" s="7"/>
      <c r="CL438" s="7"/>
      <c r="CM438" s="7"/>
      <c r="CN438" s="7"/>
      <c r="CO438" s="7"/>
      <c r="CP438" s="7">
        <v>1</v>
      </c>
      <c r="CR438" s="25"/>
      <c r="CS438" s="25"/>
      <c r="CT438" s="25"/>
      <c r="CU438" s="25"/>
      <c r="CV438" s="25"/>
      <c r="CW438" s="25"/>
      <c r="DP438" s="32"/>
      <c r="DQ438" s="32"/>
      <c r="DR438" s="32"/>
      <c r="DS438" s="32"/>
      <c r="DT438" s="32"/>
      <c r="DU438" s="32"/>
      <c r="DV438" s="32"/>
      <c r="DW438" s="32"/>
      <c r="DX438" s="32"/>
      <c r="DY438" s="32"/>
      <c r="DZ438" s="32"/>
      <c r="EA438" s="25"/>
      <c r="EB438" s="47"/>
      <c r="EC438" s="16">
        <v>1304011</v>
      </c>
      <c r="ED438" s="16" t="s">
        <v>249</v>
      </c>
      <c r="EE438" s="16">
        <v>1</v>
      </c>
    </row>
    <row r="439" spans="11:135" ht="13.5" customHeight="1">
      <c r="K439" s="2"/>
      <c r="L439" s="18"/>
      <c r="O439" s="25"/>
      <c r="AI439" s="28"/>
      <c r="AJ439" s="28"/>
      <c r="AK439" s="28"/>
      <c r="AL439" s="28"/>
      <c r="AM439" s="28"/>
      <c r="AN439" s="28"/>
      <c r="AO439" s="30"/>
      <c r="AP439" s="28"/>
      <c r="AS439" s="28"/>
      <c r="AT439" s="28"/>
      <c r="AU439" s="30"/>
      <c r="AV439" s="28"/>
      <c r="AW439" s="28"/>
      <c r="AX439" s="28"/>
      <c r="AZ439" s="28"/>
      <c r="BA439" s="16" t="e">
        <f t="shared" si="205"/>
        <v>#DIV/0!</v>
      </c>
      <c r="BC439" s="7" t="e">
        <f t="shared" si="201"/>
        <v>#N/A</v>
      </c>
      <c r="BR439" s="7">
        <v>2503021</v>
      </c>
      <c r="BS439" s="9">
        <f>[1]monsters!$N439</f>
        <v>62.4</v>
      </c>
      <c r="BT439" s="9">
        <f>[1]monsters!$O439</f>
        <v>6.24</v>
      </c>
      <c r="BU439" s="9">
        <f>[1]monsters!$P439</f>
        <v>1066.67</v>
      </c>
      <c r="BV439" s="9">
        <f>[1]monsters!$Q439</f>
        <v>106.67</v>
      </c>
      <c r="BW439" s="9">
        <f>[1]monsters!$R439</f>
        <v>12.48</v>
      </c>
      <c r="BX439" s="9">
        <f>[1]monsters!$S439</f>
        <v>1.25</v>
      </c>
      <c r="BY439" s="9">
        <f>[1]monsters!$K439</f>
        <v>1.3</v>
      </c>
      <c r="BZ439" s="7">
        <f>[1]monsters!$D439</f>
        <v>2</v>
      </c>
      <c r="CA439" s="7">
        <f t="shared" si="202"/>
        <v>0.1</v>
      </c>
      <c r="CB439" s="7">
        <f t="shared" si="203"/>
        <v>94.882814814814822</v>
      </c>
      <c r="CC439" s="7">
        <f t="shared" si="204"/>
        <v>9.4882814814814829</v>
      </c>
      <c r="CD439" s="7"/>
      <c r="CE439" s="7"/>
      <c r="CF439" s="7"/>
      <c r="CG439" s="7"/>
      <c r="CH439" s="7"/>
      <c r="CI439" s="7"/>
      <c r="CJ439" s="7"/>
      <c r="CK439" s="7"/>
      <c r="CL439" s="7"/>
      <c r="CM439" s="7"/>
      <c r="CN439" s="7"/>
      <c r="CO439" s="7"/>
      <c r="CP439" s="7">
        <v>0</v>
      </c>
      <c r="CR439" s="25"/>
      <c r="CS439" s="25"/>
      <c r="CT439" s="25"/>
      <c r="CU439" s="25"/>
      <c r="CV439" s="25"/>
      <c r="CW439" s="25"/>
      <c r="DP439" s="32"/>
      <c r="DQ439" s="32"/>
      <c r="DR439" s="32"/>
      <c r="DS439" s="32"/>
      <c r="DT439" s="32"/>
      <c r="DU439" s="32"/>
      <c r="DV439" s="32"/>
      <c r="DW439" s="32"/>
      <c r="DX439" s="32"/>
      <c r="DY439" s="32"/>
      <c r="DZ439" s="32"/>
      <c r="EA439" s="25"/>
      <c r="EB439" s="48"/>
      <c r="EC439" s="16">
        <v>1203012</v>
      </c>
      <c r="ED439" s="16" t="s">
        <v>250</v>
      </c>
      <c r="EE439" s="16">
        <v>1</v>
      </c>
    </row>
    <row r="440" spans="11:135" ht="13.5" customHeight="1">
      <c r="K440" s="2"/>
      <c r="L440" s="18"/>
      <c r="O440" s="25"/>
      <c r="AI440" s="28"/>
      <c r="AJ440" s="28"/>
      <c r="AK440" s="28"/>
      <c r="AL440" s="28"/>
      <c r="AM440" s="28"/>
      <c r="AN440" s="28"/>
      <c r="AO440" s="30"/>
      <c r="AP440" s="28"/>
      <c r="AS440" s="28"/>
      <c r="AT440" s="28"/>
      <c r="AU440" s="30"/>
      <c r="AV440" s="28"/>
      <c r="AW440" s="28"/>
      <c r="AX440" s="28"/>
      <c r="AZ440" s="28"/>
      <c r="BA440" s="16" t="e">
        <f t="shared" si="205"/>
        <v>#DIV/0!</v>
      </c>
      <c r="BC440" s="7" t="e">
        <f t="shared" si="201"/>
        <v>#N/A</v>
      </c>
      <c r="BR440" s="7">
        <v>2504021</v>
      </c>
      <c r="BS440" s="9">
        <f>[1]monsters!$N440</f>
        <v>83.2</v>
      </c>
      <c r="BT440" s="9">
        <f>[1]monsters!$O440</f>
        <v>8.32</v>
      </c>
      <c r="BU440" s="9">
        <f>[1]monsters!$P440</f>
        <v>800</v>
      </c>
      <c r="BV440" s="9">
        <f>[1]monsters!$Q440</f>
        <v>80</v>
      </c>
      <c r="BW440" s="9">
        <f>[1]monsters!$R440</f>
        <v>8.32</v>
      </c>
      <c r="BX440" s="9">
        <f>[1]monsters!$S440</f>
        <v>0.83</v>
      </c>
      <c r="BY440" s="9">
        <f>[1]monsters!$K440</f>
        <v>1.3</v>
      </c>
      <c r="BZ440" s="7">
        <f>[1]monsters!$D440</f>
        <v>4</v>
      </c>
      <c r="CA440" s="7">
        <f t="shared" si="202"/>
        <v>0.1</v>
      </c>
      <c r="CB440" s="7">
        <f t="shared" si="203"/>
        <v>105.56002693602694</v>
      </c>
      <c r="CC440" s="7">
        <f t="shared" si="204"/>
        <v>10.556002693602695</v>
      </c>
      <c r="CD440" s="7"/>
      <c r="CE440" s="7"/>
      <c r="CF440" s="7"/>
      <c r="CG440" s="7"/>
      <c r="CH440" s="7"/>
      <c r="CI440" s="7"/>
      <c r="CJ440" s="7"/>
      <c r="CK440" s="7"/>
      <c r="CL440" s="7"/>
      <c r="CM440" s="7"/>
      <c r="CN440" s="7"/>
      <c r="CO440" s="7"/>
      <c r="CP440" s="7">
        <v>0</v>
      </c>
      <c r="CR440" s="25"/>
      <c r="CS440" s="25"/>
      <c r="CT440" s="25"/>
      <c r="CU440" s="25"/>
      <c r="CV440" s="25"/>
      <c r="CW440" s="25"/>
      <c r="DP440" s="32"/>
      <c r="DQ440" s="32"/>
      <c r="DR440" s="32"/>
      <c r="DS440" s="32"/>
      <c r="DT440" s="32"/>
      <c r="DU440" s="32"/>
      <c r="DV440" s="32"/>
      <c r="DW440" s="32"/>
      <c r="DX440" s="32"/>
      <c r="DY440" s="32"/>
      <c r="DZ440" s="32"/>
      <c r="EA440" s="25"/>
      <c r="EB440" s="47"/>
      <c r="EC440" s="16">
        <v>1403012</v>
      </c>
      <c r="ED440" s="16" t="s">
        <v>251</v>
      </c>
      <c r="EE440" s="16">
        <v>2</v>
      </c>
    </row>
    <row r="441" spans="11:135" ht="13.5" customHeight="1">
      <c r="K441" s="2"/>
      <c r="L441" s="18"/>
      <c r="O441" s="25"/>
      <c r="AI441" s="28"/>
      <c r="AJ441" s="28"/>
      <c r="AK441" s="28"/>
      <c r="AL441" s="28"/>
      <c r="AM441" s="28"/>
      <c r="AN441" s="28"/>
      <c r="AO441" s="30"/>
      <c r="AP441" s="28"/>
      <c r="AS441" s="28"/>
      <c r="AT441" s="28"/>
      <c r="AU441" s="30"/>
      <c r="AV441" s="28"/>
      <c r="AW441" s="28"/>
      <c r="AX441" s="28"/>
      <c r="AZ441" s="28"/>
      <c r="BA441" s="16" t="e">
        <f t="shared" si="205"/>
        <v>#DIV/0!</v>
      </c>
      <c r="BC441" s="7" t="e">
        <f t="shared" si="201"/>
        <v>#N/A</v>
      </c>
      <c r="BR441" s="7">
        <v>2101021</v>
      </c>
      <c r="BS441" s="9">
        <f>[1]monsters!$N441</f>
        <v>86.4</v>
      </c>
      <c r="BT441" s="9">
        <f>[1]monsters!$O441</f>
        <v>8.64</v>
      </c>
      <c r="BU441" s="9">
        <f>[1]monsters!$P441</f>
        <v>1066.67</v>
      </c>
      <c r="BV441" s="9">
        <f>[1]monsters!$Q441</f>
        <v>106.67</v>
      </c>
      <c r="BW441" s="9">
        <f>[1]monsters!$R441</f>
        <v>17.28</v>
      </c>
      <c r="BX441" s="9">
        <f>[1]monsters!$S441</f>
        <v>1.73</v>
      </c>
      <c r="BY441" s="9">
        <f>[1]monsters!$K441</f>
        <v>1.8</v>
      </c>
      <c r="BZ441" s="7">
        <f>[1]monsters!$D441</f>
        <v>2</v>
      </c>
      <c r="CA441" s="7">
        <f t="shared" si="202"/>
        <v>0.1</v>
      </c>
      <c r="CB441" s="7">
        <f t="shared" si="203"/>
        <v>117.56281481481483</v>
      </c>
      <c r="CC441" s="7">
        <f t="shared" si="204"/>
        <v>11.756281481481484</v>
      </c>
      <c r="CD441" s="7"/>
      <c r="CE441" s="7"/>
      <c r="CF441" s="7"/>
      <c r="CG441" s="7"/>
      <c r="CH441" s="7"/>
      <c r="CI441" s="7"/>
      <c r="CJ441" s="7"/>
      <c r="CK441" s="7"/>
      <c r="CL441" s="7"/>
      <c r="CM441" s="7"/>
      <c r="CN441" s="7"/>
      <c r="CO441" s="7"/>
      <c r="CP441" s="7">
        <v>0</v>
      </c>
      <c r="CR441" s="25"/>
      <c r="CS441" s="25"/>
      <c r="CT441" s="25"/>
      <c r="CU441" s="25"/>
      <c r="CV441" s="25"/>
      <c r="CW441" s="25"/>
      <c r="DP441" s="32"/>
      <c r="DQ441" s="32"/>
      <c r="DR441" s="32"/>
      <c r="DS441" s="32"/>
      <c r="DT441" s="32"/>
      <c r="DU441" s="32"/>
      <c r="DV441" s="32"/>
      <c r="DW441" s="32"/>
      <c r="DX441" s="32"/>
      <c r="DY441" s="32"/>
      <c r="DZ441" s="32"/>
      <c r="EA441" s="25"/>
      <c r="EB441" s="47"/>
      <c r="EC441" s="16">
        <v>1205012</v>
      </c>
      <c r="ED441" s="16" t="s">
        <v>252</v>
      </c>
      <c r="EE441" s="16">
        <v>1</v>
      </c>
    </row>
    <row r="442" spans="11:135" ht="13.5" customHeight="1">
      <c r="K442" s="2"/>
      <c r="L442" s="18"/>
      <c r="O442" s="25"/>
      <c r="AI442" s="28"/>
      <c r="AJ442" s="28"/>
      <c r="AK442" s="28"/>
      <c r="AL442" s="28"/>
      <c r="AM442" s="28"/>
      <c r="AN442" s="28"/>
      <c r="AO442" s="30"/>
      <c r="AP442" s="28"/>
      <c r="AS442" s="28"/>
      <c r="AT442" s="28"/>
      <c r="AU442" s="30"/>
      <c r="AV442" s="28"/>
      <c r="AW442" s="28"/>
      <c r="AX442" s="28"/>
      <c r="AZ442" s="28"/>
      <c r="BA442" s="16" t="e">
        <f t="shared" si="205"/>
        <v>#DIV/0!</v>
      </c>
      <c r="BC442" s="7" t="e">
        <f t="shared" si="201"/>
        <v>#N/A</v>
      </c>
      <c r="BR442" s="7">
        <v>2102021</v>
      </c>
      <c r="BS442" s="9">
        <f>[1]monsters!$N442</f>
        <v>100</v>
      </c>
      <c r="BT442" s="9">
        <f>[1]monsters!$O442</f>
        <v>10</v>
      </c>
      <c r="BU442" s="9">
        <f>[1]monsters!$P442</f>
        <v>768</v>
      </c>
      <c r="BV442" s="9">
        <f>[1]monsters!$Q442</f>
        <v>76.8</v>
      </c>
      <c r="BW442" s="9">
        <f>[1]monsters!$R442</f>
        <v>10</v>
      </c>
      <c r="BX442" s="9">
        <f>[1]monsters!$S442</f>
        <v>1</v>
      </c>
      <c r="BY442" s="9">
        <f>[1]monsters!$K442</f>
        <v>1.5</v>
      </c>
      <c r="BZ442" s="7">
        <f>[1]monsters!$D442</f>
        <v>4</v>
      </c>
      <c r="CA442" s="7">
        <f t="shared" si="202"/>
        <v>0.1</v>
      </c>
      <c r="CB442" s="7">
        <f t="shared" si="203"/>
        <v>120.35858585858585</v>
      </c>
      <c r="CC442" s="7">
        <f t="shared" si="204"/>
        <v>12.035858585858586</v>
      </c>
      <c r="CD442" s="7"/>
      <c r="CE442" s="7"/>
      <c r="CF442" s="7"/>
      <c r="CG442" s="7"/>
      <c r="CH442" s="7"/>
      <c r="CI442" s="7"/>
      <c r="CJ442" s="7"/>
      <c r="CK442" s="7"/>
      <c r="CL442" s="7"/>
      <c r="CM442" s="7"/>
      <c r="CN442" s="7"/>
      <c r="CO442" s="7"/>
      <c r="CP442" s="7">
        <v>0</v>
      </c>
      <c r="CR442" s="25"/>
      <c r="CS442" s="25"/>
      <c r="CT442" s="25"/>
      <c r="CU442" s="25"/>
      <c r="CV442" s="25"/>
      <c r="CW442" s="25"/>
      <c r="DP442" s="32"/>
      <c r="DQ442" s="32"/>
      <c r="DR442" s="32"/>
      <c r="DS442" s="32"/>
      <c r="DT442" s="32"/>
      <c r="DU442" s="32"/>
      <c r="DV442" s="32"/>
      <c r="DW442" s="32"/>
      <c r="DX442" s="32"/>
      <c r="DY442" s="32"/>
      <c r="DZ442" s="32"/>
      <c r="EA442" s="25"/>
      <c r="EB442" s="47"/>
      <c r="EC442" s="16">
        <v>1405012</v>
      </c>
      <c r="ED442" s="16" t="s">
        <v>253</v>
      </c>
      <c r="EE442" s="16">
        <v>2</v>
      </c>
    </row>
    <row r="443" spans="11:135" ht="13.5" customHeight="1">
      <c r="K443" s="2"/>
      <c r="O443" s="25"/>
      <c r="AI443" s="28"/>
      <c r="AJ443" s="28"/>
      <c r="AK443" s="28"/>
      <c r="AL443" s="28"/>
      <c r="AM443" s="28"/>
      <c r="AN443" s="28"/>
      <c r="AO443" s="30"/>
      <c r="AP443" s="28"/>
      <c r="AS443" s="28"/>
      <c r="AT443" s="28"/>
      <c r="AU443" s="30"/>
      <c r="AV443" s="28"/>
      <c r="AW443" s="28"/>
      <c r="AX443" s="28"/>
      <c r="AZ443" s="28"/>
      <c r="BA443" s="16" t="e">
        <f t="shared" si="205"/>
        <v>#DIV/0!</v>
      </c>
      <c r="BC443" s="7" t="e">
        <f t="shared" si="201"/>
        <v>#N/A</v>
      </c>
      <c r="BR443" s="7">
        <v>2206022</v>
      </c>
      <c r="BS443" s="9">
        <f>[1]monsters!$N443</f>
        <v>76.27</v>
      </c>
      <c r="BT443" s="9">
        <f>[1]monsters!$O443</f>
        <v>7.63</v>
      </c>
      <c r="BU443" s="9">
        <f>[1]monsters!$P443</f>
        <v>872.73</v>
      </c>
      <c r="BV443" s="9">
        <f>[1]monsters!$Q443</f>
        <v>87.27</v>
      </c>
      <c r="BW443" s="9">
        <f>[1]monsters!$R443</f>
        <v>9.5299999999999994</v>
      </c>
      <c r="BX443" s="9">
        <f>[1]monsters!$S443</f>
        <v>0.95</v>
      </c>
      <c r="BY443" s="9">
        <f>[1]monsters!$K443</f>
        <v>1.3</v>
      </c>
      <c r="BZ443" s="7">
        <f>[1]monsters!$D443</f>
        <v>3</v>
      </c>
      <c r="CA443" s="7">
        <f t="shared" si="202"/>
        <v>0.1</v>
      </c>
      <c r="CB443" s="7">
        <f t="shared" si="203"/>
        <v>101.45999848484848</v>
      </c>
      <c r="CC443" s="7">
        <f t="shared" si="204"/>
        <v>10.145999848484848</v>
      </c>
      <c r="CD443" s="7"/>
      <c r="CE443" s="7"/>
      <c r="CF443" s="7"/>
      <c r="CG443" s="7"/>
      <c r="CH443" s="7"/>
      <c r="CI443" s="7"/>
      <c r="CJ443" s="7"/>
      <c r="CK443" s="7"/>
      <c r="CL443" s="7"/>
      <c r="CM443" s="7"/>
      <c r="CN443" s="7"/>
      <c r="CO443" s="7"/>
      <c r="CP443" s="7">
        <v>1</v>
      </c>
      <c r="CR443" s="25"/>
      <c r="CS443" s="25"/>
      <c r="CT443" s="25"/>
      <c r="CU443" s="25"/>
      <c r="CV443" s="25"/>
      <c r="CW443" s="25"/>
      <c r="DP443" s="32"/>
      <c r="DQ443" s="32"/>
      <c r="DR443" s="32"/>
      <c r="DS443" s="32"/>
      <c r="DT443" s="32"/>
      <c r="DU443" s="32"/>
      <c r="DV443" s="32"/>
      <c r="DW443" s="32"/>
      <c r="DX443" s="32"/>
      <c r="DY443" s="32"/>
      <c r="DZ443" s="32"/>
      <c r="EA443" s="25"/>
      <c r="EB443" s="49"/>
      <c r="EC443" s="16">
        <v>1303012</v>
      </c>
      <c r="ED443" s="16" t="s">
        <v>254</v>
      </c>
      <c r="EE443" s="16">
        <v>1</v>
      </c>
    </row>
    <row r="444" spans="11:135" ht="13.5" customHeight="1">
      <c r="K444" s="2"/>
      <c r="L444" s="18"/>
      <c r="O444" s="25"/>
      <c r="AI444" s="28"/>
      <c r="AJ444" s="28"/>
      <c r="AK444" s="28"/>
      <c r="AL444" s="28"/>
      <c r="AM444" s="28"/>
      <c r="AN444" s="28"/>
      <c r="AO444" s="30"/>
      <c r="AP444" s="28"/>
      <c r="AS444" s="28"/>
      <c r="AT444" s="28"/>
      <c r="AU444" s="30"/>
      <c r="AV444" s="28"/>
      <c r="AW444" s="28"/>
      <c r="AX444" s="28"/>
      <c r="AZ444" s="28"/>
      <c r="BA444" s="16" t="e">
        <f t="shared" si="205"/>
        <v>#DIV/0!</v>
      </c>
      <c r="BC444" s="7" t="e">
        <f t="shared" si="201"/>
        <v>#N/A</v>
      </c>
      <c r="BR444" s="7">
        <v>2406022</v>
      </c>
      <c r="BS444" s="9">
        <f>[1]monsters!$N444</f>
        <v>105.6</v>
      </c>
      <c r="BT444" s="9">
        <f>[1]monsters!$O444</f>
        <v>10.56</v>
      </c>
      <c r="BU444" s="9">
        <f>[1]monsters!$P444</f>
        <v>872.73</v>
      </c>
      <c r="BV444" s="9">
        <f>[1]monsters!$Q444</f>
        <v>87.27</v>
      </c>
      <c r="BW444" s="9">
        <f>[1]monsters!$R444</f>
        <v>17.600000000000001</v>
      </c>
      <c r="BX444" s="9">
        <f>[1]monsters!$S444</f>
        <v>1.76</v>
      </c>
      <c r="BY444" s="9">
        <f>[1]monsters!$K444</f>
        <v>1.8</v>
      </c>
      <c r="BZ444" s="7">
        <f>[1]monsters!$D444</f>
        <v>5</v>
      </c>
      <c r="CA444" s="7">
        <f t="shared" si="202"/>
        <v>0.1</v>
      </c>
      <c r="CB444" s="7">
        <f t="shared" si="203"/>
        <v>129.17684848484848</v>
      </c>
      <c r="CC444" s="7">
        <f t="shared" si="204"/>
        <v>12.917684848484848</v>
      </c>
      <c r="CD444" s="7"/>
      <c r="CE444" s="7"/>
      <c r="CF444" s="7"/>
      <c r="CG444" s="7"/>
      <c r="CH444" s="7"/>
      <c r="CI444" s="7"/>
      <c r="CJ444" s="7"/>
      <c r="CK444" s="7"/>
      <c r="CL444" s="7"/>
      <c r="CM444" s="7"/>
      <c r="CN444" s="7"/>
      <c r="CO444" s="7"/>
      <c r="CP444" s="7">
        <v>0</v>
      </c>
      <c r="CR444" s="25"/>
      <c r="CS444" s="25"/>
      <c r="CT444" s="25"/>
      <c r="CU444" s="25"/>
      <c r="CV444" s="25"/>
      <c r="CW444" s="25"/>
      <c r="DP444" s="25"/>
      <c r="DQ444" s="25"/>
      <c r="DR444" s="25"/>
      <c r="DS444" s="25"/>
      <c r="DT444" s="25"/>
      <c r="DU444" s="25"/>
      <c r="DV444" s="25"/>
      <c r="DW444" s="25"/>
      <c r="DX444" s="25"/>
      <c r="DY444" s="25"/>
      <c r="DZ444" s="25"/>
      <c r="EA444" s="25"/>
      <c r="EB444" s="49"/>
      <c r="EC444" s="16">
        <v>1504012</v>
      </c>
      <c r="ED444" s="16" t="s">
        <v>255</v>
      </c>
      <c r="EE444" s="16">
        <v>1</v>
      </c>
    </row>
    <row r="445" spans="11:135" ht="13.5" customHeight="1">
      <c r="K445" s="2"/>
      <c r="L445" s="18"/>
      <c r="O445" s="25"/>
      <c r="AI445" s="28"/>
      <c r="AJ445" s="28"/>
      <c r="AK445" s="28"/>
      <c r="AL445" s="28"/>
      <c r="AM445" s="28"/>
      <c r="AN445" s="28"/>
      <c r="AO445" s="30"/>
      <c r="AP445" s="28"/>
      <c r="AS445" s="28"/>
      <c r="AT445" s="28"/>
      <c r="AU445" s="30"/>
      <c r="AV445" s="28"/>
      <c r="AW445" s="28"/>
      <c r="AX445" s="28"/>
      <c r="AZ445" s="28"/>
      <c r="BA445" s="16" t="e">
        <f t="shared" si="205"/>
        <v>#DIV/0!</v>
      </c>
      <c r="BC445" s="7" t="e">
        <f t="shared" si="201"/>
        <v>#N/A</v>
      </c>
      <c r="BR445" s="7">
        <v>2205022</v>
      </c>
      <c r="BS445" s="9">
        <f>[1]monsters!$N445</f>
        <v>76.8</v>
      </c>
      <c r="BT445" s="9">
        <f>[1]monsters!$O445</f>
        <v>7.68</v>
      </c>
      <c r="BU445" s="9">
        <f>[1]monsters!$P445</f>
        <v>1066.67</v>
      </c>
      <c r="BV445" s="9">
        <f>[1]monsters!$Q445</f>
        <v>106.67</v>
      </c>
      <c r="BW445" s="9">
        <f>[1]monsters!$R445</f>
        <v>15.36</v>
      </c>
      <c r="BX445" s="9">
        <f>[1]monsters!$S445</f>
        <v>1.54</v>
      </c>
      <c r="BY445" s="9">
        <f>[1]monsters!$K445</f>
        <v>1.6</v>
      </c>
      <c r="BZ445" s="7">
        <f>[1]monsters!$D445</f>
        <v>2</v>
      </c>
      <c r="CA445" s="7">
        <f t="shared" si="202"/>
        <v>0.1</v>
      </c>
      <c r="CB445" s="7">
        <f t="shared" si="203"/>
        <v>108.49081481481483</v>
      </c>
      <c r="CC445" s="7">
        <f t="shared" si="204"/>
        <v>10.849081481481484</v>
      </c>
      <c r="CD445" s="7"/>
      <c r="CE445" s="7"/>
      <c r="CF445" s="7"/>
      <c r="CG445" s="7"/>
      <c r="CH445" s="7"/>
      <c r="CI445" s="7"/>
      <c r="CJ445" s="7"/>
      <c r="CK445" s="7"/>
      <c r="CL445" s="7"/>
      <c r="CM445" s="7"/>
      <c r="CN445" s="7"/>
      <c r="CO445" s="7"/>
      <c r="CP445" s="7">
        <v>0</v>
      </c>
      <c r="CR445" s="25"/>
      <c r="CS445" s="25"/>
      <c r="CT445" s="25"/>
      <c r="CU445" s="25"/>
      <c r="CV445" s="25"/>
      <c r="CW445" s="25"/>
      <c r="DP445" s="25"/>
      <c r="DQ445" s="25"/>
      <c r="DR445" s="25"/>
      <c r="DS445" s="32"/>
      <c r="DT445" s="32"/>
      <c r="DU445" s="32"/>
      <c r="DV445" s="32"/>
      <c r="DW445" s="32"/>
      <c r="DX445" s="32"/>
      <c r="DY445" s="32"/>
      <c r="DZ445" s="32"/>
      <c r="EA445" s="25"/>
      <c r="EB445" s="49"/>
      <c r="EC445" s="16">
        <v>1206012</v>
      </c>
      <c r="ED445" s="16" t="s">
        <v>256</v>
      </c>
      <c r="EE445" s="16">
        <v>1</v>
      </c>
    </row>
    <row r="446" spans="11:135" ht="13.5" customHeight="1">
      <c r="K446" s="2"/>
      <c r="L446" s="18"/>
      <c r="O446" s="25"/>
      <c r="AI446" s="28"/>
      <c r="AJ446" s="28"/>
      <c r="AK446" s="28"/>
      <c r="AL446" s="28"/>
      <c r="AM446" s="28"/>
      <c r="AN446" s="28"/>
      <c r="AO446" s="30"/>
      <c r="AP446" s="28"/>
      <c r="AS446" s="28"/>
      <c r="AT446" s="28"/>
      <c r="AU446" s="30"/>
      <c r="AV446" s="28"/>
      <c r="AW446" s="28"/>
      <c r="AX446" s="28"/>
      <c r="AZ446" s="28"/>
      <c r="BA446" s="16" t="e">
        <f t="shared" si="205"/>
        <v>#DIV/0!</v>
      </c>
      <c r="BC446" s="7" t="e">
        <f t="shared" si="201"/>
        <v>#N/A</v>
      </c>
      <c r="BR446" s="7">
        <v>2405022</v>
      </c>
      <c r="BS446" s="9">
        <f>[1]monsters!$N446</f>
        <v>97.07</v>
      </c>
      <c r="BT446" s="9">
        <f>[1]monsters!$O446</f>
        <v>9.7100000000000009</v>
      </c>
      <c r="BU446" s="9">
        <f>[1]monsters!$P446</f>
        <v>738.46</v>
      </c>
      <c r="BV446" s="9">
        <f>[1]monsters!$Q446</f>
        <v>73.849999999999994</v>
      </c>
      <c r="BW446" s="9">
        <f>[1]monsters!$R446</f>
        <v>9.7100000000000009</v>
      </c>
      <c r="BX446" s="9">
        <f>[1]monsters!$S446</f>
        <v>0.97</v>
      </c>
      <c r="BY446" s="9">
        <f>[1]monsters!$K446</f>
        <v>1.4000000000000001</v>
      </c>
      <c r="BZ446" s="7">
        <f>[1]monsters!$D446</f>
        <v>4</v>
      </c>
      <c r="CA446" s="7">
        <f t="shared" si="202"/>
        <v>0.1</v>
      </c>
      <c r="CB446" s="7">
        <f t="shared" si="203"/>
        <v>116.59512306397306</v>
      </c>
      <c r="CC446" s="7">
        <f t="shared" si="204"/>
        <v>11.659512306397307</v>
      </c>
      <c r="CD446" s="7"/>
      <c r="CE446" s="7"/>
      <c r="CF446" s="7"/>
      <c r="CG446" s="7"/>
      <c r="CH446" s="7"/>
      <c r="CI446" s="7"/>
      <c r="CJ446" s="7"/>
      <c r="CK446" s="7"/>
      <c r="CL446" s="7"/>
      <c r="CM446" s="7"/>
      <c r="CN446" s="7"/>
      <c r="CO446" s="7"/>
      <c r="CP446" s="7">
        <v>0</v>
      </c>
      <c r="CR446" s="25"/>
      <c r="CS446" s="25"/>
      <c r="CT446" s="25"/>
      <c r="CU446" s="25"/>
      <c r="CV446" s="25"/>
      <c r="CW446" s="25"/>
      <c r="DP446" s="25"/>
      <c r="DQ446" s="25"/>
      <c r="DR446" s="25"/>
      <c r="DS446" s="25"/>
      <c r="DT446" s="25"/>
      <c r="DU446" s="25"/>
      <c r="DV446" s="25"/>
      <c r="DW446" s="25"/>
      <c r="DX446" s="25"/>
      <c r="DY446" s="25"/>
      <c r="DZ446" s="25"/>
      <c r="EA446" s="25"/>
      <c r="EB446" s="20"/>
      <c r="EC446" s="16">
        <v>1406012</v>
      </c>
      <c r="ED446" s="16" t="s">
        <v>257</v>
      </c>
      <c r="EE446" s="16">
        <v>2</v>
      </c>
    </row>
    <row r="447" spans="11:135" ht="13.5" customHeight="1">
      <c r="K447" s="2"/>
      <c r="L447" s="18"/>
      <c r="O447" s="25"/>
      <c r="AI447" s="28"/>
      <c r="AJ447" s="28"/>
      <c r="AK447" s="28"/>
      <c r="AL447" s="28"/>
      <c r="AM447" s="28"/>
      <c r="AN447" s="28"/>
      <c r="AO447" s="30"/>
      <c r="AP447" s="28"/>
      <c r="AS447" s="28"/>
      <c r="AT447" s="28"/>
      <c r="AU447" s="30"/>
      <c r="AV447" s="28"/>
      <c r="AW447" s="28"/>
      <c r="AX447" s="28"/>
      <c r="AZ447" s="28"/>
      <c r="BA447" s="16" t="e">
        <f t="shared" si="205"/>
        <v>#DIV/0!</v>
      </c>
      <c r="BC447" s="7" t="e">
        <f t="shared" si="201"/>
        <v>#N/A</v>
      </c>
      <c r="BR447" s="7">
        <v>2203022</v>
      </c>
      <c r="BS447" s="9">
        <f>[1]monsters!$N447</f>
        <v>67.2</v>
      </c>
      <c r="BT447" s="9">
        <f>[1]monsters!$O447</f>
        <v>6.72</v>
      </c>
      <c r="BU447" s="9">
        <f>[1]monsters!$P447</f>
        <v>1066.67</v>
      </c>
      <c r="BV447" s="9">
        <f>[1]monsters!$Q447</f>
        <v>106.67</v>
      </c>
      <c r="BW447" s="9">
        <f>[1]monsters!$R447</f>
        <v>13.44</v>
      </c>
      <c r="BX447" s="9">
        <f>[1]monsters!$S447</f>
        <v>1.34</v>
      </c>
      <c r="BY447" s="9">
        <f>[1]monsters!$K447</f>
        <v>1.4000000000000001</v>
      </c>
      <c r="BZ447" s="7">
        <f>[1]monsters!$D447</f>
        <v>2</v>
      </c>
      <c r="CA447" s="7">
        <f t="shared" si="202"/>
        <v>0.1</v>
      </c>
      <c r="CB447" s="7">
        <f t="shared" si="203"/>
        <v>99.418814814814823</v>
      </c>
      <c r="CC447" s="7">
        <f t="shared" si="204"/>
        <v>9.9418814814814827</v>
      </c>
      <c r="CD447" s="7"/>
      <c r="CE447" s="7"/>
      <c r="CF447" s="7"/>
      <c r="CG447" s="7"/>
      <c r="CH447" s="7"/>
      <c r="CI447" s="7"/>
      <c r="CJ447" s="7"/>
      <c r="CK447" s="7"/>
      <c r="CL447" s="7"/>
      <c r="CM447" s="7"/>
      <c r="CN447" s="7"/>
      <c r="CO447" s="7"/>
      <c r="CP447" s="7">
        <v>0</v>
      </c>
      <c r="CR447" s="25"/>
      <c r="CS447" s="25"/>
      <c r="CT447" s="25"/>
      <c r="CU447" s="25"/>
      <c r="CV447" s="25"/>
      <c r="CW447" s="25"/>
      <c r="DP447" s="25"/>
      <c r="DQ447" s="25"/>
      <c r="DR447" s="25"/>
      <c r="DS447" s="25"/>
      <c r="DT447" s="25"/>
      <c r="DU447" s="25"/>
      <c r="DV447" s="25"/>
      <c r="DW447" s="25"/>
      <c r="DX447" s="25"/>
      <c r="DY447" s="25"/>
      <c r="DZ447" s="25"/>
      <c r="EA447" s="25"/>
      <c r="EB447" s="49"/>
      <c r="EC447" s="16">
        <v>1204012</v>
      </c>
      <c r="ED447" s="16" t="s">
        <v>258</v>
      </c>
      <c r="EE447" s="16">
        <v>1</v>
      </c>
    </row>
    <row r="448" spans="11:135" ht="13.5" customHeight="1">
      <c r="K448" s="2"/>
      <c r="O448" s="25"/>
      <c r="AI448" s="28"/>
      <c r="AJ448" s="28"/>
      <c r="AK448" s="28"/>
      <c r="AL448" s="28"/>
      <c r="AM448" s="28"/>
      <c r="AN448" s="28"/>
      <c r="AO448" s="30"/>
      <c r="AP448" s="28"/>
      <c r="AS448" s="28"/>
      <c r="AT448" s="28"/>
      <c r="AU448" s="30"/>
      <c r="AV448" s="28"/>
      <c r="AW448" s="28"/>
      <c r="AX448" s="28"/>
      <c r="AZ448" s="28"/>
      <c r="BA448" s="16" t="e">
        <f t="shared" si="205"/>
        <v>#DIV/0!</v>
      </c>
      <c r="BC448" s="7" t="e">
        <f t="shared" si="201"/>
        <v>#N/A</v>
      </c>
      <c r="BR448" s="7">
        <v>2403022</v>
      </c>
      <c r="BS448" s="9">
        <f>[1]monsters!$N448</f>
        <v>110.93</v>
      </c>
      <c r="BT448" s="9">
        <f>[1]monsters!$O448</f>
        <v>11.09</v>
      </c>
      <c r="BU448" s="9">
        <f>[1]monsters!$P448</f>
        <v>738.46</v>
      </c>
      <c r="BV448" s="9">
        <f>[1]monsters!$Q448</f>
        <v>73.849999999999994</v>
      </c>
      <c r="BW448" s="9">
        <f>[1]monsters!$R448</f>
        <v>11.09</v>
      </c>
      <c r="BX448" s="9">
        <f>[1]monsters!$S448</f>
        <v>1.1100000000000001</v>
      </c>
      <c r="BY448" s="9">
        <f>[1]monsters!$K448</f>
        <v>1.6</v>
      </c>
      <c r="BZ448" s="7">
        <f>[1]monsters!$D448</f>
        <v>4</v>
      </c>
      <c r="CA448" s="7">
        <f t="shared" si="202"/>
        <v>0.1</v>
      </c>
      <c r="CB448" s="7">
        <f t="shared" si="203"/>
        <v>129.69282306397309</v>
      </c>
      <c r="CC448" s="7">
        <f t="shared" si="204"/>
        <v>12.969282306397311</v>
      </c>
      <c r="CD448" s="7"/>
      <c r="CE448" s="7"/>
      <c r="CF448" s="7"/>
      <c r="CG448" s="7"/>
      <c r="CH448" s="7"/>
      <c r="CI448" s="7"/>
      <c r="CJ448" s="7"/>
      <c r="CK448" s="7"/>
      <c r="CL448" s="7"/>
      <c r="CM448" s="7"/>
      <c r="CN448" s="7"/>
      <c r="CO448" s="7"/>
      <c r="CP448" s="7">
        <v>1</v>
      </c>
      <c r="CR448" s="25"/>
      <c r="CS448" s="25"/>
      <c r="CT448" s="25"/>
      <c r="CU448" s="25"/>
      <c r="CV448" s="25"/>
      <c r="CW448" s="25"/>
      <c r="DP448" s="25"/>
      <c r="DQ448" s="25"/>
      <c r="DR448" s="25"/>
      <c r="DS448" s="25"/>
      <c r="DT448" s="25"/>
      <c r="DU448" s="25"/>
      <c r="DV448" s="25"/>
      <c r="DW448" s="25"/>
      <c r="DX448" s="25"/>
      <c r="DY448" s="25"/>
      <c r="DZ448" s="25"/>
      <c r="EA448" s="25"/>
      <c r="EB448" s="49"/>
      <c r="EC448" s="16">
        <v>1404012</v>
      </c>
      <c r="ED448" s="16" t="s">
        <v>259</v>
      </c>
      <c r="EE448" s="16">
        <v>2</v>
      </c>
    </row>
    <row r="449" spans="11:135" ht="13.5" customHeight="1">
      <c r="K449" s="2"/>
      <c r="L449" s="18"/>
      <c r="O449" s="25"/>
      <c r="AI449" s="28"/>
      <c r="AJ449" s="28"/>
      <c r="AK449" s="28"/>
      <c r="AL449" s="28"/>
      <c r="AM449" s="28"/>
      <c r="AN449" s="28"/>
      <c r="AO449" s="30"/>
      <c r="AP449" s="28"/>
      <c r="AS449" s="28"/>
      <c r="AT449" s="28"/>
      <c r="AU449" s="30"/>
      <c r="AV449" s="28"/>
      <c r="AW449" s="28"/>
      <c r="AX449" s="28"/>
      <c r="AZ449" s="28"/>
      <c r="BA449" s="16" t="e">
        <f t="shared" si="205"/>
        <v>#DIV/0!</v>
      </c>
      <c r="BC449" s="7" t="e">
        <f t="shared" si="201"/>
        <v>#N/A</v>
      </c>
      <c r="BR449" s="7">
        <v>2204022</v>
      </c>
      <c r="BS449" s="9">
        <f>[1]monsters!$N449</f>
        <v>102.4</v>
      </c>
      <c r="BT449" s="9">
        <f>[1]monsters!$O449</f>
        <v>10.24</v>
      </c>
      <c r="BU449" s="9">
        <f>[1]monsters!$P449</f>
        <v>800</v>
      </c>
      <c r="BV449" s="9">
        <f>[1]monsters!$Q449</f>
        <v>80</v>
      </c>
      <c r="BW449" s="9">
        <f>[1]monsters!$R449</f>
        <v>17.07</v>
      </c>
      <c r="BX449" s="9">
        <f>[1]monsters!$S449</f>
        <v>1.71</v>
      </c>
      <c r="BY449" s="9">
        <f>[1]monsters!$K449</f>
        <v>1.6</v>
      </c>
      <c r="BZ449" s="7">
        <f>[1]monsters!$D449</f>
        <v>5</v>
      </c>
      <c r="CA449" s="7">
        <f t="shared" si="202"/>
        <v>0.1</v>
      </c>
      <c r="CB449" s="7">
        <f t="shared" si="203"/>
        <v>123.70402693602695</v>
      </c>
      <c r="CC449" s="7">
        <f t="shared" si="204"/>
        <v>12.370402693602696</v>
      </c>
      <c r="CD449" s="7"/>
      <c r="CE449" s="7"/>
      <c r="CF449" s="7"/>
      <c r="CG449" s="7"/>
      <c r="CH449" s="7"/>
      <c r="CI449" s="7"/>
      <c r="CJ449" s="7"/>
      <c r="CK449" s="7"/>
      <c r="CL449" s="7"/>
      <c r="CM449" s="7"/>
      <c r="CN449" s="7"/>
      <c r="CO449" s="7"/>
      <c r="CP449" s="7">
        <v>0</v>
      </c>
      <c r="CR449" s="25"/>
      <c r="CS449" s="25"/>
      <c r="CT449" s="25"/>
      <c r="CU449" s="25"/>
      <c r="CV449" s="25"/>
      <c r="CW449" s="25"/>
      <c r="DP449" s="32"/>
      <c r="DQ449" s="32"/>
      <c r="DR449" s="32"/>
      <c r="DS449" s="32"/>
      <c r="DT449" s="32"/>
      <c r="DU449" s="32"/>
      <c r="DV449" s="32"/>
      <c r="DW449" s="32"/>
      <c r="DX449" s="32"/>
      <c r="DY449" s="32"/>
      <c r="DZ449" s="32"/>
      <c r="EA449" s="25"/>
      <c r="EB449" s="49"/>
      <c r="EC449" s="16">
        <v>1503012</v>
      </c>
      <c r="ED449" s="16" t="s">
        <v>260</v>
      </c>
      <c r="EE449" s="16">
        <v>1</v>
      </c>
    </row>
    <row r="450" spans="11:135" ht="13.5" customHeight="1">
      <c r="K450" s="2"/>
      <c r="L450" s="18"/>
      <c r="O450" s="25"/>
      <c r="AI450" s="28"/>
      <c r="AJ450" s="28"/>
      <c r="AK450" s="28"/>
      <c r="AL450" s="28"/>
      <c r="AM450" s="28"/>
      <c r="AN450" s="28"/>
      <c r="AO450" s="30"/>
      <c r="AP450" s="28"/>
      <c r="AS450" s="28"/>
      <c r="AT450" s="28"/>
      <c r="AU450" s="30"/>
      <c r="AV450" s="28"/>
      <c r="AW450" s="28"/>
      <c r="AX450" s="28"/>
      <c r="AZ450" s="28"/>
      <c r="BA450" s="16" t="e">
        <f t="shared" si="205"/>
        <v>#DIV/0!</v>
      </c>
      <c r="BC450" s="7" t="e">
        <f t="shared" si="201"/>
        <v>#N/A</v>
      </c>
      <c r="BR450" s="7">
        <v>2404022</v>
      </c>
      <c r="BS450" s="9">
        <f>[1]monsters!$N450</f>
        <v>85.87</v>
      </c>
      <c r="BT450" s="9">
        <f>[1]monsters!$O450</f>
        <v>8.59</v>
      </c>
      <c r="BU450" s="9">
        <f>[1]monsters!$P450</f>
        <v>834.78</v>
      </c>
      <c r="BV450" s="9">
        <f>[1]monsters!$Q450</f>
        <v>83.48</v>
      </c>
      <c r="BW450" s="9">
        <f>[1]monsters!$R450</f>
        <v>10.73</v>
      </c>
      <c r="BX450" s="9">
        <f>[1]monsters!$S450</f>
        <v>1.07</v>
      </c>
      <c r="BY450" s="9">
        <f>[1]monsters!$K450</f>
        <v>1.4000000000000001</v>
      </c>
      <c r="BZ450" s="7">
        <f>[1]monsters!$D450</f>
        <v>3</v>
      </c>
      <c r="CA450" s="7">
        <f t="shared" si="202"/>
        <v>0.1</v>
      </c>
      <c r="CB450" s="7">
        <f t="shared" si="203"/>
        <v>109.25422070707071</v>
      </c>
      <c r="CC450" s="7">
        <f t="shared" si="204"/>
        <v>10.925422070707071</v>
      </c>
      <c r="CD450" s="7"/>
      <c r="CE450" s="7"/>
      <c r="CF450" s="7"/>
      <c r="CG450" s="7"/>
      <c r="CH450" s="7"/>
      <c r="CI450" s="7"/>
      <c r="CJ450" s="7"/>
      <c r="CK450" s="7"/>
      <c r="CL450" s="7"/>
      <c r="CM450" s="7"/>
      <c r="CN450" s="7"/>
      <c r="CO450" s="7"/>
      <c r="CP450" s="7">
        <v>0</v>
      </c>
      <c r="CR450" s="25"/>
      <c r="CS450" s="25"/>
      <c r="CT450" s="25"/>
      <c r="CU450" s="25"/>
      <c r="CV450" s="25"/>
      <c r="CW450" s="25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  <c r="DZ450" s="36"/>
      <c r="EA450" s="25"/>
      <c r="EB450" s="20"/>
      <c r="EC450" s="16">
        <v>1304012</v>
      </c>
      <c r="ED450" s="16" t="s">
        <v>261</v>
      </c>
      <c r="EE450" s="16">
        <v>1</v>
      </c>
    </row>
    <row r="451" spans="11:135" ht="13.5" customHeight="1">
      <c r="K451" s="2"/>
      <c r="L451" s="18"/>
      <c r="O451" s="25"/>
      <c r="AI451" s="28"/>
      <c r="AJ451" s="28"/>
      <c r="AK451" s="28"/>
      <c r="AL451" s="28"/>
      <c r="AM451" s="28"/>
      <c r="AN451" s="28"/>
      <c r="AO451" s="30"/>
      <c r="AP451" s="28"/>
      <c r="AS451" s="28"/>
      <c r="AT451" s="28"/>
      <c r="AU451" s="30"/>
      <c r="AV451" s="28"/>
      <c r="AW451" s="28"/>
      <c r="AX451" s="28"/>
      <c r="AZ451" s="28"/>
      <c r="BA451" s="16" t="e">
        <f t="shared" si="205"/>
        <v>#DIV/0!</v>
      </c>
      <c r="BC451" s="7" t="e">
        <f t="shared" si="201"/>
        <v>#N/A</v>
      </c>
      <c r="BR451" s="7">
        <v>2303022</v>
      </c>
      <c r="BS451" s="9">
        <f>[1]monsters!$N451</f>
        <v>62.4</v>
      </c>
      <c r="BT451" s="9">
        <f>[1]monsters!$O451</f>
        <v>6.24</v>
      </c>
      <c r="BU451" s="9">
        <f>[1]monsters!$P451</f>
        <v>1066.67</v>
      </c>
      <c r="BV451" s="9">
        <f>[1]monsters!$Q451</f>
        <v>106.67</v>
      </c>
      <c r="BW451" s="9">
        <f>[1]monsters!$R451</f>
        <v>12.48</v>
      </c>
      <c r="BX451" s="9">
        <f>[1]monsters!$S451</f>
        <v>1.25</v>
      </c>
      <c r="BY451" s="9">
        <f>[1]monsters!$K451</f>
        <v>1.3</v>
      </c>
      <c r="BZ451" s="7">
        <f>[1]monsters!$D451</f>
        <v>2</v>
      </c>
      <c r="CA451" s="7">
        <f t="shared" si="202"/>
        <v>0.1</v>
      </c>
      <c r="CB451" s="7">
        <f t="shared" si="203"/>
        <v>94.882814814814822</v>
      </c>
      <c r="CC451" s="7">
        <f t="shared" si="204"/>
        <v>9.4882814814814829</v>
      </c>
      <c r="CD451" s="7"/>
      <c r="CE451" s="7"/>
      <c r="CF451" s="7"/>
      <c r="CG451" s="7"/>
      <c r="CH451" s="7"/>
      <c r="CI451" s="7"/>
      <c r="CJ451" s="7"/>
      <c r="CK451" s="7"/>
      <c r="CL451" s="7"/>
      <c r="CM451" s="7"/>
      <c r="CN451" s="7"/>
      <c r="CO451" s="7"/>
      <c r="CP451" s="7">
        <v>0</v>
      </c>
      <c r="CR451" s="25"/>
      <c r="CS451" s="25"/>
      <c r="CT451" s="25"/>
      <c r="CU451" s="25"/>
      <c r="CV451" s="25"/>
      <c r="CW451" s="25"/>
      <c r="DP451" s="32"/>
      <c r="DQ451" s="32"/>
      <c r="DR451" s="36"/>
      <c r="DS451" s="36"/>
      <c r="DT451" s="36"/>
      <c r="DU451" s="36"/>
      <c r="DV451" s="36"/>
      <c r="DW451" s="36"/>
      <c r="DX451" s="36"/>
      <c r="DY451" s="36"/>
      <c r="DZ451" s="36"/>
      <c r="EA451" s="25"/>
      <c r="EB451" s="49"/>
      <c r="EC451" s="16">
        <v>1203013</v>
      </c>
      <c r="ED451" s="16" t="s">
        <v>262</v>
      </c>
      <c r="EE451" s="16">
        <v>1</v>
      </c>
    </row>
    <row r="452" spans="11:135" ht="13.5" customHeight="1">
      <c r="K452" s="2"/>
      <c r="L452" s="18"/>
      <c r="O452" s="25"/>
      <c r="AI452" s="28"/>
      <c r="AJ452" s="28"/>
      <c r="AK452" s="28"/>
      <c r="AL452" s="28"/>
      <c r="AM452" s="28"/>
      <c r="AN452" s="28"/>
      <c r="AO452" s="30"/>
      <c r="AP452" s="28"/>
      <c r="AS452" s="28"/>
      <c r="AT452" s="28"/>
      <c r="AU452" s="30"/>
      <c r="AV452" s="28"/>
      <c r="AW452" s="28"/>
      <c r="AX452" s="28"/>
      <c r="AZ452" s="28"/>
      <c r="BA452" s="16" t="e">
        <f t="shared" si="205"/>
        <v>#DIV/0!</v>
      </c>
      <c r="BC452" s="7" t="e">
        <f t="shared" si="201"/>
        <v>#N/A</v>
      </c>
      <c r="BR452" s="7">
        <v>2304022</v>
      </c>
      <c r="BS452" s="9">
        <f>[1]monsters!$N452</f>
        <v>83.2</v>
      </c>
      <c r="BT452" s="9">
        <f>[1]monsters!$O452</f>
        <v>8.32</v>
      </c>
      <c r="BU452" s="9">
        <f>[1]monsters!$P452</f>
        <v>800</v>
      </c>
      <c r="BV452" s="9">
        <f>[1]monsters!$Q452</f>
        <v>80</v>
      </c>
      <c r="BW452" s="9">
        <f>[1]monsters!$R452</f>
        <v>8.32</v>
      </c>
      <c r="BX452" s="9">
        <f>[1]monsters!$S452</f>
        <v>0.83</v>
      </c>
      <c r="BY452" s="9">
        <f>[1]monsters!$K452</f>
        <v>1.3</v>
      </c>
      <c r="BZ452" s="7">
        <f>[1]monsters!$D452</f>
        <v>4</v>
      </c>
      <c r="CA452" s="7">
        <f t="shared" si="202"/>
        <v>0.1</v>
      </c>
      <c r="CB452" s="7">
        <f t="shared" si="203"/>
        <v>105.56002693602694</v>
      </c>
      <c r="CC452" s="7">
        <f t="shared" si="204"/>
        <v>10.556002693602695</v>
      </c>
      <c r="CD452" s="7"/>
      <c r="CE452" s="7"/>
      <c r="CF452" s="7"/>
      <c r="CG452" s="7"/>
      <c r="CH452" s="7"/>
      <c r="CI452" s="7"/>
      <c r="CJ452" s="7"/>
      <c r="CK452" s="7"/>
      <c r="CL452" s="7"/>
      <c r="CM452" s="7"/>
      <c r="CN452" s="7"/>
      <c r="CO452" s="7"/>
      <c r="CP452" s="7">
        <v>0</v>
      </c>
      <c r="CR452" s="25"/>
      <c r="CS452" s="25"/>
      <c r="CT452" s="25"/>
      <c r="CU452" s="25"/>
      <c r="CV452" s="25"/>
      <c r="CW452" s="25"/>
      <c r="DP452" s="32"/>
      <c r="DQ452" s="32"/>
      <c r="DR452" s="32"/>
      <c r="DS452" s="36"/>
      <c r="DT452" s="36"/>
      <c r="DU452" s="36"/>
      <c r="DV452" s="36"/>
      <c r="DW452" s="36"/>
      <c r="DX452" s="36"/>
      <c r="DY452" s="36"/>
      <c r="DZ452" s="36"/>
      <c r="EA452" s="25"/>
      <c r="EB452" s="49"/>
      <c r="EC452" s="16">
        <v>1403013</v>
      </c>
      <c r="ED452" s="16" t="s">
        <v>263</v>
      </c>
      <c r="EE452" s="16">
        <v>2</v>
      </c>
    </row>
    <row r="453" spans="11:135" ht="13.5" customHeight="1">
      <c r="K453" s="2"/>
      <c r="O453" s="25"/>
      <c r="AI453" s="28"/>
      <c r="AJ453" s="28"/>
      <c r="AK453" s="28"/>
      <c r="AL453" s="28"/>
      <c r="AM453" s="28"/>
      <c r="AN453" s="28"/>
      <c r="AO453" s="30"/>
      <c r="AP453" s="28"/>
      <c r="AS453" s="28"/>
      <c r="AT453" s="28"/>
      <c r="AU453" s="30"/>
      <c r="AV453" s="28"/>
      <c r="AW453" s="28"/>
      <c r="AX453" s="28"/>
      <c r="AY453" s="16">
        <v>8</v>
      </c>
      <c r="AZ453" s="28">
        <v>180</v>
      </c>
      <c r="BA453" s="16">
        <v>994695</v>
      </c>
      <c r="BC453" s="7" t="e">
        <f t="shared" ref="BC453:BC516" si="206">FLOOR(POWER(((3000*1.5/0.9/1.05)/(96*INDEX($BD$4:$BO$4,MATCH(W453,$BD$3:$BO$3,0))*8*INDEX($BD$4:$BO$4,MATCH(W453,$BD$3:$BO$3,0)))*AI453/IF(AND(W453&gt;=2,W453&lt;4),1.2,IF(AND(W453&gt;=4,W453&lt;6),1.4,IF(W453&gt;=6,1.6,1)))),1/2)-10,1)</f>
        <v>#N/A</v>
      </c>
      <c r="BR453" s="7">
        <v>2503022</v>
      </c>
      <c r="BS453" s="9">
        <f>[1]monsters!$N453</f>
        <v>86.4</v>
      </c>
      <c r="BT453" s="9">
        <f>[1]monsters!$O453</f>
        <v>8.64</v>
      </c>
      <c r="BU453" s="9">
        <f>[1]monsters!$P453</f>
        <v>1066.67</v>
      </c>
      <c r="BV453" s="9">
        <f>[1]monsters!$Q453</f>
        <v>106.67</v>
      </c>
      <c r="BW453" s="9">
        <f>[1]monsters!$R453</f>
        <v>17.28</v>
      </c>
      <c r="BX453" s="9">
        <f>[1]monsters!$S453</f>
        <v>1.73</v>
      </c>
      <c r="BY453" s="9">
        <f>[1]monsters!$K453</f>
        <v>1.8</v>
      </c>
      <c r="BZ453" s="7">
        <f>[1]monsters!$D453</f>
        <v>2</v>
      </c>
      <c r="CA453" s="7">
        <f t="shared" ref="CA453:CA516" si="207">INDEX($CH$5:$CH$10,MATCH($BZ453,$CG$5:$CG$10))</f>
        <v>0.1</v>
      </c>
      <c r="CB453" s="7">
        <f t="shared" ref="CB453:CB516" si="208">(BU453/33/(1-CA453)/(1-0)+BS453*(1+0.5*0.1)*0.9)</f>
        <v>117.56281481481483</v>
      </c>
      <c r="CC453" s="7">
        <f t="shared" ref="CC453:CC516" si="209">(BU453/33/(1-CA453)/(1-0)+BS453*(1+0.5*0.1)*0.9)*0.1</f>
        <v>11.756281481481484</v>
      </c>
      <c r="CD453" s="7"/>
      <c r="CE453" s="7"/>
      <c r="CF453" s="7"/>
      <c r="CG453" s="7"/>
      <c r="CH453" s="7"/>
      <c r="CI453" s="7"/>
      <c r="CJ453" s="7"/>
      <c r="CK453" s="7"/>
      <c r="CL453" s="7"/>
      <c r="CM453" s="7"/>
      <c r="CN453" s="7"/>
      <c r="CO453" s="7"/>
      <c r="CP453" s="7">
        <v>1</v>
      </c>
      <c r="CR453" s="25"/>
      <c r="CS453" s="25"/>
      <c r="CT453" s="25"/>
      <c r="CU453" s="25"/>
      <c r="CV453" s="25"/>
      <c r="CW453" s="25"/>
      <c r="DP453" s="32"/>
      <c r="DQ453" s="32"/>
      <c r="DR453" s="36"/>
      <c r="DS453" s="14"/>
      <c r="DT453" s="36"/>
      <c r="DU453" s="36"/>
      <c r="DV453" s="36"/>
      <c r="DW453" s="36"/>
      <c r="DX453" s="36"/>
      <c r="DY453" s="36"/>
      <c r="DZ453" s="36"/>
      <c r="EA453" s="25"/>
      <c r="EB453" s="20"/>
      <c r="EC453" s="16">
        <v>1205013</v>
      </c>
      <c r="ED453" s="16" t="s">
        <v>264</v>
      </c>
      <c r="EE453" s="16">
        <v>1</v>
      </c>
    </row>
    <row r="454" spans="11:135" ht="13.5" customHeight="1">
      <c r="K454" s="2"/>
      <c r="L454" s="18"/>
      <c r="O454" s="25"/>
      <c r="AI454" s="28"/>
      <c r="AJ454" s="28"/>
      <c r="AK454" s="28"/>
      <c r="AL454" s="28"/>
      <c r="AM454" s="28"/>
      <c r="AN454" s="28"/>
      <c r="AO454" s="30"/>
      <c r="AP454" s="28"/>
      <c r="AS454" s="28"/>
      <c r="AT454" s="28"/>
      <c r="AU454" s="30"/>
      <c r="AV454" s="28"/>
      <c r="AW454" s="28"/>
      <c r="AX454" s="28"/>
      <c r="AZ454" s="28"/>
      <c r="BA454" s="16" t="e">
        <f>BA453+($BA$503-$BA$453)/($A$503-$A$453)</f>
        <v>#DIV/0!</v>
      </c>
      <c r="BC454" s="7" t="e">
        <f t="shared" si="206"/>
        <v>#N/A</v>
      </c>
      <c r="BR454" s="7">
        <v>2504022</v>
      </c>
      <c r="BS454" s="9">
        <f>[1]monsters!$N454</f>
        <v>100</v>
      </c>
      <c r="BT454" s="9">
        <f>[1]monsters!$O454</f>
        <v>10</v>
      </c>
      <c r="BU454" s="9">
        <f>[1]monsters!$P454</f>
        <v>768</v>
      </c>
      <c r="BV454" s="9">
        <f>[1]monsters!$Q454</f>
        <v>76.8</v>
      </c>
      <c r="BW454" s="9">
        <f>[1]monsters!$R454</f>
        <v>10</v>
      </c>
      <c r="BX454" s="9">
        <f>[1]monsters!$S454</f>
        <v>1</v>
      </c>
      <c r="BY454" s="9">
        <f>[1]monsters!$K454</f>
        <v>1.5</v>
      </c>
      <c r="BZ454" s="7">
        <f>[1]monsters!$D454</f>
        <v>4</v>
      </c>
      <c r="CA454" s="7">
        <f t="shared" si="207"/>
        <v>0.1</v>
      </c>
      <c r="CB454" s="7">
        <f t="shared" si="208"/>
        <v>120.35858585858585</v>
      </c>
      <c r="CC454" s="7">
        <f t="shared" si="209"/>
        <v>12.035858585858586</v>
      </c>
      <c r="CD454" s="7"/>
      <c r="CE454" s="7"/>
      <c r="CF454" s="7"/>
      <c r="CG454" s="7"/>
      <c r="CH454" s="7"/>
      <c r="CI454" s="7"/>
      <c r="CJ454" s="7"/>
      <c r="CK454" s="7"/>
      <c r="CL454" s="7"/>
      <c r="CM454" s="7"/>
      <c r="CN454" s="7"/>
      <c r="CO454" s="7"/>
      <c r="CP454" s="7">
        <v>0</v>
      </c>
      <c r="CR454" s="25"/>
      <c r="CS454" s="25"/>
      <c r="CT454" s="25"/>
      <c r="CU454" s="25"/>
      <c r="CV454" s="25"/>
      <c r="CW454" s="25"/>
      <c r="DP454" s="32"/>
      <c r="DQ454" s="32"/>
      <c r="DR454" s="32"/>
      <c r="DS454" s="36"/>
      <c r="DT454" s="36"/>
      <c r="DU454" s="36"/>
      <c r="DV454" s="36"/>
      <c r="DW454" s="36"/>
      <c r="DX454" s="36"/>
      <c r="DY454" s="36"/>
      <c r="DZ454" s="36"/>
      <c r="EA454" s="25"/>
      <c r="EB454" s="49"/>
      <c r="EC454" s="16">
        <v>1405013</v>
      </c>
      <c r="ED454" s="16" t="s">
        <v>265</v>
      </c>
      <c r="EE454" s="16">
        <v>2</v>
      </c>
    </row>
    <row r="455" spans="11:135" ht="13.5" customHeight="1">
      <c r="K455" s="2"/>
      <c r="L455" s="18"/>
      <c r="O455" s="25"/>
      <c r="AI455" s="28"/>
      <c r="AJ455" s="28"/>
      <c r="AK455" s="28"/>
      <c r="AL455" s="28"/>
      <c r="AM455" s="28"/>
      <c r="AN455" s="28"/>
      <c r="AO455" s="30"/>
      <c r="AP455" s="28"/>
      <c r="AS455" s="28"/>
      <c r="AT455" s="28"/>
      <c r="AU455" s="30"/>
      <c r="AV455" s="28"/>
      <c r="AW455" s="28"/>
      <c r="AX455" s="28"/>
      <c r="AZ455" s="28"/>
      <c r="BA455" s="16" t="e">
        <f t="shared" ref="BA455:BA502" si="210">BA454+($BA$503-$BA$453)/($A$503-$A$453)</f>
        <v>#DIV/0!</v>
      </c>
      <c r="BC455" s="7" t="e">
        <f t="shared" si="206"/>
        <v>#N/A</v>
      </c>
      <c r="BR455" s="7">
        <v>2101022</v>
      </c>
      <c r="BS455" s="9">
        <f>[1]monsters!$N455</f>
        <v>76.27</v>
      </c>
      <c r="BT455" s="9">
        <f>[1]monsters!$O455</f>
        <v>7.63</v>
      </c>
      <c r="BU455" s="9">
        <f>[1]monsters!$P455</f>
        <v>872.73</v>
      </c>
      <c r="BV455" s="9">
        <f>[1]monsters!$Q455</f>
        <v>87.27</v>
      </c>
      <c r="BW455" s="9">
        <f>[1]monsters!$R455</f>
        <v>9.5299999999999994</v>
      </c>
      <c r="BX455" s="9">
        <f>[1]monsters!$S455</f>
        <v>0.95</v>
      </c>
      <c r="BY455" s="9">
        <f>[1]monsters!$K455</f>
        <v>1.3</v>
      </c>
      <c r="BZ455" s="7">
        <f>[1]monsters!$D455</f>
        <v>3</v>
      </c>
      <c r="CA455" s="7">
        <f t="shared" si="207"/>
        <v>0.1</v>
      </c>
      <c r="CB455" s="7">
        <f t="shared" si="208"/>
        <v>101.45999848484848</v>
      </c>
      <c r="CC455" s="7">
        <f t="shared" si="209"/>
        <v>10.145999848484848</v>
      </c>
      <c r="CD455" s="7"/>
      <c r="CE455" s="7"/>
      <c r="CF455" s="7"/>
      <c r="CG455" s="7"/>
      <c r="CH455" s="7"/>
      <c r="CI455" s="7"/>
      <c r="CJ455" s="7"/>
      <c r="CK455" s="7"/>
      <c r="CL455" s="7"/>
      <c r="CM455" s="7"/>
      <c r="CN455" s="7"/>
      <c r="CO455" s="7"/>
      <c r="CP455" s="7">
        <v>0</v>
      </c>
      <c r="CR455" s="25"/>
      <c r="CS455" s="25"/>
      <c r="CT455" s="25"/>
      <c r="CU455" s="25"/>
      <c r="CV455" s="25"/>
      <c r="CW455" s="25"/>
      <c r="DP455" s="32"/>
      <c r="DQ455" s="32"/>
      <c r="DR455" s="32"/>
      <c r="DS455" s="32"/>
      <c r="DT455" s="32"/>
      <c r="DU455" s="32"/>
      <c r="DV455" s="32"/>
      <c r="DW455" s="32"/>
      <c r="DX455" s="32"/>
      <c r="DY455" s="32"/>
      <c r="DZ455" s="32"/>
      <c r="EA455" s="25"/>
      <c r="EB455" s="49"/>
      <c r="EC455" s="16">
        <v>1303013</v>
      </c>
      <c r="ED455" s="16" t="s">
        <v>266</v>
      </c>
      <c r="EE455" s="16">
        <v>1</v>
      </c>
    </row>
    <row r="456" spans="11:135" ht="13.5" customHeight="1">
      <c r="K456" s="2"/>
      <c r="L456" s="18"/>
      <c r="O456" s="25"/>
      <c r="AI456" s="28"/>
      <c r="AJ456" s="28"/>
      <c r="AK456" s="28"/>
      <c r="AL456" s="28"/>
      <c r="AM456" s="28"/>
      <c r="AN456" s="28"/>
      <c r="AO456" s="30"/>
      <c r="AP456" s="28"/>
      <c r="AS456" s="28"/>
      <c r="AT456" s="28"/>
      <c r="AU456" s="30"/>
      <c r="AV456" s="28"/>
      <c r="AW456" s="28"/>
      <c r="AX456" s="28"/>
      <c r="AZ456" s="28"/>
      <c r="BA456" s="16" t="e">
        <f t="shared" si="210"/>
        <v>#DIV/0!</v>
      </c>
      <c r="BC456" s="7" t="e">
        <f t="shared" si="206"/>
        <v>#N/A</v>
      </c>
      <c r="BR456" s="7">
        <v>2102022</v>
      </c>
      <c r="BS456" s="9">
        <f>[1]monsters!$N456</f>
        <v>105.6</v>
      </c>
      <c r="BT456" s="9">
        <f>[1]monsters!$O456</f>
        <v>10.56</v>
      </c>
      <c r="BU456" s="9">
        <f>[1]monsters!$P456</f>
        <v>872.73</v>
      </c>
      <c r="BV456" s="9">
        <f>[1]monsters!$Q456</f>
        <v>87.27</v>
      </c>
      <c r="BW456" s="9">
        <f>[1]monsters!$R456</f>
        <v>17.600000000000001</v>
      </c>
      <c r="BX456" s="9">
        <f>[1]monsters!$S456</f>
        <v>1.76</v>
      </c>
      <c r="BY456" s="9">
        <f>[1]monsters!$K456</f>
        <v>1.8</v>
      </c>
      <c r="BZ456" s="7">
        <f>[1]monsters!$D456</f>
        <v>5</v>
      </c>
      <c r="CA456" s="7">
        <f t="shared" si="207"/>
        <v>0.1</v>
      </c>
      <c r="CB456" s="7">
        <f t="shared" si="208"/>
        <v>129.17684848484848</v>
      </c>
      <c r="CC456" s="7">
        <f t="shared" si="209"/>
        <v>12.917684848484848</v>
      </c>
      <c r="CD456" s="7"/>
      <c r="CE456" s="7"/>
      <c r="CF456" s="7"/>
      <c r="CG456" s="7"/>
      <c r="CH456" s="7"/>
      <c r="CI456" s="7"/>
      <c r="CJ456" s="7"/>
      <c r="CK456" s="7"/>
      <c r="CL456" s="7"/>
      <c r="CM456" s="7"/>
      <c r="CN456" s="7"/>
      <c r="CO456" s="7"/>
      <c r="CP456" s="7">
        <v>0</v>
      </c>
      <c r="CR456" s="25"/>
      <c r="CS456" s="25"/>
      <c r="CT456" s="25"/>
      <c r="CU456" s="25"/>
      <c r="CV456" s="25"/>
      <c r="CW456" s="25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25"/>
      <c r="EB456" s="49"/>
      <c r="EC456" s="16">
        <v>1504013</v>
      </c>
      <c r="ED456" s="16" t="s">
        <v>267</v>
      </c>
      <c r="EE456" s="16">
        <v>1</v>
      </c>
    </row>
    <row r="457" spans="11:135" ht="13.5" customHeight="1">
      <c r="K457" s="2"/>
      <c r="L457" s="18"/>
      <c r="O457" s="25"/>
      <c r="AI457" s="28"/>
      <c r="AJ457" s="28"/>
      <c r="AK457" s="28"/>
      <c r="AL457" s="28"/>
      <c r="AM457" s="28"/>
      <c r="AN457" s="28"/>
      <c r="AO457" s="30"/>
      <c r="AP457" s="28"/>
      <c r="AS457" s="28"/>
      <c r="AT457" s="28"/>
      <c r="AU457" s="30"/>
      <c r="AV457" s="28"/>
      <c r="AW457" s="28"/>
      <c r="AX457" s="28"/>
      <c r="AZ457" s="28"/>
      <c r="BA457" s="16" t="e">
        <f t="shared" si="210"/>
        <v>#DIV/0!</v>
      </c>
      <c r="BC457" s="7" t="e">
        <f t="shared" si="206"/>
        <v>#N/A</v>
      </c>
      <c r="BR457" s="7">
        <v>2206023</v>
      </c>
      <c r="BS457" s="9">
        <f>[1]monsters!$N457</f>
        <v>76.8</v>
      </c>
      <c r="BT457" s="9">
        <f>[1]monsters!$O457</f>
        <v>7.68</v>
      </c>
      <c r="BU457" s="9">
        <f>[1]monsters!$P457</f>
        <v>1066.67</v>
      </c>
      <c r="BV457" s="9">
        <f>[1]monsters!$Q457</f>
        <v>106.67</v>
      </c>
      <c r="BW457" s="9">
        <f>[1]monsters!$R457</f>
        <v>15.36</v>
      </c>
      <c r="BX457" s="9">
        <f>[1]monsters!$S457</f>
        <v>1.54</v>
      </c>
      <c r="BY457" s="9">
        <f>[1]monsters!$K457</f>
        <v>1.6</v>
      </c>
      <c r="BZ457" s="7">
        <f>[1]monsters!$D457</f>
        <v>2</v>
      </c>
      <c r="CA457" s="7">
        <f t="shared" si="207"/>
        <v>0.1</v>
      </c>
      <c r="CB457" s="7">
        <f t="shared" si="208"/>
        <v>108.49081481481483</v>
      </c>
      <c r="CC457" s="7">
        <f t="shared" si="209"/>
        <v>10.849081481481484</v>
      </c>
      <c r="CD457" s="7"/>
      <c r="CE457" s="7"/>
      <c r="CF457" s="7"/>
      <c r="CG457" s="7"/>
      <c r="CH457" s="7"/>
      <c r="CI457" s="7"/>
      <c r="CJ457" s="7"/>
      <c r="CK457" s="7"/>
      <c r="CL457" s="7"/>
      <c r="CM457" s="7"/>
      <c r="CN457" s="7"/>
      <c r="CO457" s="7"/>
      <c r="CP457" s="7">
        <v>0</v>
      </c>
      <c r="CR457" s="25"/>
      <c r="CS457" s="25"/>
      <c r="CT457" s="25"/>
      <c r="CU457" s="25"/>
      <c r="CV457" s="25"/>
      <c r="CW457" s="25"/>
      <c r="DP457" s="32"/>
      <c r="DQ457" s="32"/>
      <c r="DR457" s="32"/>
      <c r="DS457" s="32"/>
      <c r="DT457" s="32"/>
      <c r="DU457" s="32"/>
      <c r="DV457" s="32"/>
      <c r="DW457" s="32"/>
      <c r="DX457" s="32"/>
      <c r="DY457" s="32"/>
      <c r="DZ457" s="32"/>
      <c r="EA457" s="25"/>
      <c r="EB457" s="31"/>
      <c r="EC457" s="16">
        <v>1206013</v>
      </c>
      <c r="ED457" s="16" t="s">
        <v>268</v>
      </c>
      <c r="EE457" s="16">
        <v>1</v>
      </c>
    </row>
    <row r="458" spans="11:135" ht="13.5" customHeight="1">
      <c r="K458" s="2"/>
      <c r="O458" s="25"/>
      <c r="AI458" s="28"/>
      <c r="AJ458" s="28"/>
      <c r="AK458" s="28"/>
      <c r="AL458" s="28"/>
      <c r="AM458" s="28"/>
      <c r="AN458" s="28"/>
      <c r="AO458" s="30"/>
      <c r="AP458" s="28"/>
      <c r="AS458" s="28"/>
      <c r="AT458" s="28"/>
      <c r="AU458" s="30"/>
      <c r="AV458" s="28"/>
      <c r="AW458" s="28"/>
      <c r="AX458" s="28"/>
      <c r="AZ458" s="28"/>
      <c r="BA458" s="16" t="e">
        <f t="shared" si="210"/>
        <v>#DIV/0!</v>
      </c>
      <c r="BC458" s="7" t="e">
        <f t="shared" si="206"/>
        <v>#N/A</v>
      </c>
      <c r="BR458" s="7">
        <v>2406023</v>
      </c>
      <c r="BS458" s="9">
        <f>[1]monsters!$N458</f>
        <v>97.07</v>
      </c>
      <c r="BT458" s="9">
        <f>[1]monsters!$O458</f>
        <v>9.7100000000000009</v>
      </c>
      <c r="BU458" s="9">
        <f>[1]monsters!$P458</f>
        <v>738.46</v>
      </c>
      <c r="BV458" s="9">
        <f>[1]monsters!$Q458</f>
        <v>73.849999999999994</v>
      </c>
      <c r="BW458" s="9">
        <f>[1]monsters!$R458</f>
        <v>9.7100000000000009</v>
      </c>
      <c r="BX458" s="9">
        <f>[1]monsters!$S458</f>
        <v>0.97</v>
      </c>
      <c r="BY458" s="9">
        <f>[1]monsters!$K458</f>
        <v>1.4000000000000001</v>
      </c>
      <c r="BZ458" s="7">
        <f>[1]monsters!$D458</f>
        <v>4</v>
      </c>
      <c r="CA458" s="7">
        <f t="shared" si="207"/>
        <v>0.1</v>
      </c>
      <c r="CB458" s="7">
        <f t="shared" si="208"/>
        <v>116.59512306397306</v>
      </c>
      <c r="CC458" s="7">
        <f t="shared" si="209"/>
        <v>11.659512306397307</v>
      </c>
      <c r="CD458" s="7"/>
      <c r="CE458" s="7"/>
      <c r="CF458" s="7"/>
      <c r="CG458" s="7"/>
      <c r="CH458" s="7"/>
      <c r="CI458" s="7"/>
      <c r="CJ458" s="7"/>
      <c r="CK458" s="7"/>
      <c r="CL458" s="7"/>
      <c r="CM458" s="7"/>
      <c r="CN458" s="7"/>
      <c r="CO458" s="7"/>
      <c r="CP458" s="7">
        <v>1</v>
      </c>
      <c r="CR458" s="25"/>
      <c r="CS458" s="25"/>
      <c r="CT458" s="25"/>
      <c r="CU458" s="25"/>
      <c r="CV458" s="25"/>
      <c r="CW458" s="25"/>
      <c r="DP458" s="13"/>
      <c r="DQ458" s="32"/>
      <c r="DR458" s="32"/>
      <c r="DS458" s="32"/>
      <c r="DT458" s="32"/>
      <c r="DU458" s="32"/>
      <c r="DV458" s="32"/>
      <c r="DW458" s="32"/>
      <c r="DX458" s="32"/>
      <c r="DY458" s="32"/>
      <c r="DZ458" s="32"/>
      <c r="EA458" s="25"/>
      <c r="EB458" s="31"/>
      <c r="EC458" s="16">
        <v>1406013</v>
      </c>
      <c r="ED458" s="16" t="s">
        <v>269</v>
      </c>
      <c r="EE458" s="16">
        <v>2</v>
      </c>
    </row>
    <row r="459" spans="11:135" ht="13.5" customHeight="1">
      <c r="K459" s="2"/>
      <c r="L459" s="18"/>
      <c r="O459" s="25"/>
      <c r="AI459" s="28"/>
      <c r="AJ459" s="28"/>
      <c r="AK459" s="28"/>
      <c r="AL459" s="28"/>
      <c r="AM459" s="28"/>
      <c r="AN459" s="28"/>
      <c r="AO459" s="30"/>
      <c r="AP459" s="28"/>
      <c r="AS459" s="28"/>
      <c r="AT459" s="28"/>
      <c r="AU459" s="30"/>
      <c r="AV459" s="28"/>
      <c r="AW459" s="28"/>
      <c r="AX459" s="28"/>
      <c r="AZ459" s="28"/>
      <c r="BA459" s="16" t="e">
        <f t="shared" si="210"/>
        <v>#DIV/0!</v>
      </c>
      <c r="BC459" s="7" t="e">
        <f t="shared" si="206"/>
        <v>#N/A</v>
      </c>
      <c r="BR459" s="7">
        <v>2205023</v>
      </c>
      <c r="BS459" s="9">
        <f>[1]monsters!$N459</f>
        <v>67.2</v>
      </c>
      <c r="BT459" s="9">
        <f>[1]monsters!$O459</f>
        <v>6.72</v>
      </c>
      <c r="BU459" s="9">
        <f>[1]monsters!$P459</f>
        <v>1066.67</v>
      </c>
      <c r="BV459" s="9">
        <f>[1]monsters!$Q459</f>
        <v>106.67</v>
      </c>
      <c r="BW459" s="9">
        <f>[1]monsters!$R459</f>
        <v>13.44</v>
      </c>
      <c r="BX459" s="9">
        <f>[1]monsters!$S459</f>
        <v>1.34</v>
      </c>
      <c r="BY459" s="9">
        <f>[1]monsters!$K459</f>
        <v>1.4000000000000001</v>
      </c>
      <c r="BZ459" s="7">
        <f>[1]monsters!$D459</f>
        <v>2</v>
      </c>
      <c r="CA459" s="7">
        <f t="shared" si="207"/>
        <v>0.1</v>
      </c>
      <c r="CB459" s="7">
        <f t="shared" si="208"/>
        <v>99.418814814814823</v>
      </c>
      <c r="CC459" s="7">
        <f t="shared" si="209"/>
        <v>9.9418814814814827</v>
      </c>
      <c r="CD459" s="7"/>
      <c r="CE459" s="7"/>
      <c r="CF459" s="7"/>
      <c r="CG459" s="7"/>
      <c r="CH459" s="7"/>
      <c r="CI459" s="7"/>
      <c r="CJ459" s="7"/>
      <c r="CK459" s="7"/>
      <c r="CL459" s="7"/>
      <c r="CM459" s="7"/>
      <c r="CN459" s="7"/>
      <c r="CO459" s="7"/>
      <c r="CP459" s="7">
        <v>0</v>
      </c>
      <c r="CR459" s="25"/>
      <c r="CS459" s="25"/>
      <c r="CT459" s="25"/>
      <c r="CU459" s="25"/>
      <c r="CV459" s="25"/>
      <c r="CW459" s="25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25"/>
      <c r="EB459" s="31"/>
      <c r="EC459" s="16">
        <v>1204013</v>
      </c>
      <c r="ED459" s="16" t="s">
        <v>270</v>
      </c>
      <c r="EE459" s="16">
        <v>1</v>
      </c>
    </row>
    <row r="460" spans="11:135" ht="13.5" customHeight="1">
      <c r="K460" s="2"/>
      <c r="L460" s="18"/>
      <c r="O460" s="25"/>
      <c r="AI460" s="28"/>
      <c r="AJ460" s="28"/>
      <c r="AK460" s="28"/>
      <c r="AL460" s="28"/>
      <c r="AM460" s="28"/>
      <c r="AN460" s="28"/>
      <c r="AO460" s="30"/>
      <c r="AP460" s="28"/>
      <c r="AS460" s="28"/>
      <c r="AT460" s="28"/>
      <c r="AU460" s="30"/>
      <c r="AV460" s="28"/>
      <c r="AW460" s="28"/>
      <c r="AX460" s="28"/>
      <c r="AZ460" s="28"/>
      <c r="BA460" s="16" t="e">
        <f t="shared" si="210"/>
        <v>#DIV/0!</v>
      </c>
      <c r="BC460" s="7" t="e">
        <f t="shared" si="206"/>
        <v>#N/A</v>
      </c>
      <c r="BR460" s="7">
        <v>2405023</v>
      </c>
      <c r="BS460" s="9">
        <f>[1]monsters!$N460</f>
        <v>110.93</v>
      </c>
      <c r="BT460" s="9">
        <f>[1]monsters!$O460</f>
        <v>11.09</v>
      </c>
      <c r="BU460" s="9">
        <f>[1]monsters!$P460</f>
        <v>738.46</v>
      </c>
      <c r="BV460" s="9">
        <f>[1]monsters!$Q460</f>
        <v>73.849999999999994</v>
      </c>
      <c r="BW460" s="9">
        <f>[1]monsters!$R460</f>
        <v>11.09</v>
      </c>
      <c r="BX460" s="9">
        <f>[1]monsters!$S460</f>
        <v>1.1100000000000001</v>
      </c>
      <c r="BY460" s="9">
        <f>[1]monsters!$K460</f>
        <v>1.6</v>
      </c>
      <c r="BZ460" s="7">
        <f>[1]monsters!$D460</f>
        <v>4</v>
      </c>
      <c r="CA460" s="7">
        <f t="shared" si="207"/>
        <v>0.1</v>
      </c>
      <c r="CB460" s="7">
        <f t="shared" si="208"/>
        <v>129.69282306397309</v>
      </c>
      <c r="CC460" s="7">
        <f t="shared" si="209"/>
        <v>12.969282306397311</v>
      </c>
      <c r="CD460" s="7"/>
      <c r="CE460" s="7"/>
      <c r="CF460" s="7"/>
      <c r="CG460" s="7"/>
      <c r="CH460" s="7"/>
      <c r="CI460" s="7"/>
      <c r="CJ460" s="7"/>
      <c r="CK460" s="7"/>
      <c r="CL460" s="7"/>
      <c r="CM460" s="7"/>
      <c r="CN460" s="7"/>
      <c r="CO460" s="7"/>
      <c r="CP460" s="7">
        <v>0</v>
      </c>
      <c r="CR460" s="25"/>
      <c r="CS460" s="25"/>
      <c r="CT460" s="25"/>
      <c r="CU460" s="25"/>
      <c r="CV460" s="25"/>
      <c r="CW460" s="25"/>
      <c r="DP460" s="32"/>
      <c r="DQ460" s="32"/>
      <c r="DR460" s="36"/>
      <c r="DS460" s="36"/>
      <c r="DT460" s="32"/>
      <c r="DU460" s="32"/>
      <c r="DV460" s="32"/>
      <c r="DW460" s="32"/>
      <c r="DX460" s="32"/>
      <c r="DY460" s="32"/>
      <c r="DZ460" s="32"/>
      <c r="EA460" s="25"/>
      <c r="EB460" s="15"/>
      <c r="EC460" s="16">
        <v>1404013</v>
      </c>
      <c r="ED460" s="16" t="s">
        <v>271</v>
      </c>
      <c r="EE460" s="16">
        <v>2</v>
      </c>
    </row>
    <row r="461" spans="11:135" ht="13.5" customHeight="1">
      <c r="K461" s="2"/>
      <c r="L461" s="18"/>
      <c r="O461" s="25"/>
      <c r="AI461" s="28"/>
      <c r="AJ461" s="28"/>
      <c r="AK461" s="28"/>
      <c r="AL461" s="28"/>
      <c r="AM461" s="28"/>
      <c r="AN461" s="28"/>
      <c r="AO461" s="30"/>
      <c r="AP461" s="28"/>
      <c r="AS461" s="28"/>
      <c r="AT461" s="28"/>
      <c r="AU461" s="30"/>
      <c r="AV461" s="28"/>
      <c r="AW461" s="28"/>
      <c r="AX461" s="28"/>
      <c r="AZ461" s="28"/>
      <c r="BA461" s="16" t="e">
        <f t="shared" si="210"/>
        <v>#DIV/0!</v>
      </c>
      <c r="BC461" s="7" t="e">
        <f t="shared" si="206"/>
        <v>#N/A</v>
      </c>
      <c r="BR461" s="7">
        <v>2203023</v>
      </c>
      <c r="BS461" s="9">
        <f>[1]monsters!$N461</f>
        <v>102.4</v>
      </c>
      <c r="BT461" s="9">
        <f>[1]monsters!$O461</f>
        <v>10.24</v>
      </c>
      <c r="BU461" s="9">
        <f>[1]monsters!$P461</f>
        <v>800</v>
      </c>
      <c r="BV461" s="9">
        <f>[1]monsters!$Q461</f>
        <v>80</v>
      </c>
      <c r="BW461" s="9">
        <f>[1]monsters!$R461</f>
        <v>17.07</v>
      </c>
      <c r="BX461" s="9">
        <f>[1]monsters!$S461</f>
        <v>1.71</v>
      </c>
      <c r="BY461" s="9">
        <f>[1]monsters!$K461</f>
        <v>1.6</v>
      </c>
      <c r="BZ461" s="7">
        <f>[1]monsters!$D461</f>
        <v>5</v>
      </c>
      <c r="CA461" s="7">
        <f t="shared" si="207"/>
        <v>0.1</v>
      </c>
      <c r="CB461" s="7">
        <f t="shared" si="208"/>
        <v>123.70402693602695</v>
      </c>
      <c r="CC461" s="7">
        <f t="shared" si="209"/>
        <v>12.370402693602696</v>
      </c>
      <c r="CD461" s="7"/>
      <c r="CE461" s="7"/>
      <c r="CF461" s="7"/>
      <c r="CG461" s="7"/>
      <c r="CH461" s="7"/>
      <c r="CI461" s="7"/>
      <c r="CJ461" s="7"/>
      <c r="CK461" s="7"/>
      <c r="CL461" s="7"/>
      <c r="CM461" s="7"/>
      <c r="CN461" s="7"/>
      <c r="CO461" s="7"/>
      <c r="CP461" s="7">
        <v>0</v>
      </c>
      <c r="CR461" s="25"/>
      <c r="CS461" s="25"/>
      <c r="CT461" s="25"/>
      <c r="CU461" s="25"/>
      <c r="CV461" s="25"/>
      <c r="CW461" s="25"/>
      <c r="DP461" s="32"/>
      <c r="DQ461" s="32"/>
      <c r="DR461" s="36"/>
      <c r="DS461" s="36"/>
      <c r="DT461" s="36"/>
      <c r="DU461" s="36"/>
      <c r="DV461" s="36"/>
      <c r="DW461" s="36"/>
      <c r="DX461" s="36"/>
      <c r="DY461" s="36"/>
      <c r="DZ461" s="36"/>
      <c r="EA461" s="25"/>
      <c r="EB461" s="31"/>
      <c r="EC461" s="16">
        <v>1503013</v>
      </c>
      <c r="ED461" s="16" t="s">
        <v>272</v>
      </c>
      <c r="EE461" s="16">
        <v>1</v>
      </c>
    </row>
    <row r="462" spans="11:135" ht="13.5" customHeight="1">
      <c r="K462" s="2"/>
      <c r="L462" s="18"/>
      <c r="O462" s="25"/>
      <c r="AI462" s="28"/>
      <c r="AJ462" s="28"/>
      <c r="AK462" s="28"/>
      <c r="AL462" s="28"/>
      <c r="AM462" s="28"/>
      <c r="AN462" s="28"/>
      <c r="AO462" s="30"/>
      <c r="AP462" s="28"/>
      <c r="AS462" s="28"/>
      <c r="AT462" s="28"/>
      <c r="AU462" s="30"/>
      <c r="AV462" s="28"/>
      <c r="AW462" s="28"/>
      <c r="AX462" s="28"/>
      <c r="AZ462" s="28"/>
      <c r="BA462" s="16" t="e">
        <f t="shared" si="210"/>
        <v>#DIV/0!</v>
      </c>
      <c r="BC462" s="7" t="e">
        <f t="shared" si="206"/>
        <v>#N/A</v>
      </c>
      <c r="BR462" s="7">
        <v>2403023</v>
      </c>
      <c r="BS462" s="9">
        <f>[1]monsters!$N462</f>
        <v>85.87</v>
      </c>
      <c r="BT462" s="9">
        <f>[1]monsters!$O462</f>
        <v>8.59</v>
      </c>
      <c r="BU462" s="9">
        <f>[1]monsters!$P462</f>
        <v>834.78</v>
      </c>
      <c r="BV462" s="9">
        <f>[1]monsters!$Q462</f>
        <v>83.48</v>
      </c>
      <c r="BW462" s="9">
        <f>[1]monsters!$R462</f>
        <v>10.73</v>
      </c>
      <c r="BX462" s="9">
        <f>[1]monsters!$S462</f>
        <v>1.07</v>
      </c>
      <c r="BY462" s="9">
        <f>[1]monsters!$K462</f>
        <v>1.4000000000000001</v>
      </c>
      <c r="BZ462" s="7">
        <f>[1]monsters!$D462</f>
        <v>3</v>
      </c>
      <c r="CA462" s="7">
        <f t="shared" si="207"/>
        <v>0.1</v>
      </c>
      <c r="CB462" s="7">
        <f t="shared" si="208"/>
        <v>109.25422070707071</v>
      </c>
      <c r="CC462" s="7">
        <f t="shared" si="209"/>
        <v>10.925422070707071</v>
      </c>
      <c r="CD462" s="7"/>
      <c r="CE462" s="7"/>
      <c r="CF462" s="7"/>
      <c r="CG462" s="7"/>
      <c r="CH462" s="7"/>
      <c r="CI462" s="7"/>
      <c r="CJ462" s="7"/>
      <c r="CK462" s="7"/>
      <c r="CL462" s="7"/>
      <c r="CM462" s="7"/>
      <c r="CN462" s="7"/>
      <c r="CO462" s="7"/>
      <c r="CP462" s="7">
        <v>0</v>
      </c>
      <c r="CR462" s="25"/>
      <c r="CS462" s="25"/>
      <c r="CT462" s="25"/>
      <c r="CU462" s="25"/>
      <c r="CV462" s="25"/>
      <c r="CW462" s="25"/>
      <c r="DP462" s="32"/>
      <c r="DQ462" s="32"/>
      <c r="DR462" s="32"/>
      <c r="DS462" s="32"/>
      <c r="DT462" s="36"/>
      <c r="DU462" s="36"/>
      <c r="DV462" s="36"/>
      <c r="DW462" s="36"/>
      <c r="DX462" s="36"/>
      <c r="DY462" s="36"/>
      <c r="DZ462" s="36"/>
      <c r="EA462" s="25"/>
      <c r="EB462" s="31"/>
      <c r="EC462" s="16">
        <v>1304013</v>
      </c>
      <c r="ED462" s="16" t="s">
        <v>273</v>
      </c>
      <c r="EE462" s="16">
        <v>1</v>
      </c>
    </row>
    <row r="463" spans="11:135" ht="13.5" customHeight="1">
      <c r="K463" s="2"/>
      <c r="O463" s="25"/>
      <c r="AI463" s="28"/>
      <c r="AJ463" s="28"/>
      <c r="AK463" s="28"/>
      <c r="AL463" s="28"/>
      <c r="AM463" s="28"/>
      <c r="AN463" s="28"/>
      <c r="AO463" s="30"/>
      <c r="AP463" s="28"/>
      <c r="AS463" s="28"/>
      <c r="AT463" s="28"/>
      <c r="AU463" s="30"/>
      <c r="AV463" s="28"/>
      <c r="AW463" s="28"/>
      <c r="AX463" s="28"/>
      <c r="AZ463" s="28"/>
      <c r="BA463" s="16" t="e">
        <f t="shared" si="210"/>
        <v>#DIV/0!</v>
      </c>
      <c r="BC463" s="7" t="e">
        <f t="shared" si="206"/>
        <v>#N/A</v>
      </c>
      <c r="BR463" s="7">
        <v>2204023</v>
      </c>
      <c r="BS463" s="9">
        <f>[1]monsters!$N463</f>
        <v>62.4</v>
      </c>
      <c r="BT463" s="9">
        <f>[1]monsters!$O463</f>
        <v>6.24</v>
      </c>
      <c r="BU463" s="9">
        <f>[1]monsters!$P463</f>
        <v>1066.67</v>
      </c>
      <c r="BV463" s="9">
        <f>[1]monsters!$Q463</f>
        <v>106.67</v>
      </c>
      <c r="BW463" s="9">
        <f>[1]monsters!$R463</f>
        <v>12.48</v>
      </c>
      <c r="BX463" s="9">
        <f>[1]monsters!$S463</f>
        <v>1.25</v>
      </c>
      <c r="BY463" s="9">
        <f>[1]monsters!$K463</f>
        <v>1.3</v>
      </c>
      <c r="BZ463" s="7">
        <f>[1]monsters!$D463</f>
        <v>2</v>
      </c>
      <c r="CA463" s="7">
        <f t="shared" si="207"/>
        <v>0.1</v>
      </c>
      <c r="CB463" s="7">
        <f t="shared" si="208"/>
        <v>94.882814814814822</v>
      </c>
      <c r="CC463" s="7">
        <f t="shared" si="209"/>
        <v>9.4882814814814829</v>
      </c>
      <c r="CD463" s="7"/>
      <c r="CE463" s="7"/>
      <c r="CF463" s="7"/>
      <c r="CG463" s="7"/>
      <c r="CH463" s="7"/>
      <c r="CI463" s="7"/>
      <c r="CJ463" s="7"/>
      <c r="CK463" s="7"/>
      <c r="CL463" s="7"/>
      <c r="CM463" s="7"/>
      <c r="CN463" s="7"/>
      <c r="CO463" s="7"/>
      <c r="CP463" s="7">
        <v>1</v>
      </c>
      <c r="CR463" s="25"/>
      <c r="CS463" s="25"/>
      <c r="CT463" s="25"/>
      <c r="CU463" s="25"/>
      <c r="CV463" s="25"/>
      <c r="CW463" s="25"/>
      <c r="DP463" s="32"/>
      <c r="DQ463" s="32"/>
      <c r="DR463" s="32"/>
      <c r="DS463" s="36"/>
      <c r="DT463" s="36"/>
      <c r="DU463" s="36"/>
      <c r="DV463" s="36"/>
      <c r="DW463" s="36"/>
      <c r="DX463" s="36"/>
      <c r="DY463" s="36"/>
      <c r="DZ463" s="36"/>
      <c r="EA463" s="25"/>
      <c r="EB463" s="31"/>
      <c r="EC463" s="16">
        <v>1203014</v>
      </c>
      <c r="ED463" s="16" t="s">
        <v>274</v>
      </c>
      <c r="EE463" s="16">
        <v>1</v>
      </c>
    </row>
    <row r="464" spans="11:135" ht="13.5" customHeight="1">
      <c r="K464" s="2"/>
      <c r="L464" s="18"/>
      <c r="O464" s="25"/>
      <c r="AI464" s="28"/>
      <c r="AJ464" s="28"/>
      <c r="AK464" s="28"/>
      <c r="AL464" s="28"/>
      <c r="AM464" s="28"/>
      <c r="AN464" s="28"/>
      <c r="AO464" s="30"/>
      <c r="AP464" s="28"/>
      <c r="AS464" s="28"/>
      <c r="AT464" s="28"/>
      <c r="AU464" s="30"/>
      <c r="AV464" s="28"/>
      <c r="AW464" s="28"/>
      <c r="AX464" s="28"/>
      <c r="AZ464" s="28"/>
      <c r="BA464" s="16" t="e">
        <f t="shared" si="210"/>
        <v>#DIV/0!</v>
      </c>
      <c r="BC464" s="7" t="e">
        <f t="shared" si="206"/>
        <v>#N/A</v>
      </c>
      <c r="BR464" s="7">
        <v>2404023</v>
      </c>
      <c r="BS464" s="9">
        <f>[1]monsters!$N464</f>
        <v>83.2</v>
      </c>
      <c r="BT464" s="9">
        <f>[1]monsters!$O464</f>
        <v>8.32</v>
      </c>
      <c r="BU464" s="9">
        <f>[1]monsters!$P464</f>
        <v>800</v>
      </c>
      <c r="BV464" s="9">
        <f>[1]monsters!$Q464</f>
        <v>80</v>
      </c>
      <c r="BW464" s="9">
        <f>[1]monsters!$R464</f>
        <v>8.32</v>
      </c>
      <c r="BX464" s="9">
        <f>[1]monsters!$S464</f>
        <v>0.83</v>
      </c>
      <c r="BY464" s="9">
        <f>[1]monsters!$K464</f>
        <v>1.3</v>
      </c>
      <c r="BZ464" s="7">
        <f>[1]monsters!$D464</f>
        <v>4</v>
      </c>
      <c r="CA464" s="7">
        <f t="shared" si="207"/>
        <v>0.1</v>
      </c>
      <c r="CB464" s="7">
        <f t="shared" si="208"/>
        <v>105.56002693602694</v>
      </c>
      <c r="CC464" s="7">
        <f t="shared" si="209"/>
        <v>10.556002693602695</v>
      </c>
      <c r="CD464" s="7"/>
      <c r="CE464" s="7"/>
      <c r="CF464" s="7"/>
      <c r="CG464" s="7"/>
      <c r="CH464" s="7"/>
      <c r="CI464" s="7"/>
      <c r="CJ464" s="7"/>
      <c r="CK464" s="7"/>
      <c r="CL464" s="7"/>
      <c r="CM464" s="7"/>
      <c r="CN464" s="7"/>
      <c r="CO464" s="7"/>
      <c r="CP464" s="7">
        <v>0</v>
      </c>
      <c r="CR464" s="25"/>
      <c r="CS464" s="25"/>
      <c r="CT464" s="25"/>
      <c r="CU464" s="25"/>
      <c r="CV464" s="25"/>
      <c r="CW464" s="25"/>
      <c r="DP464" s="32"/>
      <c r="DQ464" s="32"/>
      <c r="DR464" s="32"/>
      <c r="DS464" s="36"/>
      <c r="DT464" s="36"/>
      <c r="DU464" s="36"/>
      <c r="DV464" s="36"/>
      <c r="DW464" s="36"/>
      <c r="DX464" s="36"/>
      <c r="DY464" s="36"/>
      <c r="DZ464" s="36"/>
      <c r="EA464" s="25"/>
      <c r="EB464" s="15"/>
      <c r="EC464" s="16">
        <v>1403014</v>
      </c>
      <c r="ED464" s="16" t="s">
        <v>275</v>
      </c>
      <c r="EE464" s="16">
        <v>2</v>
      </c>
    </row>
    <row r="465" spans="11:135" ht="13.5" customHeight="1">
      <c r="K465" s="2"/>
      <c r="L465" s="18"/>
      <c r="O465" s="25"/>
      <c r="AI465" s="28"/>
      <c r="AJ465" s="28"/>
      <c r="AK465" s="28"/>
      <c r="AL465" s="28"/>
      <c r="AM465" s="28"/>
      <c r="AN465" s="28"/>
      <c r="AO465" s="30"/>
      <c r="AP465" s="28"/>
      <c r="AS465" s="28"/>
      <c r="AT465" s="28"/>
      <c r="AU465" s="30"/>
      <c r="AV465" s="28"/>
      <c r="AW465" s="28"/>
      <c r="AX465" s="28"/>
      <c r="AZ465" s="28"/>
      <c r="BA465" s="16" t="e">
        <f t="shared" si="210"/>
        <v>#DIV/0!</v>
      </c>
      <c r="BC465" s="7" t="e">
        <f t="shared" si="206"/>
        <v>#N/A</v>
      </c>
      <c r="BR465" s="7">
        <v>2303023</v>
      </c>
      <c r="BS465" s="9">
        <f>[1]monsters!$N465</f>
        <v>86.4</v>
      </c>
      <c r="BT465" s="9">
        <f>[1]monsters!$O465</f>
        <v>8.64</v>
      </c>
      <c r="BU465" s="9">
        <f>[1]monsters!$P465</f>
        <v>1066.67</v>
      </c>
      <c r="BV465" s="9">
        <f>[1]monsters!$Q465</f>
        <v>106.67</v>
      </c>
      <c r="BW465" s="9">
        <f>[1]monsters!$R465</f>
        <v>17.28</v>
      </c>
      <c r="BX465" s="9">
        <f>[1]monsters!$S465</f>
        <v>1.73</v>
      </c>
      <c r="BY465" s="9">
        <f>[1]monsters!$K465</f>
        <v>1.8</v>
      </c>
      <c r="BZ465" s="7">
        <f>[1]monsters!$D465</f>
        <v>2</v>
      </c>
      <c r="CA465" s="7">
        <f t="shared" si="207"/>
        <v>0.1</v>
      </c>
      <c r="CB465" s="7">
        <f t="shared" si="208"/>
        <v>117.56281481481483</v>
      </c>
      <c r="CC465" s="7">
        <f t="shared" si="209"/>
        <v>11.756281481481484</v>
      </c>
      <c r="CD465" s="7"/>
      <c r="CE465" s="7"/>
      <c r="CF465" s="7"/>
      <c r="CG465" s="7"/>
      <c r="CH465" s="7"/>
      <c r="CI465" s="7"/>
      <c r="CJ465" s="7"/>
      <c r="CK465" s="7"/>
      <c r="CL465" s="7"/>
      <c r="CM465" s="7"/>
      <c r="CN465" s="7"/>
      <c r="CO465" s="7"/>
      <c r="CP465" s="7">
        <v>0</v>
      </c>
      <c r="CR465" s="25"/>
      <c r="CS465" s="25"/>
      <c r="CT465" s="25"/>
      <c r="CU465" s="25"/>
      <c r="CV465" s="25"/>
      <c r="CW465" s="25"/>
      <c r="DP465" s="32"/>
      <c r="DQ465" s="32"/>
      <c r="DR465" s="32"/>
      <c r="DS465" s="36"/>
      <c r="DT465" s="36"/>
      <c r="DU465" s="36"/>
      <c r="DV465" s="36"/>
      <c r="DW465" s="36"/>
      <c r="DX465" s="36"/>
      <c r="DY465" s="36"/>
      <c r="DZ465" s="36"/>
      <c r="EA465" s="25"/>
      <c r="EB465" s="31"/>
      <c r="EC465" s="16">
        <v>1205014</v>
      </c>
      <c r="ED465" s="16" t="s">
        <v>276</v>
      </c>
      <c r="EE465" s="16">
        <v>1</v>
      </c>
    </row>
    <row r="466" spans="11:135" ht="13.5" customHeight="1">
      <c r="K466" s="2"/>
      <c r="L466" s="18"/>
      <c r="O466" s="25"/>
      <c r="AI466" s="28"/>
      <c r="AJ466" s="28"/>
      <c r="AK466" s="28"/>
      <c r="AL466" s="28"/>
      <c r="AM466" s="28"/>
      <c r="AN466" s="28"/>
      <c r="AO466" s="30"/>
      <c r="AP466" s="28"/>
      <c r="AS466" s="28"/>
      <c r="AT466" s="28"/>
      <c r="AU466" s="30"/>
      <c r="AV466" s="28"/>
      <c r="AW466" s="28"/>
      <c r="AX466" s="28"/>
      <c r="AZ466" s="28"/>
      <c r="BA466" s="16" t="e">
        <f t="shared" si="210"/>
        <v>#DIV/0!</v>
      </c>
      <c r="BC466" s="7" t="e">
        <f t="shared" si="206"/>
        <v>#N/A</v>
      </c>
      <c r="BR466" s="7">
        <v>2304023</v>
      </c>
      <c r="BS466" s="9">
        <f>[1]monsters!$N466</f>
        <v>100</v>
      </c>
      <c r="BT466" s="9">
        <f>[1]monsters!$O466</f>
        <v>10</v>
      </c>
      <c r="BU466" s="9">
        <f>[1]monsters!$P466</f>
        <v>768</v>
      </c>
      <c r="BV466" s="9">
        <f>[1]monsters!$Q466</f>
        <v>76.8</v>
      </c>
      <c r="BW466" s="9">
        <f>[1]monsters!$R466</f>
        <v>10</v>
      </c>
      <c r="BX466" s="9">
        <f>[1]monsters!$S466</f>
        <v>1</v>
      </c>
      <c r="BY466" s="9">
        <f>[1]monsters!$K466</f>
        <v>1.5</v>
      </c>
      <c r="BZ466" s="7">
        <f>[1]monsters!$D466</f>
        <v>4</v>
      </c>
      <c r="CA466" s="7">
        <f t="shared" si="207"/>
        <v>0.1</v>
      </c>
      <c r="CB466" s="7">
        <f t="shared" si="208"/>
        <v>120.35858585858585</v>
      </c>
      <c r="CC466" s="7">
        <f t="shared" si="209"/>
        <v>12.035858585858586</v>
      </c>
      <c r="CD466" s="7"/>
      <c r="CE466" s="7"/>
      <c r="CF466" s="7"/>
      <c r="CG466" s="7"/>
      <c r="CH466" s="7"/>
      <c r="CI466" s="7"/>
      <c r="CJ466" s="7"/>
      <c r="CK466" s="7"/>
      <c r="CL466" s="7"/>
      <c r="CM466" s="7"/>
      <c r="CN466" s="7"/>
      <c r="CO466" s="7"/>
      <c r="CP466" s="7">
        <v>0</v>
      </c>
      <c r="CR466" s="25"/>
      <c r="CS466" s="25"/>
      <c r="CT466" s="25"/>
      <c r="CU466" s="25"/>
      <c r="CV466" s="25"/>
      <c r="CW466" s="25"/>
      <c r="DP466" s="32"/>
      <c r="DQ466" s="32"/>
      <c r="DR466" s="32"/>
      <c r="DS466" s="36"/>
      <c r="DT466" s="36"/>
      <c r="DU466" s="36"/>
      <c r="DV466" s="36"/>
      <c r="DW466" s="36"/>
      <c r="DX466" s="36"/>
      <c r="DY466" s="36"/>
      <c r="DZ466" s="36"/>
      <c r="EA466" s="25"/>
      <c r="EB466" s="31"/>
      <c r="EC466" s="16">
        <v>1405014</v>
      </c>
      <c r="ED466" s="16" t="s">
        <v>277</v>
      </c>
      <c r="EE466" s="16">
        <v>2</v>
      </c>
    </row>
    <row r="467" spans="11:135" ht="13.5" customHeight="1">
      <c r="K467" s="2"/>
      <c r="L467" s="18"/>
      <c r="O467" s="25"/>
      <c r="AI467" s="28"/>
      <c r="AJ467" s="28"/>
      <c r="AK467" s="28"/>
      <c r="AL467" s="28"/>
      <c r="AM467" s="28"/>
      <c r="AN467" s="28"/>
      <c r="AO467" s="30"/>
      <c r="AP467" s="28"/>
      <c r="AS467" s="28"/>
      <c r="AT467" s="28"/>
      <c r="AU467" s="30"/>
      <c r="AV467" s="28"/>
      <c r="AW467" s="28"/>
      <c r="AX467" s="28"/>
      <c r="AZ467" s="28"/>
      <c r="BA467" s="16" t="e">
        <f t="shared" si="210"/>
        <v>#DIV/0!</v>
      </c>
      <c r="BC467" s="7" t="e">
        <f t="shared" si="206"/>
        <v>#N/A</v>
      </c>
      <c r="BR467" s="7">
        <v>2503023</v>
      </c>
      <c r="BS467" s="9">
        <f>[1]monsters!$N467</f>
        <v>76.27</v>
      </c>
      <c r="BT467" s="9">
        <f>[1]monsters!$O467</f>
        <v>7.63</v>
      </c>
      <c r="BU467" s="9">
        <f>[1]monsters!$P467</f>
        <v>872.73</v>
      </c>
      <c r="BV467" s="9">
        <f>[1]monsters!$Q467</f>
        <v>87.27</v>
      </c>
      <c r="BW467" s="9">
        <f>[1]monsters!$R467</f>
        <v>9.5299999999999994</v>
      </c>
      <c r="BX467" s="9">
        <f>[1]monsters!$S467</f>
        <v>0.95</v>
      </c>
      <c r="BY467" s="9">
        <f>[1]monsters!$K467</f>
        <v>1.3</v>
      </c>
      <c r="BZ467" s="7">
        <f>[1]monsters!$D467</f>
        <v>3</v>
      </c>
      <c r="CA467" s="7">
        <f t="shared" si="207"/>
        <v>0.1</v>
      </c>
      <c r="CB467" s="7">
        <f t="shared" si="208"/>
        <v>101.45999848484848</v>
      </c>
      <c r="CC467" s="7">
        <f t="shared" si="209"/>
        <v>10.145999848484848</v>
      </c>
      <c r="CD467" s="7"/>
      <c r="CE467" s="7"/>
      <c r="CF467" s="7"/>
      <c r="CG467" s="7"/>
      <c r="CH467" s="7"/>
      <c r="CI467" s="7"/>
      <c r="CJ467" s="7"/>
      <c r="CK467" s="7"/>
      <c r="CL467" s="7"/>
      <c r="CM467" s="7"/>
      <c r="CN467" s="7"/>
      <c r="CO467" s="7"/>
      <c r="CP467" s="7">
        <v>0</v>
      </c>
      <c r="CR467" s="25"/>
      <c r="CS467" s="25"/>
      <c r="CT467" s="25"/>
      <c r="CU467" s="25"/>
      <c r="CV467" s="25"/>
      <c r="CW467" s="25"/>
      <c r="DP467" s="13"/>
      <c r="DQ467" s="13"/>
      <c r="DR467" s="13"/>
      <c r="DS467" s="13"/>
      <c r="DT467" s="14"/>
      <c r="DU467" s="14"/>
      <c r="DV467" s="14"/>
      <c r="DW467" s="14"/>
      <c r="DX467" s="14"/>
      <c r="DY467" s="14"/>
      <c r="DZ467" s="14"/>
      <c r="EA467" s="25"/>
      <c r="EB467" s="15"/>
      <c r="EC467" s="16">
        <v>1303014</v>
      </c>
      <c r="ED467" s="16" t="s">
        <v>278</v>
      </c>
      <c r="EE467" s="16">
        <v>1</v>
      </c>
    </row>
    <row r="468" spans="11:135" ht="13.5" customHeight="1">
      <c r="K468" s="2"/>
      <c r="O468" s="25"/>
      <c r="AI468" s="28"/>
      <c r="AJ468" s="28"/>
      <c r="AK468" s="28"/>
      <c r="AL468" s="28"/>
      <c r="AM468" s="28"/>
      <c r="AN468" s="28"/>
      <c r="AO468" s="30"/>
      <c r="AP468" s="28"/>
      <c r="AS468" s="28"/>
      <c r="AT468" s="28"/>
      <c r="AU468" s="30"/>
      <c r="AV468" s="28"/>
      <c r="AW468" s="28"/>
      <c r="AX468" s="28"/>
      <c r="AZ468" s="28"/>
      <c r="BA468" s="16" t="e">
        <f t="shared" si="210"/>
        <v>#DIV/0!</v>
      </c>
      <c r="BC468" s="7" t="e">
        <f t="shared" si="206"/>
        <v>#N/A</v>
      </c>
      <c r="BR468" s="7">
        <v>2504023</v>
      </c>
      <c r="BS468" s="9">
        <f>[1]monsters!$N468</f>
        <v>105.6</v>
      </c>
      <c r="BT468" s="9">
        <f>[1]monsters!$O468</f>
        <v>10.56</v>
      </c>
      <c r="BU468" s="9">
        <f>[1]monsters!$P468</f>
        <v>872.73</v>
      </c>
      <c r="BV468" s="9">
        <f>[1]monsters!$Q468</f>
        <v>87.27</v>
      </c>
      <c r="BW468" s="9">
        <f>[1]monsters!$R468</f>
        <v>17.600000000000001</v>
      </c>
      <c r="BX468" s="9">
        <f>[1]monsters!$S468</f>
        <v>1.76</v>
      </c>
      <c r="BY468" s="9">
        <f>[1]monsters!$K468</f>
        <v>1.8</v>
      </c>
      <c r="BZ468" s="7">
        <f>[1]monsters!$D468</f>
        <v>5</v>
      </c>
      <c r="CA468" s="7">
        <f t="shared" si="207"/>
        <v>0.1</v>
      </c>
      <c r="CB468" s="7">
        <f t="shared" si="208"/>
        <v>129.17684848484848</v>
      </c>
      <c r="CC468" s="7">
        <f t="shared" si="209"/>
        <v>12.917684848484848</v>
      </c>
      <c r="CD468" s="7"/>
      <c r="CE468" s="7"/>
      <c r="CF468" s="7"/>
      <c r="CG468" s="7"/>
      <c r="CH468" s="7"/>
      <c r="CI468" s="7"/>
      <c r="CJ468" s="7"/>
      <c r="CK468" s="7"/>
      <c r="CL468" s="7"/>
      <c r="CM468" s="7"/>
      <c r="CN468" s="7"/>
      <c r="CO468" s="7"/>
      <c r="CP468" s="7">
        <v>1</v>
      </c>
      <c r="CR468" s="25"/>
      <c r="CS468" s="25"/>
      <c r="CT468" s="25"/>
      <c r="CU468" s="25"/>
      <c r="CV468" s="25"/>
      <c r="CW468" s="25"/>
      <c r="DP468" s="32"/>
      <c r="DQ468" s="32"/>
      <c r="DR468" s="36"/>
      <c r="DS468" s="36"/>
      <c r="DT468" s="32"/>
      <c r="DU468" s="32"/>
      <c r="DV468" s="32"/>
      <c r="DW468" s="32"/>
      <c r="DX468" s="32"/>
      <c r="DY468" s="32"/>
      <c r="DZ468" s="32"/>
      <c r="EA468" s="25"/>
      <c r="EB468" s="31"/>
      <c r="EC468" s="16">
        <v>1504014</v>
      </c>
      <c r="ED468" s="16" t="s">
        <v>279</v>
      </c>
      <c r="EE468" s="16">
        <v>1</v>
      </c>
    </row>
    <row r="469" spans="11:135" ht="13.5" customHeight="1">
      <c r="K469" s="2"/>
      <c r="L469" s="18"/>
      <c r="O469" s="25"/>
      <c r="AI469" s="28"/>
      <c r="AJ469" s="28"/>
      <c r="AK469" s="28"/>
      <c r="AL469" s="28"/>
      <c r="AM469" s="28"/>
      <c r="AN469" s="28"/>
      <c r="AO469" s="30"/>
      <c r="AP469" s="28"/>
      <c r="AS469" s="28"/>
      <c r="AT469" s="28"/>
      <c r="AU469" s="30"/>
      <c r="AV469" s="28"/>
      <c r="AW469" s="28"/>
      <c r="AX469" s="28"/>
      <c r="AZ469" s="28"/>
      <c r="BA469" s="16" t="e">
        <f t="shared" si="210"/>
        <v>#DIV/0!</v>
      </c>
      <c r="BC469" s="7" t="e">
        <f t="shared" si="206"/>
        <v>#N/A</v>
      </c>
      <c r="BR469" s="7">
        <v>2101023</v>
      </c>
      <c r="BS469" s="9">
        <f>[1]monsters!$N469</f>
        <v>76.8</v>
      </c>
      <c r="BT469" s="9">
        <f>[1]monsters!$O469</f>
        <v>7.68</v>
      </c>
      <c r="BU469" s="9">
        <f>[1]monsters!$P469</f>
        <v>1066.67</v>
      </c>
      <c r="BV469" s="9">
        <f>[1]monsters!$Q469</f>
        <v>106.67</v>
      </c>
      <c r="BW469" s="9">
        <f>[1]monsters!$R469</f>
        <v>15.36</v>
      </c>
      <c r="BX469" s="9">
        <f>[1]monsters!$S469</f>
        <v>1.54</v>
      </c>
      <c r="BY469" s="9">
        <f>[1]monsters!$K469</f>
        <v>1.6</v>
      </c>
      <c r="BZ469" s="7">
        <f>[1]monsters!$D469</f>
        <v>2</v>
      </c>
      <c r="CA469" s="7">
        <f t="shared" si="207"/>
        <v>0.1</v>
      </c>
      <c r="CB469" s="7">
        <f t="shared" si="208"/>
        <v>108.49081481481483</v>
      </c>
      <c r="CC469" s="7">
        <f t="shared" si="209"/>
        <v>10.849081481481484</v>
      </c>
      <c r="CD469" s="7"/>
      <c r="CE469" s="7"/>
      <c r="CF469" s="7"/>
      <c r="CG469" s="7"/>
      <c r="CH469" s="7"/>
      <c r="CI469" s="7"/>
      <c r="CJ469" s="7"/>
      <c r="CK469" s="7"/>
      <c r="CL469" s="7"/>
      <c r="CM469" s="7"/>
      <c r="CN469" s="7"/>
      <c r="CO469" s="7"/>
      <c r="CP469" s="7">
        <v>0</v>
      </c>
      <c r="CR469" s="25"/>
      <c r="CS469" s="25"/>
      <c r="CT469" s="25"/>
      <c r="CU469" s="25"/>
      <c r="CV469" s="25"/>
      <c r="CW469" s="25"/>
      <c r="DP469" s="32"/>
      <c r="DQ469" s="32"/>
      <c r="DR469" s="32"/>
      <c r="DS469" s="14"/>
      <c r="DT469" s="14"/>
      <c r="DU469" s="14"/>
      <c r="DV469" s="14"/>
      <c r="DW469" s="14"/>
      <c r="DX469" s="14"/>
      <c r="DY469" s="14"/>
      <c r="DZ469" s="14"/>
      <c r="EA469" s="25"/>
      <c r="EB469" s="31"/>
      <c r="EC469" s="16">
        <v>1206014</v>
      </c>
      <c r="ED469" s="16" t="s">
        <v>280</v>
      </c>
      <c r="EE469" s="16">
        <v>1</v>
      </c>
    </row>
    <row r="470" spans="11:135" ht="13.5" customHeight="1">
      <c r="K470" s="2"/>
      <c r="L470" s="18"/>
      <c r="O470" s="25"/>
      <c r="AI470" s="28"/>
      <c r="AJ470" s="28"/>
      <c r="AK470" s="28"/>
      <c r="AL470" s="28"/>
      <c r="AM470" s="28"/>
      <c r="AN470" s="28"/>
      <c r="AO470" s="30"/>
      <c r="AP470" s="28"/>
      <c r="AS470" s="28"/>
      <c r="AT470" s="28"/>
      <c r="AU470" s="30"/>
      <c r="AV470" s="28"/>
      <c r="AW470" s="28"/>
      <c r="AX470" s="28"/>
      <c r="AZ470" s="28"/>
      <c r="BA470" s="16" t="e">
        <f t="shared" si="210"/>
        <v>#DIV/0!</v>
      </c>
      <c r="BC470" s="7" t="e">
        <f t="shared" si="206"/>
        <v>#N/A</v>
      </c>
      <c r="BR470" s="7">
        <v>2102023</v>
      </c>
      <c r="BS470" s="9">
        <f>[1]monsters!$N470</f>
        <v>97.07</v>
      </c>
      <c r="BT470" s="9">
        <f>[1]monsters!$O470</f>
        <v>9.7100000000000009</v>
      </c>
      <c r="BU470" s="9">
        <f>[1]monsters!$P470</f>
        <v>738.46</v>
      </c>
      <c r="BV470" s="9">
        <f>[1]monsters!$Q470</f>
        <v>73.849999999999994</v>
      </c>
      <c r="BW470" s="9">
        <f>[1]monsters!$R470</f>
        <v>9.7100000000000009</v>
      </c>
      <c r="BX470" s="9">
        <f>[1]monsters!$S470</f>
        <v>0.97</v>
      </c>
      <c r="BY470" s="9">
        <f>[1]monsters!$K470</f>
        <v>1.4000000000000001</v>
      </c>
      <c r="BZ470" s="7">
        <f>[1]monsters!$D470</f>
        <v>4</v>
      </c>
      <c r="CA470" s="7">
        <f t="shared" si="207"/>
        <v>0.1</v>
      </c>
      <c r="CB470" s="7">
        <f t="shared" si="208"/>
        <v>116.59512306397306</v>
      </c>
      <c r="CC470" s="7">
        <f t="shared" si="209"/>
        <v>11.659512306397307</v>
      </c>
      <c r="CD470" s="7"/>
      <c r="CE470" s="7"/>
      <c r="CF470" s="7"/>
      <c r="CG470" s="7"/>
      <c r="CH470" s="7"/>
      <c r="CI470" s="7"/>
      <c r="CJ470" s="7"/>
      <c r="CK470" s="7"/>
      <c r="CL470" s="7"/>
      <c r="CM470" s="7"/>
      <c r="CN470" s="7"/>
      <c r="CO470" s="7"/>
      <c r="CP470" s="7">
        <v>0</v>
      </c>
      <c r="CR470" s="25"/>
      <c r="CS470" s="25"/>
      <c r="CT470" s="25"/>
      <c r="CU470" s="25"/>
      <c r="CV470" s="25"/>
      <c r="CW470" s="25"/>
      <c r="DP470" s="32"/>
      <c r="DQ470" s="32"/>
      <c r="DR470" s="36"/>
      <c r="DS470" s="36"/>
      <c r="DT470" s="32"/>
      <c r="DU470" s="32"/>
      <c r="DV470" s="32"/>
      <c r="DW470" s="32"/>
      <c r="DX470" s="32"/>
      <c r="DY470" s="32"/>
      <c r="DZ470" s="32"/>
      <c r="EA470" s="25"/>
      <c r="EB470" s="31"/>
      <c r="EC470" s="16">
        <v>1406014</v>
      </c>
      <c r="ED470" s="16" t="s">
        <v>281</v>
      </c>
      <c r="EE470" s="16">
        <v>2</v>
      </c>
    </row>
    <row r="471" spans="11:135" ht="13.5" customHeight="1">
      <c r="K471" s="2"/>
      <c r="L471" s="18"/>
      <c r="O471" s="25"/>
      <c r="AI471" s="28"/>
      <c r="AJ471" s="28"/>
      <c r="AK471" s="28"/>
      <c r="AL471" s="28"/>
      <c r="AM471" s="28"/>
      <c r="AN471" s="28"/>
      <c r="AO471" s="30"/>
      <c r="AP471" s="28"/>
      <c r="AS471" s="28"/>
      <c r="AT471" s="28"/>
      <c r="AU471" s="30"/>
      <c r="AV471" s="28"/>
      <c r="AW471" s="28"/>
      <c r="AX471" s="28"/>
      <c r="AZ471" s="28"/>
      <c r="BA471" s="16" t="e">
        <f t="shared" si="210"/>
        <v>#DIV/0!</v>
      </c>
      <c r="BC471" s="7" t="e">
        <f t="shared" si="206"/>
        <v>#N/A</v>
      </c>
      <c r="BR471" s="7">
        <v>2206024</v>
      </c>
      <c r="BS471" s="9">
        <f>[1]monsters!$N471</f>
        <v>67.2</v>
      </c>
      <c r="BT471" s="9">
        <f>[1]monsters!$O471</f>
        <v>6.72</v>
      </c>
      <c r="BU471" s="9">
        <f>[1]monsters!$P471</f>
        <v>1066.67</v>
      </c>
      <c r="BV471" s="9">
        <f>[1]monsters!$Q471</f>
        <v>106.67</v>
      </c>
      <c r="BW471" s="9">
        <f>[1]monsters!$R471</f>
        <v>13.44</v>
      </c>
      <c r="BX471" s="9">
        <f>[1]monsters!$S471</f>
        <v>1.34</v>
      </c>
      <c r="BY471" s="9">
        <f>[1]monsters!$K471</f>
        <v>1.4000000000000001</v>
      </c>
      <c r="BZ471" s="7">
        <f>[1]monsters!$D471</f>
        <v>2</v>
      </c>
      <c r="CA471" s="7">
        <f t="shared" si="207"/>
        <v>0.1</v>
      </c>
      <c r="CB471" s="7">
        <f t="shared" si="208"/>
        <v>99.418814814814823</v>
      </c>
      <c r="CC471" s="7">
        <f t="shared" si="209"/>
        <v>9.9418814814814827</v>
      </c>
      <c r="CD471" s="7"/>
      <c r="CE471" s="7"/>
      <c r="CF471" s="7"/>
      <c r="CG471" s="7"/>
      <c r="CH471" s="7"/>
      <c r="CI471" s="7"/>
      <c r="CJ471" s="7"/>
      <c r="CK471" s="7"/>
      <c r="CL471" s="7"/>
      <c r="CM471" s="7"/>
      <c r="CN471" s="7"/>
      <c r="CO471" s="7"/>
      <c r="CP471" s="7">
        <v>0</v>
      </c>
      <c r="CR471" s="25"/>
      <c r="CS471" s="25"/>
      <c r="CT471" s="25"/>
      <c r="CU471" s="25"/>
      <c r="CV471" s="25"/>
      <c r="CW471" s="25"/>
      <c r="DP471" s="32"/>
      <c r="DQ471" s="32"/>
      <c r="DR471" s="36"/>
      <c r="DS471" s="36"/>
      <c r="DT471" s="36"/>
      <c r="DU471" s="36"/>
      <c r="DV471" s="36"/>
      <c r="DW471" s="36"/>
      <c r="DX471" s="36"/>
      <c r="DY471" s="36"/>
      <c r="DZ471" s="36"/>
      <c r="EA471" s="25"/>
      <c r="EB471" s="43"/>
      <c r="EC471" s="16">
        <v>1204014</v>
      </c>
      <c r="ED471" s="16" t="s">
        <v>282</v>
      </c>
      <c r="EE471" s="16">
        <v>1</v>
      </c>
    </row>
    <row r="472" spans="11:135" ht="13.5" customHeight="1">
      <c r="K472" s="2"/>
      <c r="L472" s="18"/>
      <c r="O472" s="25"/>
      <c r="AI472" s="28"/>
      <c r="AJ472" s="28"/>
      <c r="AK472" s="28"/>
      <c r="AL472" s="28"/>
      <c r="AM472" s="28"/>
      <c r="AN472" s="28"/>
      <c r="AO472" s="30"/>
      <c r="AP472" s="28"/>
      <c r="AS472" s="28"/>
      <c r="AT472" s="28"/>
      <c r="AU472" s="30"/>
      <c r="AV472" s="28"/>
      <c r="AW472" s="28"/>
      <c r="AX472" s="28"/>
      <c r="AZ472" s="28"/>
      <c r="BA472" s="16" t="e">
        <f t="shared" si="210"/>
        <v>#DIV/0!</v>
      </c>
      <c r="BC472" s="7" t="e">
        <f t="shared" si="206"/>
        <v>#N/A</v>
      </c>
      <c r="BR472" s="7">
        <v>2406024</v>
      </c>
      <c r="BS472" s="9">
        <f>[1]monsters!$N472</f>
        <v>110.93</v>
      </c>
      <c r="BT472" s="9">
        <f>[1]monsters!$O472</f>
        <v>11.09</v>
      </c>
      <c r="BU472" s="9">
        <f>[1]monsters!$P472</f>
        <v>738.46</v>
      </c>
      <c r="BV472" s="9">
        <f>[1]monsters!$Q472</f>
        <v>73.849999999999994</v>
      </c>
      <c r="BW472" s="9">
        <f>[1]monsters!$R472</f>
        <v>11.09</v>
      </c>
      <c r="BX472" s="9">
        <f>[1]monsters!$S472</f>
        <v>1.1100000000000001</v>
      </c>
      <c r="BY472" s="9">
        <f>[1]monsters!$K472</f>
        <v>1.6</v>
      </c>
      <c r="BZ472" s="7">
        <f>[1]monsters!$D472</f>
        <v>4</v>
      </c>
      <c r="CA472" s="7">
        <f t="shared" si="207"/>
        <v>0.1</v>
      </c>
      <c r="CB472" s="7">
        <f t="shared" si="208"/>
        <v>129.69282306397309</v>
      </c>
      <c r="CC472" s="7">
        <f t="shared" si="209"/>
        <v>12.969282306397311</v>
      </c>
      <c r="CD472" s="7"/>
      <c r="CE472" s="7"/>
      <c r="CF472" s="7"/>
      <c r="CG472" s="7"/>
      <c r="CH472" s="7"/>
      <c r="CI472" s="7"/>
      <c r="CJ472" s="7"/>
      <c r="CK472" s="7"/>
      <c r="CL472" s="7"/>
      <c r="CM472" s="7"/>
      <c r="CN472" s="7"/>
      <c r="CO472" s="7"/>
      <c r="CP472" s="7">
        <v>0</v>
      </c>
      <c r="CR472" s="25"/>
      <c r="CS472" s="25"/>
      <c r="CT472" s="25"/>
      <c r="CU472" s="25"/>
      <c r="CV472" s="25"/>
      <c r="CW472" s="25"/>
      <c r="DP472" s="32"/>
      <c r="DQ472" s="36"/>
      <c r="DR472" s="32"/>
      <c r="DS472" s="36"/>
      <c r="DT472" s="36"/>
      <c r="DU472" s="14"/>
      <c r="DV472" s="14"/>
      <c r="DW472" s="14"/>
      <c r="DX472" s="14"/>
      <c r="DY472" s="14"/>
      <c r="DZ472" s="14"/>
      <c r="EA472" s="25"/>
      <c r="EB472" s="43"/>
      <c r="EC472" s="16">
        <v>1404014</v>
      </c>
      <c r="ED472" s="16" t="s">
        <v>283</v>
      </c>
      <c r="EE472" s="16">
        <v>2</v>
      </c>
    </row>
    <row r="473" spans="11:135" ht="13.5" customHeight="1">
      <c r="K473" s="2"/>
      <c r="O473" s="25"/>
      <c r="AI473" s="28"/>
      <c r="AJ473" s="28"/>
      <c r="AK473" s="28"/>
      <c r="AL473" s="28"/>
      <c r="AM473" s="28"/>
      <c r="AN473" s="28"/>
      <c r="AO473" s="30"/>
      <c r="AP473" s="28"/>
      <c r="AS473" s="28"/>
      <c r="AT473" s="28"/>
      <c r="AU473" s="30"/>
      <c r="AV473" s="28"/>
      <c r="AW473" s="28"/>
      <c r="AX473" s="28"/>
      <c r="AZ473" s="28"/>
      <c r="BA473" s="16" t="e">
        <f t="shared" si="210"/>
        <v>#DIV/0!</v>
      </c>
      <c r="BC473" s="7" t="e">
        <f t="shared" si="206"/>
        <v>#N/A</v>
      </c>
      <c r="BR473" s="7">
        <v>2205024</v>
      </c>
      <c r="BS473" s="9">
        <f>[1]monsters!$N473</f>
        <v>102.4</v>
      </c>
      <c r="BT473" s="9">
        <f>[1]monsters!$O473</f>
        <v>10.24</v>
      </c>
      <c r="BU473" s="9">
        <f>[1]monsters!$P473</f>
        <v>800</v>
      </c>
      <c r="BV473" s="9">
        <f>[1]monsters!$Q473</f>
        <v>80</v>
      </c>
      <c r="BW473" s="9">
        <f>[1]monsters!$R473</f>
        <v>17.07</v>
      </c>
      <c r="BX473" s="9">
        <f>[1]monsters!$S473</f>
        <v>1.71</v>
      </c>
      <c r="BY473" s="9">
        <f>[1]monsters!$K473</f>
        <v>1.6</v>
      </c>
      <c r="BZ473" s="7">
        <f>[1]monsters!$D473</f>
        <v>5</v>
      </c>
      <c r="CA473" s="7">
        <f t="shared" si="207"/>
        <v>0.1</v>
      </c>
      <c r="CB473" s="7">
        <f t="shared" si="208"/>
        <v>123.70402693602695</v>
      </c>
      <c r="CC473" s="7">
        <f t="shared" si="209"/>
        <v>12.370402693602696</v>
      </c>
      <c r="CD473" s="7"/>
      <c r="CE473" s="7"/>
      <c r="CF473" s="7"/>
      <c r="CG473" s="7"/>
      <c r="CH473" s="7"/>
      <c r="CI473" s="7"/>
      <c r="CJ473" s="7"/>
      <c r="CK473" s="7"/>
      <c r="CL473" s="7"/>
      <c r="CM473" s="7"/>
      <c r="CN473" s="7"/>
      <c r="CO473" s="7"/>
      <c r="CP473" s="7">
        <v>1</v>
      </c>
      <c r="CR473" s="25"/>
      <c r="CS473" s="25"/>
      <c r="CT473" s="25"/>
      <c r="CU473" s="25"/>
      <c r="CV473" s="25"/>
      <c r="CW473" s="25"/>
      <c r="DP473" s="32"/>
      <c r="DQ473" s="32"/>
      <c r="DR473" s="32"/>
      <c r="DS473" s="36"/>
      <c r="DT473" s="36"/>
      <c r="DU473" s="36"/>
      <c r="DV473" s="36"/>
      <c r="DW473" s="36"/>
      <c r="DX473" s="36"/>
      <c r="DY473" s="36"/>
      <c r="DZ473" s="36"/>
      <c r="EA473" s="25"/>
      <c r="EB473" s="43"/>
      <c r="EC473" s="16">
        <v>1503014</v>
      </c>
      <c r="ED473" s="16" t="s">
        <v>284</v>
      </c>
      <c r="EE473" s="16">
        <v>1</v>
      </c>
    </row>
    <row r="474" spans="11:135" ht="13.5" customHeight="1">
      <c r="K474" s="2"/>
      <c r="L474" s="18"/>
      <c r="O474" s="25"/>
      <c r="AI474" s="28"/>
      <c r="AJ474" s="28"/>
      <c r="AK474" s="28"/>
      <c r="AL474" s="28"/>
      <c r="AM474" s="28"/>
      <c r="AN474" s="28"/>
      <c r="AO474" s="30"/>
      <c r="AP474" s="28"/>
      <c r="AS474" s="28"/>
      <c r="AT474" s="28"/>
      <c r="AU474" s="30"/>
      <c r="AV474" s="28"/>
      <c r="AW474" s="28"/>
      <c r="AX474" s="28"/>
      <c r="AZ474" s="28"/>
      <c r="BA474" s="16" t="e">
        <f t="shared" si="210"/>
        <v>#DIV/0!</v>
      </c>
      <c r="BC474" s="7" t="e">
        <f t="shared" si="206"/>
        <v>#N/A</v>
      </c>
      <c r="BR474" s="7">
        <v>2405024</v>
      </c>
      <c r="BS474" s="9">
        <f>[1]monsters!$N474</f>
        <v>85.87</v>
      </c>
      <c r="BT474" s="9">
        <f>[1]monsters!$O474</f>
        <v>8.59</v>
      </c>
      <c r="BU474" s="9">
        <f>[1]monsters!$P474</f>
        <v>834.78</v>
      </c>
      <c r="BV474" s="9">
        <f>[1]monsters!$Q474</f>
        <v>83.48</v>
      </c>
      <c r="BW474" s="9">
        <f>[1]monsters!$R474</f>
        <v>10.73</v>
      </c>
      <c r="BX474" s="9">
        <f>[1]monsters!$S474</f>
        <v>1.07</v>
      </c>
      <c r="BY474" s="9">
        <f>[1]monsters!$K474</f>
        <v>1.4000000000000001</v>
      </c>
      <c r="BZ474" s="7">
        <f>[1]monsters!$D474</f>
        <v>3</v>
      </c>
      <c r="CA474" s="7">
        <f t="shared" si="207"/>
        <v>0.1</v>
      </c>
      <c r="CB474" s="7">
        <f t="shared" si="208"/>
        <v>109.25422070707071</v>
      </c>
      <c r="CC474" s="7">
        <f t="shared" si="209"/>
        <v>10.925422070707071</v>
      </c>
      <c r="CD474" s="7"/>
      <c r="CE474" s="7"/>
      <c r="CF474" s="7"/>
      <c r="CG474" s="7"/>
      <c r="CH474" s="7"/>
      <c r="CI474" s="7"/>
      <c r="CJ474" s="7"/>
      <c r="CK474" s="7"/>
      <c r="CL474" s="7"/>
      <c r="CM474" s="7"/>
      <c r="CN474" s="7"/>
      <c r="CO474" s="7"/>
      <c r="CP474" s="7">
        <v>0</v>
      </c>
      <c r="CR474" s="25"/>
      <c r="CS474" s="25"/>
      <c r="CT474" s="25"/>
      <c r="CU474" s="25"/>
      <c r="CV474" s="25"/>
      <c r="CW474" s="25"/>
      <c r="DP474" s="32"/>
      <c r="DQ474" s="32"/>
      <c r="DR474" s="32"/>
      <c r="DS474" s="32"/>
      <c r="DT474" s="32"/>
      <c r="DU474" s="32"/>
      <c r="DV474" s="32"/>
      <c r="DW474" s="32"/>
      <c r="DX474" s="32"/>
      <c r="DY474" s="32"/>
      <c r="DZ474" s="32"/>
      <c r="EA474" s="25"/>
      <c r="EB474" s="21"/>
      <c r="EC474" s="16">
        <v>1304014</v>
      </c>
      <c r="ED474" s="16" t="s">
        <v>285</v>
      </c>
      <c r="EE474" s="16">
        <v>1</v>
      </c>
    </row>
    <row r="475" spans="11:135" ht="13.5" customHeight="1">
      <c r="K475" s="2"/>
      <c r="L475" s="18"/>
      <c r="O475" s="25"/>
      <c r="AI475" s="28"/>
      <c r="AJ475" s="28"/>
      <c r="AK475" s="28"/>
      <c r="AL475" s="28"/>
      <c r="AM475" s="28"/>
      <c r="AN475" s="28"/>
      <c r="AO475" s="30"/>
      <c r="AP475" s="28"/>
      <c r="AS475" s="28"/>
      <c r="AT475" s="28"/>
      <c r="AU475" s="30"/>
      <c r="AV475" s="28"/>
      <c r="AW475" s="28"/>
      <c r="AX475" s="28"/>
      <c r="AZ475" s="28"/>
      <c r="BA475" s="16" t="e">
        <f t="shared" si="210"/>
        <v>#DIV/0!</v>
      </c>
      <c r="BC475" s="7" t="e">
        <f t="shared" si="206"/>
        <v>#N/A</v>
      </c>
      <c r="BR475" s="7">
        <v>2203024</v>
      </c>
      <c r="BS475" s="9">
        <f>[1]monsters!$N475</f>
        <v>62.4</v>
      </c>
      <c r="BT475" s="9">
        <f>[1]monsters!$O475</f>
        <v>6.24</v>
      </c>
      <c r="BU475" s="9">
        <f>[1]monsters!$P475</f>
        <v>1066.67</v>
      </c>
      <c r="BV475" s="9">
        <f>[1]monsters!$Q475</f>
        <v>106.67</v>
      </c>
      <c r="BW475" s="9">
        <f>[1]monsters!$R475</f>
        <v>12.48</v>
      </c>
      <c r="BX475" s="9">
        <f>[1]monsters!$S475</f>
        <v>1.25</v>
      </c>
      <c r="BY475" s="9">
        <f>[1]monsters!$K475</f>
        <v>1.3</v>
      </c>
      <c r="BZ475" s="7">
        <f>[1]monsters!$D475</f>
        <v>2</v>
      </c>
      <c r="CA475" s="7">
        <f t="shared" si="207"/>
        <v>0.1</v>
      </c>
      <c r="CB475" s="7">
        <f t="shared" si="208"/>
        <v>94.882814814814822</v>
      </c>
      <c r="CC475" s="7">
        <f t="shared" si="209"/>
        <v>9.4882814814814829</v>
      </c>
      <c r="CD475" s="7"/>
      <c r="CE475" s="7"/>
      <c r="CF475" s="7"/>
      <c r="CG475" s="7"/>
      <c r="CH475" s="7"/>
      <c r="CI475" s="7"/>
      <c r="CJ475" s="7"/>
      <c r="CK475" s="7"/>
      <c r="CL475" s="7"/>
      <c r="CM475" s="7"/>
      <c r="CN475" s="7"/>
      <c r="CO475" s="7"/>
      <c r="CP475" s="7">
        <v>0</v>
      </c>
      <c r="CR475" s="25"/>
      <c r="CS475" s="25"/>
      <c r="CT475" s="25"/>
      <c r="CU475" s="25"/>
      <c r="CV475" s="25"/>
      <c r="CW475" s="25"/>
      <c r="DP475" s="32"/>
      <c r="DQ475" s="32"/>
      <c r="DR475" s="32"/>
      <c r="DS475" s="32"/>
      <c r="DT475" s="32"/>
      <c r="DU475" s="32"/>
      <c r="DV475" s="32"/>
      <c r="DW475" s="32"/>
      <c r="DX475" s="32"/>
      <c r="DY475" s="32"/>
      <c r="DZ475" s="32"/>
      <c r="EA475" s="25"/>
      <c r="EB475" s="43"/>
      <c r="EC475" s="16">
        <v>1203015</v>
      </c>
      <c r="ED475" s="16" t="s">
        <v>286</v>
      </c>
      <c r="EE475" s="16">
        <v>1</v>
      </c>
    </row>
    <row r="476" spans="11:135" ht="13.5" customHeight="1">
      <c r="K476" s="2"/>
      <c r="L476" s="18"/>
      <c r="O476" s="25"/>
      <c r="AI476" s="28"/>
      <c r="AJ476" s="28"/>
      <c r="AK476" s="28"/>
      <c r="AL476" s="28"/>
      <c r="AM476" s="28"/>
      <c r="AN476" s="28"/>
      <c r="AO476" s="30"/>
      <c r="AP476" s="28"/>
      <c r="AS476" s="28"/>
      <c r="AT476" s="28"/>
      <c r="AU476" s="30"/>
      <c r="AV476" s="28"/>
      <c r="AW476" s="28"/>
      <c r="AX476" s="28"/>
      <c r="AZ476" s="28"/>
      <c r="BA476" s="16" t="e">
        <f t="shared" si="210"/>
        <v>#DIV/0!</v>
      </c>
      <c r="BC476" s="7" t="e">
        <f t="shared" si="206"/>
        <v>#N/A</v>
      </c>
      <c r="BR476" s="7">
        <v>2403024</v>
      </c>
      <c r="BS476" s="9">
        <f>[1]monsters!$N476</f>
        <v>83.2</v>
      </c>
      <c r="BT476" s="9">
        <f>[1]monsters!$O476</f>
        <v>8.32</v>
      </c>
      <c r="BU476" s="9">
        <f>[1]monsters!$P476</f>
        <v>800</v>
      </c>
      <c r="BV476" s="9">
        <f>[1]monsters!$Q476</f>
        <v>80</v>
      </c>
      <c r="BW476" s="9">
        <f>[1]monsters!$R476</f>
        <v>8.32</v>
      </c>
      <c r="BX476" s="9">
        <f>[1]monsters!$S476</f>
        <v>0.83</v>
      </c>
      <c r="BY476" s="9">
        <f>[1]monsters!$K476</f>
        <v>1.3</v>
      </c>
      <c r="BZ476" s="7">
        <f>[1]monsters!$D476</f>
        <v>4</v>
      </c>
      <c r="CA476" s="7">
        <f t="shared" si="207"/>
        <v>0.1</v>
      </c>
      <c r="CB476" s="7">
        <f t="shared" si="208"/>
        <v>105.56002693602694</v>
      </c>
      <c r="CC476" s="7">
        <f t="shared" si="209"/>
        <v>10.556002693602695</v>
      </c>
      <c r="CD476" s="7"/>
      <c r="CE476" s="7"/>
      <c r="CF476" s="7"/>
      <c r="CG476" s="7"/>
      <c r="CH476" s="7"/>
      <c r="CI476" s="7"/>
      <c r="CJ476" s="7"/>
      <c r="CK476" s="7"/>
      <c r="CL476" s="7"/>
      <c r="CM476" s="7"/>
      <c r="CN476" s="7"/>
      <c r="CO476" s="7"/>
      <c r="CP476" s="7">
        <v>0</v>
      </c>
      <c r="CR476" s="25"/>
      <c r="CS476" s="25"/>
      <c r="CT476" s="25"/>
      <c r="CU476" s="25"/>
      <c r="CV476" s="25"/>
      <c r="CW476" s="25"/>
      <c r="DP476" s="32"/>
      <c r="DQ476" s="32"/>
      <c r="DR476" s="32"/>
      <c r="DS476" s="32"/>
      <c r="DT476" s="32"/>
      <c r="DU476" s="32"/>
      <c r="DV476" s="32"/>
      <c r="DW476" s="32"/>
      <c r="DX476" s="32"/>
      <c r="DY476" s="32"/>
      <c r="DZ476" s="32"/>
      <c r="EA476" s="25"/>
      <c r="EB476" s="43"/>
      <c r="EC476" s="16">
        <v>1403015</v>
      </c>
      <c r="ED476" s="16" t="s">
        <v>287</v>
      </c>
      <c r="EE476" s="16">
        <v>2</v>
      </c>
    </row>
    <row r="477" spans="11:135" ht="13.5" customHeight="1">
      <c r="K477" s="2"/>
      <c r="L477" s="18"/>
      <c r="O477" s="25"/>
      <c r="AI477" s="28"/>
      <c r="AJ477" s="28"/>
      <c r="AK477" s="28"/>
      <c r="AL477" s="28"/>
      <c r="AM477" s="28"/>
      <c r="AN477" s="28"/>
      <c r="AO477" s="30"/>
      <c r="AP477" s="28"/>
      <c r="AS477" s="28"/>
      <c r="AT477" s="28"/>
      <c r="AU477" s="30"/>
      <c r="AV477" s="28"/>
      <c r="AW477" s="28"/>
      <c r="AX477" s="28"/>
      <c r="AZ477" s="28"/>
      <c r="BA477" s="16" t="e">
        <f t="shared" si="210"/>
        <v>#DIV/0!</v>
      </c>
      <c r="BC477" s="7" t="e">
        <f t="shared" si="206"/>
        <v>#N/A</v>
      </c>
      <c r="BR477" s="7">
        <v>2204024</v>
      </c>
      <c r="BS477" s="9">
        <f>[1]monsters!$N477</f>
        <v>86.4</v>
      </c>
      <c r="BT477" s="9">
        <f>[1]monsters!$O477</f>
        <v>8.64</v>
      </c>
      <c r="BU477" s="9">
        <f>[1]monsters!$P477</f>
        <v>1066.67</v>
      </c>
      <c r="BV477" s="9">
        <f>[1]monsters!$Q477</f>
        <v>106.67</v>
      </c>
      <c r="BW477" s="9">
        <f>[1]monsters!$R477</f>
        <v>17.28</v>
      </c>
      <c r="BX477" s="9">
        <f>[1]monsters!$S477</f>
        <v>1.73</v>
      </c>
      <c r="BY477" s="9">
        <f>[1]monsters!$K477</f>
        <v>1.8</v>
      </c>
      <c r="BZ477" s="7">
        <f>[1]monsters!$D477</f>
        <v>2</v>
      </c>
      <c r="CA477" s="7">
        <f t="shared" si="207"/>
        <v>0.1</v>
      </c>
      <c r="CB477" s="7">
        <f t="shared" si="208"/>
        <v>117.56281481481483</v>
      </c>
      <c r="CC477" s="7">
        <f t="shared" si="209"/>
        <v>11.756281481481484</v>
      </c>
      <c r="CD477" s="7"/>
      <c r="CE477" s="7"/>
      <c r="CF477" s="7"/>
      <c r="CG477" s="7"/>
      <c r="CH477" s="7"/>
      <c r="CI477" s="7"/>
      <c r="CJ477" s="7"/>
      <c r="CK477" s="7"/>
      <c r="CL477" s="7"/>
      <c r="CM477" s="7"/>
      <c r="CN477" s="7"/>
      <c r="CO477" s="7"/>
      <c r="CP477" s="7">
        <v>0</v>
      </c>
      <c r="CR477" s="25"/>
      <c r="CS477" s="25"/>
      <c r="CT477" s="25"/>
      <c r="CU477" s="25"/>
      <c r="CV477" s="25"/>
      <c r="CW477" s="25"/>
      <c r="DP477" s="32"/>
      <c r="DQ477" s="32"/>
      <c r="DR477" s="32"/>
      <c r="DS477" s="32"/>
      <c r="DT477" s="32"/>
      <c r="DU477" s="32"/>
      <c r="DV477" s="32"/>
      <c r="DW477" s="32"/>
      <c r="DX477" s="32"/>
      <c r="DY477" s="32"/>
      <c r="DZ477" s="32"/>
      <c r="EA477" s="25"/>
      <c r="EB477" s="43"/>
      <c r="EC477" s="16">
        <v>1205015</v>
      </c>
      <c r="ED477" s="16" t="s">
        <v>288</v>
      </c>
      <c r="EE477" s="16">
        <v>1</v>
      </c>
    </row>
    <row r="478" spans="11:135" ht="13.5" customHeight="1">
      <c r="K478" s="2"/>
      <c r="O478" s="25"/>
      <c r="AI478" s="28"/>
      <c r="AJ478" s="28"/>
      <c r="AK478" s="28"/>
      <c r="AL478" s="28"/>
      <c r="AM478" s="28"/>
      <c r="AN478" s="28"/>
      <c r="AO478" s="30"/>
      <c r="AP478" s="28"/>
      <c r="AS478" s="28"/>
      <c r="AT478" s="28"/>
      <c r="AU478" s="30"/>
      <c r="AV478" s="28"/>
      <c r="AW478" s="28"/>
      <c r="AX478" s="28"/>
      <c r="AZ478" s="28"/>
      <c r="BA478" s="16" t="e">
        <f t="shared" si="210"/>
        <v>#DIV/0!</v>
      </c>
      <c r="BC478" s="7" t="e">
        <f t="shared" si="206"/>
        <v>#N/A</v>
      </c>
      <c r="BR478" s="7">
        <v>2404024</v>
      </c>
      <c r="BS478" s="9">
        <f>[1]monsters!$N478</f>
        <v>100</v>
      </c>
      <c r="BT478" s="9">
        <f>[1]monsters!$O478</f>
        <v>10</v>
      </c>
      <c r="BU478" s="9">
        <f>[1]monsters!$P478</f>
        <v>768</v>
      </c>
      <c r="BV478" s="9">
        <f>[1]monsters!$Q478</f>
        <v>76.8</v>
      </c>
      <c r="BW478" s="9">
        <f>[1]monsters!$R478</f>
        <v>10</v>
      </c>
      <c r="BX478" s="9">
        <f>[1]monsters!$S478</f>
        <v>1</v>
      </c>
      <c r="BY478" s="9">
        <f>[1]monsters!$K478</f>
        <v>1.5</v>
      </c>
      <c r="BZ478" s="7">
        <f>[1]monsters!$D478</f>
        <v>4</v>
      </c>
      <c r="CA478" s="7">
        <f t="shared" si="207"/>
        <v>0.1</v>
      </c>
      <c r="CB478" s="7">
        <f t="shared" si="208"/>
        <v>120.35858585858585</v>
      </c>
      <c r="CC478" s="7">
        <f t="shared" si="209"/>
        <v>12.035858585858586</v>
      </c>
      <c r="CD478" s="7"/>
      <c r="CE478" s="7"/>
      <c r="CF478" s="7"/>
      <c r="CG478" s="7"/>
      <c r="CH478" s="7"/>
      <c r="CI478" s="7"/>
      <c r="CJ478" s="7"/>
      <c r="CK478" s="7"/>
      <c r="CL478" s="7"/>
      <c r="CM478" s="7"/>
      <c r="CN478" s="7"/>
      <c r="CO478" s="7"/>
      <c r="CP478" s="7">
        <v>1</v>
      </c>
      <c r="CR478" s="25"/>
      <c r="CS478" s="25"/>
      <c r="CT478" s="25"/>
      <c r="CU478" s="25"/>
      <c r="CV478" s="25"/>
      <c r="CW478" s="25"/>
      <c r="DP478" s="32"/>
      <c r="DQ478" s="32"/>
      <c r="DR478" s="32"/>
      <c r="DS478" s="32"/>
      <c r="DT478" s="32"/>
      <c r="DU478" s="32"/>
      <c r="DV478" s="32"/>
      <c r="DW478" s="32"/>
      <c r="DX478" s="32"/>
      <c r="DY478" s="32"/>
      <c r="DZ478" s="32"/>
      <c r="EA478" s="25"/>
      <c r="EB478" s="21"/>
      <c r="EC478" s="16">
        <v>1405015</v>
      </c>
      <c r="ED478" s="16" t="s">
        <v>289</v>
      </c>
      <c r="EE478" s="16">
        <v>2</v>
      </c>
    </row>
    <row r="479" spans="11:135" ht="13.5" customHeight="1">
      <c r="K479" s="2"/>
      <c r="L479" s="18"/>
      <c r="O479" s="25"/>
      <c r="AI479" s="28"/>
      <c r="AJ479" s="28"/>
      <c r="AK479" s="28"/>
      <c r="AL479" s="28"/>
      <c r="AM479" s="28"/>
      <c r="AN479" s="28"/>
      <c r="AO479" s="30"/>
      <c r="AP479" s="28"/>
      <c r="AS479" s="28"/>
      <c r="AT479" s="28"/>
      <c r="AU479" s="30"/>
      <c r="AV479" s="28"/>
      <c r="AW479" s="28"/>
      <c r="AX479" s="28"/>
      <c r="AZ479" s="28"/>
      <c r="BA479" s="16" t="e">
        <f t="shared" si="210"/>
        <v>#DIV/0!</v>
      </c>
      <c r="BC479" s="7" t="e">
        <f t="shared" si="206"/>
        <v>#N/A</v>
      </c>
      <c r="BR479" s="7">
        <v>2303024</v>
      </c>
      <c r="BS479" s="9">
        <f>[1]monsters!$N479</f>
        <v>76.27</v>
      </c>
      <c r="BT479" s="9">
        <f>[1]monsters!$O479</f>
        <v>7.63</v>
      </c>
      <c r="BU479" s="9">
        <f>[1]monsters!$P479</f>
        <v>872.73</v>
      </c>
      <c r="BV479" s="9">
        <f>[1]monsters!$Q479</f>
        <v>87.27</v>
      </c>
      <c r="BW479" s="9">
        <f>[1]monsters!$R479</f>
        <v>9.5299999999999994</v>
      </c>
      <c r="BX479" s="9">
        <f>[1]monsters!$S479</f>
        <v>0.95</v>
      </c>
      <c r="BY479" s="9">
        <f>[1]monsters!$K479</f>
        <v>1.3</v>
      </c>
      <c r="BZ479" s="7">
        <f>[1]monsters!$D479</f>
        <v>3</v>
      </c>
      <c r="CA479" s="7">
        <f t="shared" si="207"/>
        <v>0.1</v>
      </c>
      <c r="CB479" s="7">
        <f t="shared" si="208"/>
        <v>101.45999848484848</v>
      </c>
      <c r="CC479" s="7">
        <f t="shared" si="209"/>
        <v>10.145999848484848</v>
      </c>
      <c r="CD479" s="7"/>
      <c r="CE479" s="7"/>
      <c r="CF479" s="7"/>
      <c r="CG479" s="7"/>
      <c r="CH479" s="7"/>
      <c r="CI479" s="7"/>
      <c r="CJ479" s="7"/>
      <c r="CK479" s="7"/>
      <c r="CL479" s="7"/>
      <c r="CM479" s="7"/>
      <c r="CN479" s="7"/>
      <c r="CO479" s="7"/>
      <c r="CP479" s="7">
        <v>0</v>
      </c>
      <c r="CR479" s="25"/>
      <c r="CS479" s="25"/>
      <c r="CT479" s="25"/>
      <c r="CU479" s="25"/>
      <c r="CV479" s="25"/>
      <c r="CW479" s="25"/>
      <c r="DP479" s="32"/>
      <c r="DQ479" s="32"/>
      <c r="DR479" s="32"/>
      <c r="DS479" s="32"/>
      <c r="DT479" s="32"/>
      <c r="DU479" s="32"/>
      <c r="DV479" s="32"/>
      <c r="DW479" s="32"/>
      <c r="DX479" s="32"/>
      <c r="DY479" s="32"/>
      <c r="DZ479" s="32"/>
      <c r="EA479" s="25"/>
      <c r="EB479" s="43"/>
      <c r="EC479" s="16">
        <v>1303015</v>
      </c>
      <c r="ED479" s="16" t="s">
        <v>290</v>
      </c>
      <c r="EE479" s="16">
        <v>1</v>
      </c>
    </row>
    <row r="480" spans="11:135" ht="13.5" customHeight="1">
      <c r="K480" s="2"/>
      <c r="L480" s="18"/>
      <c r="O480" s="25"/>
      <c r="AI480" s="28"/>
      <c r="AJ480" s="28"/>
      <c r="AK480" s="28"/>
      <c r="AL480" s="28"/>
      <c r="AM480" s="28"/>
      <c r="AN480" s="28"/>
      <c r="AO480" s="30"/>
      <c r="AP480" s="28"/>
      <c r="AS480" s="28"/>
      <c r="AT480" s="28"/>
      <c r="AU480" s="30"/>
      <c r="AV480" s="28"/>
      <c r="AW480" s="28"/>
      <c r="AX480" s="28"/>
      <c r="AZ480" s="28"/>
      <c r="BA480" s="16" t="e">
        <f t="shared" si="210"/>
        <v>#DIV/0!</v>
      </c>
      <c r="BC480" s="7" t="e">
        <f t="shared" si="206"/>
        <v>#N/A</v>
      </c>
      <c r="BR480" s="7">
        <v>2304024</v>
      </c>
      <c r="BS480" s="9">
        <f>[1]monsters!$N480</f>
        <v>105.6</v>
      </c>
      <c r="BT480" s="9">
        <f>[1]monsters!$O480</f>
        <v>10.56</v>
      </c>
      <c r="BU480" s="9">
        <f>[1]monsters!$P480</f>
        <v>872.73</v>
      </c>
      <c r="BV480" s="9">
        <f>[1]monsters!$Q480</f>
        <v>87.27</v>
      </c>
      <c r="BW480" s="9">
        <f>[1]monsters!$R480</f>
        <v>17.600000000000001</v>
      </c>
      <c r="BX480" s="9">
        <f>[1]monsters!$S480</f>
        <v>1.76</v>
      </c>
      <c r="BY480" s="9">
        <f>[1]monsters!$K480</f>
        <v>1.8</v>
      </c>
      <c r="BZ480" s="7">
        <f>[1]monsters!$D480</f>
        <v>5</v>
      </c>
      <c r="CA480" s="7">
        <f t="shared" si="207"/>
        <v>0.1</v>
      </c>
      <c r="CB480" s="7">
        <f t="shared" si="208"/>
        <v>129.17684848484848</v>
      </c>
      <c r="CC480" s="7">
        <f t="shared" si="209"/>
        <v>12.917684848484848</v>
      </c>
      <c r="CD480" s="7"/>
      <c r="CE480" s="7"/>
      <c r="CF480" s="7"/>
      <c r="CG480" s="7"/>
      <c r="CH480" s="7"/>
      <c r="CI480" s="7"/>
      <c r="CJ480" s="7"/>
      <c r="CK480" s="7"/>
      <c r="CL480" s="7"/>
      <c r="CM480" s="7"/>
      <c r="CN480" s="7"/>
      <c r="CO480" s="7"/>
      <c r="CP480" s="7">
        <v>0</v>
      </c>
      <c r="CR480" s="25"/>
      <c r="CS480" s="25"/>
      <c r="CT480" s="25"/>
      <c r="CU480" s="25"/>
      <c r="CV480" s="25"/>
      <c r="CW480" s="25"/>
      <c r="DP480" s="13"/>
      <c r="DQ480" s="13"/>
      <c r="DR480" s="13"/>
      <c r="DS480" s="32"/>
      <c r="DT480" s="32"/>
      <c r="DU480" s="32"/>
      <c r="DV480" s="32"/>
      <c r="DW480" s="32"/>
      <c r="DX480" s="32"/>
      <c r="DY480" s="32"/>
      <c r="DZ480" s="32"/>
      <c r="EA480" s="25"/>
      <c r="EB480" s="43"/>
      <c r="EC480" s="16">
        <v>1504015</v>
      </c>
      <c r="ED480" s="16" t="s">
        <v>291</v>
      </c>
      <c r="EE480" s="16">
        <v>1</v>
      </c>
    </row>
    <row r="481" spans="11:135" ht="13.5" customHeight="1">
      <c r="K481" s="2"/>
      <c r="L481" s="18"/>
      <c r="O481" s="25"/>
      <c r="AI481" s="28"/>
      <c r="AJ481" s="28"/>
      <c r="AK481" s="28"/>
      <c r="AL481" s="28"/>
      <c r="AM481" s="28"/>
      <c r="AN481" s="28"/>
      <c r="AO481" s="30"/>
      <c r="AP481" s="28"/>
      <c r="AS481" s="28"/>
      <c r="AT481" s="28"/>
      <c r="AU481" s="30"/>
      <c r="AV481" s="28"/>
      <c r="AW481" s="28"/>
      <c r="AX481" s="28"/>
      <c r="AZ481" s="28"/>
      <c r="BA481" s="16" t="e">
        <f t="shared" si="210"/>
        <v>#DIV/0!</v>
      </c>
      <c r="BC481" s="7" t="e">
        <f t="shared" si="206"/>
        <v>#N/A</v>
      </c>
      <c r="BR481" s="7">
        <v>2503024</v>
      </c>
      <c r="BS481" s="9">
        <f>[1]monsters!$N481</f>
        <v>76.8</v>
      </c>
      <c r="BT481" s="9">
        <f>[1]monsters!$O481</f>
        <v>7.68</v>
      </c>
      <c r="BU481" s="9">
        <f>[1]monsters!$P481</f>
        <v>1066.67</v>
      </c>
      <c r="BV481" s="9">
        <f>[1]monsters!$Q481</f>
        <v>106.67</v>
      </c>
      <c r="BW481" s="9">
        <f>[1]monsters!$R481</f>
        <v>15.36</v>
      </c>
      <c r="BX481" s="9">
        <f>[1]monsters!$S481</f>
        <v>1.54</v>
      </c>
      <c r="BY481" s="9">
        <f>[1]monsters!$K481</f>
        <v>1.6</v>
      </c>
      <c r="BZ481" s="7">
        <f>[1]monsters!$D481</f>
        <v>2</v>
      </c>
      <c r="CA481" s="7">
        <f t="shared" si="207"/>
        <v>0.1</v>
      </c>
      <c r="CB481" s="7">
        <f t="shared" si="208"/>
        <v>108.49081481481483</v>
      </c>
      <c r="CC481" s="7">
        <f t="shared" si="209"/>
        <v>10.849081481481484</v>
      </c>
      <c r="CD481" s="7"/>
      <c r="CE481" s="7"/>
      <c r="CF481" s="7"/>
      <c r="CG481" s="7"/>
      <c r="CH481" s="7"/>
      <c r="CI481" s="7"/>
      <c r="CJ481" s="7"/>
      <c r="CK481" s="7"/>
      <c r="CL481" s="7"/>
      <c r="CM481" s="7"/>
      <c r="CN481" s="7"/>
      <c r="CO481" s="7"/>
      <c r="CP481" s="7">
        <v>0</v>
      </c>
      <c r="CR481" s="25"/>
      <c r="CS481" s="25"/>
      <c r="CT481" s="25"/>
      <c r="CU481" s="25"/>
      <c r="CV481" s="25"/>
      <c r="CW481" s="25"/>
      <c r="DP481" s="32"/>
      <c r="DQ481" s="32"/>
      <c r="DR481" s="32"/>
      <c r="DS481" s="32"/>
      <c r="DT481" s="32"/>
      <c r="DU481" s="32"/>
      <c r="DV481" s="32"/>
      <c r="DW481" s="32"/>
      <c r="DX481" s="32"/>
      <c r="DY481" s="32"/>
      <c r="DZ481" s="32"/>
      <c r="EA481" s="25"/>
      <c r="EB481" s="21"/>
      <c r="EC481" s="16">
        <v>1206015</v>
      </c>
      <c r="ED481" s="16" t="s">
        <v>292</v>
      </c>
      <c r="EE481" s="16">
        <v>1</v>
      </c>
    </row>
    <row r="482" spans="11:135" ht="13.5" customHeight="1">
      <c r="K482" s="2"/>
      <c r="L482" s="18"/>
      <c r="O482" s="25"/>
      <c r="AI482" s="28"/>
      <c r="AJ482" s="28"/>
      <c r="AK482" s="28"/>
      <c r="AL482" s="28"/>
      <c r="AM482" s="28"/>
      <c r="AN482" s="28"/>
      <c r="AO482" s="30"/>
      <c r="AP482" s="28"/>
      <c r="AS482" s="28"/>
      <c r="AT482" s="28"/>
      <c r="AU482" s="30"/>
      <c r="AV482" s="28"/>
      <c r="AW482" s="28"/>
      <c r="AX482" s="28"/>
      <c r="AZ482" s="28"/>
      <c r="BA482" s="16" t="e">
        <f t="shared" si="210"/>
        <v>#DIV/0!</v>
      </c>
      <c r="BC482" s="7" t="e">
        <f t="shared" si="206"/>
        <v>#N/A</v>
      </c>
      <c r="BR482" s="7">
        <v>2504024</v>
      </c>
      <c r="BS482" s="9">
        <f>[1]monsters!$N482</f>
        <v>97.07</v>
      </c>
      <c r="BT482" s="9">
        <f>[1]monsters!$O482</f>
        <v>9.7100000000000009</v>
      </c>
      <c r="BU482" s="9">
        <f>[1]monsters!$P482</f>
        <v>738.46</v>
      </c>
      <c r="BV482" s="9">
        <f>[1]monsters!$Q482</f>
        <v>73.849999999999994</v>
      </c>
      <c r="BW482" s="9">
        <f>[1]monsters!$R482</f>
        <v>9.7100000000000009</v>
      </c>
      <c r="BX482" s="9">
        <f>[1]monsters!$S482</f>
        <v>0.97</v>
      </c>
      <c r="BY482" s="9">
        <f>[1]monsters!$K482</f>
        <v>1.4000000000000001</v>
      </c>
      <c r="BZ482" s="7">
        <f>[1]monsters!$D482</f>
        <v>4</v>
      </c>
      <c r="CA482" s="7">
        <f t="shared" si="207"/>
        <v>0.1</v>
      </c>
      <c r="CB482" s="7">
        <f t="shared" si="208"/>
        <v>116.59512306397306</v>
      </c>
      <c r="CC482" s="7">
        <f t="shared" si="209"/>
        <v>11.659512306397307</v>
      </c>
      <c r="CD482" s="7"/>
      <c r="CE482" s="7"/>
      <c r="CF482" s="7"/>
      <c r="CG482" s="7"/>
      <c r="CH482" s="7"/>
      <c r="CI482" s="7"/>
      <c r="CJ482" s="7"/>
      <c r="CK482" s="7"/>
      <c r="CL482" s="7"/>
      <c r="CM482" s="7"/>
      <c r="CN482" s="7"/>
      <c r="CO482" s="7"/>
      <c r="CP482" s="7">
        <v>0</v>
      </c>
      <c r="CR482" s="25"/>
      <c r="CS482" s="25"/>
      <c r="CT482" s="25"/>
      <c r="CU482" s="25"/>
      <c r="CV482" s="25"/>
      <c r="CW482" s="25"/>
      <c r="DP482" s="32"/>
      <c r="DQ482" s="32"/>
      <c r="DR482" s="32"/>
      <c r="DS482" s="32"/>
      <c r="DT482" s="32"/>
      <c r="DU482" s="32"/>
      <c r="DV482" s="32"/>
      <c r="DW482" s="32"/>
      <c r="DX482" s="32"/>
      <c r="DY482" s="32"/>
      <c r="DZ482" s="32"/>
      <c r="EA482" s="25"/>
      <c r="EB482" s="43"/>
      <c r="EC482" s="16">
        <v>1406015</v>
      </c>
      <c r="ED482" s="16" t="s">
        <v>293</v>
      </c>
      <c r="EE482" s="16">
        <v>2</v>
      </c>
    </row>
    <row r="483" spans="11:135" ht="13.5" customHeight="1">
      <c r="K483" s="2"/>
      <c r="O483" s="25"/>
      <c r="AI483" s="28"/>
      <c r="AJ483" s="28"/>
      <c r="AK483" s="28"/>
      <c r="AL483" s="28"/>
      <c r="AM483" s="28"/>
      <c r="AN483" s="28"/>
      <c r="AO483" s="30"/>
      <c r="AP483" s="28"/>
      <c r="AS483" s="28"/>
      <c r="AT483" s="28"/>
      <c r="AU483" s="30"/>
      <c r="AV483" s="28"/>
      <c r="AW483" s="28"/>
      <c r="AX483" s="28"/>
      <c r="AZ483" s="28"/>
      <c r="BA483" s="16" t="e">
        <f t="shared" si="210"/>
        <v>#DIV/0!</v>
      </c>
      <c r="BC483" s="7" t="e">
        <f t="shared" si="206"/>
        <v>#N/A</v>
      </c>
      <c r="BR483" s="7">
        <v>2101024</v>
      </c>
      <c r="BS483" s="9">
        <f>[1]monsters!$N483</f>
        <v>67.2</v>
      </c>
      <c r="BT483" s="9">
        <f>[1]monsters!$O483</f>
        <v>6.72</v>
      </c>
      <c r="BU483" s="9">
        <f>[1]monsters!$P483</f>
        <v>1066.67</v>
      </c>
      <c r="BV483" s="9">
        <f>[1]monsters!$Q483</f>
        <v>106.67</v>
      </c>
      <c r="BW483" s="9">
        <f>[1]monsters!$R483</f>
        <v>13.44</v>
      </c>
      <c r="BX483" s="9">
        <f>[1]monsters!$S483</f>
        <v>1.34</v>
      </c>
      <c r="BY483" s="9">
        <f>[1]monsters!$K483</f>
        <v>1.4000000000000001</v>
      </c>
      <c r="BZ483" s="7">
        <f>[1]monsters!$D483</f>
        <v>2</v>
      </c>
      <c r="CA483" s="7">
        <f t="shared" si="207"/>
        <v>0.1</v>
      </c>
      <c r="CB483" s="7">
        <f t="shared" si="208"/>
        <v>99.418814814814823</v>
      </c>
      <c r="CC483" s="7">
        <f t="shared" si="209"/>
        <v>9.9418814814814827</v>
      </c>
      <c r="CD483" s="7"/>
      <c r="CE483" s="7"/>
      <c r="CF483" s="7"/>
      <c r="CG483" s="7"/>
      <c r="CH483" s="7"/>
      <c r="CI483" s="7"/>
      <c r="CJ483" s="7"/>
      <c r="CK483" s="7"/>
      <c r="CL483" s="7"/>
      <c r="CM483" s="7"/>
      <c r="CN483" s="7"/>
      <c r="CO483" s="7"/>
      <c r="CP483" s="7">
        <v>1</v>
      </c>
      <c r="CR483" s="25"/>
      <c r="CS483" s="25"/>
      <c r="CT483" s="25"/>
      <c r="CU483" s="25"/>
      <c r="CV483" s="25"/>
      <c r="CW483" s="25"/>
      <c r="DP483" s="32"/>
      <c r="DQ483" s="32"/>
      <c r="DR483" s="32"/>
      <c r="DS483" s="32"/>
      <c r="DT483" s="32"/>
      <c r="DU483" s="32"/>
      <c r="DV483" s="32"/>
      <c r="DW483" s="32"/>
      <c r="DX483" s="32"/>
      <c r="DY483" s="32"/>
      <c r="DZ483" s="32"/>
      <c r="EA483" s="25"/>
      <c r="EB483" s="43"/>
      <c r="EC483" s="16">
        <v>1204015</v>
      </c>
      <c r="ED483" s="16" t="s">
        <v>294</v>
      </c>
      <c r="EE483" s="16">
        <v>1</v>
      </c>
    </row>
    <row r="484" spans="11:135" ht="13.5" customHeight="1">
      <c r="K484" s="2"/>
      <c r="L484" s="18"/>
      <c r="O484" s="25"/>
      <c r="AI484" s="28"/>
      <c r="AJ484" s="28"/>
      <c r="AK484" s="28"/>
      <c r="AL484" s="28"/>
      <c r="AM484" s="28"/>
      <c r="AN484" s="28"/>
      <c r="AO484" s="30"/>
      <c r="AP484" s="28"/>
      <c r="AS484" s="28"/>
      <c r="AT484" s="28"/>
      <c r="AU484" s="30"/>
      <c r="AV484" s="28"/>
      <c r="AW484" s="28"/>
      <c r="AX484" s="28"/>
      <c r="AZ484" s="28"/>
      <c r="BA484" s="16" t="e">
        <f t="shared" si="210"/>
        <v>#DIV/0!</v>
      </c>
      <c r="BC484" s="7" t="e">
        <f t="shared" si="206"/>
        <v>#N/A</v>
      </c>
      <c r="BR484" s="7">
        <v>2102024</v>
      </c>
      <c r="BS484" s="9">
        <f>[1]monsters!$N484</f>
        <v>110.93</v>
      </c>
      <c r="BT484" s="9">
        <f>[1]monsters!$O484</f>
        <v>11.09</v>
      </c>
      <c r="BU484" s="9">
        <f>[1]monsters!$P484</f>
        <v>738.46</v>
      </c>
      <c r="BV484" s="9">
        <f>[1]monsters!$Q484</f>
        <v>73.849999999999994</v>
      </c>
      <c r="BW484" s="9">
        <f>[1]monsters!$R484</f>
        <v>11.09</v>
      </c>
      <c r="BX484" s="9">
        <f>[1]monsters!$S484</f>
        <v>1.1100000000000001</v>
      </c>
      <c r="BY484" s="9">
        <f>[1]monsters!$K484</f>
        <v>1.6</v>
      </c>
      <c r="BZ484" s="7">
        <f>[1]monsters!$D484</f>
        <v>4</v>
      </c>
      <c r="CA484" s="7">
        <f t="shared" si="207"/>
        <v>0.1</v>
      </c>
      <c r="CB484" s="7">
        <f t="shared" si="208"/>
        <v>129.69282306397309</v>
      </c>
      <c r="CC484" s="7">
        <f t="shared" si="209"/>
        <v>12.969282306397311</v>
      </c>
      <c r="CD484" s="7"/>
      <c r="CE484" s="7"/>
      <c r="CF484" s="7"/>
      <c r="CG484" s="7"/>
      <c r="CH484" s="7"/>
      <c r="CI484" s="7"/>
      <c r="CJ484" s="7"/>
      <c r="CK484" s="7"/>
      <c r="CL484" s="7"/>
      <c r="CM484" s="7"/>
      <c r="CN484" s="7"/>
      <c r="CO484" s="7"/>
      <c r="CP484" s="7">
        <v>0</v>
      </c>
      <c r="CR484" s="25"/>
      <c r="CS484" s="25"/>
      <c r="CT484" s="25"/>
      <c r="CU484" s="25"/>
      <c r="CV484" s="25"/>
      <c r="CW484" s="25"/>
      <c r="DP484" s="32"/>
      <c r="DQ484" s="32"/>
      <c r="DR484" s="32"/>
      <c r="DS484" s="32"/>
      <c r="DT484" s="32"/>
      <c r="DU484" s="32"/>
      <c r="DV484" s="32"/>
      <c r="DW484" s="32"/>
      <c r="DX484" s="32"/>
      <c r="DY484" s="32"/>
      <c r="DZ484" s="32"/>
      <c r="EA484" s="25"/>
      <c r="EB484" s="43"/>
      <c r="EC484" s="16">
        <v>1404015</v>
      </c>
      <c r="ED484" s="16" t="s">
        <v>295</v>
      </c>
      <c r="EE484" s="16">
        <v>2</v>
      </c>
    </row>
    <row r="485" spans="11:135" ht="13.5" customHeight="1">
      <c r="K485" s="2"/>
      <c r="L485" s="18"/>
      <c r="O485" s="25"/>
      <c r="AI485" s="28"/>
      <c r="AJ485" s="28"/>
      <c r="AK485" s="28"/>
      <c r="AL485" s="28"/>
      <c r="AM485" s="28"/>
      <c r="AN485" s="28"/>
      <c r="AO485" s="30"/>
      <c r="AP485" s="28"/>
      <c r="AS485" s="28"/>
      <c r="AT485" s="28"/>
      <c r="AU485" s="30"/>
      <c r="AV485" s="28"/>
      <c r="AW485" s="28"/>
      <c r="AX485" s="28"/>
      <c r="AZ485" s="28"/>
      <c r="BA485" s="16" t="e">
        <f t="shared" si="210"/>
        <v>#DIV/0!</v>
      </c>
      <c r="BC485" s="7" t="e">
        <f t="shared" si="206"/>
        <v>#N/A</v>
      </c>
      <c r="BR485" s="7">
        <v>2206025</v>
      </c>
      <c r="BS485" s="9">
        <f>[1]monsters!$N485</f>
        <v>102.4</v>
      </c>
      <c r="BT485" s="9">
        <f>[1]monsters!$O485</f>
        <v>10.24</v>
      </c>
      <c r="BU485" s="9">
        <f>[1]monsters!$P485</f>
        <v>800</v>
      </c>
      <c r="BV485" s="9">
        <f>[1]monsters!$Q485</f>
        <v>80</v>
      </c>
      <c r="BW485" s="9">
        <f>[1]monsters!$R485</f>
        <v>17.07</v>
      </c>
      <c r="BX485" s="9">
        <f>[1]monsters!$S485</f>
        <v>1.71</v>
      </c>
      <c r="BY485" s="9">
        <f>[1]monsters!$K485</f>
        <v>1.6</v>
      </c>
      <c r="BZ485" s="7">
        <f>[1]monsters!$D485</f>
        <v>5</v>
      </c>
      <c r="CA485" s="7">
        <f t="shared" si="207"/>
        <v>0.1</v>
      </c>
      <c r="CB485" s="7">
        <f t="shared" si="208"/>
        <v>123.70402693602695</v>
      </c>
      <c r="CC485" s="7">
        <f t="shared" si="209"/>
        <v>12.370402693602696</v>
      </c>
      <c r="CD485" s="7"/>
      <c r="CE485" s="7"/>
      <c r="CF485" s="7"/>
      <c r="CG485" s="7"/>
      <c r="CH485" s="7"/>
      <c r="CI485" s="7"/>
      <c r="CJ485" s="7"/>
      <c r="CK485" s="7"/>
      <c r="CL485" s="7"/>
      <c r="CM485" s="7"/>
      <c r="CN485" s="7"/>
      <c r="CO485" s="7"/>
      <c r="CP485" s="7">
        <v>0</v>
      </c>
      <c r="CR485" s="25"/>
      <c r="CS485" s="25"/>
      <c r="CT485" s="25"/>
      <c r="CU485" s="25"/>
      <c r="CV485" s="25"/>
      <c r="CW485" s="25"/>
      <c r="DP485" s="32"/>
      <c r="DQ485" s="32"/>
      <c r="DR485" s="32"/>
      <c r="DS485" s="32"/>
      <c r="DT485" s="32"/>
      <c r="DU485" s="32"/>
      <c r="DV485" s="32"/>
      <c r="DW485" s="32"/>
      <c r="DX485" s="32"/>
      <c r="DY485" s="32"/>
      <c r="DZ485" s="32"/>
      <c r="EA485" s="25"/>
      <c r="EB485" s="50"/>
      <c r="EC485" s="16">
        <v>1503015</v>
      </c>
      <c r="ED485" s="16" t="s">
        <v>296</v>
      </c>
      <c r="EE485" s="16">
        <v>1</v>
      </c>
    </row>
    <row r="486" spans="11:135" ht="13.5" customHeight="1">
      <c r="K486" s="2"/>
      <c r="L486" s="18"/>
      <c r="O486" s="25"/>
      <c r="AI486" s="28"/>
      <c r="AJ486" s="28"/>
      <c r="AK486" s="28"/>
      <c r="AL486" s="28"/>
      <c r="AM486" s="28"/>
      <c r="AN486" s="28"/>
      <c r="AO486" s="30"/>
      <c r="AP486" s="28"/>
      <c r="AS486" s="28"/>
      <c r="AT486" s="28"/>
      <c r="AU486" s="30"/>
      <c r="AV486" s="28"/>
      <c r="AW486" s="28"/>
      <c r="AX486" s="28"/>
      <c r="AZ486" s="28"/>
      <c r="BA486" s="16" t="e">
        <f t="shared" si="210"/>
        <v>#DIV/0!</v>
      </c>
      <c r="BC486" s="7" t="e">
        <f t="shared" si="206"/>
        <v>#N/A</v>
      </c>
      <c r="BR486" s="7">
        <v>2406025</v>
      </c>
      <c r="BS486" s="9">
        <f>[1]monsters!$N486</f>
        <v>85.87</v>
      </c>
      <c r="BT486" s="9">
        <f>[1]monsters!$O486</f>
        <v>8.59</v>
      </c>
      <c r="BU486" s="9">
        <f>[1]monsters!$P486</f>
        <v>834.78</v>
      </c>
      <c r="BV486" s="9">
        <f>[1]monsters!$Q486</f>
        <v>83.48</v>
      </c>
      <c r="BW486" s="9">
        <f>[1]monsters!$R486</f>
        <v>10.73</v>
      </c>
      <c r="BX486" s="9">
        <f>[1]monsters!$S486</f>
        <v>1.07</v>
      </c>
      <c r="BY486" s="9">
        <f>[1]monsters!$K486</f>
        <v>1.4000000000000001</v>
      </c>
      <c r="BZ486" s="7">
        <f>[1]monsters!$D486</f>
        <v>3</v>
      </c>
      <c r="CA486" s="7">
        <f t="shared" si="207"/>
        <v>0.1</v>
      </c>
      <c r="CB486" s="7">
        <f t="shared" si="208"/>
        <v>109.25422070707071</v>
      </c>
      <c r="CC486" s="7">
        <f t="shared" si="209"/>
        <v>10.925422070707071</v>
      </c>
      <c r="CD486" s="7"/>
      <c r="CE486" s="7"/>
      <c r="CF486" s="7"/>
      <c r="CG486" s="7"/>
      <c r="CH486" s="7"/>
      <c r="CI486" s="7"/>
      <c r="CJ486" s="7"/>
      <c r="CK486" s="7"/>
      <c r="CL486" s="7"/>
      <c r="CM486" s="7"/>
      <c r="CN486" s="7"/>
      <c r="CO486" s="7"/>
      <c r="CP486" s="7">
        <v>0</v>
      </c>
      <c r="CR486" s="25"/>
      <c r="CS486" s="25"/>
      <c r="CT486" s="25"/>
      <c r="CU486" s="25"/>
      <c r="CV486" s="25"/>
      <c r="CW486" s="25"/>
      <c r="DP486" s="32"/>
      <c r="DQ486" s="32"/>
      <c r="DR486" s="32"/>
      <c r="DS486" s="32"/>
      <c r="DT486" s="32"/>
      <c r="DU486" s="32"/>
      <c r="DV486" s="32"/>
      <c r="DW486" s="32"/>
      <c r="DX486" s="32"/>
      <c r="DY486" s="32"/>
      <c r="DZ486" s="32"/>
      <c r="EA486" s="25"/>
      <c r="EB486" s="50"/>
      <c r="EC486" s="16">
        <v>1304015</v>
      </c>
      <c r="ED486" s="16" t="s">
        <v>297</v>
      </c>
      <c r="EE486" s="16">
        <v>1</v>
      </c>
    </row>
    <row r="487" spans="11:135" ht="13.5" customHeight="1">
      <c r="K487" s="2"/>
      <c r="L487" s="18"/>
      <c r="O487" s="25"/>
      <c r="AI487" s="28"/>
      <c r="AJ487" s="28"/>
      <c r="AK487" s="28"/>
      <c r="AL487" s="28"/>
      <c r="AM487" s="28"/>
      <c r="AN487" s="28"/>
      <c r="AO487" s="30"/>
      <c r="AP487" s="28"/>
      <c r="AS487" s="28"/>
      <c r="AT487" s="28"/>
      <c r="AU487" s="30"/>
      <c r="AV487" s="28"/>
      <c r="AW487" s="28"/>
      <c r="AX487" s="28"/>
      <c r="AZ487" s="28"/>
      <c r="BA487" s="16" t="e">
        <f t="shared" si="210"/>
        <v>#DIV/0!</v>
      </c>
      <c r="BC487" s="7" t="e">
        <f t="shared" si="206"/>
        <v>#N/A</v>
      </c>
      <c r="BR487" s="7">
        <v>2205025</v>
      </c>
      <c r="BS487" s="9">
        <f>[1]monsters!$N487</f>
        <v>74.88</v>
      </c>
      <c r="BT487" s="9">
        <f>[1]monsters!$O487</f>
        <v>7.49</v>
      </c>
      <c r="BU487" s="9">
        <f>[1]monsters!$P487</f>
        <v>1280</v>
      </c>
      <c r="BV487" s="9">
        <f>[1]monsters!$Q487</f>
        <v>128</v>
      </c>
      <c r="BW487" s="9">
        <f>[1]monsters!$R487</f>
        <v>14.98</v>
      </c>
      <c r="BX487" s="9">
        <f>[1]monsters!$S487</f>
        <v>1.5</v>
      </c>
      <c r="BY487" s="9">
        <f>[1]monsters!$K487</f>
        <v>1.3</v>
      </c>
      <c r="BZ487" s="7">
        <f>[1]monsters!$D487</f>
        <v>2</v>
      </c>
      <c r="CA487" s="7">
        <f t="shared" si="207"/>
        <v>0.1</v>
      </c>
      <c r="CB487" s="7">
        <f t="shared" si="208"/>
        <v>113.8592430976431</v>
      </c>
      <c r="CC487" s="7">
        <f t="shared" si="209"/>
        <v>11.385924309764311</v>
      </c>
      <c r="CD487" s="7"/>
      <c r="CE487" s="7"/>
      <c r="CF487" s="7"/>
      <c r="CG487" s="7"/>
      <c r="CH487" s="7"/>
      <c r="CI487" s="7"/>
      <c r="CJ487" s="7"/>
      <c r="CK487" s="7"/>
      <c r="CL487" s="7"/>
      <c r="CM487" s="7"/>
      <c r="CN487" s="7"/>
      <c r="CO487" s="7"/>
      <c r="CP487" s="7">
        <v>0</v>
      </c>
      <c r="CR487" s="25"/>
      <c r="CS487" s="25"/>
      <c r="CT487" s="25"/>
      <c r="CU487" s="25"/>
      <c r="CV487" s="25"/>
      <c r="CW487" s="25"/>
      <c r="DP487" s="32"/>
      <c r="DQ487" s="32"/>
      <c r="DR487" s="32"/>
      <c r="DS487" s="32"/>
      <c r="DT487" s="32"/>
      <c r="DU487" s="32"/>
      <c r="DV487" s="32"/>
      <c r="DW487" s="32"/>
      <c r="DX487" s="32"/>
      <c r="DY487" s="32"/>
      <c r="DZ487" s="32"/>
      <c r="EA487" s="25"/>
      <c r="EB487" s="50"/>
      <c r="EC487" s="16">
        <v>1203031</v>
      </c>
      <c r="ED487" s="16" t="s">
        <v>238</v>
      </c>
      <c r="EE487" s="16">
        <v>1</v>
      </c>
    </row>
    <row r="488" spans="11:135" ht="13.5" customHeight="1">
      <c r="K488" s="2"/>
      <c r="O488" s="25"/>
      <c r="AI488" s="28"/>
      <c r="AJ488" s="28"/>
      <c r="AK488" s="28"/>
      <c r="AL488" s="28"/>
      <c r="AM488" s="28"/>
      <c r="AN488" s="28"/>
      <c r="AO488" s="30"/>
      <c r="AP488" s="28"/>
      <c r="AS488" s="28"/>
      <c r="AT488" s="28"/>
      <c r="AU488" s="30"/>
      <c r="AV488" s="28"/>
      <c r="AW488" s="28"/>
      <c r="AX488" s="28"/>
      <c r="AZ488" s="28"/>
      <c r="BA488" s="16" t="e">
        <f t="shared" si="210"/>
        <v>#DIV/0!</v>
      </c>
      <c r="BC488" s="7" t="e">
        <f t="shared" si="206"/>
        <v>#N/A</v>
      </c>
      <c r="BR488" s="7">
        <v>2405025</v>
      </c>
      <c r="BS488" s="9">
        <f>[1]monsters!$N488</f>
        <v>99.84</v>
      </c>
      <c r="BT488" s="9">
        <f>[1]monsters!$O488</f>
        <v>9.98</v>
      </c>
      <c r="BU488" s="9">
        <f>[1]monsters!$P488</f>
        <v>960</v>
      </c>
      <c r="BV488" s="9">
        <f>[1]monsters!$Q488</f>
        <v>96</v>
      </c>
      <c r="BW488" s="9">
        <f>[1]monsters!$R488</f>
        <v>9.98</v>
      </c>
      <c r="BX488" s="9">
        <f>[1]monsters!$S488</f>
        <v>1</v>
      </c>
      <c r="BY488" s="9">
        <f>[1]monsters!$K488</f>
        <v>1.3</v>
      </c>
      <c r="BZ488" s="7">
        <f>[1]monsters!$D488</f>
        <v>4</v>
      </c>
      <c r="CA488" s="7">
        <f t="shared" si="207"/>
        <v>0.1</v>
      </c>
      <c r="CB488" s="7">
        <f t="shared" si="208"/>
        <v>126.67203232323233</v>
      </c>
      <c r="CC488" s="7">
        <f t="shared" si="209"/>
        <v>12.667203232323233</v>
      </c>
      <c r="CD488" s="7"/>
      <c r="CE488" s="7"/>
      <c r="CF488" s="7"/>
      <c r="CG488" s="7"/>
      <c r="CH488" s="7"/>
      <c r="CI488" s="7"/>
      <c r="CJ488" s="7"/>
      <c r="CK488" s="7"/>
      <c r="CL488" s="7"/>
      <c r="CM488" s="7"/>
      <c r="CN488" s="7"/>
      <c r="CO488" s="7"/>
      <c r="CP488" s="7">
        <v>1</v>
      </c>
      <c r="CR488" s="25"/>
      <c r="CS488" s="25"/>
      <c r="CT488" s="25"/>
      <c r="CU488" s="25"/>
      <c r="CV488" s="25"/>
      <c r="CW488" s="25"/>
      <c r="DP488" s="32"/>
      <c r="DQ488" s="32"/>
      <c r="DR488" s="32"/>
      <c r="DS488" s="32"/>
      <c r="DT488" s="32"/>
      <c r="DU488" s="32"/>
      <c r="DV488" s="32"/>
      <c r="DW488" s="32"/>
      <c r="DX488" s="32"/>
      <c r="DY488" s="32"/>
      <c r="DZ488" s="32"/>
      <c r="EA488" s="25"/>
      <c r="EB488" s="22"/>
      <c r="EC488" s="16">
        <v>1403031</v>
      </c>
      <c r="ED488" s="16" t="s">
        <v>239</v>
      </c>
      <c r="EE488" s="16">
        <v>2</v>
      </c>
    </row>
    <row r="489" spans="11:135" ht="13.5" customHeight="1">
      <c r="K489" s="2"/>
      <c r="L489" s="18"/>
      <c r="O489" s="25"/>
      <c r="AI489" s="28"/>
      <c r="AJ489" s="28"/>
      <c r="AK489" s="28"/>
      <c r="AL489" s="28"/>
      <c r="AM489" s="28"/>
      <c r="AN489" s="28"/>
      <c r="AO489" s="30"/>
      <c r="AP489" s="28"/>
      <c r="AS489" s="28"/>
      <c r="AT489" s="28"/>
      <c r="AU489" s="30"/>
      <c r="AV489" s="28"/>
      <c r="AW489" s="28"/>
      <c r="AX489" s="28"/>
      <c r="AZ489" s="28"/>
      <c r="BA489" s="16" t="e">
        <f t="shared" si="210"/>
        <v>#DIV/0!</v>
      </c>
      <c r="BC489" s="7" t="e">
        <f t="shared" si="206"/>
        <v>#N/A</v>
      </c>
      <c r="BR489" s="7">
        <v>2203025</v>
      </c>
      <c r="BS489" s="9">
        <f>[1]monsters!$N489</f>
        <v>103.68</v>
      </c>
      <c r="BT489" s="9">
        <f>[1]monsters!$O489</f>
        <v>10.37</v>
      </c>
      <c r="BU489" s="9">
        <f>[1]monsters!$P489</f>
        <v>1280</v>
      </c>
      <c r="BV489" s="9">
        <f>[1]monsters!$Q489</f>
        <v>128</v>
      </c>
      <c r="BW489" s="9">
        <f>[1]monsters!$R489</f>
        <v>20.74</v>
      </c>
      <c r="BX489" s="9">
        <f>[1]monsters!$S489</f>
        <v>2.0699999999999998</v>
      </c>
      <c r="BY489" s="9">
        <f>[1]monsters!$K489</f>
        <v>1.8</v>
      </c>
      <c r="BZ489" s="7">
        <f>[1]monsters!$D489</f>
        <v>2</v>
      </c>
      <c r="CA489" s="7">
        <f t="shared" si="207"/>
        <v>0.1</v>
      </c>
      <c r="CB489" s="7">
        <f t="shared" si="208"/>
        <v>141.07524309764312</v>
      </c>
      <c r="CC489" s="7">
        <f t="shared" si="209"/>
        <v>14.107524309764313</v>
      </c>
      <c r="CD489" s="7"/>
      <c r="CE489" s="7"/>
      <c r="CF489" s="7"/>
      <c r="CG489" s="7"/>
      <c r="CH489" s="7"/>
      <c r="CI489" s="7"/>
      <c r="CJ489" s="7"/>
      <c r="CK489" s="7"/>
      <c r="CL489" s="7"/>
      <c r="CM489" s="7"/>
      <c r="CN489" s="7"/>
      <c r="CO489" s="7"/>
      <c r="CP489" s="7">
        <v>0</v>
      </c>
      <c r="CR489" s="25"/>
      <c r="CS489" s="25"/>
      <c r="CT489" s="25"/>
      <c r="CU489" s="25"/>
      <c r="CV489" s="25"/>
      <c r="CW489" s="25"/>
      <c r="DP489" s="32"/>
      <c r="DQ489" s="32"/>
      <c r="DR489" s="32"/>
      <c r="DS489" s="32"/>
      <c r="DT489" s="32"/>
      <c r="DU489" s="32"/>
      <c r="DV489" s="32"/>
      <c r="DW489" s="32"/>
      <c r="DX489" s="32"/>
      <c r="DY489" s="32"/>
      <c r="DZ489" s="32"/>
      <c r="EA489" s="25"/>
      <c r="EB489" s="50"/>
      <c r="EC489" s="16">
        <v>1205031</v>
      </c>
      <c r="ED489" s="16" t="s">
        <v>240</v>
      </c>
      <c r="EE489" s="16">
        <v>1</v>
      </c>
    </row>
    <row r="490" spans="11:135" ht="13.5" customHeight="1">
      <c r="K490" s="2"/>
      <c r="L490" s="18"/>
      <c r="O490" s="25"/>
      <c r="AI490" s="28"/>
      <c r="AJ490" s="28"/>
      <c r="AK490" s="28"/>
      <c r="AL490" s="28"/>
      <c r="AM490" s="28"/>
      <c r="AN490" s="28"/>
      <c r="AO490" s="30"/>
      <c r="AP490" s="28"/>
      <c r="AS490" s="28"/>
      <c r="AT490" s="28"/>
      <c r="AU490" s="30"/>
      <c r="AV490" s="28"/>
      <c r="AW490" s="28"/>
      <c r="AX490" s="28"/>
      <c r="AZ490" s="28"/>
      <c r="BA490" s="16" t="e">
        <f t="shared" si="210"/>
        <v>#DIV/0!</v>
      </c>
      <c r="BC490" s="7" t="e">
        <f t="shared" si="206"/>
        <v>#N/A</v>
      </c>
      <c r="BR490" s="7">
        <v>2403025</v>
      </c>
      <c r="BS490" s="9">
        <f>[1]monsters!$N490</f>
        <v>120</v>
      </c>
      <c r="BT490" s="9">
        <f>[1]monsters!$O490</f>
        <v>12</v>
      </c>
      <c r="BU490" s="9">
        <f>[1]monsters!$P490</f>
        <v>921.6</v>
      </c>
      <c r="BV490" s="9">
        <f>[1]monsters!$Q490</f>
        <v>92.16</v>
      </c>
      <c r="BW490" s="9">
        <f>[1]monsters!$R490</f>
        <v>12</v>
      </c>
      <c r="BX490" s="9">
        <f>[1]monsters!$S490</f>
        <v>1.2</v>
      </c>
      <c r="BY490" s="9">
        <f>[1]monsters!$K490</f>
        <v>1.5</v>
      </c>
      <c r="BZ490" s="7">
        <f>[1]monsters!$D490</f>
        <v>4</v>
      </c>
      <c r="CA490" s="7">
        <f t="shared" si="207"/>
        <v>0.1</v>
      </c>
      <c r="CB490" s="7">
        <f t="shared" si="208"/>
        <v>144.43030303030304</v>
      </c>
      <c r="CC490" s="7">
        <f t="shared" si="209"/>
        <v>14.443030303030305</v>
      </c>
      <c r="CD490" s="7"/>
      <c r="CE490" s="7"/>
      <c r="CF490" s="7"/>
      <c r="CG490" s="7"/>
      <c r="CH490" s="7"/>
      <c r="CI490" s="7"/>
      <c r="CJ490" s="7"/>
      <c r="CK490" s="7"/>
      <c r="CL490" s="7"/>
      <c r="CM490" s="7"/>
      <c r="CN490" s="7"/>
      <c r="CO490" s="7"/>
      <c r="CP490" s="7">
        <v>0</v>
      </c>
      <c r="CR490" s="25"/>
      <c r="CS490" s="25"/>
      <c r="CT490" s="25"/>
      <c r="CU490" s="25"/>
      <c r="CV490" s="25"/>
      <c r="CW490" s="25"/>
      <c r="DP490" s="32"/>
      <c r="DQ490" s="32"/>
      <c r="DR490" s="32"/>
      <c r="DS490" s="32"/>
      <c r="DT490" s="32"/>
      <c r="DU490" s="32"/>
      <c r="DV490" s="32"/>
      <c r="DW490" s="32"/>
      <c r="DX490" s="32"/>
      <c r="DY490" s="32"/>
      <c r="DZ490" s="32"/>
      <c r="EA490" s="25"/>
      <c r="EB490" s="50"/>
      <c r="EC490" s="16">
        <v>1405031</v>
      </c>
      <c r="ED490" s="16" t="s">
        <v>241</v>
      </c>
      <c r="EE490" s="16">
        <v>2</v>
      </c>
    </row>
    <row r="491" spans="11:135" ht="13.5" customHeight="1">
      <c r="K491" s="2"/>
      <c r="L491" s="18"/>
      <c r="O491" s="25"/>
      <c r="AI491" s="28"/>
      <c r="AJ491" s="28"/>
      <c r="AK491" s="28"/>
      <c r="AL491" s="28"/>
      <c r="AM491" s="28"/>
      <c r="AN491" s="28"/>
      <c r="AO491" s="30"/>
      <c r="AP491" s="28"/>
      <c r="AS491" s="28"/>
      <c r="AT491" s="28"/>
      <c r="AU491" s="30"/>
      <c r="AV491" s="28"/>
      <c r="AW491" s="28"/>
      <c r="AX491" s="28"/>
      <c r="AZ491" s="28"/>
      <c r="BA491" s="16" t="e">
        <f t="shared" si="210"/>
        <v>#DIV/0!</v>
      </c>
      <c r="BC491" s="7" t="e">
        <f t="shared" si="206"/>
        <v>#N/A</v>
      </c>
      <c r="BR491" s="7">
        <v>2204025</v>
      </c>
      <c r="BS491" s="9">
        <f>[1]monsters!$N491</f>
        <v>91.52</v>
      </c>
      <c r="BT491" s="9">
        <f>[1]monsters!$O491</f>
        <v>9.15</v>
      </c>
      <c r="BU491" s="9">
        <f>[1]monsters!$P491</f>
        <v>1047.27</v>
      </c>
      <c r="BV491" s="9">
        <f>[1]monsters!$Q491</f>
        <v>104.73</v>
      </c>
      <c r="BW491" s="9">
        <f>[1]monsters!$R491</f>
        <v>11.44</v>
      </c>
      <c r="BX491" s="9">
        <f>[1]monsters!$S491</f>
        <v>1.1399999999999999</v>
      </c>
      <c r="BY491" s="9">
        <f>[1]monsters!$K491</f>
        <v>1.3</v>
      </c>
      <c r="BZ491" s="7">
        <f>[1]monsters!$D491</f>
        <v>3</v>
      </c>
      <c r="CA491" s="7">
        <f t="shared" si="207"/>
        <v>0.1</v>
      </c>
      <c r="CB491" s="7">
        <f t="shared" si="208"/>
        <v>121.74801616161616</v>
      </c>
      <c r="CC491" s="7">
        <f t="shared" si="209"/>
        <v>12.174801616161616</v>
      </c>
      <c r="CD491" s="7"/>
      <c r="CE491" s="7"/>
      <c r="CF491" s="7"/>
      <c r="CG491" s="7"/>
      <c r="CH491" s="7"/>
      <c r="CI491" s="7"/>
      <c r="CJ491" s="7"/>
      <c r="CK491" s="7"/>
      <c r="CL491" s="7"/>
      <c r="CM491" s="7"/>
      <c r="CN491" s="7"/>
      <c r="CO491" s="7"/>
      <c r="CP491" s="7">
        <v>0</v>
      </c>
      <c r="CR491" s="25"/>
      <c r="CS491" s="25"/>
      <c r="CT491" s="25"/>
      <c r="CU491" s="25"/>
      <c r="CV491" s="25"/>
      <c r="CW491" s="25"/>
      <c r="DP491" s="32"/>
      <c r="DQ491" s="32"/>
      <c r="DR491" s="32"/>
      <c r="DS491" s="32"/>
      <c r="DT491" s="32"/>
      <c r="DU491" s="32"/>
      <c r="DV491" s="32"/>
      <c r="DW491" s="32"/>
      <c r="DX491" s="32"/>
      <c r="DY491" s="32"/>
      <c r="DZ491" s="32"/>
      <c r="EA491" s="25"/>
      <c r="EB491" s="50"/>
      <c r="EC491" s="16">
        <v>1303031</v>
      </c>
      <c r="ED491" s="16" t="s">
        <v>242</v>
      </c>
      <c r="EE491" s="16">
        <v>1</v>
      </c>
    </row>
    <row r="492" spans="11:135" ht="13.5" customHeight="1">
      <c r="K492" s="2"/>
      <c r="L492" s="18"/>
      <c r="O492" s="25"/>
      <c r="AI492" s="28"/>
      <c r="AJ492" s="28"/>
      <c r="AK492" s="28"/>
      <c r="AL492" s="28"/>
      <c r="AM492" s="28"/>
      <c r="AN492" s="28"/>
      <c r="AO492" s="30"/>
      <c r="AP492" s="28"/>
      <c r="AS492" s="28"/>
      <c r="AT492" s="28"/>
      <c r="AU492" s="30"/>
      <c r="AV492" s="28"/>
      <c r="AW492" s="28"/>
      <c r="AX492" s="28"/>
      <c r="AZ492" s="28"/>
      <c r="BA492" s="16" t="e">
        <f t="shared" si="210"/>
        <v>#DIV/0!</v>
      </c>
      <c r="BC492" s="7" t="e">
        <f t="shared" si="206"/>
        <v>#N/A</v>
      </c>
      <c r="BR492" s="7">
        <v>2404025</v>
      </c>
      <c r="BS492" s="9">
        <f>[1]monsters!$N492</f>
        <v>126.72</v>
      </c>
      <c r="BT492" s="9">
        <f>[1]monsters!$O492</f>
        <v>12.67</v>
      </c>
      <c r="BU492" s="9">
        <f>[1]monsters!$P492</f>
        <v>1047.27</v>
      </c>
      <c r="BV492" s="9">
        <f>[1]monsters!$Q492</f>
        <v>104.73</v>
      </c>
      <c r="BW492" s="9">
        <f>[1]monsters!$R492</f>
        <v>21.12</v>
      </c>
      <c r="BX492" s="9">
        <f>[1]monsters!$S492</f>
        <v>2.11</v>
      </c>
      <c r="BY492" s="9">
        <f>[1]monsters!$K492</f>
        <v>1.8</v>
      </c>
      <c r="BZ492" s="7">
        <f>[1]monsters!$D492</f>
        <v>5</v>
      </c>
      <c r="CA492" s="7">
        <f t="shared" si="207"/>
        <v>0.1</v>
      </c>
      <c r="CB492" s="7">
        <f t="shared" si="208"/>
        <v>155.01201616161617</v>
      </c>
      <c r="CC492" s="7">
        <f t="shared" si="209"/>
        <v>15.501201616161618</v>
      </c>
      <c r="CD492" s="7"/>
      <c r="CE492" s="7"/>
      <c r="CF492" s="7"/>
      <c r="CG492" s="7"/>
      <c r="CH492" s="7"/>
      <c r="CI492" s="7"/>
      <c r="CJ492" s="7"/>
      <c r="CK492" s="7"/>
      <c r="CL492" s="7"/>
      <c r="CM492" s="7"/>
      <c r="CN492" s="7"/>
      <c r="CO492" s="7"/>
      <c r="CP492" s="7">
        <v>0</v>
      </c>
      <c r="CR492" s="25"/>
      <c r="CS492" s="25"/>
      <c r="CT492" s="25"/>
      <c r="CU492" s="25"/>
      <c r="CV492" s="25"/>
      <c r="CW492" s="25"/>
      <c r="DP492" s="32"/>
      <c r="DQ492" s="32"/>
      <c r="DR492" s="32"/>
      <c r="DS492" s="32"/>
      <c r="DT492" s="32"/>
      <c r="DU492" s="32"/>
      <c r="DV492" s="32"/>
      <c r="DW492" s="32"/>
      <c r="DX492" s="32"/>
      <c r="DY492" s="32"/>
      <c r="DZ492" s="32"/>
      <c r="EA492" s="25"/>
      <c r="EB492" s="22"/>
      <c r="EC492" s="16">
        <v>1504031</v>
      </c>
      <c r="ED492" s="16" t="s">
        <v>243</v>
      </c>
      <c r="EE492" s="16">
        <v>1</v>
      </c>
    </row>
    <row r="493" spans="11:135" ht="13.5" customHeight="1">
      <c r="K493" s="2"/>
      <c r="O493" s="25"/>
      <c r="AI493" s="28"/>
      <c r="AJ493" s="28"/>
      <c r="AK493" s="28"/>
      <c r="AL493" s="28"/>
      <c r="AM493" s="28"/>
      <c r="AN493" s="28"/>
      <c r="AO493" s="30"/>
      <c r="AP493" s="28"/>
      <c r="AS493" s="28"/>
      <c r="AT493" s="28"/>
      <c r="AU493" s="30"/>
      <c r="AV493" s="28"/>
      <c r="AW493" s="28"/>
      <c r="AX493" s="28"/>
      <c r="AZ493" s="28"/>
      <c r="BA493" s="16" t="e">
        <f t="shared" si="210"/>
        <v>#DIV/0!</v>
      </c>
      <c r="BC493" s="7" t="e">
        <f t="shared" si="206"/>
        <v>#N/A</v>
      </c>
      <c r="BR493" s="7">
        <v>2303025</v>
      </c>
      <c r="BS493" s="9">
        <f>[1]monsters!$N493</f>
        <v>92.16</v>
      </c>
      <c r="BT493" s="9">
        <f>[1]monsters!$O493</f>
        <v>9.2200000000000006</v>
      </c>
      <c r="BU493" s="9">
        <f>[1]monsters!$P493</f>
        <v>1280</v>
      </c>
      <c r="BV493" s="9">
        <f>[1]monsters!$Q493</f>
        <v>128</v>
      </c>
      <c r="BW493" s="9">
        <f>[1]monsters!$R493</f>
        <v>18.43</v>
      </c>
      <c r="BX493" s="9">
        <f>[1]monsters!$S493</f>
        <v>1.84</v>
      </c>
      <c r="BY493" s="9">
        <f>[1]monsters!$K493</f>
        <v>1.6</v>
      </c>
      <c r="BZ493" s="7">
        <f>[1]monsters!$D493</f>
        <v>2</v>
      </c>
      <c r="CA493" s="7">
        <f t="shared" si="207"/>
        <v>0.1</v>
      </c>
      <c r="CB493" s="7">
        <f t="shared" si="208"/>
        <v>130.18884309764309</v>
      </c>
      <c r="CC493" s="7">
        <f t="shared" si="209"/>
        <v>13.01888430976431</v>
      </c>
      <c r="CD493" s="7"/>
      <c r="CE493" s="7"/>
      <c r="CF493" s="7"/>
      <c r="CG493" s="7"/>
      <c r="CH493" s="7"/>
      <c r="CI493" s="7"/>
      <c r="CJ493" s="7"/>
      <c r="CK493" s="7"/>
      <c r="CL493" s="7"/>
      <c r="CM493" s="7"/>
      <c r="CN493" s="7"/>
      <c r="CO493" s="7"/>
      <c r="CP493" s="7">
        <v>1</v>
      </c>
      <c r="CR493" s="25"/>
      <c r="CS493" s="25"/>
      <c r="CT493" s="25"/>
      <c r="CU493" s="25"/>
      <c r="CV493" s="25"/>
      <c r="CW493" s="25"/>
      <c r="DP493" s="32"/>
      <c r="DQ493" s="32"/>
      <c r="DR493" s="32"/>
      <c r="DS493" s="32"/>
      <c r="DT493" s="32"/>
      <c r="DU493" s="32"/>
      <c r="DV493" s="32"/>
      <c r="DW493" s="32"/>
      <c r="DX493" s="32"/>
      <c r="DY493" s="32"/>
      <c r="DZ493" s="32"/>
      <c r="EA493" s="25"/>
      <c r="EB493" s="50"/>
      <c r="EC493" s="16">
        <v>1206031</v>
      </c>
      <c r="ED493" s="16" t="s">
        <v>244</v>
      </c>
      <c r="EE493" s="16">
        <v>1</v>
      </c>
    </row>
    <row r="494" spans="11:135" ht="13.5" customHeight="1">
      <c r="K494" s="2"/>
      <c r="L494" s="18"/>
      <c r="O494" s="25"/>
      <c r="AI494" s="28"/>
      <c r="AJ494" s="28"/>
      <c r="AK494" s="28"/>
      <c r="AL494" s="28"/>
      <c r="AM494" s="28"/>
      <c r="AN494" s="28"/>
      <c r="AO494" s="30"/>
      <c r="AP494" s="28"/>
      <c r="AS494" s="28"/>
      <c r="AT494" s="28"/>
      <c r="AU494" s="30"/>
      <c r="AV494" s="28"/>
      <c r="AW494" s="28"/>
      <c r="AX494" s="28"/>
      <c r="AZ494" s="28"/>
      <c r="BA494" s="16" t="e">
        <f t="shared" si="210"/>
        <v>#DIV/0!</v>
      </c>
      <c r="BC494" s="7" t="e">
        <f t="shared" si="206"/>
        <v>#N/A</v>
      </c>
      <c r="BR494" s="7">
        <v>2304025</v>
      </c>
      <c r="BS494" s="9">
        <f>[1]monsters!$N494</f>
        <v>116.48</v>
      </c>
      <c r="BT494" s="9">
        <f>[1]monsters!$O494</f>
        <v>11.65</v>
      </c>
      <c r="BU494" s="9">
        <f>[1]monsters!$P494</f>
        <v>886.15</v>
      </c>
      <c r="BV494" s="9">
        <f>[1]monsters!$Q494</f>
        <v>88.62</v>
      </c>
      <c r="BW494" s="9">
        <f>[1]monsters!$R494</f>
        <v>11.65</v>
      </c>
      <c r="BX494" s="9">
        <f>[1]monsters!$S494</f>
        <v>1.1599999999999999</v>
      </c>
      <c r="BY494" s="9">
        <f>[1]monsters!$K494</f>
        <v>1.4000000000000001</v>
      </c>
      <c r="BZ494" s="7">
        <f>[1]monsters!$D494</f>
        <v>4</v>
      </c>
      <c r="CA494" s="7">
        <f t="shared" si="207"/>
        <v>0.1</v>
      </c>
      <c r="CB494" s="7">
        <f t="shared" si="208"/>
        <v>139.91030033670035</v>
      </c>
      <c r="CC494" s="7">
        <f t="shared" si="209"/>
        <v>13.991030033670036</v>
      </c>
      <c r="CD494" s="7"/>
      <c r="CE494" s="7"/>
      <c r="CF494" s="7"/>
      <c r="CG494" s="7"/>
      <c r="CH494" s="7"/>
      <c r="CI494" s="7"/>
      <c r="CJ494" s="7"/>
      <c r="CK494" s="7"/>
      <c r="CL494" s="7"/>
      <c r="CM494" s="7"/>
      <c r="CN494" s="7"/>
      <c r="CO494" s="7"/>
      <c r="CP494" s="7">
        <v>0</v>
      </c>
      <c r="CR494" s="25"/>
      <c r="CS494" s="25"/>
      <c r="CT494" s="25"/>
      <c r="CU494" s="25"/>
      <c r="CV494" s="25"/>
      <c r="CW494" s="25"/>
      <c r="DP494" s="32"/>
      <c r="DQ494" s="32"/>
      <c r="DR494" s="32"/>
      <c r="DS494" s="32"/>
      <c r="DT494" s="32"/>
      <c r="DU494" s="32"/>
      <c r="DV494" s="32"/>
      <c r="DW494" s="32"/>
      <c r="DX494" s="32"/>
      <c r="DY494" s="32"/>
      <c r="DZ494" s="32"/>
      <c r="EA494" s="25"/>
      <c r="EB494" s="50"/>
      <c r="EC494" s="16">
        <v>1406031</v>
      </c>
      <c r="ED494" s="16" t="s">
        <v>245</v>
      </c>
      <c r="EE494" s="16">
        <v>2</v>
      </c>
    </row>
    <row r="495" spans="11:135" ht="13.5" customHeight="1">
      <c r="K495" s="2"/>
      <c r="L495" s="18"/>
      <c r="O495" s="25"/>
      <c r="AI495" s="28"/>
      <c r="AJ495" s="28"/>
      <c r="AK495" s="28"/>
      <c r="AL495" s="28"/>
      <c r="AM495" s="28"/>
      <c r="AN495" s="28"/>
      <c r="AO495" s="30"/>
      <c r="AP495" s="28"/>
      <c r="AS495" s="28"/>
      <c r="AT495" s="28"/>
      <c r="AU495" s="30"/>
      <c r="AV495" s="28"/>
      <c r="AW495" s="28"/>
      <c r="AX495" s="28"/>
      <c r="AZ495" s="28"/>
      <c r="BA495" s="16" t="e">
        <f t="shared" si="210"/>
        <v>#DIV/0!</v>
      </c>
      <c r="BC495" s="7" t="e">
        <f t="shared" si="206"/>
        <v>#N/A</v>
      </c>
      <c r="BR495" s="7">
        <v>2503025</v>
      </c>
      <c r="BS495" s="9">
        <f>[1]monsters!$N495</f>
        <v>80.64</v>
      </c>
      <c r="BT495" s="9">
        <f>[1]monsters!$O495</f>
        <v>8.06</v>
      </c>
      <c r="BU495" s="9">
        <f>[1]monsters!$P495</f>
        <v>1280</v>
      </c>
      <c r="BV495" s="9">
        <f>[1]monsters!$Q495</f>
        <v>128</v>
      </c>
      <c r="BW495" s="9">
        <f>[1]monsters!$R495</f>
        <v>16.13</v>
      </c>
      <c r="BX495" s="9">
        <f>[1]monsters!$S495</f>
        <v>1.61</v>
      </c>
      <c r="BY495" s="9">
        <f>[1]monsters!$K495</f>
        <v>1.4000000000000001</v>
      </c>
      <c r="BZ495" s="7">
        <f>[1]monsters!$D495</f>
        <v>2</v>
      </c>
      <c r="CA495" s="7">
        <f t="shared" si="207"/>
        <v>0.1</v>
      </c>
      <c r="CB495" s="7">
        <f t="shared" si="208"/>
        <v>119.30244309764311</v>
      </c>
      <c r="CC495" s="7">
        <f t="shared" si="209"/>
        <v>11.930244309764312</v>
      </c>
      <c r="CD495" s="7"/>
      <c r="CE495" s="7"/>
      <c r="CF495" s="7"/>
      <c r="CG495" s="7"/>
      <c r="CH495" s="7"/>
      <c r="CI495" s="7"/>
      <c r="CJ495" s="7"/>
      <c r="CK495" s="7"/>
      <c r="CL495" s="7"/>
      <c r="CM495" s="7"/>
      <c r="CN495" s="7"/>
      <c r="CO495" s="7"/>
      <c r="CP495" s="7">
        <v>0</v>
      </c>
      <c r="CR495" s="25"/>
      <c r="CS495" s="25"/>
      <c r="CT495" s="25"/>
      <c r="CU495" s="25"/>
      <c r="CV495" s="25"/>
      <c r="CW495" s="25"/>
      <c r="DP495" s="25"/>
      <c r="DQ495" s="25"/>
      <c r="DR495" s="25"/>
      <c r="DS495" s="25"/>
      <c r="DT495" s="25"/>
      <c r="DU495" s="25"/>
      <c r="DV495" s="25"/>
      <c r="DW495" s="25"/>
      <c r="DX495" s="25"/>
      <c r="DY495" s="25"/>
      <c r="DZ495" s="25"/>
      <c r="EA495" s="25"/>
      <c r="EB495" s="22"/>
      <c r="EC495" s="16">
        <v>1204031</v>
      </c>
      <c r="ED495" s="16" t="s">
        <v>246</v>
      </c>
      <c r="EE495" s="16">
        <v>1</v>
      </c>
    </row>
    <row r="496" spans="11:135" ht="13.5" customHeight="1">
      <c r="K496" s="2"/>
      <c r="L496" s="18"/>
      <c r="O496" s="25"/>
      <c r="AI496" s="28"/>
      <c r="AJ496" s="28"/>
      <c r="AK496" s="28"/>
      <c r="AL496" s="28"/>
      <c r="AM496" s="28"/>
      <c r="AN496" s="28"/>
      <c r="AO496" s="30"/>
      <c r="AP496" s="28"/>
      <c r="AS496" s="28"/>
      <c r="AT496" s="28"/>
      <c r="AU496" s="30"/>
      <c r="AV496" s="28"/>
      <c r="AW496" s="28"/>
      <c r="AX496" s="28"/>
      <c r="AZ496" s="28"/>
      <c r="BA496" s="16" t="e">
        <f t="shared" si="210"/>
        <v>#DIV/0!</v>
      </c>
      <c r="BC496" s="7" t="e">
        <f t="shared" si="206"/>
        <v>#N/A</v>
      </c>
      <c r="BR496" s="7">
        <v>2504025</v>
      </c>
      <c r="BS496" s="9">
        <f>[1]monsters!$N496</f>
        <v>133.12</v>
      </c>
      <c r="BT496" s="9">
        <f>[1]monsters!$O496</f>
        <v>13.31</v>
      </c>
      <c r="BU496" s="9">
        <f>[1]monsters!$P496</f>
        <v>886.15</v>
      </c>
      <c r="BV496" s="9">
        <f>[1]monsters!$Q496</f>
        <v>88.62</v>
      </c>
      <c r="BW496" s="9">
        <f>[1]monsters!$R496</f>
        <v>13.31</v>
      </c>
      <c r="BX496" s="9">
        <f>[1]monsters!$S496</f>
        <v>1.33</v>
      </c>
      <c r="BY496" s="9">
        <f>[1]monsters!$K496</f>
        <v>1.6</v>
      </c>
      <c r="BZ496" s="7">
        <f>[1]monsters!$D496</f>
        <v>4</v>
      </c>
      <c r="CA496" s="7">
        <f t="shared" si="207"/>
        <v>0.1</v>
      </c>
      <c r="CB496" s="7">
        <f t="shared" si="208"/>
        <v>155.63510033670036</v>
      </c>
      <c r="CC496" s="7">
        <f t="shared" si="209"/>
        <v>15.563510033670036</v>
      </c>
      <c r="CD496" s="7"/>
      <c r="CE496" s="7"/>
      <c r="CF496" s="7"/>
      <c r="CG496" s="7"/>
      <c r="CH496" s="7"/>
      <c r="CI496" s="7"/>
      <c r="CJ496" s="7"/>
      <c r="CK496" s="7"/>
      <c r="CL496" s="7"/>
      <c r="CM496" s="7"/>
      <c r="CN496" s="7"/>
      <c r="CO496" s="7"/>
      <c r="CP496" s="7">
        <v>0</v>
      </c>
      <c r="CR496" s="25"/>
      <c r="CS496" s="25"/>
      <c r="CT496" s="25"/>
      <c r="CU496" s="25"/>
      <c r="CV496" s="25"/>
      <c r="CW496" s="25"/>
      <c r="DP496" s="25"/>
      <c r="DQ496" s="25"/>
      <c r="DR496" s="25"/>
      <c r="DS496" s="32"/>
      <c r="DT496" s="32"/>
      <c r="DU496" s="32"/>
      <c r="DV496" s="32"/>
      <c r="DW496" s="32"/>
      <c r="DX496" s="32"/>
      <c r="DY496" s="32"/>
      <c r="DZ496" s="32"/>
      <c r="EA496" s="25"/>
      <c r="EB496" s="50"/>
      <c r="EC496" s="16">
        <v>1404031</v>
      </c>
      <c r="ED496" s="16" t="s">
        <v>247</v>
      </c>
      <c r="EE496" s="16">
        <v>2</v>
      </c>
    </row>
    <row r="497" spans="11:135" ht="13.5" customHeight="1">
      <c r="K497" s="2"/>
      <c r="L497" s="18"/>
      <c r="O497" s="25"/>
      <c r="AI497" s="28"/>
      <c r="AJ497" s="28"/>
      <c r="AK497" s="28"/>
      <c r="AL497" s="28"/>
      <c r="AM497" s="28"/>
      <c r="AN497" s="28"/>
      <c r="AO497" s="30"/>
      <c r="AP497" s="28"/>
      <c r="AS497" s="28"/>
      <c r="AT497" s="28"/>
      <c r="AU497" s="30"/>
      <c r="AV497" s="28"/>
      <c r="AW497" s="28"/>
      <c r="AX497" s="28"/>
      <c r="AZ497" s="28"/>
      <c r="BA497" s="16" t="e">
        <f t="shared" si="210"/>
        <v>#DIV/0!</v>
      </c>
      <c r="BC497" s="7" t="e">
        <f t="shared" si="206"/>
        <v>#N/A</v>
      </c>
      <c r="BR497" s="7">
        <v>2101025</v>
      </c>
      <c r="BS497" s="9">
        <f>[1]monsters!$N497</f>
        <v>122.88</v>
      </c>
      <c r="BT497" s="9">
        <f>[1]monsters!$O497</f>
        <v>12.29</v>
      </c>
      <c r="BU497" s="9">
        <f>[1]monsters!$P497</f>
        <v>960</v>
      </c>
      <c r="BV497" s="9">
        <f>[1]monsters!$Q497</f>
        <v>96</v>
      </c>
      <c r="BW497" s="9">
        <f>[1]monsters!$R497</f>
        <v>20.48</v>
      </c>
      <c r="BX497" s="9">
        <f>[1]monsters!$S497</f>
        <v>2.0499999999999998</v>
      </c>
      <c r="BY497" s="9">
        <f>[1]monsters!$K497</f>
        <v>1.6</v>
      </c>
      <c r="BZ497" s="7">
        <f>[1]monsters!$D497</f>
        <v>5</v>
      </c>
      <c r="CA497" s="7">
        <f t="shared" si="207"/>
        <v>0.1</v>
      </c>
      <c r="CB497" s="7">
        <f t="shared" si="208"/>
        <v>148.44483232323233</v>
      </c>
      <c r="CC497" s="7">
        <f t="shared" si="209"/>
        <v>14.844483232323235</v>
      </c>
      <c r="CD497" s="7"/>
      <c r="CE497" s="7"/>
      <c r="CF497" s="7"/>
      <c r="CG497" s="7"/>
      <c r="CH497" s="7"/>
      <c r="CI497" s="7"/>
      <c r="CJ497" s="7"/>
      <c r="CK497" s="7"/>
      <c r="CL497" s="7"/>
      <c r="CM497" s="7"/>
      <c r="CN497" s="7"/>
      <c r="CO497" s="7"/>
      <c r="CP497" s="7">
        <v>0</v>
      </c>
      <c r="CR497" s="25"/>
      <c r="CS497" s="25"/>
      <c r="CT497" s="25"/>
      <c r="CU497" s="25"/>
      <c r="CV497" s="25"/>
      <c r="CW497" s="25"/>
      <c r="DP497" s="25"/>
      <c r="DQ497" s="25"/>
      <c r="DR497" s="25"/>
      <c r="DS497" s="25"/>
      <c r="DT497" s="25"/>
      <c r="DU497" s="25"/>
      <c r="DV497" s="25"/>
      <c r="DW497" s="25"/>
      <c r="DX497" s="25"/>
      <c r="DY497" s="25"/>
      <c r="DZ497" s="25"/>
      <c r="EA497" s="25"/>
      <c r="EB497" s="50"/>
      <c r="EC497" s="16">
        <v>1503031</v>
      </c>
      <c r="ED497" s="16" t="s">
        <v>248</v>
      </c>
      <c r="EE497" s="16">
        <v>1</v>
      </c>
    </row>
    <row r="498" spans="11:135" ht="13.5" customHeight="1">
      <c r="K498" s="2"/>
      <c r="O498" s="25"/>
      <c r="AI498" s="28"/>
      <c r="AJ498" s="28"/>
      <c r="AK498" s="28"/>
      <c r="AL498" s="28"/>
      <c r="AM498" s="28"/>
      <c r="AN498" s="28"/>
      <c r="AO498" s="30"/>
      <c r="AP498" s="28"/>
      <c r="AS498" s="28"/>
      <c r="AT498" s="28"/>
      <c r="AU498" s="30"/>
      <c r="AV498" s="28"/>
      <c r="AW498" s="28"/>
      <c r="AX498" s="28"/>
      <c r="AZ498" s="28"/>
      <c r="BA498" s="16" t="e">
        <f t="shared" si="210"/>
        <v>#DIV/0!</v>
      </c>
      <c r="BC498" s="7" t="e">
        <f t="shared" si="206"/>
        <v>#N/A</v>
      </c>
      <c r="BR498" s="7">
        <v>2102025</v>
      </c>
      <c r="BS498" s="9">
        <f>[1]monsters!$N498</f>
        <v>103.04</v>
      </c>
      <c r="BT498" s="9">
        <f>[1]monsters!$O498</f>
        <v>10.3</v>
      </c>
      <c r="BU498" s="9">
        <f>[1]monsters!$P498</f>
        <v>1001.74</v>
      </c>
      <c r="BV498" s="9">
        <f>[1]monsters!$Q498</f>
        <v>100.17</v>
      </c>
      <c r="BW498" s="9">
        <f>[1]monsters!$R498</f>
        <v>12.88</v>
      </c>
      <c r="BX498" s="9">
        <f>[1]monsters!$S498</f>
        <v>1.29</v>
      </c>
      <c r="BY498" s="9">
        <f>[1]monsters!$K498</f>
        <v>1.4000000000000001</v>
      </c>
      <c r="BZ498" s="7">
        <f>[1]monsters!$D498</f>
        <v>3</v>
      </c>
      <c r="CA498" s="7">
        <f t="shared" si="207"/>
        <v>0.1</v>
      </c>
      <c r="CB498" s="7">
        <f t="shared" si="208"/>
        <v>131.10141952861954</v>
      </c>
      <c r="CC498" s="7">
        <f t="shared" si="209"/>
        <v>13.110141952861955</v>
      </c>
      <c r="CD498" s="7"/>
      <c r="CE498" s="7"/>
      <c r="CF498" s="7"/>
      <c r="CG498" s="7"/>
      <c r="CH498" s="7"/>
      <c r="CI498" s="7"/>
      <c r="CJ498" s="7"/>
      <c r="CK498" s="7"/>
      <c r="CL498" s="7"/>
      <c r="CM498" s="7"/>
      <c r="CN498" s="7"/>
      <c r="CO498" s="7"/>
      <c r="CP498" s="7">
        <v>1</v>
      </c>
      <c r="CR498" s="25"/>
      <c r="CS498" s="25"/>
      <c r="CT498" s="25"/>
      <c r="CU498" s="25"/>
      <c r="CV498" s="25"/>
      <c r="CW498" s="25"/>
      <c r="DP498" s="25"/>
      <c r="DQ498" s="25"/>
      <c r="DR498" s="25"/>
      <c r="DS498" s="25"/>
      <c r="DT498" s="25"/>
      <c r="DU498" s="25"/>
      <c r="DV498" s="25"/>
      <c r="DW498" s="25"/>
      <c r="DX498" s="25"/>
      <c r="DY498" s="25"/>
      <c r="DZ498" s="25"/>
      <c r="EA498" s="25"/>
      <c r="EB498" s="50"/>
      <c r="EC498" s="16">
        <v>1304031</v>
      </c>
      <c r="ED498" s="16" t="s">
        <v>249</v>
      </c>
      <c r="EE498" s="16">
        <v>1</v>
      </c>
    </row>
    <row r="499" spans="11:135" ht="13.5" customHeight="1">
      <c r="K499" s="2"/>
      <c r="L499" s="18"/>
      <c r="O499" s="25"/>
      <c r="AI499" s="28"/>
      <c r="AJ499" s="28"/>
      <c r="AK499" s="28"/>
      <c r="AL499" s="28"/>
      <c r="AM499" s="28"/>
      <c r="AN499" s="28"/>
      <c r="AO499" s="30"/>
      <c r="AP499" s="28"/>
      <c r="AS499" s="28"/>
      <c r="AT499" s="28"/>
      <c r="AU499" s="30"/>
      <c r="AV499" s="28"/>
      <c r="AW499" s="28"/>
      <c r="AX499" s="28"/>
      <c r="AZ499" s="28"/>
      <c r="BA499" s="16" t="e">
        <f t="shared" si="210"/>
        <v>#DIV/0!</v>
      </c>
      <c r="BC499" s="7" t="e">
        <f t="shared" si="206"/>
        <v>#N/A</v>
      </c>
      <c r="BR499" s="7">
        <v>3206031</v>
      </c>
      <c r="BS499" s="9">
        <f>[1]monsters!$N499</f>
        <v>74.88</v>
      </c>
      <c r="BT499" s="9">
        <f>[1]monsters!$O499</f>
        <v>7.49</v>
      </c>
      <c r="BU499" s="9">
        <f>[1]monsters!$P499</f>
        <v>1280</v>
      </c>
      <c r="BV499" s="9">
        <f>[1]monsters!$Q499</f>
        <v>128</v>
      </c>
      <c r="BW499" s="9">
        <f>[1]monsters!$R499</f>
        <v>14.98</v>
      </c>
      <c r="BX499" s="9">
        <f>[1]monsters!$S499</f>
        <v>1.5</v>
      </c>
      <c r="BY499" s="9">
        <f>[1]monsters!$K499</f>
        <v>1.3</v>
      </c>
      <c r="BZ499" s="7">
        <f>[1]monsters!$D499</f>
        <v>2</v>
      </c>
      <c r="CA499" s="7">
        <f t="shared" si="207"/>
        <v>0.1</v>
      </c>
      <c r="CB499" s="7">
        <f t="shared" si="208"/>
        <v>113.8592430976431</v>
      </c>
      <c r="CC499" s="7">
        <f t="shared" si="209"/>
        <v>11.385924309764311</v>
      </c>
      <c r="CD499" s="7"/>
      <c r="CE499" s="7"/>
      <c r="CF499" s="7"/>
      <c r="CG499" s="7"/>
      <c r="CH499" s="7"/>
      <c r="CI499" s="7"/>
      <c r="CJ499" s="7"/>
      <c r="CK499" s="7"/>
      <c r="CL499" s="7"/>
      <c r="CM499" s="7"/>
      <c r="CN499" s="7"/>
      <c r="CO499" s="7"/>
      <c r="CP499" s="7">
        <v>0</v>
      </c>
      <c r="CR499" s="25"/>
      <c r="CS499" s="25"/>
      <c r="CT499" s="25"/>
      <c r="CU499" s="25"/>
      <c r="CV499" s="25"/>
      <c r="CW499" s="25"/>
      <c r="DP499" s="25"/>
      <c r="DQ499" s="25"/>
      <c r="DR499" s="25"/>
      <c r="DS499" s="25"/>
      <c r="DT499" s="25"/>
      <c r="DU499" s="25"/>
      <c r="DV499" s="25"/>
      <c r="DW499" s="25"/>
      <c r="DX499" s="25"/>
      <c r="DY499" s="25"/>
      <c r="DZ499" s="25"/>
      <c r="EA499" s="25"/>
      <c r="EB499" s="47"/>
      <c r="EC499" s="16">
        <v>1203032</v>
      </c>
      <c r="ED499" s="16" t="s">
        <v>250</v>
      </c>
      <c r="EE499" s="16">
        <v>1</v>
      </c>
    </row>
    <row r="500" spans="11:135" ht="13.5" customHeight="1">
      <c r="K500" s="2"/>
      <c r="L500" s="18"/>
      <c r="O500" s="25"/>
      <c r="AI500" s="28"/>
      <c r="AJ500" s="28"/>
      <c r="AK500" s="28"/>
      <c r="AL500" s="28"/>
      <c r="AM500" s="28"/>
      <c r="AN500" s="28"/>
      <c r="AO500" s="30"/>
      <c r="AP500" s="28"/>
      <c r="AS500" s="28"/>
      <c r="AT500" s="28"/>
      <c r="AU500" s="30"/>
      <c r="AV500" s="28"/>
      <c r="AW500" s="28"/>
      <c r="AX500" s="28"/>
      <c r="AZ500" s="28"/>
      <c r="BA500" s="16" t="e">
        <f t="shared" si="210"/>
        <v>#DIV/0!</v>
      </c>
      <c r="BC500" s="7" t="e">
        <f t="shared" si="206"/>
        <v>#N/A</v>
      </c>
      <c r="BR500" s="7">
        <v>3406031</v>
      </c>
      <c r="BS500" s="9">
        <f>[1]monsters!$N500</f>
        <v>99.84</v>
      </c>
      <c r="BT500" s="9">
        <f>[1]monsters!$O500</f>
        <v>9.98</v>
      </c>
      <c r="BU500" s="9">
        <f>[1]monsters!$P500</f>
        <v>960</v>
      </c>
      <c r="BV500" s="9">
        <f>[1]monsters!$Q500</f>
        <v>96</v>
      </c>
      <c r="BW500" s="9">
        <f>[1]monsters!$R500</f>
        <v>9.98</v>
      </c>
      <c r="BX500" s="9">
        <f>[1]monsters!$S500</f>
        <v>1</v>
      </c>
      <c r="BY500" s="9">
        <f>[1]monsters!$K500</f>
        <v>1.3</v>
      </c>
      <c r="BZ500" s="7">
        <f>[1]monsters!$D500</f>
        <v>4</v>
      </c>
      <c r="CA500" s="7">
        <f t="shared" si="207"/>
        <v>0.1</v>
      </c>
      <c r="CB500" s="7">
        <f t="shared" si="208"/>
        <v>126.67203232323233</v>
      </c>
      <c r="CC500" s="7">
        <f t="shared" si="209"/>
        <v>12.667203232323233</v>
      </c>
      <c r="CD500" s="7"/>
      <c r="CE500" s="7"/>
      <c r="CF500" s="7"/>
      <c r="CG500" s="7"/>
      <c r="CH500" s="7"/>
      <c r="CI500" s="7"/>
      <c r="CJ500" s="7"/>
      <c r="CK500" s="7"/>
      <c r="CL500" s="7"/>
      <c r="CM500" s="7"/>
      <c r="CN500" s="7"/>
      <c r="CO500" s="7"/>
      <c r="CP500" s="7">
        <v>0</v>
      </c>
      <c r="CR500" s="25"/>
      <c r="CS500" s="25"/>
      <c r="CT500" s="25"/>
      <c r="CU500" s="25"/>
      <c r="CV500" s="25"/>
      <c r="CW500" s="25"/>
      <c r="DP500" s="32"/>
      <c r="DQ500" s="32"/>
      <c r="DR500" s="32"/>
      <c r="DS500" s="32"/>
      <c r="DT500" s="32"/>
      <c r="DU500" s="32"/>
      <c r="DV500" s="32"/>
      <c r="DW500" s="32"/>
      <c r="DX500" s="32"/>
      <c r="DY500" s="32"/>
      <c r="DZ500" s="32"/>
      <c r="EA500" s="25"/>
      <c r="EB500" s="47"/>
      <c r="EC500" s="16">
        <v>1403032</v>
      </c>
      <c r="ED500" s="16" t="s">
        <v>251</v>
      </c>
      <c r="EE500" s="16">
        <v>2</v>
      </c>
    </row>
    <row r="501" spans="11:135" ht="13.5" customHeight="1">
      <c r="K501" s="2"/>
      <c r="L501" s="18"/>
      <c r="O501" s="25"/>
      <c r="AI501" s="28"/>
      <c r="AJ501" s="28"/>
      <c r="AK501" s="28"/>
      <c r="AL501" s="28"/>
      <c r="AM501" s="28"/>
      <c r="AN501" s="28"/>
      <c r="AO501" s="30"/>
      <c r="AP501" s="28"/>
      <c r="AS501" s="28"/>
      <c r="AT501" s="28"/>
      <c r="AU501" s="30"/>
      <c r="AV501" s="28"/>
      <c r="AW501" s="28"/>
      <c r="AX501" s="28"/>
      <c r="AZ501" s="28"/>
      <c r="BA501" s="16" t="e">
        <f t="shared" si="210"/>
        <v>#DIV/0!</v>
      </c>
      <c r="BC501" s="7" t="e">
        <f t="shared" si="206"/>
        <v>#N/A</v>
      </c>
      <c r="BR501" s="7">
        <v>3205031</v>
      </c>
      <c r="BS501" s="9">
        <f>[1]monsters!$N501</f>
        <v>103.68</v>
      </c>
      <c r="BT501" s="9">
        <f>[1]monsters!$O501</f>
        <v>10.37</v>
      </c>
      <c r="BU501" s="9">
        <f>[1]monsters!$P501</f>
        <v>1280</v>
      </c>
      <c r="BV501" s="9">
        <f>[1]monsters!$Q501</f>
        <v>128</v>
      </c>
      <c r="BW501" s="9">
        <f>[1]monsters!$R501</f>
        <v>20.74</v>
      </c>
      <c r="BX501" s="9">
        <f>[1]monsters!$S501</f>
        <v>2.0699999999999998</v>
      </c>
      <c r="BY501" s="9">
        <f>[1]monsters!$K501</f>
        <v>1.8</v>
      </c>
      <c r="BZ501" s="7">
        <f>[1]monsters!$D501</f>
        <v>2</v>
      </c>
      <c r="CA501" s="7">
        <f t="shared" si="207"/>
        <v>0.1</v>
      </c>
      <c r="CB501" s="7">
        <f t="shared" si="208"/>
        <v>141.07524309764312</v>
      </c>
      <c r="CC501" s="7">
        <f t="shared" si="209"/>
        <v>14.107524309764313</v>
      </c>
      <c r="CD501" s="7"/>
      <c r="CE501" s="7"/>
      <c r="CF501" s="7"/>
      <c r="CG501" s="7"/>
      <c r="CH501" s="7"/>
      <c r="CI501" s="7"/>
      <c r="CJ501" s="7"/>
      <c r="CK501" s="7"/>
      <c r="CL501" s="7"/>
      <c r="CM501" s="7"/>
      <c r="CN501" s="7"/>
      <c r="CO501" s="7"/>
      <c r="CP501" s="7">
        <v>0</v>
      </c>
      <c r="CR501" s="25"/>
      <c r="CS501" s="25"/>
      <c r="CT501" s="25"/>
      <c r="CU501" s="25"/>
      <c r="CV501" s="25"/>
      <c r="CW501" s="25"/>
      <c r="DP501" s="36"/>
      <c r="DQ501" s="36"/>
      <c r="DR501" s="36"/>
      <c r="DS501" s="36"/>
      <c r="DT501" s="36"/>
      <c r="DU501" s="36"/>
      <c r="DV501" s="36"/>
      <c r="DW501" s="36"/>
      <c r="DX501" s="36"/>
      <c r="DY501" s="36"/>
      <c r="DZ501" s="36"/>
      <c r="EA501" s="25"/>
      <c r="EB501" s="47"/>
      <c r="EC501" s="16">
        <v>1205032</v>
      </c>
      <c r="ED501" s="16" t="s">
        <v>252</v>
      </c>
      <c r="EE501" s="16">
        <v>1</v>
      </c>
    </row>
    <row r="502" spans="11:135" ht="13.5" customHeight="1">
      <c r="K502" s="2"/>
      <c r="L502" s="18"/>
      <c r="O502" s="25"/>
      <c r="AI502" s="28"/>
      <c r="AJ502" s="28"/>
      <c r="AK502" s="28"/>
      <c r="AL502" s="28"/>
      <c r="AM502" s="28"/>
      <c r="AN502" s="28"/>
      <c r="AO502" s="30"/>
      <c r="AP502" s="28"/>
      <c r="AS502" s="28"/>
      <c r="AT502" s="28"/>
      <c r="AU502" s="30"/>
      <c r="AV502" s="28"/>
      <c r="AW502" s="28"/>
      <c r="AX502" s="28"/>
      <c r="AZ502" s="28"/>
      <c r="BA502" s="16" t="e">
        <f t="shared" si="210"/>
        <v>#DIV/0!</v>
      </c>
      <c r="BC502" s="7" t="e">
        <f t="shared" si="206"/>
        <v>#N/A</v>
      </c>
      <c r="BR502" s="7">
        <v>3405031</v>
      </c>
      <c r="BS502" s="9">
        <f>[1]monsters!$N502</f>
        <v>120</v>
      </c>
      <c r="BT502" s="9">
        <f>[1]monsters!$O502</f>
        <v>12</v>
      </c>
      <c r="BU502" s="9">
        <f>[1]monsters!$P502</f>
        <v>921.6</v>
      </c>
      <c r="BV502" s="9">
        <f>[1]monsters!$Q502</f>
        <v>92.16</v>
      </c>
      <c r="BW502" s="9">
        <f>[1]monsters!$R502</f>
        <v>12</v>
      </c>
      <c r="BX502" s="9">
        <f>[1]monsters!$S502</f>
        <v>1.2</v>
      </c>
      <c r="BY502" s="9">
        <f>[1]monsters!$K502</f>
        <v>1.5</v>
      </c>
      <c r="BZ502" s="7">
        <f>[1]monsters!$D502</f>
        <v>4</v>
      </c>
      <c r="CA502" s="7">
        <f t="shared" si="207"/>
        <v>0.1</v>
      </c>
      <c r="CB502" s="7">
        <f t="shared" si="208"/>
        <v>144.43030303030304</v>
      </c>
      <c r="CC502" s="7">
        <f t="shared" si="209"/>
        <v>14.443030303030305</v>
      </c>
      <c r="CD502" s="7"/>
      <c r="CE502" s="7"/>
      <c r="CF502" s="7"/>
      <c r="CG502" s="7"/>
      <c r="CH502" s="7"/>
      <c r="CI502" s="7"/>
      <c r="CJ502" s="7"/>
      <c r="CK502" s="7"/>
      <c r="CL502" s="7"/>
      <c r="CM502" s="7"/>
      <c r="CN502" s="7"/>
      <c r="CO502" s="7"/>
      <c r="CP502" s="7">
        <v>0</v>
      </c>
      <c r="CR502" s="25"/>
      <c r="CS502" s="25"/>
      <c r="CT502" s="25"/>
      <c r="CU502" s="25"/>
      <c r="CV502" s="25"/>
      <c r="CW502" s="25"/>
      <c r="DP502" s="32"/>
      <c r="DQ502" s="32"/>
      <c r="DR502" s="36"/>
      <c r="DS502" s="36"/>
      <c r="DT502" s="36"/>
      <c r="DU502" s="36"/>
      <c r="DV502" s="36"/>
      <c r="DW502" s="36"/>
      <c r="DX502" s="36"/>
      <c r="DY502" s="36"/>
      <c r="DZ502" s="36"/>
      <c r="EA502" s="25"/>
      <c r="EB502" s="48"/>
      <c r="EC502" s="16">
        <v>1405032</v>
      </c>
      <c r="ED502" s="16" t="s">
        <v>253</v>
      </c>
      <c r="EE502" s="16">
        <v>2</v>
      </c>
    </row>
    <row r="503" spans="11:135" ht="13.5" customHeight="1">
      <c r="K503" s="2"/>
      <c r="O503" s="25"/>
      <c r="AI503" s="28"/>
      <c r="AJ503" s="28"/>
      <c r="AK503" s="28"/>
      <c r="AL503" s="28"/>
      <c r="AM503" s="28"/>
      <c r="AN503" s="28"/>
      <c r="AO503" s="30"/>
      <c r="AP503" s="28"/>
      <c r="AS503" s="28"/>
      <c r="AT503" s="28"/>
      <c r="AU503" s="30"/>
      <c r="AV503" s="28"/>
      <c r="AW503" s="28"/>
      <c r="AX503" s="28"/>
      <c r="AY503" s="16">
        <v>9</v>
      </c>
      <c r="AZ503" s="28">
        <v>200</v>
      </c>
      <c r="BA503" s="16">
        <v>2000000</v>
      </c>
      <c r="BC503" s="7" t="e">
        <f t="shared" si="206"/>
        <v>#N/A</v>
      </c>
      <c r="BR503" s="7">
        <v>3203031</v>
      </c>
      <c r="BS503" s="9">
        <f>[1]monsters!$N503</f>
        <v>91.52</v>
      </c>
      <c r="BT503" s="9">
        <f>[1]monsters!$O503</f>
        <v>9.15</v>
      </c>
      <c r="BU503" s="9">
        <f>[1]monsters!$P503</f>
        <v>1047.27</v>
      </c>
      <c r="BV503" s="9">
        <f>[1]monsters!$Q503</f>
        <v>104.73</v>
      </c>
      <c r="BW503" s="9">
        <f>[1]monsters!$R503</f>
        <v>11.44</v>
      </c>
      <c r="BX503" s="9">
        <f>[1]monsters!$S503</f>
        <v>1.1399999999999999</v>
      </c>
      <c r="BY503" s="9">
        <f>[1]monsters!$K503</f>
        <v>1.3</v>
      </c>
      <c r="BZ503" s="7">
        <f>[1]monsters!$D503</f>
        <v>3</v>
      </c>
      <c r="CA503" s="7">
        <f t="shared" si="207"/>
        <v>0.1</v>
      </c>
      <c r="CB503" s="7">
        <f t="shared" si="208"/>
        <v>121.74801616161616</v>
      </c>
      <c r="CC503" s="7">
        <f t="shared" si="209"/>
        <v>12.174801616161616</v>
      </c>
      <c r="CD503" s="7"/>
      <c r="CE503" s="7"/>
      <c r="CF503" s="7"/>
      <c r="CG503" s="7"/>
      <c r="CH503" s="7"/>
      <c r="CI503" s="7"/>
      <c r="CJ503" s="7"/>
      <c r="CK503" s="7"/>
      <c r="CL503" s="7"/>
      <c r="CM503" s="7"/>
      <c r="CN503" s="7"/>
      <c r="CO503" s="7"/>
      <c r="CP503" s="7">
        <v>1</v>
      </c>
      <c r="CR503" s="25"/>
      <c r="CS503" s="25"/>
      <c r="CT503" s="25"/>
      <c r="CU503" s="25"/>
      <c r="CV503" s="25"/>
      <c r="CW503" s="25"/>
      <c r="DP503" s="32"/>
      <c r="DQ503" s="32"/>
      <c r="DR503" s="32"/>
      <c r="DS503" s="36"/>
      <c r="DT503" s="36"/>
      <c r="DU503" s="36"/>
      <c r="DV503" s="36"/>
      <c r="DW503" s="36"/>
      <c r="DX503" s="36"/>
      <c r="DY503" s="36"/>
      <c r="DZ503" s="36"/>
      <c r="EA503" s="25"/>
      <c r="EB503" s="47"/>
      <c r="EC503" s="16">
        <v>1303032</v>
      </c>
      <c r="ED503" s="16" t="s">
        <v>254</v>
      </c>
      <c r="EE503" s="16">
        <v>1</v>
      </c>
    </row>
    <row r="504" spans="11:135" ht="13.5" customHeight="1">
      <c r="K504" s="2"/>
      <c r="L504" s="18"/>
      <c r="O504" s="25"/>
      <c r="AI504" s="28"/>
      <c r="AJ504" s="28"/>
      <c r="AK504" s="28"/>
      <c r="AL504" s="28"/>
      <c r="AM504" s="28"/>
      <c r="AN504" s="28"/>
      <c r="AO504" s="30"/>
      <c r="AP504" s="28"/>
      <c r="AS504" s="28"/>
      <c r="AT504" s="28"/>
      <c r="AU504" s="30"/>
      <c r="AV504" s="28"/>
      <c r="AW504" s="28"/>
      <c r="AX504" s="28"/>
      <c r="AZ504" s="28"/>
      <c r="BA504" s="16" t="e">
        <f t="shared" ref="BA504:BA552" si="211">BA503+($BA$553-$BA$503)/($A$553-$A$503)</f>
        <v>#DIV/0!</v>
      </c>
      <c r="BC504" s="7" t="e">
        <f t="shared" si="206"/>
        <v>#N/A</v>
      </c>
      <c r="BR504" s="7">
        <v>3403031</v>
      </c>
      <c r="BS504" s="9">
        <f>[1]monsters!$N504</f>
        <v>126.72</v>
      </c>
      <c r="BT504" s="9">
        <f>[1]monsters!$O504</f>
        <v>12.67</v>
      </c>
      <c r="BU504" s="9">
        <f>[1]monsters!$P504</f>
        <v>1047.27</v>
      </c>
      <c r="BV504" s="9">
        <f>[1]monsters!$Q504</f>
        <v>104.73</v>
      </c>
      <c r="BW504" s="9">
        <f>[1]monsters!$R504</f>
        <v>21.12</v>
      </c>
      <c r="BX504" s="9">
        <f>[1]monsters!$S504</f>
        <v>2.11</v>
      </c>
      <c r="BY504" s="9">
        <f>[1]monsters!$K504</f>
        <v>1.8</v>
      </c>
      <c r="BZ504" s="7">
        <f>[1]monsters!$D504</f>
        <v>5</v>
      </c>
      <c r="CA504" s="7">
        <f t="shared" si="207"/>
        <v>0.1</v>
      </c>
      <c r="CB504" s="7">
        <f t="shared" si="208"/>
        <v>155.01201616161617</v>
      </c>
      <c r="CC504" s="7">
        <f t="shared" si="209"/>
        <v>15.501201616161618</v>
      </c>
      <c r="CD504" s="7"/>
      <c r="CE504" s="7"/>
      <c r="CF504" s="7"/>
      <c r="CG504" s="7"/>
      <c r="CH504" s="7"/>
      <c r="CI504" s="7"/>
      <c r="CJ504" s="7"/>
      <c r="CK504" s="7"/>
      <c r="CL504" s="7"/>
      <c r="CM504" s="7"/>
      <c r="CN504" s="7"/>
      <c r="CO504" s="7"/>
      <c r="CP504" s="7">
        <v>0</v>
      </c>
      <c r="CR504" s="25"/>
      <c r="CS504" s="25"/>
      <c r="CT504" s="25"/>
      <c r="CU504" s="25"/>
      <c r="CV504" s="25"/>
      <c r="CW504" s="25"/>
      <c r="DP504" s="32"/>
      <c r="DQ504" s="32"/>
      <c r="DR504" s="36"/>
      <c r="DS504" s="14"/>
      <c r="DT504" s="36"/>
      <c r="DU504" s="36"/>
      <c r="DV504" s="36"/>
      <c r="DW504" s="36"/>
      <c r="DX504" s="36"/>
      <c r="DY504" s="36"/>
      <c r="DZ504" s="36"/>
      <c r="EA504" s="25"/>
      <c r="EB504" s="47"/>
      <c r="EC504" s="16">
        <v>1504032</v>
      </c>
      <c r="ED504" s="16" t="s">
        <v>255</v>
      </c>
      <c r="EE504" s="16">
        <v>1</v>
      </c>
    </row>
    <row r="505" spans="11:135" ht="13.5" customHeight="1">
      <c r="K505" s="2"/>
      <c r="L505" s="18"/>
      <c r="O505" s="25"/>
      <c r="AI505" s="28"/>
      <c r="AJ505" s="28"/>
      <c r="AK505" s="28"/>
      <c r="AL505" s="28"/>
      <c r="AM505" s="28"/>
      <c r="AN505" s="28"/>
      <c r="AO505" s="30"/>
      <c r="AP505" s="28"/>
      <c r="AS505" s="28"/>
      <c r="AT505" s="28"/>
      <c r="AU505" s="30"/>
      <c r="AV505" s="28"/>
      <c r="AW505" s="28"/>
      <c r="AX505" s="28"/>
      <c r="AZ505" s="28"/>
      <c r="BA505" s="16" t="e">
        <f t="shared" si="211"/>
        <v>#DIV/0!</v>
      </c>
      <c r="BC505" s="7" t="e">
        <f t="shared" si="206"/>
        <v>#N/A</v>
      </c>
      <c r="BR505" s="7">
        <v>3204031</v>
      </c>
      <c r="BS505" s="9">
        <f>[1]monsters!$N505</f>
        <v>92.16</v>
      </c>
      <c r="BT505" s="9">
        <f>[1]monsters!$O505</f>
        <v>9.2200000000000006</v>
      </c>
      <c r="BU505" s="9">
        <f>[1]monsters!$P505</f>
        <v>1280</v>
      </c>
      <c r="BV505" s="9">
        <f>[1]monsters!$Q505</f>
        <v>128</v>
      </c>
      <c r="BW505" s="9">
        <f>[1]monsters!$R505</f>
        <v>18.43</v>
      </c>
      <c r="BX505" s="9">
        <f>[1]monsters!$S505</f>
        <v>1.84</v>
      </c>
      <c r="BY505" s="9">
        <f>[1]monsters!$K505</f>
        <v>1.6</v>
      </c>
      <c r="BZ505" s="7">
        <f>[1]monsters!$D505</f>
        <v>2</v>
      </c>
      <c r="CA505" s="7">
        <f t="shared" si="207"/>
        <v>0.1</v>
      </c>
      <c r="CB505" s="7">
        <f t="shared" si="208"/>
        <v>130.18884309764309</v>
      </c>
      <c r="CC505" s="7">
        <f t="shared" si="209"/>
        <v>13.01888430976431</v>
      </c>
      <c r="CD505" s="7"/>
      <c r="CE505" s="7"/>
      <c r="CF505" s="7"/>
      <c r="CG505" s="7"/>
      <c r="CH505" s="7"/>
      <c r="CI505" s="7"/>
      <c r="CJ505" s="7"/>
      <c r="CK505" s="7"/>
      <c r="CL505" s="7"/>
      <c r="CM505" s="7"/>
      <c r="CN505" s="7"/>
      <c r="CO505" s="7"/>
      <c r="CP505" s="7">
        <v>0</v>
      </c>
      <c r="CR505" s="25"/>
      <c r="CS505" s="25"/>
      <c r="CT505" s="25"/>
      <c r="CU505" s="25"/>
      <c r="CV505" s="25"/>
      <c r="CW505" s="25"/>
      <c r="DP505" s="32"/>
      <c r="DQ505" s="32"/>
      <c r="DR505" s="32"/>
      <c r="DS505" s="36"/>
      <c r="DT505" s="36"/>
      <c r="DU505" s="36"/>
      <c r="DV505" s="36"/>
      <c r="DW505" s="36"/>
      <c r="DX505" s="36"/>
      <c r="DY505" s="36"/>
      <c r="DZ505" s="36"/>
      <c r="EA505" s="25"/>
      <c r="EB505" s="47"/>
      <c r="EC505" s="16">
        <v>1206032</v>
      </c>
      <c r="ED505" s="16" t="s">
        <v>256</v>
      </c>
      <c r="EE505" s="16">
        <v>1</v>
      </c>
    </row>
    <row r="506" spans="11:135" ht="13.5" customHeight="1">
      <c r="K506" s="2"/>
      <c r="L506" s="18"/>
      <c r="O506" s="25"/>
      <c r="AI506" s="28"/>
      <c r="AJ506" s="28"/>
      <c r="AK506" s="28"/>
      <c r="AL506" s="28"/>
      <c r="AM506" s="28"/>
      <c r="AN506" s="28"/>
      <c r="AO506" s="30"/>
      <c r="AP506" s="28"/>
      <c r="AS506" s="28"/>
      <c r="AT506" s="28"/>
      <c r="AU506" s="30"/>
      <c r="AV506" s="28"/>
      <c r="AW506" s="28"/>
      <c r="AX506" s="28"/>
      <c r="AZ506" s="28"/>
      <c r="BA506" s="16" t="e">
        <f t="shared" si="211"/>
        <v>#DIV/0!</v>
      </c>
      <c r="BC506" s="7" t="e">
        <f t="shared" si="206"/>
        <v>#N/A</v>
      </c>
      <c r="BR506" s="7">
        <v>3404031</v>
      </c>
      <c r="BS506" s="9">
        <f>[1]monsters!$N506</f>
        <v>116.48</v>
      </c>
      <c r="BT506" s="9">
        <f>[1]monsters!$O506</f>
        <v>11.65</v>
      </c>
      <c r="BU506" s="9">
        <f>[1]monsters!$P506</f>
        <v>886.15</v>
      </c>
      <c r="BV506" s="9">
        <f>[1]monsters!$Q506</f>
        <v>88.62</v>
      </c>
      <c r="BW506" s="9">
        <f>[1]monsters!$R506</f>
        <v>11.65</v>
      </c>
      <c r="BX506" s="9">
        <f>[1]monsters!$S506</f>
        <v>1.1599999999999999</v>
      </c>
      <c r="BY506" s="9">
        <f>[1]monsters!$K506</f>
        <v>1.4000000000000001</v>
      </c>
      <c r="BZ506" s="7">
        <f>[1]monsters!$D506</f>
        <v>4</v>
      </c>
      <c r="CA506" s="7">
        <f t="shared" si="207"/>
        <v>0.1</v>
      </c>
      <c r="CB506" s="7">
        <f t="shared" si="208"/>
        <v>139.91030033670035</v>
      </c>
      <c r="CC506" s="7">
        <f t="shared" si="209"/>
        <v>13.991030033670036</v>
      </c>
      <c r="CD506" s="7"/>
      <c r="CE506" s="7"/>
      <c r="CF506" s="7"/>
      <c r="CG506" s="7"/>
      <c r="CH506" s="7"/>
      <c r="CI506" s="7"/>
      <c r="CJ506" s="7"/>
      <c r="CK506" s="7"/>
      <c r="CL506" s="7"/>
      <c r="CM506" s="7"/>
      <c r="CN506" s="7"/>
      <c r="CO506" s="7"/>
      <c r="CP506" s="7">
        <v>0</v>
      </c>
      <c r="CR506" s="25"/>
      <c r="CS506" s="25"/>
      <c r="CT506" s="25"/>
      <c r="CU506" s="25"/>
      <c r="CV506" s="25"/>
      <c r="CW506" s="25"/>
      <c r="DP506" s="32"/>
      <c r="DQ506" s="32"/>
      <c r="DR506" s="32"/>
      <c r="DS506" s="32"/>
      <c r="DT506" s="32"/>
      <c r="DU506" s="32"/>
      <c r="DV506" s="32"/>
      <c r="DW506" s="32"/>
      <c r="DX506" s="32"/>
      <c r="DY506" s="32"/>
      <c r="DZ506" s="32"/>
      <c r="EA506" s="25"/>
      <c r="EB506" s="48"/>
      <c r="EC506" s="16">
        <v>1406032</v>
      </c>
      <c r="ED506" s="16" t="s">
        <v>257</v>
      </c>
      <c r="EE506" s="16">
        <v>2</v>
      </c>
    </row>
    <row r="507" spans="11:135" ht="13.5" customHeight="1">
      <c r="K507" s="2"/>
      <c r="L507" s="18"/>
      <c r="O507" s="25"/>
      <c r="AI507" s="28"/>
      <c r="AJ507" s="28"/>
      <c r="AK507" s="28"/>
      <c r="AL507" s="28"/>
      <c r="AM507" s="28"/>
      <c r="AN507" s="28"/>
      <c r="AO507" s="30"/>
      <c r="AP507" s="28"/>
      <c r="AS507" s="28"/>
      <c r="AT507" s="28"/>
      <c r="AU507" s="30"/>
      <c r="AV507" s="28"/>
      <c r="AW507" s="28"/>
      <c r="AX507" s="28"/>
      <c r="AZ507" s="28"/>
      <c r="BA507" s="16" t="e">
        <f t="shared" si="211"/>
        <v>#DIV/0!</v>
      </c>
      <c r="BC507" s="7" t="e">
        <f t="shared" si="206"/>
        <v>#N/A</v>
      </c>
      <c r="BR507" s="7">
        <v>3303031</v>
      </c>
      <c r="BS507" s="9">
        <f>[1]monsters!$N507</f>
        <v>80.64</v>
      </c>
      <c r="BT507" s="9">
        <f>[1]monsters!$O507</f>
        <v>8.06</v>
      </c>
      <c r="BU507" s="9">
        <f>[1]monsters!$P507</f>
        <v>1280</v>
      </c>
      <c r="BV507" s="9">
        <f>[1]monsters!$Q507</f>
        <v>128</v>
      </c>
      <c r="BW507" s="9">
        <f>[1]monsters!$R507</f>
        <v>16.13</v>
      </c>
      <c r="BX507" s="9">
        <f>[1]monsters!$S507</f>
        <v>1.61</v>
      </c>
      <c r="BY507" s="9">
        <f>[1]monsters!$K507</f>
        <v>1.4000000000000001</v>
      </c>
      <c r="BZ507" s="7">
        <f>[1]monsters!$D507</f>
        <v>2</v>
      </c>
      <c r="CA507" s="7">
        <f t="shared" si="207"/>
        <v>0.1</v>
      </c>
      <c r="CB507" s="7">
        <f t="shared" si="208"/>
        <v>119.30244309764311</v>
      </c>
      <c r="CC507" s="7">
        <f t="shared" si="209"/>
        <v>11.930244309764312</v>
      </c>
      <c r="CD507" s="7"/>
      <c r="CE507" s="7"/>
      <c r="CF507" s="7"/>
      <c r="CG507" s="7"/>
      <c r="CH507" s="7"/>
      <c r="CI507" s="7"/>
      <c r="CJ507" s="7"/>
      <c r="CK507" s="7"/>
      <c r="CL507" s="7"/>
      <c r="CM507" s="7"/>
      <c r="CN507" s="7"/>
      <c r="CO507" s="7"/>
      <c r="CP507" s="7">
        <v>0</v>
      </c>
      <c r="CR507" s="25"/>
      <c r="CS507" s="25"/>
      <c r="CT507" s="25"/>
      <c r="CU507" s="25"/>
      <c r="CV507" s="25"/>
      <c r="CW507" s="25"/>
      <c r="DP507" s="36"/>
      <c r="DQ507" s="36"/>
      <c r="DR507" s="36"/>
      <c r="DS507" s="36"/>
      <c r="DT507" s="36"/>
      <c r="DU507" s="36"/>
      <c r="DV507" s="36"/>
      <c r="DW507" s="36"/>
      <c r="DX507" s="36"/>
      <c r="DY507" s="36"/>
      <c r="DZ507" s="36"/>
      <c r="EA507" s="25"/>
      <c r="EB507" s="47"/>
      <c r="EC507" s="16">
        <v>1204032</v>
      </c>
      <c r="ED507" s="16" t="s">
        <v>258</v>
      </c>
      <c r="EE507" s="16">
        <v>1</v>
      </c>
    </row>
    <row r="508" spans="11:135" ht="13.5" customHeight="1">
      <c r="K508" s="2"/>
      <c r="O508" s="25"/>
      <c r="AI508" s="28"/>
      <c r="AJ508" s="28"/>
      <c r="AK508" s="28"/>
      <c r="AL508" s="28"/>
      <c r="AM508" s="28"/>
      <c r="AN508" s="28"/>
      <c r="AO508" s="30"/>
      <c r="AP508" s="28"/>
      <c r="AS508" s="28"/>
      <c r="AT508" s="28"/>
      <c r="AU508" s="30"/>
      <c r="AV508" s="28"/>
      <c r="AW508" s="28"/>
      <c r="AX508" s="28"/>
      <c r="AZ508" s="28"/>
      <c r="BA508" s="16" t="e">
        <f t="shared" si="211"/>
        <v>#DIV/0!</v>
      </c>
      <c r="BC508" s="7" t="e">
        <f t="shared" si="206"/>
        <v>#N/A</v>
      </c>
      <c r="BR508" s="7">
        <v>3304031</v>
      </c>
      <c r="BS508" s="9">
        <f>[1]monsters!$N508</f>
        <v>133.12</v>
      </c>
      <c r="BT508" s="9">
        <f>[1]monsters!$O508</f>
        <v>13.31</v>
      </c>
      <c r="BU508" s="9">
        <f>[1]monsters!$P508</f>
        <v>886.15</v>
      </c>
      <c r="BV508" s="9">
        <f>[1]monsters!$Q508</f>
        <v>88.62</v>
      </c>
      <c r="BW508" s="9">
        <f>[1]monsters!$R508</f>
        <v>13.31</v>
      </c>
      <c r="BX508" s="9">
        <f>[1]monsters!$S508</f>
        <v>1.33</v>
      </c>
      <c r="BY508" s="9">
        <f>[1]monsters!$K508</f>
        <v>1.6</v>
      </c>
      <c r="BZ508" s="7">
        <f>[1]monsters!$D508</f>
        <v>4</v>
      </c>
      <c r="CA508" s="7">
        <f t="shared" si="207"/>
        <v>0.1</v>
      </c>
      <c r="CB508" s="7">
        <f t="shared" si="208"/>
        <v>155.63510033670036</v>
      </c>
      <c r="CC508" s="7">
        <f t="shared" si="209"/>
        <v>15.563510033670036</v>
      </c>
      <c r="CD508" s="7"/>
      <c r="CE508" s="7"/>
      <c r="CF508" s="7"/>
      <c r="CG508" s="7"/>
      <c r="CH508" s="7"/>
      <c r="CI508" s="7"/>
      <c r="CJ508" s="7"/>
      <c r="CK508" s="7"/>
      <c r="CL508" s="7"/>
      <c r="CM508" s="7"/>
      <c r="CN508" s="7"/>
      <c r="CO508" s="7"/>
      <c r="CP508" s="7">
        <v>1</v>
      </c>
      <c r="CR508" s="25"/>
      <c r="CS508" s="25"/>
      <c r="CT508" s="25"/>
      <c r="CU508" s="25"/>
      <c r="CV508" s="25"/>
      <c r="CW508" s="25"/>
      <c r="DP508" s="32"/>
      <c r="DQ508" s="32"/>
      <c r="DR508" s="32"/>
      <c r="DS508" s="32"/>
      <c r="DT508" s="32"/>
      <c r="DU508" s="32"/>
      <c r="DV508" s="32"/>
      <c r="DW508" s="32"/>
      <c r="DX508" s="32"/>
      <c r="DY508" s="32"/>
      <c r="DZ508" s="32"/>
      <c r="EA508" s="25"/>
      <c r="EB508" s="47"/>
      <c r="EC508" s="16">
        <v>1404032</v>
      </c>
      <c r="ED508" s="16" t="s">
        <v>259</v>
      </c>
      <c r="EE508" s="16">
        <v>2</v>
      </c>
    </row>
    <row r="509" spans="11:135" ht="13.5" customHeight="1">
      <c r="K509" s="2"/>
      <c r="L509" s="18"/>
      <c r="O509" s="25"/>
      <c r="AI509" s="28"/>
      <c r="AJ509" s="28"/>
      <c r="AK509" s="28"/>
      <c r="AL509" s="28"/>
      <c r="AM509" s="28"/>
      <c r="AN509" s="28"/>
      <c r="AO509" s="30"/>
      <c r="AP509" s="28"/>
      <c r="AS509" s="28"/>
      <c r="AT509" s="28"/>
      <c r="AU509" s="30"/>
      <c r="AV509" s="28"/>
      <c r="AW509" s="28"/>
      <c r="AX509" s="28"/>
      <c r="AZ509" s="28"/>
      <c r="BA509" s="16" t="e">
        <f t="shared" si="211"/>
        <v>#DIV/0!</v>
      </c>
      <c r="BC509" s="7" t="e">
        <f t="shared" si="206"/>
        <v>#N/A</v>
      </c>
      <c r="BR509" s="7">
        <v>3503031</v>
      </c>
      <c r="BS509" s="9">
        <f>[1]monsters!$N509</f>
        <v>122.88</v>
      </c>
      <c r="BT509" s="9">
        <f>[1]monsters!$O509</f>
        <v>12.29</v>
      </c>
      <c r="BU509" s="9">
        <f>[1]monsters!$P509</f>
        <v>960</v>
      </c>
      <c r="BV509" s="9">
        <f>[1]monsters!$Q509</f>
        <v>96</v>
      </c>
      <c r="BW509" s="9">
        <f>[1]monsters!$R509</f>
        <v>20.48</v>
      </c>
      <c r="BX509" s="9">
        <f>[1]monsters!$S509</f>
        <v>2.0499999999999998</v>
      </c>
      <c r="BY509" s="9">
        <f>[1]monsters!$K509</f>
        <v>1.6</v>
      </c>
      <c r="BZ509" s="7">
        <f>[1]monsters!$D509</f>
        <v>5</v>
      </c>
      <c r="CA509" s="7">
        <f t="shared" si="207"/>
        <v>0.1</v>
      </c>
      <c r="CB509" s="7">
        <f t="shared" si="208"/>
        <v>148.44483232323233</v>
      </c>
      <c r="CC509" s="7">
        <f t="shared" si="209"/>
        <v>14.844483232323235</v>
      </c>
      <c r="CD509" s="7"/>
      <c r="CE509" s="7"/>
      <c r="CF509" s="7"/>
      <c r="CG509" s="7"/>
      <c r="CH509" s="7"/>
      <c r="CI509" s="7"/>
      <c r="CJ509" s="7"/>
      <c r="CK509" s="7"/>
      <c r="CL509" s="7"/>
      <c r="CM509" s="7"/>
      <c r="CN509" s="7"/>
      <c r="CO509" s="7"/>
      <c r="CP509" s="7">
        <v>0</v>
      </c>
      <c r="CR509" s="25"/>
      <c r="CS509" s="25"/>
      <c r="CT509" s="25"/>
      <c r="CU509" s="25"/>
      <c r="CV509" s="25"/>
      <c r="CW509" s="25"/>
      <c r="DP509" s="13"/>
      <c r="DQ509" s="32"/>
      <c r="DR509" s="13"/>
      <c r="DS509" s="32"/>
      <c r="DT509" s="32"/>
      <c r="DU509" s="32"/>
      <c r="DV509" s="32"/>
      <c r="DW509" s="32"/>
      <c r="DX509" s="32"/>
      <c r="DY509" s="32"/>
      <c r="DZ509" s="32"/>
      <c r="EA509" s="25"/>
      <c r="EB509" s="48"/>
      <c r="EC509" s="16">
        <v>1503032</v>
      </c>
      <c r="ED509" s="16" t="s">
        <v>260</v>
      </c>
      <c r="EE509" s="16">
        <v>1</v>
      </c>
    </row>
    <row r="510" spans="11:135" ht="13.5" customHeight="1">
      <c r="K510" s="2"/>
      <c r="L510" s="18"/>
      <c r="O510" s="25"/>
      <c r="AI510" s="28"/>
      <c r="AJ510" s="28"/>
      <c r="AK510" s="28"/>
      <c r="AL510" s="28"/>
      <c r="AM510" s="28"/>
      <c r="AN510" s="28"/>
      <c r="AO510" s="30"/>
      <c r="AP510" s="28"/>
      <c r="AS510" s="28"/>
      <c r="AT510" s="28"/>
      <c r="AU510" s="30"/>
      <c r="AV510" s="28"/>
      <c r="AW510" s="28"/>
      <c r="AX510" s="28"/>
      <c r="AZ510" s="28"/>
      <c r="BA510" s="16" t="e">
        <f t="shared" si="211"/>
        <v>#DIV/0!</v>
      </c>
      <c r="BC510" s="7" t="e">
        <f t="shared" si="206"/>
        <v>#N/A</v>
      </c>
      <c r="BR510" s="7">
        <v>3504031</v>
      </c>
      <c r="BS510" s="9">
        <f>[1]monsters!$N510</f>
        <v>103.04</v>
      </c>
      <c r="BT510" s="9">
        <f>[1]monsters!$O510</f>
        <v>10.3</v>
      </c>
      <c r="BU510" s="9">
        <f>[1]monsters!$P510</f>
        <v>1001.74</v>
      </c>
      <c r="BV510" s="9">
        <f>[1]monsters!$Q510</f>
        <v>100.17</v>
      </c>
      <c r="BW510" s="9">
        <f>[1]monsters!$R510</f>
        <v>12.88</v>
      </c>
      <c r="BX510" s="9">
        <f>[1]monsters!$S510</f>
        <v>1.29</v>
      </c>
      <c r="BY510" s="9">
        <f>[1]monsters!$K510</f>
        <v>1.4000000000000001</v>
      </c>
      <c r="BZ510" s="7">
        <f>[1]monsters!$D510</f>
        <v>3</v>
      </c>
      <c r="CA510" s="7">
        <f t="shared" si="207"/>
        <v>0.1</v>
      </c>
      <c r="CB510" s="7">
        <f t="shared" si="208"/>
        <v>131.10141952861954</v>
      </c>
      <c r="CC510" s="7">
        <f t="shared" si="209"/>
        <v>13.110141952861955</v>
      </c>
      <c r="CD510" s="7"/>
      <c r="CE510" s="7"/>
      <c r="CF510" s="7"/>
      <c r="CG510" s="7"/>
      <c r="CH510" s="7"/>
      <c r="CI510" s="7"/>
      <c r="CJ510" s="7"/>
      <c r="CK510" s="7"/>
      <c r="CL510" s="7"/>
      <c r="CM510" s="7"/>
      <c r="CN510" s="7"/>
      <c r="CO510" s="7"/>
      <c r="CP510" s="7">
        <v>0</v>
      </c>
      <c r="CR510" s="25"/>
      <c r="CS510" s="25"/>
      <c r="CT510" s="25"/>
      <c r="CU510" s="25"/>
      <c r="CV510" s="25"/>
      <c r="CW510" s="25"/>
      <c r="DP510" s="36"/>
      <c r="DQ510" s="36"/>
      <c r="DR510" s="36"/>
      <c r="DS510" s="36"/>
      <c r="DT510" s="36"/>
      <c r="DU510" s="36"/>
      <c r="DV510" s="36"/>
      <c r="DW510" s="36"/>
      <c r="DX510" s="36"/>
      <c r="DY510" s="36"/>
      <c r="DZ510" s="36"/>
      <c r="EA510" s="25"/>
      <c r="EB510" s="47"/>
      <c r="EC510" s="16">
        <v>1304032</v>
      </c>
      <c r="ED510" s="16" t="s">
        <v>261</v>
      </c>
      <c r="EE510" s="16">
        <v>1</v>
      </c>
    </row>
    <row r="511" spans="11:135" ht="13.5" customHeight="1">
      <c r="K511" s="2"/>
      <c r="L511" s="18"/>
      <c r="O511" s="25"/>
      <c r="AI511" s="28"/>
      <c r="AJ511" s="28"/>
      <c r="AK511" s="28"/>
      <c r="AL511" s="28"/>
      <c r="AM511" s="28"/>
      <c r="AN511" s="28"/>
      <c r="AO511" s="30"/>
      <c r="AP511" s="28"/>
      <c r="AS511" s="28"/>
      <c r="AT511" s="28"/>
      <c r="AU511" s="30"/>
      <c r="AV511" s="28"/>
      <c r="AW511" s="28"/>
      <c r="AX511" s="28"/>
      <c r="AZ511" s="28"/>
      <c r="BA511" s="16" t="e">
        <f t="shared" si="211"/>
        <v>#DIV/0!</v>
      </c>
      <c r="BC511" s="7" t="e">
        <f t="shared" si="206"/>
        <v>#N/A</v>
      </c>
      <c r="BR511" s="7">
        <v>3101031</v>
      </c>
      <c r="BS511" s="9">
        <f>[1]monsters!$N511</f>
        <v>74.88</v>
      </c>
      <c r="BT511" s="9">
        <f>[1]monsters!$O511</f>
        <v>7.49</v>
      </c>
      <c r="BU511" s="9">
        <f>[1]monsters!$P511</f>
        <v>1280</v>
      </c>
      <c r="BV511" s="9">
        <f>[1]monsters!$Q511</f>
        <v>128</v>
      </c>
      <c r="BW511" s="9">
        <f>[1]monsters!$R511</f>
        <v>14.98</v>
      </c>
      <c r="BX511" s="9">
        <f>[1]monsters!$S511</f>
        <v>1.5</v>
      </c>
      <c r="BY511" s="9">
        <f>[1]monsters!$K511</f>
        <v>1.3</v>
      </c>
      <c r="BZ511" s="7">
        <f>[1]monsters!$D511</f>
        <v>2</v>
      </c>
      <c r="CA511" s="7">
        <f t="shared" si="207"/>
        <v>0.1</v>
      </c>
      <c r="CB511" s="7">
        <f t="shared" si="208"/>
        <v>113.8592430976431</v>
      </c>
      <c r="CC511" s="7">
        <f t="shared" si="209"/>
        <v>11.385924309764311</v>
      </c>
      <c r="CD511" s="7"/>
      <c r="CE511" s="7"/>
      <c r="CF511" s="7"/>
      <c r="CG511" s="7"/>
      <c r="CH511" s="7"/>
      <c r="CI511" s="7"/>
      <c r="CJ511" s="7"/>
      <c r="CK511" s="7"/>
      <c r="CL511" s="7"/>
      <c r="CM511" s="7"/>
      <c r="CN511" s="7"/>
      <c r="CO511" s="7"/>
      <c r="CP511" s="7">
        <v>0</v>
      </c>
      <c r="CR511" s="25"/>
      <c r="CS511" s="25"/>
      <c r="CT511" s="25"/>
      <c r="CU511" s="25"/>
      <c r="CV511" s="25"/>
      <c r="CW511" s="25"/>
      <c r="DP511" s="32"/>
      <c r="DQ511" s="32"/>
      <c r="DR511" s="36"/>
      <c r="DS511" s="36"/>
      <c r="DT511" s="32"/>
      <c r="DU511" s="32"/>
      <c r="DV511" s="32"/>
      <c r="DW511" s="32"/>
      <c r="DX511" s="32"/>
      <c r="DY511" s="32"/>
      <c r="DZ511" s="32"/>
      <c r="EA511" s="25"/>
      <c r="EB511" s="47"/>
      <c r="EC511" s="16">
        <v>1203033</v>
      </c>
      <c r="ED511" s="16" t="s">
        <v>262</v>
      </c>
      <c r="EE511" s="16">
        <v>1</v>
      </c>
    </row>
    <row r="512" spans="11:135" ht="13.5" customHeight="1">
      <c r="K512" s="2"/>
      <c r="L512" s="18"/>
      <c r="O512" s="25"/>
      <c r="AI512" s="28"/>
      <c r="AJ512" s="28"/>
      <c r="AK512" s="28"/>
      <c r="AL512" s="28"/>
      <c r="AM512" s="28"/>
      <c r="AN512" s="28"/>
      <c r="AO512" s="30"/>
      <c r="AP512" s="28"/>
      <c r="AS512" s="28"/>
      <c r="AT512" s="28"/>
      <c r="AU512" s="30"/>
      <c r="AV512" s="28"/>
      <c r="AW512" s="28"/>
      <c r="AX512" s="28"/>
      <c r="AZ512" s="28"/>
      <c r="BA512" s="16" t="e">
        <f t="shared" si="211"/>
        <v>#DIV/0!</v>
      </c>
      <c r="BC512" s="7" t="e">
        <f t="shared" si="206"/>
        <v>#N/A</v>
      </c>
      <c r="BR512" s="7">
        <v>3102031</v>
      </c>
      <c r="BS512" s="9">
        <f>[1]monsters!$N512</f>
        <v>99.84</v>
      </c>
      <c r="BT512" s="9">
        <f>[1]monsters!$O512</f>
        <v>9.98</v>
      </c>
      <c r="BU512" s="9">
        <f>[1]monsters!$P512</f>
        <v>960</v>
      </c>
      <c r="BV512" s="9">
        <f>[1]monsters!$Q512</f>
        <v>96</v>
      </c>
      <c r="BW512" s="9">
        <f>[1]monsters!$R512</f>
        <v>9.98</v>
      </c>
      <c r="BX512" s="9">
        <f>[1]monsters!$S512</f>
        <v>1</v>
      </c>
      <c r="BY512" s="9">
        <f>[1]monsters!$K512</f>
        <v>1.3</v>
      </c>
      <c r="BZ512" s="7">
        <f>[1]monsters!$D512</f>
        <v>4</v>
      </c>
      <c r="CA512" s="7">
        <f t="shared" si="207"/>
        <v>0.1</v>
      </c>
      <c r="CB512" s="7">
        <f t="shared" si="208"/>
        <v>126.67203232323233</v>
      </c>
      <c r="CC512" s="7">
        <f t="shared" si="209"/>
        <v>12.667203232323233</v>
      </c>
      <c r="CD512" s="7"/>
      <c r="CE512" s="7"/>
      <c r="CF512" s="7"/>
      <c r="CG512" s="7"/>
      <c r="CH512" s="7"/>
      <c r="CI512" s="7"/>
      <c r="CJ512" s="7"/>
      <c r="CK512" s="7"/>
      <c r="CL512" s="7"/>
      <c r="CM512" s="7"/>
      <c r="CN512" s="7"/>
      <c r="CO512" s="7"/>
      <c r="CP512" s="7">
        <v>0</v>
      </c>
      <c r="CR512" s="25"/>
      <c r="CS512" s="25"/>
      <c r="CT512" s="25"/>
      <c r="CU512" s="25"/>
      <c r="CV512" s="25"/>
      <c r="CW512" s="25"/>
      <c r="DP512" s="32"/>
      <c r="DQ512" s="32"/>
      <c r="DR512" s="36"/>
      <c r="DS512" s="36"/>
      <c r="DT512" s="36"/>
      <c r="DU512" s="36"/>
      <c r="DV512" s="36"/>
      <c r="DW512" s="36"/>
      <c r="DX512" s="36"/>
      <c r="DY512" s="36"/>
      <c r="DZ512" s="36"/>
      <c r="EA512" s="25"/>
      <c r="EB512" s="47"/>
      <c r="EC512" s="16">
        <v>1403033</v>
      </c>
      <c r="ED512" s="16" t="s">
        <v>263</v>
      </c>
      <c r="EE512" s="16">
        <v>2</v>
      </c>
    </row>
    <row r="513" spans="11:135" ht="13.5" customHeight="1">
      <c r="K513" s="2"/>
      <c r="O513" s="25"/>
      <c r="AI513" s="28"/>
      <c r="AJ513" s="28"/>
      <c r="AK513" s="28"/>
      <c r="AL513" s="28"/>
      <c r="AM513" s="28"/>
      <c r="AN513" s="28"/>
      <c r="AO513" s="30"/>
      <c r="AP513" s="28"/>
      <c r="AS513" s="28"/>
      <c r="AT513" s="28"/>
      <c r="AU513" s="30"/>
      <c r="AV513" s="28"/>
      <c r="AW513" s="28"/>
      <c r="AX513" s="28"/>
      <c r="AZ513" s="28"/>
      <c r="BA513" s="16" t="e">
        <f t="shared" si="211"/>
        <v>#DIV/0!</v>
      </c>
      <c r="BC513" s="7" t="e">
        <f t="shared" si="206"/>
        <v>#N/A</v>
      </c>
      <c r="BR513" s="7">
        <v>3206032</v>
      </c>
      <c r="BS513" s="9">
        <f>[1]monsters!$N513</f>
        <v>103.68</v>
      </c>
      <c r="BT513" s="9">
        <f>[1]monsters!$O513</f>
        <v>10.37</v>
      </c>
      <c r="BU513" s="9">
        <f>[1]monsters!$P513</f>
        <v>1280</v>
      </c>
      <c r="BV513" s="9">
        <f>[1]monsters!$Q513</f>
        <v>128</v>
      </c>
      <c r="BW513" s="9">
        <f>[1]monsters!$R513</f>
        <v>20.74</v>
      </c>
      <c r="BX513" s="9">
        <f>[1]monsters!$S513</f>
        <v>2.0699999999999998</v>
      </c>
      <c r="BY513" s="9">
        <f>[1]monsters!$K513</f>
        <v>1.8</v>
      </c>
      <c r="BZ513" s="7">
        <f>[1]monsters!$D513</f>
        <v>2</v>
      </c>
      <c r="CA513" s="7">
        <f t="shared" si="207"/>
        <v>0.1</v>
      </c>
      <c r="CB513" s="7">
        <f t="shared" si="208"/>
        <v>141.07524309764312</v>
      </c>
      <c r="CC513" s="7">
        <f t="shared" si="209"/>
        <v>14.107524309764313</v>
      </c>
      <c r="CD513" s="7"/>
      <c r="CE513" s="7"/>
      <c r="CF513" s="7"/>
      <c r="CG513" s="7"/>
      <c r="CH513" s="7"/>
      <c r="CI513" s="7"/>
      <c r="CJ513" s="7"/>
      <c r="CK513" s="7"/>
      <c r="CL513" s="7"/>
      <c r="CM513" s="7"/>
      <c r="CN513" s="7"/>
      <c r="CO513" s="7"/>
      <c r="CP513" s="7">
        <v>1</v>
      </c>
      <c r="CR513" s="25"/>
      <c r="CS513" s="25"/>
      <c r="CT513" s="25"/>
      <c r="CU513" s="25"/>
      <c r="CV513" s="25"/>
      <c r="CW513" s="25"/>
      <c r="DP513" s="32"/>
      <c r="DQ513" s="32"/>
      <c r="DR513" s="32"/>
      <c r="DS513" s="32"/>
      <c r="DT513" s="36"/>
      <c r="DU513" s="36"/>
      <c r="DV513" s="36"/>
      <c r="DW513" s="36"/>
      <c r="DX513" s="36"/>
      <c r="DY513" s="36"/>
      <c r="DZ513" s="36"/>
      <c r="EA513" s="25"/>
      <c r="EB513" s="49"/>
      <c r="EC513" s="16">
        <v>1205033</v>
      </c>
      <c r="ED513" s="16" t="s">
        <v>264</v>
      </c>
      <c r="EE513" s="16">
        <v>1</v>
      </c>
    </row>
    <row r="514" spans="11:135" ht="13.5" customHeight="1">
      <c r="K514" s="2"/>
      <c r="L514" s="18"/>
      <c r="O514" s="25"/>
      <c r="AI514" s="28"/>
      <c r="AJ514" s="28"/>
      <c r="AK514" s="28"/>
      <c r="AL514" s="28"/>
      <c r="AM514" s="28"/>
      <c r="AN514" s="28"/>
      <c r="AO514" s="30"/>
      <c r="AP514" s="28"/>
      <c r="AS514" s="28"/>
      <c r="AT514" s="28"/>
      <c r="AU514" s="30"/>
      <c r="AV514" s="28"/>
      <c r="AW514" s="28"/>
      <c r="AX514" s="28"/>
      <c r="AZ514" s="28"/>
      <c r="BA514" s="16" t="e">
        <f t="shared" si="211"/>
        <v>#DIV/0!</v>
      </c>
      <c r="BC514" s="7" t="e">
        <f t="shared" si="206"/>
        <v>#N/A</v>
      </c>
      <c r="BR514" s="7">
        <v>3406032</v>
      </c>
      <c r="BS514" s="9">
        <f>[1]monsters!$N514</f>
        <v>120</v>
      </c>
      <c r="BT514" s="9">
        <f>[1]monsters!$O514</f>
        <v>12</v>
      </c>
      <c r="BU514" s="9">
        <f>[1]monsters!$P514</f>
        <v>921.6</v>
      </c>
      <c r="BV514" s="9">
        <f>[1]monsters!$Q514</f>
        <v>92.16</v>
      </c>
      <c r="BW514" s="9">
        <f>[1]monsters!$R514</f>
        <v>12</v>
      </c>
      <c r="BX514" s="9">
        <f>[1]monsters!$S514</f>
        <v>1.2</v>
      </c>
      <c r="BY514" s="9">
        <f>[1]monsters!$K514</f>
        <v>1.5</v>
      </c>
      <c r="BZ514" s="7">
        <f>[1]monsters!$D514</f>
        <v>4</v>
      </c>
      <c r="CA514" s="7">
        <f t="shared" si="207"/>
        <v>0.1</v>
      </c>
      <c r="CB514" s="7">
        <f t="shared" si="208"/>
        <v>144.43030303030304</v>
      </c>
      <c r="CC514" s="7">
        <f t="shared" si="209"/>
        <v>14.443030303030305</v>
      </c>
      <c r="CD514" s="7"/>
      <c r="CE514" s="7"/>
      <c r="CF514" s="7"/>
      <c r="CG514" s="7"/>
      <c r="CH514" s="7"/>
      <c r="CI514" s="7"/>
      <c r="CJ514" s="7"/>
      <c r="CK514" s="7"/>
      <c r="CL514" s="7"/>
      <c r="CM514" s="7"/>
      <c r="CN514" s="7"/>
      <c r="CO514" s="7"/>
      <c r="CP514" s="7">
        <v>0</v>
      </c>
      <c r="CR514" s="25"/>
      <c r="CS514" s="25"/>
      <c r="CT514" s="25"/>
      <c r="CU514" s="25"/>
      <c r="CV514" s="25"/>
      <c r="CW514" s="25"/>
      <c r="DP514" s="32"/>
      <c r="DQ514" s="32"/>
      <c r="DR514" s="32"/>
      <c r="DS514" s="36"/>
      <c r="DT514" s="36"/>
      <c r="DU514" s="36"/>
      <c r="DV514" s="36"/>
      <c r="DW514" s="36"/>
      <c r="DX514" s="36"/>
      <c r="DY514" s="36"/>
      <c r="DZ514" s="36"/>
      <c r="EA514" s="25"/>
      <c r="EB514" s="49"/>
      <c r="EC514" s="16">
        <v>1405033</v>
      </c>
      <c r="ED514" s="16" t="s">
        <v>265</v>
      </c>
      <c r="EE514" s="16">
        <v>2</v>
      </c>
    </row>
    <row r="515" spans="11:135" ht="13.5" customHeight="1">
      <c r="K515" s="2"/>
      <c r="L515" s="18"/>
      <c r="O515" s="25"/>
      <c r="AI515" s="28"/>
      <c r="AJ515" s="28"/>
      <c r="AK515" s="28"/>
      <c r="AL515" s="28"/>
      <c r="AM515" s="28"/>
      <c r="AN515" s="28"/>
      <c r="AO515" s="30"/>
      <c r="AP515" s="28"/>
      <c r="AS515" s="28"/>
      <c r="AT515" s="28"/>
      <c r="AU515" s="30"/>
      <c r="AV515" s="28"/>
      <c r="AW515" s="28"/>
      <c r="AX515" s="28"/>
      <c r="AZ515" s="28"/>
      <c r="BA515" s="16" t="e">
        <f t="shared" si="211"/>
        <v>#DIV/0!</v>
      </c>
      <c r="BC515" s="7" t="e">
        <f t="shared" si="206"/>
        <v>#N/A</v>
      </c>
      <c r="BR515" s="7">
        <v>3205032</v>
      </c>
      <c r="BS515" s="9">
        <f>[1]monsters!$N515</f>
        <v>91.52</v>
      </c>
      <c r="BT515" s="9">
        <f>[1]monsters!$O515</f>
        <v>9.15</v>
      </c>
      <c r="BU515" s="9">
        <f>[1]monsters!$P515</f>
        <v>1047.27</v>
      </c>
      <c r="BV515" s="9">
        <f>[1]monsters!$Q515</f>
        <v>104.73</v>
      </c>
      <c r="BW515" s="9">
        <f>[1]monsters!$R515</f>
        <v>11.44</v>
      </c>
      <c r="BX515" s="9">
        <f>[1]monsters!$S515</f>
        <v>1.1399999999999999</v>
      </c>
      <c r="BY515" s="9">
        <f>[1]monsters!$K515</f>
        <v>1.3</v>
      </c>
      <c r="BZ515" s="7">
        <f>[1]monsters!$D515</f>
        <v>3</v>
      </c>
      <c r="CA515" s="7">
        <f t="shared" si="207"/>
        <v>0.1</v>
      </c>
      <c r="CB515" s="7">
        <f t="shared" si="208"/>
        <v>121.74801616161616</v>
      </c>
      <c r="CC515" s="7">
        <f t="shared" si="209"/>
        <v>12.174801616161616</v>
      </c>
      <c r="CD515" s="7"/>
      <c r="CE515" s="7"/>
      <c r="CF515" s="7"/>
      <c r="CG515" s="7"/>
      <c r="CH515" s="7"/>
      <c r="CI515" s="7"/>
      <c r="CJ515" s="7"/>
      <c r="CK515" s="7"/>
      <c r="CL515" s="7"/>
      <c r="CM515" s="7"/>
      <c r="CN515" s="7"/>
      <c r="CO515" s="7"/>
      <c r="CP515" s="7">
        <v>0</v>
      </c>
      <c r="CR515" s="25"/>
      <c r="CS515" s="25"/>
      <c r="CT515" s="25"/>
      <c r="CU515" s="25"/>
      <c r="CV515" s="25"/>
      <c r="CW515" s="25"/>
      <c r="DP515" s="32"/>
      <c r="DQ515" s="32"/>
      <c r="DR515" s="32"/>
      <c r="DS515" s="36"/>
      <c r="DT515" s="36"/>
      <c r="DU515" s="36"/>
      <c r="DV515" s="36"/>
      <c r="DW515" s="36"/>
      <c r="DX515" s="36"/>
      <c r="DY515" s="36"/>
      <c r="DZ515" s="36"/>
      <c r="EA515" s="25"/>
      <c r="EB515" s="49"/>
      <c r="EC515" s="16">
        <v>1303033</v>
      </c>
      <c r="ED515" s="16" t="s">
        <v>266</v>
      </c>
      <c r="EE515" s="16">
        <v>1</v>
      </c>
    </row>
    <row r="516" spans="11:135" ht="13.5" customHeight="1">
      <c r="K516" s="2"/>
      <c r="L516" s="18"/>
      <c r="O516" s="25"/>
      <c r="AI516" s="28"/>
      <c r="AJ516" s="28"/>
      <c r="AK516" s="28"/>
      <c r="AL516" s="28"/>
      <c r="AM516" s="28"/>
      <c r="AN516" s="28"/>
      <c r="AO516" s="30"/>
      <c r="AP516" s="28"/>
      <c r="AS516" s="28"/>
      <c r="AT516" s="28"/>
      <c r="AU516" s="30"/>
      <c r="AV516" s="28"/>
      <c r="AW516" s="28"/>
      <c r="AX516" s="28"/>
      <c r="AZ516" s="28"/>
      <c r="BA516" s="16" t="e">
        <f t="shared" si="211"/>
        <v>#DIV/0!</v>
      </c>
      <c r="BC516" s="7" t="e">
        <f t="shared" si="206"/>
        <v>#N/A</v>
      </c>
      <c r="BR516" s="7">
        <v>3405032</v>
      </c>
      <c r="BS516" s="9">
        <f>[1]monsters!$N516</f>
        <v>126.72</v>
      </c>
      <c r="BT516" s="9">
        <f>[1]monsters!$O516</f>
        <v>12.67</v>
      </c>
      <c r="BU516" s="9">
        <f>[1]monsters!$P516</f>
        <v>1047.27</v>
      </c>
      <c r="BV516" s="9">
        <f>[1]monsters!$Q516</f>
        <v>104.73</v>
      </c>
      <c r="BW516" s="9">
        <f>[1]monsters!$R516</f>
        <v>21.12</v>
      </c>
      <c r="BX516" s="9">
        <f>[1]monsters!$S516</f>
        <v>2.11</v>
      </c>
      <c r="BY516" s="9">
        <f>[1]monsters!$K516</f>
        <v>1.8</v>
      </c>
      <c r="BZ516" s="7">
        <f>[1]monsters!$D516</f>
        <v>5</v>
      </c>
      <c r="CA516" s="7">
        <f t="shared" si="207"/>
        <v>0.1</v>
      </c>
      <c r="CB516" s="7">
        <f t="shared" si="208"/>
        <v>155.01201616161617</v>
      </c>
      <c r="CC516" s="7">
        <f t="shared" si="209"/>
        <v>15.501201616161618</v>
      </c>
      <c r="CD516" s="7"/>
      <c r="CE516" s="7"/>
      <c r="CF516" s="7"/>
      <c r="CG516" s="7"/>
      <c r="CH516" s="7"/>
      <c r="CI516" s="7"/>
      <c r="CJ516" s="7"/>
      <c r="CK516" s="7"/>
      <c r="CL516" s="7"/>
      <c r="CM516" s="7"/>
      <c r="CN516" s="7"/>
      <c r="CO516" s="7"/>
      <c r="CP516" s="7">
        <v>0</v>
      </c>
      <c r="CR516" s="25"/>
      <c r="CS516" s="25"/>
      <c r="CT516" s="25"/>
      <c r="CU516" s="25"/>
      <c r="CV516" s="25"/>
      <c r="CW516" s="25"/>
      <c r="DP516" s="32"/>
      <c r="DQ516" s="32"/>
      <c r="DR516" s="32"/>
      <c r="DS516" s="36"/>
      <c r="DT516" s="36"/>
      <c r="DU516" s="36"/>
      <c r="DV516" s="36"/>
      <c r="DW516" s="36"/>
      <c r="DX516" s="36"/>
      <c r="DY516" s="36"/>
      <c r="DZ516" s="36"/>
      <c r="EA516" s="25"/>
      <c r="EB516" s="20"/>
      <c r="EC516" s="16">
        <v>1504033</v>
      </c>
      <c r="ED516" s="16" t="s">
        <v>267</v>
      </c>
      <c r="EE516" s="16">
        <v>1</v>
      </c>
    </row>
    <row r="517" spans="11:135" ht="13.5" customHeight="1">
      <c r="K517" s="2"/>
      <c r="L517" s="18"/>
      <c r="O517" s="25"/>
      <c r="AI517" s="28"/>
      <c r="AJ517" s="28"/>
      <c r="AK517" s="28"/>
      <c r="AL517" s="28"/>
      <c r="AM517" s="28"/>
      <c r="AN517" s="28"/>
      <c r="AO517" s="30"/>
      <c r="AP517" s="28"/>
      <c r="AS517" s="28"/>
      <c r="AT517" s="28"/>
      <c r="AU517" s="30"/>
      <c r="AV517" s="28"/>
      <c r="AW517" s="28"/>
      <c r="AX517" s="28"/>
      <c r="AZ517" s="28"/>
      <c r="BA517" s="16" t="e">
        <f t="shared" si="211"/>
        <v>#DIV/0!</v>
      </c>
      <c r="BC517" s="7" t="e">
        <f t="shared" ref="BC517:BC580" si="212">FLOOR(POWER(((3000*1.5/0.9/1.05)/(96*INDEX($BD$4:$BO$4,MATCH(W517,$BD$3:$BO$3,0))*8*INDEX($BD$4:$BO$4,MATCH(W517,$BD$3:$BO$3,0)))*AI517/IF(AND(W517&gt;=2,W517&lt;4),1.2,IF(AND(W517&gt;=4,W517&lt;6),1.4,IF(W517&gt;=6,1.6,1)))),1/2)-10,1)</f>
        <v>#N/A</v>
      </c>
      <c r="BR517" s="7">
        <v>3203032</v>
      </c>
      <c r="BS517" s="9">
        <f>[1]monsters!$N517</f>
        <v>92.16</v>
      </c>
      <c r="BT517" s="9">
        <f>[1]monsters!$O517</f>
        <v>9.2200000000000006</v>
      </c>
      <c r="BU517" s="9">
        <f>[1]monsters!$P517</f>
        <v>1280</v>
      </c>
      <c r="BV517" s="9">
        <f>[1]monsters!$Q517</f>
        <v>128</v>
      </c>
      <c r="BW517" s="9">
        <f>[1]monsters!$R517</f>
        <v>18.43</v>
      </c>
      <c r="BX517" s="9">
        <f>[1]monsters!$S517</f>
        <v>1.84</v>
      </c>
      <c r="BY517" s="9">
        <f>[1]monsters!$K517</f>
        <v>1.6</v>
      </c>
      <c r="BZ517" s="7">
        <f>[1]monsters!$D517</f>
        <v>2</v>
      </c>
      <c r="CA517" s="7">
        <f t="shared" ref="CA517:CA580" si="213">INDEX($CH$5:$CH$10,MATCH($BZ517,$CG$5:$CG$10))</f>
        <v>0.1</v>
      </c>
      <c r="CB517" s="7">
        <f t="shared" ref="CB517:CB580" si="214">(BU517/33/(1-CA517)/(1-0)+BS517*(1+0.5*0.1)*0.9)</f>
        <v>130.18884309764309</v>
      </c>
      <c r="CC517" s="7">
        <f t="shared" ref="CC517:CC580" si="215">(BU517/33/(1-CA517)/(1-0)+BS517*(1+0.5*0.1)*0.9)*0.1</f>
        <v>13.01888430976431</v>
      </c>
      <c r="CD517" s="7"/>
      <c r="CE517" s="7"/>
      <c r="CF517" s="7"/>
      <c r="CG517" s="7"/>
      <c r="CH517" s="7"/>
      <c r="CI517" s="7"/>
      <c r="CJ517" s="7"/>
      <c r="CK517" s="7"/>
      <c r="CL517" s="7"/>
      <c r="CM517" s="7"/>
      <c r="CN517" s="7"/>
      <c r="CO517" s="7"/>
      <c r="CP517" s="7">
        <v>0</v>
      </c>
      <c r="CR517" s="25"/>
      <c r="CS517" s="25"/>
      <c r="CT517" s="25"/>
      <c r="CU517" s="25"/>
      <c r="CV517" s="25"/>
      <c r="CW517" s="25"/>
      <c r="DP517" s="32"/>
      <c r="DQ517" s="32"/>
      <c r="DR517" s="32"/>
      <c r="DS517" s="36"/>
      <c r="DT517" s="36"/>
      <c r="DU517" s="36"/>
      <c r="DV517" s="36"/>
      <c r="DW517" s="36"/>
      <c r="DX517" s="36"/>
      <c r="DY517" s="36"/>
      <c r="DZ517" s="36"/>
      <c r="EA517" s="25"/>
      <c r="EB517" s="49"/>
      <c r="EC517" s="16">
        <v>1206033</v>
      </c>
      <c r="ED517" s="16" t="s">
        <v>268</v>
      </c>
      <c r="EE517" s="16">
        <v>1</v>
      </c>
    </row>
    <row r="518" spans="11:135" ht="13.5" customHeight="1">
      <c r="K518" s="2"/>
      <c r="O518" s="25"/>
      <c r="AI518" s="28"/>
      <c r="AJ518" s="28"/>
      <c r="AK518" s="28"/>
      <c r="AL518" s="28"/>
      <c r="AM518" s="28"/>
      <c r="AN518" s="28"/>
      <c r="AO518" s="30"/>
      <c r="AP518" s="28"/>
      <c r="AS518" s="28"/>
      <c r="AT518" s="28"/>
      <c r="AU518" s="30"/>
      <c r="AV518" s="28"/>
      <c r="AW518" s="28"/>
      <c r="AX518" s="28"/>
      <c r="AZ518" s="28"/>
      <c r="BA518" s="16" t="e">
        <f t="shared" si="211"/>
        <v>#DIV/0!</v>
      </c>
      <c r="BC518" s="7" t="e">
        <f t="shared" si="212"/>
        <v>#N/A</v>
      </c>
      <c r="BR518" s="7">
        <v>3403032</v>
      </c>
      <c r="BS518" s="9">
        <f>[1]monsters!$N518</f>
        <v>116.48</v>
      </c>
      <c r="BT518" s="9">
        <f>[1]monsters!$O518</f>
        <v>11.65</v>
      </c>
      <c r="BU518" s="9">
        <f>[1]monsters!$P518</f>
        <v>886.15</v>
      </c>
      <c r="BV518" s="9">
        <f>[1]monsters!$Q518</f>
        <v>88.62</v>
      </c>
      <c r="BW518" s="9">
        <f>[1]monsters!$R518</f>
        <v>11.65</v>
      </c>
      <c r="BX518" s="9">
        <f>[1]monsters!$S518</f>
        <v>1.1599999999999999</v>
      </c>
      <c r="BY518" s="9">
        <f>[1]monsters!$K518</f>
        <v>1.4000000000000001</v>
      </c>
      <c r="BZ518" s="7">
        <f>[1]monsters!$D518</f>
        <v>4</v>
      </c>
      <c r="CA518" s="7">
        <f t="shared" si="213"/>
        <v>0.1</v>
      </c>
      <c r="CB518" s="7">
        <f t="shared" si="214"/>
        <v>139.91030033670035</v>
      </c>
      <c r="CC518" s="7">
        <f t="shared" si="215"/>
        <v>13.991030033670036</v>
      </c>
      <c r="CD518" s="7"/>
      <c r="CE518" s="7"/>
      <c r="CF518" s="7"/>
      <c r="CG518" s="7"/>
      <c r="CH518" s="7"/>
      <c r="CI518" s="7"/>
      <c r="CJ518" s="7"/>
      <c r="CK518" s="7"/>
      <c r="CL518" s="7"/>
      <c r="CM518" s="7"/>
      <c r="CN518" s="7"/>
      <c r="CO518" s="7"/>
      <c r="CP518" s="7">
        <v>1</v>
      </c>
      <c r="CR518" s="25"/>
      <c r="CS518" s="25"/>
      <c r="CT518" s="25"/>
      <c r="CU518" s="25"/>
      <c r="CV518" s="25"/>
      <c r="CW518" s="25"/>
      <c r="DP518" s="32"/>
      <c r="DQ518" s="32"/>
      <c r="DR518" s="32"/>
      <c r="DS518" s="13"/>
      <c r="DT518" s="13"/>
      <c r="DU518" s="13"/>
      <c r="DV518" s="14"/>
      <c r="DW518" s="14"/>
      <c r="DX518" s="14"/>
      <c r="DY518" s="14"/>
      <c r="DZ518" s="14"/>
      <c r="EA518" s="25"/>
      <c r="EB518" s="49"/>
      <c r="EC518" s="16">
        <v>1406033</v>
      </c>
      <c r="ED518" s="16" t="s">
        <v>269</v>
      </c>
      <c r="EE518" s="16">
        <v>2</v>
      </c>
    </row>
    <row r="519" spans="11:135" ht="13.5" customHeight="1">
      <c r="K519" s="2"/>
      <c r="L519" s="18"/>
      <c r="O519" s="25"/>
      <c r="AI519" s="28"/>
      <c r="AJ519" s="28"/>
      <c r="AK519" s="28"/>
      <c r="AL519" s="28"/>
      <c r="AM519" s="28"/>
      <c r="AN519" s="28"/>
      <c r="AO519" s="30"/>
      <c r="AP519" s="28"/>
      <c r="AS519" s="28"/>
      <c r="AT519" s="28"/>
      <c r="AU519" s="30"/>
      <c r="AV519" s="28"/>
      <c r="AW519" s="28"/>
      <c r="AX519" s="28"/>
      <c r="AZ519" s="28"/>
      <c r="BA519" s="16" t="e">
        <f t="shared" si="211"/>
        <v>#DIV/0!</v>
      </c>
      <c r="BC519" s="7" t="e">
        <f t="shared" si="212"/>
        <v>#N/A</v>
      </c>
      <c r="BR519" s="7">
        <v>3204032</v>
      </c>
      <c r="BS519" s="9">
        <f>[1]monsters!$N519</f>
        <v>80.64</v>
      </c>
      <c r="BT519" s="9">
        <f>[1]monsters!$O519</f>
        <v>8.06</v>
      </c>
      <c r="BU519" s="9">
        <f>[1]monsters!$P519</f>
        <v>1280</v>
      </c>
      <c r="BV519" s="9">
        <f>[1]monsters!$Q519</f>
        <v>128</v>
      </c>
      <c r="BW519" s="9">
        <f>[1]monsters!$R519</f>
        <v>16.13</v>
      </c>
      <c r="BX519" s="9">
        <f>[1]monsters!$S519</f>
        <v>1.61</v>
      </c>
      <c r="BY519" s="9">
        <f>[1]monsters!$K519</f>
        <v>1.4000000000000001</v>
      </c>
      <c r="BZ519" s="7">
        <f>[1]monsters!$D519</f>
        <v>2</v>
      </c>
      <c r="CA519" s="7">
        <f t="shared" si="213"/>
        <v>0.1</v>
      </c>
      <c r="CB519" s="7">
        <f t="shared" si="214"/>
        <v>119.30244309764311</v>
      </c>
      <c r="CC519" s="7">
        <f t="shared" si="215"/>
        <v>11.930244309764312</v>
      </c>
      <c r="CD519" s="7"/>
      <c r="CE519" s="7"/>
      <c r="CF519" s="7"/>
      <c r="CG519" s="7"/>
      <c r="CH519" s="7"/>
      <c r="CI519" s="7"/>
      <c r="CJ519" s="7"/>
      <c r="CK519" s="7"/>
      <c r="CL519" s="7"/>
      <c r="CM519" s="7"/>
      <c r="CN519" s="7"/>
      <c r="CO519" s="7"/>
      <c r="CP519" s="7">
        <v>0</v>
      </c>
      <c r="CR519" s="25"/>
      <c r="CS519" s="25"/>
      <c r="CT519" s="25"/>
      <c r="CU519" s="25"/>
      <c r="CV519" s="25"/>
      <c r="CW519" s="25"/>
      <c r="DP519" s="32"/>
      <c r="DQ519" s="32"/>
      <c r="DR519" s="36"/>
      <c r="DS519" s="36"/>
      <c r="DT519" s="32"/>
      <c r="DU519" s="32"/>
      <c r="DV519" s="32"/>
      <c r="DW519" s="32"/>
      <c r="DX519" s="32"/>
      <c r="DY519" s="32"/>
      <c r="DZ519" s="32"/>
      <c r="EA519" s="25"/>
      <c r="EB519" s="49"/>
      <c r="EC519" s="16">
        <v>1204033</v>
      </c>
      <c r="ED519" s="16" t="s">
        <v>270</v>
      </c>
      <c r="EE519" s="16">
        <v>1</v>
      </c>
    </row>
    <row r="520" spans="11:135" ht="13.5" customHeight="1">
      <c r="K520" s="2"/>
      <c r="L520" s="18"/>
      <c r="O520" s="25"/>
      <c r="AI520" s="28"/>
      <c r="AJ520" s="28"/>
      <c r="AK520" s="28"/>
      <c r="AL520" s="28"/>
      <c r="AM520" s="28"/>
      <c r="AN520" s="28"/>
      <c r="AO520" s="30"/>
      <c r="AP520" s="28"/>
      <c r="AS520" s="28"/>
      <c r="AT520" s="28"/>
      <c r="AU520" s="30"/>
      <c r="AV520" s="28"/>
      <c r="AW520" s="28"/>
      <c r="AX520" s="28"/>
      <c r="AZ520" s="28"/>
      <c r="BA520" s="16" t="e">
        <f t="shared" si="211"/>
        <v>#DIV/0!</v>
      </c>
      <c r="BC520" s="7" t="e">
        <f t="shared" si="212"/>
        <v>#N/A</v>
      </c>
      <c r="BR520" s="7">
        <v>3404032</v>
      </c>
      <c r="BS520" s="9">
        <f>[1]monsters!$N520</f>
        <v>133.12</v>
      </c>
      <c r="BT520" s="9">
        <f>[1]monsters!$O520</f>
        <v>13.31</v>
      </c>
      <c r="BU520" s="9">
        <f>[1]monsters!$P520</f>
        <v>886.15</v>
      </c>
      <c r="BV520" s="9">
        <f>[1]monsters!$Q520</f>
        <v>88.62</v>
      </c>
      <c r="BW520" s="9">
        <f>[1]monsters!$R520</f>
        <v>13.31</v>
      </c>
      <c r="BX520" s="9">
        <f>[1]monsters!$S520</f>
        <v>1.33</v>
      </c>
      <c r="BY520" s="9">
        <f>[1]monsters!$K520</f>
        <v>1.6</v>
      </c>
      <c r="BZ520" s="7">
        <f>[1]monsters!$D520</f>
        <v>4</v>
      </c>
      <c r="CA520" s="7">
        <f t="shared" si="213"/>
        <v>0.1</v>
      </c>
      <c r="CB520" s="7">
        <f t="shared" si="214"/>
        <v>155.63510033670036</v>
      </c>
      <c r="CC520" s="7">
        <f t="shared" si="215"/>
        <v>15.563510033670036</v>
      </c>
      <c r="CD520" s="7"/>
      <c r="CE520" s="7"/>
      <c r="CF520" s="7"/>
      <c r="CG520" s="7"/>
      <c r="CH520" s="7"/>
      <c r="CI520" s="7"/>
      <c r="CJ520" s="7"/>
      <c r="CK520" s="7"/>
      <c r="CL520" s="7"/>
      <c r="CM520" s="7"/>
      <c r="CN520" s="7"/>
      <c r="CO520" s="7"/>
      <c r="CP520" s="7">
        <v>0</v>
      </c>
      <c r="CR520" s="25"/>
      <c r="CS520" s="25"/>
      <c r="CT520" s="25"/>
      <c r="CU520" s="25"/>
      <c r="CV520" s="25"/>
      <c r="CW520" s="25"/>
      <c r="DP520" s="32"/>
      <c r="DQ520" s="32"/>
      <c r="DR520" s="32"/>
      <c r="DS520" s="14"/>
      <c r="DT520" s="14"/>
      <c r="DU520" s="14"/>
      <c r="DV520" s="14"/>
      <c r="DW520" s="14"/>
      <c r="DX520" s="14"/>
      <c r="DY520" s="14"/>
      <c r="DZ520" s="14"/>
      <c r="EA520" s="25"/>
      <c r="EB520" s="20"/>
      <c r="EC520" s="16">
        <v>1404033</v>
      </c>
      <c r="ED520" s="16" t="s">
        <v>271</v>
      </c>
      <c r="EE520" s="16">
        <v>2</v>
      </c>
    </row>
    <row r="521" spans="11:135" ht="13.5" customHeight="1">
      <c r="K521" s="2"/>
      <c r="L521" s="18"/>
      <c r="O521" s="25"/>
      <c r="AI521" s="28"/>
      <c r="AJ521" s="28"/>
      <c r="AK521" s="28"/>
      <c r="AL521" s="28"/>
      <c r="AM521" s="28"/>
      <c r="AN521" s="28"/>
      <c r="AO521" s="30"/>
      <c r="AP521" s="28"/>
      <c r="AS521" s="28"/>
      <c r="AT521" s="28"/>
      <c r="AU521" s="30"/>
      <c r="AV521" s="28"/>
      <c r="AW521" s="28"/>
      <c r="AX521" s="28"/>
      <c r="AZ521" s="28"/>
      <c r="BA521" s="16" t="e">
        <f t="shared" si="211"/>
        <v>#DIV/0!</v>
      </c>
      <c r="BC521" s="7" t="e">
        <f t="shared" si="212"/>
        <v>#N/A</v>
      </c>
      <c r="BR521" s="7">
        <v>3303032</v>
      </c>
      <c r="BS521" s="9">
        <f>[1]monsters!$N521</f>
        <v>122.88</v>
      </c>
      <c r="BT521" s="9">
        <f>[1]monsters!$O521</f>
        <v>12.29</v>
      </c>
      <c r="BU521" s="9">
        <f>[1]monsters!$P521</f>
        <v>960</v>
      </c>
      <c r="BV521" s="9">
        <f>[1]monsters!$Q521</f>
        <v>96</v>
      </c>
      <c r="BW521" s="9">
        <f>[1]monsters!$R521</f>
        <v>20.48</v>
      </c>
      <c r="BX521" s="9">
        <f>[1]monsters!$S521</f>
        <v>2.0499999999999998</v>
      </c>
      <c r="BY521" s="9">
        <f>[1]monsters!$K521</f>
        <v>1.6</v>
      </c>
      <c r="BZ521" s="7">
        <f>[1]monsters!$D521</f>
        <v>5</v>
      </c>
      <c r="CA521" s="7">
        <f t="shared" si="213"/>
        <v>0.1</v>
      </c>
      <c r="CB521" s="7">
        <f t="shared" si="214"/>
        <v>148.44483232323233</v>
      </c>
      <c r="CC521" s="7">
        <f t="shared" si="215"/>
        <v>14.844483232323235</v>
      </c>
      <c r="CD521" s="7"/>
      <c r="CE521" s="7"/>
      <c r="CF521" s="7"/>
      <c r="CG521" s="7"/>
      <c r="CH521" s="7"/>
      <c r="CI521" s="7"/>
      <c r="CJ521" s="7"/>
      <c r="CK521" s="7"/>
      <c r="CL521" s="7"/>
      <c r="CM521" s="7"/>
      <c r="CN521" s="7"/>
      <c r="CO521" s="7"/>
      <c r="CP521" s="7">
        <v>0</v>
      </c>
      <c r="CR521" s="25"/>
      <c r="CS521" s="25"/>
      <c r="CT521" s="25"/>
      <c r="CU521" s="25"/>
      <c r="CV521" s="25"/>
      <c r="CW521" s="25"/>
      <c r="DP521" s="32"/>
      <c r="DQ521" s="32"/>
      <c r="DR521" s="36"/>
      <c r="DS521" s="36"/>
      <c r="DT521" s="32"/>
      <c r="DU521" s="32"/>
      <c r="DV521" s="32"/>
      <c r="DW521" s="32"/>
      <c r="DX521" s="32"/>
      <c r="DY521" s="32"/>
      <c r="DZ521" s="32"/>
      <c r="EA521" s="25"/>
      <c r="EB521" s="49"/>
      <c r="EC521" s="16">
        <v>1503033</v>
      </c>
      <c r="ED521" s="16" t="s">
        <v>272</v>
      </c>
      <c r="EE521" s="16">
        <v>1</v>
      </c>
    </row>
    <row r="522" spans="11:135" ht="13.5" customHeight="1">
      <c r="K522" s="2"/>
      <c r="L522" s="18"/>
      <c r="O522" s="25"/>
      <c r="AI522" s="28"/>
      <c r="AJ522" s="28"/>
      <c r="AK522" s="28"/>
      <c r="AL522" s="28"/>
      <c r="AM522" s="28"/>
      <c r="AN522" s="28"/>
      <c r="AO522" s="30"/>
      <c r="AP522" s="28"/>
      <c r="AS522" s="28"/>
      <c r="AT522" s="28"/>
      <c r="AU522" s="30"/>
      <c r="AV522" s="28"/>
      <c r="AW522" s="28"/>
      <c r="AX522" s="28"/>
      <c r="AZ522" s="28"/>
      <c r="BA522" s="16" t="e">
        <f t="shared" si="211"/>
        <v>#DIV/0!</v>
      </c>
      <c r="BC522" s="7" t="e">
        <f t="shared" si="212"/>
        <v>#N/A</v>
      </c>
      <c r="BR522" s="7">
        <v>3304032</v>
      </c>
      <c r="BS522" s="9">
        <f>[1]monsters!$N522</f>
        <v>103.04</v>
      </c>
      <c r="BT522" s="9">
        <f>[1]monsters!$O522</f>
        <v>10.3</v>
      </c>
      <c r="BU522" s="9">
        <f>[1]monsters!$P522</f>
        <v>1001.74</v>
      </c>
      <c r="BV522" s="9">
        <f>[1]monsters!$Q522</f>
        <v>100.17</v>
      </c>
      <c r="BW522" s="9">
        <f>[1]monsters!$R522</f>
        <v>12.88</v>
      </c>
      <c r="BX522" s="9">
        <f>[1]monsters!$S522</f>
        <v>1.29</v>
      </c>
      <c r="BY522" s="9">
        <f>[1]monsters!$K522</f>
        <v>1.4000000000000001</v>
      </c>
      <c r="BZ522" s="7">
        <f>[1]monsters!$D522</f>
        <v>3</v>
      </c>
      <c r="CA522" s="7">
        <f t="shared" si="213"/>
        <v>0.1</v>
      </c>
      <c r="CB522" s="7">
        <f t="shared" si="214"/>
        <v>131.10141952861954</v>
      </c>
      <c r="CC522" s="7">
        <f t="shared" si="215"/>
        <v>13.110141952861955</v>
      </c>
      <c r="CD522" s="7"/>
      <c r="CE522" s="7"/>
      <c r="CF522" s="7"/>
      <c r="CG522" s="7"/>
      <c r="CH522" s="7"/>
      <c r="CI522" s="7"/>
      <c r="CJ522" s="7"/>
      <c r="CK522" s="7"/>
      <c r="CL522" s="7"/>
      <c r="CM522" s="7"/>
      <c r="CN522" s="7"/>
      <c r="CO522" s="7"/>
      <c r="CP522" s="7">
        <v>0</v>
      </c>
      <c r="CR522" s="25"/>
      <c r="CS522" s="25"/>
      <c r="CT522" s="25"/>
      <c r="CU522" s="25"/>
      <c r="CV522" s="25"/>
      <c r="CW522" s="25"/>
      <c r="DP522" s="32"/>
      <c r="DQ522" s="32"/>
      <c r="DR522" s="36"/>
      <c r="DS522" s="36"/>
      <c r="DT522" s="36"/>
      <c r="DU522" s="36"/>
      <c r="DV522" s="36"/>
      <c r="DW522" s="36"/>
      <c r="DX522" s="36"/>
      <c r="DY522" s="36"/>
      <c r="DZ522" s="36"/>
      <c r="EA522" s="25"/>
      <c r="EB522" s="49"/>
      <c r="EC522" s="16">
        <v>1304033</v>
      </c>
      <c r="ED522" s="16" t="s">
        <v>273</v>
      </c>
      <c r="EE522" s="16">
        <v>1</v>
      </c>
    </row>
    <row r="523" spans="11:135" ht="13.5" customHeight="1">
      <c r="K523" s="2"/>
      <c r="O523" s="25"/>
      <c r="AI523" s="28"/>
      <c r="AJ523" s="28"/>
      <c r="AK523" s="28"/>
      <c r="AL523" s="28"/>
      <c r="AM523" s="28"/>
      <c r="AN523" s="28"/>
      <c r="AO523" s="30"/>
      <c r="AP523" s="28"/>
      <c r="AS523" s="28"/>
      <c r="AT523" s="28"/>
      <c r="AU523" s="30"/>
      <c r="AV523" s="28"/>
      <c r="AW523" s="28"/>
      <c r="AX523" s="28"/>
      <c r="AZ523" s="28"/>
      <c r="BA523" s="16" t="e">
        <f t="shared" si="211"/>
        <v>#DIV/0!</v>
      </c>
      <c r="BC523" s="7" t="e">
        <f t="shared" si="212"/>
        <v>#N/A</v>
      </c>
      <c r="BR523" s="7">
        <v>3503032</v>
      </c>
      <c r="BS523" s="9">
        <f>[1]monsters!$N523</f>
        <v>74.88</v>
      </c>
      <c r="BT523" s="9">
        <f>[1]monsters!$O523</f>
        <v>7.49</v>
      </c>
      <c r="BU523" s="9">
        <f>[1]monsters!$P523</f>
        <v>1280</v>
      </c>
      <c r="BV523" s="9">
        <f>[1]monsters!$Q523</f>
        <v>128</v>
      </c>
      <c r="BW523" s="9">
        <f>[1]monsters!$R523</f>
        <v>14.98</v>
      </c>
      <c r="BX523" s="9">
        <f>[1]monsters!$S523</f>
        <v>1.5</v>
      </c>
      <c r="BY523" s="9">
        <f>[1]monsters!$K523</f>
        <v>1.3</v>
      </c>
      <c r="BZ523" s="7">
        <f>[1]monsters!$D523</f>
        <v>2</v>
      </c>
      <c r="CA523" s="7">
        <f t="shared" si="213"/>
        <v>0.1</v>
      </c>
      <c r="CB523" s="7">
        <f t="shared" si="214"/>
        <v>113.8592430976431</v>
      </c>
      <c r="CC523" s="7">
        <f t="shared" si="215"/>
        <v>11.385924309764311</v>
      </c>
      <c r="CD523" s="7"/>
      <c r="CE523" s="7"/>
      <c r="CF523" s="7"/>
      <c r="CG523" s="7"/>
      <c r="CH523" s="7"/>
      <c r="CI523" s="7"/>
      <c r="CJ523" s="7"/>
      <c r="CK523" s="7"/>
      <c r="CL523" s="7"/>
      <c r="CM523" s="7"/>
      <c r="CN523" s="7"/>
      <c r="CO523" s="7"/>
      <c r="CP523" s="7">
        <v>1</v>
      </c>
      <c r="CR523" s="25"/>
      <c r="CS523" s="25"/>
      <c r="CT523" s="25"/>
      <c r="CU523" s="25"/>
      <c r="CV523" s="25"/>
      <c r="CW523" s="25"/>
      <c r="DP523" s="32"/>
      <c r="DQ523" s="36"/>
      <c r="DR523" s="32"/>
      <c r="DS523" s="36"/>
      <c r="DT523" s="36"/>
      <c r="DU523" s="14"/>
      <c r="DV523" s="14"/>
      <c r="DW523" s="14"/>
      <c r="DX523" s="14"/>
      <c r="DY523" s="14"/>
      <c r="DZ523" s="14"/>
      <c r="EA523" s="25"/>
      <c r="EB523" s="20"/>
      <c r="EC523" s="16">
        <v>1203034</v>
      </c>
      <c r="ED523" s="16" t="s">
        <v>274</v>
      </c>
      <c r="EE523" s="16">
        <v>1</v>
      </c>
    </row>
    <row r="524" spans="11:135" ht="13.5" customHeight="1">
      <c r="K524" s="2"/>
      <c r="L524" s="18"/>
      <c r="O524" s="25"/>
      <c r="AI524" s="28"/>
      <c r="AJ524" s="28"/>
      <c r="AK524" s="28"/>
      <c r="AL524" s="28"/>
      <c r="AM524" s="28"/>
      <c r="AN524" s="28"/>
      <c r="AO524" s="30"/>
      <c r="AP524" s="28"/>
      <c r="AS524" s="28"/>
      <c r="AT524" s="28"/>
      <c r="AU524" s="30"/>
      <c r="AV524" s="28"/>
      <c r="AW524" s="28"/>
      <c r="AX524" s="28"/>
      <c r="AZ524" s="28"/>
      <c r="BA524" s="16" t="e">
        <f t="shared" si="211"/>
        <v>#DIV/0!</v>
      </c>
      <c r="BC524" s="7" t="e">
        <f t="shared" si="212"/>
        <v>#N/A</v>
      </c>
      <c r="BR524" s="7">
        <v>3504032</v>
      </c>
      <c r="BS524" s="9">
        <f>[1]monsters!$N524</f>
        <v>99.84</v>
      </c>
      <c r="BT524" s="9">
        <f>[1]monsters!$O524</f>
        <v>9.98</v>
      </c>
      <c r="BU524" s="9">
        <f>[1]monsters!$P524</f>
        <v>960</v>
      </c>
      <c r="BV524" s="9">
        <f>[1]monsters!$Q524</f>
        <v>96</v>
      </c>
      <c r="BW524" s="9">
        <f>[1]monsters!$R524</f>
        <v>9.98</v>
      </c>
      <c r="BX524" s="9">
        <f>[1]monsters!$S524</f>
        <v>1</v>
      </c>
      <c r="BY524" s="9">
        <f>[1]monsters!$K524</f>
        <v>1.3</v>
      </c>
      <c r="BZ524" s="7">
        <f>[1]monsters!$D524</f>
        <v>4</v>
      </c>
      <c r="CA524" s="7">
        <f t="shared" si="213"/>
        <v>0.1</v>
      </c>
      <c r="CB524" s="7">
        <f t="shared" si="214"/>
        <v>126.67203232323233</v>
      </c>
      <c r="CC524" s="7">
        <f t="shared" si="215"/>
        <v>12.667203232323233</v>
      </c>
      <c r="CD524" s="7"/>
      <c r="CE524" s="7"/>
      <c r="CF524" s="7"/>
      <c r="CG524" s="7"/>
      <c r="CH524" s="7"/>
      <c r="CI524" s="7"/>
      <c r="CJ524" s="7"/>
      <c r="CK524" s="7"/>
      <c r="CL524" s="7"/>
      <c r="CM524" s="7"/>
      <c r="CN524" s="7"/>
      <c r="CO524" s="7"/>
      <c r="CP524" s="7">
        <v>0</v>
      </c>
      <c r="CR524" s="25"/>
      <c r="CS524" s="25"/>
      <c r="CT524" s="25"/>
      <c r="CU524" s="25"/>
      <c r="CV524" s="25"/>
      <c r="CW524" s="25"/>
      <c r="DP524" s="32"/>
      <c r="DQ524" s="32"/>
      <c r="DR524" s="32"/>
      <c r="DS524" s="36"/>
      <c r="DT524" s="36"/>
      <c r="DU524" s="36"/>
      <c r="DV524" s="36"/>
      <c r="DW524" s="36"/>
      <c r="DX524" s="36"/>
      <c r="DY524" s="36"/>
      <c r="DZ524" s="36"/>
      <c r="EA524" s="25"/>
      <c r="EB524" s="49"/>
      <c r="EC524" s="16">
        <v>1403034</v>
      </c>
      <c r="ED524" s="16" t="s">
        <v>275</v>
      </c>
      <c r="EE524" s="16">
        <v>2</v>
      </c>
    </row>
    <row r="525" spans="11:135" ht="13.5" customHeight="1">
      <c r="K525" s="2"/>
      <c r="L525" s="18"/>
      <c r="O525" s="25"/>
      <c r="AI525" s="28"/>
      <c r="AJ525" s="28"/>
      <c r="AK525" s="28"/>
      <c r="AL525" s="28"/>
      <c r="AM525" s="28"/>
      <c r="AN525" s="28"/>
      <c r="AO525" s="30"/>
      <c r="AP525" s="28"/>
      <c r="AS525" s="28"/>
      <c r="AT525" s="28"/>
      <c r="AU525" s="30"/>
      <c r="AV525" s="28"/>
      <c r="AW525" s="28"/>
      <c r="AX525" s="28"/>
      <c r="AZ525" s="28"/>
      <c r="BA525" s="16" t="e">
        <f t="shared" si="211"/>
        <v>#DIV/0!</v>
      </c>
      <c r="BC525" s="7" t="e">
        <f t="shared" si="212"/>
        <v>#N/A</v>
      </c>
      <c r="BR525" s="7">
        <v>3101032</v>
      </c>
      <c r="BS525" s="9">
        <f>[1]monsters!$N525</f>
        <v>103.68</v>
      </c>
      <c r="BT525" s="9">
        <f>[1]monsters!$O525</f>
        <v>10.37</v>
      </c>
      <c r="BU525" s="9">
        <f>[1]monsters!$P525</f>
        <v>1280</v>
      </c>
      <c r="BV525" s="9">
        <f>[1]monsters!$Q525</f>
        <v>128</v>
      </c>
      <c r="BW525" s="9">
        <f>[1]monsters!$R525</f>
        <v>20.74</v>
      </c>
      <c r="BX525" s="9">
        <f>[1]monsters!$S525</f>
        <v>2.0699999999999998</v>
      </c>
      <c r="BY525" s="9">
        <f>[1]monsters!$K525</f>
        <v>1.8</v>
      </c>
      <c r="BZ525" s="7">
        <f>[1]monsters!$D525</f>
        <v>2</v>
      </c>
      <c r="CA525" s="7">
        <f t="shared" si="213"/>
        <v>0.1</v>
      </c>
      <c r="CB525" s="7">
        <f t="shared" si="214"/>
        <v>141.07524309764312</v>
      </c>
      <c r="CC525" s="7">
        <f t="shared" si="215"/>
        <v>14.107524309764313</v>
      </c>
      <c r="CD525" s="7"/>
      <c r="CE525" s="7"/>
      <c r="CF525" s="7"/>
      <c r="CG525" s="7"/>
      <c r="CH525" s="7"/>
      <c r="CI525" s="7"/>
      <c r="CJ525" s="7"/>
      <c r="CK525" s="7"/>
      <c r="CL525" s="7"/>
      <c r="CM525" s="7"/>
      <c r="CN525" s="7"/>
      <c r="CO525" s="7"/>
      <c r="CP525" s="7">
        <v>0</v>
      </c>
      <c r="CR525" s="25"/>
      <c r="CS525" s="25"/>
      <c r="CT525" s="25"/>
      <c r="CU525" s="25"/>
      <c r="CV525" s="25"/>
      <c r="CW525" s="25"/>
      <c r="DP525" s="32"/>
      <c r="DQ525" s="32"/>
      <c r="DR525" s="32"/>
      <c r="DS525" s="32"/>
      <c r="DT525" s="32"/>
      <c r="DU525" s="32"/>
      <c r="DV525" s="32"/>
      <c r="DW525" s="32"/>
      <c r="DX525" s="32"/>
      <c r="DY525" s="32"/>
      <c r="DZ525" s="32"/>
      <c r="EA525" s="25"/>
      <c r="EB525" s="49"/>
      <c r="EC525" s="16">
        <v>1205034</v>
      </c>
      <c r="ED525" s="16" t="s">
        <v>276</v>
      </c>
      <c r="EE525" s="16">
        <v>1</v>
      </c>
    </row>
    <row r="526" spans="11:135" ht="13.5" customHeight="1">
      <c r="K526" s="2"/>
      <c r="L526" s="18"/>
      <c r="O526" s="25"/>
      <c r="AI526" s="28"/>
      <c r="AJ526" s="28"/>
      <c r="AK526" s="28"/>
      <c r="AL526" s="28"/>
      <c r="AM526" s="28"/>
      <c r="AN526" s="28"/>
      <c r="AO526" s="30"/>
      <c r="AP526" s="28"/>
      <c r="AS526" s="28"/>
      <c r="AT526" s="28"/>
      <c r="AU526" s="30"/>
      <c r="AV526" s="28"/>
      <c r="AW526" s="28"/>
      <c r="AX526" s="28"/>
      <c r="AZ526" s="28"/>
      <c r="BA526" s="16" t="e">
        <f t="shared" si="211"/>
        <v>#DIV/0!</v>
      </c>
      <c r="BC526" s="7" t="e">
        <f t="shared" si="212"/>
        <v>#N/A</v>
      </c>
      <c r="BR526" s="7">
        <v>3102032</v>
      </c>
      <c r="BS526" s="9">
        <f>[1]monsters!$N526</f>
        <v>120</v>
      </c>
      <c r="BT526" s="9">
        <f>[1]monsters!$O526</f>
        <v>12</v>
      </c>
      <c r="BU526" s="9">
        <f>[1]monsters!$P526</f>
        <v>921.6</v>
      </c>
      <c r="BV526" s="9">
        <f>[1]monsters!$Q526</f>
        <v>92.16</v>
      </c>
      <c r="BW526" s="9">
        <f>[1]monsters!$R526</f>
        <v>12</v>
      </c>
      <c r="BX526" s="9">
        <f>[1]monsters!$S526</f>
        <v>1.2</v>
      </c>
      <c r="BY526" s="9">
        <f>[1]monsters!$K526</f>
        <v>1.5</v>
      </c>
      <c r="BZ526" s="7">
        <f>[1]monsters!$D526</f>
        <v>4</v>
      </c>
      <c r="CA526" s="7">
        <f t="shared" si="213"/>
        <v>0.1</v>
      </c>
      <c r="CB526" s="7">
        <f t="shared" si="214"/>
        <v>144.43030303030304</v>
      </c>
      <c r="CC526" s="7">
        <f t="shared" si="215"/>
        <v>14.443030303030305</v>
      </c>
      <c r="CD526" s="7"/>
      <c r="CE526" s="7"/>
      <c r="CF526" s="7"/>
      <c r="CG526" s="7"/>
      <c r="CH526" s="7"/>
      <c r="CI526" s="7"/>
      <c r="CJ526" s="7"/>
      <c r="CK526" s="7"/>
      <c r="CL526" s="7"/>
      <c r="CM526" s="7"/>
      <c r="CN526" s="7"/>
      <c r="CO526" s="7"/>
      <c r="CP526" s="7">
        <v>0</v>
      </c>
      <c r="CR526" s="25"/>
      <c r="CS526" s="25"/>
      <c r="CT526" s="25"/>
      <c r="CU526" s="25"/>
      <c r="CV526" s="25"/>
      <c r="CW526" s="25"/>
      <c r="DP526" s="32"/>
      <c r="DQ526" s="32"/>
      <c r="DR526" s="32"/>
      <c r="DS526" s="32"/>
      <c r="DT526" s="32"/>
      <c r="DU526" s="32"/>
      <c r="DV526" s="32"/>
      <c r="DW526" s="32"/>
      <c r="DX526" s="32"/>
      <c r="DY526" s="32"/>
      <c r="DZ526" s="32"/>
      <c r="EA526" s="25"/>
      <c r="EB526" s="49"/>
      <c r="EC526" s="16">
        <v>1405034</v>
      </c>
      <c r="ED526" s="16" t="s">
        <v>277</v>
      </c>
      <c r="EE526" s="16">
        <v>2</v>
      </c>
    </row>
    <row r="527" spans="11:135" ht="13.5" customHeight="1">
      <c r="K527" s="2"/>
      <c r="L527" s="18"/>
      <c r="O527" s="25"/>
      <c r="AI527" s="28"/>
      <c r="AJ527" s="28"/>
      <c r="AK527" s="28"/>
      <c r="AL527" s="28"/>
      <c r="AM527" s="28"/>
      <c r="AN527" s="28"/>
      <c r="AO527" s="30"/>
      <c r="AP527" s="28"/>
      <c r="AS527" s="28"/>
      <c r="AT527" s="28"/>
      <c r="AU527" s="30"/>
      <c r="AV527" s="28"/>
      <c r="AW527" s="28"/>
      <c r="AX527" s="28"/>
      <c r="AZ527" s="28"/>
      <c r="BA527" s="16" t="e">
        <f t="shared" si="211"/>
        <v>#DIV/0!</v>
      </c>
      <c r="BC527" s="7" t="e">
        <f t="shared" si="212"/>
        <v>#N/A</v>
      </c>
      <c r="BR527" s="7">
        <v>3206033</v>
      </c>
      <c r="BS527" s="9">
        <f>[1]monsters!$N527</f>
        <v>91.52</v>
      </c>
      <c r="BT527" s="9">
        <f>[1]monsters!$O527</f>
        <v>9.15</v>
      </c>
      <c r="BU527" s="9">
        <f>[1]monsters!$P527</f>
        <v>1047.27</v>
      </c>
      <c r="BV527" s="9">
        <f>[1]monsters!$Q527</f>
        <v>104.73</v>
      </c>
      <c r="BW527" s="9">
        <f>[1]monsters!$R527</f>
        <v>11.44</v>
      </c>
      <c r="BX527" s="9">
        <f>[1]monsters!$S527</f>
        <v>1.1399999999999999</v>
      </c>
      <c r="BY527" s="9">
        <f>[1]monsters!$K527</f>
        <v>1.3</v>
      </c>
      <c r="BZ527" s="7">
        <f>[1]monsters!$D527</f>
        <v>3</v>
      </c>
      <c r="CA527" s="7">
        <f t="shared" si="213"/>
        <v>0.1</v>
      </c>
      <c r="CB527" s="7">
        <f t="shared" si="214"/>
        <v>121.74801616161616</v>
      </c>
      <c r="CC527" s="7">
        <f t="shared" si="215"/>
        <v>12.174801616161616</v>
      </c>
      <c r="CD527" s="7"/>
      <c r="CE527" s="7"/>
      <c r="CF527" s="7"/>
      <c r="CG527" s="7"/>
      <c r="CH527" s="7"/>
      <c r="CI527" s="7"/>
      <c r="CJ527" s="7"/>
      <c r="CK527" s="7"/>
      <c r="CL527" s="7"/>
      <c r="CM527" s="7"/>
      <c r="CN527" s="7"/>
      <c r="CO527" s="7"/>
      <c r="CP527" s="7">
        <v>0</v>
      </c>
      <c r="CR527" s="25"/>
      <c r="CS527" s="25"/>
      <c r="CT527" s="25"/>
      <c r="CU527" s="25"/>
      <c r="CV527" s="25"/>
      <c r="CW527" s="25"/>
      <c r="DP527" s="32"/>
      <c r="DQ527" s="32"/>
      <c r="DR527" s="32"/>
      <c r="DS527" s="32"/>
      <c r="DT527" s="32"/>
      <c r="DU527" s="32"/>
      <c r="DV527" s="32"/>
      <c r="DW527" s="32"/>
      <c r="DX527" s="32"/>
      <c r="DY527" s="32"/>
      <c r="DZ527" s="32"/>
      <c r="EA527" s="25"/>
      <c r="EB527" s="31"/>
      <c r="EC527" s="16">
        <v>1303034</v>
      </c>
      <c r="ED527" s="16" t="s">
        <v>278</v>
      </c>
      <c r="EE527" s="16">
        <v>1</v>
      </c>
    </row>
    <row r="528" spans="11:135" ht="13.5" customHeight="1">
      <c r="K528" s="2"/>
      <c r="O528" s="25"/>
      <c r="AI528" s="28"/>
      <c r="AJ528" s="28"/>
      <c r="AK528" s="28"/>
      <c r="AL528" s="28"/>
      <c r="AM528" s="28"/>
      <c r="AN528" s="28"/>
      <c r="AO528" s="30"/>
      <c r="AP528" s="28"/>
      <c r="AS528" s="28"/>
      <c r="AT528" s="28"/>
      <c r="AU528" s="30"/>
      <c r="AV528" s="28"/>
      <c r="AW528" s="28"/>
      <c r="AX528" s="28"/>
      <c r="AZ528" s="28"/>
      <c r="BA528" s="16" t="e">
        <f t="shared" si="211"/>
        <v>#DIV/0!</v>
      </c>
      <c r="BC528" s="7" t="e">
        <f t="shared" si="212"/>
        <v>#N/A</v>
      </c>
      <c r="BR528" s="7">
        <v>3406033</v>
      </c>
      <c r="BS528" s="9">
        <f>[1]monsters!$N528</f>
        <v>126.72</v>
      </c>
      <c r="BT528" s="9">
        <f>[1]monsters!$O528</f>
        <v>12.67</v>
      </c>
      <c r="BU528" s="9">
        <f>[1]monsters!$P528</f>
        <v>1047.27</v>
      </c>
      <c r="BV528" s="9">
        <f>[1]monsters!$Q528</f>
        <v>104.73</v>
      </c>
      <c r="BW528" s="9">
        <f>[1]monsters!$R528</f>
        <v>21.12</v>
      </c>
      <c r="BX528" s="9">
        <f>[1]monsters!$S528</f>
        <v>2.11</v>
      </c>
      <c r="BY528" s="9">
        <f>[1]monsters!$K528</f>
        <v>1.8</v>
      </c>
      <c r="BZ528" s="7">
        <f>[1]monsters!$D528</f>
        <v>5</v>
      </c>
      <c r="CA528" s="7">
        <f t="shared" si="213"/>
        <v>0.1</v>
      </c>
      <c r="CB528" s="7">
        <f t="shared" si="214"/>
        <v>155.01201616161617</v>
      </c>
      <c r="CC528" s="7">
        <f t="shared" si="215"/>
        <v>15.501201616161618</v>
      </c>
      <c r="CD528" s="7"/>
      <c r="CE528" s="7"/>
      <c r="CF528" s="7"/>
      <c r="CG528" s="7"/>
      <c r="CH528" s="7"/>
      <c r="CI528" s="7"/>
      <c r="CJ528" s="7"/>
      <c r="CK528" s="7"/>
      <c r="CL528" s="7"/>
      <c r="CM528" s="7"/>
      <c r="CN528" s="7"/>
      <c r="CO528" s="7"/>
      <c r="CP528" s="7">
        <v>1</v>
      </c>
      <c r="CR528" s="25"/>
      <c r="CS528" s="25"/>
      <c r="CT528" s="25"/>
      <c r="CU528" s="25"/>
      <c r="CV528" s="25"/>
      <c r="CW528" s="25"/>
      <c r="DP528" s="32"/>
      <c r="DQ528" s="32"/>
      <c r="DR528" s="32"/>
      <c r="DS528" s="32"/>
      <c r="DT528" s="32"/>
      <c r="DU528" s="32"/>
      <c r="DV528" s="32"/>
      <c r="DW528" s="32"/>
      <c r="DX528" s="32"/>
      <c r="DY528" s="32"/>
      <c r="DZ528" s="32"/>
      <c r="EA528" s="25"/>
      <c r="EB528" s="31"/>
      <c r="EC528" s="16">
        <v>1504034</v>
      </c>
      <c r="ED528" s="16" t="s">
        <v>279</v>
      </c>
      <c r="EE528" s="16">
        <v>1</v>
      </c>
    </row>
    <row r="529" spans="11:135" ht="13.5" customHeight="1">
      <c r="K529" s="2"/>
      <c r="L529" s="18"/>
      <c r="O529" s="25"/>
      <c r="AI529" s="28"/>
      <c r="AJ529" s="28"/>
      <c r="AK529" s="28"/>
      <c r="AL529" s="28"/>
      <c r="AM529" s="28"/>
      <c r="AN529" s="28"/>
      <c r="AO529" s="30"/>
      <c r="AP529" s="28"/>
      <c r="AS529" s="28"/>
      <c r="AT529" s="28"/>
      <c r="AU529" s="30"/>
      <c r="AV529" s="28"/>
      <c r="AW529" s="28"/>
      <c r="AX529" s="28"/>
      <c r="AZ529" s="28"/>
      <c r="BA529" s="16" t="e">
        <f t="shared" si="211"/>
        <v>#DIV/0!</v>
      </c>
      <c r="BC529" s="7" t="e">
        <f t="shared" si="212"/>
        <v>#N/A</v>
      </c>
      <c r="BR529" s="7">
        <v>3205033</v>
      </c>
      <c r="BS529" s="9">
        <f>[1]monsters!$N529</f>
        <v>92.16</v>
      </c>
      <c r="BT529" s="9">
        <f>[1]monsters!$O529</f>
        <v>9.2200000000000006</v>
      </c>
      <c r="BU529" s="9">
        <f>[1]monsters!$P529</f>
        <v>1280</v>
      </c>
      <c r="BV529" s="9">
        <f>[1]monsters!$Q529</f>
        <v>128</v>
      </c>
      <c r="BW529" s="9">
        <f>[1]monsters!$R529</f>
        <v>18.43</v>
      </c>
      <c r="BX529" s="9">
        <f>[1]monsters!$S529</f>
        <v>1.84</v>
      </c>
      <c r="BY529" s="9">
        <f>[1]monsters!$K529</f>
        <v>1.6</v>
      </c>
      <c r="BZ529" s="7">
        <f>[1]monsters!$D529</f>
        <v>2</v>
      </c>
      <c r="CA529" s="7">
        <f t="shared" si="213"/>
        <v>0.1</v>
      </c>
      <c r="CB529" s="7">
        <f t="shared" si="214"/>
        <v>130.18884309764309</v>
      </c>
      <c r="CC529" s="7">
        <f t="shared" si="215"/>
        <v>13.01888430976431</v>
      </c>
      <c r="CD529" s="7"/>
      <c r="CE529" s="7"/>
      <c r="CF529" s="7"/>
      <c r="CG529" s="7"/>
      <c r="CH529" s="7"/>
      <c r="CI529" s="7"/>
      <c r="CJ529" s="7"/>
      <c r="CK529" s="7"/>
      <c r="CL529" s="7"/>
      <c r="CM529" s="7"/>
      <c r="CN529" s="7"/>
      <c r="CO529" s="7"/>
      <c r="CP529" s="7">
        <v>0</v>
      </c>
      <c r="CR529" s="25"/>
      <c r="CS529" s="25"/>
      <c r="CT529" s="25"/>
      <c r="CU529" s="25"/>
      <c r="CV529" s="25"/>
      <c r="CW529" s="25"/>
      <c r="DP529" s="32"/>
      <c r="DQ529" s="32"/>
      <c r="DR529" s="32"/>
      <c r="DS529" s="32"/>
      <c r="DT529" s="32"/>
      <c r="DU529" s="32"/>
      <c r="DV529" s="32"/>
      <c r="DW529" s="32"/>
      <c r="DX529" s="32"/>
      <c r="DY529" s="32"/>
      <c r="DZ529" s="32"/>
      <c r="EA529" s="25"/>
      <c r="EB529" s="31"/>
      <c r="EC529" s="16">
        <v>1206034</v>
      </c>
      <c r="ED529" s="16" t="s">
        <v>280</v>
      </c>
      <c r="EE529" s="16">
        <v>1</v>
      </c>
    </row>
    <row r="530" spans="11:135" ht="13.5" customHeight="1">
      <c r="K530" s="2"/>
      <c r="L530" s="18"/>
      <c r="O530" s="25"/>
      <c r="AI530" s="28"/>
      <c r="AJ530" s="28"/>
      <c r="AK530" s="28"/>
      <c r="AL530" s="28"/>
      <c r="AM530" s="28"/>
      <c r="AN530" s="28"/>
      <c r="AO530" s="30"/>
      <c r="AP530" s="28"/>
      <c r="AS530" s="28"/>
      <c r="AT530" s="28"/>
      <c r="AU530" s="30"/>
      <c r="AV530" s="28"/>
      <c r="AW530" s="28"/>
      <c r="AX530" s="28"/>
      <c r="AZ530" s="28"/>
      <c r="BA530" s="16" t="e">
        <f t="shared" si="211"/>
        <v>#DIV/0!</v>
      </c>
      <c r="BC530" s="7" t="e">
        <f t="shared" si="212"/>
        <v>#N/A</v>
      </c>
      <c r="BR530" s="7">
        <v>3405033</v>
      </c>
      <c r="BS530" s="9">
        <f>[1]monsters!$N530</f>
        <v>116.48</v>
      </c>
      <c r="BT530" s="9">
        <f>[1]monsters!$O530</f>
        <v>11.65</v>
      </c>
      <c r="BU530" s="9">
        <f>[1]monsters!$P530</f>
        <v>886.15</v>
      </c>
      <c r="BV530" s="9">
        <f>[1]monsters!$Q530</f>
        <v>88.62</v>
      </c>
      <c r="BW530" s="9">
        <f>[1]monsters!$R530</f>
        <v>11.65</v>
      </c>
      <c r="BX530" s="9">
        <f>[1]monsters!$S530</f>
        <v>1.1599999999999999</v>
      </c>
      <c r="BY530" s="9">
        <f>[1]monsters!$K530</f>
        <v>1.4000000000000001</v>
      </c>
      <c r="BZ530" s="7">
        <f>[1]monsters!$D530</f>
        <v>4</v>
      </c>
      <c r="CA530" s="7">
        <f t="shared" si="213"/>
        <v>0.1</v>
      </c>
      <c r="CB530" s="7">
        <f t="shared" si="214"/>
        <v>139.91030033670035</v>
      </c>
      <c r="CC530" s="7">
        <f t="shared" si="215"/>
        <v>13.991030033670036</v>
      </c>
      <c r="CD530" s="7"/>
      <c r="CE530" s="7"/>
      <c r="CF530" s="7"/>
      <c r="CG530" s="7"/>
      <c r="CH530" s="7"/>
      <c r="CI530" s="7"/>
      <c r="CJ530" s="7"/>
      <c r="CK530" s="7"/>
      <c r="CL530" s="7"/>
      <c r="CM530" s="7"/>
      <c r="CN530" s="7"/>
      <c r="CO530" s="7"/>
      <c r="CP530" s="7">
        <v>0</v>
      </c>
      <c r="CR530" s="25"/>
      <c r="CS530" s="25"/>
      <c r="CT530" s="25"/>
      <c r="CU530" s="25"/>
      <c r="CV530" s="25"/>
      <c r="CW530" s="25"/>
      <c r="DP530" s="32"/>
      <c r="DQ530" s="32"/>
      <c r="DR530" s="32"/>
      <c r="DS530" s="32"/>
      <c r="DT530" s="32"/>
      <c r="DU530" s="32"/>
      <c r="DV530" s="32"/>
      <c r="DW530" s="32"/>
      <c r="DX530" s="32"/>
      <c r="DY530" s="32"/>
      <c r="DZ530" s="32"/>
      <c r="EA530" s="25"/>
      <c r="EB530" s="15"/>
      <c r="EC530" s="16">
        <v>1406034</v>
      </c>
      <c r="ED530" s="16" t="s">
        <v>281</v>
      </c>
      <c r="EE530" s="16">
        <v>2</v>
      </c>
    </row>
    <row r="531" spans="11:135" ht="13.5" customHeight="1">
      <c r="K531" s="2"/>
      <c r="L531" s="18"/>
      <c r="O531" s="25"/>
      <c r="AI531" s="28"/>
      <c r="AJ531" s="28"/>
      <c r="AK531" s="28"/>
      <c r="AL531" s="28"/>
      <c r="AM531" s="28"/>
      <c r="AN531" s="28"/>
      <c r="AO531" s="30"/>
      <c r="AP531" s="28"/>
      <c r="AS531" s="28"/>
      <c r="AT531" s="28"/>
      <c r="AU531" s="30"/>
      <c r="AV531" s="28"/>
      <c r="AW531" s="28"/>
      <c r="AX531" s="28"/>
      <c r="AZ531" s="28"/>
      <c r="BA531" s="16" t="e">
        <f t="shared" si="211"/>
        <v>#DIV/0!</v>
      </c>
      <c r="BC531" s="7" t="e">
        <f t="shared" si="212"/>
        <v>#N/A</v>
      </c>
      <c r="BR531" s="7">
        <v>3203033</v>
      </c>
      <c r="BS531" s="9">
        <f>[1]monsters!$N531</f>
        <v>80.64</v>
      </c>
      <c r="BT531" s="9">
        <f>[1]monsters!$O531</f>
        <v>8.06</v>
      </c>
      <c r="BU531" s="9">
        <f>[1]monsters!$P531</f>
        <v>1280</v>
      </c>
      <c r="BV531" s="9">
        <f>[1]monsters!$Q531</f>
        <v>128</v>
      </c>
      <c r="BW531" s="9">
        <f>[1]monsters!$R531</f>
        <v>16.13</v>
      </c>
      <c r="BX531" s="9">
        <f>[1]monsters!$S531</f>
        <v>1.61</v>
      </c>
      <c r="BY531" s="9">
        <f>[1]monsters!$K531</f>
        <v>1.4000000000000001</v>
      </c>
      <c r="BZ531" s="7">
        <f>[1]monsters!$D531</f>
        <v>2</v>
      </c>
      <c r="CA531" s="7">
        <f t="shared" si="213"/>
        <v>0.1</v>
      </c>
      <c r="CB531" s="7">
        <f t="shared" si="214"/>
        <v>119.30244309764311</v>
      </c>
      <c r="CC531" s="7">
        <f t="shared" si="215"/>
        <v>11.930244309764312</v>
      </c>
      <c r="CD531" s="7"/>
      <c r="CE531" s="7"/>
      <c r="CF531" s="7"/>
      <c r="CG531" s="7"/>
      <c r="CH531" s="7"/>
      <c r="CI531" s="7"/>
      <c r="CJ531" s="7"/>
      <c r="CK531" s="7"/>
      <c r="CL531" s="7"/>
      <c r="CM531" s="7"/>
      <c r="CN531" s="7"/>
      <c r="CO531" s="7"/>
      <c r="CP531" s="7">
        <v>0</v>
      </c>
      <c r="CR531" s="25"/>
      <c r="CS531" s="25"/>
      <c r="CT531" s="25"/>
      <c r="CU531" s="25"/>
      <c r="CV531" s="25"/>
      <c r="CW531" s="25"/>
      <c r="DP531" s="13"/>
      <c r="DQ531" s="13"/>
      <c r="DR531" s="13"/>
      <c r="DS531" s="13"/>
      <c r="DT531" s="13"/>
      <c r="DU531" s="13"/>
      <c r="DV531" s="32"/>
      <c r="DW531" s="32"/>
      <c r="DX531" s="32"/>
      <c r="DY531" s="32"/>
      <c r="DZ531" s="32"/>
      <c r="EA531" s="25"/>
      <c r="EB531" s="31"/>
      <c r="EC531" s="16">
        <v>1204034</v>
      </c>
      <c r="ED531" s="16" t="s">
        <v>282</v>
      </c>
      <c r="EE531" s="16">
        <v>1</v>
      </c>
    </row>
    <row r="532" spans="11:135" ht="13.5" customHeight="1">
      <c r="K532" s="2"/>
      <c r="L532" s="18"/>
      <c r="O532" s="25"/>
      <c r="AI532" s="28"/>
      <c r="AJ532" s="28"/>
      <c r="AK532" s="28"/>
      <c r="AL532" s="28"/>
      <c r="AM532" s="28"/>
      <c r="AN532" s="28"/>
      <c r="AO532" s="30"/>
      <c r="AP532" s="28"/>
      <c r="AS532" s="28"/>
      <c r="AT532" s="28"/>
      <c r="AU532" s="30"/>
      <c r="AV532" s="28"/>
      <c r="AW532" s="28"/>
      <c r="AX532" s="28"/>
      <c r="AZ532" s="28"/>
      <c r="BA532" s="16" t="e">
        <f t="shared" si="211"/>
        <v>#DIV/0!</v>
      </c>
      <c r="BC532" s="7" t="e">
        <f t="shared" si="212"/>
        <v>#N/A</v>
      </c>
      <c r="BR532" s="7">
        <v>3403033</v>
      </c>
      <c r="BS532" s="9">
        <f>[1]monsters!$N532</f>
        <v>133.12</v>
      </c>
      <c r="BT532" s="9">
        <f>[1]monsters!$O532</f>
        <v>13.31</v>
      </c>
      <c r="BU532" s="9">
        <f>[1]monsters!$P532</f>
        <v>886.15</v>
      </c>
      <c r="BV532" s="9">
        <f>[1]monsters!$Q532</f>
        <v>88.62</v>
      </c>
      <c r="BW532" s="9">
        <f>[1]monsters!$R532</f>
        <v>13.31</v>
      </c>
      <c r="BX532" s="9">
        <f>[1]monsters!$S532</f>
        <v>1.33</v>
      </c>
      <c r="BY532" s="9">
        <f>[1]monsters!$K532</f>
        <v>1.6</v>
      </c>
      <c r="BZ532" s="7">
        <f>[1]monsters!$D532</f>
        <v>4</v>
      </c>
      <c r="CA532" s="7">
        <f t="shared" si="213"/>
        <v>0.1</v>
      </c>
      <c r="CB532" s="7">
        <f t="shared" si="214"/>
        <v>155.63510033670036</v>
      </c>
      <c r="CC532" s="7">
        <f t="shared" si="215"/>
        <v>15.563510033670036</v>
      </c>
      <c r="CD532" s="7"/>
      <c r="CE532" s="7"/>
      <c r="CF532" s="7"/>
      <c r="CG532" s="7"/>
      <c r="CH532" s="7"/>
      <c r="CI532" s="7"/>
      <c r="CJ532" s="7"/>
      <c r="CK532" s="7"/>
      <c r="CL532" s="7"/>
      <c r="CM532" s="7"/>
      <c r="CN532" s="7"/>
      <c r="CO532" s="7"/>
      <c r="CP532" s="7">
        <v>0</v>
      </c>
      <c r="CR532" s="25"/>
      <c r="CS532" s="25"/>
      <c r="CT532" s="25"/>
      <c r="CU532" s="25"/>
      <c r="CV532" s="25"/>
      <c r="CW532" s="25"/>
      <c r="DP532" s="32"/>
      <c r="DQ532" s="32"/>
      <c r="DR532" s="32"/>
      <c r="DS532" s="32"/>
      <c r="DT532" s="32"/>
      <c r="DU532" s="32"/>
      <c r="DV532" s="32"/>
      <c r="DW532" s="32"/>
      <c r="DX532" s="32"/>
      <c r="DY532" s="32"/>
      <c r="DZ532" s="32"/>
      <c r="EA532" s="25"/>
      <c r="EB532" s="31"/>
      <c r="EC532" s="16">
        <v>1404034</v>
      </c>
      <c r="ED532" s="16" t="s">
        <v>283</v>
      </c>
      <c r="EE532" s="16">
        <v>2</v>
      </c>
    </row>
    <row r="533" spans="11:135" ht="13.5" customHeight="1">
      <c r="K533" s="2"/>
      <c r="O533" s="25"/>
      <c r="AI533" s="28"/>
      <c r="AJ533" s="28"/>
      <c r="AK533" s="28"/>
      <c r="AL533" s="28"/>
      <c r="AM533" s="28"/>
      <c r="AN533" s="28"/>
      <c r="AO533" s="30"/>
      <c r="AP533" s="28"/>
      <c r="AS533" s="28"/>
      <c r="AT533" s="28"/>
      <c r="AU533" s="30"/>
      <c r="AV533" s="28"/>
      <c r="AW533" s="28"/>
      <c r="AX533" s="28"/>
      <c r="AZ533" s="28"/>
      <c r="BA533" s="16" t="e">
        <f t="shared" si="211"/>
        <v>#DIV/0!</v>
      </c>
      <c r="BC533" s="7" t="e">
        <f t="shared" si="212"/>
        <v>#N/A</v>
      </c>
      <c r="BR533" s="7">
        <v>3204033</v>
      </c>
      <c r="BS533" s="9">
        <f>[1]monsters!$N533</f>
        <v>122.88</v>
      </c>
      <c r="BT533" s="9">
        <f>[1]monsters!$O533</f>
        <v>12.29</v>
      </c>
      <c r="BU533" s="9">
        <f>[1]monsters!$P533</f>
        <v>960</v>
      </c>
      <c r="BV533" s="9">
        <f>[1]monsters!$Q533</f>
        <v>96</v>
      </c>
      <c r="BW533" s="9">
        <f>[1]monsters!$R533</f>
        <v>20.48</v>
      </c>
      <c r="BX533" s="9">
        <f>[1]monsters!$S533</f>
        <v>2.0499999999999998</v>
      </c>
      <c r="BY533" s="9">
        <f>[1]monsters!$K533</f>
        <v>1.6</v>
      </c>
      <c r="BZ533" s="7">
        <f>[1]monsters!$D533</f>
        <v>5</v>
      </c>
      <c r="CA533" s="7">
        <f t="shared" si="213"/>
        <v>0.1</v>
      </c>
      <c r="CB533" s="7">
        <f t="shared" si="214"/>
        <v>148.44483232323233</v>
      </c>
      <c r="CC533" s="7">
        <f t="shared" si="215"/>
        <v>14.844483232323235</v>
      </c>
      <c r="CD533" s="7"/>
      <c r="CE533" s="7"/>
      <c r="CF533" s="7"/>
      <c r="CG533" s="7"/>
      <c r="CH533" s="7"/>
      <c r="CI533" s="7"/>
      <c r="CJ533" s="7"/>
      <c r="CK533" s="7"/>
      <c r="CL533" s="7"/>
      <c r="CM533" s="7"/>
      <c r="CN533" s="7"/>
      <c r="CO533" s="7"/>
      <c r="CP533" s="7">
        <v>1</v>
      </c>
      <c r="CR533" s="25"/>
      <c r="CS533" s="25"/>
      <c r="CT533" s="25"/>
      <c r="CU533" s="25"/>
      <c r="CV533" s="25"/>
      <c r="CW533" s="25"/>
      <c r="DP533" s="32"/>
      <c r="DQ533" s="32"/>
      <c r="DR533" s="32"/>
      <c r="DS533" s="32"/>
      <c r="DT533" s="32"/>
      <c r="DU533" s="32"/>
      <c r="DV533" s="32"/>
      <c r="DW533" s="32"/>
      <c r="DX533" s="32"/>
      <c r="DY533" s="32"/>
      <c r="DZ533" s="32"/>
      <c r="EA533" s="25"/>
      <c r="EB533" s="31"/>
      <c r="EC533" s="16">
        <v>1503034</v>
      </c>
      <c r="ED533" s="16" t="s">
        <v>284</v>
      </c>
      <c r="EE533" s="16">
        <v>1</v>
      </c>
    </row>
    <row r="534" spans="11:135" ht="13.5" customHeight="1">
      <c r="K534" s="2"/>
      <c r="L534" s="18"/>
      <c r="O534" s="25"/>
      <c r="AI534" s="28"/>
      <c r="AJ534" s="28"/>
      <c r="AK534" s="28"/>
      <c r="AL534" s="28"/>
      <c r="AM534" s="28"/>
      <c r="AN534" s="28"/>
      <c r="AO534" s="30"/>
      <c r="AP534" s="28"/>
      <c r="AS534" s="28"/>
      <c r="AT534" s="28"/>
      <c r="AU534" s="30"/>
      <c r="AV534" s="28"/>
      <c r="AW534" s="28"/>
      <c r="AX534" s="28"/>
      <c r="AZ534" s="28"/>
      <c r="BA534" s="16" t="e">
        <f t="shared" si="211"/>
        <v>#DIV/0!</v>
      </c>
      <c r="BC534" s="7" t="e">
        <f t="shared" si="212"/>
        <v>#N/A</v>
      </c>
      <c r="BR534" s="7">
        <v>3404033</v>
      </c>
      <c r="BS534" s="9">
        <f>[1]monsters!$N534</f>
        <v>103.04</v>
      </c>
      <c r="BT534" s="9">
        <f>[1]monsters!$O534</f>
        <v>10.3</v>
      </c>
      <c r="BU534" s="9">
        <f>[1]monsters!$P534</f>
        <v>1001.74</v>
      </c>
      <c r="BV534" s="9">
        <f>[1]monsters!$Q534</f>
        <v>100.17</v>
      </c>
      <c r="BW534" s="9">
        <f>[1]monsters!$R534</f>
        <v>12.88</v>
      </c>
      <c r="BX534" s="9">
        <f>[1]monsters!$S534</f>
        <v>1.29</v>
      </c>
      <c r="BY534" s="9">
        <f>[1]monsters!$K534</f>
        <v>1.4000000000000001</v>
      </c>
      <c r="BZ534" s="7">
        <f>[1]monsters!$D534</f>
        <v>3</v>
      </c>
      <c r="CA534" s="7">
        <f t="shared" si="213"/>
        <v>0.1</v>
      </c>
      <c r="CB534" s="7">
        <f t="shared" si="214"/>
        <v>131.10141952861954</v>
      </c>
      <c r="CC534" s="7">
        <f t="shared" si="215"/>
        <v>13.110141952861955</v>
      </c>
      <c r="CD534" s="7"/>
      <c r="CE534" s="7"/>
      <c r="CF534" s="7"/>
      <c r="CG534" s="7"/>
      <c r="CH534" s="7"/>
      <c r="CI534" s="7"/>
      <c r="CJ534" s="7"/>
      <c r="CK534" s="7"/>
      <c r="CL534" s="7"/>
      <c r="CM534" s="7"/>
      <c r="CN534" s="7"/>
      <c r="CO534" s="7"/>
      <c r="CP534" s="7">
        <v>0</v>
      </c>
      <c r="CR534" s="25"/>
      <c r="CS534" s="25"/>
      <c r="CT534" s="25"/>
      <c r="CU534" s="25"/>
      <c r="CV534" s="25"/>
      <c r="CW534" s="25"/>
      <c r="DP534" s="32"/>
      <c r="DQ534" s="32"/>
      <c r="DR534" s="32"/>
      <c r="DS534" s="32"/>
      <c r="DT534" s="32"/>
      <c r="DU534" s="32"/>
      <c r="DV534" s="32"/>
      <c r="DW534" s="32"/>
      <c r="DX534" s="32"/>
      <c r="DY534" s="32"/>
      <c r="DZ534" s="32"/>
      <c r="EA534" s="25"/>
      <c r="EB534" s="15"/>
      <c r="EC534" s="16">
        <v>1304034</v>
      </c>
      <c r="ED534" s="16" t="s">
        <v>285</v>
      </c>
      <c r="EE534" s="16">
        <v>1</v>
      </c>
    </row>
    <row r="535" spans="11:135" ht="13.5" customHeight="1">
      <c r="K535" s="2"/>
      <c r="L535" s="18"/>
      <c r="O535" s="25"/>
      <c r="AI535" s="28"/>
      <c r="AJ535" s="28"/>
      <c r="AK535" s="28"/>
      <c r="AL535" s="28"/>
      <c r="AM535" s="28"/>
      <c r="AN535" s="28"/>
      <c r="AO535" s="30"/>
      <c r="AP535" s="28"/>
      <c r="AS535" s="28"/>
      <c r="AT535" s="28"/>
      <c r="AU535" s="30"/>
      <c r="AV535" s="28"/>
      <c r="AW535" s="28"/>
      <c r="AX535" s="28"/>
      <c r="AZ535" s="28"/>
      <c r="BA535" s="16" t="e">
        <f t="shared" si="211"/>
        <v>#DIV/0!</v>
      </c>
      <c r="BC535" s="7" t="e">
        <f t="shared" si="212"/>
        <v>#N/A</v>
      </c>
      <c r="BR535" s="7">
        <v>3303033</v>
      </c>
      <c r="BS535" s="9">
        <f>[1]monsters!$N535</f>
        <v>74.88</v>
      </c>
      <c r="BT535" s="9">
        <f>[1]monsters!$O535</f>
        <v>7.49</v>
      </c>
      <c r="BU535" s="9">
        <f>[1]monsters!$P535</f>
        <v>1280</v>
      </c>
      <c r="BV535" s="9">
        <f>[1]monsters!$Q535</f>
        <v>128</v>
      </c>
      <c r="BW535" s="9">
        <f>[1]monsters!$R535</f>
        <v>14.98</v>
      </c>
      <c r="BX535" s="9">
        <f>[1]monsters!$S535</f>
        <v>1.5</v>
      </c>
      <c r="BY535" s="9">
        <f>[1]monsters!$K535</f>
        <v>1.3</v>
      </c>
      <c r="BZ535" s="7">
        <f>[1]monsters!$D535</f>
        <v>2</v>
      </c>
      <c r="CA535" s="7">
        <f t="shared" si="213"/>
        <v>0.1</v>
      </c>
      <c r="CB535" s="7">
        <f t="shared" si="214"/>
        <v>113.8592430976431</v>
      </c>
      <c r="CC535" s="7">
        <f t="shared" si="215"/>
        <v>11.385924309764311</v>
      </c>
      <c r="CD535" s="7"/>
      <c r="CE535" s="7"/>
      <c r="CF535" s="7"/>
      <c r="CG535" s="7"/>
      <c r="CH535" s="7"/>
      <c r="CI535" s="7"/>
      <c r="CJ535" s="7"/>
      <c r="CK535" s="7"/>
      <c r="CL535" s="7"/>
      <c r="CM535" s="7"/>
      <c r="CN535" s="7"/>
      <c r="CO535" s="7"/>
      <c r="CP535" s="7">
        <v>0</v>
      </c>
      <c r="CR535" s="25"/>
      <c r="CS535" s="25"/>
      <c r="CT535" s="25"/>
      <c r="CU535" s="25"/>
      <c r="CV535" s="25"/>
      <c r="CW535" s="25"/>
      <c r="DP535" s="32"/>
      <c r="DQ535" s="32"/>
      <c r="DR535" s="32"/>
      <c r="DS535" s="32"/>
      <c r="DT535" s="32"/>
      <c r="DU535" s="32"/>
      <c r="DV535" s="32"/>
      <c r="DW535" s="32"/>
      <c r="DX535" s="32"/>
      <c r="DY535" s="32"/>
      <c r="DZ535" s="32"/>
      <c r="EA535" s="25"/>
      <c r="EB535" s="31"/>
      <c r="EC535" s="16">
        <v>1203035</v>
      </c>
      <c r="ED535" s="16" t="s">
        <v>286</v>
      </c>
      <c r="EE535" s="16">
        <v>1</v>
      </c>
    </row>
    <row r="536" spans="11:135" ht="13.5" customHeight="1">
      <c r="K536" s="2"/>
      <c r="L536" s="18"/>
      <c r="O536" s="25"/>
      <c r="AI536" s="28"/>
      <c r="AJ536" s="28"/>
      <c r="AK536" s="28"/>
      <c r="AL536" s="28"/>
      <c r="AM536" s="28"/>
      <c r="AN536" s="28"/>
      <c r="AO536" s="30"/>
      <c r="AP536" s="28"/>
      <c r="AS536" s="28"/>
      <c r="AT536" s="28"/>
      <c r="AU536" s="30"/>
      <c r="AV536" s="28"/>
      <c r="AW536" s="28"/>
      <c r="AX536" s="28"/>
      <c r="AZ536" s="28"/>
      <c r="BA536" s="16" t="e">
        <f t="shared" si="211"/>
        <v>#DIV/0!</v>
      </c>
      <c r="BC536" s="7" t="e">
        <f t="shared" si="212"/>
        <v>#N/A</v>
      </c>
      <c r="BR536" s="7">
        <v>3304033</v>
      </c>
      <c r="BS536" s="9">
        <f>[1]monsters!$N536</f>
        <v>99.84</v>
      </c>
      <c r="BT536" s="9">
        <f>[1]monsters!$O536</f>
        <v>9.98</v>
      </c>
      <c r="BU536" s="9">
        <f>[1]monsters!$P536</f>
        <v>960</v>
      </c>
      <c r="BV536" s="9">
        <f>[1]monsters!$Q536</f>
        <v>96</v>
      </c>
      <c r="BW536" s="9">
        <f>[1]monsters!$R536</f>
        <v>9.98</v>
      </c>
      <c r="BX536" s="9">
        <f>[1]monsters!$S536</f>
        <v>1</v>
      </c>
      <c r="BY536" s="9">
        <f>[1]monsters!$K536</f>
        <v>1.3</v>
      </c>
      <c r="BZ536" s="7">
        <f>[1]monsters!$D536</f>
        <v>4</v>
      </c>
      <c r="CA536" s="7">
        <f t="shared" si="213"/>
        <v>0.1</v>
      </c>
      <c r="CB536" s="7">
        <f t="shared" si="214"/>
        <v>126.67203232323233</v>
      </c>
      <c r="CC536" s="7">
        <f t="shared" si="215"/>
        <v>12.667203232323233</v>
      </c>
      <c r="CD536" s="7"/>
      <c r="CE536" s="7"/>
      <c r="CF536" s="7"/>
      <c r="CG536" s="7"/>
      <c r="CH536" s="7"/>
      <c r="CI536" s="7"/>
      <c r="CJ536" s="7"/>
      <c r="CK536" s="7"/>
      <c r="CL536" s="7"/>
      <c r="CM536" s="7"/>
      <c r="CN536" s="7"/>
      <c r="CO536" s="7"/>
      <c r="CP536" s="7">
        <v>0</v>
      </c>
      <c r="CR536" s="25"/>
      <c r="CS536" s="25"/>
      <c r="CT536" s="25"/>
      <c r="CU536" s="25"/>
      <c r="CV536" s="25"/>
      <c r="CW536" s="25"/>
      <c r="DP536" s="32"/>
      <c r="DQ536" s="32"/>
      <c r="DR536" s="32"/>
      <c r="DS536" s="32"/>
      <c r="DT536" s="32"/>
      <c r="DU536" s="32"/>
      <c r="DV536" s="32"/>
      <c r="DW536" s="32"/>
      <c r="DX536" s="32"/>
      <c r="DY536" s="32"/>
      <c r="DZ536" s="32"/>
      <c r="EA536" s="25"/>
      <c r="EB536" s="31"/>
      <c r="EC536" s="16">
        <v>1403035</v>
      </c>
      <c r="ED536" s="16" t="s">
        <v>287</v>
      </c>
      <c r="EE536" s="16">
        <v>2</v>
      </c>
    </row>
    <row r="537" spans="11:135" ht="13.5" customHeight="1">
      <c r="K537" s="2"/>
      <c r="L537" s="18"/>
      <c r="O537" s="25"/>
      <c r="AI537" s="28"/>
      <c r="AJ537" s="28"/>
      <c r="AK537" s="28"/>
      <c r="AL537" s="28"/>
      <c r="AM537" s="28"/>
      <c r="AN537" s="28"/>
      <c r="AO537" s="30"/>
      <c r="AP537" s="28"/>
      <c r="AS537" s="28"/>
      <c r="AT537" s="28"/>
      <c r="AU537" s="30"/>
      <c r="AV537" s="28"/>
      <c r="AW537" s="28"/>
      <c r="AX537" s="28"/>
      <c r="AZ537" s="28"/>
      <c r="BA537" s="16" t="e">
        <f t="shared" si="211"/>
        <v>#DIV/0!</v>
      </c>
      <c r="BC537" s="7" t="e">
        <f t="shared" si="212"/>
        <v>#N/A</v>
      </c>
      <c r="BR537" s="7">
        <v>3503033</v>
      </c>
      <c r="BS537" s="9">
        <f>[1]monsters!$N537</f>
        <v>103.68</v>
      </c>
      <c r="BT537" s="9">
        <f>[1]monsters!$O537</f>
        <v>10.37</v>
      </c>
      <c r="BU537" s="9">
        <f>[1]monsters!$P537</f>
        <v>1280</v>
      </c>
      <c r="BV537" s="9">
        <f>[1]monsters!$Q537</f>
        <v>128</v>
      </c>
      <c r="BW537" s="9">
        <f>[1]monsters!$R537</f>
        <v>20.74</v>
      </c>
      <c r="BX537" s="9">
        <f>[1]monsters!$S537</f>
        <v>2.0699999999999998</v>
      </c>
      <c r="BY537" s="9">
        <f>[1]monsters!$K537</f>
        <v>1.8</v>
      </c>
      <c r="BZ537" s="7">
        <f>[1]monsters!$D537</f>
        <v>2</v>
      </c>
      <c r="CA537" s="7">
        <f t="shared" si="213"/>
        <v>0.1</v>
      </c>
      <c r="CB537" s="7">
        <f t="shared" si="214"/>
        <v>141.07524309764312</v>
      </c>
      <c r="CC537" s="7">
        <f t="shared" si="215"/>
        <v>14.107524309764313</v>
      </c>
      <c r="CD537" s="7"/>
      <c r="CE537" s="7"/>
      <c r="CF537" s="7"/>
      <c r="CG537" s="7"/>
      <c r="CH537" s="7"/>
      <c r="CI537" s="7"/>
      <c r="CJ537" s="7"/>
      <c r="CK537" s="7"/>
      <c r="CL537" s="7"/>
      <c r="CM537" s="7"/>
      <c r="CN537" s="7"/>
      <c r="CO537" s="7"/>
      <c r="CP537" s="7">
        <v>0</v>
      </c>
      <c r="CR537" s="25"/>
      <c r="CS537" s="25"/>
      <c r="CT537" s="25"/>
      <c r="CU537" s="25"/>
      <c r="CV537" s="25"/>
      <c r="CW537" s="25"/>
      <c r="DP537" s="32"/>
      <c r="DQ537" s="32"/>
      <c r="DR537" s="32"/>
      <c r="DS537" s="32"/>
      <c r="DT537" s="32"/>
      <c r="DU537" s="32"/>
      <c r="DV537" s="32"/>
      <c r="DW537" s="32"/>
      <c r="DX537" s="32"/>
      <c r="DY537" s="32"/>
      <c r="DZ537" s="32"/>
      <c r="EA537" s="25"/>
      <c r="EB537" s="15"/>
      <c r="EC537" s="16">
        <v>1205035</v>
      </c>
      <c r="ED537" s="16" t="s">
        <v>288</v>
      </c>
      <c r="EE537" s="16">
        <v>1</v>
      </c>
    </row>
    <row r="538" spans="11:135" ht="13.5" customHeight="1">
      <c r="K538" s="2"/>
      <c r="O538" s="25"/>
      <c r="AI538" s="28"/>
      <c r="AJ538" s="28"/>
      <c r="AK538" s="28"/>
      <c r="AL538" s="28"/>
      <c r="AM538" s="28"/>
      <c r="AN538" s="28"/>
      <c r="AO538" s="30"/>
      <c r="AP538" s="28"/>
      <c r="AS538" s="28"/>
      <c r="AT538" s="28"/>
      <c r="AU538" s="30"/>
      <c r="AV538" s="28"/>
      <c r="AW538" s="28"/>
      <c r="AX538" s="28"/>
      <c r="AZ538" s="28"/>
      <c r="BA538" s="16" t="e">
        <f t="shared" si="211"/>
        <v>#DIV/0!</v>
      </c>
      <c r="BC538" s="7" t="e">
        <f t="shared" si="212"/>
        <v>#N/A</v>
      </c>
      <c r="BR538" s="7">
        <v>3504033</v>
      </c>
      <c r="BS538" s="9">
        <f>[1]monsters!$N538</f>
        <v>120</v>
      </c>
      <c r="BT538" s="9">
        <f>[1]monsters!$O538</f>
        <v>12</v>
      </c>
      <c r="BU538" s="9">
        <f>[1]monsters!$P538</f>
        <v>921.6</v>
      </c>
      <c r="BV538" s="9">
        <f>[1]monsters!$Q538</f>
        <v>92.16</v>
      </c>
      <c r="BW538" s="9">
        <f>[1]monsters!$R538</f>
        <v>12</v>
      </c>
      <c r="BX538" s="9">
        <f>[1]monsters!$S538</f>
        <v>1.2</v>
      </c>
      <c r="BY538" s="9">
        <f>[1]monsters!$K538</f>
        <v>1.5</v>
      </c>
      <c r="BZ538" s="7">
        <f>[1]monsters!$D538</f>
        <v>4</v>
      </c>
      <c r="CA538" s="7">
        <f t="shared" si="213"/>
        <v>0.1</v>
      </c>
      <c r="CB538" s="7">
        <f t="shared" si="214"/>
        <v>144.43030303030304</v>
      </c>
      <c r="CC538" s="7">
        <f t="shared" si="215"/>
        <v>14.443030303030305</v>
      </c>
      <c r="CD538" s="7"/>
      <c r="CE538" s="7"/>
      <c r="CF538" s="7"/>
      <c r="CG538" s="7"/>
      <c r="CH538" s="7"/>
      <c r="CI538" s="7"/>
      <c r="CJ538" s="7"/>
      <c r="CK538" s="7"/>
      <c r="CL538" s="7"/>
      <c r="CM538" s="7"/>
      <c r="CN538" s="7"/>
      <c r="CO538" s="7"/>
      <c r="CP538" s="7">
        <v>1</v>
      </c>
      <c r="CR538" s="25"/>
      <c r="CS538" s="25"/>
      <c r="CT538" s="25"/>
      <c r="CU538" s="25"/>
      <c r="CV538" s="25"/>
      <c r="CW538" s="25"/>
      <c r="DP538" s="32"/>
      <c r="DQ538" s="32"/>
      <c r="DR538" s="32"/>
      <c r="DS538" s="32"/>
      <c r="DT538" s="32"/>
      <c r="DU538" s="32"/>
      <c r="DV538" s="32"/>
      <c r="DW538" s="32"/>
      <c r="DX538" s="32"/>
      <c r="DY538" s="32"/>
      <c r="DZ538" s="32"/>
      <c r="EA538" s="25"/>
      <c r="EB538" s="31"/>
      <c r="EC538" s="16">
        <v>1405035</v>
      </c>
      <c r="ED538" s="16" t="s">
        <v>289</v>
      </c>
      <c r="EE538" s="16">
        <v>2</v>
      </c>
    </row>
    <row r="539" spans="11:135" ht="13.5" customHeight="1">
      <c r="K539" s="2"/>
      <c r="L539" s="18"/>
      <c r="O539" s="25"/>
      <c r="AI539" s="28"/>
      <c r="AJ539" s="28"/>
      <c r="AK539" s="28"/>
      <c r="AL539" s="28"/>
      <c r="AM539" s="28"/>
      <c r="AN539" s="28"/>
      <c r="AO539" s="30"/>
      <c r="AP539" s="28"/>
      <c r="AS539" s="28"/>
      <c r="AT539" s="28"/>
      <c r="AU539" s="30"/>
      <c r="AV539" s="28"/>
      <c r="AW539" s="28"/>
      <c r="AX539" s="28"/>
      <c r="AZ539" s="28"/>
      <c r="BA539" s="16" t="e">
        <f t="shared" si="211"/>
        <v>#DIV/0!</v>
      </c>
      <c r="BC539" s="7" t="e">
        <f t="shared" si="212"/>
        <v>#N/A</v>
      </c>
      <c r="BR539" s="7">
        <v>3101033</v>
      </c>
      <c r="BS539" s="9">
        <f>[1]monsters!$N539</f>
        <v>91.52</v>
      </c>
      <c r="BT539" s="9">
        <f>[1]monsters!$O539</f>
        <v>9.15</v>
      </c>
      <c r="BU539" s="9">
        <f>[1]monsters!$P539</f>
        <v>1047.27</v>
      </c>
      <c r="BV539" s="9">
        <f>[1]monsters!$Q539</f>
        <v>104.73</v>
      </c>
      <c r="BW539" s="9">
        <f>[1]monsters!$R539</f>
        <v>11.44</v>
      </c>
      <c r="BX539" s="9">
        <f>[1]monsters!$S539</f>
        <v>1.1399999999999999</v>
      </c>
      <c r="BY539" s="9">
        <f>[1]monsters!$K539</f>
        <v>1.3</v>
      </c>
      <c r="BZ539" s="7">
        <f>[1]monsters!$D539</f>
        <v>3</v>
      </c>
      <c r="CA539" s="7">
        <f t="shared" si="213"/>
        <v>0.1</v>
      </c>
      <c r="CB539" s="7">
        <f t="shared" si="214"/>
        <v>121.74801616161616</v>
      </c>
      <c r="CC539" s="7">
        <f t="shared" si="215"/>
        <v>12.174801616161616</v>
      </c>
      <c r="CD539" s="7"/>
      <c r="CE539" s="7"/>
      <c r="CF539" s="7"/>
      <c r="CG539" s="7"/>
      <c r="CH539" s="7"/>
      <c r="CI539" s="7"/>
      <c r="CJ539" s="7"/>
      <c r="CK539" s="7"/>
      <c r="CL539" s="7"/>
      <c r="CM539" s="7"/>
      <c r="CN539" s="7"/>
      <c r="CO539" s="7"/>
      <c r="CP539" s="7">
        <v>0</v>
      </c>
      <c r="CR539" s="25"/>
      <c r="CS539" s="25"/>
      <c r="CT539" s="25"/>
      <c r="CU539" s="25"/>
      <c r="CV539" s="25"/>
      <c r="CW539" s="25"/>
      <c r="DP539" s="32"/>
      <c r="DQ539" s="32"/>
      <c r="DR539" s="32"/>
      <c r="DS539" s="32"/>
      <c r="DT539" s="32"/>
      <c r="DU539" s="32"/>
      <c r="DV539" s="32"/>
      <c r="DW539" s="32"/>
      <c r="DX539" s="32"/>
      <c r="DY539" s="32"/>
      <c r="DZ539" s="32"/>
      <c r="EA539" s="25"/>
      <c r="EB539" s="31"/>
      <c r="EC539" s="16">
        <v>1303035</v>
      </c>
      <c r="ED539" s="16" t="s">
        <v>290</v>
      </c>
      <c r="EE539" s="16">
        <v>1</v>
      </c>
    </row>
    <row r="540" spans="11:135" ht="13.5" customHeight="1">
      <c r="K540" s="2"/>
      <c r="L540" s="18"/>
      <c r="O540" s="25"/>
      <c r="AI540" s="28"/>
      <c r="AJ540" s="28"/>
      <c r="AK540" s="28"/>
      <c r="AL540" s="28"/>
      <c r="AM540" s="28"/>
      <c r="AN540" s="28"/>
      <c r="AO540" s="30"/>
      <c r="AP540" s="28"/>
      <c r="AS540" s="28"/>
      <c r="AT540" s="28"/>
      <c r="AU540" s="30"/>
      <c r="AV540" s="28"/>
      <c r="AW540" s="28"/>
      <c r="AX540" s="28"/>
      <c r="AZ540" s="28"/>
      <c r="BA540" s="16" t="e">
        <f t="shared" si="211"/>
        <v>#DIV/0!</v>
      </c>
      <c r="BC540" s="7" t="e">
        <f t="shared" si="212"/>
        <v>#N/A</v>
      </c>
      <c r="BR540" s="7">
        <v>3102033</v>
      </c>
      <c r="BS540" s="9">
        <f>[1]monsters!$N540</f>
        <v>126.72</v>
      </c>
      <c r="BT540" s="9">
        <f>[1]monsters!$O540</f>
        <v>12.67</v>
      </c>
      <c r="BU540" s="9">
        <f>[1]monsters!$P540</f>
        <v>1047.27</v>
      </c>
      <c r="BV540" s="9">
        <f>[1]monsters!$Q540</f>
        <v>104.73</v>
      </c>
      <c r="BW540" s="9">
        <f>[1]monsters!$R540</f>
        <v>21.12</v>
      </c>
      <c r="BX540" s="9">
        <f>[1]monsters!$S540</f>
        <v>2.11</v>
      </c>
      <c r="BY540" s="9">
        <f>[1]monsters!$K540</f>
        <v>1.8</v>
      </c>
      <c r="BZ540" s="7">
        <f>[1]monsters!$D540</f>
        <v>5</v>
      </c>
      <c r="CA540" s="7">
        <f t="shared" si="213"/>
        <v>0.1</v>
      </c>
      <c r="CB540" s="7">
        <f t="shared" si="214"/>
        <v>155.01201616161617</v>
      </c>
      <c r="CC540" s="7">
        <f t="shared" si="215"/>
        <v>15.501201616161618</v>
      </c>
      <c r="CD540" s="7"/>
      <c r="CE540" s="7"/>
      <c r="CF540" s="7"/>
      <c r="CG540" s="7"/>
      <c r="CH540" s="7"/>
      <c r="CI540" s="7"/>
      <c r="CJ540" s="7"/>
      <c r="CK540" s="7"/>
      <c r="CL540" s="7"/>
      <c r="CM540" s="7"/>
      <c r="CN540" s="7"/>
      <c r="CO540" s="7"/>
      <c r="CP540" s="7">
        <v>0</v>
      </c>
      <c r="CR540" s="25"/>
      <c r="CS540" s="25"/>
      <c r="CT540" s="25"/>
      <c r="CU540" s="25"/>
      <c r="CV540" s="25"/>
      <c r="CW540" s="25"/>
      <c r="DP540" s="32"/>
      <c r="DQ540" s="32"/>
      <c r="DR540" s="32"/>
      <c r="DS540" s="32"/>
      <c r="DT540" s="32"/>
      <c r="DU540" s="32"/>
      <c r="DV540" s="32"/>
      <c r="DW540" s="32"/>
      <c r="DX540" s="32"/>
      <c r="DY540" s="32"/>
      <c r="DZ540" s="32"/>
      <c r="EA540" s="25"/>
      <c r="EB540" s="31"/>
      <c r="EC540" s="16">
        <v>1504035</v>
      </c>
      <c r="ED540" s="16" t="s">
        <v>291</v>
      </c>
      <c r="EE540" s="16">
        <v>1</v>
      </c>
    </row>
    <row r="541" spans="11:135" ht="13.5" customHeight="1">
      <c r="K541" s="2"/>
      <c r="L541" s="18"/>
      <c r="O541" s="25"/>
      <c r="AI541" s="28"/>
      <c r="AJ541" s="28"/>
      <c r="AK541" s="28"/>
      <c r="AL541" s="28"/>
      <c r="AM541" s="28"/>
      <c r="AN541" s="28"/>
      <c r="AO541" s="30"/>
      <c r="AP541" s="28"/>
      <c r="AS541" s="28"/>
      <c r="AT541" s="28"/>
      <c r="AU541" s="30"/>
      <c r="AV541" s="28"/>
      <c r="AW541" s="28"/>
      <c r="AX541" s="28"/>
      <c r="AZ541" s="28"/>
      <c r="BA541" s="16" t="e">
        <f t="shared" si="211"/>
        <v>#DIV/0!</v>
      </c>
      <c r="BC541" s="7" t="e">
        <f t="shared" si="212"/>
        <v>#N/A</v>
      </c>
      <c r="BR541" s="7">
        <v>3206034</v>
      </c>
      <c r="BS541" s="9">
        <f>[1]monsters!$N541</f>
        <v>92.16</v>
      </c>
      <c r="BT541" s="9">
        <f>[1]monsters!$O541</f>
        <v>9.2200000000000006</v>
      </c>
      <c r="BU541" s="9">
        <f>[1]monsters!$P541</f>
        <v>1280</v>
      </c>
      <c r="BV541" s="9">
        <f>[1]monsters!$Q541</f>
        <v>128</v>
      </c>
      <c r="BW541" s="9">
        <f>[1]monsters!$R541</f>
        <v>18.43</v>
      </c>
      <c r="BX541" s="9">
        <f>[1]monsters!$S541</f>
        <v>1.84</v>
      </c>
      <c r="BY541" s="9">
        <f>[1]monsters!$K541</f>
        <v>1.6</v>
      </c>
      <c r="BZ541" s="7">
        <f>[1]monsters!$D541</f>
        <v>2</v>
      </c>
      <c r="CA541" s="7">
        <f t="shared" si="213"/>
        <v>0.1</v>
      </c>
      <c r="CB541" s="7">
        <f t="shared" si="214"/>
        <v>130.18884309764309</v>
      </c>
      <c r="CC541" s="7">
        <f t="shared" si="215"/>
        <v>13.01888430976431</v>
      </c>
      <c r="CD541" s="7"/>
      <c r="CE541" s="7"/>
      <c r="CF541" s="7"/>
      <c r="CG541" s="7"/>
      <c r="CH541" s="7"/>
      <c r="CI541" s="7"/>
      <c r="CJ541" s="7"/>
      <c r="CK541" s="7"/>
      <c r="CL541" s="7"/>
      <c r="CM541" s="7"/>
      <c r="CN541" s="7"/>
      <c r="CO541" s="7"/>
      <c r="CP541" s="7">
        <v>0</v>
      </c>
      <c r="CR541" s="25"/>
      <c r="CS541" s="25"/>
      <c r="CT541" s="25"/>
      <c r="CU541" s="25"/>
      <c r="CV541" s="25"/>
      <c r="CW541" s="25"/>
      <c r="DP541" s="32"/>
      <c r="DQ541" s="32"/>
      <c r="DR541" s="32"/>
      <c r="DS541" s="32"/>
      <c r="DT541" s="32"/>
      <c r="DU541" s="32"/>
      <c r="DV541" s="32"/>
      <c r="DW541" s="32"/>
      <c r="DX541" s="32"/>
      <c r="DY541" s="32"/>
      <c r="DZ541" s="32"/>
      <c r="EA541" s="25"/>
      <c r="EB541" s="43"/>
      <c r="EC541" s="16">
        <v>1206035</v>
      </c>
      <c r="ED541" s="16" t="s">
        <v>292</v>
      </c>
      <c r="EE541" s="16">
        <v>1</v>
      </c>
    </row>
    <row r="542" spans="11:135" ht="13.5" customHeight="1">
      <c r="K542" s="2"/>
      <c r="L542" s="18"/>
      <c r="O542" s="25"/>
      <c r="AI542" s="28"/>
      <c r="AJ542" s="28"/>
      <c r="AK542" s="28"/>
      <c r="AL542" s="28"/>
      <c r="AM542" s="28"/>
      <c r="AN542" s="28"/>
      <c r="AO542" s="30"/>
      <c r="AP542" s="28"/>
      <c r="AS542" s="28"/>
      <c r="AT542" s="28"/>
      <c r="AU542" s="30"/>
      <c r="AV542" s="28"/>
      <c r="AW542" s="28"/>
      <c r="AX542" s="28"/>
      <c r="AZ542" s="28"/>
      <c r="BA542" s="16" t="e">
        <f t="shared" si="211"/>
        <v>#DIV/0!</v>
      </c>
      <c r="BC542" s="7" t="e">
        <f t="shared" si="212"/>
        <v>#N/A</v>
      </c>
      <c r="BR542" s="7">
        <v>3406034</v>
      </c>
      <c r="BS542" s="9">
        <f>[1]monsters!$N542</f>
        <v>116.48</v>
      </c>
      <c r="BT542" s="9">
        <f>[1]monsters!$O542</f>
        <v>11.65</v>
      </c>
      <c r="BU542" s="9">
        <f>[1]monsters!$P542</f>
        <v>886.15</v>
      </c>
      <c r="BV542" s="9">
        <f>[1]monsters!$Q542</f>
        <v>88.62</v>
      </c>
      <c r="BW542" s="9">
        <f>[1]monsters!$R542</f>
        <v>11.65</v>
      </c>
      <c r="BX542" s="9">
        <f>[1]monsters!$S542</f>
        <v>1.1599999999999999</v>
      </c>
      <c r="BY542" s="9">
        <f>[1]monsters!$K542</f>
        <v>1.4000000000000001</v>
      </c>
      <c r="BZ542" s="7">
        <f>[1]monsters!$D542</f>
        <v>4</v>
      </c>
      <c r="CA542" s="7">
        <f t="shared" si="213"/>
        <v>0.1</v>
      </c>
      <c r="CB542" s="7">
        <f t="shared" si="214"/>
        <v>139.91030033670035</v>
      </c>
      <c r="CC542" s="7">
        <f t="shared" si="215"/>
        <v>13.991030033670036</v>
      </c>
      <c r="CD542" s="7"/>
      <c r="CE542" s="7"/>
      <c r="CF542" s="7"/>
      <c r="CG542" s="7"/>
      <c r="CH542" s="7"/>
      <c r="CI542" s="7"/>
      <c r="CJ542" s="7"/>
      <c r="CK542" s="7"/>
      <c r="CL542" s="7"/>
      <c r="CM542" s="7"/>
      <c r="CN542" s="7"/>
      <c r="CO542" s="7"/>
      <c r="CP542" s="7">
        <v>0</v>
      </c>
      <c r="CR542" s="25"/>
      <c r="CS542" s="25"/>
      <c r="CT542" s="25"/>
      <c r="CU542" s="25"/>
      <c r="CV542" s="25"/>
      <c r="CW542" s="25"/>
      <c r="DP542" s="32"/>
      <c r="DQ542" s="32"/>
      <c r="DR542" s="32"/>
      <c r="DS542" s="32"/>
      <c r="DT542" s="32"/>
      <c r="DU542" s="32"/>
      <c r="DV542" s="32"/>
      <c r="DW542" s="32"/>
      <c r="DX542" s="32"/>
      <c r="DY542" s="32"/>
      <c r="DZ542" s="32"/>
      <c r="EA542" s="25"/>
      <c r="EB542" s="43"/>
      <c r="EC542" s="16">
        <v>1406035</v>
      </c>
      <c r="ED542" s="16" t="s">
        <v>293</v>
      </c>
      <c r="EE542" s="16">
        <v>2</v>
      </c>
    </row>
    <row r="543" spans="11:135" ht="13.5" customHeight="1">
      <c r="K543" s="2"/>
      <c r="O543" s="25"/>
      <c r="AI543" s="28"/>
      <c r="AJ543" s="28"/>
      <c r="AK543" s="28"/>
      <c r="AL543" s="28"/>
      <c r="AM543" s="28"/>
      <c r="AN543" s="28"/>
      <c r="AO543" s="30"/>
      <c r="AP543" s="28"/>
      <c r="AS543" s="28"/>
      <c r="AT543" s="28"/>
      <c r="AU543" s="30"/>
      <c r="AV543" s="28"/>
      <c r="AW543" s="28"/>
      <c r="AX543" s="28"/>
      <c r="AZ543" s="28"/>
      <c r="BA543" s="16" t="e">
        <f t="shared" si="211"/>
        <v>#DIV/0!</v>
      </c>
      <c r="BC543" s="7" t="e">
        <f t="shared" si="212"/>
        <v>#N/A</v>
      </c>
      <c r="BR543" s="7">
        <v>3205034</v>
      </c>
      <c r="BS543" s="9">
        <f>[1]monsters!$N543</f>
        <v>80.64</v>
      </c>
      <c r="BT543" s="9">
        <f>[1]monsters!$O543</f>
        <v>8.06</v>
      </c>
      <c r="BU543" s="9">
        <f>[1]monsters!$P543</f>
        <v>1280</v>
      </c>
      <c r="BV543" s="9">
        <f>[1]monsters!$Q543</f>
        <v>128</v>
      </c>
      <c r="BW543" s="9">
        <f>[1]monsters!$R543</f>
        <v>16.13</v>
      </c>
      <c r="BX543" s="9">
        <f>[1]monsters!$S543</f>
        <v>1.61</v>
      </c>
      <c r="BY543" s="9">
        <f>[1]monsters!$K543</f>
        <v>1.4000000000000001</v>
      </c>
      <c r="BZ543" s="7">
        <f>[1]monsters!$D543</f>
        <v>2</v>
      </c>
      <c r="CA543" s="7">
        <f t="shared" si="213"/>
        <v>0.1</v>
      </c>
      <c r="CB543" s="7">
        <f t="shared" si="214"/>
        <v>119.30244309764311</v>
      </c>
      <c r="CC543" s="7">
        <f t="shared" si="215"/>
        <v>11.930244309764312</v>
      </c>
      <c r="CD543" s="7"/>
      <c r="CE543" s="7"/>
      <c r="CF543" s="7"/>
      <c r="CG543" s="7"/>
      <c r="CH543" s="7"/>
      <c r="CI543" s="7"/>
      <c r="CJ543" s="7"/>
      <c r="CK543" s="7"/>
      <c r="CL543" s="7"/>
      <c r="CM543" s="7"/>
      <c r="CN543" s="7"/>
      <c r="CO543" s="7"/>
      <c r="CP543" s="7">
        <v>1</v>
      </c>
      <c r="CR543" s="25"/>
      <c r="CS543" s="25"/>
      <c r="CT543" s="25"/>
      <c r="CU543" s="25"/>
      <c r="CV543" s="25"/>
      <c r="CW543" s="25"/>
      <c r="DP543" s="32"/>
      <c r="DQ543" s="32"/>
      <c r="DR543" s="32"/>
      <c r="DS543" s="32"/>
      <c r="DT543" s="32"/>
      <c r="DU543" s="32"/>
      <c r="DV543" s="32"/>
      <c r="DW543" s="32"/>
      <c r="DX543" s="32"/>
      <c r="DY543" s="32"/>
      <c r="DZ543" s="32"/>
      <c r="EA543" s="25"/>
      <c r="EB543" s="43"/>
      <c r="EC543" s="16">
        <v>1204035</v>
      </c>
      <c r="ED543" s="16" t="s">
        <v>294</v>
      </c>
      <c r="EE543" s="16">
        <v>1</v>
      </c>
    </row>
    <row r="544" spans="11:135" ht="13.5" customHeight="1">
      <c r="K544" s="2"/>
      <c r="L544" s="18"/>
      <c r="O544" s="25"/>
      <c r="AI544" s="28"/>
      <c r="AJ544" s="28"/>
      <c r="AK544" s="28"/>
      <c r="AL544" s="28"/>
      <c r="AM544" s="28"/>
      <c r="AN544" s="28"/>
      <c r="AO544" s="30"/>
      <c r="AP544" s="28"/>
      <c r="AS544" s="28"/>
      <c r="AT544" s="28"/>
      <c r="AU544" s="30"/>
      <c r="AV544" s="28"/>
      <c r="AW544" s="28"/>
      <c r="AX544" s="28"/>
      <c r="AZ544" s="28"/>
      <c r="BA544" s="16" t="e">
        <f t="shared" si="211"/>
        <v>#DIV/0!</v>
      </c>
      <c r="BC544" s="7" t="e">
        <f t="shared" si="212"/>
        <v>#N/A</v>
      </c>
      <c r="BR544" s="7">
        <v>3405034</v>
      </c>
      <c r="BS544" s="9">
        <f>[1]monsters!$N544</f>
        <v>133.12</v>
      </c>
      <c r="BT544" s="9">
        <f>[1]monsters!$O544</f>
        <v>13.31</v>
      </c>
      <c r="BU544" s="9">
        <f>[1]monsters!$P544</f>
        <v>886.15</v>
      </c>
      <c r="BV544" s="9">
        <f>[1]monsters!$Q544</f>
        <v>88.62</v>
      </c>
      <c r="BW544" s="9">
        <f>[1]monsters!$R544</f>
        <v>13.31</v>
      </c>
      <c r="BX544" s="9">
        <f>[1]monsters!$S544</f>
        <v>1.33</v>
      </c>
      <c r="BY544" s="9">
        <f>[1]monsters!$K544</f>
        <v>1.6</v>
      </c>
      <c r="BZ544" s="7">
        <f>[1]monsters!$D544</f>
        <v>4</v>
      </c>
      <c r="CA544" s="7">
        <f t="shared" si="213"/>
        <v>0.1</v>
      </c>
      <c r="CB544" s="7">
        <f t="shared" si="214"/>
        <v>155.63510033670036</v>
      </c>
      <c r="CC544" s="7">
        <f t="shared" si="215"/>
        <v>15.563510033670036</v>
      </c>
      <c r="CD544" s="7"/>
      <c r="CE544" s="7"/>
      <c r="CF544" s="7"/>
      <c r="CG544" s="7"/>
      <c r="CH544" s="7"/>
      <c r="CI544" s="7"/>
      <c r="CJ544" s="7"/>
      <c r="CK544" s="7"/>
      <c r="CL544" s="7"/>
      <c r="CM544" s="7"/>
      <c r="CN544" s="7"/>
      <c r="CO544" s="7"/>
      <c r="CP544" s="7">
        <v>0</v>
      </c>
      <c r="CR544" s="25"/>
      <c r="CS544" s="25"/>
      <c r="CT544" s="25"/>
      <c r="CU544" s="25"/>
      <c r="CV544" s="25"/>
      <c r="CW544" s="25"/>
      <c r="DP544" s="32"/>
      <c r="DQ544" s="32"/>
      <c r="DR544" s="32"/>
      <c r="DS544" s="32"/>
      <c r="DT544" s="32"/>
      <c r="DU544" s="32"/>
      <c r="DV544" s="32"/>
      <c r="DW544" s="32"/>
      <c r="DX544" s="32"/>
      <c r="DY544" s="32"/>
      <c r="DZ544" s="32"/>
      <c r="EA544" s="25"/>
      <c r="EB544" s="21"/>
      <c r="EC544" s="16">
        <v>1404035</v>
      </c>
      <c r="ED544" s="16" t="s">
        <v>295</v>
      </c>
      <c r="EE544" s="16">
        <v>2</v>
      </c>
    </row>
    <row r="545" spans="11:135" ht="13.5" customHeight="1">
      <c r="K545" s="2"/>
      <c r="L545" s="18"/>
      <c r="O545" s="25"/>
      <c r="AI545" s="28"/>
      <c r="AJ545" s="28"/>
      <c r="AK545" s="28"/>
      <c r="AL545" s="28"/>
      <c r="AM545" s="28"/>
      <c r="AN545" s="28"/>
      <c r="AO545" s="30"/>
      <c r="AP545" s="28"/>
      <c r="AS545" s="28"/>
      <c r="AT545" s="28"/>
      <c r="AU545" s="30"/>
      <c r="AV545" s="28"/>
      <c r="AW545" s="28"/>
      <c r="AX545" s="28"/>
      <c r="AZ545" s="28"/>
      <c r="BA545" s="16" t="e">
        <f t="shared" si="211"/>
        <v>#DIV/0!</v>
      </c>
      <c r="BC545" s="7" t="e">
        <f t="shared" si="212"/>
        <v>#N/A</v>
      </c>
      <c r="BR545" s="7">
        <v>3203034</v>
      </c>
      <c r="BS545" s="9">
        <f>[1]monsters!$N545</f>
        <v>122.88</v>
      </c>
      <c r="BT545" s="9">
        <f>[1]monsters!$O545</f>
        <v>12.29</v>
      </c>
      <c r="BU545" s="9">
        <f>[1]monsters!$P545</f>
        <v>960</v>
      </c>
      <c r="BV545" s="9">
        <f>[1]monsters!$Q545</f>
        <v>96</v>
      </c>
      <c r="BW545" s="9">
        <f>[1]monsters!$R545</f>
        <v>20.48</v>
      </c>
      <c r="BX545" s="9">
        <f>[1]monsters!$S545</f>
        <v>2.0499999999999998</v>
      </c>
      <c r="BY545" s="9">
        <f>[1]monsters!$K545</f>
        <v>1.6</v>
      </c>
      <c r="BZ545" s="7">
        <f>[1]monsters!$D545</f>
        <v>5</v>
      </c>
      <c r="CA545" s="7">
        <f t="shared" si="213"/>
        <v>0.1</v>
      </c>
      <c r="CB545" s="7">
        <f t="shared" si="214"/>
        <v>148.44483232323233</v>
      </c>
      <c r="CC545" s="7">
        <f t="shared" si="215"/>
        <v>14.844483232323235</v>
      </c>
      <c r="CD545" s="7"/>
      <c r="CE545" s="7"/>
      <c r="CF545" s="7"/>
      <c r="CG545" s="7"/>
      <c r="CH545" s="7"/>
      <c r="CI545" s="7"/>
      <c r="CJ545" s="7"/>
      <c r="CK545" s="7"/>
      <c r="CL545" s="7"/>
      <c r="CM545" s="7"/>
      <c r="CN545" s="7"/>
      <c r="CO545" s="7"/>
      <c r="CP545" s="7">
        <v>0</v>
      </c>
      <c r="CR545" s="25"/>
      <c r="CS545" s="25"/>
      <c r="CT545" s="25"/>
      <c r="CU545" s="25"/>
      <c r="CV545" s="25"/>
      <c r="CW545" s="25"/>
      <c r="DP545" s="32"/>
      <c r="DQ545" s="32"/>
      <c r="DR545" s="32"/>
      <c r="DS545" s="32"/>
      <c r="DT545" s="32"/>
      <c r="DU545" s="32"/>
      <c r="DV545" s="32"/>
      <c r="DW545" s="32"/>
      <c r="DX545" s="32"/>
      <c r="DY545" s="32"/>
      <c r="DZ545" s="32"/>
      <c r="EA545" s="25"/>
      <c r="EB545" s="43"/>
      <c r="EC545" s="16">
        <v>1503035</v>
      </c>
      <c r="ED545" s="16" t="s">
        <v>296</v>
      </c>
      <c r="EE545" s="16">
        <v>1</v>
      </c>
    </row>
    <row r="546" spans="11:135" ht="13.5" customHeight="1">
      <c r="K546" s="2"/>
      <c r="L546" s="18"/>
      <c r="O546" s="25"/>
      <c r="AI546" s="28"/>
      <c r="AJ546" s="28"/>
      <c r="AK546" s="28"/>
      <c r="AL546" s="28"/>
      <c r="AM546" s="28"/>
      <c r="AN546" s="28"/>
      <c r="AO546" s="30"/>
      <c r="AP546" s="28"/>
      <c r="AS546" s="28"/>
      <c r="AT546" s="28"/>
      <c r="AU546" s="30"/>
      <c r="AV546" s="28"/>
      <c r="AW546" s="28"/>
      <c r="AX546" s="28"/>
      <c r="AZ546" s="28"/>
      <c r="BA546" s="16" t="e">
        <f t="shared" si="211"/>
        <v>#DIV/0!</v>
      </c>
      <c r="BC546" s="7" t="e">
        <f t="shared" si="212"/>
        <v>#N/A</v>
      </c>
      <c r="BR546" s="7">
        <v>3403034</v>
      </c>
      <c r="BS546" s="9">
        <f>[1]monsters!$N546</f>
        <v>103.04</v>
      </c>
      <c r="BT546" s="9">
        <f>[1]monsters!$O546</f>
        <v>10.3</v>
      </c>
      <c r="BU546" s="9">
        <f>[1]monsters!$P546</f>
        <v>1001.74</v>
      </c>
      <c r="BV546" s="9">
        <f>[1]monsters!$Q546</f>
        <v>100.17</v>
      </c>
      <c r="BW546" s="9">
        <f>[1]monsters!$R546</f>
        <v>12.88</v>
      </c>
      <c r="BX546" s="9">
        <f>[1]monsters!$S546</f>
        <v>1.29</v>
      </c>
      <c r="BY546" s="9">
        <f>[1]monsters!$K546</f>
        <v>1.4000000000000001</v>
      </c>
      <c r="BZ546" s="7">
        <f>[1]monsters!$D546</f>
        <v>3</v>
      </c>
      <c r="CA546" s="7">
        <f t="shared" si="213"/>
        <v>0.1</v>
      </c>
      <c r="CB546" s="7">
        <f t="shared" si="214"/>
        <v>131.10141952861954</v>
      </c>
      <c r="CC546" s="7">
        <f t="shared" si="215"/>
        <v>13.110141952861955</v>
      </c>
      <c r="CD546" s="7"/>
      <c r="CE546" s="7"/>
      <c r="CF546" s="7"/>
      <c r="CG546" s="7"/>
      <c r="CH546" s="7"/>
      <c r="CI546" s="7"/>
      <c r="CJ546" s="7"/>
      <c r="CK546" s="7"/>
      <c r="CL546" s="7"/>
      <c r="CM546" s="7"/>
      <c r="CN546" s="7"/>
      <c r="CO546" s="7"/>
      <c r="CP546" s="7">
        <v>0</v>
      </c>
      <c r="CR546" s="25"/>
      <c r="CS546" s="25"/>
      <c r="CT546" s="25"/>
      <c r="CU546" s="25"/>
      <c r="CV546" s="25"/>
      <c r="CW546" s="25"/>
      <c r="DP546" s="32"/>
      <c r="DQ546" s="32"/>
      <c r="DR546" s="32"/>
      <c r="DS546" s="32"/>
      <c r="DT546" s="32"/>
      <c r="DU546" s="32"/>
      <c r="DV546" s="32"/>
      <c r="DW546" s="32"/>
      <c r="DX546" s="32"/>
      <c r="DY546" s="32"/>
      <c r="DZ546" s="32"/>
      <c r="EA546" s="25"/>
      <c r="EB546" s="43"/>
      <c r="EC546" s="16">
        <v>1304035</v>
      </c>
      <c r="ED546" s="16" t="s">
        <v>297</v>
      </c>
      <c r="EE546" s="16">
        <v>1</v>
      </c>
    </row>
    <row r="547" spans="11:135" ht="13.5" customHeight="1">
      <c r="K547" s="2"/>
      <c r="L547" s="18"/>
      <c r="O547" s="25"/>
      <c r="AI547" s="28"/>
      <c r="AJ547" s="28"/>
      <c r="AK547" s="28"/>
      <c r="AL547" s="28"/>
      <c r="AM547" s="28"/>
      <c r="AN547" s="28"/>
      <c r="AO547" s="30"/>
      <c r="AP547" s="28"/>
      <c r="AS547" s="28"/>
      <c r="AT547" s="28"/>
      <c r="AU547" s="30"/>
      <c r="AV547" s="28"/>
      <c r="AW547" s="28"/>
      <c r="AX547" s="28"/>
      <c r="AZ547" s="28"/>
      <c r="BA547" s="16" t="e">
        <f t="shared" si="211"/>
        <v>#DIV/0!</v>
      </c>
      <c r="BC547" s="7" t="e">
        <f t="shared" si="212"/>
        <v>#N/A</v>
      </c>
      <c r="BR547" s="7">
        <v>3204034</v>
      </c>
      <c r="BS547" s="9">
        <f>[1]monsters!$N547</f>
        <v>87.36</v>
      </c>
      <c r="BT547" s="9">
        <f>[1]monsters!$O547</f>
        <v>8.74</v>
      </c>
      <c r="BU547" s="9">
        <f>[1]monsters!$P547</f>
        <v>1493.33</v>
      </c>
      <c r="BV547" s="9">
        <f>[1]monsters!$Q547</f>
        <v>149.33000000000001</v>
      </c>
      <c r="BW547" s="9">
        <f>[1]monsters!$R547</f>
        <v>17.47</v>
      </c>
      <c r="BX547" s="9">
        <f>[1]monsters!$S547</f>
        <v>1.75</v>
      </c>
      <c r="BY547" s="9">
        <f>[1]monsters!$K547</f>
        <v>1.3</v>
      </c>
      <c r="BZ547" s="7">
        <f>[1]monsters!$D547</f>
        <v>2</v>
      </c>
      <c r="CA547" s="7">
        <f t="shared" si="213"/>
        <v>0.1</v>
      </c>
      <c r="CB547" s="7">
        <f t="shared" si="214"/>
        <v>132.83567138047138</v>
      </c>
      <c r="CC547" s="7">
        <f t="shared" si="215"/>
        <v>13.28356713804714</v>
      </c>
      <c r="CD547" s="7"/>
      <c r="CE547" s="7"/>
      <c r="CF547" s="7"/>
      <c r="CG547" s="7"/>
      <c r="CH547" s="7"/>
      <c r="CI547" s="7"/>
      <c r="CJ547" s="7"/>
      <c r="CK547" s="7"/>
      <c r="CL547" s="7"/>
      <c r="CM547" s="7"/>
      <c r="CN547" s="7"/>
      <c r="CO547" s="7"/>
      <c r="CP547" s="7">
        <v>0</v>
      </c>
      <c r="CR547" s="25"/>
      <c r="CS547" s="25"/>
      <c r="CT547" s="25"/>
      <c r="CU547" s="25"/>
      <c r="CV547" s="25"/>
      <c r="CW547" s="25"/>
      <c r="DP547" s="32"/>
      <c r="DQ547" s="32"/>
      <c r="DR547" s="32"/>
      <c r="DS547" s="32"/>
      <c r="DT547" s="32"/>
      <c r="DU547" s="32"/>
      <c r="DV547" s="32"/>
      <c r="DW547" s="32"/>
      <c r="DX547" s="32"/>
      <c r="DY547" s="32"/>
      <c r="DZ547" s="32"/>
      <c r="EA547" s="25"/>
      <c r="EB547" s="43"/>
      <c r="EC547" s="16">
        <v>1203041</v>
      </c>
      <c r="ED547" s="16" t="s">
        <v>238</v>
      </c>
      <c r="EE547" s="16">
        <v>1</v>
      </c>
    </row>
    <row r="548" spans="11:135" ht="13.5" customHeight="1">
      <c r="K548" s="2"/>
      <c r="O548" s="25"/>
      <c r="AI548" s="28"/>
      <c r="AJ548" s="28"/>
      <c r="AK548" s="28"/>
      <c r="AL548" s="28"/>
      <c r="AM548" s="28"/>
      <c r="AN548" s="28"/>
      <c r="AO548" s="30"/>
      <c r="AP548" s="28"/>
      <c r="AS548" s="28"/>
      <c r="AT548" s="28"/>
      <c r="AU548" s="30"/>
      <c r="AV548" s="28"/>
      <c r="AW548" s="28"/>
      <c r="AX548" s="28"/>
      <c r="AZ548" s="28"/>
      <c r="BA548" s="16" t="e">
        <f t="shared" si="211"/>
        <v>#DIV/0!</v>
      </c>
      <c r="BC548" s="7" t="e">
        <f t="shared" si="212"/>
        <v>#N/A</v>
      </c>
      <c r="BR548" s="7">
        <v>3404034</v>
      </c>
      <c r="BS548" s="9">
        <f>[1]monsters!$N548</f>
        <v>116.48</v>
      </c>
      <c r="BT548" s="9">
        <f>[1]monsters!$O548</f>
        <v>11.65</v>
      </c>
      <c r="BU548" s="9">
        <f>[1]monsters!$P548</f>
        <v>1120</v>
      </c>
      <c r="BV548" s="9">
        <f>[1]monsters!$Q548</f>
        <v>112</v>
      </c>
      <c r="BW548" s="9">
        <f>[1]monsters!$R548</f>
        <v>11.65</v>
      </c>
      <c r="BX548" s="9">
        <f>[1]monsters!$S548</f>
        <v>1.1599999999999999</v>
      </c>
      <c r="BY548" s="9">
        <f>[1]monsters!$K548</f>
        <v>1.3</v>
      </c>
      <c r="BZ548" s="7">
        <f>[1]monsters!$D548</f>
        <v>4</v>
      </c>
      <c r="CA548" s="7">
        <f t="shared" si="213"/>
        <v>0.1</v>
      </c>
      <c r="CB548" s="7">
        <f t="shared" si="214"/>
        <v>147.78403771043773</v>
      </c>
      <c r="CC548" s="7">
        <f t="shared" si="215"/>
        <v>14.778403771043774</v>
      </c>
      <c r="CD548" s="7"/>
      <c r="CE548" s="7"/>
      <c r="CF548" s="7"/>
      <c r="CG548" s="7"/>
      <c r="CH548" s="7"/>
      <c r="CI548" s="7"/>
      <c r="CJ548" s="7"/>
      <c r="CK548" s="7"/>
      <c r="CL548" s="7"/>
      <c r="CM548" s="7"/>
      <c r="CN548" s="7"/>
      <c r="CO548" s="7"/>
      <c r="CP548" s="7">
        <v>1</v>
      </c>
      <c r="CR548" s="25"/>
      <c r="CS548" s="25"/>
      <c r="CT548" s="25"/>
      <c r="CU548" s="25"/>
      <c r="CV548" s="25"/>
      <c r="CW548" s="25"/>
      <c r="DP548" s="32"/>
      <c r="DQ548" s="32"/>
      <c r="DR548" s="32"/>
      <c r="DS548" s="32"/>
      <c r="DT548" s="32"/>
      <c r="DU548" s="32"/>
      <c r="DV548" s="32"/>
      <c r="DW548" s="32"/>
      <c r="DX548" s="32"/>
      <c r="DY548" s="32"/>
      <c r="DZ548" s="32"/>
      <c r="EA548" s="25"/>
      <c r="EB548" s="21"/>
      <c r="EC548" s="16">
        <v>1403041</v>
      </c>
      <c r="ED548" s="16" t="s">
        <v>239</v>
      </c>
      <c r="EE548" s="16">
        <v>2</v>
      </c>
    </row>
    <row r="549" spans="11:135" ht="13.5" customHeight="1">
      <c r="K549" s="2"/>
      <c r="L549" s="18"/>
      <c r="O549" s="25"/>
      <c r="AI549" s="28"/>
      <c r="AJ549" s="28"/>
      <c r="AK549" s="28"/>
      <c r="AL549" s="28"/>
      <c r="AM549" s="28"/>
      <c r="AN549" s="28"/>
      <c r="AO549" s="30"/>
      <c r="AP549" s="28"/>
      <c r="AS549" s="28"/>
      <c r="AT549" s="28"/>
      <c r="AU549" s="30"/>
      <c r="AV549" s="28"/>
      <c r="AW549" s="28"/>
      <c r="AX549" s="28"/>
      <c r="AZ549" s="28"/>
      <c r="BA549" s="16" t="e">
        <f t="shared" si="211"/>
        <v>#DIV/0!</v>
      </c>
      <c r="BC549" s="7" t="e">
        <f t="shared" si="212"/>
        <v>#N/A</v>
      </c>
      <c r="BR549" s="7">
        <v>3303034</v>
      </c>
      <c r="BS549" s="9">
        <f>[1]monsters!$N549</f>
        <v>120.96</v>
      </c>
      <c r="BT549" s="9">
        <f>[1]monsters!$O549</f>
        <v>12.1</v>
      </c>
      <c r="BU549" s="9">
        <f>[1]monsters!$P549</f>
        <v>1493.33</v>
      </c>
      <c r="BV549" s="9">
        <f>[1]monsters!$Q549</f>
        <v>149.33000000000001</v>
      </c>
      <c r="BW549" s="9">
        <f>[1]monsters!$R549</f>
        <v>24.19</v>
      </c>
      <c r="BX549" s="9">
        <f>[1]monsters!$S549</f>
        <v>2.42</v>
      </c>
      <c r="BY549" s="9">
        <f>[1]monsters!$K549</f>
        <v>1.8</v>
      </c>
      <c r="BZ549" s="7">
        <f>[1]monsters!$D549</f>
        <v>2</v>
      </c>
      <c r="CA549" s="7">
        <f t="shared" si="213"/>
        <v>0.1</v>
      </c>
      <c r="CB549" s="7">
        <f t="shared" si="214"/>
        <v>164.58767138047136</v>
      </c>
      <c r="CC549" s="7">
        <f t="shared" si="215"/>
        <v>16.458767138047136</v>
      </c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>
        <v>0</v>
      </c>
      <c r="CR549" s="25"/>
      <c r="CS549" s="25"/>
      <c r="CT549" s="25"/>
      <c r="CU549" s="25"/>
      <c r="CV549" s="25"/>
      <c r="CW549" s="25"/>
      <c r="DP549" s="32"/>
      <c r="DQ549" s="32"/>
      <c r="DR549" s="32"/>
      <c r="DS549" s="32"/>
      <c r="DT549" s="32"/>
      <c r="DU549" s="32"/>
      <c r="DV549" s="32"/>
      <c r="DW549" s="32"/>
      <c r="DX549" s="32"/>
      <c r="DY549" s="32"/>
      <c r="DZ549" s="32"/>
      <c r="EA549" s="25"/>
      <c r="EB549" s="43"/>
      <c r="EC549" s="16">
        <v>1205041</v>
      </c>
      <c r="ED549" s="16" t="s">
        <v>240</v>
      </c>
      <c r="EE549" s="16">
        <v>1</v>
      </c>
    </row>
    <row r="550" spans="11:135" ht="13.5" customHeight="1">
      <c r="K550" s="2"/>
      <c r="L550" s="18"/>
      <c r="O550" s="25"/>
      <c r="AI550" s="28"/>
      <c r="AJ550" s="28"/>
      <c r="AK550" s="28"/>
      <c r="AL550" s="28"/>
      <c r="AM550" s="28"/>
      <c r="AN550" s="28"/>
      <c r="AO550" s="30"/>
      <c r="AP550" s="28"/>
      <c r="AS550" s="28"/>
      <c r="AT550" s="28"/>
      <c r="AU550" s="30"/>
      <c r="AV550" s="28"/>
      <c r="AW550" s="28"/>
      <c r="AX550" s="28"/>
      <c r="AZ550" s="28"/>
      <c r="BA550" s="16" t="e">
        <f t="shared" si="211"/>
        <v>#DIV/0!</v>
      </c>
      <c r="BC550" s="7" t="e">
        <f t="shared" si="212"/>
        <v>#N/A</v>
      </c>
      <c r="BR550" s="7">
        <v>3304034</v>
      </c>
      <c r="BS550" s="9">
        <f>[1]monsters!$N550</f>
        <v>140</v>
      </c>
      <c r="BT550" s="9">
        <f>[1]monsters!$O550</f>
        <v>14</v>
      </c>
      <c r="BU550" s="9">
        <f>[1]monsters!$P550</f>
        <v>1075.2</v>
      </c>
      <c r="BV550" s="9">
        <f>[1]monsters!$Q550</f>
        <v>107.52</v>
      </c>
      <c r="BW550" s="9">
        <f>[1]monsters!$R550</f>
        <v>14</v>
      </c>
      <c r="BX550" s="9">
        <f>[1]monsters!$S550</f>
        <v>1.4</v>
      </c>
      <c r="BY550" s="9">
        <f>[1]monsters!$K550</f>
        <v>1.5</v>
      </c>
      <c r="BZ550" s="7">
        <f>[1]monsters!$D550</f>
        <v>4</v>
      </c>
      <c r="CA550" s="7">
        <f t="shared" si="213"/>
        <v>0.1</v>
      </c>
      <c r="CB550" s="7">
        <f t="shared" si="214"/>
        <v>168.50202020202022</v>
      </c>
      <c r="CC550" s="7">
        <f t="shared" si="215"/>
        <v>16.850202020202023</v>
      </c>
      <c r="CD550" s="7"/>
      <c r="CE550" s="7"/>
      <c r="CF550" s="7"/>
      <c r="CG550" s="7"/>
      <c r="CH550" s="7"/>
      <c r="CI550" s="7"/>
      <c r="CJ550" s="7"/>
      <c r="CK550" s="7"/>
      <c r="CL550" s="7"/>
      <c r="CM550" s="7"/>
      <c r="CN550" s="7"/>
      <c r="CO550" s="7"/>
      <c r="CP550" s="7">
        <v>0</v>
      </c>
      <c r="CR550" s="25"/>
      <c r="CS550" s="25"/>
      <c r="CT550" s="25"/>
      <c r="CU550" s="25"/>
      <c r="CV550" s="25"/>
      <c r="CW550" s="25"/>
      <c r="DP550" s="32"/>
      <c r="DQ550" s="32"/>
      <c r="DR550" s="32"/>
      <c r="DS550" s="32"/>
      <c r="DT550" s="32"/>
      <c r="DU550" s="32"/>
      <c r="DV550" s="32"/>
      <c r="DW550" s="32"/>
      <c r="DX550" s="32"/>
      <c r="DY550" s="32"/>
      <c r="DZ550" s="32"/>
      <c r="EA550" s="25"/>
      <c r="EB550" s="43"/>
      <c r="EC550" s="16">
        <v>1405041</v>
      </c>
      <c r="ED550" s="16" t="s">
        <v>241</v>
      </c>
      <c r="EE550" s="16">
        <v>2</v>
      </c>
    </row>
    <row r="551" spans="11:135" ht="13.5" customHeight="1">
      <c r="K551" s="2"/>
      <c r="L551" s="18"/>
      <c r="O551" s="25"/>
      <c r="AI551" s="28"/>
      <c r="AJ551" s="28"/>
      <c r="AK551" s="28"/>
      <c r="AL551" s="28"/>
      <c r="AM551" s="28"/>
      <c r="AN551" s="28"/>
      <c r="AO551" s="30"/>
      <c r="AP551" s="28"/>
      <c r="AS551" s="28"/>
      <c r="AT551" s="28"/>
      <c r="AU551" s="30"/>
      <c r="AV551" s="28"/>
      <c r="AW551" s="28"/>
      <c r="AX551" s="28"/>
      <c r="AZ551" s="28"/>
      <c r="BA551" s="16" t="e">
        <f t="shared" si="211"/>
        <v>#DIV/0!</v>
      </c>
      <c r="BC551" s="7" t="e">
        <f t="shared" si="212"/>
        <v>#N/A</v>
      </c>
      <c r="BR551" s="7">
        <v>3503034</v>
      </c>
      <c r="BS551" s="9">
        <f>[1]monsters!$N551</f>
        <v>106.77</v>
      </c>
      <c r="BT551" s="9">
        <f>[1]monsters!$O551</f>
        <v>10.68</v>
      </c>
      <c r="BU551" s="9">
        <f>[1]monsters!$P551</f>
        <v>1221.82</v>
      </c>
      <c r="BV551" s="9">
        <f>[1]monsters!$Q551</f>
        <v>122.18</v>
      </c>
      <c r="BW551" s="9">
        <f>[1]monsters!$R551</f>
        <v>13.35</v>
      </c>
      <c r="BX551" s="9">
        <f>[1]monsters!$S551</f>
        <v>1.33</v>
      </c>
      <c r="BY551" s="9">
        <f>[1]monsters!$K551</f>
        <v>1.3</v>
      </c>
      <c r="BZ551" s="7">
        <f>[1]monsters!$D551</f>
        <v>3</v>
      </c>
      <c r="CA551" s="7">
        <f t="shared" si="213"/>
        <v>0.1</v>
      </c>
      <c r="CB551" s="7">
        <f t="shared" si="214"/>
        <v>142.03637053872055</v>
      </c>
      <c r="CC551" s="7">
        <f t="shared" si="215"/>
        <v>14.203637053872056</v>
      </c>
      <c r="CD551" s="7"/>
      <c r="CE551" s="7"/>
      <c r="CF551" s="7"/>
      <c r="CG551" s="7"/>
      <c r="CH551" s="7"/>
      <c r="CI551" s="7"/>
      <c r="CJ551" s="7"/>
      <c r="CK551" s="7"/>
      <c r="CL551" s="7"/>
      <c r="CM551" s="7"/>
      <c r="CN551" s="7"/>
      <c r="CO551" s="7"/>
      <c r="CP551" s="7">
        <v>0</v>
      </c>
      <c r="CR551" s="25"/>
      <c r="CS551" s="25"/>
      <c r="CT551" s="25"/>
      <c r="CU551" s="25"/>
      <c r="CV551" s="25"/>
      <c r="CW551" s="25"/>
      <c r="DP551" s="32"/>
      <c r="DQ551" s="32"/>
      <c r="DR551" s="32"/>
      <c r="DS551" s="32"/>
      <c r="DT551" s="32"/>
      <c r="DU551" s="32"/>
      <c r="DV551" s="32"/>
      <c r="DW551" s="32"/>
      <c r="DX551" s="32"/>
      <c r="DY551" s="32"/>
      <c r="DZ551" s="32"/>
      <c r="EA551" s="25"/>
      <c r="EB551" s="21"/>
      <c r="EC551" s="16">
        <v>1303041</v>
      </c>
      <c r="ED551" s="16" t="s">
        <v>242</v>
      </c>
      <c r="EE551" s="16">
        <v>1</v>
      </c>
    </row>
    <row r="552" spans="11:135" ht="13.5" customHeight="1">
      <c r="K552" s="2"/>
      <c r="L552" s="18"/>
      <c r="O552" s="25"/>
      <c r="AI552" s="28"/>
      <c r="AJ552" s="28"/>
      <c r="AK552" s="28"/>
      <c r="AL552" s="28"/>
      <c r="AM552" s="28"/>
      <c r="AN552" s="28"/>
      <c r="AO552" s="30"/>
      <c r="AP552" s="28"/>
      <c r="AS552" s="28"/>
      <c r="AT552" s="28"/>
      <c r="AU552" s="30"/>
      <c r="AV552" s="28"/>
      <c r="AW552" s="28"/>
      <c r="AX552" s="28"/>
      <c r="AZ552" s="28"/>
      <c r="BA552" s="16" t="e">
        <f t="shared" si="211"/>
        <v>#DIV/0!</v>
      </c>
      <c r="BC552" s="7" t="e">
        <f t="shared" si="212"/>
        <v>#N/A</v>
      </c>
      <c r="BR552" s="7">
        <v>3504034</v>
      </c>
      <c r="BS552" s="9">
        <f>[1]monsters!$N552</f>
        <v>147.84</v>
      </c>
      <c r="BT552" s="9">
        <f>[1]monsters!$O552</f>
        <v>14.78</v>
      </c>
      <c r="BU552" s="9">
        <f>[1]monsters!$P552</f>
        <v>1221.82</v>
      </c>
      <c r="BV552" s="9">
        <f>[1]monsters!$Q552</f>
        <v>122.18</v>
      </c>
      <c r="BW552" s="9">
        <f>[1]monsters!$R552</f>
        <v>24.64</v>
      </c>
      <c r="BX552" s="9">
        <f>[1]monsters!$S552</f>
        <v>2.46</v>
      </c>
      <c r="BY552" s="9">
        <f>[1]monsters!$K552</f>
        <v>1.8</v>
      </c>
      <c r="BZ552" s="7">
        <f>[1]monsters!$D552</f>
        <v>5</v>
      </c>
      <c r="CA552" s="7">
        <f t="shared" si="213"/>
        <v>0.1</v>
      </c>
      <c r="CB552" s="7">
        <f t="shared" si="214"/>
        <v>180.84752053872052</v>
      </c>
      <c r="CC552" s="7">
        <f t="shared" si="215"/>
        <v>18.084752053872052</v>
      </c>
      <c r="CD552" s="7"/>
      <c r="CE552" s="7"/>
      <c r="CF552" s="7"/>
      <c r="CG552" s="7"/>
      <c r="CH552" s="7"/>
      <c r="CI552" s="7"/>
      <c r="CJ552" s="7"/>
      <c r="CK552" s="7"/>
      <c r="CL552" s="7"/>
      <c r="CM552" s="7"/>
      <c r="CN552" s="7"/>
      <c r="CO552" s="7"/>
      <c r="CP552" s="7">
        <v>0</v>
      </c>
      <c r="CR552" s="25"/>
      <c r="CS552" s="25"/>
      <c r="CT552" s="25"/>
      <c r="CU552" s="25"/>
      <c r="CV552" s="25"/>
      <c r="CW552" s="25"/>
      <c r="DP552" s="32"/>
      <c r="DQ552" s="32"/>
      <c r="DR552" s="32"/>
      <c r="DS552" s="32"/>
      <c r="DT552" s="32"/>
      <c r="DU552" s="32"/>
      <c r="DV552" s="32"/>
      <c r="DW552" s="32"/>
      <c r="DX552" s="32"/>
      <c r="DY552" s="32"/>
      <c r="DZ552" s="32"/>
      <c r="EA552" s="25"/>
      <c r="EB552" s="43"/>
      <c r="EC552" s="16">
        <v>1504041</v>
      </c>
      <c r="ED552" s="16" t="s">
        <v>243</v>
      </c>
      <c r="EE552" s="16">
        <v>1</v>
      </c>
    </row>
    <row r="553" spans="11:135" ht="13.5" customHeight="1">
      <c r="K553" s="2"/>
      <c r="O553" s="25"/>
      <c r="AI553" s="28"/>
      <c r="AJ553" s="28"/>
      <c r="AK553" s="28"/>
      <c r="AL553" s="28"/>
      <c r="AM553" s="28"/>
      <c r="AN553" s="28"/>
      <c r="AO553" s="30"/>
      <c r="AP553" s="28"/>
      <c r="AS553" s="28"/>
      <c r="AT553" s="28"/>
      <c r="AU553" s="30"/>
      <c r="AV553" s="28"/>
      <c r="AW553" s="28"/>
      <c r="AX553" s="28"/>
      <c r="AY553" s="16">
        <v>8</v>
      </c>
      <c r="AZ553" s="28">
        <v>180</v>
      </c>
      <c r="BA553" s="16">
        <v>2529631</v>
      </c>
      <c r="BC553" s="7" t="e">
        <f t="shared" si="212"/>
        <v>#N/A</v>
      </c>
      <c r="BR553" s="7">
        <v>3101034</v>
      </c>
      <c r="BS553" s="9">
        <f>[1]monsters!$N553</f>
        <v>107.52</v>
      </c>
      <c r="BT553" s="9">
        <f>[1]monsters!$O553</f>
        <v>10.75</v>
      </c>
      <c r="BU553" s="9">
        <f>[1]monsters!$P553</f>
        <v>1493.33</v>
      </c>
      <c r="BV553" s="9">
        <f>[1]monsters!$Q553</f>
        <v>149.33000000000001</v>
      </c>
      <c r="BW553" s="9">
        <f>[1]monsters!$R553</f>
        <v>21.5</v>
      </c>
      <c r="BX553" s="9">
        <f>[1]monsters!$S553</f>
        <v>2.15</v>
      </c>
      <c r="BY553" s="9">
        <f>[1]monsters!$K553</f>
        <v>1.6</v>
      </c>
      <c r="BZ553" s="7">
        <f>[1]monsters!$D553</f>
        <v>2</v>
      </c>
      <c r="CA553" s="7">
        <f t="shared" si="213"/>
        <v>0.1</v>
      </c>
      <c r="CB553" s="7">
        <f t="shared" si="214"/>
        <v>151.88687138047138</v>
      </c>
      <c r="CC553" s="7">
        <f t="shared" si="215"/>
        <v>15.188687138047138</v>
      </c>
      <c r="CD553" s="7"/>
      <c r="CE553" s="7"/>
      <c r="CF553" s="7"/>
      <c r="CG553" s="7"/>
      <c r="CH553" s="7"/>
      <c r="CI553" s="7"/>
      <c r="CJ553" s="7"/>
      <c r="CK553" s="7"/>
      <c r="CL553" s="7"/>
      <c r="CM553" s="7"/>
      <c r="CN553" s="7"/>
      <c r="CO553" s="7"/>
      <c r="CP553" s="7">
        <v>1</v>
      </c>
      <c r="CR553" s="25"/>
      <c r="CS553" s="25"/>
      <c r="CT553" s="25"/>
      <c r="CU553" s="25"/>
      <c r="CV553" s="25"/>
      <c r="CW553" s="25"/>
      <c r="DP553" s="32"/>
      <c r="DQ553" s="32"/>
      <c r="DR553" s="32"/>
      <c r="DS553" s="32"/>
      <c r="DT553" s="32"/>
      <c r="DU553" s="32"/>
      <c r="DV553" s="32"/>
      <c r="DW553" s="32"/>
      <c r="DX553" s="32"/>
      <c r="DY553" s="32"/>
      <c r="DZ553" s="32"/>
      <c r="EA553" s="25"/>
      <c r="EB553" s="43"/>
      <c r="EC553" s="16">
        <v>1206041</v>
      </c>
      <c r="ED553" s="16" t="s">
        <v>244</v>
      </c>
      <c r="EE553" s="16">
        <v>1</v>
      </c>
    </row>
    <row r="554" spans="11:135" ht="13.5" customHeight="1">
      <c r="K554" s="2"/>
      <c r="L554" s="18"/>
      <c r="O554" s="25"/>
      <c r="AI554" s="28"/>
      <c r="AJ554" s="28"/>
      <c r="AK554" s="28"/>
      <c r="AL554" s="28"/>
      <c r="AM554" s="28"/>
      <c r="AN554" s="28"/>
      <c r="AO554" s="30"/>
      <c r="AP554" s="28"/>
      <c r="AS554" s="28"/>
      <c r="AT554" s="28"/>
      <c r="AU554" s="30"/>
      <c r="AV554" s="28"/>
      <c r="AW554" s="28"/>
      <c r="AX554" s="28"/>
      <c r="AZ554" s="28"/>
      <c r="BA554" s="16" t="e">
        <f t="shared" ref="BA554:BA602" si="216">BA553+($BA$603-$BA$553)/($A$603-$A$553)</f>
        <v>#DIV/0!</v>
      </c>
      <c r="BC554" s="7" t="e">
        <f t="shared" si="212"/>
        <v>#N/A</v>
      </c>
      <c r="BR554" s="7">
        <v>3102034</v>
      </c>
      <c r="BS554" s="9">
        <f>[1]monsters!$N554</f>
        <v>135.88999999999999</v>
      </c>
      <c r="BT554" s="9">
        <f>[1]monsters!$O554</f>
        <v>13.59</v>
      </c>
      <c r="BU554" s="9">
        <f>[1]monsters!$P554</f>
        <v>1033.8499999999999</v>
      </c>
      <c r="BV554" s="9">
        <f>[1]monsters!$Q554</f>
        <v>103.38</v>
      </c>
      <c r="BW554" s="9">
        <f>[1]monsters!$R554</f>
        <v>13.59</v>
      </c>
      <c r="BX554" s="9">
        <f>[1]monsters!$S554</f>
        <v>1.36</v>
      </c>
      <c r="BY554" s="9">
        <f>[1]monsters!$K554</f>
        <v>1.4000000000000001</v>
      </c>
      <c r="BZ554" s="7">
        <f>[1]monsters!$D554</f>
        <v>4</v>
      </c>
      <c r="CA554" s="7">
        <f t="shared" si="213"/>
        <v>0.1</v>
      </c>
      <c r="CB554" s="7">
        <f t="shared" si="214"/>
        <v>163.2258143097643</v>
      </c>
      <c r="CC554" s="7">
        <f t="shared" si="215"/>
        <v>16.322581430976431</v>
      </c>
      <c r="CD554" s="7"/>
      <c r="CE554" s="7"/>
      <c r="CF554" s="7"/>
      <c r="CG554" s="7"/>
      <c r="CH554" s="7"/>
      <c r="CI554" s="7"/>
      <c r="CJ554" s="7"/>
      <c r="CK554" s="7"/>
      <c r="CL554" s="7"/>
      <c r="CM554" s="7"/>
      <c r="CN554" s="7"/>
      <c r="CO554" s="7"/>
      <c r="CP554" s="7">
        <v>0</v>
      </c>
      <c r="CR554" s="25"/>
      <c r="CS554" s="25"/>
      <c r="CT554" s="25"/>
      <c r="CU554" s="25"/>
      <c r="CV554" s="25"/>
      <c r="CW554" s="25"/>
      <c r="DP554" s="25"/>
      <c r="DQ554" s="25"/>
      <c r="DR554" s="25"/>
      <c r="DS554" s="25"/>
      <c r="DT554" s="25"/>
      <c r="DU554" s="25"/>
      <c r="DV554" s="25"/>
      <c r="DW554" s="25"/>
      <c r="DX554" s="25"/>
      <c r="DY554" s="25"/>
      <c r="DZ554" s="25"/>
      <c r="EA554" s="25"/>
      <c r="EB554" s="43"/>
      <c r="EC554" s="16">
        <v>1406041</v>
      </c>
      <c r="ED554" s="16" t="s">
        <v>245</v>
      </c>
      <c r="EE554" s="16">
        <v>2</v>
      </c>
    </row>
    <row r="555" spans="11:135" ht="13.5" customHeight="1">
      <c r="K555" s="2"/>
      <c r="L555" s="18"/>
      <c r="O555" s="25"/>
      <c r="AI555" s="28"/>
      <c r="AJ555" s="28"/>
      <c r="AK555" s="28"/>
      <c r="AL555" s="28"/>
      <c r="AM555" s="28"/>
      <c r="AN555" s="28"/>
      <c r="AO555" s="30"/>
      <c r="AP555" s="28"/>
      <c r="AS555" s="28"/>
      <c r="AT555" s="28"/>
      <c r="AU555" s="30"/>
      <c r="AV555" s="28"/>
      <c r="AW555" s="28"/>
      <c r="AX555" s="28"/>
      <c r="AZ555" s="28"/>
      <c r="BA555" s="16" t="e">
        <f t="shared" si="216"/>
        <v>#DIV/0!</v>
      </c>
      <c r="BC555" s="7" t="e">
        <f t="shared" si="212"/>
        <v>#N/A</v>
      </c>
      <c r="BR555" s="7">
        <v>3206035</v>
      </c>
      <c r="BS555" s="9">
        <f>[1]monsters!$N555</f>
        <v>94.08</v>
      </c>
      <c r="BT555" s="9">
        <f>[1]monsters!$O555</f>
        <v>9.41</v>
      </c>
      <c r="BU555" s="9">
        <f>[1]monsters!$P555</f>
        <v>1493.33</v>
      </c>
      <c r="BV555" s="9">
        <f>[1]monsters!$Q555</f>
        <v>149.33000000000001</v>
      </c>
      <c r="BW555" s="9">
        <f>[1]monsters!$R555</f>
        <v>18.82</v>
      </c>
      <c r="BX555" s="9">
        <f>[1]monsters!$S555</f>
        <v>1.88</v>
      </c>
      <c r="BY555" s="9">
        <f>[1]monsters!$K555</f>
        <v>1.4000000000000001</v>
      </c>
      <c r="BZ555" s="7">
        <f>[1]monsters!$D555</f>
        <v>2</v>
      </c>
      <c r="CA555" s="7">
        <f t="shared" si="213"/>
        <v>0.1</v>
      </c>
      <c r="CB555" s="7">
        <f t="shared" si="214"/>
        <v>139.18607138047139</v>
      </c>
      <c r="CC555" s="7">
        <f t="shared" si="215"/>
        <v>13.91860713804714</v>
      </c>
      <c r="CD555" s="7"/>
      <c r="CE555" s="7"/>
      <c r="CF555" s="7"/>
      <c r="CG555" s="7"/>
      <c r="CH555" s="7"/>
      <c r="CI555" s="7"/>
      <c r="CJ555" s="7"/>
      <c r="CK555" s="7"/>
      <c r="CL555" s="7"/>
      <c r="CM555" s="7"/>
      <c r="CN555" s="7"/>
      <c r="CO555" s="7"/>
      <c r="CP555" s="7">
        <v>0</v>
      </c>
      <c r="CR555" s="25"/>
      <c r="CS555" s="25"/>
      <c r="CT555" s="25"/>
      <c r="CU555" s="25"/>
      <c r="CV555" s="25"/>
      <c r="CW555" s="25"/>
      <c r="DP555" s="25"/>
      <c r="DQ555" s="25"/>
      <c r="DR555" s="25"/>
      <c r="DS555" s="32"/>
      <c r="DT555" s="32"/>
      <c r="DU555" s="32"/>
      <c r="DV555" s="32"/>
      <c r="DW555" s="32"/>
      <c r="DX555" s="32"/>
      <c r="DY555" s="32"/>
      <c r="DZ555" s="32"/>
      <c r="EA555" s="25"/>
      <c r="EB555" s="50"/>
      <c r="EC555" s="16">
        <v>1204041</v>
      </c>
      <c r="ED555" s="16" t="s">
        <v>246</v>
      </c>
      <c r="EE555" s="16">
        <v>1</v>
      </c>
    </row>
    <row r="556" spans="11:135" ht="13.5" customHeight="1">
      <c r="K556" s="2"/>
      <c r="L556" s="18"/>
      <c r="O556" s="25"/>
      <c r="AI556" s="28"/>
      <c r="AJ556" s="28"/>
      <c r="AK556" s="28"/>
      <c r="AL556" s="28"/>
      <c r="AM556" s="28"/>
      <c r="AN556" s="28"/>
      <c r="AO556" s="30"/>
      <c r="AP556" s="28"/>
      <c r="AS556" s="28"/>
      <c r="AT556" s="28"/>
      <c r="AU556" s="30"/>
      <c r="AV556" s="28"/>
      <c r="AW556" s="28"/>
      <c r="AX556" s="28"/>
      <c r="AZ556" s="28"/>
      <c r="BA556" s="16" t="e">
        <f t="shared" si="216"/>
        <v>#DIV/0!</v>
      </c>
      <c r="BC556" s="7" t="e">
        <f t="shared" si="212"/>
        <v>#N/A</v>
      </c>
      <c r="BR556" s="7">
        <v>3406035</v>
      </c>
      <c r="BS556" s="9">
        <f>[1]monsters!$N556</f>
        <v>155.31</v>
      </c>
      <c r="BT556" s="9">
        <f>[1]monsters!$O556</f>
        <v>15.53</v>
      </c>
      <c r="BU556" s="9">
        <f>[1]monsters!$P556</f>
        <v>1033.8499999999999</v>
      </c>
      <c r="BV556" s="9">
        <f>[1]monsters!$Q556</f>
        <v>103.38</v>
      </c>
      <c r="BW556" s="9">
        <f>[1]monsters!$R556</f>
        <v>15.53</v>
      </c>
      <c r="BX556" s="9">
        <f>[1]monsters!$S556</f>
        <v>1.55</v>
      </c>
      <c r="BY556" s="9">
        <f>[1]monsters!$K556</f>
        <v>1.6</v>
      </c>
      <c r="BZ556" s="7">
        <f>[1]monsters!$D556</f>
        <v>4</v>
      </c>
      <c r="CA556" s="7">
        <f t="shared" si="213"/>
        <v>0.1</v>
      </c>
      <c r="CB556" s="7">
        <f t="shared" si="214"/>
        <v>181.5777143097643</v>
      </c>
      <c r="CC556" s="7">
        <f t="shared" si="215"/>
        <v>18.157771430976432</v>
      </c>
      <c r="CD556" s="7"/>
      <c r="CE556" s="7"/>
      <c r="CF556" s="7"/>
      <c r="CG556" s="7"/>
      <c r="CH556" s="7"/>
      <c r="CI556" s="7"/>
      <c r="CJ556" s="7"/>
      <c r="CK556" s="7"/>
      <c r="CL556" s="7"/>
      <c r="CM556" s="7"/>
      <c r="CN556" s="7"/>
      <c r="CO556" s="7"/>
      <c r="CP556" s="7">
        <v>0</v>
      </c>
      <c r="CR556" s="25"/>
      <c r="CS556" s="25"/>
      <c r="CT556" s="25"/>
      <c r="CU556" s="25"/>
      <c r="CV556" s="25"/>
      <c r="CW556" s="25"/>
      <c r="DP556" s="25"/>
      <c r="DQ556" s="25"/>
      <c r="DR556" s="25"/>
      <c r="DS556" s="25"/>
      <c r="DT556" s="25"/>
      <c r="DU556" s="25"/>
      <c r="DV556" s="25"/>
      <c r="DW556" s="25"/>
      <c r="DX556" s="25"/>
      <c r="DY556" s="25"/>
      <c r="DZ556" s="25"/>
      <c r="EA556" s="25"/>
      <c r="EB556" s="50"/>
      <c r="EC556" s="16">
        <v>1404041</v>
      </c>
      <c r="ED556" s="16" t="s">
        <v>247</v>
      </c>
      <c r="EE556" s="16">
        <v>2</v>
      </c>
    </row>
    <row r="557" spans="11:135" ht="13.5" customHeight="1">
      <c r="K557" s="2"/>
      <c r="L557" s="18"/>
      <c r="O557" s="25"/>
      <c r="AI557" s="28"/>
      <c r="AJ557" s="28"/>
      <c r="AK557" s="28"/>
      <c r="AL557" s="28"/>
      <c r="AM557" s="28"/>
      <c r="AN557" s="28"/>
      <c r="AO557" s="30"/>
      <c r="AP557" s="28"/>
      <c r="AS557" s="28"/>
      <c r="AT557" s="28"/>
      <c r="AU557" s="30"/>
      <c r="AV557" s="28"/>
      <c r="AW557" s="28"/>
      <c r="AX557" s="28"/>
      <c r="AZ557" s="28"/>
      <c r="BA557" s="16" t="e">
        <f t="shared" si="216"/>
        <v>#DIV/0!</v>
      </c>
      <c r="BC557" s="7" t="e">
        <f t="shared" si="212"/>
        <v>#N/A</v>
      </c>
      <c r="BR557" s="7">
        <v>3205035</v>
      </c>
      <c r="BS557" s="9">
        <f>[1]monsters!$N557</f>
        <v>143.36000000000001</v>
      </c>
      <c r="BT557" s="9">
        <f>[1]monsters!$O557</f>
        <v>14.34</v>
      </c>
      <c r="BU557" s="9">
        <f>[1]monsters!$P557</f>
        <v>1120</v>
      </c>
      <c r="BV557" s="9">
        <f>[1]monsters!$Q557</f>
        <v>112</v>
      </c>
      <c r="BW557" s="9">
        <f>[1]monsters!$R557</f>
        <v>23.89</v>
      </c>
      <c r="BX557" s="9">
        <f>[1]monsters!$S557</f>
        <v>2.39</v>
      </c>
      <c r="BY557" s="9">
        <f>[1]monsters!$K557</f>
        <v>1.6</v>
      </c>
      <c r="BZ557" s="7">
        <f>[1]monsters!$D557</f>
        <v>5</v>
      </c>
      <c r="CA557" s="7">
        <f t="shared" si="213"/>
        <v>0.1</v>
      </c>
      <c r="CB557" s="7">
        <f t="shared" si="214"/>
        <v>173.18563771043773</v>
      </c>
      <c r="CC557" s="7">
        <f t="shared" si="215"/>
        <v>17.318563771043774</v>
      </c>
      <c r="CD557" s="7"/>
      <c r="CE557" s="7"/>
      <c r="CF557" s="7"/>
      <c r="CG557" s="7"/>
      <c r="CH557" s="7"/>
      <c r="CI557" s="7"/>
      <c r="CJ557" s="7"/>
      <c r="CK557" s="7"/>
      <c r="CL557" s="7"/>
      <c r="CM557" s="7"/>
      <c r="CN557" s="7"/>
      <c r="CO557" s="7"/>
      <c r="CP557" s="7">
        <v>0</v>
      </c>
      <c r="CR557" s="25"/>
      <c r="CS557" s="25"/>
      <c r="CT557" s="25"/>
      <c r="CU557" s="25"/>
      <c r="CV557" s="25"/>
      <c r="CW557" s="25"/>
      <c r="DP557" s="25"/>
      <c r="DQ557" s="25"/>
      <c r="DR557" s="25"/>
      <c r="DS557" s="25"/>
      <c r="DT557" s="25"/>
      <c r="DU557" s="25"/>
      <c r="DV557" s="25"/>
      <c r="DW557" s="25"/>
      <c r="DX557" s="25"/>
      <c r="DY557" s="25"/>
      <c r="DZ557" s="25"/>
      <c r="EA557" s="25"/>
      <c r="EB557" s="50"/>
      <c r="EC557" s="16">
        <v>1503041</v>
      </c>
      <c r="ED557" s="16" t="s">
        <v>248</v>
      </c>
      <c r="EE557" s="16">
        <v>1</v>
      </c>
    </row>
    <row r="558" spans="11:135" ht="13.5" customHeight="1">
      <c r="K558" s="2"/>
      <c r="O558" s="25"/>
      <c r="AI558" s="28"/>
      <c r="AJ558" s="28"/>
      <c r="AK558" s="28"/>
      <c r="AL558" s="28"/>
      <c r="AM558" s="28"/>
      <c r="AN558" s="28"/>
      <c r="AO558" s="30"/>
      <c r="AP558" s="28"/>
      <c r="AS558" s="28"/>
      <c r="AT558" s="28"/>
      <c r="AU558" s="30"/>
      <c r="AV558" s="28"/>
      <c r="AW558" s="28"/>
      <c r="AX558" s="28"/>
      <c r="AZ558" s="28"/>
      <c r="BA558" s="16" t="e">
        <f t="shared" si="216"/>
        <v>#DIV/0!</v>
      </c>
      <c r="BC558" s="7" t="e">
        <f t="shared" si="212"/>
        <v>#N/A</v>
      </c>
      <c r="BR558" s="7">
        <v>3405035</v>
      </c>
      <c r="BS558" s="9">
        <f>[1]monsters!$N558</f>
        <v>120.21</v>
      </c>
      <c r="BT558" s="9">
        <f>[1]monsters!$O558</f>
        <v>12.02</v>
      </c>
      <c r="BU558" s="9">
        <f>[1]monsters!$P558</f>
        <v>1168.7</v>
      </c>
      <c r="BV558" s="9">
        <f>[1]monsters!$Q558</f>
        <v>116.87</v>
      </c>
      <c r="BW558" s="9">
        <f>[1]monsters!$R558</f>
        <v>15.03</v>
      </c>
      <c r="BX558" s="9">
        <f>[1]monsters!$S558</f>
        <v>1.5</v>
      </c>
      <c r="BY558" s="9">
        <f>[1]monsters!$K558</f>
        <v>1.4000000000000001</v>
      </c>
      <c r="BZ558" s="7">
        <f>[1]monsters!$D558</f>
        <v>3</v>
      </c>
      <c r="CA558" s="7">
        <f t="shared" si="213"/>
        <v>0.1</v>
      </c>
      <c r="CB558" s="7">
        <f t="shared" si="214"/>
        <v>152.94861835016835</v>
      </c>
      <c r="CC558" s="7">
        <f t="shared" si="215"/>
        <v>15.294861835016835</v>
      </c>
      <c r="CD558" s="7"/>
      <c r="CE558" s="7"/>
      <c r="CF558" s="7"/>
      <c r="CG558" s="7"/>
      <c r="CH558" s="7"/>
      <c r="CI558" s="7"/>
      <c r="CJ558" s="7"/>
      <c r="CK558" s="7"/>
      <c r="CL558" s="7"/>
      <c r="CM558" s="7"/>
      <c r="CN558" s="7"/>
      <c r="CO558" s="7"/>
      <c r="CP558" s="7">
        <v>1</v>
      </c>
      <c r="CR558" s="25"/>
      <c r="CS558" s="25"/>
      <c r="CT558" s="25"/>
      <c r="CU558" s="25"/>
      <c r="CV558" s="25"/>
      <c r="CW558" s="25"/>
      <c r="DP558" s="25"/>
      <c r="DQ558" s="25"/>
      <c r="DR558" s="25"/>
      <c r="DS558" s="25"/>
      <c r="DT558" s="25"/>
      <c r="DU558" s="25"/>
      <c r="DV558" s="25"/>
      <c r="DW558" s="25"/>
      <c r="DX558" s="25"/>
      <c r="DY558" s="25"/>
      <c r="DZ558" s="25"/>
      <c r="EA558" s="25"/>
      <c r="EB558" s="22"/>
      <c r="EC558" s="16">
        <v>1304041</v>
      </c>
      <c r="ED558" s="16" t="s">
        <v>249</v>
      </c>
      <c r="EE558" s="16">
        <v>1</v>
      </c>
    </row>
    <row r="559" spans="11:135" ht="13.5" customHeight="1">
      <c r="K559" s="2"/>
      <c r="L559" s="18"/>
      <c r="O559" s="25"/>
      <c r="AI559" s="28"/>
      <c r="AJ559" s="28"/>
      <c r="AK559" s="28"/>
      <c r="AL559" s="28"/>
      <c r="AM559" s="28"/>
      <c r="AN559" s="28"/>
      <c r="AO559" s="30"/>
      <c r="AP559" s="28"/>
      <c r="AS559" s="28"/>
      <c r="AT559" s="28"/>
      <c r="AU559" s="30"/>
      <c r="AV559" s="28"/>
      <c r="AW559" s="28"/>
      <c r="AX559" s="28"/>
      <c r="AZ559" s="28"/>
      <c r="BA559" s="16" t="e">
        <f t="shared" si="216"/>
        <v>#DIV/0!</v>
      </c>
      <c r="BC559" s="7" t="e">
        <f t="shared" si="212"/>
        <v>#N/A</v>
      </c>
      <c r="BR559" s="7">
        <v>3203035</v>
      </c>
      <c r="BS559" s="9">
        <f>[1]monsters!$N559</f>
        <v>87.36</v>
      </c>
      <c r="BT559" s="9">
        <f>[1]monsters!$O559</f>
        <v>8.74</v>
      </c>
      <c r="BU559" s="9">
        <f>[1]monsters!$P559</f>
        <v>1493.33</v>
      </c>
      <c r="BV559" s="9">
        <f>[1]monsters!$Q559</f>
        <v>149.33000000000001</v>
      </c>
      <c r="BW559" s="9">
        <f>[1]monsters!$R559</f>
        <v>17.47</v>
      </c>
      <c r="BX559" s="9">
        <f>[1]monsters!$S559</f>
        <v>1.75</v>
      </c>
      <c r="BY559" s="9">
        <f>[1]monsters!$K559</f>
        <v>1.3</v>
      </c>
      <c r="BZ559" s="7">
        <f>[1]monsters!$D559</f>
        <v>2</v>
      </c>
      <c r="CA559" s="7">
        <f t="shared" si="213"/>
        <v>0.1</v>
      </c>
      <c r="CB559" s="7">
        <f t="shared" si="214"/>
        <v>132.83567138047138</v>
      </c>
      <c r="CC559" s="7">
        <f t="shared" si="215"/>
        <v>13.28356713804714</v>
      </c>
      <c r="CD559" s="7"/>
      <c r="CE559" s="7"/>
      <c r="CF559" s="7"/>
      <c r="CG559" s="7"/>
      <c r="CH559" s="7"/>
      <c r="CI559" s="7"/>
      <c r="CJ559" s="7"/>
      <c r="CK559" s="7"/>
      <c r="CL559" s="7"/>
      <c r="CM559" s="7"/>
      <c r="CN559" s="7"/>
      <c r="CO559" s="7"/>
      <c r="CP559" s="7">
        <v>0</v>
      </c>
      <c r="CR559" s="25"/>
      <c r="CS559" s="25"/>
      <c r="CT559" s="25"/>
      <c r="CU559" s="25"/>
      <c r="CV559" s="25"/>
      <c r="CW559" s="25"/>
      <c r="DP559" s="32"/>
      <c r="DQ559" s="32"/>
      <c r="DR559" s="32"/>
      <c r="DS559" s="32"/>
      <c r="DT559" s="32"/>
      <c r="DU559" s="32"/>
      <c r="DV559" s="32"/>
      <c r="DW559" s="32"/>
      <c r="DX559" s="32"/>
      <c r="DY559" s="32"/>
      <c r="DZ559" s="32"/>
      <c r="EA559" s="25"/>
      <c r="EB559" s="50"/>
      <c r="EC559" s="16">
        <v>1203042</v>
      </c>
      <c r="ED559" s="16" t="s">
        <v>250</v>
      </c>
      <c r="EE559" s="16">
        <v>1</v>
      </c>
    </row>
    <row r="560" spans="11:135" ht="13.5" customHeight="1">
      <c r="K560" s="2"/>
      <c r="L560" s="18"/>
      <c r="O560" s="25"/>
      <c r="AI560" s="28"/>
      <c r="AJ560" s="28"/>
      <c r="AK560" s="28"/>
      <c r="AL560" s="28"/>
      <c r="AM560" s="28"/>
      <c r="AN560" s="28"/>
      <c r="AO560" s="30"/>
      <c r="AP560" s="28"/>
      <c r="AS560" s="28"/>
      <c r="AT560" s="28"/>
      <c r="AU560" s="30"/>
      <c r="AV560" s="28"/>
      <c r="AW560" s="28"/>
      <c r="AX560" s="28"/>
      <c r="AZ560" s="28"/>
      <c r="BA560" s="16" t="e">
        <f t="shared" si="216"/>
        <v>#DIV/0!</v>
      </c>
      <c r="BC560" s="7" t="e">
        <f t="shared" si="212"/>
        <v>#N/A</v>
      </c>
      <c r="BR560" s="7">
        <v>3403035</v>
      </c>
      <c r="BS560" s="9">
        <f>[1]monsters!$N560</f>
        <v>116.48</v>
      </c>
      <c r="BT560" s="9">
        <f>[1]monsters!$O560</f>
        <v>11.65</v>
      </c>
      <c r="BU560" s="9">
        <f>[1]monsters!$P560</f>
        <v>1120</v>
      </c>
      <c r="BV560" s="9">
        <f>[1]monsters!$Q560</f>
        <v>112</v>
      </c>
      <c r="BW560" s="9">
        <f>[1]monsters!$R560</f>
        <v>11.65</v>
      </c>
      <c r="BX560" s="9">
        <f>[1]monsters!$S560</f>
        <v>1.1599999999999999</v>
      </c>
      <c r="BY560" s="9">
        <f>[1]monsters!$K560</f>
        <v>1.3</v>
      </c>
      <c r="BZ560" s="7">
        <f>[1]monsters!$D560</f>
        <v>4</v>
      </c>
      <c r="CA560" s="7">
        <f t="shared" si="213"/>
        <v>0.1</v>
      </c>
      <c r="CB560" s="7">
        <f t="shared" si="214"/>
        <v>147.78403771043773</v>
      </c>
      <c r="CC560" s="7">
        <f t="shared" si="215"/>
        <v>14.778403771043774</v>
      </c>
      <c r="CD560" s="7"/>
      <c r="CE560" s="7"/>
      <c r="CF560" s="7"/>
      <c r="CG560" s="7"/>
      <c r="CH560" s="7"/>
      <c r="CI560" s="7"/>
      <c r="CJ560" s="7"/>
      <c r="CK560" s="7"/>
      <c r="CL560" s="7"/>
      <c r="CM560" s="7"/>
      <c r="CN560" s="7"/>
      <c r="CO560" s="7"/>
      <c r="CP560" s="7">
        <v>0</v>
      </c>
      <c r="CR560" s="25"/>
      <c r="CS560" s="25"/>
      <c r="CT560" s="25"/>
      <c r="CU560" s="25"/>
      <c r="CV560" s="25"/>
      <c r="CW560" s="25"/>
      <c r="DP560" s="36"/>
      <c r="DQ560" s="36"/>
      <c r="DR560" s="36"/>
      <c r="DS560" s="36"/>
      <c r="DT560" s="36"/>
      <c r="DU560" s="36"/>
      <c r="DV560" s="36"/>
      <c r="DW560" s="36"/>
      <c r="DX560" s="36"/>
      <c r="DY560" s="36"/>
      <c r="DZ560" s="36"/>
      <c r="EA560" s="25"/>
      <c r="EB560" s="50"/>
      <c r="EC560" s="16">
        <v>1403042</v>
      </c>
      <c r="ED560" s="16" t="s">
        <v>251</v>
      </c>
      <c r="EE560" s="16">
        <v>2</v>
      </c>
    </row>
    <row r="561" spans="11:135" ht="13.5" customHeight="1">
      <c r="K561" s="2"/>
      <c r="L561" s="18"/>
      <c r="O561" s="25"/>
      <c r="AI561" s="28"/>
      <c r="AJ561" s="28"/>
      <c r="AK561" s="28"/>
      <c r="AL561" s="28"/>
      <c r="AM561" s="28"/>
      <c r="AN561" s="28"/>
      <c r="AO561" s="30"/>
      <c r="AP561" s="28"/>
      <c r="AS561" s="28"/>
      <c r="AT561" s="28"/>
      <c r="AU561" s="30"/>
      <c r="AV561" s="28"/>
      <c r="AW561" s="28"/>
      <c r="AX561" s="28"/>
      <c r="AZ561" s="28"/>
      <c r="BA561" s="16" t="e">
        <f t="shared" si="216"/>
        <v>#DIV/0!</v>
      </c>
      <c r="BC561" s="7" t="e">
        <f t="shared" si="212"/>
        <v>#N/A</v>
      </c>
      <c r="BR561" s="7">
        <v>3204035</v>
      </c>
      <c r="BS561" s="9">
        <f>[1]monsters!$N561</f>
        <v>120.96</v>
      </c>
      <c r="BT561" s="9">
        <f>[1]monsters!$O561</f>
        <v>12.1</v>
      </c>
      <c r="BU561" s="9">
        <f>[1]monsters!$P561</f>
        <v>1493.33</v>
      </c>
      <c r="BV561" s="9">
        <f>[1]monsters!$Q561</f>
        <v>149.33000000000001</v>
      </c>
      <c r="BW561" s="9">
        <f>[1]monsters!$R561</f>
        <v>24.19</v>
      </c>
      <c r="BX561" s="9">
        <f>[1]monsters!$S561</f>
        <v>2.42</v>
      </c>
      <c r="BY561" s="9">
        <f>[1]monsters!$K561</f>
        <v>1.8</v>
      </c>
      <c r="BZ561" s="7">
        <f>[1]monsters!$D561</f>
        <v>2</v>
      </c>
      <c r="CA561" s="7">
        <f t="shared" si="213"/>
        <v>0.1</v>
      </c>
      <c r="CB561" s="7">
        <f t="shared" si="214"/>
        <v>164.58767138047136</v>
      </c>
      <c r="CC561" s="7">
        <f t="shared" si="215"/>
        <v>16.458767138047136</v>
      </c>
      <c r="CD561" s="7"/>
      <c r="CE561" s="7"/>
      <c r="CF561" s="7"/>
      <c r="CG561" s="7"/>
      <c r="CH561" s="7"/>
      <c r="CI561" s="7"/>
      <c r="CJ561" s="7"/>
      <c r="CK561" s="7"/>
      <c r="CL561" s="7"/>
      <c r="CM561" s="7"/>
      <c r="CN561" s="7"/>
      <c r="CO561" s="7"/>
      <c r="CP561" s="7">
        <v>0</v>
      </c>
      <c r="CR561" s="25"/>
      <c r="CS561" s="25"/>
      <c r="CT561" s="25"/>
      <c r="CU561" s="25"/>
      <c r="CV561" s="25"/>
      <c r="CW561" s="25"/>
      <c r="DP561" s="32"/>
      <c r="DQ561" s="32"/>
      <c r="DR561" s="36"/>
      <c r="DS561" s="36"/>
      <c r="DT561" s="36"/>
      <c r="DU561" s="36"/>
      <c r="DV561" s="36"/>
      <c r="DW561" s="36"/>
      <c r="DX561" s="36"/>
      <c r="DY561" s="36"/>
      <c r="DZ561" s="36"/>
      <c r="EA561" s="25"/>
      <c r="EB561" s="50"/>
      <c r="EC561" s="16">
        <v>1205042</v>
      </c>
      <c r="ED561" s="16" t="s">
        <v>252</v>
      </c>
      <c r="EE561" s="16">
        <v>1</v>
      </c>
    </row>
    <row r="562" spans="11:135" ht="13.5" customHeight="1">
      <c r="K562" s="2"/>
      <c r="L562" s="18"/>
      <c r="O562" s="25"/>
      <c r="AI562" s="28"/>
      <c r="AJ562" s="28"/>
      <c r="AK562" s="28"/>
      <c r="AL562" s="28"/>
      <c r="AM562" s="28"/>
      <c r="AN562" s="28"/>
      <c r="AO562" s="30"/>
      <c r="AP562" s="28"/>
      <c r="AS562" s="28"/>
      <c r="AT562" s="28"/>
      <c r="AU562" s="30"/>
      <c r="AV562" s="28"/>
      <c r="AW562" s="28"/>
      <c r="AX562" s="28"/>
      <c r="AZ562" s="28"/>
      <c r="BA562" s="16" t="e">
        <f t="shared" si="216"/>
        <v>#DIV/0!</v>
      </c>
      <c r="BC562" s="7" t="e">
        <f t="shared" si="212"/>
        <v>#N/A</v>
      </c>
      <c r="BR562" s="7">
        <v>3404035</v>
      </c>
      <c r="BS562" s="9">
        <f>[1]monsters!$N562</f>
        <v>140</v>
      </c>
      <c r="BT562" s="9">
        <f>[1]monsters!$O562</f>
        <v>14</v>
      </c>
      <c r="BU562" s="9">
        <f>[1]monsters!$P562</f>
        <v>1075.2</v>
      </c>
      <c r="BV562" s="9">
        <f>[1]monsters!$Q562</f>
        <v>107.52</v>
      </c>
      <c r="BW562" s="9">
        <f>[1]monsters!$R562</f>
        <v>14</v>
      </c>
      <c r="BX562" s="9">
        <f>[1]monsters!$S562</f>
        <v>1.4</v>
      </c>
      <c r="BY562" s="9">
        <f>[1]monsters!$K562</f>
        <v>1.5</v>
      </c>
      <c r="BZ562" s="7">
        <f>[1]monsters!$D562</f>
        <v>4</v>
      </c>
      <c r="CA562" s="7">
        <f t="shared" si="213"/>
        <v>0.1</v>
      </c>
      <c r="CB562" s="7">
        <f t="shared" si="214"/>
        <v>168.50202020202022</v>
      </c>
      <c r="CC562" s="7">
        <f t="shared" si="215"/>
        <v>16.850202020202023</v>
      </c>
      <c r="CD562" s="7"/>
      <c r="CE562" s="7"/>
      <c r="CF562" s="7"/>
      <c r="CG562" s="7"/>
      <c r="CH562" s="7"/>
      <c r="CI562" s="7"/>
      <c r="CJ562" s="7"/>
      <c r="CK562" s="7"/>
      <c r="CL562" s="7"/>
      <c r="CM562" s="7"/>
      <c r="CN562" s="7"/>
      <c r="CO562" s="7"/>
      <c r="CP562" s="7">
        <v>0</v>
      </c>
      <c r="CR562" s="25"/>
      <c r="CS562" s="25"/>
      <c r="CT562" s="25"/>
      <c r="CU562" s="25"/>
      <c r="CV562" s="25"/>
      <c r="CW562" s="25"/>
      <c r="DP562" s="32"/>
      <c r="DQ562" s="32"/>
      <c r="DR562" s="32"/>
      <c r="DS562" s="36"/>
      <c r="DT562" s="36"/>
      <c r="DU562" s="36"/>
      <c r="DV562" s="36"/>
      <c r="DW562" s="36"/>
      <c r="DX562" s="36"/>
      <c r="DY562" s="36"/>
      <c r="DZ562" s="36"/>
      <c r="EA562" s="25"/>
      <c r="EB562" s="22"/>
      <c r="EC562" s="16">
        <v>1405042</v>
      </c>
      <c r="ED562" s="16" t="s">
        <v>253</v>
      </c>
      <c r="EE562" s="16">
        <v>2</v>
      </c>
    </row>
    <row r="563" spans="11:135" ht="13.5" customHeight="1">
      <c r="K563" s="2"/>
      <c r="O563" s="25"/>
      <c r="AI563" s="28"/>
      <c r="AJ563" s="28"/>
      <c r="AK563" s="28"/>
      <c r="AL563" s="28"/>
      <c r="AM563" s="28"/>
      <c r="AN563" s="28"/>
      <c r="AO563" s="30"/>
      <c r="AP563" s="28"/>
      <c r="AS563" s="28"/>
      <c r="AT563" s="28"/>
      <c r="AU563" s="30"/>
      <c r="AV563" s="28"/>
      <c r="AW563" s="28"/>
      <c r="AX563" s="28"/>
      <c r="AZ563" s="28"/>
      <c r="BA563" s="16" t="e">
        <f t="shared" si="216"/>
        <v>#DIV/0!</v>
      </c>
      <c r="BC563" s="7" t="e">
        <f t="shared" si="212"/>
        <v>#N/A</v>
      </c>
      <c r="BR563" s="7">
        <v>3303035</v>
      </c>
      <c r="BS563" s="9">
        <f>[1]monsters!$N563</f>
        <v>106.77</v>
      </c>
      <c r="BT563" s="9">
        <f>[1]monsters!$O563</f>
        <v>10.68</v>
      </c>
      <c r="BU563" s="9">
        <f>[1]monsters!$P563</f>
        <v>1221.82</v>
      </c>
      <c r="BV563" s="9">
        <f>[1]monsters!$Q563</f>
        <v>122.18</v>
      </c>
      <c r="BW563" s="9">
        <f>[1]monsters!$R563</f>
        <v>13.35</v>
      </c>
      <c r="BX563" s="9">
        <f>[1]monsters!$S563</f>
        <v>1.33</v>
      </c>
      <c r="BY563" s="9">
        <f>[1]monsters!$K563</f>
        <v>1.3</v>
      </c>
      <c r="BZ563" s="7">
        <f>[1]monsters!$D563</f>
        <v>3</v>
      </c>
      <c r="CA563" s="7">
        <f t="shared" si="213"/>
        <v>0.1</v>
      </c>
      <c r="CB563" s="7">
        <f t="shared" si="214"/>
        <v>142.03637053872055</v>
      </c>
      <c r="CC563" s="7">
        <f t="shared" si="215"/>
        <v>14.203637053872056</v>
      </c>
      <c r="CD563" s="7"/>
      <c r="CE563" s="7"/>
      <c r="CF563" s="7"/>
      <c r="CG563" s="7"/>
      <c r="CH563" s="7"/>
      <c r="CI563" s="7"/>
      <c r="CJ563" s="7"/>
      <c r="CK563" s="7"/>
      <c r="CL563" s="7"/>
      <c r="CM563" s="7"/>
      <c r="CN563" s="7"/>
      <c r="CO563" s="7"/>
      <c r="CP563" s="7">
        <v>1</v>
      </c>
      <c r="CR563" s="25"/>
      <c r="CS563" s="25"/>
      <c r="CT563" s="25"/>
      <c r="CU563" s="25"/>
      <c r="CV563" s="25"/>
      <c r="CW563" s="25"/>
      <c r="DP563" s="32"/>
      <c r="DQ563" s="32"/>
      <c r="DR563" s="36"/>
      <c r="DS563" s="14"/>
      <c r="DT563" s="36"/>
      <c r="DU563" s="36"/>
      <c r="DV563" s="36"/>
      <c r="DW563" s="36"/>
      <c r="DX563" s="36"/>
      <c r="DY563" s="36"/>
      <c r="DZ563" s="36"/>
      <c r="EA563" s="25"/>
      <c r="EB563" s="50"/>
      <c r="EC563" s="16">
        <v>1303042</v>
      </c>
      <c r="ED563" s="16" t="s">
        <v>254</v>
      </c>
      <c r="EE563" s="16">
        <v>1</v>
      </c>
    </row>
    <row r="564" spans="11:135" ht="13.5" customHeight="1">
      <c r="K564" s="2"/>
      <c r="L564" s="18"/>
      <c r="O564" s="25"/>
      <c r="AI564" s="28"/>
      <c r="AJ564" s="28"/>
      <c r="AK564" s="28"/>
      <c r="AL564" s="28"/>
      <c r="AM564" s="28"/>
      <c r="AN564" s="28"/>
      <c r="AO564" s="30"/>
      <c r="AP564" s="28"/>
      <c r="AS564" s="28"/>
      <c r="AT564" s="28"/>
      <c r="AU564" s="30"/>
      <c r="AV564" s="28"/>
      <c r="AW564" s="28"/>
      <c r="AX564" s="28"/>
      <c r="AZ564" s="28"/>
      <c r="BA564" s="16" t="e">
        <f t="shared" si="216"/>
        <v>#DIV/0!</v>
      </c>
      <c r="BC564" s="7" t="e">
        <f t="shared" si="212"/>
        <v>#N/A</v>
      </c>
      <c r="BR564" s="7">
        <v>3304035</v>
      </c>
      <c r="BS564" s="9">
        <f>[1]monsters!$N564</f>
        <v>147.84</v>
      </c>
      <c r="BT564" s="9">
        <f>[1]monsters!$O564</f>
        <v>14.78</v>
      </c>
      <c r="BU564" s="9">
        <f>[1]monsters!$P564</f>
        <v>1221.82</v>
      </c>
      <c r="BV564" s="9">
        <f>[1]monsters!$Q564</f>
        <v>122.18</v>
      </c>
      <c r="BW564" s="9">
        <f>[1]monsters!$R564</f>
        <v>24.64</v>
      </c>
      <c r="BX564" s="9">
        <f>[1]monsters!$S564</f>
        <v>2.46</v>
      </c>
      <c r="BY564" s="9">
        <f>[1]monsters!$K564</f>
        <v>1.8</v>
      </c>
      <c r="BZ564" s="7">
        <f>[1]monsters!$D564</f>
        <v>5</v>
      </c>
      <c r="CA564" s="7">
        <f t="shared" si="213"/>
        <v>0.1</v>
      </c>
      <c r="CB564" s="7">
        <f t="shared" si="214"/>
        <v>180.84752053872052</v>
      </c>
      <c r="CC564" s="7">
        <f t="shared" si="215"/>
        <v>18.084752053872052</v>
      </c>
      <c r="CD564" s="7"/>
      <c r="CE564" s="7"/>
      <c r="CF564" s="7"/>
      <c r="CG564" s="7"/>
      <c r="CH564" s="7"/>
      <c r="CI564" s="7"/>
      <c r="CJ564" s="7"/>
      <c r="CK564" s="7"/>
      <c r="CL564" s="7"/>
      <c r="CM564" s="7"/>
      <c r="CN564" s="7"/>
      <c r="CO564" s="7"/>
      <c r="CP564" s="7">
        <v>0</v>
      </c>
      <c r="CR564" s="25"/>
      <c r="CS564" s="25"/>
      <c r="CT564" s="25"/>
      <c r="CU564" s="25"/>
      <c r="CV564" s="25"/>
      <c r="CW564" s="25"/>
      <c r="DP564" s="32"/>
      <c r="DQ564" s="32"/>
      <c r="DR564" s="32"/>
      <c r="DS564" s="36"/>
      <c r="DT564" s="36"/>
      <c r="DU564" s="36"/>
      <c r="DV564" s="36"/>
      <c r="DW564" s="36"/>
      <c r="DX564" s="36"/>
      <c r="DY564" s="36"/>
      <c r="DZ564" s="36"/>
      <c r="EA564" s="25"/>
      <c r="EB564" s="50"/>
      <c r="EC564" s="16">
        <v>1504042</v>
      </c>
      <c r="ED564" s="16" t="s">
        <v>255</v>
      </c>
      <c r="EE564" s="16">
        <v>1</v>
      </c>
    </row>
    <row r="565" spans="11:135" ht="13.5" customHeight="1">
      <c r="K565" s="2"/>
      <c r="L565" s="18"/>
      <c r="O565" s="25"/>
      <c r="AI565" s="28"/>
      <c r="AJ565" s="28"/>
      <c r="AK565" s="28"/>
      <c r="AL565" s="28"/>
      <c r="AM565" s="28"/>
      <c r="AN565" s="28"/>
      <c r="AO565" s="30"/>
      <c r="AP565" s="28"/>
      <c r="AS565" s="28"/>
      <c r="AT565" s="28"/>
      <c r="AU565" s="30"/>
      <c r="AV565" s="28"/>
      <c r="AW565" s="28"/>
      <c r="AX565" s="28"/>
      <c r="AZ565" s="28"/>
      <c r="BA565" s="16" t="e">
        <f t="shared" si="216"/>
        <v>#DIV/0!</v>
      </c>
      <c r="BC565" s="7" t="e">
        <f t="shared" si="212"/>
        <v>#N/A</v>
      </c>
      <c r="BR565" s="7">
        <v>3503035</v>
      </c>
      <c r="BS565" s="9">
        <f>[1]monsters!$N565</f>
        <v>107.52</v>
      </c>
      <c r="BT565" s="9">
        <f>[1]monsters!$O565</f>
        <v>10.75</v>
      </c>
      <c r="BU565" s="9">
        <f>[1]monsters!$P565</f>
        <v>1493.33</v>
      </c>
      <c r="BV565" s="9">
        <f>[1]monsters!$Q565</f>
        <v>149.33000000000001</v>
      </c>
      <c r="BW565" s="9">
        <f>[1]monsters!$R565</f>
        <v>21.5</v>
      </c>
      <c r="BX565" s="9">
        <f>[1]monsters!$S565</f>
        <v>2.15</v>
      </c>
      <c r="BY565" s="9">
        <f>[1]monsters!$K565</f>
        <v>1.6</v>
      </c>
      <c r="BZ565" s="7">
        <f>[1]monsters!$D565</f>
        <v>2</v>
      </c>
      <c r="CA565" s="7">
        <f t="shared" si="213"/>
        <v>0.1</v>
      </c>
      <c r="CB565" s="7">
        <f t="shared" si="214"/>
        <v>151.88687138047138</v>
      </c>
      <c r="CC565" s="7">
        <f t="shared" si="215"/>
        <v>15.188687138047138</v>
      </c>
      <c r="CD565" s="7"/>
      <c r="CE565" s="7"/>
      <c r="CF565" s="7"/>
      <c r="CG565" s="7"/>
      <c r="CH565" s="7"/>
      <c r="CI565" s="7"/>
      <c r="CJ565" s="7"/>
      <c r="CK565" s="7"/>
      <c r="CL565" s="7"/>
      <c r="CM565" s="7"/>
      <c r="CN565" s="7"/>
      <c r="CO565" s="7"/>
      <c r="CP565" s="7">
        <v>0</v>
      </c>
      <c r="CR565" s="25"/>
      <c r="CS565" s="25"/>
      <c r="CT565" s="25"/>
      <c r="CU565" s="25"/>
      <c r="CV565" s="25"/>
      <c r="CW565" s="25"/>
      <c r="DP565" s="32"/>
      <c r="DQ565" s="32"/>
      <c r="DR565" s="32"/>
      <c r="DS565" s="32"/>
      <c r="DT565" s="32"/>
      <c r="DU565" s="32"/>
      <c r="DV565" s="32"/>
      <c r="DW565" s="32"/>
      <c r="DX565" s="32"/>
      <c r="DY565" s="32"/>
      <c r="DZ565" s="32"/>
      <c r="EA565" s="25"/>
      <c r="EB565" s="22"/>
      <c r="EC565" s="16">
        <v>1206042</v>
      </c>
      <c r="ED565" s="16" t="s">
        <v>256</v>
      </c>
      <c r="EE565" s="16">
        <v>1</v>
      </c>
    </row>
    <row r="566" spans="11:135" ht="13.5" customHeight="1">
      <c r="K566" s="2"/>
      <c r="L566" s="18"/>
      <c r="O566" s="25"/>
      <c r="AI566" s="28"/>
      <c r="AJ566" s="28"/>
      <c r="AK566" s="28"/>
      <c r="AL566" s="28"/>
      <c r="AM566" s="28"/>
      <c r="AN566" s="28"/>
      <c r="AO566" s="30"/>
      <c r="AP566" s="28"/>
      <c r="AS566" s="28"/>
      <c r="AT566" s="28"/>
      <c r="AU566" s="30"/>
      <c r="AV566" s="28"/>
      <c r="AW566" s="28"/>
      <c r="AX566" s="28"/>
      <c r="AZ566" s="28"/>
      <c r="BA566" s="16" t="e">
        <f t="shared" si="216"/>
        <v>#DIV/0!</v>
      </c>
      <c r="BC566" s="7" t="e">
        <f t="shared" si="212"/>
        <v>#N/A</v>
      </c>
      <c r="BR566" s="7">
        <v>3504035</v>
      </c>
      <c r="BS566" s="9">
        <f>[1]monsters!$N566</f>
        <v>135.88999999999999</v>
      </c>
      <c r="BT566" s="9">
        <f>[1]monsters!$O566</f>
        <v>13.59</v>
      </c>
      <c r="BU566" s="9">
        <f>[1]monsters!$P566</f>
        <v>1033.8499999999999</v>
      </c>
      <c r="BV566" s="9">
        <f>[1]monsters!$Q566</f>
        <v>103.38</v>
      </c>
      <c r="BW566" s="9">
        <f>[1]monsters!$R566</f>
        <v>13.59</v>
      </c>
      <c r="BX566" s="9">
        <f>[1]monsters!$S566</f>
        <v>1.36</v>
      </c>
      <c r="BY566" s="9">
        <f>[1]monsters!$K566</f>
        <v>1.4000000000000001</v>
      </c>
      <c r="BZ566" s="7">
        <f>[1]monsters!$D566</f>
        <v>4</v>
      </c>
      <c r="CA566" s="7">
        <f t="shared" si="213"/>
        <v>0.1</v>
      </c>
      <c r="CB566" s="7">
        <f t="shared" si="214"/>
        <v>163.2258143097643</v>
      </c>
      <c r="CC566" s="7">
        <f t="shared" si="215"/>
        <v>16.322581430976431</v>
      </c>
      <c r="CD566" s="7"/>
      <c r="CE566" s="7"/>
      <c r="CF566" s="7"/>
      <c r="CG566" s="7"/>
      <c r="CH566" s="7"/>
      <c r="CI566" s="7"/>
      <c r="CJ566" s="7"/>
      <c r="CK566" s="7"/>
      <c r="CL566" s="7"/>
      <c r="CM566" s="7"/>
      <c r="CN566" s="7"/>
      <c r="CO566" s="7"/>
      <c r="CP566" s="7">
        <v>0</v>
      </c>
      <c r="CR566" s="25"/>
      <c r="CS566" s="25"/>
      <c r="CT566" s="25"/>
      <c r="CU566" s="25"/>
      <c r="CV566" s="25"/>
      <c r="CW566" s="25"/>
      <c r="DP566" s="36"/>
      <c r="DQ566" s="36"/>
      <c r="DR566" s="36"/>
      <c r="DS566" s="36"/>
      <c r="DT566" s="36"/>
      <c r="DU566" s="36"/>
      <c r="DV566" s="36"/>
      <c r="DW566" s="36"/>
      <c r="DX566" s="36"/>
      <c r="DY566" s="36"/>
      <c r="DZ566" s="36"/>
      <c r="EA566" s="25"/>
      <c r="EB566" s="50"/>
      <c r="EC566" s="16">
        <v>1406042</v>
      </c>
      <c r="ED566" s="16" t="s">
        <v>257</v>
      </c>
      <c r="EE566" s="16">
        <v>2</v>
      </c>
    </row>
    <row r="567" spans="11:135" ht="13.5" customHeight="1">
      <c r="K567" s="2"/>
      <c r="L567" s="18"/>
      <c r="O567" s="25"/>
      <c r="AI567" s="28"/>
      <c r="AJ567" s="28"/>
      <c r="AK567" s="28"/>
      <c r="AL567" s="28"/>
      <c r="AM567" s="28"/>
      <c r="AN567" s="28"/>
      <c r="AO567" s="30"/>
      <c r="AP567" s="28"/>
      <c r="AS567" s="28"/>
      <c r="AT567" s="28"/>
      <c r="AU567" s="30"/>
      <c r="AV567" s="28"/>
      <c r="AW567" s="28"/>
      <c r="AX567" s="28"/>
      <c r="AZ567" s="28"/>
      <c r="BA567" s="16" t="e">
        <f t="shared" si="216"/>
        <v>#DIV/0!</v>
      </c>
      <c r="BC567" s="7" t="e">
        <f t="shared" si="212"/>
        <v>#N/A</v>
      </c>
      <c r="BR567" s="7">
        <v>3101035</v>
      </c>
      <c r="BS567" s="9">
        <f>[1]monsters!$N567</f>
        <v>94.08</v>
      </c>
      <c r="BT567" s="9">
        <f>[1]monsters!$O567</f>
        <v>9.41</v>
      </c>
      <c r="BU567" s="9">
        <f>[1]monsters!$P567</f>
        <v>1493.33</v>
      </c>
      <c r="BV567" s="9">
        <f>[1]monsters!$Q567</f>
        <v>149.33000000000001</v>
      </c>
      <c r="BW567" s="9">
        <f>[1]monsters!$R567</f>
        <v>18.82</v>
      </c>
      <c r="BX567" s="9">
        <f>[1]monsters!$S567</f>
        <v>1.88</v>
      </c>
      <c r="BY567" s="9">
        <f>[1]monsters!$K567</f>
        <v>1.4000000000000001</v>
      </c>
      <c r="BZ567" s="7">
        <f>[1]monsters!$D567</f>
        <v>2</v>
      </c>
      <c r="CA567" s="7">
        <f t="shared" si="213"/>
        <v>0.1</v>
      </c>
      <c r="CB567" s="7">
        <f t="shared" si="214"/>
        <v>139.18607138047139</v>
      </c>
      <c r="CC567" s="7">
        <f t="shared" si="215"/>
        <v>13.91860713804714</v>
      </c>
      <c r="CD567" s="7"/>
      <c r="CE567" s="7"/>
      <c r="CF567" s="7"/>
      <c r="CG567" s="7"/>
      <c r="CH567" s="7"/>
      <c r="CI567" s="7"/>
      <c r="CJ567" s="7"/>
      <c r="CK567" s="7"/>
      <c r="CL567" s="7"/>
      <c r="CM567" s="7"/>
      <c r="CN567" s="7"/>
      <c r="CO567" s="7"/>
      <c r="CP567" s="7">
        <v>0</v>
      </c>
      <c r="CR567" s="25"/>
      <c r="CS567" s="25"/>
      <c r="CT567" s="25"/>
      <c r="CU567" s="25"/>
      <c r="CV567" s="25"/>
      <c r="CW567" s="25"/>
      <c r="DP567" s="32"/>
      <c r="DQ567" s="13"/>
      <c r="DR567" s="32"/>
      <c r="DS567" s="32"/>
      <c r="DT567" s="32"/>
      <c r="DU567" s="32"/>
      <c r="DV567" s="32"/>
      <c r="DW567" s="32"/>
      <c r="DX567" s="32"/>
      <c r="DY567" s="32"/>
      <c r="DZ567" s="32"/>
      <c r="EA567" s="25"/>
      <c r="EB567" s="50"/>
      <c r="EC567" s="16">
        <v>1204042</v>
      </c>
      <c r="ED567" s="16" t="s">
        <v>258</v>
      </c>
      <c r="EE567" s="16">
        <v>1</v>
      </c>
    </row>
    <row r="568" spans="11:135" ht="13.5" customHeight="1">
      <c r="K568" s="2"/>
      <c r="O568" s="25"/>
      <c r="AI568" s="28"/>
      <c r="AJ568" s="28"/>
      <c r="AK568" s="28"/>
      <c r="AL568" s="28"/>
      <c r="AM568" s="28"/>
      <c r="AN568" s="28"/>
      <c r="AO568" s="30"/>
      <c r="AP568" s="28"/>
      <c r="AS568" s="28"/>
      <c r="AT568" s="28"/>
      <c r="AU568" s="30"/>
      <c r="AV568" s="28"/>
      <c r="AW568" s="28"/>
      <c r="AX568" s="28"/>
      <c r="AZ568" s="28"/>
      <c r="BA568" s="16" t="e">
        <f t="shared" si="216"/>
        <v>#DIV/0!</v>
      </c>
      <c r="BC568" s="7" t="e">
        <f t="shared" si="212"/>
        <v>#N/A</v>
      </c>
      <c r="BR568" s="7">
        <v>3102035</v>
      </c>
      <c r="BS568" s="9">
        <f>[1]monsters!$N568</f>
        <v>155.31</v>
      </c>
      <c r="BT568" s="9">
        <f>[1]monsters!$O568</f>
        <v>15.53</v>
      </c>
      <c r="BU568" s="9">
        <f>[1]monsters!$P568</f>
        <v>1033.8499999999999</v>
      </c>
      <c r="BV568" s="9">
        <f>[1]monsters!$Q568</f>
        <v>103.38</v>
      </c>
      <c r="BW568" s="9">
        <f>[1]monsters!$R568</f>
        <v>15.53</v>
      </c>
      <c r="BX568" s="9">
        <f>[1]monsters!$S568</f>
        <v>1.55</v>
      </c>
      <c r="BY568" s="9">
        <f>[1]monsters!$K568</f>
        <v>1.6</v>
      </c>
      <c r="BZ568" s="7">
        <f>[1]monsters!$D568</f>
        <v>4</v>
      </c>
      <c r="CA568" s="7">
        <f t="shared" si="213"/>
        <v>0.1</v>
      </c>
      <c r="CB568" s="7">
        <f t="shared" si="214"/>
        <v>181.5777143097643</v>
      </c>
      <c r="CC568" s="7">
        <f t="shared" si="215"/>
        <v>18.157771430976432</v>
      </c>
      <c r="CD568" s="7"/>
      <c r="CE568" s="7"/>
      <c r="CF568" s="7"/>
      <c r="CG568" s="7"/>
      <c r="CH568" s="7"/>
      <c r="CI568" s="7"/>
      <c r="CJ568" s="7"/>
      <c r="CK568" s="7"/>
      <c r="CL568" s="7"/>
      <c r="CM568" s="7"/>
      <c r="CN568" s="7"/>
      <c r="CO568" s="7"/>
      <c r="CP568" s="7">
        <v>1</v>
      </c>
      <c r="CR568" s="25"/>
      <c r="CS568" s="25"/>
      <c r="CT568" s="25"/>
      <c r="CU568" s="25"/>
      <c r="CV568" s="25"/>
      <c r="CW568" s="25"/>
      <c r="DP568" s="13"/>
      <c r="DQ568" s="32"/>
      <c r="DR568" s="32"/>
      <c r="DS568" s="32"/>
      <c r="DT568" s="32"/>
      <c r="DU568" s="32"/>
      <c r="DV568" s="32"/>
      <c r="DW568" s="32"/>
      <c r="DX568" s="32"/>
      <c r="DY568" s="32"/>
      <c r="DZ568" s="32"/>
      <c r="EA568" s="25"/>
      <c r="EB568" s="50"/>
      <c r="EC568" s="16">
        <v>1404042</v>
      </c>
      <c r="ED568" s="16" t="s">
        <v>259</v>
      </c>
      <c r="EE568" s="16">
        <v>2</v>
      </c>
    </row>
    <row r="569" spans="11:135" ht="13.5" customHeight="1">
      <c r="K569" s="2"/>
      <c r="L569" s="18"/>
      <c r="O569" s="25"/>
      <c r="AI569" s="28"/>
      <c r="AJ569" s="28"/>
      <c r="AK569" s="28"/>
      <c r="AL569" s="28"/>
      <c r="AM569" s="28"/>
      <c r="AN569" s="28"/>
      <c r="AO569" s="30"/>
      <c r="AP569" s="28"/>
      <c r="AS569" s="28"/>
      <c r="AT569" s="28"/>
      <c r="AU569" s="30"/>
      <c r="AV569" s="28"/>
      <c r="AW569" s="28"/>
      <c r="AX569" s="28"/>
      <c r="AZ569" s="28"/>
      <c r="BA569" s="16" t="e">
        <f t="shared" si="216"/>
        <v>#DIV/0!</v>
      </c>
      <c r="BC569" s="7" t="e">
        <f t="shared" si="212"/>
        <v>#N/A</v>
      </c>
      <c r="BR569" s="7">
        <v>4206041</v>
      </c>
      <c r="BS569" s="9">
        <f>[1]monsters!$N569</f>
        <v>143.36000000000001</v>
      </c>
      <c r="BT569" s="9">
        <f>[1]monsters!$O569</f>
        <v>14.34</v>
      </c>
      <c r="BU569" s="9">
        <f>[1]monsters!$P569</f>
        <v>1120</v>
      </c>
      <c r="BV569" s="9">
        <f>[1]monsters!$Q569</f>
        <v>112</v>
      </c>
      <c r="BW569" s="9">
        <f>[1]monsters!$R569</f>
        <v>23.89</v>
      </c>
      <c r="BX569" s="9">
        <f>[1]monsters!$S569</f>
        <v>2.39</v>
      </c>
      <c r="BY569" s="9">
        <f>[1]monsters!$K569</f>
        <v>1.6</v>
      </c>
      <c r="BZ569" s="7">
        <f>[1]monsters!$D569</f>
        <v>5</v>
      </c>
      <c r="CA569" s="7">
        <f t="shared" si="213"/>
        <v>0.1</v>
      </c>
      <c r="CB569" s="7">
        <f t="shared" si="214"/>
        <v>173.18563771043773</v>
      </c>
      <c r="CC569" s="7">
        <f t="shared" si="215"/>
        <v>17.318563771043774</v>
      </c>
      <c r="CD569" s="7"/>
      <c r="CE569" s="7"/>
      <c r="CF569" s="7"/>
      <c r="CG569" s="7"/>
      <c r="CH569" s="7"/>
      <c r="CI569" s="7"/>
      <c r="CJ569" s="7"/>
      <c r="CK569" s="7"/>
      <c r="CL569" s="7"/>
      <c r="CM569" s="7"/>
      <c r="CN569" s="7"/>
      <c r="CO569" s="7"/>
      <c r="CP569" s="7">
        <v>0</v>
      </c>
      <c r="CR569" s="25"/>
      <c r="CS569" s="25"/>
      <c r="CT569" s="25"/>
      <c r="CU569" s="25"/>
      <c r="CV569" s="25"/>
      <c r="CW569" s="25"/>
      <c r="DP569" s="36"/>
      <c r="DQ569" s="36"/>
      <c r="DR569" s="36"/>
      <c r="DS569" s="36"/>
      <c r="DT569" s="36"/>
      <c r="DU569" s="36"/>
      <c r="DV569" s="36"/>
      <c r="DW569" s="36"/>
      <c r="DX569" s="36"/>
      <c r="DY569" s="36"/>
      <c r="DZ569" s="36"/>
      <c r="EA569" s="25"/>
      <c r="EB569" s="47"/>
      <c r="EC569" s="16">
        <v>1503042</v>
      </c>
      <c r="ED569" s="16" t="s">
        <v>260</v>
      </c>
      <c r="EE569" s="16">
        <v>1</v>
      </c>
    </row>
    <row r="570" spans="11:135" ht="13.5" customHeight="1">
      <c r="K570" s="2"/>
      <c r="L570" s="18"/>
      <c r="O570" s="25"/>
      <c r="AI570" s="28"/>
      <c r="AJ570" s="28"/>
      <c r="AK570" s="28"/>
      <c r="AL570" s="28"/>
      <c r="AM570" s="28"/>
      <c r="AN570" s="28"/>
      <c r="AO570" s="30"/>
      <c r="AP570" s="28"/>
      <c r="AS570" s="28"/>
      <c r="AT570" s="28"/>
      <c r="AU570" s="30"/>
      <c r="AV570" s="28"/>
      <c r="AW570" s="28"/>
      <c r="AX570" s="28"/>
      <c r="AZ570" s="28"/>
      <c r="BA570" s="16" t="e">
        <f t="shared" si="216"/>
        <v>#DIV/0!</v>
      </c>
      <c r="BC570" s="7" t="e">
        <f t="shared" si="212"/>
        <v>#N/A</v>
      </c>
      <c r="BR570" s="7">
        <v>4406041</v>
      </c>
      <c r="BS570" s="9">
        <f>[1]monsters!$N570</f>
        <v>120.21</v>
      </c>
      <c r="BT570" s="9">
        <f>[1]monsters!$O570</f>
        <v>12.02</v>
      </c>
      <c r="BU570" s="9">
        <f>[1]monsters!$P570</f>
        <v>1168.7</v>
      </c>
      <c r="BV570" s="9">
        <f>[1]monsters!$Q570</f>
        <v>116.87</v>
      </c>
      <c r="BW570" s="9">
        <f>[1]monsters!$R570</f>
        <v>15.03</v>
      </c>
      <c r="BX570" s="9">
        <f>[1]monsters!$S570</f>
        <v>1.5</v>
      </c>
      <c r="BY570" s="9">
        <f>[1]monsters!$K570</f>
        <v>1.4000000000000001</v>
      </c>
      <c r="BZ570" s="7">
        <f>[1]monsters!$D570</f>
        <v>3</v>
      </c>
      <c r="CA570" s="7">
        <f t="shared" si="213"/>
        <v>0.1</v>
      </c>
      <c r="CB570" s="7">
        <f t="shared" si="214"/>
        <v>152.94861835016835</v>
      </c>
      <c r="CC570" s="7">
        <f t="shared" si="215"/>
        <v>15.294861835016835</v>
      </c>
      <c r="CD570" s="7"/>
      <c r="CE570" s="7"/>
      <c r="CF570" s="7"/>
      <c r="CG570" s="7"/>
      <c r="CH570" s="7"/>
      <c r="CI570" s="7"/>
      <c r="CJ570" s="7"/>
      <c r="CK570" s="7"/>
      <c r="CL570" s="7"/>
      <c r="CM570" s="7"/>
      <c r="CN570" s="7"/>
      <c r="CO570" s="7"/>
      <c r="CP570" s="7">
        <v>0</v>
      </c>
      <c r="CR570" s="25"/>
      <c r="CS570" s="25"/>
      <c r="CT570" s="25"/>
      <c r="CU570" s="25"/>
      <c r="CV570" s="25"/>
      <c r="CW570" s="25"/>
      <c r="DP570" s="32"/>
      <c r="DQ570" s="32"/>
      <c r="DR570" s="36"/>
      <c r="DS570" s="36"/>
      <c r="DT570" s="32"/>
      <c r="DU570" s="32"/>
      <c r="DV570" s="32"/>
      <c r="DW570" s="32"/>
      <c r="DX570" s="32"/>
      <c r="DY570" s="32"/>
      <c r="DZ570" s="32"/>
      <c r="EA570" s="25"/>
      <c r="EB570" s="47"/>
      <c r="EC570" s="16">
        <v>1304042</v>
      </c>
      <c r="ED570" s="16" t="s">
        <v>261</v>
      </c>
      <c r="EE570" s="16">
        <v>1</v>
      </c>
    </row>
    <row r="571" spans="11:135" ht="13.5" customHeight="1">
      <c r="K571" s="2"/>
      <c r="L571" s="18"/>
      <c r="O571" s="25"/>
      <c r="AI571" s="28"/>
      <c r="AJ571" s="28"/>
      <c r="AK571" s="28"/>
      <c r="AL571" s="28"/>
      <c r="AM571" s="28"/>
      <c r="AN571" s="28"/>
      <c r="AO571" s="30"/>
      <c r="AP571" s="28"/>
      <c r="AS571" s="28"/>
      <c r="AT571" s="28"/>
      <c r="AU571" s="30"/>
      <c r="AV571" s="28"/>
      <c r="AW571" s="28"/>
      <c r="AX571" s="28"/>
      <c r="AZ571" s="28"/>
      <c r="BA571" s="16" t="e">
        <f t="shared" si="216"/>
        <v>#DIV/0!</v>
      </c>
      <c r="BC571" s="7" t="e">
        <f t="shared" si="212"/>
        <v>#N/A</v>
      </c>
      <c r="BR571" s="7">
        <v>4205041</v>
      </c>
      <c r="BS571" s="9">
        <f>[1]monsters!$N571</f>
        <v>87.36</v>
      </c>
      <c r="BT571" s="9">
        <f>[1]monsters!$O571</f>
        <v>8.74</v>
      </c>
      <c r="BU571" s="9">
        <f>[1]monsters!$P571</f>
        <v>1493.33</v>
      </c>
      <c r="BV571" s="9">
        <f>[1]monsters!$Q571</f>
        <v>149.33000000000001</v>
      </c>
      <c r="BW571" s="9">
        <f>[1]monsters!$R571</f>
        <v>17.47</v>
      </c>
      <c r="BX571" s="9">
        <f>[1]monsters!$S571</f>
        <v>1.75</v>
      </c>
      <c r="BY571" s="9">
        <f>[1]monsters!$K571</f>
        <v>1.3</v>
      </c>
      <c r="BZ571" s="7">
        <f>[1]monsters!$D571</f>
        <v>2</v>
      </c>
      <c r="CA571" s="7">
        <f t="shared" si="213"/>
        <v>0.1</v>
      </c>
      <c r="CB571" s="7">
        <f t="shared" si="214"/>
        <v>132.83567138047138</v>
      </c>
      <c r="CC571" s="7">
        <f t="shared" si="215"/>
        <v>13.28356713804714</v>
      </c>
      <c r="CD571" s="7"/>
      <c r="CE571" s="7"/>
      <c r="CF571" s="7"/>
      <c r="CG571" s="7"/>
      <c r="CH571" s="7"/>
      <c r="CI571" s="7"/>
      <c r="CJ571" s="7"/>
      <c r="CK571" s="7"/>
      <c r="CL571" s="7"/>
      <c r="CM571" s="7"/>
      <c r="CN571" s="7"/>
      <c r="CO571" s="7"/>
      <c r="CP571" s="7">
        <v>0</v>
      </c>
      <c r="CR571" s="25"/>
      <c r="CS571" s="25"/>
      <c r="CT571" s="25"/>
      <c r="CU571" s="25"/>
      <c r="CV571" s="25"/>
      <c r="CW571" s="25"/>
      <c r="DP571" s="32"/>
      <c r="DQ571" s="32"/>
      <c r="DR571" s="36"/>
      <c r="DS571" s="36"/>
      <c r="DT571" s="36"/>
      <c r="DU571" s="36"/>
      <c r="DV571" s="36"/>
      <c r="DW571" s="36"/>
      <c r="DX571" s="36"/>
      <c r="DY571" s="36"/>
      <c r="DZ571" s="36"/>
      <c r="EA571" s="25"/>
      <c r="EB571" s="47"/>
      <c r="EC571" s="16">
        <v>1203043</v>
      </c>
      <c r="ED571" s="16" t="s">
        <v>262</v>
      </c>
      <c r="EE571" s="16">
        <v>1</v>
      </c>
    </row>
    <row r="572" spans="11:135" ht="13.5" customHeight="1">
      <c r="K572" s="2"/>
      <c r="L572" s="18"/>
      <c r="O572" s="25"/>
      <c r="AI572" s="28"/>
      <c r="AJ572" s="28"/>
      <c r="AK572" s="28"/>
      <c r="AL572" s="28"/>
      <c r="AM572" s="28"/>
      <c r="AN572" s="28"/>
      <c r="AO572" s="30"/>
      <c r="AP572" s="28"/>
      <c r="AS572" s="28"/>
      <c r="AT572" s="28"/>
      <c r="AU572" s="30"/>
      <c r="AV572" s="28"/>
      <c r="AW572" s="28"/>
      <c r="AX572" s="28"/>
      <c r="AZ572" s="28"/>
      <c r="BA572" s="16" t="e">
        <f t="shared" si="216"/>
        <v>#DIV/0!</v>
      </c>
      <c r="BC572" s="7" t="e">
        <f t="shared" si="212"/>
        <v>#N/A</v>
      </c>
      <c r="BR572" s="7">
        <v>4405041</v>
      </c>
      <c r="BS572" s="9">
        <f>[1]monsters!$N572</f>
        <v>116.48</v>
      </c>
      <c r="BT572" s="9">
        <f>[1]monsters!$O572</f>
        <v>11.65</v>
      </c>
      <c r="BU572" s="9">
        <f>[1]monsters!$P572</f>
        <v>1120</v>
      </c>
      <c r="BV572" s="9">
        <f>[1]monsters!$Q572</f>
        <v>112</v>
      </c>
      <c r="BW572" s="9">
        <f>[1]monsters!$R572</f>
        <v>11.65</v>
      </c>
      <c r="BX572" s="9">
        <f>[1]monsters!$S572</f>
        <v>1.1599999999999999</v>
      </c>
      <c r="BY572" s="9">
        <f>[1]monsters!$K572</f>
        <v>1.3</v>
      </c>
      <c r="BZ572" s="7">
        <f>[1]monsters!$D572</f>
        <v>4</v>
      </c>
      <c r="CA572" s="7">
        <f t="shared" si="213"/>
        <v>0.1</v>
      </c>
      <c r="CB572" s="7">
        <f t="shared" si="214"/>
        <v>147.78403771043773</v>
      </c>
      <c r="CC572" s="7">
        <f t="shared" si="215"/>
        <v>14.778403771043774</v>
      </c>
      <c r="CD572" s="7"/>
      <c r="CE572" s="7"/>
      <c r="CF572" s="7"/>
      <c r="CG572" s="7"/>
      <c r="CH572" s="7"/>
      <c r="CI572" s="7"/>
      <c r="CJ572" s="7"/>
      <c r="CK572" s="7"/>
      <c r="CL572" s="7"/>
      <c r="CM572" s="7"/>
      <c r="CN572" s="7"/>
      <c r="CO572" s="7"/>
      <c r="CP572" s="7">
        <v>0</v>
      </c>
      <c r="CR572" s="25"/>
      <c r="CS572" s="25"/>
      <c r="CT572" s="25"/>
      <c r="CU572" s="25"/>
      <c r="CV572" s="25"/>
      <c r="CW572" s="25"/>
      <c r="DP572" s="32"/>
      <c r="DQ572" s="32"/>
      <c r="DR572" s="32"/>
      <c r="DS572" s="32"/>
      <c r="DT572" s="36"/>
      <c r="DU572" s="36"/>
      <c r="DV572" s="36"/>
      <c r="DW572" s="36"/>
      <c r="DX572" s="36"/>
      <c r="DY572" s="36"/>
      <c r="DZ572" s="36"/>
      <c r="EA572" s="25"/>
      <c r="EB572" s="48"/>
      <c r="EC572" s="16">
        <v>1403043</v>
      </c>
      <c r="ED572" s="16" t="s">
        <v>263</v>
      </c>
      <c r="EE572" s="16">
        <v>2</v>
      </c>
    </row>
    <row r="573" spans="11:135" ht="13.5" customHeight="1">
      <c r="K573" s="2"/>
      <c r="O573" s="25"/>
      <c r="AI573" s="28"/>
      <c r="AJ573" s="28"/>
      <c r="AK573" s="28"/>
      <c r="AL573" s="28"/>
      <c r="AM573" s="28"/>
      <c r="AN573" s="28"/>
      <c r="AO573" s="30"/>
      <c r="AP573" s="28"/>
      <c r="AS573" s="28"/>
      <c r="AT573" s="28"/>
      <c r="AU573" s="30"/>
      <c r="AV573" s="28"/>
      <c r="AW573" s="28"/>
      <c r="AX573" s="28"/>
      <c r="AZ573" s="28"/>
      <c r="BA573" s="16" t="e">
        <f t="shared" si="216"/>
        <v>#DIV/0!</v>
      </c>
      <c r="BC573" s="7" t="e">
        <f t="shared" si="212"/>
        <v>#N/A</v>
      </c>
      <c r="BR573" s="7">
        <v>4203041</v>
      </c>
      <c r="BS573" s="9">
        <f>[1]monsters!$N573</f>
        <v>120.96</v>
      </c>
      <c r="BT573" s="9">
        <f>[1]monsters!$O573</f>
        <v>12.1</v>
      </c>
      <c r="BU573" s="9">
        <f>[1]monsters!$P573</f>
        <v>1493.33</v>
      </c>
      <c r="BV573" s="9">
        <f>[1]monsters!$Q573</f>
        <v>149.33000000000001</v>
      </c>
      <c r="BW573" s="9">
        <f>[1]monsters!$R573</f>
        <v>24.19</v>
      </c>
      <c r="BX573" s="9">
        <f>[1]monsters!$S573</f>
        <v>2.42</v>
      </c>
      <c r="BY573" s="9">
        <f>[1]monsters!$K573</f>
        <v>1.8</v>
      </c>
      <c r="BZ573" s="7">
        <f>[1]monsters!$D573</f>
        <v>2</v>
      </c>
      <c r="CA573" s="7">
        <f t="shared" si="213"/>
        <v>0.1</v>
      </c>
      <c r="CB573" s="7">
        <f t="shared" si="214"/>
        <v>164.58767138047136</v>
      </c>
      <c r="CC573" s="7">
        <f t="shared" si="215"/>
        <v>16.458767138047136</v>
      </c>
      <c r="CD573" s="7"/>
      <c r="CE573" s="7"/>
      <c r="CF573" s="7"/>
      <c r="CG573" s="7"/>
      <c r="CH573" s="7"/>
      <c r="CI573" s="7"/>
      <c r="CJ573" s="7"/>
      <c r="CK573" s="7"/>
      <c r="CL573" s="7"/>
      <c r="CM573" s="7"/>
      <c r="CN573" s="7"/>
      <c r="CO573" s="7"/>
      <c r="CP573" s="7">
        <v>1</v>
      </c>
      <c r="CR573" s="25"/>
      <c r="CS573" s="25"/>
      <c r="CT573" s="25"/>
      <c r="CU573" s="25"/>
      <c r="CV573" s="25"/>
      <c r="CW573" s="25"/>
      <c r="DP573" s="32"/>
      <c r="DQ573" s="32"/>
      <c r="DR573" s="32"/>
      <c r="DS573" s="36"/>
      <c r="DT573" s="36"/>
      <c r="DU573" s="36"/>
      <c r="DV573" s="36"/>
      <c r="DW573" s="36"/>
      <c r="DX573" s="36"/>
      <c r="DY573" s="36"/>
      <c r="DZ573" s="36"/>
      <c r="EA573" s="25"/>
      <c r="EB573" s="47"/>
      <c r="EC573" s="16">
        <v>1205043</v>
      </c>
      <c r="ED573" s="16" t="s">
        <v>264</v>
      </c>
      <c r="EE573" s="16">
        <v>1</v>
      </c>
    </row>
    <row r="574" spans="11:135" ht="13.5" customHeight="1">
      <c r="K574" s="2"/>
      <c r="L574" s="18"/>
      <c r="O574" s="25"/>
      <c r="AI574" s="28"/>
      <c r="AJ574" s="28"/>
      <c r="AK574" s="28"/>
      <c r="AL574" s="28"/>
      <c r="AM574" s="28"/>
      <c r="AN574" s="28"/>
      <c r="AO574" s="30"/>
      <c r="AP574" s="28"/>
      <c r="AS574" s="28"/>
      <c r="AT574" s="28"/>
      <c r="AU574" s="30"/>
      <c r="AV574" s="28"/>
      <c r="AW574" s="28"/>
      <c r="AX574" s="28"/>
      <c r="AZ574" s="28"/>
      <c r="BA574" s="16" t="e">
        <f t="shared" si="216"/>
        <v>#DIV/0!</v>
      </c>
      <c r="BC574" s="7" t="e">
        <f t="shared" si="212"/>
        <v>#N/A</v>
      </c>
      <c r="BR574" s="7">
        <v>4403041</v>
      </c>
      <c r="BS574" s="9">
        <f>[1]monsters!$N574</f>
        <v>140</v>
      </c>
      <c r="BT574" s="9">
        <f>[1]monsters!$O574</f>
        <v>14</v>
      </c>
      <c r="BU574" s="9">
        <f>[1]monsters!$P574</f>
        <v>1075.2</v>
      </c>
      <c r="BV574" s="9">
        <f>[1]monsters!$Q574</f>
        <v>107.52</v>
      </c>
      <c r="BW574" s="9">
        <f>[1]monsters!$R574</f>
        <v>14</v>
      </c>
      <c r="BX574" s="9">
        <f>[1]monsters!$S574</f>
        <v>1.4</v>
      </c>
      <c r="BY574" s="9">
        <f>[1]monsters!$K574</f>
        <v>1.5</v>
      </c>
      <c r="BZ574" s="7">
        <f>[1]monsters!$D574</f>
        <v>4</v>
      </c>
      <c r="CA574" s="7">
        <f t="shared" si="213"/>
        <v>0.1</v>
      </c>
      <c r="CB574" s="7">
        <f t="shared" si="214"/>
        <v>168.50202020202022</v>
      </c>
      <c r="CC574" s="7">
        <f t="shared" si="215"/>
        <v>16.850202020202023</v>
      </c>
      <c r="CD574" s="7"/>
      <c r="CE574" s="7"/>
      <c r="CF574" s="7"/>
      <c r="CG574" s="7"/>
      <c r="CH574" s="7"/>
      <c r="CI574" s="7"/>
      <c r="CJ574" s="7"/>
      <c r="CK574" s="7"/>
      <c r="CL574" s="7"/>
      <c r="CM574" s="7"/>
      <c r="CN574" s="7"/>
      <c r="CO574" s="7"/>
      <c r="CP574" s="7">
        <v>0</v>
      </c>
      <c r="CR574" s="25"/>
      <c r="CS574" s="25"/>
      <c r="CT574" s="25"/>
      <c r="CU574" s="25"/>
      <c r="CV574" s="25"/>
      <c r="CW574" s="25"/>
      <c r="DP574" s="32"/>
      <c r="DQ574" s="32"/>
      <c r="DR574" s="32"/>
      <c r="DS574" s="36"/>
      <c r="DT574" s="36"/>
      <c r="DU574" s="36"/>
      <c r="DV574" s="36"/>
      <c r="DW574" s="36"/>
      <c r="DX574" s="36"/>
      <c r="DY574" s="36"/>
      <c r="DZ574" s="36"/>
      <c r="EA574" s="25"/>
      <c r="EB574" s="47"/>
      <c r="EC574" s="16">
        <v>1405043</v>
      </c>
      <c r="ED574" s="16" t="s">
        <v>265</v>
      </c>
      <c r="EE574" s="16">
        <v>2</v>
      </c>
    </row>
    <row r="575" spans="11:135" ht="13.5" customHeight="1">
      <c r="K575" s="2"/>
      <c r="L575" s="18"/>
      <c r="O575" s="25"/>
      <c r="AI575" s="28"/>
      <c r="AJ575" s="28"/>
      <c r="AK575" s="28"/>
      <c r="AL575" s="28"/>
      <c r="AM575" s="28"/>
      <c r="AN575" s="28"/>
      <c r="AO575" s="30"/>
      <c r="AP575" s="28"/>
      <c r="AS575" s="28"/>
      <c r="AT575" s="28"/>
      <c r="AU575" s="30"/>
      <c r="AV575" s="28"/>
      <c r="AW575" s="28"/>
      <c r="AX575" s="28"/>
      <c r="AZ575" s="28"/>
      <c r="BA575" s="16" t="e">
        <f t="shared" si="216"/>
        <v>#DIV/0!</v>
      </c>
      <c r="BC575" s="7" t="e">
        <f t="shared" si="212"/>
        <v>#N/A</v>
      </c>
      <c r="BR575" s="7">
        <v>4204041</v>
      </c>
      <c r="BS575" s="9">
        <f>[1]monsters!$N575</f>
        <v>106.77</v>
      </c>
      <c r="BT575" s="9">
        <f>[1]monsters!$O575</f>
        <v>10.68</v>
      </c>
      <c r="BU575" s="9">
        <f>[1]monsters!$P575</f>
        <v>1221.82</v>
      </c>
      <c r="BV575" s="9">
        <f>[1]monsters!$Q575</f>
        <v>122.18</v>
      </c>
      <c r="BW575" s="9">
        <f>[1]monsters!$R575</f>
        <v>13.35</v>
      </c>
      <c r="BX575" s="9">
        <f>[1]monsters!$S575</f>
        <v>1.33</v>
      </c>
      <c r="BY575" s="9">
        <f>[1]monsters!$K575</f>
        <v>1.3</v>
      </c>
      <c r="BZ575" s="7">
        <f>[1]monsters!$D575</f>
        <v>3</v>
      </c>
      <c r="CA575" s="7">
        <f t="shared" si="213"/>
        <v>0.1</v>
      </c>
      <c r="CB575" s="7">
        <f t="shared" si="214"/>
        <v>142.03637053872055</v>
      </c>
      <c r="CC575" s="7">
        <f t="shared" si="215"/>
        <v>14.203637053872056</v>
      </c>
      <c r="CD575" s="7"/>
      <c r="CE575" s="7"/>
      <c r="CF575" s="7"/>
      <c r="CG575" s="7"/>
      <c r="CH575" s="7"/>
      <c r="CI575" s="7"/>
      <c r="CJ575" s="7"/>
      <c r="CK575" s="7"/>
      <c r="CL575" s="7"/>
      <c r="CM575" s="7"/>
      <c r="CN575" s="7"/>
      <c r="CO575" s="7"/>
      <c r="CP575" s="7">
        <v>0</v>
      </c>
      <c r="CR575" s="25"/>
      <c r="CS575" s="25"/>
      <c r="CT575" s="25"/>
      <c r="CU575" s="25"/>
      <c r="CV575" s="25"/>
      <c r="CW575" s="25"/>
      <c r="DP575" s="32"/>
      <c r="DQ575" s="32"/>
      <c r="DR575" s="32"/>
      <c r="DS575" s="36"/>
      <c r="DT575" s="36"/>
      <c r="DU575" s="36"/>
      <c r="DV575" s="36"/>
      <c r="DW575" s="36"/>
      <c r="DX575" s="36"/>
      <c r="DY575" s="36"/>
      <c r="DZ575" s="36"/>
      <c r="EA575" s="25"/>
      <c r="EB575" s="47"/>
      <c r="EC575" s="16">
        <v>1303043</v>
      </c>
      <c r="ED575" s="16" t="s">
        <v>266</v>
      </c>
      <c r="EE575" s="16">
        <v>1</v>
      </c>
    </row>
    <row r="576" spans="11:135" ht="13.5" customHeight="1">
      <c r="K576" s="2"/>
      <c r="L576" s="18"/>
      <c r="O576" s="25"/>
      <c r="AI576" s="28"/>
      <c r="AJ576" s="28"/>
      <c r="AK576" s="28"/>
      <c r="AL576" s="28"/>
      <c r="AM576" s="28"/>
      <c r="AN576" s="28"/>
      <c r="AO576" s="30"/>
      <c r="AP576" s="28"/>
      <c r="AS576" s="28"/>
      <c r="AT576" s="28"/>
      <c r="AU576" s="30"/>
      <c r="AV576" s="28"/>
      <c r="AW576" s="28"/>
      <c r="AX576" s="28"/>
      <c r="AZ576" s="28"/>
      <c r="BA576" s="16" t="e">
        <f t="shared" si="216"/>
        <v>#DIV/0!</v>
      </c>
      <c r="BC576" s="7" t="e">
        <f t="shared" si="212"/>
        <v>#N/A</v>
      </c>
      <c r="BR576" s="7">
        <v>4404041</v>
      </c>
      <c r="BS576" s="9">
        <f>[1]monsters!$N576</f>
        <v>147.84</v>
      </c>
      <c r="BT576" s="9">
        <f>[1]monsters!$O576</f>
        <v>14.78</v>
      </c>
      <c r="BU576" s="9">
        <f>[1]monsters!$P576</f>
        <v>1221.82</v>
      </c>
      <c r="BV576" s="9">
        <f>[1]monsters!$Q576</f>
        <v>122.18</v>
      </c>
      <c r="BW576" s="9">
        <f>[1]monsters!$R576</f>
        <v>24.64</v>
      </c>
      <c r="BX576" s="9">
        <f>[1]monsters!$S576</f>
        <v>2.46</v>
      </c>
      <c r="BY576" s="9">
        <f>[1]monsters!$K576</f>
        <v>1.8</v>
      </c>
      <c r="BZ576" s="7">
        <f>[1]monsters!$D576</f>
        <v>5</v>
      </c>
      <c r="CA576" s="7">
        <f t="shared" si="213"/>
        <v>0.1</v>
      </c>
      <c r="CB576" s="7">
        <f t="shared" si="214"/>
        <v>180.84752053872052</v>
      </c>
      <c r="CC576" s="7">
        <f t="shared" si="215"/>
        <v>18.084752053872052</v>
      </c>
      <c r="CD576" s="7"/>
      <c r="CE576" s="7"/>
      <c r="CF576" s="7"/>
      <c r="CG576" s="7"/>
      <c r="CH576" s="7"/>
      <c r="CI576" s="7"/>
      <c r="CJ576" s="7"/>
      <c r="CK576" s="7"/>
      <c r="CL576" s="7"/>
      <c r="CM576" s="7"/>
      <c r="CN576" s="7"/>
      <c r="CO576" s="7"/>
      <c r="CP576" s="7">
        <v>0</v>
      </c>
      <c r="CR576" s="25"/>
      <c r="CS576" s="25"/>
      <c r="CT576" s="25"/>
      <c r="CU576" s="25"/>
      <c r="CV576" s="25"/>
      <c r="CW576" s="25"/>
      <c r="DP576" s="32"/>
      <c r="DQ576" s="32"/>
      <c r="DR576" s="32"/>
      <c r="DS576" s="36"/>
      <c r="DT576" s="36"/>
      <c r="DU576" s="36"/>
      <c r="DV576" s="36"/>
      <c r="DW576" s="36"/>
      <c r="DX576" s="36"/>
      <c r="DY576" s="36"/>
      <c r="DZ576" s="36"/>
      <c r="EA576" s="25"/>
      <c r="EB576" s="48"/>
      <c r="EC576" s="16">
        <v>1504043</v>
      </c>
      <c r="ED576" s="16" t="s">
        <v>267</v>
      </c>
      <c r="EE576" s="16">
        <v>1</v>
      </c>
    </row>
    <row r="577" spans="11:135" ht="13.5" customHeight="1">
      <c r="K577" s="2"/>
      <c r="L577" s="18"/>
      <c r="O577" s="25"/>
      <c r="AI577" s="28"/>
      <c r="AJ577" s="28"/>
      <c r="AK577" s="28"/>
      <c r="AL577" s="28"/>
      <c r="AM577" s="28"/>
      <c r="AN577" s="28"/>
      <c r="AO577" s="30"/>
      <c r="AP577" s="28"/>
      <c r="AS577" s="28"/>
      <c r="AT577" s="28"/>
      <c r="AU577" s="30"/>
      <c r="AV577" s="28"/>
      <c r="AW577" s="28"/>
      <c r="AX577" s="28"/>
      <c r="AZ577" s="28"/>
      <c r="BA577" s="16" t="e">
        <f t="shared" si="216"/>
        <v>#DIV/0!</v>
      </c>
      <c r="BC577" s="7" t="e">
        <f t="shared" si="212"/>
        <v>#N/A</v>
      </c>
      <c r="BR577" s="7">
        <v>4303041</v>
      </c>
      <c r="BS577" s="9">
        <f>[1]monsters!$N577</f>
        <v>107.52</v>
      </c>
      <c r="BT577" s="9">
        <f>[1]monsters!$O577</f>
        <v>10.75</v>
      </c>
      <c r="BU577" s="9">
        <f>[1]monsters!$P577</f>
        <v>1493.33</v>
      </c>
      <c r="BV577" s="9">
        <f>[1]monsters!$Q577</f>
        <v>149.33000000000001</v>
      </c>
      <c r="BW577" s="9">
        <f>[1]monsters!$R577</f>
        <v>21.5</v>
      </c>
      <c r="BX577" s="9">
        <f>[1]monsters!$S577</f>
        <v>2.15</v>
      </c>
      <c r="BY577" s="9">
        <f>[1]monsters!$K577</f>
        <v>1.6</v>
      </c>
      <c r="BZ577" s="7">
        <f>[1]monsters!$D577</f>
        <v>2</v>
      </c>
      <c r="CA577" s="7">
        <f t="shared" si="213"/>
        <v>0.1</v>
      </c>
      <c r="CB577" s="7">
        <f t="shared" si="214"/>
        <v>151.88687138047138</v>
      </c>
      <c r="CC577" s="7">
        <f t="shared" si="215"/>
        <v>15.188687138047138</v>
      </c>
      <c r="CD577" s="7"/>
      <c r="CE577" s="7"/>
      <c r="CF577" s="7"/>
      <c r="CG577" s="7"/>
      <c r="CH577" s="7"/>
      <c r="CI577" s="7"/>
      <c r="CJ577" s="7"/>
      <c r="CK577" s="7"/>
      <c r="CL577" s="7"/>
      <c r="CM577" s="7"/>
      <c r="CN577" s="7"/>
      <c r="CO577" s="7"/>
      <c r="CP577" s="7">
        <v>0</v>
      </c>
      <c r="CR577" s="25"/>
      <c r="CS577" s="25"/>
      <c r="CT577" s="25"/>
      <c r="CU577" s="25"/>
      <c r="CV577" s="25"/>
      <c r="CW577" s="25"/>
      <c r="DP577" s="13"/>
      <c r="DQ577" s="13"/>
      <c r="DR577" s="13"/>
      <c r="DS577" s="32"/>
      <c r="DT577" s="32"/>
      <c r="DU577" s="32"/>
      <c r="DV577" s="14"/>
      <c r="DW577" s="14"/>
      <c r="DX577" s="14"/>
      <c r="DY577" s="14"/>
      <c r="DZ577" s="14"/>
      <c r="EA577" s="25"/>
      <c r="EB577" s="47"/>
      <c r="EC577" s="16">
        <v>1206043</v>
      </c>
      <c r="ED577" s="16" t="s">
        <v>268</v>
      </c>
      <c r="EE577" s="16">
        <v>1</v>
      </c>
    </row>
    <row r="578" spans="11:135" ht="13.5" customHeight="1">
      <c r="K578" s="2"/>
      <c r="O578" s="25"/>
      <c r="AI578" s="28"/>
      <c r="AJ578" s="28"/>
      <c r="AK578" s="28"/>
      <c r="AL578" s="28"/>
      <c r="AM578" s="28"/>
      <c r="AN578" s="28"/>
      <c r="AO578" s="30"/>
      <c r="AP578" s="28"/>
      <c r="AS578" s="28"/>
      <c r="AT578" s="28"/>
      <c r="AU578" s="30"/>
      <c r="AV578" s="28"/>
      <c r="AW578" s="28"/>
      <c r="AX578" s="28"/>
      <c r="AZ578" s="28"/>
      <c r="BA578" s="16" t="e">
        <f t="shared" si="216"/>
        <v>#DIV/0!</v>
      </c>
      <c r="BC578" s="7" t="e">
        <f t="shared" si="212"/>
        <v>#N/A</v>
      </c>
      <c r="BR578" s="7">
        <v>4304041</v>
      </c>
      <c r="BS578" s="9">
        <f>[1]monsters!$N578</f>
        <v>135.88999999999999</v>
      </c>
      <c r="BT578" s="9">
        <f>[1]monsters!$O578</f>
        <v>13.59</v>
      </c>
      <c r="BU578" s="9">
        <f>[1]monsters!$P578</f>
        <v>1033.8499999999999</v>
      </c>
      <c r="BV578" s="9">
        <f>[1]monsters!$Q578</f>
        <v>103.38</v>
      </c>
      <c r="BW578" s="9">
        <f>[1]monsters!$R578</f>
        <v>13.59</v>
      </c>
      <c r="BX578" s="9">
        <f>[1]monsters!$S578</f>
        <v>1.36</v>
      </c>
      <c r="BY578" s="9">
        <f>[1]monsters!$K578</f>
        <v>1.4000000000000001</v>
      </c>
      <c r="BZ578" s="7">
        <f>[1]monsters!$D578</f>
        <v>4</v>
      </c>
      <c r="CA578" s="7">
        <f t="shared" si="213"/>
        <v>0.1</v>
      </c>
      <c r="CB578" s="7">
        <f t="shared" si="214"/>
        <v>163.2258143097643</v>
      </c>
      <c r="CC578" s="7">
        <f t="shared" si="215"/>
        <v>16.322581430976431</v>
      </c>
      <c r="CD578" s="7"/>
      <c r="CE578" s="7"/>
      <c r="CF578" s="7"/>
      <c r="CG578" s="7"/>
      <c r="CH578" s="7"/>
      <c r="CI578" s="7"/>
      <c r="CJ578" s="7"/>
      <c r="CK578" s="7"/>
      <c r="CL578" s="7"/>
      <c r="CM578" s="7"/>
      <c r="CN578" s="7"/>
      <c r="CO578" s="7"/>
      <c r="CP578" s="7">
        <v>1</v>
      </c>
      <c r="CR578" s="25"/>
      <c r="CS578" s="25"/>
      <c r="CT578" s="25"/>
      <c r="CU578" s="25"/>
      <c r="CV578" s="25"/>
      <c r="CW578" s="25"/>
      <c r="DP578" s="32"/>
      <c r="DQ578" s="32"/>
      <c r="DR578" s="36"/>
      <c r="DS578" s="36"/>
      <c r="DT578" s="32"/>
      <c r="DU578" s="32"/>
      <c r="DV578" s="32"/>
      <c r="DW578" s="32"/>
      <c r="DX578" s="32"/>
      <c r="DY578" s="32"/>
      <c r="DZ578" s="32"/>
      <c r="EA578" s="25"/>
      <c r="EB578" s="47"/>
      <c r="EC578" s="16">
        <v>1406043</v>
      </c>
      <c r="ED578" s="16" t="s">
        <v>269</v>
      </c>
      <c r="EE578" s="16">
        <v>2</v>
      </c>
    </row>
    <row r="579" spans="11:135" ht="13.5" customHeight="1">
      <c r="K579" s="2"/>
      <c r="L579" s="18"/>
      <c r="O579" s="25"/>
      <c r="AI579" s="28"/>
      <c r="AJ579" s="28"/>
      <c r="AK579" s="28"/>
      <c r="AL579" s="28"/>
      <c r="AM579" s="28"/>
      <c r="AN579" s="28"/>
      <c r="AO579" s="30"/>
      <c r="AP579" s="28"/>
      <c r="AS579" s="28"/>
      <c r="AT579" s="28"/>
      <c r="AU579" s="30"/>
      <c r="AV579" s="28"/>
      <c r="AW579" s="28"/>
      <c r="AX579" s="28"/>
      <c r="AZ579" s="28"/>
      <c r="BA579" s="16" t="e">
        <f t="shared" si="216"/>
        <v>#DIV/0!</v>
      </c>
      <c r="BC579" s="7" t="e">
        <f t="shared" si="212"/>
        <v>#N/A</v>
      </c>
      <c r="BR579" s="7">
        <v>4503041</v>
      </c>
      <c r="BS579" s="9">
        <f>[1]monsters!$N579</f>
        <v>94.08</v>
      </c>
      <c r="BT579" s="9">
        <f>[1]monsters!$O579</f>
        <v>9.41</v>
      </c>
      <c r="BU579" s="9">
        <f>[1]monsters!$P579</f>
        <v>1493.33</v>
      </c>
      <c r="BV579" s="9">
        <f>[1]monsters!$Q579</f>
        <v>149.33000000000001</v>
      </c>
      <c r="BW579" s="9">
        <f>[1]monsters!$R579</f>
        <v>18.82</v>
      </c>
      <c r="BX579" s="9">
        <f>[1]monsters!$S579</f>
        <v>1.88</v>
      </c>
      <c r="BY579" s="9">
        <f>[1]monsters!$K579</f>
        <v>1.4000000000000001</v>
      </c>
      <c r="BZ579" s="7">
        <f>[1]monsters!$D579</f>
        <v>2</v>
      </c>
      <c r="CA579" s="7">
        <f t="shared" si="213"/>
        <v>0.1</v>
      </c>
      <c r="CB579" s="7">
        <f t="shared" si="214"/>
        <v>139.18607138047139</v>
      </c>
      <c r="CC579" s="7">
        <f t="shared" si="215"/>
        <v>13.91860713804714</v>
      </c>
      <c r="CD579" s="7"/>
      <c r="CE579" s="7"/>
      <c r="CF579" s="7"/>
      <c r="CG579" s="7"/>
      <c r="CH579" s="7"/>
      <c r="CI579" s="7"/>
      <c r="CJ579" s="7"/>
      <c r="CK579" s="7"/>
      <c r="CL579" s="7"/>
      <c r="CM579" s="7"/>
      <c r="CN579" s="7"/>
      <c r="CO579" s="7"/>
      <c r="CP579" s="7">
        <v>0</v>
      </c>
      <c r="CR579" s="25"/>
      <c r="CS579" s="25"/>
      <c r="CT579" s="25"/>
      <c r="CU579" s="25"/>
      <c r="CV579" s="25"/>
      <c r="CW579" s="25"/>
      <c r="DP579" s="32"/>
      <c r="DQ579" s="32"/>
      <c r="DR579" s="32"/>
      <c r="DS579" s="14"/>
      <c r="DT579" s="14"/>
      <c r="DU579" s="14"/>
      <c r="DV579" s="14"/>
      <c r="DW579" s="14"/>
      <c r="DX579" s="14"/>
      <c r="DY579" s="14"/>
      <c r="DZ579" s="14"/>
      <c r="EA579" s="25"/>
      <c r="EB579" s="48"/>
      <c r="EC579" s="16">
        <v>1204043</v>
      </c>
      <c r="ED579" s="16" t="s">
        <v>270</v>
      </c>
      <c r="EE579" s="16">
        <v>1</v>
      </c>
    </row>
    <row r="580" spans="11:135" ht="13.5" customHeight="1">
      <c r="K580" s="2"/>
      <c r="L580" s="18"/>
      <c r="O580" s="25"/>
      <c r="AI580" s="28"/>
      <c r="AJ580" s="28"/>
      <c r="AK580" s="28"/>
      <c r="AL580" s="28"/>
      <c r="AM580" s="28"/>
      <c r="AN580" s="28"/>
      <c r="AO580" s="30"/>
      <c r="AP580" s="28"/>
      <c r="AS580" s="28"/>
      <c r="AT580" s="28"/>
      <c r="AU580" s="30"/>
      <c r="AV580" s="28"/>
      <c r="AW580" s="28"/>
      <c r="AX580" s="28"/>
      <c r="AZ580" s="28"/>
      <c r="BA580" s="16" t="e">
        <f t="shared" si="216"/>
        <v>#DIV/0!</v>
      </c>
      <c r="BC580" s="7" t="e">
        <f t="shared" si="212"/>
        <v>#N/A</v>
      </c>
      <c r="BR580" s="7">
        <v>4504041</v>
      </c>
      <c r="BS580" s="9">
        <f>[1]monsters!$N580</f>
        <v>155.31</v>
      </c>
      <c r="BT580" s="9">
        <f>[1]monsters!$O580</f>
        <v>15.53</v>
      </c>
      <c r="BU580" s="9">
        <f>[1]monsters!$P580</f>
        <v>1033.8499999999999</v>
      </c>
      <c r="BV580" s="9">
        <f>[1]monsters!$Q580</f>
        <v>103.38</v>
      </c>
      <c r="BW580" s="9">
        <f>[1]monsters!$R580</f>
        <v>15.53</v>
      </c>
      <c r="BX580" s="9">
        <f>[1]monsters!$S580</f>
        <v>1.55</v>
      </c>
      <c r="BY580" s="9">
        <f>[1]monsters!$K580</f>
        <v>1.6</v>
      </c>
      <c r="BZ580" s="7">
        <f>[1]monsters!$D580</f>
        <v>4</v>
      </c>
      <c r="CA580" s="7">
        <f t="shared" si="213"/>
        <v>0.1</v>
      </c>
      <c r="CB580" s="7">
        <f t="shared" si="214"/>
        <v>181.5777143097643</v>
      </c>
      <c r="CC580" s="7">
        <f t="shared" si="215"/>
        <v>18.157771430976432</v>
      </c>
      <c r="CD580" s="7"/>
      <c r="CE580" s="7"/>
      <c r="CF580" s="7"/>
      <c r="CG580" s="7"/>
      <c r="CH580" s="7"/>
      <c r="CI580" s="7"/>
      <c r="CJ580" s="7"/>
      <c r="CK580" s="7"/>
      <c r="CL580" s="7"/>
      <c r="CM580" s="7"/>
      <c r="CN580" s="7"/>
      <c r="CO580" s="7"/>
      <c r="CP580" s="7">
        <v>0</v>
      </c>
      <c r="CR580" s="25"/>
      <c r="CS580" s="25"/>
      <c r="CT580" s="25"/>
      <c r="CU580" s="25"/>
      <c r="CV580" s="25"/>
      <c r="CW580" s="25"/>
      <c r="DP580" s="32"/>
      <c r="DQ580" s="32"/>
      <c r="DR580" s="36"/>
      <c r="DS580" s="36"/>
      <c r="DT580" s="32"/>
      <c r="DU580" s="32"/>
      <c r="DV580" s="32"/>
      <c r="DW580" s="32"/>
      <c r="DX580" s="32"/>
      <c r="DY580" s="32"/>
      <c r="DZ580" s="32"/>
      <c r="EA580" s="25"/>
      <c r="EB580" s="47"/>
      <c r="EC580" s="16">
        <v>1404043</v>
      </c>
      <c r="ED580" s="16" t="s">
        <v>271</v>
      </c>
      <c r="EE580" s="16">
        <v>2</v>
      </c>
    </row>
    <row r="581" spans="11:135" ht="13.5" customHeight="1">
      <c r="K581" s="2"/>
      <c r="L581" s="18"/>
      <c r="O581" s="25"/>
      <c r="AI581" s="28"/>
      <c r="AJ581" s="28"/>
      <c r="AK581" s="28"/>
      <c r="AL581" s="28"/>
      <c r="AM581" s="28"/>
      <c r="AN581" s="28"/>
      <c r="AO581" s="30"/>
      <c r="AP581" s="28"/>
      <c r="AS581" s="28"/>
      <c r="AT581" s="28"/>
      <c r="AU581" s="30"/>
      <c r="AV581" s="28"/>
      <c r="AW581" s="28"/>
      <c r="AX581" s="28"/>
      <c r="AZ581" s="28"/>
      <c r="BA581" s="16" t="e">
        <f t="shared" si="216"/>
        <v>#DIV/0!</v>
      </c>
      <c r="BC581" s="7" t="e">
        <f t="shared" ref="BC581:BC603" si="217">FLOOR(POWER(((3000*1.5/0.9/1.05)/(96*INDEX($BD$4:$BO$4,MATCH(W581,$BD$3:$BO$3,0))*8*INDEX($BD$4:$BO$4,MATCH(W581,$BD$3:$BO$3,0)))*AI581/IF(AND(W581&gt;=2,W581&lt;4),1.2,IF(AND(W581&gt;=4,W581&lt;6),1.4,IF(W581&gt;=6,1.6,1)))),1/2)-10,1)</f>
        <v>#N/A</v>
      </c>
      <c r="BR581" s="7">
        <v>4101041</v>
      </c>
      <c r="BS581" s="9">
        <f>[1]monsters!$N581</f>
        <v>143.36000000000001</v>
      </c>
      <c r="BT581" s="9">
        <f>[1]monsters!$O581</f>
        <v>14.34</v>
      </c>
      <c r="BU581" s="9">
        <f>[1]monsters!$P581</f>
        <v>1120</v>
      </c>
      <c r="BV581" s="9">
        <f>[1]monsters!$Q581</f>
        <v>112</v>
      </c>
      <c r="BW581" s="9">
        <f>[1]monsters!$R581</f>
        <v>23.89</v>
      </c>
      <c r="BX581" s="9">
        <f>[1]monsters!$S581</f>
        <v>2.39</v>
      </c>
      <c r="BY581" s="9">
        <f>[1]monsters!$K581</f>
        <v>1.6</v>
      </c>
      <c r="BZ581" s="7">
        <f>[1]monsters!$D581</f>
        <v>5</v>
      </c>
      <c r="CA581" s="7">
        <f t="shared" ref="CA581:CA644" si="218">INDEX($CH$5:$CH$10,MATCH($BZ581,$CG$5:$CG$10))</f>
        <v>0.1</v>
      </c>
      <c r="CB581" s="7">
        <f t="shared" ref="CB581:CB644" si="219">(BU581/33/(1-CA581)/(1-0)+BS581*(1+0.5*0.1)*0.9)</f>
        <v>173.18563771043773</v>
      </c>
      <c r="CC581" s="7">
        <f t="shared" ref="CC581:CC644" si="220">(BU581/33/(1-CA581)/(1-0)+BS581*(1+0.5*0.1)*0.9)*0.1</f>
        <v>17.318563771043774</v>
      </c>
      <c r="CD581" s="7"/>
      <c r="CE581" s="7"/>
      <c r="CF581" s="7"/>
      <c r="CG581" s="7"/>
      <c r="CH581" s="7"/>
      <c r="CI581" s="7"/>
      <c r="CJ581" s="7"/>
      <c r="CK581" s="7"/>
      <c r="CL581" s="7"/>
      <c r="CM581" s="7"/>
      <c r="CN581" s="7"/>
      <c r="CO581" s="7"/>
      <c r="CP581" s="7">
        <v>0</v>
      </c>
      <c r="CR581" s="25"/>
      <c r="CS581" s="25"/>
      <c r="CT581" s="25"/>
      <c r="CU581" s="25"/>
      <c r="CV581" s="25"/>
      <c r="CW581" s="25"/>
      <c r="DP581" s="32"/>
      <c r="DQ581" s="32"/>
      <c r="DR581" s="36"/>
      <c r="DS581" s="36"/>
      <c r="DT581" s="36"/>
      <c r="DU581" s="36"/>
      <c r="DV581" s="36"/>
      <c r="DW581" s="36"/>
      <c r="DX581" s="36"/>
      <c r="DY581" s="36"/>
      <c r="DZ581" s="36"/>
      <c r="EA581" s="25"/>
      <c r="EB581" s="47"/>
      <c r="EC581" s="16">
        <v>1503043</v>
      </c>
      <c r="ED581" s="16" t="s">
        <v>272</v>
      </c>
      <c r="EE581" s="16">
        <v>1</v>
      </c>
    </row>
    <row r="582" spans="11:135" ht="13.5" customHeight="1">
      <c r="K582" s="2"/>
      <c r="L582" s="18"/>
      <c r="O582" s="25"/>
      <c r="AI582" s="28"/>
      <c r="AJ582" s="28"/>
      <c r="AK582" s="28"/>
      <c r="AL582" s="28"/>
      <c r="AM582" s="28"/>
      <c r="AN582" s="28"/>
      <c r="AO582" s="30"/>
      <c r="AP582" s="28"/>
      <c r="AS582" s="28"/>
      <c r="AT582" s="28"/>
      <c r="AU582" s="30"/>
      <c r="AV582" s="28"/>
      <c r="AW582" s="28"/>
      <c r="AX582" s="28"/>
      <c r="AZ582" s="28"/>
      <c r="BA582" s="16" t="e">
        <f t="shared" si="216"/>
        <v>#DIV/0!</v>
      </c>
      <c r="BC582" s="7" t="e">
        <f t="shared" si="217"/>
        <v>#N/A</v>
      </c>
      <c r="BR582" s="7">
        <v>4102041</v>
      </c>
      <c r="BS582" s="9">
        <f>[1]monsters!$N582</f>
        <v>120.21</v>
      </c>
      <c r="BT582" s="9">
        <f>[1]monsters!$O582</f>
        <v>12.02</v>
      </c>
      <c r="BU582" s="9">
        <f>[1]monsters!$P582</f>
        <v>1168.7</v>
      </c>
      <c r="BV582" s="9">
        <f>[1]monsters!$Q582</f>
        <v>116.87</v>
      </c>
      <c r="BW582" s="9">
        <f>[1]monsters!$R582</f>
        <v>15.03</v>
      </c>
      <c r="BX582" s="9">
        <f>[1]monsters!$S582</f>
        <v>1.5</v>
      </c>
      <c r="BY582" s="9">
        <f>[1]monsters!$K582</f>
        <v>1.4000000000000001</v>
      </c>
      <c r="BZ582" s="7">
        <f>[1]monsters!$D582</f>
        <v>3</v>
      </c>
      <c r="CA582" s="7">
        <f t="shared" si="218"/>
        <v>0.1</v>
      </c>
      <c r="CB582" s="7">
        <f t="shared" si="219"/>
        <v>152.94861835016835</v>
      </c>
      <c r="CC582" s="7">
        <f t="shared" si="220"/>
        <v>15.294861835016835</v>
      </c>
      <c r="CD582" s="7"/>
      <c r="CE582" s="7"/>
      <c r="CF582" s="7"/>
      <c r="CG582" s="7"/>
      <c r="CH582" s="7"/>
      <c r="CI582" s="7"/>
      <c r="CJ582" s="7"/>
      <c r="CK582" s="7"/>
      <c r="CL582" s="7"/>
      <c r="CM582" s="7"/>
      <c r="CN582" s="7"/>
      <c r="CO582" s="7"/>
      <c r="CP582" s="7">
        <v>0</v>
      </c>
      <c r="CR582" s="25"/>
      <c r="CS582" s="25"/>
      <c r="CT582" s="25"/>
      <c r="CU582" s="25"/>
      <c r="CV582" s="25"/>
      <c r="CW582" s="25"/>
      <c r="DP582" s="32"/>
      <c r="DQ582" s="36"/>
      <c r="DR582" s="32"/>
      <c r="DS582" s="36"/>
      <c r="DT582" s="36"/>
      <c r="DU582" s="14"/>
      <c r="DV582" s="14"/>
      <c r="DW582" s="14"/>
      <c r="DX582" s="14"/>
      <c r="DY582" s="14"/>
      <c r="DZ582" s="14"/>
      <c r="EA582" s="25"/>
      <c r="EB582" s="47"/>
      <c r="EC582" s="16">
        <v>1304043</v>
      </c>
      <c r="ED582" s="16" t="s">
        <v>273</v>
      </c>
      <c r="EE582" s="16">
        <v>1</v>
      </c>
    </row>
    <row r="583" spans="11:135" ht="13.5" customHeight="1">
      <c r="K583" s="2"/>
      <c r="O583" s="25"/>
      <c r="AI583" s="28"/>
      <c r="AJ583" s="28"/>
      <c r="AK583" s="28"/>
      <c r="AL583" s="28"/>
      <c r="AM583" s="28"/>
      <c r="AN583" s="28"/>
      <c r="AO583" s="30"/>
      <c r="AP583" s="28"/>
      <c r="AS583" s="28"/>
      <c r="AT583" s="28"/>
      <c r="AU583" s="30"/>
      <c r="AV583" s="28"/>
      <c r="AW583" s="28"/>
      <c r="AX583" s="28"/>
      <c r="AZ583" s="28"/>
      <c r="BA583" s="16" t="e">
        <f t="shared" si="216"/>
        <v>#DIV/0!</v>
      </c>
      <c r="BC583" s="7" t="e">
        <f t="shared" si="217"/>
        <v>#N/A</v>
      </c>
      <c r="BR583" s="7">
        <v>4206042</v>
      </c>
      <c r="BS583" s="9">
        <f>[1]monsters!$N583</f>
        <v>87.36</v>
      </c>
      <c r="BT583" s="9">
        <f>[1]monsters!$O583</f>
        <v>8.74</v>
      </c>
      <c r="BU583" s="9">
        <f>[1]monsters!$P583</f>
        <v>1493.33</v>
      </c>
      <c r="BV583" s="9">
        <f>[1]monsters!$Q583</f>
        <v>149.33000000000001</v>
      </c>
      <c r="BW583" s="9">
        <f>[1]monsters!$R583</f>
        <v>17.47</v>
      </c>
      <c r="BX583" s="9">
        <f>[1]monsters!$S583</f>
        <v>1.75</v>
      </c>
      <c r="BY583" s="9">
        <f>[1]monsters!$K583</f>
        <v>1.3</v>
      </c>
      <c r="BZ583" s="7">
        <f>[1]monsters!$D583</f>
        <v>2</v>
      </c>
      <c r="CA583" s="7">
        <f t="shared" si="218"/>
        <v>0.1</v>
      </c>
      <c r="CB583" s="7">
        <f t="shared" si="219"/>
        <v>132.83567138047138</v>
      </c>
      <c r="CC583" s="7">
        <f t="shared" si="220"/>
        <v>13.28356713804714</v>
      </c>
      <c r="CD583" s="7"/>
      <c r="CE583" s="7"/>
      <c r="CF583" s="7"/>
      <c r="CG583" s="7"/>
      <c r="CH583" s="7"/>
      <c r="CI583" s="7"/>
      <c r="CJ583" s="7"/>
      <c r="CK583" s="7"/>
      <c r="CL583" s="7"/>
      <c r="CM583" s="7"/>
      <c r="CN583" s="7"/>
      <c r="CO583" s="7"/>
      <c r="CP583" s="7">
        <v>1</v>
      </c>
      <c r="CR583" s="25"/>
      <c r="CS583" s="25"/>
      <c r="CT583" s="25"/>
      <c r="CU583" s="25"/>
      <c r="CV583" s="25"/>
      <c r="CW583" s="25"/>
      <c r="DP583" s="32"/>
      <c r="DQ583" s="32"/>
      <c r="DR583" s="32"/>
      <c r="DS583" s="36"/>
      <c r="DT583" s="36"/>
      <c r="DU583" s="36"/>
      <c r="DV583" s="36"/>
      <c r="DW583" s="36"/>
      <c r="DX583" s="36"/>
      <c r="DY583" s="36"/>
      <c r="DZ583" s="36"/>
      <c r="EA583" s="25"/>
      <c r="EB583" s="49"/>
      <c r="EC583" s="16">
        <v>1203044</v>
      </c>
      <c r="ED583" s="16" t="s">
        <v>274</v>
      </c>
      <c r="EE583" s="16">
        <v>1</v>
      </c>
    </row>
    <row r="584" spans="11:135" ht="13.5" customHeight="1">
      <c r="K584" s="2"/>
      <c r="L584" s="18"/>
      <c r="O584" s="25"/>
      <c r="AI584" s="28"/>
      <c r="AJ584" s="28"/>
      <c r="AK584" s="28"/>
      <c r="AL584" s="28"/>
      <c r="AM584" s="28"/>
      <c r="AN584" s="28"/>
      <c r="AO584" s="30"/>
      <c r="AP584" s="28"/>
      <c r="AS584" s="28"/>
      <c r="AT584" s="28"/>
      <c r="AU584" s="30"/>
      <c r="AV584" s="28"/>
      <c r="AW584" s="28"/>
      <c r="AX584" s="28"/>
      <c r="AZ584" s="28"/>
      <c r="BA584" s="16" t="e">
        <f t="shared" si="216"/>
        <v>#DIV/0!</v>
      </c>
      <c r="BC584" s="7" t="e">
        <f t="shared" si="217"/>
        <v>#N/A</v>
      </c>
      <c r="BR584" s="7">
        <v>4406042</v>
      </c>
      <c r="BS584" s="9">
        <f>[1]monsters!$N584</f>
        <v>116.48</v>
      </c>
      <c r="BT584" s="9">
        <f>[1]monsters!$O584</f>
        <v>11.65</v>
      </c>
      <c r="BU584" s="9">
        <f>[1]monsters!$P584</f>
        <v>1120</v>
      </c>
      <c r="BV584" s="9">
        <f>[1]monsters!$Q584</f>
        <v>112</v>
      </c>
      <c r="BW584" s="9">
        <f>[1]monsters!$R584</f>
        <v>11.65</v>
      </c>
      <c r="BX584" s="9">
        <f>[1]monsters!$S584</f>
        <v>1.1599999999999999</v>
      </c>
      <c r="BY584" s="9">
        <f>[1]monsters!$K584</f>
        <v>1.3</v>
      </c>
      <c r="BZ584" s="7">
        <f>[1]monsters!$D584</f>
        <v>4</v>
      </c>
      <c r="CA584" s="7">
        <f t="shared" si="218"/>
        <v>0.1</v>
      </c>
      <c r="CB584" s="7">
        <f t="shared" si="219"/>
        <v>147.78403771043773</v>
      </c>
      <c r="CC584" s="7">
        <f t="shared" si="220"/>
        <v>14.778403771043774</v>
      </c>
      <c r="CD584" s="7"/>
      <c r="CE584" s="7"/>
      <c r="CF584" s="7"/>
      <c r="CG584" s="7"/>
      <c r="CH584" s="7"/>
      <c r="CI584" s="7"/>
      <c r="CJ584" s="7"/>
      <c r="CK584" s="7"/>
      <c r="CL584" s="7"/>
      <c r="CM584" s="7"/>
      <c r="CN584" s="7"/>
      <c r="CO584" s="7"/>
      <c r="CP584" s="7">
        <v>0</v>
      </c>
      <c r="CR584" s="25"/>
      <c r="CS584" s="25"/>
      <c r="CT584" s="25"/>
      <c r="CU584" s="25"/>
      <c r="CV584" s="25"/>
      <c r="CW584" s="25"/>
      <c r="DP584" s="32"/>
      <c r="DQ584" s="32"/>
      <c r="DR584" s="32"/>
      <c r="DS584" s="32"/>
      <c r="DT584" s="32"/>
      <c r="DU584" s="32"/>
      <c r="DV584" s="32"/>
      <c r="DW584" s="32"/>
      <c r="DX584" s="32"/>
      <c r="DY584" s="32"/>
      <c r="DZ584" s="32"/>
      <c r="EA584" s="25"/>
      <c r="EB584" s="49"/>
      <c r="EC584" s="16">
        <v>1403044</v>
      </c>
      <c r="ED584" s="16" t="s">
        <v>275</v>
      </c>
      <c r="EE584" s="16">
        <v>2</v>
      </c>
    </row>
    <row r="585" spans="11:135" ht="13.5" customHeight="1">
      <c r="K585" s="2"/>
      <c r="L585" s="18"/>
      <c r="O585" s="25"/>
      <c r="AI585" s="28"/>
      <c r="AJ585" s="28"/>
      <c r="AK585" s="28"/>
      <c r="AL585" s="28"/>
      <c r="AM585" s="28"/>
      <c r="AN585" s="28"/>
      <c r="AO585" s="30"/>
      <c r="AP585" s="28"/>
      <c r="AS585" s="28"/>
      <c r="AT585" s="28"/>
      <c r="AU585" s="30"/>
      <c r="AV585" s="28"/>
      <c r="AW585" s="28"/>
      <c r="AX585" s="28"/>
      <c r="AZ585" s="28"/>
      <c r="BA585" s="16" t="e">
        <f t="shared" si="216"/>
        <v>#DIV/0!</v>
      </c>
      <c r="BC585" s="7" t="e">
        <f t="shared" si="217"/>
        <v>#N/A</v>
      </c>
      <c r="BR585" s="7">
        <v>4205042</v>
      </c>
      <c r="BS585" s="9">
        <f>[1]monsters!$N585</f>
        <v>120.96</v>
      </c>
      <c r="BT585" s="9">
        <f>[1]monsters!$O585</f>
        <v>12.1</v>
      </c>
      <c r="BU585" s="9">
        <f>[1]monsters!$P585</f>
        <v>1493.33</v>
      </c>
      <c r="BV585" s="9">
        <f>[1]monsters!$Q585</f>
        <v>149.33000000000001</v>
      </c>
      <c r="BW585" s="9">
        <f>[1]monsters!$R585</f>
        <v>24.19</v>
      </c>
      <c r="BX585" s="9">
        <f>[1]monsters!$S585</f>
        <v>2.42</v>
      </c>
      <c r="BY585" s="9">
        <f>[1]monsters!$K585</f>
        <v>1.8</v>
      </c>
      <c r="BZ585" s="7">
        <f>[1]monsters!$D585</f>
        <v>2</v>
      </c>
      <c r="CA585" s="7">
        <f t="shared" si="218"/>
        <v>0.1</v>
      </c>
      <c r="CB585" s="7">
        <f t="shared" si="219"/>
        <v>164.58767138047136</v>
      </c>
      <c r="CC585" s="7">
        <f t="shared" si="220"/>
        <v>16.458767138047136</v>
      </c>
      <c r="CD585" s="7"/>
      <c r="CE585" s="7"/>
      <c r="CF585" s="7"/>
      <c r="CG585" s="7"/>
      <c r="CH585" s="7"/>
      <c r="CI585" s="7"/>
      <c r="CJ585" s="7"/>
      <c r="CK585" s="7"/>
      <c r="CL585" s="7"/>
      <c r="CM585" s="7"/>
      <c r="CN585" s="7"/>
      <c r="CO585" s="7"/>
      <c r="CP585" s="7">
        <v>0</v>
      </c>
      <c r="CR585" s="25"/>
      <c r="CS585" s="25"/>
      <c r="CT585" s="25"/>
      <c r="CU585" s="25"/>
      <c r="CV585" s="25"/>
      <c r="CW585" s="25"/>
      <c r="DP585" s="32"/>
      <c r="DQ585" s="32"/>
      <c r="DR585" s="32"/>
      <c r="DS585" s="32"/>
      <c r="DT585" s="32"/>
      <c r="DU585" s="32"/>
      <c r="DV585" s="32"/>
      <c r="DW585" s="32"/>
      <c r="DX585" s="32"/>
      <c r="DY585" s="32"/>
      <c r="DZ585" s="32"/>
      <c r="EA585" s="25"/>
      <c r="EB585" s="49"/>
      <c r="EC585" s="16">
        <v>1205044</v>
      </c>
      <c r="ED585" s="16" t="s">
        <v>276</v>
      </c>
      <c r="EE585" s="16">
        <v>1</v>
      </c>
    </row>
    <row r="586" spans="11:135" ht="13.5" customHeight="1">
      <c r="K586" s="2"/>
      <c r="L586" s="18"/>
      <c r="O586" s="25"/>
      <c r="AI586" s="28"/>
      <c r="AJ586" s="28"/>
      <c r="AK586" s="28"/>
      <c r="AL586" s="28"/>
      <c r="AM586" s="28"/>
      <c r="AN586" s="28"/>
      <c r="AO586" s="30"/>
      <c r="AP586" s="28"/>
      <c r="AS586" s="28"/>
      <c r="AT586" s="28"/>
      <c r="AU586" s="30"/>
      <c r="AV586" s="28"/>
      <c r="AW586" s="28"/>
      <c r="AX586" s="28"/>
      <c r="AZ586" s="28"/>
      <c r="BA586" s="16" t="e">
        <f t="shared" si="216"/>
        <v>#DIV/0!</v>
      </c>
      <c r="BC586" s="7" t="e">
        <f t="shared" si="217"/>
        <v>#N/A</v>
      </c>
      <c r="BR586" s="7">
        <v>4405042</v>
      </c>
      <c r="BS586" s="9">
        <f>[1]monsters!$N586</f>
        <v>140</v>
      </c>
      <c r="BT586" s="9">
        <f>[1]monsters!$O586</f>
        <v>14</v>
      </c>
      <c r="BU586" s="9">
        <f>[1]monsters!$P586</f>
        <v>1075.2</v>
      </c>
      <c r="BV586" s="9">
        <f>[1]monsters!$Q586</f>
        <v>107.52</v>
      </c>
      <c r="BW586" s="9">
        <f>[1]monsters!$R586</f>
        <v>14</v>
      </c>
      <c r="BX586" s="9">
        <f>[1]monsters!$S586</f>
        <v>1.4</v>
      </c>
      <c r="BY586" s="9">
        <f>[1]monsters!$K586</f>
        <v>1.5</v>
      </c>
      <c r="BZ586" s="7">
        <f>[1]monsters!$D586</f>
        <v>4</v>
      </c>
      <c r="CA586" s="7">
        <f t="shared" si="218"/>
        <v>0.1</v>
      </c>
      <c r="CB586" s="7">
        <f t="shared" si="219"/>
        <v>168.50202020202022</v>
      </c>
      <c r="CC586" s="7">
        <f t="shared" si="220"/>
        <v>16.850202020202023</v>
      </c>
      <c r="CD586" s="7"/>
      <c r="CE586" s="7"/>
      <c r="CF586" s="7"/>
      <c r="CG586" s="7"/>
      <c r="CH586" s="7"/>
      <c r="CI586" s="7"/>
      <c r="CJ586" s="7"/>
      <c r="CK586" s="7"/>
      <c r="CL586" s="7"/>
      <c r="CM586" s="7"/>
      <c r="CN586" s="7"/>
      <c r="CO586" s="7"/>
      <c r="CP586" s="7">
        <v>0</v>
      </c>
      <c r="CR586" s="25"/>
      <c r="CS586" s="25"/>
      <c r="CT586" s="25"/>
      <c r="CU586" s="25"/>
      <c r="CV586" s="25"/>
      <c r="CW586" s="25"/>
      <c r="DP586" s="32"/>
      <c r="DQ586" s="32"/>
      <c r="DR586" s="32"/>
      <c r="DS586" s="32"/>
      <c r="DT586" s="32"/>
      <c r="DU586" s="32"/>
      <c r="DV586" s="32"/>
      <c r="DW586" s="32"/>
      <c r="DX586" s="32"/>
      <c r="DY586" s="32"/>
      <c r="DZ586" s="32"/>
      <c r="EA586" s="25"/>
      <c r="EB586" s="20"/>
      <c r="EC586" s="16">
        <v>1405044</v>
      </c>
      <c r="ED586" s="16" t="s">
        <v>277</v>
      </c>
      <c r="EE586" s="16">
        <v>2</v>
      </c>
    </row>
    <row r="587" spans="11:135" ht="13.5" customHeight="1">
      <c r="K587" s="2"/>
      <c r="L587" s="18"/>
      <c r="O587" s="25"/>
      <c r="AI587" s="28"/>
      <c r="AJ587" s="28"/>
      <c r="AK587" s="28"/>
      <c r="AL587" s="28"/>
      <c r="AM587" s="28"/>
      <c r="AN587" s="28"/>
      <c r="AO587" s="30"/>
      <c r="AP587" s="28"/>
      <c r="AS587" s="28"/>
      <c r="AT587" s="28"/>
      <c r="AU587" s="30"/>
      <c r="AV587" s="28"/>
      <c r="AW587" s="28"/>
      <c r="AX587" s="28"/>
      <c r="AZ587" s="28"/>
      <c r="BA587" s="16" t="e">
        <f t="shared" si="216"/>
        <v>#DIV/0!</v>
      </c>
      <c r="BC587" s="7" t="e">
        <f t="shared" si="217"/>
        <v>#N/A</v>
      </c>
      <c r="BR587" s="7">
        <v>4203042</v>
      </c>
      <c r="BS587" s="9">
        <f>[1]monsters!$N587</f>
        <v>106.77</v>
      </c>
      <c r="BT587" s="9">
        <f>[1]monsters!$O587</f>
        <v>10.68</v>
      </c>
      <c r="BU587" s="9">
        <f>[1]monsters!$P587</f>
        <v>1221.82</v>
      </c>
      <c r="BV587" s="9">
        <f>[1]monsters!$Q587</f>
        <v>122.18</v>
      </c>
      <c r="BW587" s="9">
        <f>[1]monsters!$R587</f>
        <v>13.35</v>
      </c>
      <c r="BX587" s="9">
        <f>[1]monsters!$S587</f>
        <v>1.33</v>
      </c>
      <c r="BY587" s="9">
        <f>[1]monsters!$K587</f>
        <v>1.3</v>
      </c>
      <c r="BZ587" s="7">
        <f>[1]monsters!$D587</f>
        <v>3</v>
      </c>
      <c r="CA587" s="7">
        <f t="shared" si="218"/>
        <v>0.1</v>
      </c>
      <c r="CB587" s="7">
        <f t="shared" si="219"/>
        <v>142.03637053872055</v>
      </c>
      <c r="CC587" s="7">
        <f t="shared" si="220"/>
        <v>14.203637053872056</v>
      </c>
      <c r="CD587" s="7"/>
      <c r="CE587" s="7"/>
      <c r="CF587" s="7"/>
      <c r="CG587" s="7"/>
      <c r="CH587" s="7"/>
      <c r="CI587" s="7"/>
      <c r="CJ587" s="7"/>
      <c r="CK587" s="7"/>
      <c r="CL587" s="7"/>
      <c r="CM587" s="7"/>
      <c r="CN587" s="7"/>
      <c r="CO587" s="7"/>
      <c r="CP587" s="7">
        <v>0</v>
      </c>
      <c r="CR587" s="25"/>
      <c r="CS587" s="25"/>
      <c r="CT587" s="25"/>
      <c r="CU587" s="25"/>
      <c r="CV587" s="25"/>
      <c r="CW587" s="25"/>
      <c r="DP587" s="32"/>
      <c r="DQ587" s="32"/>
      <c r="DR587" s="32"/>
      <c r="DS587" s="32"/>
      <c r="DT587" s="32"/>
      <c r="DU587" s="32"/>
      <c r="DV587" s="32"/>
      <c r="DW587" s="32"/>
      <c r="DX587" s="32"/>
      <c r="DY587" s="32"/>
      <c r="DZ587" s="32"/>
      <c r="EA587" s="25"/>
      <c r="EB587" s="49"/>
      <c r="EC587" s="16">
        <v>1303044</v>
      </c>
      <c r="ED587" s="16" t="s">
        <v>278</v>
      </c>
      <c r="EE587" s="16">
        <v>1</v>
      </c>
    </row>
    <row r="588" spans="11:135" ht="13.5" customHeight="1">
      <c r="K588" s="2"/>
      <c r="O588" s="25"/>
      <c r="AI588" s="28"/>
      <c r="AJ588" s="28"/>
      <c r="AK588" s="28"/>
      <c r="AL588" s="28"/>
      <c r="AM588" s="28"/>
      <c r="AN588" s="28"/>
      <c r="AO588" s="30"/>
      <c r="AP588" s="28"/>
      <c r="AS588" s="28"/>
      <c r="AT588" s="28"/>
      <c r="AU588" s="30"/>
      <c r="AV588" s="28"/>
      <c r="AW588" s="28"/>
      <c r="AX588" s="28"/>
      <c r="AZ588" s="28"/>
      <c r="BA588" s="16" t="e">
        <f t="shared" si="216"/>
        <v>#DIV/0!</v>
      </c>
      <c r="BC588" s="7" t="e">
        <f t="shared" si="217"/>
        <v>#N/A</v>
      </c>
      <c r="BR588" s="7">
        <v>4403042</v>
      </c>
      <c r="BS588" s="9">
        <f>[1]monsters!$N588</f>
        <v>147.84</v>
      </c>
      <c r="BT588" s="9">
        <f>[1]monsters!$O588</f>
        <v>14.78</v>
      </c>
      <c r="BU588" s="9">
        <f>[1]monsters!$P588</f>
        <v>1221.82</v>
      </c>
      <c r="BV588" s="9">
        <f>[1]monsters!$Q588</f>
        <v>122.18</v>
      </c>
      <c r="BW588" s="9">
        <f>[1]monsters!$R588</f>
        <v>24.64</v>
      </c>
      <c r="BX588" s="9">
        <f>[1]monsters!$S588</f>
        <v>2.46</v>
      </c>
      <c r="BY588" s="9">
        <f>[1]monsters!$K588</f>
        <v>1.8</v>
      </c>
      <c r="BZ588" s="7">
        <f>[1]monsters!$D588</f>
        <v>5</v>
      </c>
      <c r="CA588" s="7">
        <f t="shared" si="218"/>
        <v>0.1</v>
      </c>
      <c r="CB588" s="7">
        <f t="shared" si="219"/>
        <v>180.84752053872052</v>
      </c>
      <c r="CC588" s="7">
        <f t="shared" si="220"/>
        <v>18.084752053872052</v>
      </c>
      <c r="CD588" s="7"/>
      <c r="CE588" s="7"/>
      <c r="CF588" s="7"/>
      <c r="CG588" s="7"/>
      <c r="CH588" s="7"/>
      <c r="CI588" s="7"/>
      <c r="CJ588" s="7"/>
      <c r="CK588" s="7"/>
      <c r="CL588" s="7"/>
      <c r="CM588" s="7"/>
      <c r="CN588" s="7"/>
      <c r="CO588" s="7"/>
      <c r="CP588" s="7">
        <v>1</v>
      </c>
      <c r="CR588" s="25"/>
      <c r="CS588" s="25"/>
      <c r="CT588" s="25"/>
      <c r="CU588" s="25"/>
      <c r="CV588" s="25"/>
      <c r="CW588" s="25"/>
      <c r="DP588" s="32"/>
      <c r="DQ588" s="32"/>
      <c r="DR588" s="32"/>
      <c r="DS588" s="32"/>
      <c r="DT588" s="32"/>
      <c r="DU588" s="32"/>
      <c r="DV588" s="32"/>
      <c r="DW588" s="32"/>
      <c r="DX588" s="32"/>
      <c r="DY588" s="32"/>
      <c r="DZ588" s="32"/>
      <c r="EA588" s="25"/>
      <c r="EB588" s="49"/>
      <c r="EC588" s="16">
        <v>1504044</v>
      </c>
      <c r="ED588" s="16" t="s">
        <v>279</v>
      </c>
      <c r="EE588" s="16">
        <v>1</v>
      </c>
    </row>
    <row r="589" spans="11:135" ht="13.5" customHeight="1">
      <c r="K589" s="2"/>
      <c r="L589" s="18"/>
      <c r="O589" s="25"/>
      <c r="AI589" s="28"/>
      <c r="AJ589" s="28"/>
      <c r="AK589" s="28"/>
      <c r="AL589" s="28"/>
      <c r="AM589" s="28"/>
      <c r="AN589" s="28"/>
      <c r="AO589" s="30"/>
      <c r="AP589" s="28"/>
      <c r="AS589" s="28"/>
      <c r="AT589" s="28"/>
      <c r="AU589" s="30"/>
      <c r="AV589" s="28"/>
      <c r="AW589" s="28"/>
      <c r="AX589" s="28"/>
      <c r="AZ589" s="28"/>
      <c r="BA589" s="16" t="e">
        <f t="shared" si="216"/>
        <v>#DIV/0!</v>
      </c>
      <c r="BC589" s="7" t="e">
        <f t="shared" si="217"/>
        <v>#N/A</v>
      </c>
      <c r="BR589" s="7">
        <v>4204042</v>
      </c>
      <c r="BS589" s="9">
        <f>[1]monsters!$N589</f>
        <v>107.52</v>
      </c>
      <c r="BT589" s="9">
        <f>[1]monsters!$O589</f>
        <v>10.75</v>
      </c>
      <c r="BU589" s="9">
        <f>[1]monsters!$P589</f>
        <v>1493.33</v>
      </c>
      <c r="BV589" s="9">
        <f>[1]monsters!$Q589</f>
        <v>149.33000000000001</v>
      </c>
      <c r="BW589" s="9">
        <f>[1]monsters!$R589</f>
        <v>21.5</v>
      </c>
      <c r="BX589" s="9">
        <f>[1]monsters!$S589</f>
        <v>2.15</v>
      </c>
      <c r="BY589" s="9">
        <f>[1]monsters!$K589</f>
        <v>1.6</v>
      </c>
      <c r="BZ589" s="7">
        <f>[1]monsters!$D589</f>
        <v>2</v>
      </c>
      <c r="CA589" s="7">
        <f t="shared" si="218"/>
        <v>0.1</v>
      </c>
      <c r="CB589" s="7">
        <f t="shared" si="219"/>
        <v>151.88687138047138</v>
      </c>
      <c r="CC589" s="7">
        <f t="shared" si="220"/>
        <v>15.188687138047138</v>
      </c>
      <c r="CD589" s="7"/>
      <c r="CE589" s="7"/>
      <c r="CF589" s="7"/>
      <c r="CG589" s="7"/>
      <c r="CH589" s="7"/>
      <c r="CI589" s="7"/>
      <c r="CJ589" s="7"/>
      <c r="CK589" s="7"/>
      <c r="CL589" s="7"/>
      <c r="CM589" s="7"/>
      <c r="CN589" s="7"/>
      <c r="CO589" s="7"/>
      <c r="CP589" s="7">
        <v>0</v>
      </c>
      <c r="CR589" s="25"/>
      <c r="CS589" s="25"/>
      <c r="CT589" s="25"/>
      <c r="CU589" s="25"/>
      <c r="CV589" s="25"/>
      <c r="CW589" s="25"/>
      <c r="DP589" s="32"/>
      <c r="DQ589" s="32"/>
      <c r="DR589" s="32"/>
      <c r="DS589" s="32"/>
      <c r="DT589" s="32"/>
      <c r="DU589" s="32"/>
      <c r="DV589" s="32"/>
      <c r="DW589" s="32"/>
      <c r="DX589" s="32"/>
      <c r="DY589" s="32"/>
      <c r="DZ589" s="32"/>
      <c r="EA589" s="25"/>
      <c r="EB589" s="49"/>
      <c r="EC589" s="16">
        <v>1206044</v>
      </c>
      <c r="ED589" s="16" t="s">
        <v>280</v>
      </c>
      <c r="EE589" s="16">
        <v>1</v>
      </c>
    </row>
    <row r="590" spans="11:135" ht="13.5" customHeight="1">
      <c r="K590" s="2"/>
      <c r="L590" s="18"/>
      <c r="O590" s="25"/>
      <c r="AI590" s="28"/>
      <c r="AJ590" s="28"/>
      <c r="AK590" s="28"/>
      <c r="AL590" s="28"/>
      <c r="AM590" s="28"/>
      <c r="AN590" s="28"/>
      <c r="AO590" s="30"/>
      <c r="AP590" s="28"/>
      <c r="AS590" s="28"/>
      <c r="AT590" s="28"/>
      <c r="AU590" s="30"/>
      <c r="AV590" s="28"/>
      <c r="AW590" s="28"/>
      <c r="AX590" s="28"/>
      <c r="AZ590" s="28"/>
      <c r="BA590" s="16" t="e">
        <f t="shared" si="216"/>
        <v>#DIV/0!</v>
      </c>
      <c r="BC590" s="7" t="e">
        <f t="shared" si="217"/>
        <v>#N/A</v>
      </c>
      <c r="BR590" s="7">
        <v>4404042</v>
      </c>
      <c r="BS590" s="9">
        <f>[1]monsters!$N590</f>
        <v>135.88999999999999</v>
      </c>
      <c r="BT590" s="9">
        <f>[1]monsters!$O590</f>
        <v>13.59</v>
      </c>
      <c r="BU590" s="9">
        <f>[1]monsters!$P590</f>
        <v>1033.8499999999999</v>
      </c>
      <c r="BV590" s="9">
        <f>[1]monsters!$Q590</f>
        <v>103.38</v>
      </c>
      <c r="BW590" s="9">
        <f>[1]monsters!$R590</f>
        <v>13.59</v>
      </c>
      <c r="BX590" s="9">
        <f>[1]monsters!$S590</f>
        <v>1.36</v>
      </c>
      <c r="BY590" s="9">
        <f>[1]monsters!$K590</f>
        <v>1.4000000000000001</v>
      </c>
      <c r="BZ590" s="7">
        <f>[1]monsters!$D590</f>
        <v>4</v>
      </c>
      <c r="CA590" s="7">
        <f t="shared" si="218"/>
        <v>0.1</v>
      </c>
      <c r="CB590" s="7">
        <f t="shared" si="219"/>
        <v>163.2258143097643</v>
      </c>
      <c r="CC590" s="7">
        <f t="shared" si="220"/>
        <v>16.322581430976431</v>
      </c>
      <c r="CD590" s="7"/>
      <c r="CE590" s="7"/>
      <c r="CF590" s="7"/>
      <c r="CG590" s="7"/>
      <c r="CH590" s="7"/>
      <c r="CI590" s="7"/>
      <c r="CJ590" s="7"/>
      <c r="CK590" s="7"/>
      <c r="CL590" s="7"/>
      <c r="CM590" s="7"/>
      <c r="CN590" s="7"/>
      <c r="CO590" s="7"/>
      <c r="CP590" s="7">
        <v>0</v>
      </c>
      <c r="CR590" s="25"/>
      <c r="CS590" s="25"/>
      <c r="CT590" s="25"/>
      <c r="CU590" s="25"/>
      <c r="CV590" s="25"/>
      <c r="CW590" s="25"/>
      <c r="DP590" s="13"/>
      <c r="DQ590" s="13"/>
      <c r="DR590" s="13"/>
      <c r="DS590" s="13"/>
      <c r="DT590" s="13"/>
      <c r="DU590" s="13"/>
      <c r="DV590" s="32"/>
      <c r="DW590" s="32"/>
      <c r="DX590" s="32"/>
      <c r="DY590" s="32"/>
      <c r="DZ590" s="32"/>
      <c r="EA590" s="25"/>
      <c r="EB590" s="20"/>
      <c r="EC590" s="16">
        <v>1406044</v>
      </c>
      <c r="ED590" s="16" t="s">
        <v>281</v>
      </c>
      <c r="EE590" s="16">
        <v>2</v>
      </c>
    </row>
    <row r="591" spans="11:135" ht="13.5" customHeight="1">
      <c r="K591" s="2"/>
      <c r="L591" s="18"/>
      <c r="O591" s="25"/>
      <c r="AI591" s="28"/>
      <c r="AJ591" s="28"/>
      <c r="AK591" s="28"/>
      <c r="AL591" s="28"/>
      <c r="AM591" s="28"/>
      <c r="AN591" s="28"/>
      <c r="AO591" s="30"/>
      <c r="AP591" s="28"/>
      <c r="AS591" s="28"/>
      <c r="AT591" s="28"/>
      <c r="AU591" s="30"/>
      <c r="AV591" s="28"/>
      <c r="AW591" s="28"/>
      <c r="AX591" s="28"/>
      <c r="AZ591" s="28"/>
      <c r="BA591" s="16" t="e">
        <f t="shared" si="216"/>
        <v>#DIV/0!</v>
      </c>
      <c r="BC591" s="7" t="e">
        <f t="shared" si="217"/>
        <v>#N/A</v>
      </c>
      <c r="BR591" s="7">
        <v>4303042</v>
      </c>
      <c r="BS591" s="9">
        <f>[1]monsters!$N591</f>
        <v>94.08</v>
      </c>
      <c r="BT591" s="9">
        <f>[1]monsters!$O591</f>
        <v>9.41</v>
      </c>
      <c r="BU591" s="9">
        <f>[1]monsters!$P591</f>
        <v>1493.33</v>
      </c>
      <c r="BV591" s="9">
        <f>[1]monsters!$Q591</f>
        <v>149.33000000000001</v>
      </c>
      <c r="BW591" s="9">
        <f>[1]monsters!$R591</f>
        <v>18.82</v>
      </c>
      <c r="BX591" s="9">
        <f>[1]monsters!$S591</f>
        <v>1.88</v>
      </c>
      <c r="BY591" s="9">
        <f>[1]monsters!$K591</f>
        <v>1.4000000000000001</v>
      </c>
      <c r="BZ591" s="7">
        <f>[1]monsters!$D591</f>
        <v>2</v>
      </c>
      <c r="CA591" s="7">
        <f t="shared" si="218"/>
        <v>0.1</v>
      </c>
      <c r="CB591" s="7">
        <f t="shared" si="219"/>
        <v>139.18607138047139</v>
      </c>
      <c r="CC591" s="7">
        <f t="shared" si="220"/>
        <v>13.91860713804714</v>
      </c>
      <c r="CD591" s="7"/>
      <c r="CE591" s="7"/>
      <c r="CF591" s="7"/>
      <c r="CG591" s="7"/>
      <c r="CH591" s="7"/>
      <c r="CI591" s="7"/>
      <c r="CJ591" s="7"/>
      <c r="CK591" s="7"/>
      <c r="CL591" s="7"/>
      <c r="CM591" s="7"/>
      <c r="CN591" s="7"/>
      <c r="CO591" s="7"/>
      <c r="CP591" s="7">
        <v>0</v>
      </c>
      <c r="CR591" s="25"/>
      <c r="CS591" s="25"/>
      <c r="CT591" s="25"/>
      <c r="CU591" s="25"/>
      <c r="CV591" s="25"/>
      <c r="CW591" s="25"/>
      <c r="DP591" s="32"/>
      <c r="DQ591" s="32"/>
      <c r="DR591" s="32"/>
      <c r="DS591" s="32"/>
      <c r="DT591" s="32"/>
      <c r="DU591" s="32"/>
      <c r="DV591" s="32"/>
      <c r="DW591" s="32"/>
      <c r="DX591" s="32"/>
      <c r="DY591" s="32"/>
      <c r="DZ591" s="32"/>
      <c r="EA591" s="25"/>
      <c r="EB591" s="49"/>
      <c r="EC591" s="16">
        <v>1204044</v>
      </c>
      <c r="ED591" s="16" t="s">
        <v>282</v>
      </c>
      <c r="EE591" s="16">
        <v>1</v>
      </c>
    </row>
    <row r="592" spans="11:135" ht="13.5" customHeight="1">
      <c r="K592" s="2"/>
      <c r="L592" s="18"/>
      <c r="O592" s="25"/>
      <c r="AI592" s="28"/>
      <c r="AJ592" s="28"/>
      <c r="AK592" s="28"/>
      <c r="AL592" s="28"/>
      <c r="AM592" s="28"/>
      <c r="AN592" s="28"/>
      <c r="AO592" s="30"/>
      <c r="AP592" s="28"/>
      <c r="AS592" s="28"/>
      <c r="AT592" s="28"/>
      <c r="AU592" s="30"/>
      <c r="AV592" s="28"/>
      <c r="AW592" s="28"/>
      <c r="AX592" s="28"/>
      <c r="AZ592" s="28"/>
      <c r="BA592" s="16" t="e">
        <f t="shared" si="216"/>
        <v>#DIV/0!</v>
      </c>
      <c r="BC592" s="7" t="e">
        <f t="shared" si="217"/>
        <v>#N/A</v>
      </c>
      <c r="BR592" s="7">
        <v>4304042</v>
      </c>
      <c r="BS592" s="9">
        <f>[1]monsters!$N592</f>
        <v>155.31</v>
      </c>
      <c r="BT592" s="9">
        <f>[1]monsters!$O592</f>
        <v>15.53</v>
      </c>
      <c r="BU592" s="9">
        <f>[1]monsters!$P592</f>
        <v>1033.8499999999999</v>
      </c>
      <c r="BV592" s="9">
        <f>[1]monsters!$Q592</f>
        <v>103.38</v>
      </c>
      <c r="BW592" s="9">
        <f>[1]monsters!$R592</f>
        <v>15.53</v>
      </c>
      <c r="BX592" s="9">
        <f>[1]monsters!$S592</f>
        <v>1.55</v>
      </c>
      <c r="BY592" s="9">
        <f>[1]monsters!$K592</f>
        <v>1.6</v>
      </c>
      <c r="BZ592" s="7">
        <f>[1]monsters!$D592</f>
        <v>4</v>
      </c>
      <c r="CA592" s="7">
        <f t="shared" si="218"/>
        <v>0.1</v>
      </c>
      <c r="CB592" s="7">
        <f t="shared" si="219"/>
        <v>181.5777143097643</v>
      </c>
      <c r="CC592" s="7">
        <f t="shared" si="220"/>
        <v>18.157771430976432</v>
      </c>
      <c r="CD592" s="7"/>
      <c r="CE592" s="7"/>
      <c r="CF592" s="7"/>
      <c r="CG592" s="7"/>
      <c r="CH592" s="7"/>
      <c r="CI592" s="7"/>
      <c r="CJ592" s="7"/>
      <c r="CK592" s="7"/>
      <c r="CL592" s="7"/>
      <c r="CM592" s="7"/>
      <c r="CN592" s="7"/>
      <c r="CO592" s="7"/>
      <c r="CP592" s="7">
        <v>0</v>
      </c>
      <c r="CR592" s="25"/>
      <c r="CS592" s="25"/>
      <c r="CT592" s="25"/>
      <c r="CU592" s="25"/>
      <c r="CV592" s="25"/>
      <c r="CW592" s="25"/>
      <c r="DP592" s="32"/>
      <c r="DQ592" s="32"/>
      <c r="DR592" s="32"/>
      <c r="DS592" s="32"/>
      <c r="DT592" s="32"/>
      <c r="DU592" s="32"/>
      <c r="DV592" s="32"/>
      <c r="DW592" s="32"/>
      <c r="DX592" s="32"/>
      <c r="DY592" s="32"/>
      <c r="DZ592" s="32"/>
      <c r="EA592" s="25"/>
      <c r="EB592" s="49"/>
      <c r="EC592" s="16">
        <v>1404044</v>
      </c>
      <c r="ED592" s="16" t="s">
        <v>283</v>
      </c>
      <c r="EE592" s="16">
        <v>2</v>
      </c>
    </row>
    <row r="593" spans="11:135" ht="13.5" customHeight="1">
      <c r="K593" s="2"/>
      <c r="O593" s="25"/>
      <c r="AI593" s="28"/>
      <c r="AJ593" s="28"/>
      <c r="AK593" s="28"/>
      <c r="AL593" s="28"/>
      <c r="AM593" s="28"/>
      <c r="AN593" s="28"/>
      <c r="AO593" s="30"/>
      <c r="AP593" s="28"/>
      <c r="AS593" s="28"/>
      <c r="AT593" s="28"/>
      <c r="AU593" s="30"/>
      <c r="AV593" s="28"/>
      <c r="AW593" s="28"/>
      <c r="AX593" s="28"/>
      <c r="AZ593" s="28"/>
      <c r="BA593" s="16" t="e">
        <f t="shared" si="216"/>
        <v>#DIV/0!</v>
      </c>
      <c r="BC593" s="7" t="e">
        <f t="shared" si="217"/>
        <v>#N/A</v>
      </c>
      <c r="BR593" s="7">
        <v>4503042</v>
      </c>
      <c r="BS593" s="9">
        <f>[1]monsters!$N593</f>
        <v>143.36000000000001</v>
      </c>
      <c r="BT593" s="9">
        <f>[1]monsters!$O593</f>
        <v>14.34</v>
      </c>
      <c r="BU593" s="9">
        <f>[1]monsters!$P593</f>
        <v>1120</v>
      </c>
      <c r="BV593" s="9">
        <f>[1]monsters!$Q593</f>
        <v>112</v>
      </c>
      <c r="BW593" s="9">
        <f>[1]monsters!$R593</f>
        <v>23.89</v>
      </c>
      <c r="BX593" s="9">
        <f>[1]monsters!$S593</f>
        <v>2.39</v>
      </c>
      <c r="BY593" s="9">
        <f>[1]monsters!$K593</f>
        <v>1.6</v>
      </c>
      <c r="BZ593" s="7">
        <f>[1]monsters!$D593</f>
        <v>5</v>
      </c>
      <c r="CA593" s="7">
        <f t="shared" si="218"/>
        <v>0.1</v>
      </c>
      <c r="CB593" s="7">
        <f t="shared" si="219"/>
        <v>173.18563771043773</v>
      </c>
      <c r="CC593" s="7">
        <f t="shared" si="220"/>
        <v>17.318563771043774</v>
      </c>
      <c r="CD593" s="7"/>
      <c r="CE593" s="7"/>
      <c r="CF593" s="7"/>
      <c r="CG593" s="7"/>
      <c r="CH593" s="7"/>
      <c r="CI593" s="7"/>
      <c r="CJ593" s="7"/>
      <c r="CK593" s="7"/>
      <c r="CL593" s="7"/>
      <c r="CM593" s="7"/>
      <c r="CN593" s="7"/>
      <c r="CO593" s="7"/>
      <c r="CP593" s="7">
        <v>1</v>
      </c>
      <c r="CR593" s="25"/>
      <c r="CS593" s="25"/>
      <c r="CT593" s="25"/>
      <c r="CU593" s="25"/>
      <c r="CV593" s="25"/>
      <c r="CW593" s="25"/>
      <c r="DP593" s="32"/>
      <c r="DQ593" s="32"/>
      <c r="DR593" s="32"/>
      <c r="DS593" s="32"/>
      <c r="DT593" s="32"/>
      <c r="DU593" s="32"/>
      <c r="DV593" s="32"/>
      <c r="DW593" s="32"/>
      <c r="DX593" s="32"/>
      <c r="DY593" s="32"/>
      <c r="DZ593" s="32"/>
      <c r="EA593" s="25"/>
      <c r="EB593" s="20"/>
      <c r="EC593" s="16">
        <v>1503044</v>
      </c>
      <c r="ED593" s="16" t="s">
        <v>284</v>
      </c>
      <c r="EE593" s="16">
        <v>1</v>
      </c>
    </row>
    <row r="594" spans="11:135" ht="13.5" customHeight="1">
      <c r="K594" s="2"/>
      <c r="L594" s="18"/>
      <c r="O594" s="25"/>
      <c r="AI594" s="28"/>
      <c r="AJ594" s="28"/>
      <c r="AK594" s="28"/>
      <c r="AL594" s="28"/>
      <c r="AM594" s="28"/>
      <c r="AN594" s="28"/>
      <c r="AO594" s="30"/>
      <c r="AP594" s="28"/>
      <c r="AS594" s="28"/>
      <c r="AT594" s="28"/>
      <c r="AU594" s="30"/>
      <c r="AV594" s="28"/>
      <c r="AW594" s="28"/>
      <c r="AX594" s="28"/>
      <c r="AZ594" s="28"/>
      <c r="BA594" s="16" t="e">
        <f t="shared" si="216"/>
        <v>#DIV/0!</v>
      </c>
      <c r="BC594" s="7" t="e">
        <f t="shared" si="217"/>
        <v>#N/A</v>
      </c>
      <c r="BR594" s="7">
        <v>4504042</v>
      </c>
      <c r="BS594" s="9">
        <f>[1]monsters!$N594</f>
        <v>120.21</v>
      </c>
      <c r="BT594" s="9">
        <f>[1]monsters!$O594</f>
        <v>12.02</v>
      </c>
      <c r="BU594" s="9">
        <f>[1]monsters!$P594</f>
        <v>1168.7</v>
      </c>
      <c r="BV594" s="9">
        <f>[1]monsters!$Q594</f>
        <v>116.87</v>
      </c>
      <c r="BW594" s="9">
        <f>[1]monsters!$R594</f>
        <v>15.03</v>
      </c>
      <c r="BX594" s="9">
        <f>[1]monsters!$S594</f>
        <v>1.5</v>
      </c>
      <c r="BY594" s="9">
        <f>[1]monsters!$K594</f>
        <v>1.4000000000000001</v>
      </c>
      <c r="BZ594" s="7">
        <f>[1]monsters!$D594</f>
        <v>3</v>
      </c>
      <c r="CA594" s="7">
        <f t="shared" si="218"/>
        <v>0.1</v>
      </c>
      <c r="CB594" s="7">
        <f t="shared" si="219"/>
        <v>152.94861835016835</v>
      </c>
      <c r="CC594" s="7">
        <f t="shared" si="220"/>
        <v>15.294861835016835</v>
      </c>
      <c r="CD594" s="7"/>
      <c r="CE594" s="7"/>
      <c r="CF594" s="7"/>
      <c r="CG594" s="7"/>
      <c r="CH594" s="7"/>
      <c r="CI594" s="7"/>
      <c r="CJ594" s="7"/>
      <c r="CK594" s="7"/>
      <c r="CL594" s="7"/>
      <c r="CM594" s="7"/>
      <c r="CN594" s="7"/>
      <c r="CO594" s="7"/>
      <c r="CP594" s="7">
        <v>0</v>
      </c>
      <c r="CR594" s="25"/>
      <c r="CS594" s="25"/>
      <c r="CT594" s="25"/>
      <c r="CU594" s="25"/>
      <c r="CV594" s="25"/>
      <c r="CW594" s="25"/>
      <c r="DP594" s="32"/>
      <c r="DQ594" s="32"/>
      <c r="DR594" s="32"/>
      <c r="DS594" s="32"/>
      <c r="DT594" s="32"/>
      <c r="DU594" s="32"/>
      <c r="DV594" s="32"/>
      <c r="DW594" s="32"/>
      <c r="DX594" s="32"/>
      <c r="DY594" s="32"/>
      <c r="DZ594" s="32"/>
      <c r="EA594" s="25"/>
      <c r="EB594" s="49"/>
      <c r="EC594" s="16">
        <v>1304044</v>
      </c>
      <c r="ED594" s="16" t="s">
        <v>285</v>
      </c>
      <c r="EE594" s="16">
        <v>1</v>
      </c>
    </row>
    <row r="595" spans="11:135" ht="13.5" customHeight="1">
      <c r="K595" s="2"/>
      <c r="L595" s="18"/>
      <c r="O595" s="25"/>
      <c r="AI595" s="28"/>
      <c r="AJ595" s="28"/>
      <c r="AK595" s="28"/>
      <c r="AL595" s="28"/>
      <c r="AM595" s="28"/>
      <c r="AN595" s="28"/>
      <c r="AO595" s="30"/>
      <c r="AP595" s="28"/>
      <c r="AS595" s="28"/>
      <c r="AT595" s="28"/>
      <c r="AU595" s="30"/>
      <c r="AV595" s="28"/>
      <c r="AW595" s="28"/>
      <c r="AX595" s="28"/>
      <c r="AZ595" s="28"/>
      <c r="BA595" s="16" t="e">
        <f t="shared" si="216"/>
        <v>#DIV/0!</v>
      </c>
      <c r="BC595" s="7" t="e">
        <f t="shared" si="217"/>
        <v>#N/A</v>
      </c>
      <c r="BR595" s="7">
        <v>4101042</v>
      </c>
      <c r="BS595" s="9">
        <f>[1]monsters!$N595</f>
        <v>87.36</v>
      </c>
      <c r="BT595" s="9">
        <f>[1]monsters!$O595</f>
        <v>8.74</v>
      </c>
      <c r="BU595" s="9">
        <f>[1]monsters!$P595</f>
        <v>1493.33</v>
      </c>
      <c r="BV595" s="9">
        <f>[1]monsters!$Q595</f>
        <v>149.33000000000001</v>
      </c>
      <c r="BW595" s="9">
        <f>[1]monsters!$R595</f>
        <v>17.47</v>
      </c>
      <c r="BX595" s="9">
        <f>[1]monsters!$S595</f>
        <v>1.75</v>
      </c>
      <c r="BY595" s="9">
        <f>[1]monsters!$K595</f>
        <v>1.3</v>
      </c>
      <c r="BZ595" s="7">
        <f>[1]monsters!$D595</f>
        <v>2</v>
      </c>
      <c r="CA595" s="7">
        <f t="shared" si="218"/>
        <v>0.1</v>
      </c>
      <c r="CB595" s="7">
        <f t="shared" si="219"/>
        <v>132.83567138047138</v>
      </c>
      <c r="CC595" s="7">
        <f t="shared" si="220"/>
        <v>13.28356713804714</v>
      </c>
      <c r="CD595" s="7"/>
      <c r="CE595" s="7"/>
      <c r="CF595" s="7"/>
      <c r="CG595" s="7"/>
      <c r="CH595" s="7"/>
      <c r="CI595" s="7"/>
      <c r="CJ595" s="7"/>
      <c r="CK595" s="7"/>
      <c r="CL595" s="7"/>
      <c r="CM595" s="7"/>
      <c r="CN595" s="7"/>
      <c r="CO595" s="7"/>
      <c r="CP595" s="7">
        <v>0</v>
      </c>
      <c r="CR595" s="25"/>
      <c r="CS595" s="25"/>
      <c r="CT595" s="25"/>
      <c r="CU595" s="25"/>
      <c r="CV595" s="25"/>
      <c r="CW595" s="25"/>
      <c r="DP595" s="32"/>
      <c r="DQ595" s="32"/>
      <c r="DR595" s="32"/>
      <c r="DS595" s="32"/>
      <c r="DT595" s="32"/>
      <c r="DU595" s="32"/>
      <c r="DV595" s="32"/>
      <c r="DW595" s="32"/>
      <c r="DX595" s="32"/>
      <c r="DY595" s="32"/>
      <c r="DZ595" s="32"/>
      <c r="EA595" s="25"/>
      <c r="EB595" s="49"/>
      <c r="EC595" s="16">
        <v>1203045</v>
      </c>
      <c r="ED595" s="16" t="s">
        <v>286</v>
      </c>
      <c r="EE595" s="16">
        <v>1</v>
      </c>
    </row>
    <row r="596" spans="11:135" ht="13.5" customHeight="1">
      <c r="K596" s="2"/>
      <c r="L596" s="18"/>
      <c r="O596" s="25"/>
      <c r="AI596" s="28"/>
      <c r="AJ596" s="28"/>
      <c r="AK596" s="28"/>
      <c r="AL596" s="28"/>
      <c r="AM596" s="28"/>
      <c r="AN596" s="28"/>
      <c r="AO596" s="30"/>
      <c r="AP596" s="28"/>
      <c r="AS596" s="28"/>
      <c r="AT596" s="28"/>
      <c r="AU596" s="30"/>
      <c r="AV596" s="28"/>
      <c r="AW596" s="28"/>
      <c r="AX596" s="28"/>
      <c r="AZ596" s="28"/>
      <c r="BA596" s="16" t="e">
        <f t="shared" si="216"/>
        <v>#DIV/0!</v>
      </c>
      <c r="BC596" s="7" t="e">
        <f t="shared" si="217"/>
        <v>#N/A</v>
      </c>
      <c r="BR596" s="7">
        <v>4102042</v>
      </c>
      <c r="BS596" s="9">
        <f>[1]monsters!$N596</f>
        <v>116.48</v>
      </c>
      <c r="BT596" s="9">
        <f>[1]monsters!$O596</f>
        <v>11.65</v>
      </c>
      <c r="BU596" s="9">
        <f>[1]monsters!$P596</f>
        <v>1120</v>
      </c>
      <c r="BV596" s="9">
        <f>[1]monsters!$Q596</f>
        <v>112</v>
      </c>
      <c r="BW596" s="9">
        <f>[1]monsters!$R596</f>
        <v>11.65</v>
      </c>
      <c r="BX596" s="9">
        <f>[1]monsters!$S596</f>
        <v>1.1599999999999999</v>
      </c>
      <c r="BY596" s="9">
        <f>[1]monsters!$K596</f>
        <v>1.3</v>
      </c>
      <c r="BZ596" s="7">
        <f>[1]monsters!$D596</f>
        <v>4</v>
      </c>
      <c r="CA596" s="7">
        <f t="shared" si="218"/>
        <v>0.1</v>
      </c>
      <c r="CB596" s="7">
        <f t="shared" si="219"/>
        <v>147.78403771043773</v>
      </c>
      <c r="CC596" s="7">
        <f t="shared" si="220"/>
        <v>14.778403771043774</v>
      </c>
      <c r="CD596" s="7"/>
      <c r="CE596" s="7"/>
      <c r="CF596" s="7"/>
      <c r="CG596" s="7"/>
      <c r="CH596" s="7"/>
      <c r="CI596" s="7"/>
      <c r="CJ596" s="7"/>
      <c r="CK596" s="7"/>
      <c r="CL596" s="7"/>
      <c r="CM596" s="7"/>
      <c r="CN596" s="7"/>
      <c r="CO596" s="7"/>
      <c r="CP596" s="7">
        <v>0</v>
      </c>
      <c r="CR596" s="25"/>
      <c r="CS596" s="25"/>
      <c r="CT596" s="25"/>
      <c r="CU596" s="25"/>
      <c r="CV596" s="25"/>
      <c r="CW596" s="25"/>
      <c r="DP596" s="32"/>
      <c r="DQ596" s="32"/>
      <c r="DR596" s="32"/>
      <c r="DS596" s="32"/>
      <c r="DT596" s="32"/>
      <c r="DU596" s="32"/>
      <c r="DV596" s="32"/>
      <c r="DW596" s="32"/>
      <c r="DX596" s="32"/>
      <c r="DY596" s="32"/>
      <c r="DZ596" s="32"/>
      <c r="EA596" s="25"/>
      <c r="EB596" s="49"/>
      <c r="EC596" s="16">
        <v>1403045</v>
      </c>
      <c r="ED596" s="16" t="s">
        <v>287</v>
      </c>
      <c r="EE596" s="16">
        <v>2</v>
      </c>
    </row>
    <row r="597" spans="11:135" ht="13.5" customHeight="1">
      <c r="K597" s="2"/>
      <c r="L597" s="18"/>
      <c r="O597" s="25"/>
      <c r="AI597" s="28"/>
      <c r="AJ597" s="28"/>
      <c r="AK597" s="28"/>
      <c r="AL597" s="28"/>
      <c r="AM597" s="28"/>
      <c r="AN597" s="28"/>
      <c r="AO597" s="30"/>
      <c r="AP597" s="28"/>
      <c r="AS597" s="28"/>
      <c r="AT597" s="28"/>
      <c r="AU597" s="30"/>
      <c r="AV597" s="28"/>
      <c r="AW597" s="28"/>
      <c r="AX597" s="28"/>
      <c r="AZ597" s="28"/>
      <c r="BA597" s="16" t="e">
        <f t="shared" si="216"/>
        <v>#DIV/0!</v>
      </c>
      <c r="BC597" s="7" t="e">
        <f t="shared" si="217"/>
        <v>#N/A</v>
      </c>
      <c r="BR597" s="7">
        <v>4206043</v>
      </c>
      <c r="BS597" s="9">
        <f>[1]monsters!$N597</f>
        <v>120.96</v>
      </c>
      <c r="BT597" s="9">
        <f>[1]monsters!$O597</f>
        <v>12.1</v>
      </c>
      <c r="BU597" s="9">
        <f>[1]monsters!$P597</f>
        <v>1493.33</v>
      </c>
      <c r="BV597" s="9">
        <f>[1]monsters!$Q597</f>
        <v>149.33000000000001</v>
      </c>
      <c r="BW597" s="9">
        <f>[1]monsters!$R597</f>
        <v>24.19</v>
      </c>
      <c r="BX597" s="9">
        <f>[1]monsters!$S597</f>
        <v>2.42</v>
      </c>
      <c r="BY597" s="9">
        <f>[1]monsters!$K597</f>
        <v>1.8</v>
      </c>
      <c r="BZ597" s="7">
        <f>[1]monsters!$D597</f>
        <v>2</v>
      </c>
      <c r="CA597" s="7">
        <f t="shared" si="218"/>
        <v>0.1</v>
      </c>
      <c r="CB597" s="7">
        <f t="shared" si="219"/>
        <v>164.58767138047136</v>
      </c>
      <c r="CC597" s="7">
        <f t="shared" si="220"/>
        <v>16.458767138047136</v>
      </c>
      <c r="CD597" s="7"/>
      <c r="CE597" s="7"/>
      <c r="CF597" s="7"/>
      <c r="CG597" s="7"/>
      <c r="CH597" s="7"/>
      <c r="CI597" s="7"/>
      <c r="CJ597" s="7"/>
      <c r="CK597" s="7"/>
      <c r="CL597" s="7"/>
      <c r="CM597" s="7"/>
      <c r="CN597" s="7"/>
      <c r="CO597" s="7"/>
      <c r="CP597" s="7">
        <v>0</v>
      </c>
      <c r="CR597" s="25"/>
      <c r="CS597" s="25"/>
      <c r="CT597" s="25"/>
      <c r="CU597" s="25"/>
      <c r="CV597" s="25"/>
      <c r="CW597" s="25"/>
      <c r="DP597" s="32"/>
      <c r="DQ597" s="32"/>
      <c r="DR597" s="32"/>
      <c r="DS597" s="32"/>
      <c r="DT597" s="32"/>
      <c r="DU597" s="32"/>
      <c r="DV597" s="32"/>
      <c r="DW597" s="32"/>
      <c r="DX597" s="32"/>
      <c r="DY597" s="32"/>
      <c r="DZ597" s="32"/>
      <c r="EA597" s="25"/>
      <c r="EB597" s="31"/>
      <c r="EC597" s="16">
        <v>1205045</v>
      </c>
      <c r="ED597" s="16" t="s">
        <v>288</v>
      </c>
      <c r="EE597" s="16">
        <v>1</v>
      </c>
    </row>
    <row r="598" spans="11:135" ht="13.5" customHeight="1">
      <c r="K598" s="2"/>
      <c r="O598" s="25"/>
      <c r="AI598" s="28"/>
      <c r="AJ598" s="28"/>
      <c r="AK598" s="28"/>
      <c r="AL598" s="28"/>
      <c r="AM598" s="28"/>
      <c r="AN598" s="28"/>
      <c r="AO598" s="30"/>
      <c r="AP598" s="28"/>
      <c r="AS598" s="28"/>
      <c r="AT598" s="28"/>
      <c r="AU598" s="30"/>
      <c r="AV598" s="28"/>
      <c r="AW598" s="28"/>
      <c r="AX598" s="28"/>
      <c r="AZ598" s="28"/>
      <c r="BA598" s="16" t="e">
        <f t="shared" si="216"/>
        <v>#DIV/0!</v>
      </c>
      <c r="BC598" s="7" t="e">
        <f t="shared" si="217"/>
        <v>#N/A</v>
      </c>
      <c r="BR598" s="7">
        <v>4406043</v>
      </c>
      <c r="BS598" s="9">
        <f>[1]monsters!$N598</f>
        <v>140</v>
      </c>
      <c r="BT598" s="9">
        <f>[1]monsters!$O598</f>
        <v>14</v>
      </c>
      <c r="BU598" s="9">
        <f>[1]monsters!$P598</f>
        <v>1075.2</v>
      </c>
      <c r="BV598" s="9">
        <f>[1]monsters!$Q598</f>
        <v>107.52</v>
      </c>
      <c r="BW598" s="9">
        <f>[1]monsters!$R598</f>
        <v>14</v>
      </c>
      <c r="BX598" s="9">
        <f>[1]monsters!$S598</f>
        <v>1.4</v>
      </c>
      <c r="BY598" s="9">
        <f>[1]monsters!$K598</f>
        <v>1.5</v>
      </c>
      <c r="BZ598" s="7">
        <f>[1]monsters!$D598</f>
        <v>4</v>
      </c>
      <c r="CA598" s="7">
        <f t="shared" si="218"/>
        <v>0.1</v>
      </c>
      <c r="CB598" s="7">
        <f t="shared" si="219"/>
        <v>168.50202020202022</v>
      </c>
      <c r="CC598" s="7">
        <f t="shared" si="220"/>
        <v>16.850202020202023</v>
      </c>
      <c r="CD598" s="7"/>
      <c r="CE598" s="7"/>
      <c r="CF598" s="7"/>
      <c r="CG598" s="7"/>
      <c r="CH598" s="7"/>
      <c r="CI598" s="7"/>
      <c r="CJ598" s="7"/>
      <c r="CK598" s="7"/>
      <c r="CL598" s="7"/>
      <c r="CM598" s="7"/>
      <c r="CN598" s="7"/>
      <c r="CO598" s="7"/>
      <c r="CP598" s="7">
        <v>1</v>
      </c>
      <c r="CR598" s="25"/>
      <c r="CS598" s="25"/>
      <c r="CT598" s="25"/>
      <c r="CU598" s="25"/>
      <c r="CV598" s="25"/>
      <c r="CW598" s="25"/>
      <c r="DP598" s="32"/>
      <c r="DQ598" s="32"/>
      <c r="DR598" s="32"/>
      <c r="DS598" s="32"/>
      <c r="DT598" s="32"/>
      <c r="DU598" s="32"/>
      <c r="DV598" s="32"/>
      <c r="DW598" s="32"/>
      <c r="DX598" s="32"/>
      <c r="DY598" s="32"/>
      <c r="DZ598" s="32"/>
      <c r="EA598" s="25"/>
      <c r="EB598" s="31"/>
      <c r="EC598" s="16">
        <v>1405045</v>
      </c>
      <c r="ED598" s="16" t="s">
        <v>289</v>
      </c>
      <c r="EE598" s="16">
        <v>2</v>
      </c>
    </row>
    <row r="599" spans="11:135" ht="13.5" customHeight="1">
      <c r="K599" s="2"/>
      <c r="L599" s="18"/>
      <c r="O599" s="25"/>
      <c r="AI599" s="28"/>
      <c r="AJ599" s="28"/>
      <c r="AK599" s="28"/>
      <c r="AL599" s="28"/>
      <c r="AM599" s="28"/>
      <c r="AN599" s="28"/>
      <c r="AO599" s="30"/>
      <c r="AP599" s="28"/>
      <c r="AS599" s="28"/>
      <c r="AT599" s="28"/>
      <c r="AU599" s="30"/>
      <c r="AV599" s="28"/>
      <c r="AW599" s="28"/>
      <c r="AX599" s="28"/>
      <c r="AZ599" s="28"/>
      <c r="BA599" s="16" t="e">
        <f t="shared" si="216"/>
        <v>#DIV/0!</v>
      </c>
      <c r="BC599" s="7" t="e">
        <f t="shared" si="217"/>
        <v>#N/A</v>
      </c>
      <c r="BR599" s="7">
        <v>4205043</v>
      </c>
      <c r="BS599" s="9">
        <f>[1]monsters!$N599</f>
        <v>106.77</v>
      </c>
      <c r="BT599" s="9">
        <f>[1]monsters!$O599</f>
        <v>10.68</v>
      </c>
      <c r="BU599" s="9">
        <f>[1]monsters!$P599</f>
        <v>1221.82</v>
      </c>
      <c r="BV599" s="9">
        <f>[1]monsters!$Q599</f>
        <v>122.18</v>
      </c>
      <c r="BW599" s="9">
        <f>[1]monsters!$R599</f>
        <v>13.35</v>
      </c>
      <c r="BX599" s="9">
        <f>[1]monsters!$S599</f>
        <v>1.33</v>
      </c>
      <c r="BY599" s="9">
        <f>[1]monsters!$K599</f>
        <v>1.3</v>
      </c>
      <c r="BZ599" s="7">
        <f>[1]monsters!$D599</f>
        <v>3</v>
      </c>
      <c r="CA599" s="7">
        <f t="shared" si="218"/>
        <v>0.1</v>
      </c>
      <c r="CB599" s="7">
        <f t="shared" si="219"/>
        <v>142.03637053872055</v>
      </c>
      <c r="CC599" s="7">
        <f t="shared" si="220"/>
        <v>14.203637053872056</v>
      </c>
      <c r="CD599" s="7"/>
      <c r="CE599" s="7"/>
      <c r="CF599" s="7"/>
      <c r="CG599" s="7"/>
      <c r="CH599" s="7"/>
      <c r="CI599" s="7"/>
      <c r="CJ599" s="7"/>
      <c r="CK599" s="7"/>
      <c r="CL599" s="7"/>
      <c r="CM599" s="7"/>
      <c r="CN599" s="7"/>
      <c r="CO599" s="7"/>
      <c r="CP599" s="7">
        <v>0</v>
      </c>
      <c r="CR599" s="25"/>
      <c r="CS599" s="25"/>
      <c r="CT599" s="25"/>
      <c r="CU599" s="25"/>
      <c r="CV599" s="25"/>
      <c r="CW599" s="25"/>
      <c r="DP599" s="32"/>
      <c r="DQ599" s="32"/>
      <c r="DR599" s="32"/>
      <c r="DS599" s="32"/>
      <c r="DT599" s="32"/>
      <c r="DU599" s="32"/>
      <c r="DV599" s="32"/>
      <c r="DW599" s="32"/>
      <c r="DX599" s="32"/>
      <c r="DY599" s="32"/>
      <c r="DZ599" s="32"/>
      <c r="EA599" s="25"/>
      <c r="EB599" s="31"/>
      <c r="EC599" s="16">
        <v>1303045</v>
      </c>
      <c r="ED599" s="16" t="s">
        <v>290</v>
      </c>
      <c r="EE599" s="16">
        <v>1</v>
      </c>
    </row>
    <row r="600" spans="11:135" ht="13.5" customHeight="1">
      <c r="K600" s="2"/>
      <c r="L600" s="18"/>
      <c r="O600" s="25"/>
      <c r="AI600" s="28"/>
      <c r="AJ600" s="28"/>
      <c r="AK600" s="28"/>
      <c r="AL600" s="28"/>
      <c r="AM600" s="28"/>
      <c r="AN600" s="28"/>
      <c r="AO600" s="30"/>
      <c r="AP600" s="28"/>
      <c r="AS600" s="28"/>
      <c r="AT600" s="28"/>
      <c r="AU600" s="30"/>
      <c r="AV600" s="28"/>
      <c r="AW600" s="28"/>
      <c r="AX600" s="28"/>
      <c r="AZ600" s="28"/>
      <c r="BA600" s="16" t="e">
        <f t="shared" si="216"/>
        <v>#DIV/0!</v>
      </c>
      <c r="BC600" s="7" t="e">
        <f t="shared" si="217"/>
        <v>#N/A</v>
      </c>
      <c r="BR600" s="7">
        <v>4405043</v>
      </c>
      <c r="BS600" s="9">
        <f>[1]monsters!$N600</f>
        <v>147.84</v>
      </c>
      <c r="BT600" s="9">
        <f>[1]monsters!$O600</f>
        <v>14.78</v>
      </c>
      <c r="BU600" s="9">
        <f>[1]monsters!$P600</f>
        <v>1221.82</v>
      </c>
      <c r="BV600" s="9">
        <f>[1]monsters!$Q600</f>
        <v>122.18</v>
      </c>
      <c r="BW600" s="9">
        <f>[1]monsters!$R600</f>
        <v>24.64</v>
      </c>
      <c r="BX600" s="9">
        <f>[1]monsters!$S600</f>
        <v>2.46</v>
      </c>
      <c r="BY600" s="9">
        <f>[1]monsters!$K600</f>
        <v>1.8</v>
      </c>
      <c r="BZ600" s="7">
        <f>[1]monsters!$D600</f>
        <v>5</v>
      </c>
      <c r="CA600" s="7">
        <f t="shared" si="218"/>
        <v>0.1</v>
      </c>
      <c r="CB600" s="7">
        <f t="shared" si="219"/>
        <v>180.84752053872052</v>
      </c>
      <c r="CC600" s="7">
        <f t="shared" si="220"/>
        <v>18.084752053872052</v>
      </c>
      <c r="CD600" s="7"/>
      <c r="CE600" s="7"/>
      <c r="CF600" s="7"/>
      <c r="CG600" s="7"/>
      <c r="CH600" s="7"/>
      <c r="CI600" s="7"/>
      <c r="CJ600" s="7"/>
      <c r="CK600" s="7"/>
      <c r="CL600" s="7"/>
      <c r="CM600" s="7"/>
      <c r="CN600" s="7"/>
      <c r="CO600" s="7"/>
      <c r="CP600" s="7">
        <v>0</v>
      </c>
      <c r="CR600" s="25"/>
      <c r="CS600" s="25"/>
      <c r="CT600" s="25"/>
      <c r="CU600" s="25"/>
      <c r="CV600" s="25"/>
      <c r="CW600" s="25"/>
      <c r="DP600" s="32"/>
      <c r="DQ600" s="32"/>
      <c r="DR600" s="32"/>
      <c r="DS600" s="32"/>
      <c r="DT600" s="32"/>
      <c r="DU600" s="32"/>
      <c r="DV600" s="32"/>
      <c r="DW600" s="32"/>
      <c r="DX600" s="32"/>
      <c r="DY600" s="32"/>
      <c r="DZ600" s="32"/>
      <c r="EA600" s="25"/>
      <c r="EB600" s="15"/>
      <c r="EC600" s="16">
        <v>1504045</v>
      </c>
      <c r="ED600" s="16" t="s">
        <v>291</v>
      </c>
      <c r="EE600" s="16">
        <v>1</v>
      </c>
    </row>
    <row r="601" spans="11:135" ht="13.5" customHeight="1">
      <c r="K601" s="2"/>
      <c r="L601" s="18"/>
      <c r="O601" s="25"/>
      <c r="AI601" s="28"/>
      <c r="AJ601" s="28"/>
      <c r="AK601" s="28"/>
      <c r="AL601" s="28"/>
      <c r="AM601" s="28"/>
      <c r="AN601" s="28"/>
      <c r="AO601" s="30"/>
      <c r="AP601" s="28"/>
      <c r="AS601" s="28"/>
      <c r="AT601" s="28"/>
      <c r="AU601" s="30"/>
      <c r="AV601" s="28"/>
      <c r="AW601" s="28"/>
      <c r="AX601" s="28"/>
      <c r="AZ601" s="28"/>
      <c r="BA601" s="16" t="e">
        <f t="shared" si="216"/>
        <v>#DIV/0!</v>
      </c>
      <c r="BC601" s="7" t="e">
        <f t="shared" si="217"/>
        <v>#N/A</v>
      </c>
      <c r="BR601" s="7">
        <v>4203043</v>
      </c>
      <c r="BS601" s="9">
        <f>[1]monsters!$N601</f>
        <v>107.52</v>
      </c>
      <c r="BT601" s="9">
        <f>[1]monsters!$O601</f>
        <v>10.75</v>
      </c>
      <c r="BU601" s="9">
        <f>[1]monsters!$P601</f>
        <v>1493.33</v>
      </c>
      <c r="BV601" s="9">
        <f>[1]monsters!$Q601</f>
        <v>149.33000000000001</v>
      </c>
      <c r="BW601" s="9">
        <f>[1]monsters!$R601</f>
        <v>21.5</v>
      </c>
      <c r="BX601" s="9">
        <f>[1]monsters!$S601</f>
        <v>2.15</v>
      </c>
      <c r="BY601" s="9">
        <f>[1]monsters!$K601</f>
        <v>1.6</v>
      </c>
      <c r="BZ601" s="7">
        <f>[1]monsters!$D601</f>
        <v>2</v>
      </c>
      <c r="CA601" s="7">
        <f t="shared" si="218"/>
        <v>0.1</v>
      </c>
      <c r="CB601" s="7">
        <f t="shared" si="219"/>
        <v>151.88687138047138</v>
      </c>
      <c r="CC601" s="7">
        <f t="shared" si="220"/>
        <v>15.188687138047138</v>
      </c>
      <c r="CD601" s="7"/>
      <c r="CE601" s="7"/>
      <c r="CF601" s="7"/>
      <c r="CG601" s="7"/>
      <c r="CH601" s="7"/>
      <c r="CI601" s="7"/>
      <c r="CJ601" s="7"/>
      <c r="CK601" s="7"/>
      <c r="CL601" s="7"/>
      <c r="CM601" s="7"/>
      <c r="CN601" s="7"/>
      <c r="CO601" s="7"/>
      <c r="CP601" s="7">
        <v>0</v>
      </c>
      <c r="CR601" s="25"/>
      <c r="CS601" s="25"/>
      <c r="CT601" s="25"/>
      <c r="CU601" s="25"/>
      <c r="CV601" s="25"/>
      <c r="CW601" s="25"/>
      <c r="DP601" s="32"/>
      <c r="DQ601" s="32"/>
      <c r="DR601" s="32"/>
      <c r="DS601" s="32"/>
      <c r="DT601" s="32"/>
      <c r="DU601" s="32"/>
      <c r="DV601" s="32"/>
      <c r="DW601" s="32"/>
      <c r="DX601" s="32"/>
      <c r="DY601" s="32"/>
      <c r="DZ601" s="32"/>
      <c r="EA601" s="25"/>
      <c r="EB601" s="31"/>
      <c r="EC601" s="16">
        <v>1206045</v>
      </c>
      <c r="ED601" s="16" t="s">
        <v>292</v>
      </c>
      <c r="EE601" s="16">
        <v>1</v>
      </c>
    </row>
    <row r="602" spans="11:135" ht="13.5" customHeight="1">
      <c r="K602" s="2"/>
      <c r="L602" s="18"/>
      <c r="O602" s="25"/>
      <c r="AI602" s="28"/>
      <c r="AJ602" s="28"/>
      <c r="AK602" s="28"/>
      <c r="AL602" s="28"/>
      <c r="AM602" s="28"/>
      <c r="AN602" s="28"/>
      <c r="AO602" s="30"/>
      <c r="AP602" s="28"/>
      <c r="AS602" s="28"/>
      <c r="AT602" s="28"/>
      <c r="AU602" s="30"/>
      <c r="AV602" s="28"/>
      <c r="AW602" s="28"/>
      <c r="AX602" s="28"/>
      <c r="AZ602" s="28"/>
      <c r="BA602" s="16" t="e">
        <f t="shared" si="216"/>
        <v>#DIV/0!</v>
      </c>
      <c r="BC602" s="7" t="e">
        <f t="shared" si="217"/>
        <v>#N/A</v>
      </c>
      <c r="BR602" s="7">
        <v>4403043</v>
      </c>
      <c r="BS602" s="9">
        <f>[1]monsters!$N602</f>
        <v>135.88999999999999</v>
      </c>
      <c r="BT602" s="9">
        <f>[1]monsters!$O602</f>
        <v>13.59</v>
      </c>
      <c r="BU602" s="9">
        <f>[1]monsters!$P602</f>
        <v>1033.8499999999999</v>
      </c>
      <c r="BV602" s="9">
        <f>[1]monsters!$Q602</f>
        <v>103.38</v>
      </c>
      <c r="BW602" s="9">
        <f>[1]monsters!$R602</f>
        <v>13.59</v>
      </c>
      <c r="BX602" s="9">
        <f>[1]monsters!$S602</f>
        <v>1.36</v>
      </c>
      <c r="BY602" s="9">
        <f>[1]monsters!$K602</f>
        <v>1.4000000000000001</v>
      </c>
      <c r="BZ602" s="7">
        <f>[1]monsters!$D602</f>
        <v>4</v>
      </c>
      <c r="CA602" s="7">
        <f t="shared" si="218"/>
        <v>0.1</v>
      </c>
      <c r="CB602" s="7">
        <f t="shared" si="219"/>
        <v>163.2258143097643</v>
      </c>
      <c r="CC602" s="7">
        <f t="shared" si="220"/>
        <v>16.322581430976431</v>
      </c>
      <c r="CD602" s="7"/>
      <c r="CE602" s="7"/>
      <c r="CF602" s="7"/>
      <c r="CG602" s="7"/>
      <c r="CH602" s="7"/>
      <c r="CI602" s="7"/>
      <c r="CJ602" s="7"/>
      <c r="CK602" s="7"/>
      <c r="CL602" s="7"/>
      <c r="CM602" s="7"/>
      <c r="CN602" s="7"/>
      <c r="CO602" s="7"/>
      <c r="CP602" s="7">
        <v>0</v>
      </c>
      <c r="CR602" s="25"/>
      <c r="CS602" s="25"/>
      <c r="CT602" s="25"/>
      <c r="CU602" s="25"/>
      <c r="CV602" s="25"/>
      <c r="CW602" s="25"/>
      <c r="DP602" s="32"/>
      <c r="DQ602" s="32"/>
      <c r="DR602" s="32"/>
      <c r="DS602" s="32"/>
      <c r="DT602" s="32"/>
      <c r="DU602" s="32"/>
      <c r="DV602" s="32"/>
      <c r="DW602" s="32"/>
      <c r="DX602" s="32"/>
      <c r="DY602" s="32"/>
      <c r="DZ602" s="32"/>
      <c r="EA602" s="25"/>
      <c r="EB602" s="31"/>
      <c r="EC602" s="16">
        <v>1406045</v>
      </c>
      <c r="ED602" s="16" t="s">
        <v>293</v>
      </c>
      <c r="EE602" s="16">
        <v>2</v>
      </c>
    </row>
    <row r="603" spans="11:135" ht="13.5" customHeight="1">
      <c r="K603" s="2"/>
      <c r="O603" s="25"/>
      <c r="AI603" s="28"/>
      <c r="AJ603" s="28"/>
      <c r="AK603" s="28"/>
      <c r="AL603" s="28"/>
      <c r="AM603" s="28"/>
      <c r="AN603" s="28"/>
      <c r="AO603" s="30"/>
      <c r="AP603" s="28"/>
      <c r="AS603" s="28"/>
      <c r="AT603" s="28"/>
      <c r="AU603" s="30"/>
      <c r="AV603" s="28"/>
      <c r="AW603" s="28"/>
      <c r="AX603" s="28"/>
      <c r="AY603" s="16">
        <v>9</v>
      </c>
      <c r="AZ603" s="28">
        <v>200</v>
      </c>
      <c r="BA603" s="16">
        <v>3642688</v>
      </c>
      <c r="BC603" s="7" t="e">
        <f t="shared" si="217"/>
        <v>#N/A</v>
      </c>
      <c r="BR603" s="7">
        <v>4204043</v>
      </c>
      <c r="BS603" s="9">
        <f>[1]monsters!$N603</f>
        <v>94.08</v>
      </c>
      <c r="BT603" s="9">
        <f>[1]monsters!$O603</f>
        <v>9.41</v>
      </c>
      <c r="BU603" s="9">
        <f>[1]monsters!$P603</f>
        <v>1493.33</v>
      </c>
      <c r="BV603" s="9">
        <f>[1]monsters!$Q603</f>
        <v>149.33000000000001</v>
      </c>
      <c r="BW603" s="9">
        <f>[1]monsters!$R603</f>
        <v>18.82</v>
      </c>
      <c r="BX603" s="9">
        <f>[1]monsters!$S603</f>
        <v>1.88</v>
      </c>
      <c r="BY603" s="9">
        <f>[1]monsters!$K603</f>
        <v>1.4000000000000001</v>
      </c>
      <c r="BZ603" s="7">
        <f>[1]monsters!$D603</f>
        <v>2</v>
      </c>
      <c r="CA603" s="7">
        <f t="shared" si="218"/>
        <v>0.1</v>
      </c>
      <c r="CB603" s="7">
        <f t="shared" si="219"/>
        <v>139.18607138047139</v>
      </c>
      <c r="CC603" s="7">
        <f t="shared" si="220"/>
        <v>13.91860713804714</v>
      </c>
      <c r="CD603" s="7"/>
      <c r="CE603" s="7"/>
      <c r="CF603" s="7"/>
      <c r="CG603" s="7"/>
      <c r="CH603" s="7"/>
      <c r="CI603" s="7"/>
      <c r="CJ603" s="7"/>
      <c r="CK603" s="7"/>
      <c r="CL603" s="7"/>
      <c r="CM603" s="7"/>
      <c r="CN603" s="7"/>
      <c r="CO603" s="7"/>
      <c r="CP603" s="7">
        <v>1</v>
      </c>
      <c r="CR603" s="25"/>
      <c r="CS603" s="25"/>
      <c r="CT603" s="25"/>
      <c r="CU603" s="25"/>
      <c r="CV603" s="25"/>
      <c r="CW603" s="25"/>
      <c r="DP603" s="32"/>
      <c r="DQ603" s="32"/>
      <c r="DR603" s="32"/>
      <c r="DS603" s="32"/>
      <c r="DT603" s="32"/>
      <c r="DU603" s="32"/>
      <c r="DV603" s="32"/>
      <c r="DW603" s="32"/>
      <c r="DX603" s="32"/>
      <c r="DY603" s="32"/>
      <c r="DZ603" s="32"/>
      <c r="EA603" s="32"/>
      <c r="EB603" s="31"/>
      <c r="EC603" s="16">
        <v>1204045</v>
      </c>
      <c r="ED603" s="16" t="s">
        <v>294</v>
      </c>
      <c r="EE603" s="16">
        <v>1</v>
      </c>
    </row>
    <row r="604" spans="11:135" ht="13.5" customHeight="1">
      <c r="O604" s="25"/>
      <c r="AI604" s="28"/>
      <c r="AJ604" s="28"/>
      <c r="AK604" s="28"/>
      <c r="AL604" s="28"/>
      <c r="AM604" s="28"/>
      <c r="AN604" s="28"/>
      <c r="BR604" s="7">
        <v>4404043</v>
      </c>
      <c r="BS604" s="9">
        <f>[1]monsters!$N604</f>
        <v>155.31</v>
      </c>
      <c r="BT604" s="9">
        <f>[1]monsters!$O604</f>
        <v>15.53</v>
      </c>
      <c r="BU604" s="9">
        <f>[1]monsters!$P604</f>
        <v>1033.8499999999999</v>
      </c>
      <c r="BV604" s="9">
        <f>[1]monsters!$Q604</f>
        <v>103.38</v>
      </c>
      <c r="BW604" s="9">
        <f>[1]monsters!$R604</f>
        <v>15.53</v>
      </c>
      <c r="BX604" s="9">
        <f>[1]monsters!$S604</f>
        <v>1.55</v>
      </c>
      <c r="BY604" s="9">
        <f>[1]monsters!$K604</f>
        <v>1.6</v>
      </c>
      <c r="BZ604" s="7">
        <f>[1]monsters!$D604</f>
        <v>4</v>
      </c>
      <c r="CA604" s="7">
        <f t="shared" si="218"/>
        <v>0.1</v>
      </c>
      <c r="CB604" s="7">
        <f t="shared" si="219"/>
        <v>181.5777143097643</v>
      </c>
      <c r="CC604" s="7">
        <f t="shared" si="220"/>
        <v>18.157771430976432</v>
      </c>
      <c r="CD604" s="7"/>
      <c r="CE604" s="7"/>
      <c r="CF604" s="7"/>
      <c r="CG604" s="7"/>
      <c r="CH604" s="7"/>
      <c r="CI604" s="7"/>
      <c r="CJ604" s="7"/>
      <c r="CK604" s="7"/>
      <c r="CL604" s="7"/>
      <c r="CM604" s="7"/>
      <c r="CN604" s="7"/>
      <c r="CO604" s="7"/>
      <c r="CP604" s="7"/>
      <c r="CR604" s="25"/>
      <c r="CS604" s="25"/>
      <c r="CT604" s="25"/>
      <c r="CU604" s="25"/>
      <c r="CV604" s="25"/>
      <c r="CW604" s="25"/>
      <c r="DP604" s="32"/>
      <c r="DQ604" s="32"/>
      <c r="DR604" s="32"/>
      <c r="DS604" s="32"/>
      <c r="DT604" s="32"/>
      <c r="DU604" s="32"/>
      <c r="DV604" s="32"/>
      <c r="DW604" s="32"/>
      <c r="DX604" s="32"/>
      <c r="DY604" s="32"/>
      <c r="DZ604" s="32"/>
      <c r="EA604" s="32"/>
      <c r="EB604" s="15"/>
      <c r="EC604" s="16">
        <v>1404045</v>
      </c>
      <c r="ED604" s="16" t="s">
        <v>295</v>
      </c>
      <c r="EE604" s="16">
        <v>2</v>
      </c>
    </row>
    <row r="605" spans="11:135" ht="13.5" customHeight="1">
      <c r="O605" s="25"/>
      <c r="AI605" s="28"/>
      <c r="AJ605" s="28"/>
      <c r="AK605" s="28"/>
      <c r="AL605" s="28"/>
      <c r="AM605" s="28"/>
      <c r="AN605" s="28"/>
      <c r="BR605" s="7">
        <v>4303043</v>
      </c>
      <c r="BS605" s="9">
        <f>[1]monsters!$N605</f>
        <v>143.36000000000001</v>
      </c>
      <c r="BT605" s="9">
        <f>[1]monsters!$O605</f>
        <v>14.34</v>
      </c>
      <c r="BU605" s="9">
        <f>[1]monsters!$P605</f>
        <v>1120</v>
      </c>
      <c r="BV605" s="9">
        <f>[1]monsters!$Q605</f>
        <v>112</v>
      </c>
      <c r="BW605" s="9">
        <f>[1]monsters!$R605</f>
        <v>23.89</v>
      </c>
      <c r="BX605" s="9">
        <f>[1]monsters!$S605</f>
        <v>2.39</v>
      </c>
      <c r="BY605" s="9">
        <f>[1]monsters!$K605</f>
        <v>1.6</v>
      </c>
      <c r="BZ605" s="7">
        <f>[1]monsters!$D605</f>
        <v>5</v>
      </c>
      <c r="CA605" s="7">
        <f t="shared" si="218"/>
        <v>0.1</v>
      </c>
      <c r="CB605" s="7">
        <f t="shared" si="219"/>
        <v>173.18563771043773</v>
      </c>
      <c r="CC605" s="7">
        <f t="shared" si="220"/>
        <v>17.318563771043774</v>
      </c>
      <c r="CD605" s="7"/>
      <c r="CE605" s="7"/>
      <c r="CF605" s="7"/>
      <c r="CG605" s="7"/>
      <c r="CH605" s="7"/>
      <c r="CI605" s="7"/>
      <c r="CJ605" s="7"/>
      <c r="CK605" s="7"/>
      <c r="CL605" s="7"/>
      <c r="CM605" s="7"/>
      <c r="CN605" s="7"/>
      <c r="CO605" s="7"/>
      <c r="CP605" s="7"/>
      <c r="CR605" s="25"/>
      <c r="CS605" s="25"/>
      <c r="CT605" s="25"/>
      <c r="CU605" s="25"/>
      <c r="CV605" s="25"/>
      <c r="CW605" s="25"/>
      <c r="DP605" s="32"/>
      <c r="DQ605" s="32"/>
      <c r="DR605" s="32"/>
      <c r="DS605" s="32"/>
      <c r="DT605" s="32"/>
      <c r="DU605" s="32"/>
      <c r="DV605" s="32"/>
      <c r="DW605" s="32"/>
      <c r="DX605" s="32"/>
      <c r="DY605" s="32"/>
      <c r="DZ605" s="32"/>
      <c r="EA605" s="32"/>
      <c r="EB605" s="31"/>
      <c r="EC605" s="16">
        <v>1503045</v>
      </c>
      <c r="ED605" s="16" t="s">
        <v>296</v>
      </c>
      <c r="EE605" s="16">
        <v>1</v>
      </c>
    </row>
    <row r="606" spans="11:135" ht="13.5" customHeight="1">
      <c r="O606" s="25"/>
      <c r="AI606" s="28"/>
      <c r="AJ606" s="28"/>
      <c r="AK606" s="28"/>
      <c r="AL606" s="28"/>
      <c r="AM606" s="28"/>
      <c r="AN606" s="28"/>
      <c r="BR606" s="7">
        <v>4304043</v>
      </c>
      <c r="BS606" s="9">
        <f>[1]monsters!$N606</f>
        <v>120.21</v>
      </c>
      <c r="BT606" s="9">
        <f>[1]monsters!$O606</f>
        <v>12.02</v>
      </c>
      <c r="BU606" s="9">
        <f>[1]monsters!$P606</f>
        <v>1168.7</v>
      </c>
      <c r="BV606" s="9">
        <f>[1]monsters!$Q606</f>
        <v>116.87</v>
      </c>
      <c r="BW606" s="9">
        <f>[1]monsters!$R606</f>
        <v>15.03</v>
      </c>
      <c r="BX606" s="9">
        <f>[1]monsters!$S606</f>
        <v>1.5</v>
      </c>
      <c r="BY606" s="9">
        <f>[1]monsters!$K606</f>
        <v>1.4000000000000001</v>
      </c>
      <c r="BZ606" s="7">
        <f>[1]monsters!$D606</f>
        <v>3</v>
      </c>
      <c r="CA606" s="7">
        <f t="shared" si="218"/>
        <v>0.1</v>
      </c>
      <c r="CB606" s="7">
        <f t="shared" si="219"/>
        <v>152.94861835016835</v>
      </c>
      <c r="CC606" s="7">
        <f t="shared" si="220"/>
        <v>15.294861835016835</v>
      </c>
      <c r="CD606" s="7"/>
      <c r="CE606" s="7"/>
      <c r="CF606" s="7"/>
      <c r="CG606" s="7"/>
      <c r="CH606" s="7"/>
      <c r="CI606" s="7"/>
      <c r="CJ606" s="7"/>
      <c r="CK606" s="7"/>
      <c r="CL606" s="7"/>
      <c r="CM606" s="7"/>
      <c r="CN606" s="7"/>
      <c r="CO606" s="7"/>
      <c r="CP606" s="7"/>
      <c r="CR606" s="25"/>
      <c r="CS606" s="25"/>
      <c r="CT606" s="25"/>
      <c r="CU606" s="25"/>
      <c r="CV606" s="25"/>
      <c r="CW606" s="25"/>
      <c r="DP606" s="32"/>
      <c r="DQ606" s="32"/>
      <c r="DR606" s="32"/>
      <c r="DS606" s="32"/>
      <c r="DT606" s="32"/>
      <c r="DU606" s="32"/>
      <c r="DV606" s="32"/>
      <c r="DW606" s="32"/>
      <c r="DX606" s="32"/>
      <c r="DY606" s="32"/>
      <c r="DZ606" s="32"/>
      <c r="EA606" s="32"/>
      <c r="EB606" s="31"/>
      <c r="EC606" s="16">
        <v>1304045</v>
      </c>
      <c r="ED606" s="16" t="s">
        <v>297</v>
      </c>
      <c r="EE606" s="16">
        <v>1</v>
      </c>
    </row>
    <row r="607" spans="11:135" ht="13.5" customHeight="1">
      <c r="O607" s="25"/>
      <c r="AI607" s="28"/>
      <c r="AJ607" s="28"/>
      <c r="AK607" s="28"/>
      <c r="AL607" s="28"/>
      <c r="AM607" s="28"/>
      <c r="AN607" s="28"/>
      <c r="BR607" s="7">
        <v>4503043</v>
      </c>
      <c r="BS607" s="9">
        <f>[1]monsters!$N607</f>
        <v>85.33</v>
      </c>
      <c r="BT607" s="9">
        <f>[1]monsters!$O607</f>
        <v>8.5299999999999994</v>
      </c>
      <c r="BU607" s="9">
        <f>[1]monsters!$P607</f>
        <v>960</v>
      </c>
      <c r="BV607" s="9">
        <f>[1]monsters!$Q607</f>
        <v>96</v>
      </c>
      <c r="BW607" s="9">
        <f>[1]monsters!$R607</f>
        <v>28.44</v>
      </c>
      <c r="BX607" s="9">
        <f>[1]monsters!$S607</f>
        <v>2.84</v>
      </c>
      <c r="BY607" s="9">
        <f>[1]monsters!$K607</f>
        <v>1.6</v>
      </c>
      <c r="BZ607" s="7">
        <f>[1]monsters!$D607</f>
        <v>2</v>
      </c>
      <c r="CA607" s="7">
        <f t="shared" si="218"/>
        <v>0.1</v>
      </c>
      <c r="CB607" s="7">
        <f t="shared" si="219"/>
        <v>112.96008232323233</v>
      </c>
      <c r="CC607" s="7">
        <f t="shared" si="220"/>
        <v>11.296008232323233</v>
      </c>
      <c r="CD607" s="7"/>
      <c r="CE607" s="7"/>
      <c r="CF607" s="7"/>
      <c r="CG607" s="7"/>
      <c r="CH607" s="7"/>
      <c r="CI607" s="7"/>
      <c r="CJ607" s="7"/>
      <c r="CK607" s="7"/>
      <c r="CL607" s="7"/>
      <c r="CM607" s="7"/>
      <c r="CN607" s="7"/>
      <c r="CO607" s="7"/>
      <c r="CP607" s="7"/>
      <c r="CR607" s="25"/>
      <c r="CS607" s="25"/>
      <c r="CT607" s="25"/>
      <c r="CU607" s="25"/>
      <c r="CV607" s="25"/>
      <c r="CW607" s="25"/>
      <c r="DP607" s="32"/>
      <c r="DQ607" s="32"/>
      <c r="DR607" s="32"/>
      <c r="DS607" s="32"/>
      <c r="DT607" s="32"/>
      <c r="DU607" s="32"/>
      <c r="DV607" s="32"/>
      <c r="DW607" s="32"/>
      <c r="DX607" s="32"/>
      <c r="DY607" s="32"/>
      <c r="DZ607" s="32"/>
      <c r="EA607" s="32"/>
      <c r="EB607" s="15"/>
      <c r="EC607" s="16">
        <v>1101011</v>
      </c>
      <c r="ED607" s="16" t="s">
        <v>298</v>
      </c>
      <c r="EE607" s="16">
        <v>1</v>
      </c>
    </row>
    <row r="608" spans="11:135" ht="13.5" customHeight="1">
      <c r="O608" s="25"/>
      <c r="AI608" s="28"/>
      <c r="AJ608" s="28"/>
      <c r="AK608" s="28"/>
      <c r="AL608" s="28"/>
      <c r="AM608" s="28"/>
      <c r="AN608" s="28"/>
      <c r="BR608" s="7">
        <v>4504043</v>
      </c>
      <c r="BS608" s="9">
        <f>[1]monsters!$N608</f>
        <v>85.33</v>
      </c>
      <c r="BT608" s="9">
        <f>[1]monsters!$O608</f>
        <v>8.5299999999999994</v>
      </c>
      <c r="BU608" s="9">
        <f>[1]monsters!$P608</f>
        <v>960</v>
      </c>
      <c r="BV608" s="9">
        <f>[1]monsters!$Q608</f>
        <v>96</v>
      </c>
      <c r="BW608" s="9">
        <f>[1]monsters!$R608</f>
        <v>28.44</v>
      </c>
      <c r="BX608" s="9">
        <f>[1]monsters!$S608</f>
        <v>2.84</v>
      </c>
      <c r="BY608" s="9">
        <f>[1]monsters!$K608</f>
        <v>1.6</v>
      </c>
      <c r="BZ608" s="7">
        <f>[1]monsters!$D608</f>
        <v>2</v>
      </c>
      <c r="CA608" s="7">
        <f t="shared" si="218"/>
        <v>0.1</v>
      </c>
      <c r="CB608" s="7">
        <f t="shared" si="219"/>
        <v>112.96008232323233</v>
      </c>
      <c r="CC608" s="7">
        <f t="shared" si="220"/>
        <v>11.296008232323233</v>
      </c>
      <c r="CD608" s="7"/>
      <c r="CE608" s="7"/>
      <c r="CF608" s="7"/>
      <c r="CG608" s="7"/>
      <c r="CH608" s="7"/>
      <c r="CI608" s="7"/>
      <c r="CJ608" s="7"/>
      <c r="CK608" s="7"/>
      <c r="CL608" s="7"/>
      <c r="CM608" s="7"/>
      <c r="CN608" s="7"/>
      <c r="CO608" s="7"/>
      <c r="CP608" s="7"/>
      <c r="CR608" s="25"/>
      <c r="CS608" s="25"/>
      <c r="CT608" s="25"/>
      <c r="CU608" s="25"/>
      <c r="CV608" s="25"/>
      <c r="CW608" s="25"/>
      <c r="DP608" s="32"/>
      <c r="DQ608" s="32"/>
      <c r="DR608" s="32"/>
      <c r="DS608" s="32"/>
      <c r="DT608" s="32"/>
      <c r="DU608" s="32"/>
      <c r="DV608" s="32"/>
      <c r="DW608" s="32"/>
      <c r="DX608" s="32"/>
      <c r="DY608" s="32"/>
      <c r="DZ608" s="32"/>
      <c r="EA608" s="32"/>
      <c r="EB608" s="31"/>
      <c r="EC608" s="16">
        <v>1101012</v>
      </c>
      <c r="ED608" s="16" t="s">
        <v>299</v>
      </c>
      <c r="EE608" s="16">
        <v>1</v>
      </c>
    </row>
    <row r="609" spans="15:135" ht="13.5" customHeight="1">
      <c r="O609" s="25"/>
      <c r="AI609" s="28"/>
      <c r="AJ609" s="28"/>
      <c r="AK609" s="28"/>
      <c r="AL609" s="28"/>
      <c r="AM609" s="28"/>
      <c r="AN609" s="28"/>
      <c r="BR609" s="7">
        <v>4101043</v>
      </c>
      <c r="BS609" s="9">
        <f>[1]monsters!$N609</f>
        <v>85.33</v>
      </c>
      <c r="BT609" s="9">
        <f>[1]monsters!$O609</f>
        <v>8.5299999999999994</v>
      </c>
      <c r="BU609" s="9">
        <f>[1]monsters!$P609</f>
        <v>960</v>
      </c>
      <c r="BV609" s="9">
        <f>[1]monsters!$Q609</f>
        <v>96</v>
      </c>
      <c r="BW609" s="9">
        <f>[1]monsters!$R609</f>
        <v>28.44</v>
      </c>
      <c r="BX609" s="9">
        <f>[1]monsters!$S609</f>
        <v>2.84</v>
      </c>
      <c r="BY609" s="9">
        <f>[1]monsters!$K609</f>
        <v>1.6</v>
      </c>
      <c r="BZ609" s="7">
        <f>[1]monsters!$D609</f>
        <v>2</v>
      </c>
      <c r="CA609" s="7">
        <f t="shared" si="218"/>
        <v>0.1</v>
      </c>
      <c r="CB609" s="7">
        <f t="shared" si="219"/>
        <v>112.96008232323233</v>
      </c>
      <c r="CC609" s="7">
        <f t="shared" si="220"/>
        <v>11.296008232323233</v>
      </c>
      <c r="CD609" s="7"/>
      <c r="CE609" s="7"/>
      <c r="CF609" s="7"/>
      <c r="CG609" s="7"/>
      <c r="CH609" s="7"/>
      <c r="CI609" s="7"/>
      <c r="CJ609" s="7"/>
      <c r="CK609" s="7"/>
      <c r="CL609" s="7"/>
      <c r="CM609" s="7"/>
      <c r="CN609" s="7"/>
      <c r="CO609" s="7"/>
      <c r="CP609" s="7"/>
      <c r="CR609" s="25"/>
      <c r="CS609" s="25"/>
      <c r="CT609" s="25"/>
      <c r="CU609" s="25"/>
      <c r="CV609" s="25"/>
      <c r="CW609" s="25"/>
      <c r="DP609" s="32"/>
      <c r="DQ609" s="32"/>
      <c r="DR609" s="32"/>
      <c r="DS609" s="32"/>
      <c r="DT609" s="32"/>
      <c r="DU609" s="32"/>
      <c r="DV609" s="32"/>
      <c r="DW609" s="32"/>
      <c r="DX609" s="32"/>
      <c r="DY609" s="32"/>
      <c r="DZ609" s="32"/>
      <c r="EA609" s="32"/>
      <c r="EB609" s="31"/>
      <c r="EC609" s="16">
        <v>1101013</v>
      </c>
      <c r="ED609" s="16" t="s">
        <v>300</v>
      </c>
      <c r="EE609" s="16">
        <v>1</v>
      </c>
    </row>
    <row r="610" spans="15:135" ht="13.5" customHeight="1">
      <c r="O610" s="25"/>
      <c r="AI610" s="28"/>
      <c r="AJ610" s="28"/>
      <c r="AK610" s="28"/>
      <c r="AL610" s="28"/>
      <c r="AM610" s="28"/>
      <c r="AN610" s="28"/>
      <c r="BR610" s="7">
        <v>4102043</v>
      </c>
      <c r="BS610" s="9">
        <f>[1]monsters!$N610</f>
        <v>85.33</v>
      </c>
      <c r="BT610" s="9">
        <f>[1]monsters!$O610</f>
        <v>8.5299999999999994</v>
      </c>
      <c r="BU610" s="9">
        <f>[1]monsters!$P610</f>
        <v>960</v>
      </c>
      <c r="BV610" s="9">
        <f>[1]monsters!$Q610</f>
        <v>96</v>
      </c>
      <c r="BW610" s="9">
        <f>[1]monsters!$R610</f>
        <v>28.44</v>
      </c>
      <c r="BX610" s="9">
        <f>[1]monsters!$S610</f>
        <v>2.84</v>
      </c>
      <c r="BY610" s="9">
        <f>[1]monsters!$K610</f>
        <v>1.6</v>
      </c>
      <c r="BZ610" s="7">
        <f>[1]monsters!$D610</f>
        <v>2</v>
      </c>
      <c r="CA610" s="7">
        <f t="shared" si="218"/>
        <v>0.1</v>
      </c>
      <c r="CB610" s="7">
        <f t="shared" si="219"/>
        <v>112.96008232323233</v>
      </c>
      <c r="CC610" s="7">
        <f t="shared" si="220"/>
        <v>11.296008232323233</v>
      </c>
      <c r="CD610" s="7"/>
      <c r="CE610" s="7"/>
      <c r="CF610" s="7"/>
      <c r="CG610" s="7"/>
      <c r="CH610" s="7"/>
      <c r="CI610" s="7"/>
      <c r="CJ610" s="7"/>
      <c r="CK610" s="7"/>
      <c r="CL610" s="7"/>
      <c r="CM610" s="7"/>
      <c r="CN610" s="7"/>
      <c r="CO610" s="7"/>
      <c r="CP610" s="7"/>
      <c r="CR610" s="25"/>
      <c r="CS610" s="25"/>
      <c r="CT610" s="25"/>
      <c r="CU610" s="25"/>
      <c r="CV610" s="25"/>
      <c r="CW610" s="25"/>
      <c r="DP610" s="32"/>
      <c r="DQ610" s="32"/>
      <c r="DR610" s="32"/>
      <c r="DS610" s="32"/>
      <c r="DT610" s="32"/>
      <c r="DU610" s="32"/>
      <c r="DV610" s="32"/>
      <c r="DW610" s="32"/>
      <c r="DX610" s="32"/>
      <c r="DY610" s="32"/>
      <c r="DZ610" s="32"/>
      <c r="EA610" s="32"/>
      <c r="EB610" s="31"/>
      <c r="EC610" s="16">
        <v>1101014</v>
      </c>
      <c r="ED610" s="16" t="s">
        <v>301</v>
      </c>
      <c r="EE610" s="16">
        <v>1</v>
      </c>
    </row>
    <row r="611" spans="15:135" ht="13.5" customHeight="1">
      <c r="O611" s="25"/>
      <c r="AI611" s="28"/>
      <c r="AJ611" s="28"/>
      <c r="AK611" s="28"/>
      <c r="AL611" s="28"/>
      <c r="AM611" s="28"/>
      <c r="AN611" s="28"/>
      <c r="BR611" s="7">
        <v>4206044</v>
      </c>
      <c r="BS611" s="9">
        <f>[1]monsters!$N611</f>
        <v>85.33</v>
      </c>
      <c r="BT611" s="9">
        <f>[1]monsters!$O611</f>
        <v>8.5299999999999994</v>
      </c>
      <c r="BU611" s="9">
        <f>[1]monsters!$P611</f>
        <v>960</v>
      </c>
      <c r="BV611" s="9">
        <f>[1]monsters!$Q611</f>
        <v>96</v>
      </c>
      <c r="BW611" s="9">
        <f>[1]monsters!$R611</f>
        <v>28.44</v>
      </c>
      <c r="BX611" s="9">
        <f>[1]monsters!$S611</f>
        <v>2.84</v>
      </c>
      <c r="BY611" s="9">
        <f>[1]monsters!$K611</f>
        <v>1.6</v>
      </c>
      <c r="BZ611" s="7">
        <f>[1]monsters!$D611</f>
        <v>2</v>
      </c>
      <c r="CA611" s="7">
        <f t="shared" si="218"/>
        <v>0.1</v>
      </c>
      <c r="CB611" s="7">
        <f t="shared" si="219"/>
        <v>112.96008232323233</v>
      </c>
      <c r="CC611" s="7">
        <f t="shared" si="220"/>
        <v>11.296008232323233</v>
      </c>
      <c r="CD611" s="7"/>
      <c r="CE611" s="7"/>
      <c r="CF611" s="7"/>
      <c r="CG611" s="7"/>
      <c r="CH611" s="7"/>
      <c r="CI611" s="7"/>
      <c r="CJ611" s="7"/>
      <c r="CK611" s="7"/>
      <c r="CL611" s="7"/>
      <c r="CM611" s="7"/>
      <c r="CN611" s="7"/>
      <c r="CO611" s="7"/>
      <c r="CP611" s="7"/>
      <c r="CR611" s="25"/>
      <c r="CS611" s="25"/>
      <c r="CT611" s="25"/>
      <c r="CU611" s="25"/>
      <c r="CV611" s="25"/>
      <c r="CW611" s="25"/>
      <c r="DP611" s="32"/>
      <c r="DQ611" s="32"/>
      <c r="DR611" s="32"/>
      <c r="DS611" s="32"/>
      <c r="DT611" s="32"/>
      <c r="DU611" s="32"/>
      <c r="DV611" s="32"/>
      <c r="DW611" s="32"/>
      <c r="DX611" s="32"/>
      <c r="DY611" s="32"/>
      <c r="DZ611" s="32"/>
      <c r="EA611" s="32"/>
      <c r="EB611" s="43"/>
      <c r="EC611" s="16">
        <v>1101015</v>
      </c>
      <c r="ED611" s="16" t="s">
        <v>302</v>
      </c>
      <c r="EE611" s="16">
        <v>1</v>
      </c>
    </row>
    <row r="612" spans="15:135" ht="13.5" customHeight="1">
      <c r="O612" s="25"/>
      <c r="AI612" s="28"/>
      <c r="AJ612" s="28"/>
      <c r="AK612" s="28"/>
      <c r="AL612" s="28"/>
      <c r="AM612" s="28"/>
      <c r="AN612" s="28"/>
      <c r="BR612" s="7">
        <v>4406044</v>
      </c>
      <c r="BS612" s="9">
        <f>[1]monsters!$N612</f>
        <v>93.87</v>
      </c>
      <c r="BT612" s="9">
        <f>[1]monsters!$O612</f>
        <v>9.39</v>
      </c>
      <c r="BU612" s="9">
        <f>[1]monsters!$P612</f>
        <v>1056</v>
      </c>
      <c r="BV612" s="9">
        <f>[1]monsters!$Q612</f>
        <v>105.6</v>
      </c>
      <c r="BW612" s="9">
        <f>[1]monsters!$R612</f>
        <v>31.29</v>
      </c>
      <c r="BX612" s="9">
        <f>[1]monsters!$S612</f>
        <v>3.13</v>
      </c>
      <c r="BY612" s="9">
        <f>[1]monsters!$K612</f>
        <v>1.6</v>
      </c>
      <c r="BZ612" s="7">
        <f>[1]monsters!$D612</f>
        <v>2</v>
      </c>
      <c r="CA612" s="7">
        <f t="shared" si="218"/>
        <v>0.1</v>
      </c>
      <c r="CB612" s="7">
        <f t="shared" si="219"/>
        <v>124.26270555555557</v>
      </c>
      <c r="CC612" s="7">
        <f t="shared" si="220"/>
        <v>12.426270555555558</v>
      </c>
      <c r="CD612" s="7"/>
      <c r="CE612" s="7"/>
      <c r="CF612" s="7"/>
      <c r="CG612" s="7"/>
      <c r="CH612" s="7"/>
      <c r="CI612" s="7"/>
      <c r="CJ612" s="7"/>
      <c r="CK612" s="7"/>
      <c r="CL612" s="7"/>
      <c r="CM612" s="7"/>
      <c r="CN612" s="7"/>
      <c r="CO612" s="7"/>
      <c r="CP612" s="7"/>
      <c r="CR612" s="25"/>
      <c r="CS612" s="25"/>
      <c r="CT612" s="25"/>
      <c r="CU612" s="25"/>
      <c r="CV612" s="25"/>
      <c r="CW612" s="25"/>
      <c r="DP612" s="32"/>
      <c r="DQ612" s="32"/>
      <c r="DR612" s="32"/>
      <c r="DS612" s="32"/>
      <c r="DT612" s="32"/>
      <c r="DU612" s="32"/>
      <c r="DV612" s="32"/>
      <c r="DW612" s="32"/>
      <c r="DX612" s="32"/>
      <c r="DY612" s="32"/>
      <c r="DZ612" s="32"/>
      <c r="EA612" s="32"/>
      <c r="EB612" s="43"/>
      <c r="EC612" s="16">
        <v>1101021</v>
      </c>
      <c r="ED612" s="16" t="s">
        <v>298</v>
      </c>
      <c r="EE612" s="16">
        <v>1</v>
      </c>
    </row>
    <row r="613" spans="15:135" ht="13.5" customHeight="1">
      <c r="O613" s="25"/>
      <c r="AI613" s="28"/>
      <c r="AJ613" s="28"/>
      <c r="AK613" s="28"/>
      <c r="AL613" s="28"/>
      <c r="AM613" s="28"/>
      <c r="AN613" s="28"/>
      <c r="BR613" s="7">
        <v>4205044</v>
      </c>
      <c r="BS613" s="9">
        <f>[1]monsters!$N613</f>
        <v>93.87</v>
      </c>
      <c r="BT613" s="9">
        <f>[1]monsters!$O613</f>
        <v>9.39</v>
      </c>
      <c r="BU613" s="9">
        <f>[1]monsters!$P613</f>
        <v>1056</v>
      </c>
      <c r="BV613" s="9">
        <f>[1]monsters!$Q613</f>
        <v>105.6</v>
      </c>
      <c r="BW613" s="9">
        <f>[1]monsters!$R613</f>
        <v>31.29</v>
      </c>
      <c r="BX613" s="9">
        <f>[1]monsters!$S613</f>
        <v>3.13</v>
      </c>
      <c r="BY613" s="9">
        <f>[1]monsters!$K613</f>
        <v>1.6</v>
      </c>
      <c r="BZ613" s="7">
        <f>[1]monsters!$D613</f>
        <v>2</v>
      </c>
      <c r="CA613" s="7">
        <f t="shared" si="218"/>
        <v>0.1</v>
      </c>
      <c r="CB613" s="7">
        <f t="shared" si="219"/>
        <v>124.26270555555557</v>
      </c>
      <c r="CC613" s="7">
        <f t="shared" si="220"/>
        <v>12.426270555555558</v>
      </c>
      <c r="CD613" s="7"/>
      <c r="CE613" s="7"/>
      <c r="CF613" s="7"/>
      <c r="CG613" s="7"/>
      <c r="CH613" s="7"/>
      <c r="CI613" s="7"/>
      <c r="CJ613" s="7"/>
      <c r="CK613" s="7"/>
      <c r="CL613" s="7"/>
      <c r="CM613" s="7"/>
      <c r="CN613" s="7"/>
      <c r="CO613" s="7"/>
      <c r="CP613" s="7"/>
      <c r="CR613" s="25"/>
      <c r="CS613" s="25"/>
      <c r="CT613" s="25"/>
      <c r="CU613" s="25"/>
      <c r="CV613" s="25"/>
      <c r="CW613" s="25"/>
      <c r="DP613" s="32"/>
      <c r="DQ613" s="32"/>
      <c r="DR613" s="32"/>
      <c r="DS613" s="32"/>
      <c r="DT613" s="32"/>
      <c r="DU613" s="32"/>
      <c r="DV613" s="32"/>
      <c r="DW613" s="32"/>
      <c r="DX613" s="32"/>
      <c r="DY613" s="32"/>
      <c r="DZ613" s="32"/>
      <c r="EA613" s="32"/>
      <c r="EB613" s="43"/>
      <c r="EC613" s="16">
        <v>1101022</v>
      </c>
      <c r="ED613" s="16" t="s">
        <v>299</v>
      </c>
      <c r="EE613" s="16">
        <v>1</v>
      </c>
    </row>
    <row r="614" spans="15:135" ht="13.5" customHeight="1">
      <c r="O614" s="25"/>
      <c r="AI614" s="28"/>
      <c r="AJ614" s="28"/>
      <c r="AK614" s="28"/>
      <c r="AL614" s="28"/>
      <c r="AM614" s="28"/>
      <c r="AN614" s="28"/>
      <c r="BR614" s="7">
        <v>4405044</v>
      </c>
      <c r="BS614" s="9">
        <f>[1]monsters!$N614</f>
        <v>93.87</v>
      </c>
      <c r="BT614" s="9">
        <f>[1]monsters!$O614</f>
        <v>9.39</v>
      </c>
      <c r="BU614" s="9">
        <f>[1]monsters!$P614</f>
        <v>1056</v>
      </c>
      <c r="BV614" s="9">
        <f>[1]monsters!$Q614</f>
        <v>105.6</v>
      </c>
      <c r="BW614" s="9">
        <f>[1]monsters!$R614</f>
        <v>31.29</v>
      </c>
      <c r="BX614" s="9">
        <f>[1]monsters!$S614</f>
        <v>3.13</v>
      </c>
      <c r="BY614" s="9">
        <f>[1]monsters!$K614</f>
        <v>1.6</v>
      </c>
      <c r="BZ614" s="7">
        <f>[1]monsters!$D614</f>
        <v>2</v>
      </c>
      <c r="CA614" s="7">
        <f t="shared" si="218"/>
        <v>0.1</v>
      </c>
      <c r="CB614" s="7">
        <f t="shared" si="219"/>
        <v>124.26270555555557</v>
      </c>
      <c r="CC614" s="7">
        <f t="shared" si="220"/>
        <v>12.426270555555558</v>
      </c>
      <c r="CD614" s="7"/>
      <c r="CE614" s="7"/>
      <c r="CF614" s="7"/>
      <c r="CG614" s="7"/>
      <c r="CH614" s="7"/>
      <c r="CI614" s="7"/>
      <c r="CJ614" s="7"/>
      <c r="CK614" s="7"/>
      <c r="CL614" s="7"/>
      <c r="CM614" s="7"/>
      <c r="CN614" s="7"/>
      <c r="CO614" s="7"/>
      <c r="CP614" s="7"/>
      <c r="CR614" s="25"/>
      <c r="CS614" s="25"/>
      <c r="CT614" s="25"/>
      <c r="CU614" s="25"/>
      <c r="CV614" s="25"/>
      <c r="CW614" s="25"/>
      <c r="DP614" s="32"/>
      <c r="DQ614" s="32"/>
      <c r="DR614" s="32"/>
      <c r="DS614" s="32"/>
      <c r="DT614" s="32"/>
      <c r="DU614" s="32"/>
      <c r="DV614" s="32"/>
      <c r="DW614" s="32"/>
      <c r="DX614" s="32"/>
      <c r="DY614" s="32"/>
      <c r="DZ614" s="32"/>
      <c r="EA614" s="32"/>
      <c r="EB614" s="21"/>
      <c r="EC614" s="16">
        <v>1101023</v>
      </c>
      <c r="ED614" s="16" t="s">
        <v>300</v>
      </c>
      <c r="EE614" s="16">
        <v>1</v>
      </c>
    </row>
    <row r="615" spans="15:135" ht="13.5" customHeight="1">
      <c r="O615" s="25"/>
      <c r="AI615" s="28"/>
      <c r="AJ615" s="28"/>
      <c r="AK615" s="28"/>
      <c r="AL615" s="28"/>
      <c r="AM615" s="28"/>
      <c r="AN615" s="28"/>
      <c r="BR615" s="7">
        <v>4203044</v>
      </c>
      <c r="BS615" s="9">
        <f>[1]monsters!$N615</f>
        <v>93.87</v>
      </c>
      <c r="BT615" s="9">
        <f>[1]monsters!$O615</f>
        <v>9.39</v>
      </c>
      <c r="BU615" s="9">
        <f>[1]monsters!$P615</f>
        <v>1056</v>
      </c>
      <c r="BV615" s="9">
        <f>[1]monsters!$Q615</f>
        <v>105.6</v>
      </c>
      <c r="BW615" s="9">
        <f>[1]monsters!$R615</f>
        <v>31.29</v>
      </c>
      <c r="BX615" s="9">
        <f>[1]monsters!$S615</f>
        <v>3.13</v>
      </c>
      <c r="BY615" s="9">
        <f>[1]monsters!$K615</f>
        <v>1.6</v>
      </c>
      <c r="BZ615" s="7">
        <f>[1]monsters!$D615</f>
        <v>2</v>
      </c>
      <c r="CA615" s="7">
        <f t="shared" si="218"/>
        <v>0.1</v>
      </c>
      <c r="CB615" s="7">
        <f t="shared" si="219"/>
        <v>124.26270555555557</v>
      </c>
      <c r="CC615" s="7">
        <f t="shared" si="220"/>
        <v>12.426270555555558</v>
      </c>
      <c r="CD615" s="7"/>
      <c r="CE615" s="7"/>
      <c r="CF615" s="7"/>
      <c r="CG615" s="7"/>
      <c r="CH615" s="7"/>
      <c r="CI615" s="7"/>
      <c r="CJ615" s="7"/>
      <c r="CK615" s="7"/>
      <c r="CL615" s="7"/>
      <c r="CM615" s="7"/>
      <c r="CN615" s="7"/>
      <c r="CO615" s="7"/>
      <c r="CP615" s="7"/>
      <c r="CR615" s="25"/>
      <c r="CS615" s="25"/>
      <c r="CT615" s="25"/>
      <c r="CU615" s="25"/>
      <c r="CV615" s="25"/>
      <c r="CW615" s="25"/>
      <c r="DP615" s="32"/>
      <c r="DQ615" s="32"/>
      <c r="DR615" s="32"/>
      <c r="DS615" s="32"/>
      <c r="DT615" s="32"/>
      <c r="DU615" s="32"/>
      <c r="DV615" s="32"/>
      <c r="DW615" s="32"/>
      <c r="DX615" s="32"/>
      <c r="DY615" s="32"/>
      <c r="DZ615" s="32"/>
      <c r="EA615" s="32"/>
      <c r="EB615" s="43"/>
      <c r="EC615" s="16">
        <v>1101024</v>
      </c>
      <c r="ED615" s="16" t="s">
        <v>301</v>
      </c>
      <c r="EE615" s="16">
        <v>1</v>
      </c>
    </row>
    <row r="616" spans="15:135" ht="13.5" customHeight="1">
      <c r="O616" s="25"/>
      <c r="AI616" s="28"/>
      <c r="AJ616" s="28"/>
      <c r="AK616" s="28"/>
      <c r="AL616" s="28"/>
      <c r="AM616" s="28"/>
      <c r="AN616" s="28"/>
      <c r="BR616" s="7">
        <v>4403044</v>
      </c>
      <c r="BS616" s="9">
        <f>[1]monsters!$N616</f>
        <v>93.87</v>
      </c>
      <c r="BT616" s="9">
        <f>[1]monsters!$O616</f>
        <v>9.39</v>
      </c>
      <c r="BU616" s="9">
        <f>[1]monsters!$P616</f>
        <v>1056</v>
      </c>
      <c r="BV616" s="9">
        <f>[1]monsters!$Q616</f>
        <v>105.6</v>
      </c>
      <c r="BW616" s="9">
        <f>[1]monsters!$R616</f>
        <v>31.29</v>
      </c>
      <c r="BX616" s="9">
        <f>[1]monsters!$S616</f>
        <v>3.13</v>
      </c>
      <c r="BY616" s="9">
        <f>[1]monsters!$K616</f>
        <v>1.6</v>
      </c>
      <c r="BZ616" s="7">
        <f>[1]monsters!$D616</f>
        <v>2</v>
      </c>
      <c r="CA616" s="7">
        <f t="shared" si="218"/>
        <v>0.1</v>
      </c>
      <c r="CB616" s="7">
        <f t="shared" si="219"/>
        <v>124.26270555555557</v>
      </c>
      <c r="CC616" s="7">
        <f t="shared" si="220"/>
        <v>12.426270555555558</v>
      </c>
      <c r="CD616" s="7"/>
      <c r="CE616" s="7"/>
      <c r="CF616" s="7"/>
      <c r="CG616" s="7"/>
      <c r="CH616" s="7"/>
      <c r="CI616" s="7"/>
      <c r="CJ616" s="7"/>
      <c r="CK616" s="7"/>
      <c r="CL616" s="7"/>
      <c r="CM616" s="7"/>
      <c r="CN616" s="7"/>
      <c r="CO616" s="7"/>
      <c r="CP616" s="7"/>
      <c r="CR616" s="25"/>
      <c r="CS616" s="25"/>
      <c r="CT616" s="25"/>
      <c r="CU616" s="25"/>
      <c r="CV616" s="25"/>
      <c r="CW616" s="25"/>
      <c r="DP616" s="32"/>
      <c r="DQ616" s="32"/>
      <c r="DR616" s="32"/>
      <c r="DS616" s="32"/>
      <c r="DT616" s="32"/>
      <c r="DU616" s="32"/>
      <c r="DV616" s="32"/>
      <c r="DW616" s="32"/>
      <c r="DX616" s="32"/>
      <c r="DY616" s="32"/>
      <c r="DZ616" s="32"/>
      <c r="EA616" s="32"/>
      <c r="EB616" s="43"/>
      <c r="EC616" s="16">
        <v>1101025</v>
      </c>
      <c r="ED616" s="16" t="s">
        <v>302</v>
      </c>
      <c r="EE616" s="16">
        <v>1</v>
      </c>
    </row>
    <row r="617" spans="15:135" ht="13.5" customHeight="1">
      <c r="O617" s="25"/>
      <c r="AI617" s="28"/>
      <c r="AJ617" s="28"/>
      <c r="AK617" s="28"/>
      <c r="AL617" s="28"/>
      <c r="AM617" s="28"/>
      <c r="AN617" s="28"/>
      <c r="BR617" s="7">
        <v>4204044</v>
      </c>
      <c r="BS617" s="9">
        <f>[1]monsters!$N617</f>
        <v>102.4</v>
      </c>
      <c r="BT617" s="9">
        <f>[1]monsters!$O617</f>
        <v>10.24</v>
      </c>
      <c r="BU617" s="9">
        <f>[1]monsters!$P617</f>
        <v>1152</v>
      </c>
      <c r="BV617" s="9">
        <f>[1]monsters!$Q617</f>
        <v>115.2</v>
      </c>
      <c r="BW617" s="9">
        <f>[1]monsters!$R617</f>
        <v>34.130000000000003</v>
      </c>
      <c r="BX617" s="9">
        <f>[1]monsters!$S617</f>
        <v>3.41</v>
      </c>
      <c r="BY617" s="9">
        <f>[1]monsters!$K617</f>
        <v>1.6</v>
      </c>
      <c r="BZ617" s="7">
        <f>[1]monsters!$D617</f>
        <v>2</v>
      </c>
      <c r="CA617" s="7">
        <f t="shared" si="218"/>
        <v>0.1</v>
      </c>
      <c r="CB617" s="7">
        <f t="shared" si="219"/>
        <v>135.55587878787878</v>
      </c>
      <c r="CC617" s="7">
        <f t="shared" si="220"/>
        <v>13.555587878787879</v>
      </c>
      <c r="CD617" s="7"/>
      <c r="CE617" s="7"/>
      <c r="CF617" s="7"/>
      <c r="CG617" s="7"/>
      <c r="CH617" s="7"/>
      <c r="CI617" s="7"/>
      <c r="CJ617" s="7"/>
      <c r="CK617" s="7"/>
      <c r="CL617" s="7"/>
      <c r="CM617" s="7"/>
      <c r="CN617" s="7"/>
      <c r="CO617" s="7"/>
      <c r="CP617" s="7"/>
      <c r="CR617" s="25"/>
      <c r="CS617" s="25"/>
      <c r="CT617" s="25"/>
      <c r="CU617" s="25"/>
      <c r="CV617" s="25"/>
      <c r="CW617" s="25"/>
      <c r="DP617" s="32"/>
      <c r="DQ617" s="32"/>
      <c r="DR617" s="32"/>
      <c r="DS617" s="32"/>
      <c r="DT617" s="32"/>
      <c r="DU617" s="32"/>
      <c r="DV617" s="32"/>
      <c r="DW617" s="32"/>
      <c r="DX617" s="32"/>
      <c r="DY617" s="32"/>
      <c r="DZ617" s="32"/>
      <c r="EA617" s="32"/>
      <c r="EB617" s="43"/>
      <c r="EC617" s="16">
        <v>1101031</v>
      </c>
      <c r="ED617" s="16" t="s">
        <v>298</v>
      </c>
      <c r="EE617" s="16">
        <v>1</v>
      </c>
    </row>
    <row r="618" spans="15:135" ht="13.5" customHeight="1">
      <c r="O618" s="25"/>
      <c r="AI618" s="28"/>
      <c r="AJ618" s="28"/>
      <c r="AK618" s="28"/>
      <c r="AL618" s="28"/>
      <c r="AM618" s="28"/>
      <c r="AN618" s="28"/>
      <c r="BR618" s="7">
        <v>4404044</v>
      </c>
      <c r="BS618" s="9">
        <f>[1]monsters!$N618</f>
        <v>102.4</v>
      </c>
      <c r="BT618" s="9">
        <f>[1]monsters!$O618</f>
        <v>10.24</v>
      </c>
      <c r="BU618" s="9">
        <f>[1]monsters!$P618</f>
        <v>1152</v>
      </c>
      <c r="BV618" s="9">
        <f>[1]monsters!$Q618</f>
        <v>115.2</v>
      </c>
      <c r="BW618" s="9">
        <f>[1]monsters!$R618</f>
        <v>34.130000000000003</v>
      </c>
      <c r="BX618" s="9">
        <f>[1]monsters!$S618</f>
        <v>3.41</v>
      </c>
      <c r="BY618" s="9">
        <f>[1]monsters!$K618</f>
        <v>1.6</v>
      </c>
      <c r="BZ618" s="7">
        <f>[1]monsters!$D618</f>
        <v>2</v>
      </c>
      <c r="CA618" s="7">
        <f t="shared" si="218"/>
        <v>0.1</v>
      </c>
      <c r="CB618" s="7">
        <f t="shared" si="219"/>
        <v>135.55587878787878</v>
      </c>
      <c r="CC618" s="7">
        <f t="shared" si="220"/>
        <v>13.555587878787879</v>
      </c>
      <c r="CD618" s="7"/>
      <c r="CE618" s="7"/>
      <c r="CF618" s="7"/>
      <c r="CG618" s="7"/>
      <c r="CH618" s="7"/>
      <c r="CI618" s="7"/>
      <c r="CJ618" s="7"/>
      <c r="CK618" s="7"/>
      <c r="CL618" s="7"/>
      <c r="CM618" s="7"/>
      <c r="CN618" s="7"/>
      <c r="CO618" s="7"/>
      <c r="CP618" s="7"/>
      <c r="CR618" s="25"/>
      <c r="CS618" s="25"/>
      <c r="CT618" s="25"/>
      <c r="CU618" s="25"/>
      <c r="CV618" s="25"/>
      <c r="CW618" s="25"/>
      <c r="DP618" s="32"/>
      <c r="DQ618" s="32"/>
      <c r="DR618" s="32"/>
      <c r="DS618" s="32"/>
      <c r="DT618" s="32"/>
      <c r="DU618" s="32"/>
      <c r="DV618" s="32"/>
      <c r="DW618" s="32"/>
      <c r="DX618" s="32"/>
      <c r="DY618" s="32"/>
      <c r="DZ618" s="32"/>
      <c r="EA618" s="32"/>
      <c r="EB618" s="21"/>
      <c r="EC618" s="16">
        <v>1101032</v>
      </c>
      <c r="ED618" s="16" t="s">
        <v>299</v>
      </c>
      <c r="EE618" s="16">
        <v>1</v>
      </c>
    </row>
    <row r="619" spans="15:135" ht="13.5" customHeight="1">
      <c r="O619" s="25"/>
      <c r="AI619" s="28"/>
      <c r="AJ619" s="28"/>
      <c r="AK619" s="28"/>
      <c r="AL619" s="28"/>
      <c r="AM619" s="28"/>
      <c r="AN619" s="28"/>
      <c r="BR619" s="7">
        <v>4303044</v>
      </c>
      <c r="BS619" s="9">
        <f>[1]monsters!$N619</f>
        <v>102.4</v>
      </c>
      <c r="BT619" s="9">
        <f>[1]monsters!$O619</f>
        <v>10.24</v>
      </c>
      <c r="BU619" s="9">
        <f>[1]monsters!$P619</f>
        <v>1152</v>
      </c>
      <c r="BV619" s="9">
        <f>[1]monsters!$Q619</f>
        <v>115.2</v>
      </c>
      <c r="BW619" s="9">
        <f>[1]monsters!$R619</f>
        <v>34.130000000000003</v>
      </c>
      <c r="BX619" s="9">
        <f>[1]monsters!$S619</f>
        <v>3.41</v>
      </c>
      <c r="BY619" s="9">
        <f>[1]monsters!$K619</f>
        <v>1.6</v>
      </c>
      <c r="BZ619" s="7">
        <f>[1]monsters!$D619</f>
        <v>2</v>
      </c>
      <c r="CA619" s="7">
        <f t="shared" si="218"/>
        <v>0.1</v>
      </c>
      <c r="CB619" s="7">
        <f t="shared" si="219"/>
        <v>135.55587878787878</v>
      </c>
      <c r="CC619" s="7">
        <f t="shared" si="220"/>
        <v>13.555587878787879</v>
      </c>
      <c r="CD619" s="7"/>
      <c r="CE619" s="7"/>
      <c r="CF619" s="7"/>
      <c r="CG619" s="7"/>
      <c r="CH619" s="7"/>
      <c r="CI619" s="7"/>
      <c r="CJ619" s="7"/>
      <c r="CK619" s="7"/>
      <c r="CL619" s="7"/>
      <c r="CM619" s="7"/>
      <c r="CN619" s="7"/>
      <c r="CO619" s="7"/>
      <c r="CP619" s="7"/>
      <c r="CR619" s="25"/>
      <c r="CS619" s="25"/>
      <c r="CT619" s="25"/>
      <c r="CU619" s="25"/>
      <c r="CV619" s="25"/>
      <c r="CW619" s="25"/>
      <c r="DP619" s="32"/>
      <c r="DQ619" s="32"/>
      <c r="DR619" s="32"/>
      <c r="DS619" s="32"/>
      <c r="DT619" s="32"/>
      <c r="DU619" s="32"/>
      <c r="DV619" s="32"/>
      <c r="DW619" s="32"/>
      <c r="DX619" s="32"/>
      <c r="DY619" s="32"/>
      <c r="DZ619" s="32"/>
      <c r="EA619" s="32"/>
      <c r="EB619" s="43"/>
      <c r="EC619" s="16">
        <v>1101033</v>
      </c>
      <c r="ED619" s="16" t="s">
        <v>300</v>
      </c>
      <c r="EE619" s="16">
        <v>1</v>
      </c>
    </row>
    <row r="620" spans="15:135" ht="13.5" customHeight="1">
      <c r="O620" s="25"/>
      <c r="AI620" s="28"/>
      <c r="AJ620" s="28"/>
      <c r="AK620" s="28"/>
      <c r="AL620" s="28"/>
      <c r="AM620" s="28"/>
      <c r="AN620" s="28"/>
      <c r="BR620" s="7">
        <v>4304044</v>
      </c>
      <c r="BS620" s="9">
        <f>[1]monsters!$N620</f>
        <v>102.4</v>
      </c>
      <c r="BT620" s="9">
        <f>[1]monsters!$O620</f>
        <v>10.24</v>
      </c>
      <c r="BU620" s="9">
        <f>[1]monsters!$P620</f>
        <v>1152</v>
      </c>
      <c r="BV620" s="9">
        <f>[1]monsters!$Q620</f>
        <v>115.2</v>
      </c>
      <c r="BW620" s="9">
        <f>[1]monsters!$R620</f>
        <v>34.130000000000003</v>
      </c>
      <c r="BX620" s="9">
        <f>[1]monsters!$S620</f>
        <v>3.41</v>
      </c>
      <c r="BY620" s="9">
        <f>[1]monsters!$K620</f>
        <v>1.6</v>
      </c>
      <c r="BZ620" s="7">
        <f>[1]monsters!$D620</f>
        <v>2</v>
      </c>
      <c r="CA620" s="7">
        <f t="shared" si="218"/>
        <v>0.1</v>
      </c>
      <c r="CB620" s="7">
        <f t="shared" si="219"/>
        <v>135.55587878787878</v>
      </c>
      <c r="CC620" s="7">
        <f t="shared" si="220"/>
        <v>13.555587878787879</v>
      </c>
      <c r="CD620" s="7"/>
      <c r="CE620" s="7"/>
      <c r="CF620" s="7"/>
      <c r="CG620" s="7"/>
      <c r="CH620" s="7"/>
      <c r="CI620" s="7"/>
      <c r="CJ620" s="7"/>
      <c r="CK620" s="7"/>
      <c r="CL620" s="7"/>
      <c r="CM620" s="7"/>
      <c r="CN620" s="7"/>
      <c r="CO620" s="7"/>
      <c r="CP620" s="7"/>
      <c r="CR620" s="25"/>
      <c r="CS620" s="25"/>
      <c r="CT620" s="25"/>
      <c r="CU620" s="25"/>
      <c r="CV620" s="25"/>
      <c r="CW620" s="25"/>
      <c r="DP620" s="32"/>
      <c r="DQ620" s="32"/>
      <c r="DR620" s="32"/>
      <c r="DS620" s="32"/>
      <c r="DT620" s="32"/>
      <c r="DU620" s="32"/>
      <c r="DV620" s="32"/>
      <c r="DW620" s="32"/>
      <c r="DX620" s="32"/>
      <c r="DY620" s="32"/>
      <c r="DZ620" s="32"/>
      <c r="EA620" s="32"/>
      <c r="EB620" s="43"/>
      <c r="EC620" s="16">
        <v>1101034</v>
      </c>
      <c r="ED620" s="16" t="s">
        <v>301</v>
      </c>
      <c r="EE620" s="16">
        <v>1</v>
      </c>
    </row>
    <row r="621" spans="15:135" ht="13.5" customHeight="1">
      <c r="O621" s="25"/>
      <c r="AI621" s="28"/>
      <c r="AJ621" s="28"/>
      <c r="AK621" s="28"/>
      <c r="AL621" s="28"/>
      <c r="AM621" s="28"/>
      <c r="AN621" s="28"/>
      <c r="BR621" s="7">
        <v>4503044</v>
      </c>
      <c r="BS621" s="9">
        <f>[1]monsters!$N621</f>
        <v>102.4</v>
      </c>
      <c r="BT621" s="9">
        <f>[1]monsters!$O621</f>
        <v>10.24</v>
      </c>
      <c r="BU621" s="9">
        <f>[1]monsters!$P621</f>
        <v>1152</v>
      </c>
      <c r="BV621" s="9">
        <f>[1]monsters!$Q621</f>
        <v>115.2</v>
      </c>
      <c r="BW621" s="9">
        <f>[1]monsters!$R621</f>
        <v>34.130000000000003</v>
      </c>
      <c r="BX621" s="9">
        <f>[1]monsters!$S621</f>
        <v>3.41</v>
      </c>
      <c r="BY621" s="9">
        <f>[1]monsters!$K621</f>
        <v>1.6</v>
      </c>
      <c r="BZ621" s="7">
        <f>[1]monsters!$D621</f>
        <v>2</v>
      </c>
      <c r="CA621" s="7">
        <f t="shared" si="218"/>
        <v>0.1</v>
      </c>
      <c r="CB621" s="7">
        <f t="shared" si="219"/>
        <v>135.55587878787878</v>
      </c>
      <c r="CC621" s="7">
        <f t="shared" si="220"/>
        <v>13.555587878787879</v>
      </c>
      <c r="CD621" s="7"/>
      <c r="CE621" s="7"/>
      <c r="CF621" s="7"/>
      <c r="CG621" s="7"/>
      <c r="CH621" s="7"/>
      <c r="CI621" s="7"/>
      <c r="CJ621" s="7"/>
      <c r="CK621" s="7"/>
      <c r="CL621" s="7"/>
      <c r="CM621" s="7"/>
      <c r="CN621" s="7"/>
      <c r="CO621" s="7"/>
      <c r="CP621" s="7"/>
      <c r="CR621" s="25"/>
      <c r="CS621" s="25"/>
      <c r="CT621" s="25"/>
      <c r="CU621" s="25"/>
      <c r="CV621" s="25"/>
      <c r="CW621" s="25"/>
      <c r="DP621" s="32"/>
      <c r="DQ621" s="32"/>
      <c r="DR621" s="32"/>
      <c r="DS621" s="32"/>
      <c r="DT621" s="32"/>
      <c r="DU621" s="32"/>
      <c r="DV621" s="32"/>
      <c r="DW621" s="32"/>
      <c r="DX621" s="32"/>
      <c r="DY621" s="32"/>
      <c r="DZ621" s="32"/>
      <c r="EA621" s="32"/>
      <c r="EB621" s="21"/>
      <c r="EC621" s="16">
        <v>1101035</v>
      </c>
      <c r="ED621" s="16" t="s">
        <v>302</v>
      </c>
      <c r="EE621" s="16">
        <v>1</v>
      </c>
    </row>
    <row r="622" spans="15:135" ht="13.5" customHeight="1">
      <c r="O622" s="25"/>
      <c r="AI622" s="28"/>
      <c r="AJ622" s="28"/>
      <c r="AK622" s="28"/>
      <c r="AL622" s="28"/>
      <c r="AM622" s="28"/>
      <c r="AN622" s="28"/>
      <c r="BR622" s="7">
        <v>4504044</v>
      </c>
      <c r="BS622" s="9">
        <f>[1]monsters!$N622</f>
        <v>119.47</v>
      </c>
      <c r="BT622" s="9">
        <f>[1]monsters!$O622</f>
        <v>11.95</v>
      </c>
      <c r="BU622" s="9">
        <f>[1]monsters!$P622</f>
        <v>1344</v>
      </c>
      <c r="BV622" s="9">
        <f>[1]monsters!$Q622</f>
        <v>134.4</v>
      </c>
      <c r="BW622" s="9">
        <f>[1]monsters!$R622</f>
        <v>39.82</v>
      </c>
      <c r="BX622" s="9">
        <f>[1]monsters!$S622</f>
        <v>3.98</v>
      </c>
      <c r="BY622" s="9">
        <f>[1]monsters!$K622</f>
        <v>1.6</v>
      </c>
      <c r="BZ622" s="7">
        <f>[1]monsters!$D622</f>
        <v>2</v>
      </c>
      <c r="CA622" s="7">
        <f t="shared" si="218"/>
        <v>0.1</v>
      </c>
      <c r="CB622" s="7">
        <f t="shared" si="219"/>
        <v>158.15167525252525</v>
      </c>
      <c r="CC622" s="7">
        <f t="shared" si="220"/>
        <v>15.815167525252527</v>
      </c>
      <c r="CD622" s="7"/>
      <c r="CE622" s="7"/>
      <c r="CF622" s="7"/>
      <c r="CG622" s="7"/>
      <c r="CH622" s="7"/>
      <c r="CI622" s="7"/>
      <c r="CJ622" s="7"/>
      <c r="CK622" s="7"/>
      <c r="CL622" s="7"/>
      <c r="CM622" s="7"/>
      <c r="CN622" s="7"/>
      <c r="CO622" s="7"/>
      <c r="CP622" s="7"/>
      <c r="CR622" s="25"/>
      <c r="CS622" s="25"/>
      <c r="CT622" s="25"/>
      <c r="CU622" s="25"/>
      <c r="CV622" s="25"/>
      <c r="CW622" s="25"/>
      <c r="DP622" s="32"/>
      <c r="DQ622" s="32"/>
      <c r="DR622" s="32"/>
      <c r="DS622" s="32"/>
      <c r="DT622" s="32"/>
      <c r="DU622" s="32"/>
      <c r="DV622" s="32"/>
      <c r="DW622" s="32"/>
      <c r="DX622" s="32"/>
      <c r="DY622" s="32"/>
      <c r="DZ622" s="32"/>
      <c r="EA622" s="32"/>
      <c r="EB622" s="43"/>
      <c r="EC622" s="16">
        <v>1101041</v>
      </c>
      <c r="ED622" s="16" t="s">
        <v>298</v>
      </c>
      <c r="EE622" s="16">
        <v>1</v>
      </c>
    </row>
    <row r="623" spans="15:135" ht="13.5" customHeight="1">
      <c r="O623" s="25"/>
      <c r="AI623" s="28"/>
      <c r="AJ623" s="28"/>
      <c r="AK623" s="28"/>
      <c r="AL623" s="28"/>
      <c r="AM623" s="28"/>
      <c r="AN623" s="28"/>
      <c r="BR623" s="7">
        <v>4101044</v>
      </c>
      <c r="BS623" s="9">
        <f>[1]monsters!$N623</f>
        <v>119.47</v>
      </c>
      <c r="BT623" s="9">
        <f>[1]monsters!$O623</f>
        <v>11.95</v>
      </c>
      <c r="BU623" s="9">
        <f>[1]monsters!$P623</f>
        <v>1344</v>
      </c>
      <c r="BV623" s="9">
        <f>[1]monsters!$Q623</f>
        <v>134.4</v>
      </c>
      <c r="BW623" s="9">
        <f>[1]monsters!$R623</f>
        <v>39.82</v>
      </c>
      <c r="BX623" s="9">
        <f>[1]monsters!$S623</f>
        <v>3.98</v>
      </c>
      <c r="BY623" s="9">
        <f>[1]monsters!$K623</f>
        <v>1.6</v>
      </c>
      <c r="BZ623" s="7">
        <f>[1]monsters!$D623</f>
        <v>2</v>
      </c>
      <c r="CA623" s="7">
        <f t="shared" si="218"/>
        <v>0.1</v>
      </c>
      <c r="CB623" s="7">
        <f t="shared" si="219"/>
        <v>158.15167525252525</v>
      </c>
      <c r="CC623" s="7">
        <f t="shared" si="220"/>
        <v>15.815167525252527</v>
      </c>
      <c r="CD623" s="7"/>
      <c r="CE623" s="7"/>
      <c r="CF623" s="7"/>
      <c r="CG623" s="7"/>
      <c r="CH623" s="7"/>
      <c r="CI623" s="7"/>
      <c r="CJ623" s="7"/>
      <c r="CK623" s="7"/>
      <c r="CL623" s="7"/>
      <c r="CM623" s="7"/>
      <c r="CN623" s="7"/>
      <c r="CO623" s="7"/>
      <c r="CP623" s="7"/>
      <c r="CR623" s="25"/>
      <c r="CS623" s="25"/>
      <c r="CT623" s="25"/>
      <c r="CU623" s="25"/>
      <c r="CV623" s="25"/>
      <c r="CW623" s="25"/>
      <c r="DP623" s="25"/>
      <c r="DQ623" s="25"/>
      <c r="DR623" s="25"/>
      <c r="DS623" s="25"/>
      <c r="DT623" s="25"/>
      <c r="DU623" s="25"/>
      <c r="DV623" s="32"/>
      <c r="DW623" s="32"/>
      <c r="DX623" s="32"/>
      <c r="DY623" s="32"/>
      <c r="DZ623" s="32"/>
      <c r="EA623" s="32"/>
      <c r="EB623" s="43"/>
      <c r="EC623" s="16">
        <v>1101042</v>
      </c>
      <c r="ED623" s="16" t="s">
        <v>299</v>
      </c>
      <c r="EE623" s="16">
        <v>1</v>
      </c>
    </row>
    <row r="624" spans="15:135" ht="13.5" customHeight="1">
      <c r="O624" s="25"/>
      <c r="AI624" s="28"/>
      <c r="AJ624" s="28"/>
      <c r="AK624" s="28"/>
      <c r="AL624" s="28"/>
      <c r="AM624" s="28"/>
      <c r="AN624" s="28"/>
      <c r="BR624" s="7">
        <v>4102044</v>
      </c>
      <c r="BS624" s="9">
        <f>[1]monsters!$N624</f>
        <v>119.47</v>
      </c>
      <c r="BT624" s="9">
        <f>[1]monsters!$O624</f>
        <v>11.95</v>
      </c>
      <c r="BU624" s="9">
        <f>[1]monsters!$P624</f>
        <v>1344</v>
      </c>
      <c r="BV624" s="9">
        <f>[1]monsters!$Q624</f>
        <v>134.4</v>
      </c>
      <c r="BW624" s="9">
        <f>[1]monsters!$R624</f>
        <v>39.82</v>
      </c>
      <c r="BX624" s="9">
        <f>[1]monsters!$S624</f>
        <v>3.98</v>
      </c>
      <c r="BY624" s="9">
        <f>[1]monsters!$K624</f>
        <v>1.6</v>
      </c>
      <c r="BZ624" s="7">
        <f>[1]monsters!$D624</f>
        <v>2</v>
      </c>
      <c r="CA624" s="7">
        <f t="shared" si="218"/>
        <v>0.1</v>
      </c>
      <c r="CB624" s="7">
        <f t="shared" si="219"/>
        <v>158.15167525252525</v>
      </c>
      <c r="CC624" s="7">
        <f t="shared" si="220"/>
        <v>15.815167525252527</v>
      </c>
      <c r="CD624" s="7"/>
      <c r="CE624" s="7"/>
      <c r="CF624" s="7"/>
      <c r="CG624" s="7"/>
      <c r="CH624" s="7"/>
      <c r="CI624" s="7"/>
      <c r="CJ624" s="7"/>
      <c r="CK624" s="7"/>
      <c r="CL624" s="7"/>
      <c r="CM624" s="7"/>
      <c r="CN624" s="7"/>
      <c r="CO624" s="7"/>
      <c r="CP624" s="7"/>
      <c r="CR624" s="25"/>
      <c r="CS624" s="25"/>
      <c r="CT624" s="25"/>
      <c r="CU624" s="25"/>
      <c r="CV624" s="25"/>
      <c r="CW624" s="25"/>
      <c r="DP624" s="25"/>
      <c r="DQ624" s="25"/>
      <c r="DR624" s="25"/>
      <c r="DS624" s="32"/>
      <c r="DT624" s="32"/>
      <c r="DU624" s="32"/>
      <c r="DV624" s="32"/>
      <c r="DW624" s="32"/>
      <c r="DX624" s="32"/>
      <c r="DY624" s="32"/>
      <c r="DZ624" s="32"/>
      <c r="EA624" s="32"/>
      <c r="EB624" s="43"/>
      <c r="EC624" s="16">
        <v>1101043</v>
      </c>
      <c r="ED624" s="16" t="s">
        <v>300</v>
      </c>
      <c r="EE624" s="16">
        <v>1</v>
      </c>
    </row>
    <row r="625" spans="15:135" ht="13.5" customHeight="1">
      <c r="O625" s="25"/>
      <c r="AI625" s="28"/>
      <c r="AJ625" s="28"/>
      <c r="AK625" s="28"/>
      <c r="AL625" s="28"/>
      <c r="AM625" s="28"/>
      <c r="AN625" s="28"/>
      <c r="BR625" s="7">
        <v>4206045</v>
      </c>
      <c r="BS625" s="9">
        <f>[1]monsters!$N625</f>
        <v>119.47</v>
      </c>
      <c r="BT625" s="9">
        <f>[1]monsters!$O625</f>
        <v>11.95</v>
      </c>
      <c r="BU625" s="9">
        <f>[1]monsters!$P625</f>
        <v>1344</v>
      </c>
      <c r="BV625" s="9">
        <f>[1]monsters!$Q625</f>
        <v>134.4</v>
      </c>
      <c r="BW625" s="9">
        <f>[1]monsters!$R625</f>
        <v>39.82</v>
      </c>
      <c r="BX625" s="9">
        <f>[1]monsters!$S625</f>
        <v>3.98</v>
      </c>
      <c r="BY625" s="9">
        <f>[1]monsters!$K625</f>
        <v>1.6</v>
      </c>
      <c r="BZ625" s="7">
        <f>[1]monsters!$D625</f>
        <v>2</v>
      </c>
      <c r="CA625" s="7">
        <f t="shared" si="218"/>
        <v>0.1</v>
      </c>
      <c r="CB625" s="7">
        <f t="shared" si="219"/>
        <v>158.15167525252525</v>
      </c>
      <c r="CC625" s="7">
        <f t="shared" si="220"/>
        <v>15.815167525252527</v>
      </c>
      <c r="CD625" s="7"/>
      <c r="CE625" s="7"/>
      <c r="CF625" s="7"/>
      <c r="CG625" s="7"/>
      <c r="CH625" s="7"/>
      <c r="CI625" s="7"/>
      <c r="CJ625" s="7"/>
      <c r="CK625" s="7"/>
      <c r="CL625" s="7"/>
      <c r="CM625" s="7"/>
      <c r="CN625" s="7"/>
      <c r="CO625" s="7"/>
      <c r="CP625" s="7"/>
      <c r="CR625" s="25"/>
      <c r="CS625" s="25"/>
      <c r="CT625" s="25"/>
      <c r="CU625" s="25"/>
      <c r="CV625" s="25"/>
      <c r="CW625" s="25"/>
      <c r="DP625" s="25"/>
      <c r="DQ625" s="25"/>
      <c r="DR625" s="25"/>
      <c r="DS625" s="25"/>
      <c r="DT625" s="25"/>
      <c r="DU625" s="25"/>
      <c r="DV625" s="32"/>
      <c r="DW625" s="32"/>
      <c r="DX625" s="32"/>
      <c r="DY625" s="32"/>
      <c r="DZ625" s="32"/>
      <c r="EA625" s="32"/>
      <c r="EB625" s="50"/>
      <c r="EC625" s="16">
        <v>1101044</v>
      </c>
      <c r="ED625" s="16" t="s">
        <v>301</v>
      </c>
      <c r="EE625" s="16">
        <v>1</v>
      </c>
    </row>
    <row r="626" spans="15:135" ht="13.5" customHeight="1">
      <c r="O626" s="25"/>
      <c r="AI626" s="28"/>
      <c r="AJ626" s="28"/>
      <c r="AK626" s="28"/>
      <c r="AL626" s="28"/>
      <c r="AM626" s="28"/>
      <c r="AN626" s="28"/>
      <c r="BR626" s="7">
        <v>4406045</v>
      </c>
      <c r="BS626" s="9">
        <f>[1]monsters!$N626</f>
        <v>119.47</v>
      </c>
      <c r="BT626" s="9">
        <f>[1]monsters!$O626</f>
        <v>11.95</v>
      </c>
      <c r="BU626" s="9">
        <f>[1]monsters!$P626</f>
        <v>1344</v>
      </c>
      <c r="BV626" s="9">
        <f>[1]monsters!$Q626</f>
        <v>134.4</v>
      </c>
      <c r="BW626" s="9">
        <f>[1]monsters!$R626</f>
        <v>39.82</v>
      </c>
      <c r="BX626" s="9">
        <f>[1]monsters!$S626</f>
        <v>3.98</v>
      </c>
      <c r="BY626" s="9">
        <f>[1]monsters!$K626</f>
        <v>1.6</v>
      </c>
      <c r="BZ626" s="7">
        <f>[1]monsters!$D626</f>
        <v>2</v>
      </c>
      <c r="CA626" s="7">
        <f t="shared" si="218"/>
        <v>0.1</v>
      </c>
      <c r="CB626" s="7">
        <f t="shared" si="219"/>
        <v>158.15167525252525</v>
      </c>
      <c r="CC626" s="7">
        <f t="shared" si="220"/>
        <v>15.815167525252527</v>
      </c>
      <c r="CD626" s="7"/>
      <c r="CE626" s="7"/>
      <c r="CF626" s="7"/>
      <c r="CG626" s="7"/>
      <c r="CH626" s="7"/>
      <c r="CI626" s="7"/>
      <c r="CJ626" s="7"/>
      <c r="CK626" s="7"/>
      <c r="CL626" s="7"/>
      <c r="CM626" s="7"/>
      <c r="CN626" s="7"/>
      <c r="CO626" s="7"/>
      <c r="CP626" s="7"/>
      <c r="CR626" s="25"/>
      <c r="CS626" s="25"/>
      <c r="CT626" s="25"/>
      <c r="CU626" s="25"/>
      <c r="CV626" s="25"/>
      <c r="CW626" s="25"/>
      <c r="DP626" s="25"/>
      <c r="DQ626" s="25"/>
      <c r="DR626" s="25"/>
      <c r="DS626" s="25"/>
      <c r="DT626" s="25"/>
      <c r="DU626" s="25"/>
      <c r="DV626" s="32"/>
      <c r="DW626" s="32"/>
      <c r="DX626" s="32"/>
      <c r="DY626" s="32"/>
      <c r="DZ626" s="32"/>
      <c r="EA626" s="32"/>
      <c r="EB626" s="50"/>
      <c r="EC626" s="16">
        <v>1101045</v>
      </c>
      <c r="ED626" s="16" t="s">
        <v>302</v>
      </c>
      <c r="EE626" s="16">
        <v>1</v>
      </c>
    </row>
    <row r="627" spans="15:135" ht="13.5" customHeight="1">
      <c r="O627" s="25"/>
      <c r="AI627" s="28"/>
      <c r="AJ627" s="28"/>
      <c r="AK627" s="28"/>
      <c r="AL627" s="28"/>
      <c r="AM627" s="28"/>
      <c r="AN627" s="28"/>
      <c r="BR627" s="7">
        <v>4205045</v>
      </c>
      <c r="BS627" s="9">
        <f>[1]monsters!$N627</f>
        <v>136.53</v>
      </c>
      <c r="BT627" s="9">
        <f>[1]monsters!$O627</f>
        <v>13.65</v>
      </c>
      <c r="BU627" s="9">
        <f>[1]monsters!$P627</f>
        <v>1536</v>
      </c>
      <c r="BV627" s="9">
        <f>[1]monsters!$Q627</f>
        <v>153.6</v>
      </c>
      <c r="BW627" s="9">
        <f>[1]monsters!$R627</f>
        <v>45.51</v>
      </c>
      <c r="BX627" s="9">
        <f>[1]monsters!$S627</f>
        <v>4.55</v>
      </c>
      <c r="BY627" s="9">
        <f>[1]monsters!$K627</f>
        <v>1.6</v>
      </c>
      <c r="BZ627" s="7">
        <f>[1]monsters!$D627</f>
        <v>2</v>
      </c>
      <c r="CA627" s="7">
        <f t="shared" si="218"/>
        <v>0.1</v>
      </c>
      <c r="CB627" s="7">
        <f t="shared" si="219"/>
        <v>180.73802171717173</v>
      </c>
      <c r="CC627" s="7">
        <f t="shared" si="220"/>
        <v>18.073802171717173</v>
      </c>
      <c r="CD627" s="7"/>
      <c r="CE627" s="7"/>
      <c r="CF627" s="7"/>
      <c r="CG627" s="7"/>
      <c r="CH627" s="7"/>
      <c r="CI627" s="7"/>
      <c r="CJ627" s="7"/>
      <c r="CK627" s="7"/>
      <c r="CL627" s="7"/>
      <c r="CM627" s="7"/>
      <c r="CN627" s="7"/>
      <c r="CO627" s="7"/>
      <c r="CP627" s="7"/>
      <c r="CR627" s="25"/>
      <c r="CS627" s="25"/>
      <c r="CT627" s="25"/>
      <c r="CU627" s="25"/>
      <c r="CV627" s="25"/>
      <c r="CW627" s="25"/>
      <c r="DP627" s="25"/>
      <c r="DQ627" s="25"/>
      <c r="DR627" s="25"/>
      <c r="DS627" s="25"/>
      <c r="DT627" s="25"/>
      <c r="DU627" s="25"/>
      <c r="DV627" s="32"/>
      <c r="DW627" s="32"/>
      <c r="DX627" s="32"/>
      <c r="DY627" s="32"/>
      <c r="DZ627" s="32"/>
      <c r="EA627" s="32"/>
      <c r="EB627" s="50"/>
      <c r="EC627" s="16">
        <v>1101051</v>
      </c>
      <c r="ED627" s="16" t="s">
        <v>298</v>
      </c>
      <c r="EE627" s="16">
        <v>1</v>
      </c>
    </row>
    <row r="628" spans="15:135" ht="13.5" customHeight="1">
      <c r="O628" s="25"/>
      <c r="AI628" s="28"/>
      <c r="AJ628" s="28"/>
      <c r="AK628" s="28"/>
      <c r="AL628" s="28"/>
      <c r="AM628" s="28"/>
      <c r="AN628" s="28"/>
      <c r="BR628" s="7">
        <v>4405045</v>
      </c>
      <c r="BS628" s="9">
        <f>[1]monsters!$N628</f>
        <v>136.53</v>
      </c>
      <c r="BT628" s="9">
        <f>[1]monsters!$O628</f>
        <v>13.65</v>
      </c>
      <c r="BU628" s="9">
        <f>[1]monsters!$P628</f>
        <v>1536</v>
      </c>
      <c r="BV628" s="9">
        <f>[1]monsters!$Q628</f>
        <v>153.6</v>
      </c>
      <c r="BW628" s="9">
        <f>[1]monsters!$R628</f>
        <v>45.51</v>
      </c>
      <c r="BX628" s="9">
        <f>[1]monsters!$S628</f>
        <v>4.55</v>
      </c>
      <c r="BY628" s="9">
        <f>[1]monsters!$K628</f>
        <v>1.6</v>
      </c>
      <c r="BZ628" s="7">
        <f>[1]monsters!$D628</f>
        <v>2</v>
      </c>
      <c r="CA628" s="7">
        <f t="shared" si="218"/>
        <v>0.1</v>
      </c>
      <c r="CB628" s="7">
        <f t="shared" si="219"/>
        <v>180.73802171717173</v>
      </c>
      <c r="CC628" s="7">
        <f t="shared" si="220"/>
        <v>18.073802171717173</v>
      </c>
      <c r="CD628" s="7"/>
      <c r="CE628" s="7"/>
      <c r="CF628" s="7"/>
      <c r="CG628" s="7"/>
      <c r="CH628" s="7"/>
      <c r="CI628" s="7"/>
      <c r="CJ628" s="7"/>
      <c r="CK628" s="7"/>
      <c r="CL628" s="7"/>
      <c r="CM628" s="7"/>
      <c r="CN628" s="7"/>
      <c r="CO628" s="7"/>
      <c r="CP628" s="7"/>
      <c r="CR628" s="25"/>
      <c r="CS628" s="25"/>
      <c r="CT628" s="25"/>
      <c r="CU628" s="25"/>
      <c r="CV628" s="25"/>
      <c r="CW628" s="25"/>
      <c r="DP628" s="32"/>
      <c r="DQ628" s="32"/>
      <c r="DR628" s="32"/>
      <c r="DS628" s="32"/>
      <c r="DT628" s="32"/>
      <c r="DU628" s="32"/>
      <c r="DV628" s="32"/>
      <c r="DW628" s="32"/>
      <c r="DX628" s="32"/>
      <c r="DY628" s="32"/>
      <c r="DZ628" s="32"/>
      <c r="EA628" s="32"/>
      <c r="EB628" s="22"/>
      <c r="EC628" s="16">
        <v>1101052</v>
      </c>
      <c r="ED628" s="16" t="s">
        <v>299</v>
      </c>
      <c r="EE628" s="16">
        <v>1</v>
      </c>
    </row>
    <row r="629" spans="15:135" ht="13.5" customHeight="1">
      <c r="O629" s="25"/>
      <c r="AI629" s="28"/>
      <c r="AJ629" s="28"/>
      <c r="AK629" s="28"/>
      <c r="AL629" s="28"/>
      <c r="AM629" s="28"/>
      <c r="AN629" s="28"/>
      <c r="BR629" s="7">
        <v>4203045</v>
      </c>
      <c r="BS629" s="9">
        <f>[1]monsters!$N629</f>
        <v>136.53</v>
      </c>
      <c r="BT629" s="9">
        <f>[1]monsters!$O629</f>
        <v>13.65</v>
      </c>
      <c r="BU629" s="9">
        <f>[1]monsters!$P629</f>
        <v>1536</v>
      </c>
      <c r="BV629" s="9">
        <f>[1]monsters!$Q629</f>
        <v>153.6</v>
      </c>
      <c r="BW629" s="9">
        <f>[1]monsters!$R629</f>
        <v>45.51</v>
      </c>
      <c r="BX629" s="9">
        <f>[1]monsters!$S629</f>
        <v>4.55</v>
      </c>
      <c r="BY629" s="9">
        <f>[1]monsters!$K629</f>
        <v>1.6</v>
      </c>
      <c r="BZ629" s="7">
        <f>[1]monsters!$D629</f>
        <v>2</v>
      </c>
      <c r="CA629" s="7">
        <f t="shared" si="218"/>
        <v>0.1</v>
      </c>
      <c r="CB629" s="7">
        <f t="shared" si="219"/>
        <v>180.73802171717173</v>
      </c>
      <c r="CC629" s="7">
        <f t="shared" si="220"/>
        <v>18.073802171717173</v>
      </c>
      <c r="CD629" s="7"/>
      <c r="CE629" s="7"/>
      <c r="CF629" s="7"/>
      <c r="CG629" s="7"/>
      <c r="CH629" s="7"/>
      <c r="CI629" s="7"/>
      <c r="CJ629" s="7"/>
      <c r="CK629" s="7"/>
      <c r="CL629" s="7"/>
      <c r="CM629" s="7"/>
      <c r="CN629" s="7"/>
      <c r="CO629" s="7"/>
      <c r="CP629" s="7"/>
      <c r="CR629" s="25"/>
      <c r="CS629" s="25"/>
      <c r="CT629" s="25"/>
      <c r="CU629" s="25"/>
      <c r="CV629" s="25"/>
      <c r="CW629" s="25"/>
      <c r="DP629" s="36"/>
      <c r="DQ629" s="36"/>
      <c r="DR629" s="36"/>
      <c r="DS629" s="36"/>
      <c r="DT629" s="36"/>
      <c r="DU629" s="36"/>
      <c r="DV629" s="32"/>
      <c r="DW629" s="32"/>
      <c r="DX629" s="32"/>
      <c r="DY629" s="32"/>
      <c r="DZ629" s="32"/>
      <c r="EA629" s="32"/>
      <c r="EB629" s="50"/>
      <c r="EC629" s="16">
        <v>1101053</v>
      </c>
      <c r="ED629" s="16" t="s">
        <v>300</v>
      </c>
      <c r="EE629" s="16">
        <v>1</v>
      </c>
    </row>
    <row r="630" spans="15:135" ht="13.5" customHeight="1">
      <c r="O630" s="25"/>
      <c r="AI630" s="28"/>
      <c r="AJ630" s="28"/>
      <c r="AK630" s="28"/>
      <c r="AL630" s="28"/>
      <c r="AM630" s="28"/>
      <c r="AN630" s="28"/>
      <c r="BR630" s="7">
        <v>4403045</v>
      </c>
      <c r="BS630" s="9">
        <f>[1]monsters!$N630</f>
        <v>136.53</v>
      </c>
      <c r="BT630" s="9">
        <f>[1]monsters!$O630</f>
        <v>13.65</v>
      </c>
      <c r="BU630" s="9">
        <f>[1]monsters!$P630</f>
        <v>1536</v>
      </c>
      <c r="BV630" s="9">
        <f>[1]monsters!$Q630</f>
        <v>153.6</v>
      </c>
      <c r="BW630" s="9">
        <f>[1]monsters!$R630</f>
        <v>45.51</v>
      </c>
      <c r="BX630" s="9">
        <f>[1]monsters!$S630</f>
        <v>4.55</v>
      </c>
      <c r="BY630" s="9">
        <f>[1]monsters!$K630</f>
        <v>1.6</v>
      </c>
      <c r="BZ630" s="7">
        <f>[1]monsters!$D630</f>
        <v>2</v>
      </c>
      <c r="CA630" s="7">
        <f t="shared" si="218"/>
        <v>0.1</v>
      </c>
      <c r="CB630" s="7">
        <f t="shared" si="219"/>
        <v>180.73802171717173</v>
      </c>
      <c r="CC630" s="7">
        <f t="shared" si="220"/>
        <v>18.073802171717173</v>
      </c>
      <c r="CD630" s="7"/>
      <c r="CE630" s="7"/>
      <c r="CF630" s="7"/>
      <c r="CG630" s="7"/>
      <c r="CH630" s="7"/>
      <c r="CI630" s="7"/>
      <c r="CJ630" s="7"/>
      <c r="CK630" s="7"/>
      <c r="CL630" s="7"/>
      <c r="CM630" s="7"/>
      <c r="CN630" s="7"/>
      <c r="CO630" s="7"/>
      <c r="CP630" s="7"/>
      <c r="CR630" s="25"/>
      <c r="CS630" s="25"/>
      <c r="CT630" s="25"/>
      <c r="CU630" s="25"/>
      <c r="CV630" s="25"/>
      <c r="CW630" s="25"/>
      <c r="DP630" s="32"/>
      <c r="DQ630" s="32"/>
      <c r="DR630" s="36"/>
      <c r="DS630" s="36"/>
      <c r="DT630" s="36"/>
      <c r="DU630" s="36"/>
      <c r="DV630" s="32"/>
      <c r="DW630" s="32"/>
      <c r="DX630" s="32"/>
      <c r="DY630" s="32"/>
      <c r="DZ630" s="32"/>
      <c r="EA630" s="32"/>
      <c r="EB630" s="50"/>
      <c r="EC630" s="16">
        <v>1101054</v>
      </c>
      <c r="ED630" s="16" t="s">
        <v>301</v>
      </c>
      <c r="EE630" s="16">
        <v>1</v>
      </c>
    </row>
    <row r="631" spans="15:135" ht="13.5" customHeight="1">
      <c r="O631" s="25"/>
      <c r="AI631" s="28"/>
      <c r="AJ631" s="28"/>
      <c r="AK631" s="28"/>
      <c r="AL631" s="28"/>
      <c r="AM631" s="28"/>
      <c r="AN631" s="28"/>
      <c r="BR631" s="7">
        <v>4204045</v>
      </c>
      <c r="BS631" s="9">
        <f>[1]monsters!$N631</f>
        <v>136.53</v>
      </c>
      <c r="BT631" s="9">
        <f>[1]monsters!$O631</f>
        <v>13.65</v>
      </c>
      <c r="BU631" s="9">
        <f>[1]monsters!$P631</f>
        <v>1536</v>
      </c>
      <c r="BV631" s="9">
        <f>[1]monsters!$Q631</f>
        <v>153.6</v>
      </c>
      <c r="BW631" s="9">
        <f>[1]monsters!$R631</f>
        <v>45.51</v>
      </c>
      <c r="BX631" s="9">
        <f>[1]monsters!$S631</f>
        <v>4.55</v>
      </c>
      <c r="BY631" s="9">
        <f>[1]monsters!$K631</f>
        <v>1.6</v>
      </c>
      <c r="BZ631" s="7">
        <f>[1]monsters!$D631</f>
        <v>2</v>
      </c>
      <c r="CA631" s="7">
        <f t="shared" si="218"/>
        <v>0.1</v>
      </c>
      <c r="CB631" s="7">
        <f t="shared" si="219"/>
        <v>180.73802171717173</v>
      </c>
      <c r="CC631" s="7">
        <f t="shared" si="220"/>
        <v>18.073802171717173</v>
      </c>
      <c r="CD631" s="7"/>
      <c r="CE631" s="7"/>
      <c r="CF631" s="7"/>
      <c r="CG631" s="7"/>
      <c r="CH631" s="7"/>
      <c r="CI631" s="7"/>
      <c r="CJ631" s="7"/>
      <c r="CK631" s="7"/>
      <c r="CL631" s="7"/>
      <c r="CM631" s="7"/>
      <c r="CN631" s="7"/>
      <c r="CO631" s="7"/>
      <c r="CP631" s="7"/>
      <c r="CR631" s="25"/>
      <c r="CS631" s="25"/>
      <c r="CT631" s="25"/>
      <c r="CU631" s="25"/>
      <c r="CV631" s="25"/>
      <c r="CW631" s="25"/>
      <c r="DP631" s="32"/>
      <c r="DQ631" s="32"/>
      <c r="DR631" s="32"/>
      <c r="DS631" s="36"/>
      <c r="DT631" s="36"/>
      <c r="DU631" s="36"/>
      <c r="DV631" s="32"/>
      <c r="DW631" s="32"/>
      <c r="DX631" s="32"/>
      <c r="DY631" s="32"/>
      <c r="DZ631" s="32"/>
      <c r="EA631" s="32"/>
      <c r="EB631" s="50"/>
      <c r="EC631" s="16">
        <v>1101055</v>
      </c>
      <c r="ED631" s="16" t="s">
        <v>302</v>
      </c>
      <c r="EE631" s="16">
        <v>1</v>
      </c>
    </row>
    <row r="632" spans="15:135" ht="13.5" customHeight="1">
      <c r="O632" s="25"/>
      <c r="AI632" s="28"/>
      <c r="AJ632" s="28"/>
      <c r="AK632" s="28"/>
      <c r="AL632" s="28"/>
      <c r="AM632" s="28"/>
      <c r="AN632" s="28"/>
      <c r="BR632" s="7">
        <v>4404045</v>
      </c>
      <c r="BS632" s="9">
        <f>[1]monsters!$N632</f>
        <v>153.6</v>
      </c>
      <c r="BT632" s="9">
        <f>[1]monsters!$O632</f>
        <v>15.36</v>
      </c>
      <c r="BU632" s="9">
        <f>[1]monsters!$P632</f>
        <v>1728</v>
      </c>
      <c r="BV632" s="9">
        <f>[1]monsters!$Q632</f>
        <v>172.8</v>
      </c>
      <c r="BW632" s="9">
        <f>[1]monsters!$R632</f>
        <v>51.2</v>
      </c>
      <c r="BX632" s="9">
        <f>[1]monsters!$S632</f>
        <v>5.12</v>
      </c>
      <c r="BY632" s="9">
        <f>[1]monsters!$K632</f>
        <v>1.6</v>
      </c>
      <c r="BZ632" s="7">
        <f>[1]monsters!$D632</f>
        <v>2</v>
      </c>
      <c r="CA632" s="7">
        <f t="shared" si="218"/>
        <v>0.1</v>
      </c>
      <c r="CB632" s="7">
        <f t="shared" si="219"/>
        <v>203.3338181818182</v>
      </c>
      <c r="CC632" s="7">
        <f t="shared" si="220"/>
        <v>20.33338181818182</v>
      </c>
      <c r="CD632" s="7"/>
      <c r="CE632" s="7"/>
      <c r="CF632" s="7"/>
      <c r="CG632" s="7"/>
      <c r="CH632" s="7"/>
      <c r="CI632" s="7"/>
      <c r="CJ632" s="7"/>
      <c r="CK632" s="7"/>
      <c r="CL632" s="7"/>
      <c r="CM632" s="7"/>
      <c r="CN632" s="7"/>
      <c r="CO632" s="7"/>
      <c r="CP632" s="7"/>
      <c r="CR632" s="25"/>
      <c r="CS632" s="25"/>
      <c r="CT632" s="25"/>
      <c r="CU632" s="25"/>
      <c r="CV632" s="25"/>
      <c r="CW632" s="25"/>
      <c r="DP632" s="32"/>
      <c r="DQ632" s="32"/>
      <c r="DR632" s="36"/>
      <c r="DS632" s="14"/>
      <c r="DT632" s="36"/>
      <c r="DU632" s="36"/>
      <c r="DV632" s="32"/>
      <c r="DW632" s="32"/>
      <c r="DX632" s="32"/>
      <c r="DY632" s="32"/>
      <c r="DZ632" s="32"/>
      <c r="EA632" s="32"/>
      <c r="EB632" s="22"/>
      <c r="EC632" s="16">
        <v>1101061</v>
      </c>
      <c r="ED632" s="16" t="s">
        <v>298</v>
      </c>
      <c r="EE632" s="16">
        <v>1</v>
      </c>
    </row>
    <row r="633" spans="15:135" ht="13.5" customHeight="1">
      <c r="O633" s="25"/>
      <c r="AI633" s="28"/>
      <c r="AJ633" s="28"/>
      <c r="AK633" s="28"/>
      <c r="AL633" s="28"/>
      <c r="AM633" s="28"/>
      <c r="AN633" s="28"/>
      <c r="BR633" s="7">
        <v>4303045</v>
      </c>
      <c r="BS633" s="9">
        <f>[1]monsters!$N633</f>
        <v>153.6</v>
      </c>
      <c r="BT633" s="9">
        <f>[1]monsters!$O633</f>
        <v>15.36</v>
      </c>
      <c r="BU633" s="9">
        <f>[1]monsters!$P633</f>
        <v>1728</v>
      </c>
      <c r="BV633" s="9">
        <f>[1]monsters!$Q633</f>
        <v>172.8</v>
      </c>
      <c r="BW633" s="9">
        <f>[1]monsters!$R633</f>
        <v>51.2</v>
      </c>
      <c r="BX633" s="9">
        <f>[1]monsters!$S633</f>
        <v>5.12</v>
      </c>
      <c r="BY633" s="9">
        <f>[1]monsters!$K633</f>
        <v>1.6</v>
      </c>
      <c r="BZ633" s="7">
        <f>[1]monsters!$D633</f>
        <v>2</v>
      </c>
      <c r="CA633" s="7">
        <f t="shared" si="218"/>
        <v>0.1</v>
      </c>
      <c r="CB633" s="7">
        <f t="shared" si="219"/>
        <v>203.3338181818182</v>
      </c>
      <c r="CC633" s="7">
        <f t="shared" si="220"/>
        <v>20.33338181818182</v>
      </c>
      <c r="CD633" s="7"/>
      <c r="CE633" s="7"/>
      <c r="CF633" s="7"/>
      <c r="CG633" s="7"/>
      <c r="CH633" s="7"/>
      <c r="CI633" s="7"/>
      <c r="CJ633" s="7"/>
      <c r="CK633" s="7"/>
      <c r="CL633" s="7"/>
      <c r="CM633" s="7"/>
      <c r="CN633" s="7"/>
      <c r="CO633" s="7"/>
      <c r="CP633" s="7"/>
      <c r="CR633" s="25"/>
      <c r="CS633" s="25"/>
      <c r="CT633" s="25"/>
      <c r="CU633" s="25"/>
      <c r="CV633" s="25"/>
      <c r="CW633" s="25"/>
      <c r="DP633" s="32"/>
      <c r="DQ633" s="32"/>
      <c r="DR633" s="32"/>
      <c r="DS633" s="36"/>
      <c r="DT633" s="36"/>
      <c r="DU633" s="36"/>
      <c r="DV633" s="32"/>
      <c r="DW633" s="32"/>
      <c r="DX633" s="32"/>
      <c r="DY633" s="32"/>
      <c r="DZ633" s="32"/>
      <c r="EA633" s="32"/>
      <c r="EB633" s="50"/>
      <c r="EC633" s="16">
        <v>1101062</v>
      </c>
      <c r="ED633" s="16" t="s">
        <v>299</v>
      </c>
      <c r="EE633" s="16">
        <v>1</v>
      </c>
    </row>
    <row r="634" spans="15:135" ht="13.5" customHeight="1">
      <c r="O634" s="25"/>
      <c r="AI634" s="28"/>
      <c r="AJ634" s="28"/>
      <c r="AK634" s="28"/>
      <c r="AL634" s="28"/>
      <c r="AM634" s="28"/>
      <c r="AN634" s="28"/>
      <c r="BR634" s="7">
        <v>4304045</v>
      </c>
      <c r="BS634" s="9">
        <f>[1]monsters!$N634</f>
        <v>153.6</v>
      </c>
      <c r="BT634" s="9">
        <f>[1]monsters!$O634</f>
        <v>15.36</v>
      </c>
      <c r="BU634" s="9">
        <f>[1]monsters!$P634</f>
        <v>1728</v>
      </c>
      <c r="BV634" s="9">
        <f>[1]monsters!$Q634</f>
        <v>172.8</v>
      </c>
      <c r="BW634" s="9">
        <f>[1]monsters!$R634</f>
        <v>51.2</v>
      </c>
      <c r="BX634" s="9">
        <f>[1]monsters!$S634</f>
        <v>5.12</v>
      </c>
      <c r="BY634" s="9">
        <f>[1]monsters!$K634</f>
        <v>1.6</v>
      </c>
      <c r="BZ634" s="7">
        <f>[1]monsters!$D634</f>
        <v>2</v>
      </c>
      <c r="CA634" s="7">
        <f t="shared" si="218"/>
        <v>0.1</v>
      </c>
      <c r="CB634" s="7">
        <f t="shared" si="219"/>
        <v>203.3338181818182</v>
      </c>
      <c r="CC634" s="7">
        <f t="shared" si="220"/>
        <v>20.33338181818182</v>
      </c>
      <c r="CD634" s="7"/>
      <c r="CE634" s="7"/>
      <c r="CF634" s="7"/>
      <c r="CG634" s="7"/>
      <c r="CH634" s="7"/>
      <c r="CI634" s="7"/>
      <c r="CJ634" s="7"/>
      <c r="CK634" s="7"/>
      <c r="CL634" s="7"/>
      <c r="CM634" s="7"/>
      <c r="CN634" s="7"/>
      <c r="CO634" s="7"/>
      <c r="CP634" s="7"/>
      <c r="CR634" s="25"/>
      <c r="CS634" s="25"/>
      <c r="CT634" s="25"/>
      <c r="CU634" s="25"/>
      <c r="CV634" s="25"/>
      <c r="CW634" s="25"/>
      <c r="DP634" s="32"/>
      <c r="DQ634" s="32"/>
      <c r="DR634" s="32"/>
      <c r="DS634" s="32"/>
      <c r="DT634" s="32"/>
      <c r="DU634" s="32"/>
      <c r="DV634" s="32"/>
      <c r="DW634" s="32"/>
      <c r="DX634" s="32"/>
      <c r="DY634" s="32"/>
      <c r="DZ634" s="32"/>
      <c r="EA634" s="32"/>
      <c r="EB634" s="50"/>
      <c r="EC634" s="16">
        <v>1101063</v>
      </c>
      <c r="ED634" s="16" t="s">
        <v>300</v>
      </c>
      <c r="EE634" s="16">
        <v>1</v>
      </c>
    </row>
    <row r="635" spans="15:135" ht="13.5" customHeight="1">
      <c r="O635" s="25"/>
      <c r="AI635" s="28"/>
      <c r="AJ635" s="28"/>
      <c r="AK635" s="28"/>
      <c r="AL635" s="28"/>
      <c r="AM635" s="28"/>
      <c r="AN635" s="28"/>
      <c r="BR635" s="7">
        <v>4503045</v>
      </c>
      <c r="BS635" s="9">
        <f>[1]monsters!$N635</f>
        <v>153.6</v>
      </c>
      <c r="BT635" s="9">
        <f>[1]monsters!$O635</f>
        <v>15.36</v>
      </c>
      <c r="BU635" s="9">
        <f>[1]monsters!$P635</f>
        <v>1728</v>
      </c>
      <c r="BV635" s="9">
        <f>[1]monsters!$Q635</f>
        <v>172.8</v>
      </c>
      <c r="BW635" s="9">
        <f>[1]monsters!$R635</f>
        <v>51.2</v>
      </c>
      <c r="BX635" s="9">
        <f>[1]monsters!$S635</f>
        <v>5.12</v>
      </c>
      <c r="BY635" s="9">
        <f>[1]monsters!$K635</f>
        <v>1.6</v>
      </c>
      <c r="BZ635" s="7">
        <f>[1]monsters!$D635</f>
        <v>2</v>
      </c>
      <c r="CA635" s="7">
        <f t="shared" si="218"/>
        <v>0.1</v>
      </c>
      <c r="CB635" s="7">
        <f t="shared" si="219"/>
        <v>203.3338181818182</v>
      </c>
      <c r="CC635" s="7">
        <f t="shared" si="220"/>
        <v>20.33338181818182</v>
      </c>
      <c r="CD635" s="7"/>
      <c r="CE635" s="7"/>
      <c r="CF635" s="7"/>
      <c r="CG635" s="7"/>
      <c r="CH635" s="7"/>
      <c r="CI635" s="7"/>
      <c r="CJ635" s="7"/>
      <c r="CK635" s="7"/>
      <c r="CL635" s="7"/>
      <c r="CM635" s="7"/>
      <c r="CN635" s="7"/>
      <c r="CO635" s="7"/>
      <c r="CP635" s="7"/>
      <c r="CR635" s="25"/>
      <c r="CS635" s="25"/>
      <c r="CT635" s="25"/>
      <c r="CU635" s="25"/>
      <c r="CV635" s="25"/>
      <c r="CW635" s="25"/>
      <c r="DP635" s="36"/>
      <c r="DQ635" s="36"/>
      <c r="DR635" s="36"/>
      <c r="DS635" s="36"/>
      <c r="DT635" s="36"/>
      <c r="DU635" s="36"/>
      <c r="DV635" s="32"/>
      <c r="DW635" s="32"/>
      <c r="DX635" s="32"/>
      <c r="DY635" s="32"/>
      <c r="DZ635" s="32"/>
      <c r="EA635" s="32"/>
      <c r="EB635" s="22"/>
      <c r="EC635" s="16">
        <v>1101064</v>
      </c>
      <c r="ED635" s="16" t="s">
        <v>301</v>
      </c>
      <c r="EE635" s="16">
        <v>1</v>
      </c>
    </row>
    <row r="636" spans="15:135" ht="13.5" customHeight="1">
      <c r="O636" s="25"/>
      <c r="AI636" s="28"/>
      <c r="AJ636" s="28"/>
      <c r="AK636" s="28"/>
      <c r="AL636" s="28"/>
      <c r="AM636" s="28"/>
      <c r="AN636" s="28"/>
      <c r="BR636" s="7">
        <v>4504045</v>
      </c>
      <c r="BS636" s="9">
        <f>[1]monsters!$N636</f>
        <v>153.6</v>
      </c>
      <c r="BT636" s="9">
        <f>[1]monsters!$O636</f>
        <v>15.36</v>
      </c>
      <c r="BU636" s="9">
        <f>[1]monsters!$P636</f>
        <v>1728</v>
      </c>
      <c r="BV636" s="9">
        <f>[1]monsters!$Q636</f>
        <v>172.8</v>
      </c>
      <c r="BW636" s="9">
        <f>[1]monsters!$R636</f>
        <v>51.2</v>
      </c>
      <c r="BX636" s="9">
        <f>[1]monsters!$S636</f>
        <v>5.12</v>
      </c>
      <c r="BY636" s="9">
        <f>[1]monsters!$K636</f>
        <v>1.6</v>
      </c>
      <c r="BZ636" s="7">
        <f>[1]monsters!$D636</f>
        <v>2</v>
      </c>
      <c r="CA636" s="7">
        <f t="shared" si="218"/>
        <v>0.1</v>
      </c>
      <c r="CB636" s="7">
        <f t="shared" si="219"/>
        <v>203.3338181818182</v>
      </c>
      <c r="CC636" s="7">
        <f t="shared" si="220"/>
        <v>20.33338181818182</v>
      </c>
      <c r="CD636" s="7"/>
      <c r="CE636" s="7"/>
      <c r="CF636" s="7"/>
      <c r="CG636" s="7"/>
      <c r="CH636" s="7"/>
      <c r="CI636" s="7"/>
      <c r="CJ636" s="7"/>
      <c r="CK636" s="7"/>
      <c r="CL636" s="7"/>
      <c r="CM636" s="7"/>
      <c r="CN636" s="7"/>
      <c r="CO636" s="7"/>
      <c r="CP636" s="7"/>
      <c r="CR636" s="25"/>
      <c r="CS636" s="25"/>
      <c r="CT636" s="25"/>
      <c r="CU636" s="25"/>
      <c r="CV636" s="25"/>
      <c r="CW636" s="25"/>
      <c r="DP636" s="32"/>
      <c r="DQ636" s="13"/>
      <c r="DR636" s="32"/>
      <c r="DS636" s="32"/>
      <c r="DT636" s="32"/>
      <c r="DU636" s="32"/>
      <c r="DV636" s="32"/>
      <c r="DW636" s="32"/>
      <c r="DX636" s="32"/>
      <c r="DY636" s="32"/>
      <c r="DZ636" s="32"/>
      <c r="EA636" s="32"/>
      <c r="EB636" s="50"/>
      <c r="EC636" s="16">
        <v>1101065</v>
      </c>
      <c r="ED636" s="16" t="s">
        <v>302</v>
      </c>
      <c r="EE636" s="16">
        <v>1</v>
      </c>
    </row>
    <row r="637" spans="15:135" ht="13.5" customHeight="1">
      <c r="O637" s="25"/>
      <c r="AI637" s="28"/>
      <c r="AJ637" s="28"/>
      <c r="AK637" s="28"/>
      <c r="AL637" s="28"/>
      <c r="AM637" s="28"/>
      <c r="AN637" s="28"/>
      <c r="BR637" s="7">
        <v>4101045</v>
      </c>
      <c r="BS637" s="9">
        <f>[1]monsters!$N637</f>
        <v>170.67</v>
      </c>
      <c r="BT637" s="9">
        <f>[1]monsters!$O637</f>
        <v>17.07</v>
      </c>
      <c r="BU637" s="9">
        <f>[1]monsters!$P637</f>
        <v>1920</v>
      </c>
      <c r="BV637" s="9">
        <f>[1]monsters!$Q637</f>
        <v>192</v>
      </c>
      <c r="BW637" s="9">
        <f>[1]monsters!$R637</f>
        <v>56.89</v>
      </c>
      <c r="BX637" s="9">
        <f>[1]monsters!$S637</f>
        <v>5.69</v>
      </c>
      <c r="BY637" s="9">
        <f>[1]monsters!$K637</f>
        <v>1.6</v>
      </c>
      <c r="BZ637" s="7">
        <f>[1]monsters!$D637</f>
        <v>2</v>
      </c>
      <c r="CA637" s="7">
        <f t="shared" si="218"/>
        <v>0.1</v>
      </c>
      <c r="CB637" s="7">
        <f t="shared" si="219"/>
        <v>225.92961464646464</v>
      </c>
      <c r="CC637" s="7">
        <f t="shared" si="220"/>
        <v>22.592961464646464</v>
      </c>
      <c r="CD637" s="7"/>
      <c r="CE637" s="7"/>
      <c r="CF637" s="7"/>
      <c r="CG637" s="7"/>
      <c r="CH637" s="7"/>
      <c r="CI637" s="7"/>
      <c r="CJ637" s="7"/>
      <c r="CK637" s="7"/>
      <c r="CL637" s="7"/>
      <c r="CM637" s="7"/>
      <c r="CN637" s="7"/>
      <c r="CO637" s="7"/>
      <c r="CP637" s="7"/>
      <c r="CR637" s="25"/>
      <c r="CS637" s="25"/>
      <c r="CT637" s="25"/>
      <c r="CU637" s="25"/>
      <c r="CV637" s="25"/>
      <c r="CW637" s="25"/>
      <c r="DP637" s="13"/>
      <c r="DQ637" s="32"/>
      <c r="DR637" s="32"/>
      <c r="DS637" s="32"/>
      <c r="DT637" s="32"/>
      <c r="DU637" s="32"/>
      <c r="DV637" s="32"/>
      <c r="DW637" s="32"/>
      <c r="DX637" s="32"/>
      <c r="DY637" s="32"/>
      <c r="DZ637" s="32"/>
      <c r="EA637" s="32"/>
      <c r="EB637" s="50"/>
      <c r="EC637" s="16">
        <v>1101071</v>
      </c>
      <c r="ED637" s="16" t="s">
        <v>298</v>
      </c>
      <c r="EE637" s="16">
        <v>1</v>
      </c>
    </row>
    <row r="638" spans="15:135" ht="13.5" customHeight="1">
      <c r="O638" s="25"/>
      <c r="AI638" s="28"/>
      <c r="AJ638" s="28"/>
      <c r="AK638" s="28"/>
      <c r="AL638" s="28"/>
      <c r="AM638" s="28"/>
      <c r="AN638" s="28"/>
      <c r="BR638" s="7">
        <v>4102045</v>
      </c>
      <c r="BS638" s="9">
        <f>[1]monsters!$N638</f>
        <v>170.67</v>
      </c>
      <c r="BT638" s="9">
        <f>[1]monsters!$O638</f>
        <v>17.07</v>
      </c>
      <c r="BU638" s="9">
        <f>[1]monsters!$P638</f>
        <v>1920</v>
      </c>
      <c r="BV638" s="9">
        <f>[1]monsters!$Q638</f>
        <v>192</v>
      </c>
      <c r="BW638" s="9">
        <f>[1]monsters!$R638</f>
        <v>56.89</v>
      </c>
      <c r="BX638" s="9">
        <f>[1]monsters!$S638</f>
        <v>5.69</v>
      </c>
      <c r="BY638" s="9">
        <f>[1]monsters!$K638</f>
        <v>1.6</v>
      </c>
      <c r="BZ638" s="7">
        <f>[1]monsters!$D638</f>
        <v>2</v>
      </c>
      <c r="CA638" s="7">
        <f t="shared" si="218"/>
        <v>0.1</v>
      </c>
      <c r="CB638" s="7">
        <f t="shared" si="219"/>
        <v>225.92961464646464</v>
      </c>
      <c r="CC638" s="7">
        <f t="shared" si="220"/>
        <v>22.592961464646464</v>
      </c>
      <c r="CD638" s="7"/>
      <c r="CE638" s="7"/>
      <c r="CF638" s="7"/>
      <c r="CG638" s="7"/>
      <c r="CH638" s="7"/>
      <c r="CI638" s="7"/>
      <c r="CJ638" s="7"/>
      <c r="CK638" s="7"/>
      <c r="CL638" s="7"/>
      <c r="CM638" s="7"/>
      <c r="CN638" s="7"/>
      <c r="CO638" s="7"/>
      <c r="CP638" s="7"/>
      <c r="CR638" s="25"/>
      <c r="CS638" s="25"/>
      <c r="CT638" s="25"/>
      <c r="CU638" s="25"/>
      <c r="CV638" s="25"/>
      <c r="CW638" s="25"/>
      <c r="DP638" s="36"/>
      <c r="DQ638" s="36"/>
      <c r="DR638" s="36"/>
      <c r="DS638" s="36"/>
      <c r="DT638" s="36"/>
      <c r="DU638" s="36"/>
      <c r="DV638" s="32"/>
      <c r="DW638" s="32"/>
      <c r="DX638" s="32"/>
      <c r="DY638" s="32"/>
      <c r="DZ638" s="32"/>
      <c r="EA638" s="32"/>
      <c r="EB638" s="50"/>
      <c r="EC638" s="16">
        <v>1101072</v>
      </c>
      <c r="ED638" s="16" t="s">
        <v>299</v>
      </c>
      <c r="EE638" s="16">
        <v>1</v>
      </c>
    </row>
    <row r="639" spans="15:135" ht="13.5" customHeight="1">
      <c r="O639" s="25"/>
      <c r="AI639" s="28"/>
      <c r="AJ639" s="28"/>
      <c r="AK639" s="28"/>
      <c r="AL639" s="28"/>
      <c r="AM639" s="28"/>
      <c r="AN639" s="28"/>
      <c r="BR639" s="7">
        <v>5206051</v>
      </c>
      <c r="BS639" s="9">
        <f>[1]monsters!$N639</f>
        <v>170.67</v>
      </c>
      <c r="BT639" s="9">
        <f>[1]monsters!$O639</f>
        <v>17.07</v>
      </c>
      <c r="BU639" s="9">
        <f>[1]monsters!$P639</f>
        <v>1920</v>
      </c>
      <c r="BV639" s="9">
        <f>[1]monsters!$Q639</f>
        <v>192</v>
      </c>
      <c r="BW639" s="9">
        <f>[1]monsters!$R639</f>
        <v>56.89</v>
      </c>
      <c r="BX639" s="9">
        <f>[1]monsters!$S639</f>
        <v>5.69</v>
      </c>
      <c r="BY639" s="9">
        <f>[1]monsters!$K639</f>
        <v>1.6</v>
      </c>
      <c r="BZ639" s="7">
        <f>[1]monsters!$D639</f>
        <v>2</v>
      </c>
      <c r="CA639" s="7">
        <f t="shared" si="218"/>
        <v>0.1</v>
      </c>
      <c r="CB639" s="7">
        <f t="shared" si="219"/>
        <v>225.92961464646464</v>
      </c>
      <c r="CC639" s="7">
        <f t="shared" si="220"/>
        <v>22.592961464646464</v>
      </c>
      <c r="CD639" s="7"/>
      <c r="CE639" s="7"/>
      <c r="CF639" s="7"/>
      <c r="CG639" s="7"/>
      <c r="CH639" s="7"/>
      <c r="CI639" s="7"/>
      <c r="CJ639" s="7"/>
      <c r="CK639" s="7"/>
      <c r="CL639" s="7"/>
      <c r="CM639" s="7"/>
      <c r="CN639" s="7"/>
      <c r="CO639" s="7"/>
      <c r="CP639" s="7"/>
      <c r="CR639" s="25"/>
      <c r="CS639" s="25"/>
      <c r="CT639" s="25"/>
      <c r="CU639" s="25"/>
      <c r="CV639" s="25"/>
      <c r="CW639" s="25"/>
      <c r="DP639" s="32"/>
      <c r="DQ639" s="32"/>
      <c r="DR639" s="36"/>
      <c r="DS639" s="36"/>
      <c r="DT639" s="32"/>
      <c r="DU639" s="32"/>
      <c r="DV639" s="32"/>
      <c r="DW639" s="32"/>
      <c r="DX639" s="32"/>
      <c r="DY639" s="32"/>
      <c r="DZ639" s="32"/>
      <c r="EA639" s="32"/>
      <c r="EB639" s="47"/>
      <c r="EC639" s="16">
        <v>1101073</v>
      </c>
      <c r="ED639" s="16" t="s">
        <v>300</v>
      </c>
      <c r="EE639" s="16">
        <v>1</v>
      </c>
    </row>
    <row r="640" spans="15:135" ht="13.5" customHeight="1">
      <c r="O640" s="25"/>
      <c r="AI640" s="28"/>
      <c r="AJ640" s="28"/>
      <c r="AK640" s="28"/>
      <c r="AL640" s="28"/>
      <c r="AM640" s="28"/>
      <c r="AN640" s="28"/>
      <c r="BR640" s="7">
        <v>5406051</v>
      </c>
      <c r="BS640" s="9">
        <f>[1]monsters!$N640</f>
        <v>170.67</v>
      </c>
      <c r="BT640" s="9">
        <f>[1]monsters!$O640</f>
        <v>17.07</v>
      </c>
      <c r="BU640" s="9">
        <f>[1]monsters!$P640</f>
        <v>1920</v>
      </c>
      <c r="BV640" s="9">
        <f>[1]monsters!$Q640</f>
        <v>192</v>
      </c>
      <c r="BW640" s="9">
        <f>[1]monsters!$R640</f>
        <v>56.89</v>
      </c>
      <c r="BX640" s="9">
        <f>[1]monsters!$S640</f>
        <v>5.69</v>
      </c>
      <c r="BY640" s="9">
        <f>[1]monsters!$K640</f>
        <v>1.6</v>
      </c>
      <c r="BZ640" s="7">
        <f>[1]monsters!$D640</f>
        <v>2</v>
      </c>
      <c r="CA640" s="7">
        <f t="shared" si="218"/>
        <v>0.1</v>
      </c>
      <c r="CB640" s="7">
        <f t="shared" si="219"/>
        <v>225.92961464646464</v>
      </c>
      <c r="CC640" s="7">
        <f t="shared" si="220"/>
        <v>22.592961464646464</v>
      </c>
      <c r="CD640" s="7"/>
      <c r="CE640" s="7"/>
      <c r="CF640" s="7"/>
      <c r="CG640" s="7"/>
      <c r="CH640" s="7"/>
      <c r="CI640" s="7"/>
      <c r="CJ640" s="7"/>
      <c r="CK640" s="7"/>
      <c r="CL640" s="7"/>
      <c r="CM640" s="7"/>
      <c r="CN640" s="7"/>
      <c r="CO640" s="7"/>
      <c r="CP640" s="7"/>
      <c r="CR640" s="25"/>
      <c r="CS640" s="25"/>
      <c r="CT640" s="25"/>
      <c r="CU640" s="25"/>
      <c r="CV640" s="25"/>
      <c r="CW640" s="25"/>
      <c r="DP640" s="32"/>
      <c r="DQ640" s="32"/>
      <c r="DR640" s="36"/>
      <c r="DS640" s="36"/>
      <c r="DT640" s="36"/>
      <c r="DU640" s="36"/>
      <c r="DV640" s="32"/>
      <c r="DW640" s="32"/>
      <c r="DX640" s="32"/>
      <c r="DY640" s="32"/>
      <c r="DZ640" s="32"/>
      <c r="EA640" s="32"/>
      <c r="EB640" s="47"/>
      <c r="EC640" s="16">
        <v>1101074</v>
      </c>
      <c r="ED640" s="16" t="s">
        <v>301</v>
      </c>
      <c r="EE640" s="16">
        <v>1</v>
      </c>
    </row>
    <row r="641" spans="15:135" ht="13.5" customHeight="1">
      <c r="O641" s="25"/>
      <c r="AI641" s="28"/>
      <c r="AJ641" s="28"/>
      <c r="AK641" s="28"/>
      <c r="AL641" s="28"/>
      <c r="AM641" s="28"/>
      <c r="AN641" s="28"/>
      <c r="BR641" s="7">
        <v>5205051</v>
      </c>
      <c r="BS641" s="9">
        <f>[1]monsters!$N641</f>
        <v>170.67</v>
      </c>
      <c r="BT641" s="9">
        <f>[1]monsters!$O641</f>
        <v>17.07</v>
      </c>
      <c r="BU641" s="9">
        <f>[1]monsters!$P641</f>
        <v>1920</v>
      </c>
      <c r="BV641" s="9">
        <f>[1]monsters!$Q641</f>
        <v>192</v>
      </c>
      <c r="BW641" s="9">
        <f>[1]monsters!$R641</f>
        <v>56.89</v>
      </c>
      <c r="BX641" s="9">
        <f>[1]monsters!$S641</f>
        <v>5.69</v>
      </c>
      <c r="BY641" s="9">
        <f>[1]monsters!$K641</f>
        <v>1.6</v>
      </c>
      <c r="BZ641" s="7">
        <f>[1]monsters!$D641</f>
        <v>2</v>
      </c>
      <c r="CA641" s="7">
        <f t="shared" si="218"/>
        <v>0.1</v>
      </c>
      <c r="CB641" s="7">
        <f t="shared" si="219"/>
        <v>225.92961464646464</v>
      </c>
      <c r="CC641" s="7">
        <f t="shared" si="220"/>
        <v>22.592961464646464</v>
      </c>
      <c r="CD641" s="7"/>
      <c r="CE641" s="7"/>
      <c r="CF641" s="7"/>
      <c r="CG641" s="7"/>
      <c r="CH641" s="7"/>
      <c r="CI641" s="7"/>
      <c r="CJ641" s="7"/>
      <c r="CK641" s="7"/>
      <c r="CL641" s="7"/>
      <c r="CM641" s="7"/>
      <c r="CN641" s="7"/>
      <c r="CO641" s="7"/>
      <c r="CP641" s="7"/>
      <c r="CR641" s="25"/>
      <c r="CS641" s="25"/>
      <c r="CT641" s="25"/>
      <c r="CU641" s="25"/>
      <c r="CV641" s="25"/>
      <c r="CW641" s="25"/>
      <c r="DP641" s="32"/>
      <c r="DQ641" s="32"/>
      <c r="DR641" s="32"/>
      <c r="DS641" s="32"/>
      <c r="DT641" s="36"/>
      <c r="DU641" s="36"/>
      <c r="DV641" s="32"/>
      <c r="DW641" s="32"/>
      <c r="DX641" s="32"/>
      <c r="DY641" s="32"/>
      <c r="DZ641" s="32"/>
      <c r="EA641" s="32"/>
      <c r="EB641" s="47"/>
      <c r="EC641" s="16">
        <v>1101075</v>
      </c>
      <c r="ED641" s="16" t="s">
        <v>302</v>
      </c>
      <c r="EE641" s="16">
        <v>1</v>
      </c>
    </row>
    <row r="642" spans="15:135" ht="13.5" customHeight="1">
      <c r="O642" s="25"/>
      <c r="AI642" s="28"/>
      <c r="AJ642" s="28"/>
      <c r="AK642" s="28"/>
      <c r="AL642" s="28"/>
      <c r="AM642" s="28"/>
      <c r="AN642" s="28"/>
      <c r="BR642" s="7">
        <v>5405051</v>
      </c>
      <c r="BS642" s="9">
        <f>[1]monsters!$N642</f>
        <v>187.73</v>
      </c>
      <c r="BT642" s="9">
        <f>[1]monsters!$O642</f>
        <v>18.77</v>
      </c>
      <c r="BU642" s="9">
        <f>[1]monsters!$P642</f>
        <v>2112</v>
      </c>
      <c r="BV642" s="9">
        <f>[1]monsters!$Q642</f>
        <v>211.2</v>
      </c>
      <c r="BW642" s="9">
        <f>[1]monsters!$R642</f>
        <v>62.58</v>
      </c>
      <c r="BX642" s="9">
        <f>[1]monsters!$S642</f>
        <v>6.26</v>
      </c>
      <c r="BY642" s="9">
        <f>[1]monsters!$K642</f>
        <v>1.6</v>
      </c>
      <c r="BZ642" s="7">
        <f>[1]monsters!$D642</f>
        <v>2</v>
      </c>
      <c r="CA642" s="7">
        <f t="shared" si="218"/>
        <v>0.1</v>
      </c>
      <c r="CB642" s="7">
        <f t="shared" si="219"/>
        <v>248.51596111111112</v>
      </c>
      <c r="CC642" s="7">
        <f t="shared" si="220"/>
        <v>24.851596111111114</v>
      </c>
      <c r="CD642" s="7"/>
      <c r="CE642" s="7"/>
      <c r="CF642" s="7"/>
      <c r="CG642" s="7"/>
      <c r="CH642" s="7"/>
      <c r="CI642" s="7"/>
      <c r="CJ642" s="7"/>
      <c r="CK642" s="7"/>
      <c r="CL642" s="7"/>
      <c r="CM642" s="7"/>
      <c r="CN642" s="7"/>
      <c r="CO642" s="7"/>
      <c r="CP642" s="7"/>
      <c r="CR642" s="25"/>
      <c r="CS642" s="25"/>
      <c r="CT642" s="25"/>
      <c r="CU642" s="25"/>
      <c r="CV642" s="25"/>
      <c r="CW642" s="25"/>
      <c r="DP642" s="32"/>
      <c r="DQ642" s="32"/>
      <c r="DR642" s="32"/>
      <c r="DS642" s="36"/>
      <c r="DT642" s="36"/>
      <c r="DU642" s="36"/>
      <c r="DV642" s="32"/>
      <c r="DW642" s="32"/>
      <c r="DX642" s="32"/>
      <c r="DY642" s="32"/>
      <c r="DZ642" s="32"/>
      <c r="EA642" s="32"/>
      <c r="EB642" s="48"/>
      <c r="EC642" s="16">
        <v>1101081</v>
      </c>
      <c r="ED642" s="16" t="s">
        <v>298</v>
      </c>
      <c r="EE642" s="16">
        <v>1</v>
      </c>
    </row>
    <row r="643" spans="15:135" ht="13.5" customHeight="1">
      <c r="O643" s="25"/>
      <c r="AI643" s="28"/>
      <c r="AJ643" s="28"/>
      <c r="AK643" s="28"/>
      <c r="AL643" s="28"/>
      <c r="AM643" s="28"/>
      <c r="AN643" s="28"/>
      <c r="BR643" s="7">
        <v>5203051</v>
      </c>
      <c r="BS643" s="9">
        <f>[1]monsters!$N643</f>
        <v>187.73</v>
      </c>
      <c r="BT643" s="9">
        <f>[1]monsters!$O643</f>
        <v>18.77</v>
      </c>
      <c r="BU643" s="9">
        <f>[1]monsters!$P643</f>
        <v>2112</v>
      </c>
      <c r="BV643" s="9">
        <f>[1]monsters!$Q643</f>
        <v>211.2</v>
      </c>
      <c r="BW643" s="9">
        <f>[1]monsters!$R643</f>
        <v>62.58</v>
      </c>
      <c r="BX643" s="9">
        <f>[1]monsters!$S643</f>
        <v>6.26</v>
      </c>
      <c r="BY643" s="9">
        <f>[1]monsters!$K643</f>
        <v>1.6</v>
      </c>
      <c r="BZ643" s="7">
        <f>[1]monsters!$D643</f>
        <v>2</v>
      </c>
      <c r="CA643" s="7">
        <f t="shared" si="218"/>
        <v>0.1</v>
      </c>
      <c r="CB643" s="7">
        <f t="shared" si="219"/>
        <v>248.51596111111112</v>
      </c>
      <c r="CC643" s="7">
        <f t="shared" si="220"/>
        <v>24.851596111111114</v>
      </c>
      <c r="CD643" s="7"/>
      <c r="CE643" s="7"/>
      <c r="CF643" s="7"/>
      <c r="CG643" s="7"/>
      <c r="CH643" s="7"/>
      <c r="CI643" s="7"/>
      <c r="CJ643" s="7"/>
      <c r="CK643" s="7"/>
      <c r="CL643" s="7"/>
      <c r="CM643" s="7"/>
      <c r="CN643" s="7"/>
      <c r="CO643" s="7"/>
      <c r="CP643" s="7"/>
      <c r="CR643" s="25"/>
      <c r="CS643" s="25"/>
      <c r="CT643" s="25"/>
      <c r="CU643" s="25"/>
      <c r="CV643" s="25"/>
      <c r="CW643" s="25"/>
      <c r="DP643" s="32"/>
      <c r="DQ643" s="32"/>
      <c r="DR643" s="32"/>
      <c r="DS643" s="36"/>
      <c r="DT643" s="36"/>
      <c r="DU643" s="36"/>
      <c r="DV643" s="32"/>
      <c r="DW643" s="32"/>
      <c r="DX643" s="32"/>
      <c r="DY643" s="32"/>
      <c r="DZ643" s="32"/>
      <c r="EA643" s="32"/>
      <c r="EB643" s="47"/>
      <c r="EC643" s="16">
        <v>1101082</v>
      </c>
      <c r="ED643" s="16" t="s">
        <v>299</v>
      </c>
      <c r="EE643" s="16">
        <v>1</v>
      </c>
    </row>
    <row r="644" spans="15:135" ht="13.5" customHeight="1">
      <c r="O644" s="25"/>
      <c r="AI644" s="28"/>
      <c r="AJ644" s="28"/>
      <c r="AK644" s="28"/>
      <c r="AL644" s="28"/>
      <c r="AM644" s="28"/>
      <c r="AN644" s="28"/>
      <c r="BR644" s="7">
        <v>5403051</v>
      </c>
      <c r="BS644" s="9">
        <f>[1]monsters!$N644</f>
        <v>187.73</v>
      </c>
      <c r="BT644" s="9">
        <f>[1]monsters!$O644</f>
        <v>18.77</v>
      </c>
      <c r="BU644" s="9">
        <f>[1]monsters!$P644</f>
        <v>2112</v>
      </c>
      <c r="BV644" s="9">
        <f>[1]monsters!$Q644</f>
        <v>211.2</v>
      </c>
      <c r="BW644" s="9">
        <f>[1]monsters!$R644</f>
        <v>62.58</v>
      </c>
      <c r="BX644" s="9">
        <f>[1]monsters!$S644</f>
        <v>6.26</v>
      </c>
      <c r="BY644" s="9">
        <f>[1]monsters!$K644</f>
        <v>1.6</v>
      </c>
      <c r="BZ644" s="7">
        <f>[1]monsters!$D644</f>
        <v>2</v>
      </c>
      <c r="CA644" s="7">
        <f t="shared" si="218"/>
        <v>0.1</v>
      </c>
      <c r="CB644" s="7">
        <f t="shared" si="219"/>
        <v>248.51596111111112</v>
      </c>
      <c r="CC644" s="7">
        <f t="shared" si="220"/>
        <v>24.851596111111114</v>
      </c>
      <c r="CD644" s="7"/>
      <c r="CE644" s="7"/>
      <c r="CF644" s="7"/>
      <c r="CG644" s="7"/>
      <c r="CH644" s="7"/>
      <c r="CI644" s="7"/>
      <c r="CJ644" s="7"/>
      <c r="CK644" s="7"/>
      <c r="CL644" s="7"/>
      <c r="CM644" s="7"/>
      <c r="CN644" s="7"/>
      <c r="CO644" s="7"/>
      <c r="CP644" s="7"/>
      <c r="CR644" s="25"/>
      <c r="CS644" s="25"/>
      <c r="CT644" s="25"/>
      <c r="CU644" s="25"/>
      <c r="CV644" s="25"/>
      <c r="CW644" s="25"/>
      <c r="DP644" s="32"/>
      <c r="DQ644" s="32"/>
      <c r="DR644" s="32"/>
      <c r="DS644" s="36"/>
      <c r="DT644" s="36"/>
      <c r="DU644" s="36"/>
      <c r="DV644" s="32"/>
      <c r="DW644" s="32"/>
      <c r="DX644" s="32"/>
      <c r="DY644" s="32"/>
      <c r="DZ644" s="32"/>
      <c r="EA644" s="32"/>
      <c r="EB644" s="47"/>
      <c r="EC644" s="16">
        <v>1101083</v>
      </c>
      <c r="ED644" s="16" t="s">
        <v>300</v>
      </c>
      <c r="EE644" s="16">
        <v>1</v>
      </c>
    </row>
    <row r="645" spans="15:135" ht="13.5" customHeight="1">
      <c r="O645" s="25"/>
      <c r="AI645" s="28"/>
      <c r="AJ645" s="28"/>
      <c r="AK645" s="28"/>
      <c r="AL645" s="28"/>
      <c r="AM645" s="28"/>
      <c r="AN645" s="28"/>
      <c r="BR645" s="7">
        <v>5204051</v>
      </c>
      <c r="BS645" s="9">
        <f>[1]monsters!$N645</f>
        <v>187.73</v>
      </c>
      <c r="BT645" s="9">
        <f>[1]monsters!$O645</f>
        <v>18.77</v>
      </c>
      <c r="BU645" s="9">
        <f>[1]monsters!$P645</f>
        <v>2112</v>
      </c>
      <c r="BV645" s="9">
        <f>[1]monsters!$Q645</f>
        <v>211.2</v>
      </c>
      <c r="BW645" s="9">
        <f>[1]monsters!$R645</f>
        <v>62.58</v>
      </c>
      <c r="BX645" s="9">
        <f>[1]monsters!$S645</f>
        <v>6.26</v>
      </c>
      <c r="BY645" s="9">
        <f>[1]monsters!$K645</f>
        <v>1.6</v>
      </c>
      <c r="BZ645" s="7">
        <f>[1]monsters!$D645</f>
        <v>2</v>
      </c>
      <c r="CA645" s="7">
        <f t="shared" ref="CA645:CA708" si="221">INDEX($CH$5:$CH$10,MATCH($BZ645,$CG$5:$CG$10))</f>
        <v>0.1</v>
      </c>
      <c r="CB645" s="7">
        <f t="shared" ref="CB645:CB708" si="222">(BU645/33/(1-CA645)/(1-0)+BS645*(1+0.5*0.1)*0.9)</f>
        <v>248.51596111111112</v>
      </c>
      <c r="CC645" s="7">
        <f t="shared" ref="CC645:CC708" si="223">(BU645/33/(1-CA645)/(1-0)+BS645*(1+0.5*0.1)*0.9)*0.1</f>
        <v>24.851596111111114</v>
      </c>
      <c r="CD645" s="7"/>
      <c r="CE645" s="7"/>
      <c r="CF645" s="7"/>
      <c r="CG645" s="7"/>
      <c r="CH645" s="7"/>
      <c r="CI645" s="7"/>
      <c r="CJ645" s="7"/>
      <c r="CK645" s="7"/>
      <c r="CL645" s="7"/>
      <c r="CM645" s="7"/>
      <c r="CN645" s="7"/>
      <c r="CO645" s="7"/>
      <c r="CP645" s="7"/>
      <c r="CR645" s="25"/>
      <c r="CS645" s="25"/>
      <c r="CT645" s="25"/>
      <c r="CU645" s="25"/>
      <c r="CV645" s="25"/>
      <c r="CW645" s="25"/>
      <c r="DP645" s="32"/>
      <c r="DQ645" s="32"/>
      <c r="DR645" s="32"/>
      <c r="DS645" s="36"/>
      <c r="DT645" s="36"/>
      <c r="DU645" s="36"/>
      <c r="DV645" s="32"/>
      <c r="DW645" s="32"/>
      <c r="DX645" s="32"/>
      <c r="DY645" s="32"/>
      <c r="DZ645" s="32"/>
      <c r="EA645" s="32"/>
      <c r="EB645" s="47"/>
      <c r="EC645" s="16">
        <v>1101084</v>
      </c>
      <c r="ED645" s="16" t="s">
        <v>301</v>
      </c>
      <c r="EE645" s="16">
        <v>1</v>
      </c>
    </row>
    <row r="646" spans="15:135" ht="13.5" customHeight="1">
      <c r="O646" s="25"/>
      <c r="AI646" s="28"/>
      <c r="AJ646" s="28"/>
      <c r="AK646" s="28"/>
      <c r="AL646" s="28"/>
      <c r="AM646" s="28"/>
      <c r="AN646" s="28"/>
      <c r="BR646" s="7">
        <v>5404051</v>
      </c>
      <c r="BS646" s="9">
        <f>[1]monsters!$N646</f>
        <v>187.73</v>
      </c>
      <c r="BT646" s="9">
        <f>[1]monsters!$O646</f>
        <v>18.77</v>
      </c>
      <c r="BU646" s="9">
        <f>[1]monsters!$P646</f>
        <v>2112</v>
      </c>
      <c r="BV646" s="9">
        <f>[1]monsters!$Q646</f>
        <v>211.2</v>
      </c>
      <c r="BW646" s="9">
        <f>[1]monsters!$R646</f>
        <v>62.58</v>
      </c>
      <c r="BX646" s="9">
        <f>[1]monsters!$S646</f>
        <v>6.26</v>
      </c>
      <c r="BY646" s="9">
        <f>[1]monsters!$K646</f>
        <v>1.6</v>
      </c>
      <c r="BZ646" s="7">
        <f>[1]monsters!$D646</f>
        <v>2</v>
      </c>
      <c r="CA646" s="7">
        <f t="shared" si="221"/>
        <v>0.1</v>
      </c>
      <c r="CB646" s="7">
        <f t="shared" si="222"/>
        <v>248.51596111111112</v>
      </c>
      <c r="CC646" s="7">
        <f t="shared" si="223"/>
        <v>24.851596111111114</v>
      </c>
      <c r="CD646" s="7"/>
      <c r="CE646" s="7"/>
      <c r="CF646" s="7"/>
      <c r="CG646" s="7"/>
      <c r="CH646" s="7"/>
      <c r="CI646" s="7"/>
      <c r="CJ646" s="7"/>
      <c r="CK646" s="7"/>
      <c r="CL646" s="7"/>
      <c r="CM646" s="7"/>
      <c r="CN646" s="7"/>
      <c r="CO646" s="7"/>
      <c r="CP646" s="7"/>
      <c r="CR646" s="25"/>
      <c r="CS646" s="25"/>
      <c r="CT646" s="25"/>
      <c r="CU646" s="25"/>
      <c r="CV646" s="25"/>
      <c r="CW646" s="25"/>
      <c r="DP646" s="32"/>
      <c r="DQ646" s="32"/>
      <c r="DR646" s="13"/>
      <c r="DS646" s="32"/>
      <c r="DT646" s="14"/>
      <c r="DU646" s="14"/>
      <c r="DV646" s="32"/>
      <c r="DW646" s="32"/>
      <c r="DX646" s="32"/>
      <c r="DY646" s="32"/>
      <c r="DZ646" s="32"/>
      <c r="EA646" s="32"/>
      <c r="EB646" s="48"/>
      <c r="EC646" s="16">
        <v>1101085</v>
      </c>
      <c r="ED646" s="16" t="s">
        <v>302</v>
      </c>
      <c r="EE646" s="16">
        <v>1</v>
      </c>
    </row>
    <row r="647" spans="15:135" ht="13.5" customHeight="1">
      <c r="O647" s="25"/>
      <c r="AI647" s="28"/>
      <c r="AJ647" s="28"/>
      <c r="AK647" s="28"/>
      <c r="AL647" s="28"/>
      <c r="AM647" s="28"/>
      <c r="AN647" s="28"/>
      <c r="BR647" s="7">
        <v>5303051</v>
      </c>
      <c r="BS647" s="9">
        <f>[1]monsters!$N647</f>
        <v>204.8</v>
      </c>
      <c r="BT647" s="9">
        <f>[1]monsters!$O647</f>
        <v>20.48</v>
      </c>
      <c r="BU647" s="9">
        <f>[1]monsters!$P647</f>
        <v>2304</v>
      </c>
      <c r="BV647" s="9">
        <f>[1]monsters!$Q647</f>
        <v>230.4</v>
      </c>
      <c r="BW647" s="9">
        <f>[1]monsters!$R647</f>
        <v>68.27</v>
      </c>
      <c r="BX647" s="9">
        <f>[1]monsters!$S647</f>
        <v>6.83</v>
      </c>
      <c r="BY647" s="9">
        <f>[1]monsters!$K647</f>
        <v>1.6</v>
      </c>
      <c r="BZ647" s="7">
        <f>[1]monsters!$D647</f>
        <v>2</v>
      </c>
      <c r="CA647" s="7">
        <f t="shared" si="221"/>
        <v>0.1</v>
      </c>
      <c r="CB647" s="7">
        <f t="shared" si="222"/>
        <v>271.11175757575757</v>
      </c>
      <c r="CC647" s="7">
        <f t="shared" si="223"/>
        <v>27.111175757575758</v>
      </c>
      <c r="CD647" s="7"/>
      <c r="CE647" s="7"/>
      <c r="CF647" s="7"/>
      <c r="CG647" s="7"/>
      <c r="CH647" s="7"/>
      <c r="CI647" s="7"/>
      <c r="CJ647" s="7"/>
      <c r="CK647" s="7"/>
      <c r="CL647" s="7"/>
      <c r="CM647" s="7"/>
      <c r="CN647" s="7"/>
      <c r="CO647" s="7"/>
      <c r="CP647" s="7"/>
      <c r="CR647" s="25"/>
      <c r="CS647" s="25"/>
      <c r="CT647" s="25"/>
      <c r="CU647" s="25"/>
      <c r="CV647" s="25"/>
      <c r="CW647" s="25"/>
      <c r="DP647" s="32"/>
      <c r="DQ647" s="32"/>
      <c r="DR647" s="36"/>
      <c r="DS647" s="36"/>
      <c r="DT647" s="32"/>
      <c r="DU647" s="32"/>
      <c r="DV647" s="32"/>
      <c r="DW647" s="32"/>
      <c r="DX647" s="32"/>
      <c r="DY647" s="32"/>
      <c r="DZ647" s="32"/>
      <c r="EA647" s="32"/>
      <c r="EB647" s="47"/>
      <c r="EC647" s="16">
        <v>1101091</v>
      </c>
      <c r="ED647" s="16" t="s">
        <v>298</v>
      </c>
      <c r="EE647" s="16">
        <v>1</v>
      </c>
    </row>
    <row r="648" spans="15:135" ht="13.5" customHeight="1">
      <c r="O648" s="25"/>
      <c r="AI648" s="28"/>
      <c r="AJ648" s="28"/>
      <c r="AK648" s="28"/>
      <c r="AL648" s="28"/>
      <c r="AM648" s="28"/>
      <c r="AN648" s="28"/>
      <c r="BR648" s="7">
        <v>5304051</v>
      </c>
      <c r="BS648" s="9">
        <f>[1]monsters!$N648</f>
        <v>204.8</v>
      </c>
      <c r="BT648" s="9">
        <f>[1]monsters!$O648</f>
        <v>20.48</v>
      </c>
      <c r="BU648" s="9">
        <f>[1]monsters!$P648</f>
        <v>2304</v>
      </c>
      <c r="BV648" s="9">
        <f>[1]monsters!$Q648</f>
        <v>230.4</v>
      </c>
      <c r="BW648" s="9">
        <f>[1]monsters!$R648</f>
        <v>68.27</v>
      </c>
      <c r="BX648" s="9">
        <f>[1]monsters!$S648</f>
        <v>6.83</v>
      </c>
      <c r="BY648" s="9">
        <f>[1]monsters!$K648</f>
        <v>1.6</v>
      </c>
      <c r="BZ648" s="7">
        <f>[1]monsters!$D648</f>
        <v>2</v>
      </c>
      <c r="CA648" s="7">
        <f t="shared" si="221"/>
        <v>0.1</v>
      </c>
      <c r="CB648" s="7">
        <f t="shared" si="222"/>
        <v>271.11175757575757</v>
      </c>
      <c r="CC648" s="7">
        <f t="shared" si="223"/>
        <v>27.111175757575758</v>
      </c>
      <c r="CD648" s="7"/>
      <c r="CE648" s="7"/>
      <c r="CF648" s="7"/>
      <c r="CG648" s="7"/>
      <c r="CH648" s="7"/>
      <c r="CI648" s="7"/>
      <c r="CJ648" s="7"/>
      <c r="CK648" s="7"/>
      <c r="CL648" s="7"/>
      <c r="CM648" s="7"/>
      <c r="CN648" s="7"/>
      <c r="CO648" s="7"/>
      <c r="CP648" s="7"/>
      <c r="CR648" s="25"/>
      <c r="CS648" s="25"/>
      <c r="CT648" s="25"/>
      <c r="CU648" s="25"/>
      <c r="CV648" s="25"/>
      <c r="CW648" s="25"/>
      <c r="DP648" s="32"/>
      <c r="DQ648" s="32"/>
      <c r="DR648" s="32"/>
      <c r="DS648" s="14"/>
      <c r="DT648" s="14"/>
      <c r="DU648" s="14"/>
      <c r="DV648" s="32"/>
      <c r="DW648" s="32"/>
      <c r="DX648" s="32"/>
      <c r="DY648" s="32"/>
      <c r="DZ648" s="32"/>
      <c r="EA648" s="32"/>
      <c r="EB648" s="47"/>
      <c r="EC648" s="16">
        <v>1101092</v>
      </c>
      <c r="ED648" s="16" t="s">
        <v>299</v>
      </c>
      <c r="EE648" s="16">
        <v>1</v>
      </c>
    </row>
    <row r="649" spans="15:135" ht="13.5" customHeight="1">
      <c r="O649" s="25"/>
      <c r="AI649" s="28"/>
      <c r="AJ649" s="28"/>
      <c r="AK649" s="28"/>
      <c r="AL649" s="28"/>
      <c r="AM649" s="28"/>
      <c r="AN649" s="28"/>
      <c r="BR649" s="7">
        <v>5503051</v>
      </c>
      <c r="BS649" s="9">
        <f>[1]monsters!$N649</f>
        <v>204.8</v>
      </c>
      <c r="BT649" s="9">
        <f>[1]monsters!$O649</f>
        <v>20.48</v>
      </c>
      <c r="BU649" s="9">
        <f>[1]monsters!$P649</f>
        <v>2304</v>
      </c>
      <c r="BV649" s="9">
        <f>[1]monsters!$Q649</f>
        <v>230.4</v>
      </c>
      <c r="BW649" s="9">
        <f>[1]monsters!$R649</f>
        <v>68.27</v>
      </c>
      <c r="BX649" s="9">
        <f>[1]monsters!$S649</f>
        <v>6.83</v>
      </c>
      <c r="BY649" s="9">
        <f>[1]monsters!$K649</f>
        <v>1.6</v>
      </c>
      <c r="BZ649" s="7">
        <f>[1]monsters!$D649</f>
        <v>2</v>
      </c>
      <c r="CA649" s="7">
        <f t="shared" si="221"/>
        <v>0.1</v>
      </c>
      <c r="CB649" s="7">
        <f t="shared" si="222"/>
        <v>271.11175757575757</v>
      </c>
      <c r="CC649" s="7">
        <f t="shared" si="223"/>
        <v>27.111175757575758</v>
      </c>
      <c r="CD649" s="7"/>
      <c r="CE649" s="7"/>
      <c r="CF649" s="7"/>
      <c r="CG649" s="7"/>
      <c r="CH649" s="7"/>
      <c r="CI649" s="7"/>
      <c r="CJ649" s="7"/>
      <c r="CK649" s="7"/>
      <c r="CL649" s="7"/>
      <c r="CM649" s="7"/>
      <c r="CN649" s="7"/>
      <c r="CO649" s="7"/>
      <c r="CP649" s="7"/>
      <c r="CR649" s="25"/>
      <c r="CS649" s="25"/>
      <c r="CT649" s="25"/>
      <c r="CU649" s="25"/>
      <c r="CV649" s="25"/>
      <c r="CW649" s="25"/>
      <c r="DP649" s="32"/>
      <c r="DQ649" s="32"/>
      <c r="DR649" s="36"/>
      <c r="DS649" s="36"/>
      <c r="DT649" s="32"/>
      <c r="DU649" s="32"/>
      <c r="DV649" s="32"/>
      <c r="DW649" s="32"/>
      <c r="DX649" s="32"/>
      <c r="DY649" s="32"/>
      <c r="DZ649" s="32"/>
      <c r="EA649" s="32"/>
      <c r="EB649" s="48"/>
      <c r="EC649" s="16">
        <v>1101093</v>
      </c>
      <c r="ED649" s="16" t="s">
        <v>300</v>
      </c>
      <c r="EE649" s="16">
        <v>1</v>
      </c>
    </row>
    <row r="650" spans="15:135" ht="13.5" customHeight="1">
      <c r="O650" s="25"/>
      <c r="AI650" s="28"/>
      <c r="AJ650" s="28"/>
      <c r="AK650" s="28"/>
      <c r="AL650" s="28"/>
      <c r="AM650" s="28"/>
      <c r="AN650" s="28"/>
      <c r="BR650" s="7">
        <v>5504051</v>
      </c>
      <c r="BS650" s="9">
        <f>[1]monsters!$N650</f>
        <v>204.8</v>
      </c>
      <c r="BT650" s="9">
        <f>[1]monsters!$O650</f>
        <v>20.48</v>
      </c>
      <c r="BU650" s="9">
        <f>[1]monsters!$P650</f>
        <v>2304</v>
      </c>
      <c r="BV650" s="9">
        <f>[1]monsters!$Q650</f>
        <v>230.4</v>
      </c>
      <c r="BW650" s="9">
        <f>[1]monsters!$R650</f>
        <v>68.27</v>
      </c>
      <c r="BX650" s="9">
        <f>[1]monsters!$S650</f>
        <v>6.83</v>
      </c>
      <c r="BY650" s="9">
        <f>[1]monsters!$K650</f>
        <v>1.6</v>
      </c>
      <c r="BZ650" s="7">
        <f>[1]monsters!$D650</f>
        <v>2</v>
      </c>
      <c r="CA650" s="7">
        <f t="shared" si="221"/>
        <v>0.1</v>
      </c>
      <c r="CB650" s="7">
        <f t="shared" si="222"/>
        <v>271.11175757575757</v>
      </c>
      <c r="CC650" s="7">
        <f t="shared" si="223"/>
        <v>27.111175757575758</v>
      </c>
      <c r="CD650" s="7"/>
      <c r="CE650" s="7"/>
      <c r="CF650" s="7"/>
      <c r="CG650" s="7"/>
      <c r="CH650" s="7"/>
      <c r="CI650" s="7"/>
      <c r="CJ650" s="7"/>
      <c r="CK650" s="7"/>
      <c r="CL650" s="7"/>
      <c r="CM650" s="7"/>
      <c r="CN650" s="7"/>
      <c r="CO650" s="7"/>
      <c r="CP650" s="7"/>
      <c r="CR650" s="25"/>
      <c r="CS650" s="25"/>
      <c r="CT650" s="25"/>
      <c r="CU650" s="25"/>
      <c r="CV650" s="25"/>
      <c r="CW650" s="25"/>
      <c r="DP650" s="32"/>
      <c r="DQ650" s="32"/>
      <c r="DR650" s="36"/>
      <c r="DS650" s="36"/>
      <c r="DT650" s="36"/>
      <c r="DU650" s="36"/>
      <c r="DV650" s="32"/>
      <c r="DW650" s="32"/>
      <c r="DX650" s="32"/>
      <c r="DY650" s="32"/>
      <c r="DZ650" s="32"/>
      <c r="EA650" s="32"/>
      <c r="EB650" s="47"/>
      <c r="EC650" s="16">
        <v>1101094</v>
      </c>
      <c r="ED650" s="16" t="s">
        <v>301</v>
      </c>
      <c r="EE650" s="16">
        <v>1</v>
      </c>
    </row>
    <row r="651" spans="15:135" ht="13.5" customHeight="1">
      <c r="O651" s="25"/>
      <c r="AI651" s="28"/>
      <c r="AJ651" s="28"/>
      <c r="AK651" s="28"/>
      <c r="AL651" s="28"/>
      <c r="AM651" s="28"/>
      <c r="AN651" s="28"/>
      <c r="BR651" s="7">
        <v>5101051</v>
      </c>
      <c r="BS651" s="9">
        <f>[1]monsters!$N651</f>
        <v>204.8</v>
      </c>
      <c r="BT651" s="9">
        <f>[1]monsters!$O651</f>
        <v>20.48</v>
      </c>
      <c r="BU651" s="9">
        <f>[1]monsters!$P651</f>
        <v>2304</v>
      </c>
      <c r="BV651" s="9">
        <f>[1]monsters!$Q651</f>
        <v>230.4</v>
      </c>
      <c r="BW651" s="9">
        <f>[1]monsters!$R651</f>
        <v>68.27</v>
      </c>
      <c r="BX651" s="9">
        <f>[1]monsters!$S651</f>
        <v>6.83</v>
      </c>
      <c r="BY651" s="9">
        <f>[1]monsters!$K651</f>
        <v>1.6</v>
      </c>
      <c r="BZ651" s="7">
        <f>[1]monsters!$D651</f>
        <v>2</v>
      </c>
      <c r="CA651" s="7">
        <f t="shared" si="221"/>
        <v>0.1</v>
      </c>
      <c r="CB651" s="7">
        <f t="shared" si="222"/>
        <v>271.11175757575757</v>
      </c>
      <c r="CC651" s="7">
        <f t="shared" si="223"/>
        <v>27.111175757575758</v>
      </c>
      <c r="CD651" s="7"/>
      <c r="CE651" s="7"/>
      <c r="CF651" s="7"/>
      <c r="CG651" s="7"/>
      <c r="CH651" s="7"/>
      <c r="CI651" s="7"/>
      <c r="CJ651" s="7"/>
      <c r="CK651" s="7"/>
      <c r="CL651" s="7"/>
      <c r="CM651" s="7"/>
      <c r="CN651" s="7"/>
      <c r="CO651" s="7"/>
      <c r="CP651" s="7"/>
      <c r="CR651" s="25"/>
      <c r="CS651" s="25"/>
      <c r="CT651" s="25"/>
      <c r="CU651" s="25"/>
      <c r="CV651" s="25"/>
      <c r="CW651" s="25"/>
      <c r="DP651" s="32"/>
      <c r="DQ651" s="36"/>
      <c r="DR651" s="32"/>
      <c r="DS651" s="36"/>
      <c r="DT651" s="36"/>
      <c r="DU651" s="14"/>
      <c r="DV651" s="32"/>
      <c r="DW651" s="32"/>
      <c r="DX651" s="32"/>
      <c r="DY651" s="32"/>
      <c r="DZ651" s="32"/>
      <c r="EA651" s="32"/>
      <c r="EB651" s="47"/>
      <c r="EC651" s="16">
        <v>1101095</v>
      </c>
      <c r="ED651" s="16" t="s">
        <v>302</v>
      </c>
      <c r="EE651" s="16">
        <v>1</v>
      </c>
    </row>
    <row r="652" spans="15:135" ht="13.5" customHeight="1">
      <c r="O652" s="25"/>
      <c r="AI652" s="28"/>
      <c r="AJ652" s="28"/>
      <c r="AK652" s="28"/>
      <c r="AL652" s="28"/>
      <c r="AM652" s="28"/>
      <c r="AN652" s="28"/>
      <c r="BR652" s="7">
        <v>5102051</v>
      </c>
      <c r="BS652" s="9">
        <f>[1]monsters!$N652</f>
        <v>221.87</v>
      </c>
      <c r="BT652" s="9">
        <f>[1]monsters!$O652</f>
        <v>22.19</v>
      </c>
      <c r="BU652" s="9">
        <f>[1]monsters!$P652</f>
        <v>2496</v>
      </c>
      <c r="BV652" s="9">
        <f>[1]monsters!$Q652</f>
        <v>249.6</v>
      </c>
      <c r="BW652" s="9">
        <f>[1]monsters!$R652</f>
        <v>73.959999999999994</v>
      </c>
      <c r="BX652" s="9">
        <f>[1]monsters!$S652</f>
        <v>7.4</v>
      </c>
      <c r="BY652" s="9">
        <f>[1]monsters!$K652</f>
        <v>1.6</v>
      </c>
      <c r="BZ652" s="7">
        <f>[1]monsters!$D652</f>
        <v>2</v>
      </c>
      <c r="CA652" s="7">
        <f t="shared" si="221"/>
        <v>0.1</v>
      </c>
      <c r="CB652" s="7">
        <f t="shared" si="222"/>
        <v>293.70755404040403</v>
      </c>
      <c r="CC652" s="7">
        <f t="shared" si="223"/>
        <v>29.370755404040406</v>
      </c>
      <c r="CD652" s="7"/>
      <c r="CE652" s="7"/>
      <c r="CF652" s="7"/>
      <c r="CG652" s="7"/>
      <c r="CH652" s="7"/>
      <c r="CI652" s="7"/>
      <c r="CJ652" s="7"/>
      <c r="CK652" s="7"/>
      <c r="CL652" s="7"/>
      <c r="CM652" s="7"/>
      <c r="CN652" s="7"/>
      <c r="CO652" s="7"/>
      <c r="CP652" s="7"/>
      <c r="CR652" s="25"/>
      <c r="CS652" s="25"/>
      <c r="CT652" s="25"/>
      <c r="CU652" s="25"/>
      <c r="CV652" s="25"/>
      <c r="CW652" s="25"/>
      <c r="DP652" s="32"/>
      <c r="DQ652" s="32"/>
      <c r="DR652" s="32"/>
      <c r="DS652" s="36"/>
      <c r="DT652" s="36"/>
      <c r="DU652" s="36"/>
      <c r="DV652" s="32"/>
      <c r="DW652" s="32"/>
      <c r="DX652" s="32"/>
      <c r="DY652" s="32"/>
      <c r="DZ652" s="32"/>
      <c r="EA652" s="32"/>
      <c r="EB652" s="47"/>
      <c r="EC652" s="16">
        <v>1101101</v>
      </c>
      <c r="ED652" s="16" t="s">
        <v>298</v>
      </c>
      <c r="EE652" s="16">
        <v>1</v>
      </c>
    </row>
    <row r="653" spans="15:135" ht="13.5" customHeight="1">
      <c r="O653" s="25"/>
      <c r="AI653" s="28"/>
      <c r="AJ653" s="28"/>
      <c r="AK653" s="28"/>
      <c r="AL653" s="28"/>
      <c r="AM653" s="28"/>
      <c r="AN653" s="28"/>
      <c r="BR653" s="7">
        <v>5206052</v>
      </c>
      <c r="BS653" s="9">
        <f>[1]monsters!$N653</f>
        <v>221.87</v>
      </c>
      <c r="BT653" s="9">
        <f>[1]monsters!$O653</f>
        <v>22.19</v>
      </c>
      <c r="BU653" s="9">
        <f>[1]monsters!$P653</f>
        <v>2496</v>
      </c>
      <c r="BV653" s="9">
        <f>[1]monsters!$Q653</f>
        <v>249.6</v>
      </c>
      <c r="BW653" s="9">
        <f>[1]monsters!$R653</f>
        <v>73.959999999999994</v>
      </c>
      <c r="BX653" s="9">
        <f>[1]monsters!$S653</f>
        <v>7.4</v>
      </c>
      <c r="BY653" s="9">
        <f>[1]monsters!$K653</f>
        <v>1.6</v>
      </c>
      <c r="BZ653" s="7">
        <f>[1]monsters!$D653</f>
        <v>2</v>
      </c>
      <c r="CA653" s="7">
        <f t="shared" si="221"/>
        <v>0.1</v>
      </c>
      <c r="CB653" s="7">
        <f t="shared" si="222"/>
        <v>293.70755404040403</v>
      </c>
      <c r="CC653" s="7">
        <f t="shared" si="223"/>
        <v>29.370755404040406</v>
      </c>
      <c r="CD653" s="7"/>
      <c r="CE653" s="7"/>
      <c r="CF653" s="7"/>
      <c r="CG653" s="7"/>
      <c r="CH653" s="7"/>
      <c r="CI653" s="7"/>
      <c r="CJ653" s="7"/>
      <c r="CK653" s="7"/>
      <c r="CL653" s="7"/>
      <c r="CM653" s="7"/>
      <c r="CN653" s="7"/>
      <c r="CO653" s="7"/>
      <c r="CP653" s="7"/>
      <c r="CR653" s="25"/>
      <c r="CS653" s="25"/>
      <c r="CT653" s="25"/>
      <c r="CU653" s="25"/>
      <c r="CV653" s="25"/>
      <c r="CW653" s="25"/>
      <c r="DP653" s="32"/>
      <c r="DQ653" s="32"/>
      <c r="DR653" s="32"/>
      <c r="DS653" s="32"/>
      <c r="DT653" s="32"/>
      <c r="DU653" s="32"/>
      <c r="DV653" s="32"/>
      <c r="DW653" s="32"/>
      <c r="DX653" s="32"/>
      <c r="DY653" s="32"/>
      <c r="DZ653" s="32"/>
      <c r="EA653" s="32"/>
      <c r="EB653" s="49"/>
      <c r="EC653" s="16">
        <v>1101102</v>
      </c>
      <c r="ED653" s="16" t="s">
        <v>299</v>
      </c>
      <c r="EE653" s="16">
        <v>1</v>
      </c>
    </row>
    <row r="654" spans="15:135" ht="13.5" customHeight="1">
      <c r="O654" s="25"/>
      <c r="AI654" s="28"/>
      <c r="AJ654" s="28"/>
      <c r="AK654" s="28"/>
      <c r="AL654" s="28"/>
      <c r="AM654" s="28"/>
      <c r="AN654" s="28"/>
      <c r="BR654" s="7">
        <v>5406052</v>
      </c>
      <c r="BS654" s="9">
        <f>[1]monsters!$N654</f>
        <v>221.87</v>
      </c>
      <c r="BT654" s="9">
        <f>[1]monsters!$O654</f>
        <v>22.19</v>
      </c>
      <c r="BU654" s="9">
        <f>[1]monsters!$P654</f>
        <v>2496</v>
      </c>
      <c r="BV654" s="9">
        <f>[1]monsters!$Q654</f>
        <v>249.6</v>
      </c>
      <c r="BW654" s="9">
        <f>[1]monsters!$R654</f>
        <v>73.959999999999994</v>
      </c>
      <c r="BX654" s="9">
        <f>[1]monsters!$S654</f>
        <v>7.4</v>
      </c>
      <c r="BY654" s="9">
        <f>[1]monsters!$K654</f>
        <v>1.6</v>
      </c>
      <c r="BZ654" s="7">
        <f>[1]monsters!$D654</f>
        <v>2</v>
      </c>
      <c r="CA654" s="7">
        <f t="shared" si="221"/>
        <v>0.1</v>
      </c>
      <c r="CB654" s="7">
        <f t="shared" si="222"/>
        <v>293.70755404040403</v>
      </c>
      <c r="CC654" s="7">
        <f t="shared" si="223"/>
        <v>29.370755404040406</v>
      </c>
      <c r="CD654" s="7"/>
      <c r="CE654" s="7"/>
      <c r="CF654" s="7"/>
      <c r="CG654" s="7"/>
      <c r="CH654" s="7"/>
      <c r="CI654" s="7"/>
      <c r="CJ654" s="7"/>
      <c r="CK654" s="7"/>
      <c r="CL654" s="7"/>
      <c r="CM654" s="7"/>
      <c r="CN654" s="7"/>
      <c r="CO654" s="7"/>
      <c r="CP654" s="7"/>
      <c r="CR654" s="25"/>
      <c r="CS654" s="25"/>
      <c r="CT654" s="25"/>
      <c r="CU654" s="25"/>
      <c r="CV654" s="25"/>
      <c r="CW654" s="25"/>
      <c r="DP654" s="32"/>
      <c r="DQ654" s="32"/>
      <c r="DR654" s="32"/>
      <c r="DS654" s="32"/>
      <c r="DT654" s="32"/>
      <c r="DU654" s="32"/>
      <c r="DV654" s="32"/>
      <c r="DW654" s="32"/>
      <c r="DX654" s="32"/>
      <c r="DY654" s="32"/>
      <c r="DZ654" s="32"/>
      <c r="EA654" s="32"/>
      <c r="EB654" s="49"/>
      <c r="EC654" s="16">
        <v>1101103</v>
      </c>
      <c r="ED654" s="16" t="s">
        <v>300</v>
      </c>
      <c r="EE654" s="16">
        <v>1</v>
      </c>
    </row>
    <row r="655" spans="15:135" ht="13.5" customHeight="1">
      <c r="O655" s="25"/>
      <c r="AI655" s="28"/>
      <c r="AJ655" s="28"/>
      <c r="AK655" s="28"/>
      <c r="AL655" s="28"/>
      <c r="AM655" s="28"/>
      <c r="AN655" s="28"/>
      <c r="BR655" s="7">
        <v>5205052</v>
      </c>
      <c r="BS655" s="9">
        <f>[1]monsters!$N655</f>
        <v>221.87</v>
      </c>
      <c r="BT655" s="9">
        <f>[1]monsters!$O655</f>
        <v>22.19</v>
      </c>
      <c r="BU655" s="9">
        <f>[1]monsters!$P655</f>
        <v>2496</v>
      </c>
      <c r="BV655" s="9">
        <f>[1]monsters!$Q655</f>
        <v>249.6</v>
      </c>
      <c r="BW655" s="9">
        <f>[1]monsters!$R655</f>
        <v>73.959999999999994</v>
      </c>
      <c r="BX655" s="9">
        <f>[1]monsters!$S655</f>
        <v>7.4</v>
      </c>
      <c r="BY655" s="9">
        <f>[1]monsters!$K655</f>
        <v>1.6</v>
      </c>
      <c r="BZ655" s="7">
        <f>[1]monsters!$D655</f>
        <v>2</v>
      </c>
      <c r="CA655" s="7">
        <f t="shared" si="221"/>
        <v>0.1</v>
      </c>
      <c r="CB655" s="7">
        <f t="shared" si="222"/>
        <v>293.70755404040403</v>
      </c>
      <c r="CC655" s="7">
        <f t="shared" si="223"/>
        <v>29.370755404040406</v>
      </c>
      <c r="CD655" s="7"/>
      <c r="CE655" s="7"/>
      <c r="CF655" s="7"/>
      <c r="CG655" s="7"/>
      <c r="CH655" s="7"/>
      <c r="CI655" s="7"/>
      <c r="CJ655" s="7"/>
      <c r="CK655" s="7"/>
      <c r="CL655" s="7"/>
      <c r="CM655" s="7"/>
      <c r="CN655" s="7"/>
      <c r="CO655" s="7"/>
      <c r="CP655" s="7"/>
      <c r="CR655" s="25"/>
      <c r="CS655" s="25"/>
      <c r="CT655" s="25"/>
      <c r="CU655" s="25"/>
      <c r="CV655" s="25"/>
      <c r="CW655" s="25"/>
      <c r="DP655" s="32"/>
      <c r="DQ655" s="32"/>
      <c r="DR655" s="32"/>
      <c r="DS655" s="32"/>
      <c r="DT655" s="32"/>
      <c r="DU655" s="32"/>
      <c r="DV655" s="32"/>
      <c r="DW655" s="32"/>
      <c r="DX655" s="32"/>
      <c r="DY655" s="32"/>
      <c r="DZ655" s="32"/>
      <c r="EA655" s="32"/>
      <c r="EB655" s="49"/>
      <c r="EC655" s="16">
        <v>1101104</v>
      </c>
      <c r="ED655" s="16" t="s">
        <v>301</v>
      </c>
      <c r="EE655" s="16">
        <v>1</v>
      </c>
    </row>
    <row r="656" spans="15:135" ht="13.5" customHeight="1">
      <c r="O656" s="25"/>
      <c r="AI656" s="28"/>
      <c r="AJ656" s="28"/>
      <c r="AK656" s="28"/>
      <c r="AL656" s="28"/>
      <c r="AM656" s="28"/>
      <c r="AN656" s="28"/>
      <c r="BR656" s="7">
        <v>5405052</v>
      </c>
      <c r="BS656" s="9">
        <f>[1]monsters!$N656</f>
        <v>221.87</v>
      </c>
      <c r="BT656" s="9">
        <f>[1]monsters!$O656</f>
        <v>22.19</v>
      </c>
      <c r="BU656" s="9">
        <f>[1]monsters!$P656</f>
        <v>2496</v>
      </c>
      <c r="BV656" s="9">
        <f>[1]monsters!$Q656</f>
        <v>249.6</v>
      </c>
      <c r="BW656" s="9">
        <f>[1]monsters!$R656</f>
        <v>73.959999999999994</v>
      </c>
      <c r="BX656" s="9">
        <f>[1]monsters!$S656</f>
        <v>7.4</v>
      </c>
      <c r="BY656" s="9">
        <f>[1]monsters!$K656</f>
        <v>1.6</v>
      </c>
      <c r="BZ656" s="7">
        <f>[1]monsters!$D656</f>
        <v>2</v>
      </c>
      <c r="CA656" s="7">
        <f t="shared" si="221"/>
        <v>0.1</v>
      </c>
      <c r="CB656" s="7">
        <f t="shared" si="222"/>
        <v>293.70755404040403</v>
      </c>
      <c r="CC656" s="7">
        <f t="shared" si="223"/>
        <v>29.370755404040406</v>
      </c>
      <c r="CD656" s="7"/>
      <c r="CE656" s="7"/>
      <c r="CF656" s="7"/>
      <c r="CG656" s="7"/>
      <c r="CH656" s="7"/>
      <c r="CI656" s="7"/>
      <c r="CJ656" s="7"/>
      <c r="CK656" s="7"/>
      <c r="CL656" s="7"/>
      <c r="CM656" s="7"/>
      <c r="CN656" s="7"/>
      <c r="CO656" s="7"/>
      <c r="CP656" s="7"/>
      <c r="CR656" s="25"/>
      <c r="CS656" s="25"/>
      <c r="CT656" s="25"/>
      <c r="CU656" s="25"/>
      <c r="CV656" s="25"/>
      <c r="CW656" s="25"/>
      <c r="DP656" s="32"/>
      <c r="DQ656" s="32"/>
      <c r="DR656" s="32"/>
      <c r="DS656" s="32"/>
      <c r="DT656" s="32"/>
      <c r="DU656" s="32"/>
      <c r="DV656" s="32"/>
      <c r="DW656" s="32"/>
      <c r="DX656" s="32"/>
      <c r="DY656" s="32"/>
      <c r="DZ656" s="32"/>
      <c r="EA656" s="32"/>
      <c r="EB656" s="20"/>
      <c r="EC656" s="16">
        <v>1101105</v>
      </c>
      <c r="ED656" s="16" t="s">
        <v>302</v>
      </c>
      <c r="EE656" s="16">
        <v>1</v>
      </c>
    </row>
    <row r="657" spans="15:135" ht="13.5" customHeight="1">
      <c r="O657" s="25"/>
      <c r="AI657" s="28"/>
      <c r="AJ657" s="28"/>
      <c r="AK657" s="28"/>
      <c r="AL657" s="28"/>
      <c r="AM657" s="28"/>
      <c r="AN657" s="28"/>
      <c r="BR657" s="7">
        <v>5203052</v>
      </c>
      <c r="BS657" s="9">
        <f>[1]monsters!$N657</f>
        <v>238.93</v>
      </c>
      <c r="BT657" s="9">
        <f>[1]monsters!$O657</f>
        <v>23.89</v>
      </c>
      <c r="BU657" s="9">
        <f>[1]monsters!$P657</f>
        <v>2688</v>
      </c>
      <c r="BV657" s="9">
        <f>[1]monsters!$Q657</f>
        <v>268.8</v>
      </c>
      <c r="BW657" s="9">
        <f>[1]monsters!$R657</f>
        <v>79.64</v>
      </c>
      <c r="BX657" s="9">
        <f>[1]monsters!$S657</f>
        <v>7.96</v>
      </c>
      <c r="BY657" s="9">
        <f>[1]monsters!$K657</f>
        <v>1.6</v>
      </c>
      <c r="BZ657" s="7">
        <f>[1]monsters!$D657</f>
        <v>2</v>
      </c>
      <c r="CA657" s="7">
        <f t="shared" si="221"/>
        <v>0.1</v>
      </c>
      <c r="CB657" s="7">
        <f t="shared" si="222"/>
        <v>316.29390050505054</v>
      </c>
      <c r="CC657" s="7">
        <f t="shared" si="223"/>
        <v>31.629390050505055</v>
      </c>
      <c r="CD657" s="7"/>
      <c r="CE657" s="7"/>
      <c r="CF657" s="7"/>
      <c r="CG657" s="7"/>
      <c r="CH657" s="7"/>
      <c r="CI657" s="7"/>
      <c r="CJ657" s="7"/>
      <c r="CK657" s="7"/>
      <c r="CL657" s="7"/>
      <c r="CM657" s="7"/>
      <c r="CN657" s="7"/>
      <c r="CO657" s="7"/>
      <c r="CP657" s="7"/>
      <c r="CR657" s="25"/>
      <c r="CS657" s="25"/>
      <c r="CT657" s="25"/>
      <c r="CU657" s="25"/>
      <c r="CV657" s="25"/>
      <c r="CW657" s="25"/>
      <c r="DP657" s="32"/>
      <c r="DQ657" s="32"/>
      <c r="DR657" s="32"/>
      <c r="DS657" s="32"/>
      <c r="DT657" s="32"/>
      <c r="DU657" s="32"/>
      <c r="DV657" s="32"/>
      <c r="DW657" s="32"/>
      <c r="DX657" s="32"/>
      <c r="DY657" s="32"/>
      <c r="DZ657" s="32"/>
      <c r="EA657" s="32"/>
      <c r="EB657" s="49"/>
      <c r="EC657" s="16">
        <v>1101111</v>
      </c>
      <c r="ED657" s="16" t="s">
        <v>298</v>
      </c>
      <c r="EE657" s="16">
        <v>1</v>
      </c>
    </row>
    <row r="658" spans="15:135" ht="13.5" customHeight="1">
      <c r="O658" s="25"/>
      <c r="AI658" s="28"/>
      <c r="AJ658" s="28"/>
      <c r="AK658" s="28"/>
      <c r="AL658" s="28"/>
      <c r="AM658" s="28"/>
      <c r="AN658" s="28"/>
      <c r="BR658" s="7">
        <v>5403052</v>
      </c>
      <c r="BS658" s="9">
        <f>[1]monsters!$N658</f>
        <v>238.93</v>
      </c>
      <c r="BT658" s="9">
        <f>[1]monsters!$O658</f>
        <v>23.89</v>
      </c>
      <c r="BU658" s="9">
        <f>[1]monsters!$P658</f>
        <v>2688</v>
      </c>
      <c r="BV658" s="9">
        <f>[1]monsters!$Q658</f>
        <v>268.8</v>
      </c>
      <c r="BW658" s="9">
        <f>[1]monsters!$R658</f>
        <v>79.64</v>
      </c>
      <c r="BX658" s="9">
        <f>[1]monsters!$S658</f>
        <v>7.96</v>
      </c>
      <c r="BY658" s="9">
        <f>[1]monsters!$K658</f>
        <v>1.6</v>
      </c>
      <c r="BZ658" s="7">
        <f>[1]monsters!$D658</f>
        <v>2</v>
      </c>
      <c r="CA658" s="7">
        <f t="shared" si="221"/>
        <v>0.1</v>
      </c>
      <c r="CB658" s="7">
        <f t="shared" si="222"/>
        <v>316.29390050505054</v>
      </c>
      <c r="CC658" s="7">
        <f t="shared" si="223"/>
        <v>31.629390050505055</v>
      </c>
      <c r="CD658" s="7"/>
      <c r="CE658" s="7"/>
      <c r="CF658" s="7"/>
      <c r="CG658" s="7"/>
      <c r="CH658" s="7"/>
      <c r="CI658" s="7"/>
      <c r="CJ658" s="7"/>
      <c r="CK658" s="7"/>
      <c r="CL658" s="7"/>
      <c r="CM658" s="7"/>
      <c r="CN658" s="7"/>
      <c r="CO658" s="7"/>
      <c r="CP658" s="7"/>
      <c r="CR658" s="25"/>
      <c r="CS658" s="25"/>
      <c r="CT658" s="25"/>
      <c r="CU658" s="25"/>
      <c r="CV658" s="25"/>
      <c r="CW658" s="25"/>
      <c r="DP658" s="32"/>
      <c r="DQ658" s="32"/>
      <c r="DR658" s="32"/>
      <c r="DS658" s="32"/>
      <c r="DT658" s="32"/>
      <c r="DU658" s="32"/>
      <c r="DV658" s="32"/>
      <c r="DW658" s="32"/>
      <c r="DX658" s="32"/>
      <c r="DY658" s="32"/>
      <c r="DZ658" s="32"/>
      <c r="EA658" s="32"/>
      <c r="EB658" s="49"/>
      <c r="EC658" s="16">
        <v>1101112</v>
      </c>
      <c r="ED658" s="16" t="s">
        <v>299</v>
      </c>
      <c r="EE658" s="16">
        <v>1</v>
      </c>
    </row>
    <row r="659" spans="15:135" ht="13.5" customHeight="1">
      <c r="O659" s="25"/>
      <c r="AI659" s="28"/>
      <c r="AJ659" s="28"/>
      <c r="AK659" s="28"/>
      <c r="AL659" s="28"/>
      <c r="AM659" s="28"/>
      <c r="AN659" s="28"/>
      <c r="BR659" s="7">
        <v>5204052</v>
      </c>
      <c r="BS659" s="9">
        <f>[1]monsters!$N659</f>
        <v>238.93</v>
      </c>
      <c r="BT659" s="9">
        <f>[1]monsters!$O659</f>
        <v>23.89</v>
      </c>
      <c r="BU659" s="9">
        <f>[1]monsters!$P659</f>
        <v>2688</v>
      </c>
      <c r="BV659" s="9">
        <f>[1]monsters!$Q659</f>
        <v>268.8</v>
      </c>
      <c r="BW659" s="9">
        <f>[1]monsters!$R659</f>
        <v>79.64</v>
      </c>
      <c r="BX659" s="9">
        <f>[1]monsters!$S659</f>
        <v>7.96</v>
      </c>
      <c r="BY659" s="9">
        <f>[1]monsters!$K659</f>
        <v>1.6</v>
      </c>
      <c r="BZ659" s="7">
        <f>[1]monsters!$D659</f>
        <v>2</v>
      </c>
      <c r="CA659" s="7">
        <f t="shared" si="221"/>
        <v>0.1</v>
      </c>
      <c r="CB659" s="7">
        <f t="shared" si="222"/>
        <v>316.29390050505054</v>
      </c>
      <c r="CC659" s="7">
        <f t="shared" si="223"/>
        <v>31.629390050505055</v>
      </c>
      <c r="CD659" s="7"/>
      <c r="CE659" s="7"/>
      <c r="CF659" s="7"/>
      <c r="CG659" s="7"/>
      <c r="CH659" s="7"/>
      <c r="CI659" s="7"/>
      <c r="CJ659" s="7"/>
      <c r="CK659" s="7"/>
      <c r="CL659" s="7"/>
      <c r="CM659" s="7"/>
      <c r="CN659" s="7"/>
      <c r="CO659" s="7"/>
      <c r="CP659" s="7"/>
      <c r="CR659" s="25"/>
      <c r="CS659" s="25"/>
      <c r="CT659" s="25"/>
      <c r="CU659" s="25"/>
      <c r="CV659" s="25"/>
      <c r="CW659" s="25"/>
      <c r="DP659" s="13"/>
      <c r="DQ659" s="13"/>
      <c r="DR659" s="13"/>
      <c r="DS659" s="32"/>
      <c r="DT659" s="32"/>
      <c r="DU659" s="32"/>
      <c r="DV659" s="32"/>
      <c r="DW659" s="32"/>
      <c r="DX659" s="32"/>
      <c r="DY659" s="32"/>
      <c r="DZ659" s="32"/>
      <c r="EA659" s="32"/>
      <c r="EB659" s="49"/>
      <c r="EC659" s="16">
        <v>1101113</v>
      </c>
      <c r="ED659" s="16" t="s">
        <v>300</v>
      </c>
      <c r="EE659" s="16">
        <v>1</v>
      </c>
    </row>
    <row r="660" spans="15:135" ht="13.5" customHeight="1">
      <c r="O660" s="25"/>
      <c r="AI660" s="28"/>
      <c r="AJ660" s="28"/>
      <c r="AK660" s="28"/>
      <c r="AL660" s="28"/>
      <c r="AM660" s="28"/>
      <c r="AN660" s="28"/>
      <c r="BR660" s="7">
        <v>5404052</v>
      </c>
      <c r="BS660" s="9">
        <f>[1]monsters!$N660</f>
        <v>238.93</v>
      </c>
      <c r="BT660" s="9">
        <f>[1]monsters!$O660</f>
        <v>23.89</v>
      </c>
      <c r="BU660" s="9">
        <f>[1]monsters!$P660</f>
        <v>2688</v>
      </c>
      <c r="BV660" s="9">
        <f>[1]monsters!$Q660</f>
        <v>268.8</v>
      </c>
      <c r="BW660" s="9">
        <f>[1]monsters!$R660</f>
        <v>79.64</v>
      </c>
      <c r="BX660" s="9">
        <f>[1]monsters!$S660</f>
        <v>7.96</v>
      </c>
      <c r="BY660" s="9">
        <f>[1]monsters!$K660</f>
        <v>1.6</v>
      </c>
      <c r="BZ660" s="7">
        <f>[1]monsters!$D660</f>
        <v>2</v>
      </c>
      <c r="CA660" s="7">
        <f t="shared" si="221"/>
        <v>0.1</v>
      </c>
      <c r="CB660" s="7">
        <f t="shared" si="222"/>
        <v>316.29390050505054</v>
      </c>
      <c r="CC660" s="7">
        <f t="shared" si="223"/>
        <v>31.629390050505055</v>
      </c>
      <c r="CD660" s="7"/>
      <c r="CE660" s="7"/>
      <c r="CF660" s="7"/>
      <c r="CG660" s="7"/>
      <c r="CH660" s="7"/>
      <c r="CI660" s="7"/>
      <c r="CJ660" s="7"/>
      <c r="CK660" s="7"/>
      <c r="CL660" s="7"/>
      <c r="CM660" s="7"/>
      <c r="CN660" s="7"/>
      <c r="CO660" s="7"/>
      <c r="CP660" s="7"/>
      <c r="CR660" s="25"/>
      <c r="CS660" s="25"/>
      <c r="CT660" s="25"/>
      <c r="CU660" s="25"/>
      <c r="CV660" s="25"/>
      <c r="CW660" s="25"/>
      <c r="DP660" s="32"/>
      <c r="DQ660" s="32"/>
      <c r="DR660" s="32"/>
      <c r="DS660" s="32"/>
      <c r="DT660" s="32"/>
      <c r="DU660" s="32"/>
      <c r="DV660" s="32"/>
      <c r="DW660" s="32"/>
      <c r="DX660" s="32"/>
      <c r="DY660" s="32"/>
      <c r="DZ660" s="32"/>
      <c r="EA660" s="32"/>
      <c r="EB660" s="20"/>
      <c r="EC660" s="16">
        <v>1101114</v>
      </c>
      <c r="ED660" s="16" t="s">
        <v>301</v>
      </c>
      <c r="EE660" s="16">
        <v>1</v>
      </c>
    </row>
    <row r="661" spans="15:135" ht="13.5" customHeight="1">
      <c r="O661" s="25"/>
      <c r="AI661" s="28"/>
      <c r="AJ661" s="28"/>
      <c r="AK661" s="28"/>
      <c r="AL661" s="28"/>
      <c r="AM661" s="28"/>
      <c r="AN661" s="28"/>
      <c r="BR661" s="7">
        <v>5303052</v>
      </c>
      <c r="BS661" s="9">
        <f>[1]monsters!$N661</f>
        <v>238.93</v>
      </c>
      <c r="BT661" s="9">
        <f>[1]monsters!$O661</f>
        <v>23.89</v>
      </c>
      <c r="BU661" s="9">
        <f>[1]monsters!$P661</f>
        <v>2688</v>
      </c>
      <c r="BV661" s="9">
        <f>[1]monsters!$Q661</f>
        <v>268.8</v>
      </c>
      <c r="BW661" s="9">
        <f>[1]monsters!$R661</f>
        <v>79.64</v>
      </c>
      <c r="BX661" s="9">
        <f>[1]monsters!$S661</f>
        <v>7.96</v>
      </c>
      <c r="BY661" s="9">
        <f>[1]monsters!$K661</f>
        <v>1.6</v>
      </c>
      <c r="BZ661" s="7">
        <f>[1]monsters!$D661</f>
        <v>2</v>
      </c>
      <c r="CA661" s="7">
        <f t="shared" si="221"/>
        <v>0.1</v>
      </c>
      <c r="CB661" s="7">
        <f t="shared" si="222"/>
        <v>316.29390050505054</v>
      </c>
      <c r="CC661" s="7">
        <f t="shared" si="223"/>
        <v>31.629390050505055</v>
      </c>
      <c r="CD661" s="7"/>
      <c r="CE661" s="7"/>
      <c r="CF661" s="7"/>
      <c r="CG661" s="7"/>
      <c r="CH661" s="7"/>
      <c r="CI661" s="7"/>
      <c r="CJ661" s="7"/>
      <c r="CK661" s="7"/>
      <c r="CL661" s="7"/>
      <c r="CM661" s="7"/>
      <c r="CN661" s="7"/>
      <c r="CO661" s="7"/>
      <c r="CP661" s="7"/>
      <c r="CR661" s="25"/>
      <c r="CS661" s="25"/>
      <c r="CT661" s="25"/>
      <c r="CU661" s="25"/>
      <c r="CV661" s="25"/>
      <c r="CW661" s="25"/>
      <c r="DP661" s="32"/>
      <c r="DQ661" s="32"/>
      <c r="DR661" s="32"/>
      <c r="DS661" s="32"/>
      <c r="DT661" s="32"/>
      <c r="DU661" s="32"/>
      <c r="DV661" s="32"/>
      <c r="DW661" s="32"/>
      <c r="DX661" s="32"/>
      <c r="DY661" s="32"/>
      <c r="DZ661" s="32"/>
      <c r="EA661" s="32"/>
      <c r="EB661" s="49"/>
      <c r="EC661" s="16">
        <v>1101115</v>
      </c>
      <c r="ED661" s="16" t="s">
        <v>302</v>
      </c>
      <c r="EE661" s="16">
        <v>1</v>
      </c>
    </row>
    <row r="662" spans="15:135" ht="13.5" customHeight="1">
      <c r="O662" s="25"/>
      <c r="AI662" s="28"/>
      <c r="AJ662" s="28"/>
      <c r="AK662" s="28"/>
      <c r="AL662" s="28"/>
      <c r="AM662" s="28"/>
      <c r="AN662" s="28"/>
      <c r="BR662" s="7">
        <v>5304052</v>
      </c>
      <c r="BS662" s="9">
        <f>[1]monsters!$N662</f>
        <v>256</v>
      </c>
      <c r="BT662" s="9">
        <f>[1]monsters!$O662</f>
        <v>25.6</v>
      </c>
      <c r="BU662" s="9">
        <f>[1]monsters!$P662</f>
        <v>2880</v>
      </c>
      <c r="BV662" s="9">
        <f>[1]monsters!$Q662</f>
        <v>288</v>
      </c>
      <c r="BW662" s="9">
        <f>[1]monsters!$R662</f>
        <v>85.33</v>
      </c>
      <c r="BX662" s="9">
        <f>[1]monsters!$S662</f>
        <v>8.5299999999999994</v>
      </c>
      <c r="BY662" s="9">
        <f>[1]monsters!$K662</f>
        <v>1.6</v>
      </c>
      <c r="BZ662" s="7">
        <f>[1]monsters!$D662</f>
        <v>2</v>
      </c>
      <c r="CA662" s="7">
        <f t="shared" si="221"/>
        <v>0.1</v>
      </c>
      <c r="CB662" s="7">
        <f t="shared" si="222"/>
        <v>338.88969696969696</v>
      </c>
      <c r="CC662" s="7">
        <f t="shared" si="223"/>
        <v>33.888969696969696</v>
      </c>
      <c r="CD662" s="7"/>
      <c r="CE662" s="7"/>
      <c r="CF662" s="7"/>
      <c r="CG662" s="7"/>
      <c r="CH662" s="7"/>
      <c r="CI662" s="7"/>
      <c r="CJ662" s="7"/>
      <c r="CK662" s="7"/>
      <c r="CL662" s="7"/>
      <c r="CM662" s="7"/>
      <c r="CN662" s="7"/>
      <c r="CO662" s="7"/>
      <c r="CP662" s="7"/>
      <c r="CR662" s="25"/>
      <c r="CS662" s="25"/>
      <c r="CT662" s="25"/>
      <c r="CU662" s="25"/>
      <c r="CV662" s="25"/>
      <c r="CW662" s="25"/>
      <c r="DP662" s="32"/>
      <c r="DQ662" s="32"/>
      <c r="DR662" s="32"/>
      <c r="DS662" s="32"/>
      <c r="DT662" s="32"/>
      <c r="DU662" s="32"/>
      <c r="DV662" s="32"/>
      <c r="DW662" s="32"/>
      <c r="DX662" s="32"/>
      <c r="DY662" s="32"/>
      <c r="DZ662" s="32"/>
      <c r="EA662" s="32"/>
      <c r="EB662" s="49"/>
      <c r="EC662" s="16">
        <v>1101121</v>
      </c>
      <c r="ED662" s="16" t="s">
        <v>298</v>
      </c>
      <c r="EE662" s="16">
        <v>1</v>
      </c>
    </row>
    <row r="663" spans="15:135" ht="13.5" customHeight="1">
      <c r="O663" s="25"/>
      <c r="AI663" s="28"/>
      <c r="AJ663" s="28"/>
      <c r="AK663" s="28"/>
      <c r="AL663" s="28"/>
      <c r="AM663" s="28"/>
      <c r="AN663" s="28"/>
      <c r="BR663" s="7">
        <v>5503052</v>
      </c>
      <c r="BS663" s="9">
        <f>[1]monsters!$N663</f>
        <v>256</v>
      </c>
      <c r="BT663" s="9">
        <f>[1]monsters!$O663</f>
        <v>25.6</v>
      </c>
      <c r="BU663" s="9">
        <f>[1]monsters!$P663</f>
        <v>2880</v>
      </c>
      <c r="BV663" s="9">
        <f>[1]monsters!$Q663</f>
        <v>288</v>
      </c>
      <c r="BW663" s="9">
        <f>[1]monsters!$R663</f>
        <v>85.33</v>
      </c>
      <c r="BX663" s="9">
        <f>[1]monsters!$S663</f>
        <v>8.5299999999999994</v>
      </c>
      <c r="BY663" s="9">
        <f>[1]monsters!$K663</f>
        <v>1.6</v>
      </c>
      <c r="BZ663" s="7">
        <f>[1]monsters!$D663</f>
        <v>2</v>
      </c>
      <c r="CA663" s="7">
        <f t="shared" si="221"/>
        <v>0.1</v>
      </c>
      <c r="CB663" s="7">
        <f t="shared" si="222"/>
        <v>338.88969696969696</v>
      </c>
      <c r="CC663" s="7">
        <f t="shared" si="223"/>
        <v>33.888969696969696</v>
      </c>
      <c r="CD663" s="7"/>
      <c r="CE663" s="7"/>
      <c r="CF663" s="7"/>
      <c r="CG663" s="7"/>
      <c r="CH663" s="7"/>
      <c r="CI663" s="7"/>
      <c r="CJ663" s="7"/>
      <c r="CK663" s="7"/>
      <c r="CL663" s="7"/>
      <c r="CM663" s="7"/>
      <c r="CN663" s="7"/>
      <c r="CO663" s="7"/>
      <c r="CP663" s="7"/>
      <c r="CR663" s="25"/>
      <c r="CS663" s="25"/>
      <c r="CT663" s="25"/>
      <c r="CU663" s="25"/>
      <c r="CV663" s="25"/>
      <c r="CW663" s="25"/>
      <c r="DP663" s="32"/>
      <c r="DQ663" s="32"/>
      <c r="DR663" s="32"/>
      <c r="DS663" s="32"/>
      <c r="DT663" s="32"/>
      <c r="DU663" s="32"/>
      <c r="DV663" s="32"/>
      <c r="DW663" s="32"/>
      <c r="DX663" s="32"/>
      <c r="DY663" s="32"/>
      <c r="DZ663" s="32"/>
      <c r="EA663" s="32"/>
      <c r="EB663" s="20"/>
      <c r="EC663" s="16">
        <v>1101122</v>
      </c>
      <c r="ED663" s="16" t="s">
        <v>299</v>
      </c>
      <c r="EE663" s="16">
        <v>1</v>
      </c>
    </row>
    <row r="664" spans="15:135" ht="13.5" customHeight="1">
      <c r="O664" s="25"/>
      <c r="AI664" s="28"/>
      <c r="AJ664" s="28"/>
      <c r="AK664" s="28"/>
      <c r="AL664" s="28"/>
      <c r="AM664" s="28"/>
      <c r="AN664" s="28"/>
      <c r="BR664" s="7">
        <v>5504052</v>
      </c>
      <c r="BS664" s="9">
        <f>[1]monsters!$N664</f>
        <v>256</v>
      </c>
      <c r="BT664" s="9">
        <f>[1]monsters!$O664</f>
        <v>25.6</v>
      </c>
      <c r="BU664" s="9">
        <f>[1]monsters!$P664</f>
        <v>2880</v>
      </c>
      <c r="BV664" s="9">
        <f>[1]monsters!$Q664</f>
        <v>288</v>
      </c>
      <c r="BW664" s="9">
        <f>[1]monsters!$R664</f>
        <v>85.33</v>
      </c>
      <c r="BX664" s="9">
        <f>[1]monsters!$S664</f>
        <v>8.5299999999999994</v>
      </c>
      <c r="BY664" s="9">
        <f>[1]monsters!$K664</f>
        <v>1.6</v>
      </c>
      <c r="BZ664" s="7">
        <f>[1]monsters!$D664</f>
        <v>2</v>
      </c>
      <c r="CA664" s="7">
        <f t="shared" si="221"/>
        <v>0.1</v>
      </c>
      <c r="CB664" s="7">
        <f t="shared" si="222"/>
        <v>338.88969696969696</v>
      </c>
      <c r="CC664" s="7">
        <f t="shared" si="223"/>
        <v>33.888969696969696</v>
      </c>
      <c r="CD664" s="7"/>
      <c r="CE664" s="7"/>
      <c r="CF664" s="7"/>
      <c r="CG664" s="7"/>
      <c r="CH664" s="7"/>
      <c r="CI664" s="7"/>
      <c r="CJ664" s="7"/>
      <c r="CK664" s="7"/>
      <c r="CL664" s="7"/>
      <c r="CM664" s="7"/>
      <c r="CN664" s="7"/>
      <c r="CO664" s="7"/>
      <c r="CP664" s="7"/>
      <c r="CR664" s="25"/>
      <c r="CS664" s="25"/>
      <c r="CT664" s="25"/>
      <c r="CU664" s="25"/>
      <c r="CV664" s="25"/>
      <c r="CW664" s="25"/>
      <c r="DP664" s="32"/>
      <c r="DQ664" s="32"/>
      <c r="DR664" s="32"/>
      <c r="DS664" s="32"/>
      <c r="DT664" s="32"/>
      <c r="DU664" s="32"/>
      <c r="DV664" s="32"/>
      <c r="DW664" s="32"/>
      <c r="DX664" s="32"/>
      <c r="DY664" s="32"/>
      <c r="DZ664" s="32"/>
      <c r="EA664" s="32"/>
      <c r="EB664" s="49"/>
      <c r="EC664" s="16">
        <v>1101123</v>
      </c>
      <c r="ED664" s="16" t="s">
        <v>300</v>
      </c>
      <c r="EE664" s="16">
        <v>1</v>
      </c>
    </row>
    <row r="665" spans="15:135" ht="13.5" customHeight="1">
      <c r="O665" s="25"/>
      <c r="AI665" s="28"/>
      <c r="AJ665" s="28"/>
      <c r="AK665" s="28"/>
      <c r="AL665" s="28"/>
      <c r="AM665" s="28"/>
      <c r="AN665" s="28"/>
      <c r="BR665" s="7">
        <v>5101052</v>
      </c>
      <c r="BS665" s="9">
        <f>[1]monsters!$N665</f>
        <v>256</v>
      </c>
      <c r="BT665" s="9">
        <f>[1]monsters!$O665</f>
        <v>25.6</v>
      </c>
      <c r="BU665" s="9">
        <f>[1]monsters!$P665</f>
        <v>2880</v>
      </c>
      <c r="BV665" s="9">
        <f>[1]monsters!$Q665</f>
        <v>288</v>
      </c>
      <c r="BW665" s="9">
        <f>[1]monsters!$R665</f>
        <v>85.33</v>
      </c>
      <c r="BX665" s="9">
        <f>[1]monsters!$S665</f>
        <v>8.5299999999999994</v>
      </c>
      <c r="BY665" s="9">
        <f>[1]monsters!$K665</f>
        <v>1.6</v>
      </c>
      <c r="BZ665" s="7">
        <f>[1]monsters!$D665</f>
        <v>2</v>
      </c>
      <c r="CA665" s="7">
        <f t="shared" si="221"/>
        <v>0.1</v>
      </c>
      <c r="CB665" s="7">
        <f t="shared" si="222"/>
        <v>338.88969696969696</v>
      </c>
      <c r="CC665" s="7">
        <f t="shared" si="223"/>
        <v>33.888969696969696</v>
      </c>
      <c r="CD665" s="7"/>
      <c r="CE665" s="7"/>
      <c r="CF665" s="7"/>
      <c r="CG665" s="7"/>
      <c r="CH665" s="7"/>
      <c r="CI665" s="7"/>
      <c r="CJ665" s="7"/>
      <c r="CK665" s="7"/>
      <c r="CL665" s="7"/>
      <c r="CM665" s="7"/>
      <c r="CN665" s="7"/>
      <c r="CO665" s="7"/>
      <c r="CP665" s="7"/>
      <c r="CR665" s="25"/>
      <c r="CS665" s="25"/>
      <c r="CT665" s="25"/>
      <c r="CU665" s="25"/>
      <c r="CV665" s="25"/>
      <c r="CW665" s="25"/>
      <c r="DP665" s="32"/>
      <c r="DQ665" s="32"/>
      <c r="DR665" s="32"/>
      <c r="DS665" s="32"/>
      <c r="DT665" s="32"/>
      <c r="DU665" s="32"/>
      <c r="DV665" s="32"/>
      <c r="DW665" s="32"/>
      <c r="DX665" s="32"/>
      <c r="DY665" s="32"/>
      <c r="DZ665" s="32"/>
      <c r="EA665" s="32"/>
      <c r="EB665" s="49"/>
      <c r="EC665" s="16">
        <v>1101124</v>
      </c>
      <c r="ED665" s="16" t="s">
        <v>301</v>
      </c>
      <c r="EE665" s="16">
        <v>1</v>
      </c>
    </row>
    <row r="666" spans="15:135" ht="13.5" customHeight="1">
      <c r="O666" s="25"/>
      <c r="AI666" s="28"/>
      <c r="AJ666" s="28"/>
      <c r="AK666" s="28"/>
      <c r="AL666" s="28"/>
      <c r="AM666" s="28"/>
      <c r="AN666" s="28"/>
      <c r="BR666" s="7">
        <v>5102052</v>
      </c>
      <c r="BS666" s="9">
        <f>[1]monsters!$N666</f>
        <v>256</v>
      </c>
      <c r="BT666" s="9">
        <f>[1]monsters!$O666</f>
        <v>25.6</v>
      </c>
      <c r="BU666" s="9">
        <f>[1]monsters!$P666</f>
        <v>2880</v>
      </c>
      <c r="BV666" s="9">
        <f>[1]monsters!$Q666</f>
        <v>288</v>
      </c>
      <c r="BW666" s="9">
        <f>[1]monsters!$R666</f>
        <v>85.33</v>
      </c>
      <c r="BX666" s="9">
        <f>[1]monsters!$S666</f>
        <v>8.5299999999999994</v>
      </c>
      <c r="BY666" s="9">
        <f>[1]monsters!$K666</f>
        <v>1.6</v>
      </c>
      <c r="BZ666" s="7">
        <f>[1]monsters!$D666</f>
        <v>2</v>
      </c>
      <c r="CA666" s="7">
        <f t="shared" si="221"/>
        <v>0.1</v>
      </c>
      <c r="CB666" s="7">
        <f t="shared" si="222"/>
        <v>338.88969696969696</v>
      </c>
      <c r="CC666" s="7">
        <f t="shared" si="223"/>
        <v>33.888969696969696</v>
      </c>
      <c r="CD666" s="7"/>
      <c r="CE666" s="7"/>
      <c r="CF666" s="7"/>
      <c r="CG666" s="7"/>
      <c r="CH666" s="7"/>
      <c r="CI666" s="7"/>
      <c r="CJ666" s="7"/>
      <c r="CK666" s="7"/>
      <c r="CL666" s="7"/>
      <c r="CM666" s="7"/>
      <c r="CN666" s="7"/>
      <c r="CO666" s="7"/>
      <c r="CP666" s="7"/>
      <c r="CR666" s="25"/>
      <c r="CS666" s="25"/>
      <c r="CT666" s="25"/>
      <c r="CU666" s="25"/>
      <c r="CV666" s="25"/>
      <c r="CW666" s="25"/>
      <c r="DP666" s="32"/>
      <c r="DQ666" s="32"/>
      <c r="DR666" s="32"/>
      <c r="DS666" s="32"/>
      <c r="DT666" s="32"/>
      <c r="DU666" s="32"/>
      <c r="DV666" s="32"/>
      <c r="DW666" s="32"/>
      <c r="DX666" s="32"/>
      <c r="DY666" s="32"/>
      <c r="DZ666" s="32"/>
      <c r="EA666" s="32"/>
      <c r="EB666" s="49"/>
      <c r="EC666" s="16">
        <v>1101125</v>
      </c>
      <c r="ED666" s="16" t="s">
        <v>302</v>
      </c>
      <c r="EE666" s="16">
        <v>1</v>
      </c>
    </row>
    <row r="667" spans="15:135" ht="13.5" customHeight="1">
      <c r="O667" s="25"/>
      <c r="AI667" s="28"/>
      <c r="AJ667" s="28"/>
      <c r="AK667" s="28"/>
      <c r="AL667" s="28"/>
      <c r="AM667" s="28"/>
      <c r="AN667" s="28"/>
      <c r="BR667" s="7">
        <v>5206053</v>
      </c>
      <c r="BS667" s="9">
        <f>[1]monsters!$N667</f>
        <v>273.07</v>
      </c>
      <c r="BT667" s="9">
        <f>[1]monsters!$O667</f>
        <v>27.31</v>
      </c>
      <c r="BU667" s="9">
        <f>[1]monsters!$P667</f>
        <v>3072</v>
      </c>
      <c r="BV667" s="9">
        <f>[1]monsters!$Q667</f>
        <v>307.2</v>
      </c>
      <c r="BW667" s="9">
        <f>[1]monsters!$R667</f>
        <v>91.02</v>
      </c>
      <c r="BX667" s="9">
        <f>[1]monsters!$S667</f>
        <v>9.1</v>
      </c>
      <c r="BY667" s="9">
        <f>[1]monsters!$K667</f>
        <v>1.6</v>
      </c>
      <c r="BZ667" s="7">
        <f>[1]monsters!$D667</f>
        <v>2</v>
      </c>
      <c r="CA667" s="7">
        <f t="shared" si="221"/>
        <v>0.1</v>
      </c>
      <c r="CB667" s="7">
        <f t="shared" si="222"/>
        <v>361.48549343434343</v>
      </c>
      <c r="CC667" s="7">
        <f t="shared" si="223"/>
        <v>36.148549343434347</v>
      </c>
      <c r="CD667" s="7"/>
      <c r="CE667" s="7"/>
      <c r="CF667" s="7"/>
      <c r="CG667" s="7"/>
      <c r="CH667" s="7"/>
      <c r="CI667" s="7"/>
      <c r="CJ667" s="7"/>
      <c r="CK667" s="7"/>
      <c r="CL667" s="7"/>
      <c r="CM667" s="7"/>
      <c r="CN667" s="7"/>
      <c r="CO667" s="7"/>
      <c r="CP667" s="7"/>
      <c r="CR667" s="25"/>
      <c r="CS667" s="25"/>
      <c r="CT667" s="25"/>
      <c r="CU667" s="25"/>
      <c r="CV667" s="25"/>
      <c r="CW667" s="25"/>
      <c r="DP667" s="32"/>
      <c r="DQ667" s="32"/>
      <c r="DR667" s="32"/>
      <c r="DS667" s="32"/>
      <c r="DT667" s="32"/>
      <c r="DU667" s="32"/>
      <c r="DV667" s="32"/>
      <c r="DW667" s="32"/>
      <c r="DX667" s="32"/>
      <c r="DY667" s="32"/>
      <c r="DZ667" s="32"/>
      <c r="EA667" s="32"/>
      <c r="EB667" s="31"/>
      <c r="EC667" s="16">
        <v>1101131</v>
      </c>
      <c r="ED667" s="16" t="s">
        <v>298</v>
      </c>
      <c r="EE667" s="16">
        <v>1</v>
      </c>
    </row>
    <row r="668" spans="15:135" ht="13.5" customHeight="1">
      <c r="O668" s="25"/>
      <c r="AI668" s="28"/>
      <c r="AJ668" s="28"/>
      <c r="AK668" s="28"/>
      <c r="AL668" s="28"/>
      <c r="AM668" s="28"/>
      <c r="AN668" s="28"/>
      <c r="BR668" s="7">
        <v>5406053</v>
      </c>
      <c r="BS668" s="9">
        <f>[1]monsters!$N668</f>
        <v>273.07</v>
      </c>
      <c r="BT668" s="9">
        <f>[1]monsters!$O668</f>
        <v>27.31</v>
      </c>
      <c r="BU668" s="9">
        <f>[1]monsters!$P668</f>
        <v>3072</v>
      </c>
      <c r="BV668" s="9">
        <f>[1]monsters!$Q668</f>
        <v>307.2</v>
      </c>
      <c r="BW668" s="9">
        <f>[1]monsters!$R668</f>
        <v>91.02</v>
      </c>
      <c r="BX668" s="9">
        <f>[1]monsters!$S668</f>
        <v>9.1</v>
      </c>
      <c r="BY668" s="9">
        <f>[1]monsters!$K668</f>
        <v>1.6</v>
      </c>
      <c r="BZ668" s="7">
        <f>[1]monsters!$D668</f>
        <v>2</v>
      </c>
      <c r="CA668" s="7">
        <f t="shared" si="221"/>
        <v>0.1</v>
      </c>
      <c r="CB668" s="7">
        <f t="shared" si="222"/>
        <v>361.48549343434343</v>
      </c>
      <c r="CC668" s="7">
        <f t="shared" si="223"/>
        <v>36.148549343434347</v>
      </c>
      <c r="CD668" s="7"/>
      <c r="CE668" s="7"/>
      <c r="CF668" s="7"/>
      <c r="CG668" s="7"/>
      <c r="CH668" s="7"/>
      <c r="CI668" s="7"/>
      <c r="CJ668" s="7"/>
      <c r="CK668" s="7"/>
      <c r="CL668" s="7"/>
      <c r="CM668" s="7"/>
      <c r="CN668" s="7"/>
      <c r="CO668" s="7"/>
      <c r="CP668" s="7"/>
      <c r="CR668" s="25"/>
      <c r="CS668" s="25"/>
      <c r="CT668" s="25"/>
      <c r="CU668" s="25"/>
      <c r="CV668" s="25"/>
      <c r="CW668" s="25"/>
      <c r="DP668" s="32"/>
      <c r="DQ668" s="32"/>
      <c r="DR668" s="32"/>
      <c r="DS668" s="32"/>
      <c r="DT668" s="32"/>
      <c r="DU668" s="32"/>
      <c r="DV668" s="32"/>
      <c r="DW668" s="32"/>
      <c r="DX668" s="32"/>
      <c r="DY668" s="32"/>
      <c r="DZ668" s="32"/>
      <c r="EA668" s="32"/>
      <c r="EB668" s="31"/>
      <c r="EC668" s="16">
        <v>1101132</v>
      </c>
      <c r="ED668" s="16" t="s">
        <v>299</v>
      </c>
      <c r="EE668" s="16">
        <v>1</v>
      </c>
    </row>
    <row r="669" spans="15:135" ht="13.5" customHeight="1">
      <c r="O669" s="25"/>
      <c r="AI669" s="28"/>
      <c r="AJ669" s="28"/>
      <c r="AK669" s="28"/>
      <c r="AL669" s="28"/>
      <c r="AM669" s="28"/>
      <c r="AN669" s="28"/>
      <c r="BR669" s="7">
        <v>5205053</v>
      </c>
      <c r="BS669" s="9">
        <f>[1]monsters!$N669</f>
        <v>273.07</v>
      </c>
      <c r="BT669" s="9">
        <f>[1]monsters!$O669</f>
        <v>27.31</v>
      </c>
      <c r="BU669" s="9">
        <f>[1]monsters!$P669</f>
        <v>3072</v>
      </c>
      <c r="BV669" s="9">
        <f>[1]monsters!$Q669</f>
        <v>307.2</v>
      </c>
      <c r="BW669" s="9">
        <f>[1]monsters!$R669</f>
        <v>91.02</v>
      </c>
      <c r="BX669" s="9">
        <f>[1]monsters!$S669</f>
        <v>9.1</v>
      </c>
      <c r="BY669" s="9">
        <f>[1]monsters!$K669</f>
        <v>1.6</v>
      </c>
      <c r="BZ669" s="7">
        <f>[1]monsters!$D669</f>
        <v>2</v>
      </c>
      <c r="CA669" s="7">
        <f t="shared" si="221"/>
        <v>0.1</v>
      </c>
      <c r="CB669" s="7">
        <f t="shared" si="222"/>
        <v>361.48549343434343</v>
      </c>
      <c r="CC669" s="7">
        <f t="shared" si="223"/>
        <v>36.148549343434347</v>
      </c>
      <c r="CD669" s="7"/>
      <c r="CE669" s="7"/>
      <c r="CF669" s="7"/>
      <c r="CG669" s="7"/>
      <c r="CH669" s="7"/>
      <c r="CI669" s="7"/>
      <c r="CJ669" s="7"/>
      <c r="CK669" s="7"/>
      <c r="CL669" s="7"/>
      <c r="CM669" s="7"/>
      <c r="CN669" s="7"/>
      <c r="CO669" s="7"/>
      <c r="CP669" s="7"/>
      <c r="CR669" s="25"/>
      <c r="CS669" s="25"/>
      <c r="CT669" s="25"/>
      <c r="CU669" s="25"/>
      <c r="CV669" s="25"/>
      <c r="CW669" s="25"/>
      <c r="DP669" s="32"/>
      <c r="DQ669" s="32"/>
      <c r="DR669" s="32"/>
      <c r="DS669" s="32"/>
      <c r="DT669" s="32"/>
      <c r="DU669" s="32"/>
      <c r="DV669" s="32"/>
      <c r="DW669" s="32"/>
      <c r="DX669" s="32"/>
      <c r="DY669" s="32"/>
      <c r="DZ669" s="32"/>
      <c r="EA669" s="32"/>
      <c r="EB669" s="31"/>
      <c r="EC669" s="16">
        <v>1101133</v>
      </c>
      <c r="ED669" s="16" t="s">
        <v>300</v>
      </c>
      <c r="EE669" s="16">
        <v>1</v>
      </c>
    </row>
    <row r="670" spans="15:135" ht="13.5" customHeight="1">
      <c r="O670" s="25"/>
      <c r="AI670" s="28"/>
      <c r="AJ670" s="28"/>
      <c r="AK670" s="28"/>
      <c r="AL670" s="28"/>
      <c r="AM670" s="28"/>
      <c r="AN670" s="28"/>
      <c r="BR670" s="7">
        <v>5405053</v>
      </c>
      <c r="BS670" s="9">
        <f>[1]monsters!$N670</f>
        <v>273.07</v>
      </c>
      <c r="BT670" s="9">
        <f>[1]monsters!$O670</f>
        <v>27.31</v>
      </c>
      <c r="BU670" s="9">
        <f>[1]monsters!$P670</f>
        <v>3072</v>
      </c>
      <c r="BV670" s="9">
        <f>[1]monsters!$Q670</f>
        <v>307.2</v>
      </c>
      <c r="BW670" s="9">
        <f>[1]monsters!$R670</f>
        <v>91.02</v>
      </c>
      <c r="BX670" s="9">
        <f>[1]monsters!$S670</f>
        <v>9.1</v>
      </c>
      <c r="BY670" s="9">
        <f>[1]monsters!$K670</f>
        <v>1.6</v>
      </c>
      <c r="BZ670" s="7">
        <f>[1]monsters!$D670</f>
        <v>2</v>
      </c>
      <c r="CA670" s="7">
        <f t="shared" si="221"/>
        <v>0.1</v>
      </c>
      <c r="CB670" s="7">
        <f t="shared" si="222"/>
        <v>361.48549343434343</v>
      </c>
      <c r="CC670" s="7">
        <f t="shared" si="223"/>
        <v>36.148549343434347</v>
      </c>
      <c r="CD670" s="7"/>
      <c r="CE670" s="7"/>
      <c r="CF670" s="7"/>
      <c r="CG670" s="7"/>
      <c r="CH670" s="7"/>
      <c r="CI670" s="7"/>
      <c r="CJ670" s="7"/>
      <c r="CK670" s="7"/>
      <c r="CL670" s="7"/>
      <c r="CM670" s="7"/>
      <c r="CN670" s="7"/>
      <c r="CO670" s="7"/>
      <c r="CP670" s="7"/>
      <c r="CR670" s="25"/>
      <c r="CS670" s="25"/>
      <c r="CT670" s="25"/>
      <c r="CU670" s="25"/>
      <c r="CV670" s="25"/>
      <c r="CW670" s="25"/>
      <c r="DP670" s="32"/>
      <c r="DQ670" s="32"/>
      <c r="DR670" s="32"/>
      <c r="DS670" s="32"/>
      <c r="DT670" s="32"/>
      <c r="DU670" s="32"/>
      <c r="DV670" s="32"/>
      <c r="DW670" s="32"/>
      <c r="DX670" s="32"/>
      <c r="DY670" s="32"/>
      <c r="DZ670" s="32"/>
      <c r="EA670" s="32"/>
      <c r="EB670" s="15"/>
      <c r="EC670" s="16">
        <v>1101134</v>
      </c>
      <c r="ED670" s="16" t="s">
        <v>301</v>
      </c>
      <c r="EE670" s="16">
        <v>1</v>
      </c>
    </row>
    <row r="671" spans="15:135" ht="13.5" customHeight="1">
      <c r="O671" s="25"/>
      <c r="AI671" s="28"/>
      <c r="AJ671" s="28"/>
      <c r="AK671" s="28"/>
      <c r="AL671" s="28"/>
      <c r="AM671" s="28"/>
      <c r="AN671" s="28"/>
      <c r="BR671" s="7">
        <v>5203053</v>
      </c>
      <c r="BS671" s="9">
        <f>[1]monsters!$N671</f>
        <v>273.07</v>
      </c>
      <c r="BT671" s="9">
        <f>[1]monsters!$O671</f>
        <v>27.31</v>
      </c>
      <c r="BU671" s="9">
        <f>[1]monsters!$P671</f>
        <v>3072</v>
      </c>
      <c r="BV671" s="9">
        <f>[1]monsters!$Q671</f>
        <v>307.2</v>
      </c>
      <c r="BW671" s="9">
        <f>[1]monsters!$R671</f>
        <v>91.02</v>
      </c>
      <c r="BX671" s="9">
        <f>[1]monsters!$S671</f>
        <v>9.1</v>
      </c>
      <c r="BY671" s="9">
        <f>[1]monsters!$K671</f>
        <v>1.6</v>
      </c>
      <c r="BZ671" s="7">
        <f>[1]monsters!$D671</f>
        <v>2</v>
      </c>
      <c r="CA671" s="7">
        <f t="shared" si="221"/>
        <v>0.1</v>
      </c>
      <c r="CB671" s="7">
        <f t="shared" si="222"/>
        <v>361.48549343434343</v>
      </c>
      <c r="CC671" s="7">
        <f t="shared" si="223"/>
        <v>36.148549343434347</v>
      </c>
      <c r="CD671" s="7"/>
      <c r="CE671" s="7"/>
      <c r="CF671" s="7"/>
      <c r="CG671" s="7"/>
      <c r="CH671" s="7"/>
      <c r="CI671" s="7"/>
      <c r="CJ671" s="7"/>
      <c r="CK671" s="7"/>
      <c r="CL671" s="7"/>
      <c r="CM671" s="7"/>
      <c r="CN671" s="7"/>
      <c r="CO671" s="7"/>
      <c r="CP671" s="7"/>
      <c r="CR671" s="25"/>
      <c r="CS671" s="25"/>
      <c r="CT671" s="25"/>
      <c r="CU671" s="25"/>
      <c r="CV671" s="25"/>
      <c r="CW671" s="25"/>
      <c r="DP671" s="32"/>
      <c r="DQ671" s="32"/>
      <c r="DR671" s="32"/>
      <c r="DS671" s="32"/>
      <c r="DT671" s="32"/>
      <c r="DU671" s="32"/>
      <c r="DV671" s="32"/>
      <c r="DW671" s="32"/>
      <c r="DX671" s="32"/>
      <c r="DY671" s="32"/>
      <c r="DZ671" s="32"/>
      <c r="EA671" s="32"/>
      <c r="EB671" s="31"/>
      <c r="EC671" s="16">
        <v>1101135</v>
      </c>
      <c r="ED671" s="16" t="s">
        <v>302</v>
      </c>
      <c r="EE671" s="16">
        <v>1</v>
      </c>
    </row>
    <row r="672" spans="15:135" ht="13.5" customHeight="1">
      <c r="O672" s="25"/>
      <c r="AI672" s="28"/>
      <c r="AJ672" s="28"/>
      <c r="AK672" s="28"/>
      <c r="AL672" s="28"/>
      <c r="AM672" s="28"/>
      <c r="AN672" s="28"/>
      <c r="BR672" s="7">
        <v>5403053</v>
      </c>
      <c r="BS672" s="9">
        <f>[1]monsters!$N672</f>
        <v>80</v>
      </c>
      <c r="BT672" s="9">
        <f>[1]monsters!$O672</f>
        <v>8</v>
      </c>
      <c r="BU672" s="9">
        <f>[1]monsters!$P672</f>
        <v>960</v>
      </c>
      <c r="BV672" s="9">
        <f>[1]monsters!$Q672</f>
        <v>96</v>
      </c>
      <c r="BW672" s="9">
        <f>[1]monsters!$R672</f>
        <v>26.67</v>
      </c>
      <c r="BX672" s="9">
        <f>[1]monsters!$S672</f>
        <v>2.67</v>
      </c>
      <c r="BY672" s="9">
        <f>[1]monsters!$K672</f>
        <v>1.5</v>
      </c>
      <c r="BZ672" s="7">
        <f>[1]monsters!$D672</f>
        <v>2</v>
      </c>
      <c r="CA672" s="7">
        <f t="shared" si="221"/>
        <v>0.1</v>
      </c>
      <c r="CB672" s="7">
        <f t="shared" si="222"/>
        <v>107.92323232323233</v>
      </c>
      <c r="CC672" s="7">
        <f t="shared" si="223"/>
        <v>10.792323232323234</v>
      </c>
      <c r="CD672" s="7"/>
      <c r="CE672" s="7"/>
      <c r="CF672" s="7"/>
      <c r="CG672" s="7"/>
      <c r="CH672" s="7"/>
      <c r="CI672" s="7"/>
      <c r="CJ672" s="7"/>
      <c r="CK672" s="7"/>
      <c r="CL672" s="7"/>
      <c r="CM672" s="7"/>
      <c r="CN672" s="7"/>
      <c r="CO672" s="7"/>
      <c r="CP672" s="7"/>
      <c r="CR672" s="25"/>
      <c r="CS672" s="25"/>
      <c r="CT672" s="25"/>
      <c r="CU672" s="25"/>
      <c r="CV672" s="25"/>
      <c r="CW672" s="25"/>
      <c r="DP672" s="32"/>
      <c r="DQ672" s="32"/>
      <c r="DR672" s="32"/>
      <c r="DS672" s="32"/>
      <c r="DT672" s="32"/>
      <c r="DU672" s="32"/>
      <c r="DV672" s="32"/>
      <c r="DW672" s="32"/>
      <c r="DX672" s="32"/>
      <c r="DY672" s="32"/>
      <c r="DZ672" s="32"/>
      <c r="EA672" s="32"/>
      <c r="EB672" s="31"/>
      <c r="EC672" s="16">
        <v>1102011</v>
      </c>
      <c r="ED672" s="16" t="s">
        <v>303</v>
      </c>
      <c r="EE672" s="16">
        <v>1</v>
      </c>
    </row>
    <row r="673" spans="15:135" ht="13.5" customHeight="1">
      <c r="O673" s="25"/>
      <c r="AI673" s="28"/>
      <c r="AJ673" s="28"/>
      <c r="AK673" s="28"/>
      <c r="AL673" s="28"/>
      <c r="AM673" s="28"/>
      <c r="AN673" s="28"/>
      <c r="BR673" s="7">
        <v>5204053</v>
      </c>
      <c r="BS673" s="9">
        <f>[1]monsters!$N673</f>
        <v>80</v>
      </c>
      <c r="BT673" s="9">
        <f>[1]monsters!$O673</f>
        <v>8</v>
      </c>
      <c r="BU673" s="9">
        <f>[1]monsters!$P673</f>
        <v>960</v>
      </c>
      <c r="BV673" s="9">
        <f>[1]monsters!$Q673</f>
        <v>96</v>
      </c>
      <c r="BW673" s="9">
        <f>[1]monsters!$R673</f>
        <v>26.67</v>
      </c>
      <c r="BX673" s="9">
        <f>[1]monsters!$S673</f>
        <v>2.67</v>
      </c>
      <c r="BY673" s="9">
        <f>[1]monsters!$K673</f>
        <v>1.5</v>
      </c>
      <c r="BZ673" s="7">
        <f>[1]monsters!$D673</f>
        <v>2</v>
      </c>
      <c r="CA673" s="7">
        <f t="shared" si="221"/>
        <v>0.1</v>
      </c>
      <c r="CB673" s="7">
        <f t="shared" si="222"/>
        <v>107.92323232323233</v>
      </c>
      <c r="CC673" s="7">
        <f t="shared" si="223"/>
        <v>10.792323232323234</v>
      </c>
      <c r="CD673" s="7"/>
      <c r="CE673" s="7"/>
      <c r="CF673" s="7"/>
      <c r="CG673" s="7"/>
      <c r="CH673" s="7"/>
      <c r="CI673" s="7"/>
      <c r="CJ673" s="7"/>
      <c r="CK673" s="7"/>
      <c r="CL673" s="7"/>
      <c r="CM673" s="7"/>
      <c r="CN673" s="7"/>
      <c r="CO673" s="7"/>
      <c r="CP673" s="7"/>
      <c r="CR673" s="25"/>
      <c r="CS673" s="25"/>
      <c r="CT673" s="25"/>
      <c r="CU673" s="25"/>
      <c r="CV673" s="25"/>
      <c r="CW673" s="25"/>
      <c r="DP673" s="32"/>
      <c r="DQ673" s="32"/>
      <c r="DR673" s="32"/>
      <c r="DS673" s="32"/>
      <c r="DT673" s="32"/>
      <c r="DU673" s="32"/>
      <c r="DV673" s="32"/>
      <c r="DW673" s="32"/>
      <c r="DX673" s="32"/>
      <c r="DY673" s="32"/>
      <c r="DZ673" s="32"/>
      <c r="EA673" s="32"/>
      <c r="EB673" s="31"/>
      <c r="EC673" s="16">
        <v>1102012</v>
      </c>
      <c r="ED673" s="16" t="s">
        <v>304</v>
      </c>
      <c r="EE673" s="16">
        <v>1</v>
      </c>
    </row>
    <row r="674" spans="15:135" ht="13.5" customHeight="1">
      <c r="O674" s="25"/>
      <c r="AI674" s="28"/>
      <c r="AJ674" s="28"/>
      <c r="AK674" s="28"/>
      <c r="AL674" s="28"/>
      <c r="AM674" s="28"/>
      <c r="AN674" s="28"/>
      <c r="BR674" s="7">
        <v>5404053</v>
      </c>
      <c r="BS674" s="9">
        <f>[1]monsters!$N674</f>
        <v>80</v>
      </c>
      <c r="BT674" s="9">
        <f>[1]monsters!$O674</f>
        <v>8</v>
      </c>
      <c r="BU674" s="9">
        <f>[1]monsters!$P674</f>
        <v>960</v>
      </c>
      <c r="BV674" s="9">
        <f>[1]monsters!$Q674</f>
        <v>96</v>
      </c>
      <c r="BW674" s="9">
        <f>[1]monsters!$R674</f>
        <v>26.67</v>
      </c>
      <c r="BX674" s="9">
        <f>[1]monsters!$S674</f>
        <v>2.67</v>
      </c>
      <c r="BY674" s="9">
        <f>[1]monsters!$K674</f>
        <v>1.5</v>
      </c>
      <c r="BZ674" s="7">
        <f>[1]monsters!$D674</f>
        <v>2</v>
      </c>
      <c r="CA674" s="7">
        <f t="shared" si="221"/>
        <v>0.1</v>
      </c>
      <c r="CB674" s="7">
        <f t="shared" si="222"/>
        <v>107.92323232323233</v>
      </c>
      <c r="CC674" s="7">
        <f t="shared" si="223"/>
        <v>10.792323232323234</v>
      </c>
      <c r="CD674" s="7"/>
      <c r="CE674" s="7"/>
      <c r="CF674" s="7"/>
      <c r="CG674" s="7"/>
      <c r="CH674" s="7"/>
      <c r="CI674" s="7"/>
      <c r="CJ674" s="7"/>
      <c r="CK674" s="7"/>
      <c r="CL674" s="7"/>
      <c r="CM674" s="7"/>
      <c r="CN674" s="7"/>
      <c r="CO674" s="7"/>
      <c r="CP674" s="7"/>
      <c r="CR674" s="25"/>
      <c r="CS674" s="25"/>
      <c r="CT674" s="25"/>
      <c r="CU674" s="25"/>
      <c r="CV674" s="25"/>
      <c r="CW674" s="25"/>
      <c r="DP674" s="25"/>
      <c r="DQ674" s="25"/>
      <c r="DR674" s="25"/>
      <c r="DS674" s="25"/>
      <c r="DT674" s="25"/>
      <c r="DU674" s="25"/>
      <c r="DV674" s="32"/>
      <c r="DW674" s="32"/>
      <c r="DX674" s="32"/>
      <c r="DY674" s="32"/>
      <c r="DZ674" s="32"/>
      <c r="EA674" s="32"/>
      <c r="EB674" s="15"/>
      <c r="EC674" s="16">
        <v>1102013</v>
      </c>
      <c r="ED674" s="16" t="s">
        <v>305</v>
      </c>
      <c r="EE674" s="16">
        <v>1</v>
      </c>
    </row>
    <row r="675" spans="15:135" ht="13.5" customHeight="1">
      <c r="O675" s="25"/>
      <c r="AI675" s="28"/>
      <c r="AJ675" s="28"/>
      <c r="AK675" s="28"/>
      <c r="AL675" s="28"/>
      <c r="AM675" s="28"/>
      <c r="AN675" s="28"/>
      <c r="BR675" s="7">
        <v>5303053</v>
      </c>
      <c r="BS675" s="9">
        <f>[1]monsters!$N675</f>
        <v>80</v>
      </c>
      <c r="BT675" s="9">
        <f>[1]monsters!$O675</f>
        <v>8</v>
      </c>
      <c r="BU675" s="9">
        <f>[1]monsters!$P675</f>
        <v>960</v>
      </c>
      <c r="BV675" s="9">
        <f>[1]monsters!$Q675</f>
        <v>96</v>
      </c>
      <c r="BW675" s="9">
        <f>[1]monsters!$R675</f>
        <v>26.67</v>
      </c>
      <c r="BX675" s="9">
        <f>[1]monsters!$S675</f>
        <v>2.67</v>
      </c>
      <c r="BY675" s="9">
        <f>[1]monsters!$K675</f>
        <v>1.5</v>
      </c>
      <c r="BZ675" s="7">
        <f>[1]monsters!$D675</f>
        <v>2</v>
      </c>
      <c r="CA675" s="7">
        <f t="shared" si="221"/>
        <v>0.1</v>
      </c>
      <c r="CB675" s="7">
        <f t="shared" si="222"/>
        <v>107.92323232323233</v>
      </c>
      <c r="CC675" s="7">
        <f t="shared" si="223"/>
        <v>10.792323232323234</v>
      </c>
      <c r="CD675" s="7"/>
      <c r="CE675" s="7"/>
      <c r="CF675" s="7"/>
      <c r="CG675" s="7"/>
      <c r="CH675" s="7"/>
      <c r="CI675" s="7"/>
      <c r="CJ675" s="7"/>
      <c r="CK675" s="7"/>
      <c r="CL675" s="7"/>
      <c r="CM675" s="7"/>
      <c r="CN675" s="7"/>
      <c r="CO675" s="7"/>
      <c r="CP675" s="7"/>
      <c r="CR675" s="25"/>
      <c r="CS675" s="25"/>
      <c r="CT675" s="25"/>
      <c r="CU675" s="25"/>
      <c r="CV675" s="25"/>
      <c r="CW675" s="25"/>
      <c r="DP675" s="25"/>
      <c r="DQ675" s="25"/>
      <c r="DR675" s="25"/>
      <c r="DS675" s="32"/>
      <c r="DT675" s="32"/>
      <c r="DU675" s="32"/>
      <c r="DV675" s="32"/>
      <c r="DW675" s="32"/>
      <c r="DX675" s="32"/>
      <c r="DY675" s="32"/>
      <c r="DZ675" s="32"/>
      <c r="EA675" s="32"/>
      <c r="EB675" s="31"/>
      <c r="EC675" s="16">
        <v>1102014</v>
      </c>
      <c r="ED675" s="16" t="s">
        <v>306</v>
      </c>
      <c r="EE675" s="16">
        <v>1</v>
      </c>
    </row>
    <row r="676" spans="15:135" ht="13.5" customHeight="1">
      <c r="O676" s="25"/>
      <c r="AI676" s="28"/>
      <c r="AJ676" s="28"/>
      <c r="AK676" s="28"/>
      <c r="AL676" s="28"/>
      <c r="AM676" s="28"/>
      <c r="AN676" s="28"/>
      <c r="BR676" s="7">
        <v>5304053</v>
      </c>
      <c r="BS676" s="9">
        <f>[1]monsters!$N676</f>
        <v>80</v>
      </c>
      <c r="BT676" s="9">
        <f>[1]monsters!$O676</f>
        <v>8</v>
      </c>
      <c r="BU676" s="9">
        <f>[1]monsters!$P676</f>
        <v>960</v>
      </c>
      <c r="BV676" s="9">
        <f>[1]monsters!$Q676</f>
        <v>96</v>
      </c>
      <c r="BW676" s="9">
        <f>[1]monsters!$R676</f>
        <v>26.67</v>
      </c>
      <c r="BX676" s="9">
        <f>[1]monsters!$S676</f>
        <v>2.67</v>
      </c>
      <c r="BY676" s="9">
        <f>[1]monsters!$K676</f>
        <v>1.5</v>
      </c>
      <c r="BZ676" s="7">
        <f>[1]monsters!$D676</f>
        <v>2</v>
      </c>
      <c r="CA676" s="7">
        <f t="shared" si="221"/>
        <v>0.1</v>
      </c>
      <c r="CB676" s="7">
        <f t="shared" si="222"/>
        <v>107.92323232323233</v>
      </c>
      <c r="CC676" s="7">
        <f t="shared" si="223"/>
        <v>10.792323232323234</v>
      </c>
      <c r="CD676" s="7"/>
      <c r="CE676" s="7"/>
      <c r="CF676" s="7"/>
      <c r="CG676" s="7"/>
      <c r="CH676" s="7"/>
      <c r="CI676" s="7"/>
      <c r="CJ676" s="7"/>
      <c r="CK676" s="7"/>
      <c r="CL676" s="7"/>
      <c r="CM676" s="7"/>
      <c r="CN676" s="7"/>
      <c r="CO676" s="7"/>
      <c r="CP676" s="7"/>
      <c r="CR676" s="25"/>
      <c r="CS676" s="25"/>
      <c r="CT676" s="25"/>
      <c r="CU676" s="25"/>
      <c r="CV676" s="25"/>
      <c r="CW676" s="25"/>
      <c r="DP676" s="25"/>
      <c r="DQ676" s="25"/>
      <c r="DR676" s="25"/>
      <c r="DS676" s="25"/>
      <c r="DT676" s="25"/>
      <c r="DU676" s="25"/>
      <c r="DV676" s="32"/>
      <c r="DW676" s="32"/>
      <c r="DX676" s="32"/>
      <c r="DY676" s="32"/>
      <c r="DZ676" s="32"/>
      <c r="EA676" s="32"/>
      <c r="EB676" s="31"/>
      <c r="EC676" s="16">
        <v>1102015</v>
      </c>
      <c r="ED676" s="16" t="s">
        <v>307</v>
      </c>
      <c r="EE676" s="16">
        <v>1</v>
      </c>
    </row>
    <row r="677" spans="15:135" ht="13.5" customHeight="1">
      <c r="O677" s="25"/>
      <c r="AI677" s="28"/>
      <c r="AJ677" s="28"/>
      <c r="AK677" s="28"/>
      <c r="AL677" s="28"/>
      <c r="AM677" s="28"/>
      <c r="AN677" s="28"/>
      <c r="BR677" s="7">
        <v>5503053</v>
      </c>
      <c r="BS677" s="9">
        <f>[1]monsters!$N677</f>
        <v>88</v>
      </c>
      <c r="BT677" s="9">
        <f>[1]monsters!$O677</f>
        <v>8.8000000000000007</v>
      </c>
      <c r="BU677" s="9">
        <f>[1]monsters!$P677</f>
        <v>1056</v>
      </c>
      <c r="BV677" s="9">
        <f>[1]monsters!$Q677</f>
        <v>105.6</v>
      </c>
      <c r="BW677" s="9">
        <f>[1]monsters!$R677</f>
        <v>29.33</v>
      </c>
      <c r="BX677" s="9">
        <f>[1]monsters!$S677</f>
        <v>2.93</v>
      </c>
      <c r="BY677" s="9">
        <f>[1]monsters!$K677</f>
        <v>1.5</v>
      </c>
      <c r="BZ677" s="7">
        <f>[1]monsters!$D677</f>
        <v>2</v>
      </c>
      <c r="CA677" s="7">
        <f t="shared" si="221"/>
        <v>0.1</v>
      </c>
      <c r="CB677" s="7">
        <f t="shared" si="222"/>
        <v>118.71555555555557</v>
      </c>
      <c r="CC677" s="7">
        <f t="shared" si="223"/>
        <v>11.871555555555558</v>
      </c>
      <c r="CD677" s="7"/>
      <c r="CE677" s="7"/>
      <c r="CF677" s="7"/>
      <c r="CG677" s="7"/>
      <c r="CH677" s="7"/>
      <c r="CI677" s="7"/>
      <c r="CJ677" s="7"/>
      <c r="CK677" s="7"/>
      <c r="CL677" s="7"/>
      <c r="CM677" s="7"/>
      <c r="CN677" s="7"/>
      <c r="CO677" s="7"/>
      <c r="CP677" s="7"/>
      <c r="CR677" s="25"/>
      <c r="CS677" s="25"/>
      <c r="CT677" s="25"/>
      <c r="CU677" s="25"/>
      <c r="CV677" s="25"/>
      <c r="CW677" s="25"/>
      <c r="DP677" s="25"/>
      <c r="DQ677" s="25"/>
      <c r="DR677" s="25"/>
      <c r="DS677" s="25"/>
      <c r="DT677" s="25"/>
      <c r="DU677" s="25"/>
      <c r="DV677" s="32"/>
      <c r="DW677" s="32"/>
      <c r="DX677" s="32"/>
      <c r="DY677" s="32"/>
      <c r="DZ677" s="32"/>
      <c r="EA677" s="32"/>
      <c r="EB677" s="15"/>
      <c r="EC677" s="16">
        <v>1102021</v>
      </c>
      <c r="ED677" s="16" t="s">
        <v>303</v>
      </c>
      <c r="EE677" s="16">
        <v>1</v>
      </c>
    </row>
    <row r="678" spans="15:135" ht="13.5" customHeight="1">
      <c r="O678" s="25"/>
      <c r="AI678" s="28"/>
      <c r="AJ678" s="28"/>
      <c r="AK678" s="28"/>
      <c r="AL678" s="28"/>
      <c r="AM678" s="28"/>
      <c r="AN678" s="28"/>
      <c r="BR678" s="7">
        <v>5504053</v>
      </c>
      <c r="BS678" s="9">
        <f>[1]monsters!$N678</f>
        <v>88</v>
      </c>
      <c r="BT678" s="9">
        <f>[1]monsters!$O678</f>
        <v>8.8000000000000007</v>
      </c>
      <c r="BU678" s="9">
        <f>[1]monsters!$P678</f>
        <v>1056</v>
      </c>
      <c r="BV678" s="9">
        <f>[1]monsters!$Q678</f>
        <v>105.6</v>
      </c>
      <c r="BW678" s="9">
        <f>[1]monsters!$R678</f>
        <v>29.33</v>
      </c>
      <c r="BX678" s="9">
        <f>[1]monsters!$S678</f>
        <v>2.93</v>
      </c>
      <c r="BY678" s="9">
        <f>[1]monsters!$K678</f>
        <v>1.5</v>
      </c>
      <c r="BZ678" s="7">
        <f>[1]monsters!$D678</f>
        <v>2</v>
      </c>
      <c r="CA678" s="7">
        <f t="shared" si="221"/>
        <v>0.1</v>
      </c>
      <c r="CB678" s="7">
        <f t="shared" si="222"/>
        <v>118.71555555555557</v>
      </c>
      <c r="CC678" s="7">
        <f t="shared" si="223"/>
        <v>11.871555555555558</v>
      </c>
      <c r="CD678" s="7"/>
      <c r="CE678" s="7"/>
      <c r="CF678" s="7"/>
      <c r="CG678" s="7"/>
      <c r="CH678" s="7"/>
      <c r="CI678" s="7"/>
      <c r="CJ678" s="7"/>
      <c r="CK678" s="7"/>
      <c r="CL678" s="7"/>
      <c r="CM678" s="7"/>
      <c r="CN678" s="7"/>
      <c r="CO678" s="7"/>
      <c r="CP678" s="7"/>
      <c r="CR678" s="25"/>
      <c r="CS678" s="25"/>
      <c r="CT678" s="25"/>
      <c r="CU678" s="25"/>
      <c r="CV678" s="25"/>
      <c r="CW678" s="25"/>
      <c r="DP678" s="25"/>
      <c r="DQ678" s="25"/>
      <c r="DR678" s="25"/>
      <c r="DS678" s="25"/>
      <c r="DT678" s="25"/>
      <c r="DU678" s="25"/>
      <c r="DV678" s="32"/>
      <c r="DW678" s="32"/>
      <c r="DX678" s="32"/>
      <c r="DY678" s="32"/>
      <c r="DZ678" s="32"/>
      <c r="EA678" s="32"/>
      <c r="EB678" s="31"/>
      <c r="EC678" s="16">
        <v>1102022</v>
      </c>
      <c r="ED678" s="16" t="s">
        <v>304</v>
      </c>
      <c r="EE678" s="16">
        <v>1</v>
      </c>
    </row>
    <row r="679" spans="15:135" ht="13.5" customHeight="1">
      <c r="O679" s="25"/>
      <c r="AI679" s="28"/>
      <c r="AJ679" s="28"/>
      <c r="AK679" s="28"/>
      <c r="AL679" s="28"/>
      <c r="AM679" s="28"/>
      <c r="AN679" s="28"/>
      <c r="BR679" s="7">
        <v>5101053</v>
      </c>
      <c r="BS679" s="9">
        <f>[1]monsters!$N679</f>
        <v>88</v>
      </c>
      <c r="BT679" s="9">
        <f>[1]monsters!$O679</f>
        <v>8.8000000000000007</v>
      </c>
      <c r="BU679" s="9">
        <f>[1]monsters!$P679</f>
        <v>1056</v>
      </c>
      <c r="BV679" s="9">
        <f>[1]monsters!$Q679</f>
        <v>105.6</v>
      </c>
      <c r="BW679" s="9">
        <f>[1]monsters!$R679</f>
        <v>29.33</v>
      </c>
      <c r="BX679" s="9">
        <f>[1]monsters!$S679</f>
        <v>2.93</v>
      </c>
      <c r="BY679" s="9">
        <f>[1]monsters!$K679</f>
        <v>1.5</v>
      </c>
      <c r="BZ679" s="7">
        <f>[1]monsters!$D679</f>
        <v>2</v>
      </c>
      <c r="CA679" s="7">
        <f t="shared" si="221"/>
        <v>0.1</v>
      </c>
      <c r="CB679" s="7">
        <f t="shared" si="222"/>
        <v>118.71555555555557</v>
      </c>
      <c r="CC679" s="7">
        <f t="shared" si="223"/>
        <v>11.871555555555558</v>
      </c>
      <c r="CD679" s="7"/>
      <c r="CE679" s="7"/>
      <c r="CF679" s="7"/>
      <c r="CG679" s="7"/>
      <c r="CH679" s="7"/>
      <c r="CI679" s="7"/>
      <c r="CJ679" s="7"/>
      <c r="CK679" s="7"/>
      <c r="CL679" s="7"/>
      <c r="CM679" s="7"/>
      <c r="CN679" s="7"/>
      <c r="CO679" s="7"/>
      <c r="CP679" s="7"/>
      <c r="CR679" s="25"/>
      <c r="CS679" s="25"/>
      <c r="CT679" s="25"/>
      <c r="CU679" s="25"/>
      <c r="CV679" s="25"/>
      <c r="CW679" s="25"/>
      <c r="DP679" s="32"/>
      <c r="DQ679" s="32"/>
      <c r="DR679" s="32"/>
      <c r="DS679" s="32"/>
      <c r="DT679" s="32"/>
      <c r="DU679" s="32"/>
      <c r="DV679" s="32"/>
      <c r="DW679" s="32"/>
      <c r="DX679" s="32"/>
      <c r="DY679" s="32"/>
      <c r="DZ679" s="32"/>
      <c r="EA679" s="32"/>
      <c r="EB679" s="31"/>
      <c r="EC679" s="16">
        <v>1102023</v>
      </c>
      <c r="ED679" s="16" t="s">
        <v>305</v>
      </c>
      <c r="EE679" s="16">
        <v>1</v>
      </c>
    </row>
    <row r="680" spans="15:135" ht="13.5" customHeight="1">
      <c r="O680" s="25"/>
      <c r="AI680" s="28"/>
      <c r="AJ680" s="28"/>
      <c r="AK680" s="28"/>
      <c r="AL680" s="28"/>
      <c r="AM680" s="28"/>
      <c r="AN680" s="28"/>
      <c r="BR680" s="7">
        <v>5102053</v>
      </c>
      <c r="BS680" s="9">
        <f>[1]monsters!$N680</f>
        <v>88</v>
      </c>
      <c r="BT680" s="9">
        <f>[1]monsters!$O680</f>
        <v>8.8000000000000007</v>
      </c>
      <c r="BU680" s="9">
        <f>[1]monsters!$P680</f>
        <v>1056</v>
      </c>
      <c r="BV680" s="9">
        <f>[1]monsters!$Q680</f>
        <v>105.6</v>
      </c>
      <c r="BW680" s="9">
        <f>[1]monsters!$R680</f>
        <v>29.33</v>
      </c>
      <c r="BX680" s="9">
        <f>[1]monsters!$S680</f>
        <v>2.93</v>
      </c>
      <c r="BY680" s="9">
        <f>[1]monsters!$K680</f>
        <v>1.5</v>
      </c>
      <c r="BZ680" s="7">
        <f>[1]monsters!$D680</f>
        <v>2</v>
      </c>
      <c r="CA680" s="7">
        <f t="shared" si="221"/>
        <v>0.1</v>
      </c>
      <c r="CB680" s="7">
        <f t="shared" si="222"/>
        <v>118.71555555555557</v>
      </c>
      <c r="CC680" s="7">
        <f t="shared" si="223"/>
        <v>11.871555555555558</v>
      </c>
      <c r="CD680" s="7"/>
      <c r="CE680" s="7"/>
      <c r="CF680" s="7"/>
      <c r="CG680" s="7"/>
      <c r="CH680" s="7"/>
      <c r="CI680" s="7"/>
      <c r="CJ680" s="7"/>
      <c r="CK680" s="7"/>
      <c r="CL680" s="7"/>
      <c r="CM680" s="7"/>
      <c r="CN680" s="7"/>
      <c r="CO680" s="7"/>
      <c r="CP680" s="7"/>
      <c r="CR680" s="25"/>
      <c r="CS680" s="25"/>
      <c r="CT680" s="25"/>
      <c r="CU680" s="25"/>
      <c r="CV680" s="25"/>
      <c r="CW680" s="25"/>
      <c r="DP680" s="36"/>
      <c r="DQ680" s="36"/>
      <c r="DR680" s="36"/>
      <c r="DS680" s="36"/>
      <c r="DT680" s="36"/>
      <c r="DU680" s="36"/>
      <c r="DV680" s="32"/>
      <c r="DW680" s="32"/>
      <c r="DX680" s="32"/>
      <c r="DY680" s="32"/>
      <c r="DZ680" s="32"/>
      <c r="EA680" s="32"/>
      <c r="EB680" s="31"/>
      <c r="EC680" s="16">
        <v>1102024</v>
      </c>
      <c r="ED680" s="16" t="s">
        <v>306</v>
      </c>
      <c r="EE680" s="16">
        <v>1</v>
      </c>
    </row>
    <row r="681" spans="15:135" ht="13.5" customHeight="1">
      <c r="O681" s="25"/>
      <c r="AI681" s="28"/>
      <c r="AJ681" s="28"/>
      <c r="AK681" s="28"/>
      <c r="AL681" s="28"/>
      <c r="AM681" s="28"/>
      <c r="AN681" s="28"/>
      <c r="BR681" s="7">
        <v>5206054</v>
      </c>
      <c r="BS681" s="9">
        <f>[1]monsters!$N681</f>
        <v>88</v>
      </c>
      <c r="BT681" s="9">
        <f>[1]monsters!$O681</f>
        <v>8.8000000000000007</v>
      </c>
      <c r="BU681" s="9">
        <f>[1]monsters!$P681</f>
        <v>1056</v>
      </c>
      <c r="BV681" s="9">
        <f>[1]monsters!$Q681</f>
        <v>105.6</v>
      </c>
      <c r="BW681" s="9">
        <f>[1]monsters!$R681</f>
        <v>29.33</v>
      </c>
      <c r="BX681" s="9">
        <f>[1]monsters!$S681</f>
        <v>2.93</v>
      </c>
      <c r="BY681" s="9">
        <f>[1]monsters!$K681</f>
        <v>1.5</v>
      </c>
      <c r="BZ681" s="7">
        <f>[1]monsters!$D681</f>
        <v>2</v>
      </c>
      <c r="CA681" s="7">
        <f t="shared" si="221"/>
        <v>0.1</v>
      </c>
      <c r="CB681" s="7">
        <f t="shared" si="222"/>
        <v>118.71555555555557</v>
      </c>
      <c r="CC681" s="7">
        <f t="shared" si="223"/>
        <v>11.871555555555558</v>
      </c>
      <c r="CD681" s="7"/>
      <c r="CE681" s="7"/>
      <c r="CF681" s="7"/>
      <c r="CG681" s="7"/>
      <c r="CH681" s="7"/>
      <c r="CI681" s="7"/>
      <c r="CJ681" s="7"/>
      <c r="CK681" s="7"/>
      <c r="CL681" s="7"/>
      <c r="CM681" s="7"/>
      <c r="CN681" s="7"/>
      <c r="CO681" s="7"/>
      <c r="CP681" s="7"/>
      <c r="CR681" s="25"/>
      <c r="CS681" s="25"/>
      <c r="CT681" s="25"/>
      <c r="CU681" s="25"/>
      <c r="CV681" s="25"/>
      <c r="CW681" s="25"/>
      <c r="DP681" s="32"/>
      <c r="DQ681" s="32"/>
      <c r="DR681" s="36"/>
      <c r="DS681" s="36"/>
      <c r="DT681" s="36"/>
      <c r="DU681" s="36"/>
      <c r="DV681" s="32"/>
      <c r="DW681" s="32"/>
      <c r="DX681" s="32"/>
      <c r="DY681" s="32"/>
      <c r="DZ681" s="32"/>
      <c r="EA681" s="32"/>
      <c r="EB681" s="43"/>
      <c r="EC681" s="16">
        <v>1102025</v>
      </c>
      <c r="ED681" s="16" t="s">
        <v>307</v>
      </c>
      <c r="EE681" s="16">
        <v>1</v>
      </c>
    </row>
    <row r="682" spans="15:135" ht="13.5" customHeight="1">
      <c r="O682" s="25"/>
      <c r="AI682" s="28"/>
      <c r="AJ682" s="28"/>
      <c r="AK682" s="28"/>
      <c r="AL682" s="28"/>
      <c r="AM682" s="28"/>
      <c r="AN682" s="28"/>
      <c r="BR682" s="7">
        <v>5406054</v>
      </c>
      <c r="BS682" s="9">
        <f>[1]monsters!$N682</f>
        <v>96</v>
      </c>
      <c r="BT682" s="9">
        <f>[1]monsters!$O682</f>
        <v>9.6</v>
      </c>
      <c r="BU682" s="9">
        <f>[1]monsters!$P682</f>
        <v>1152</v>
      </c>
      <c r="BV682" s="9">
        <f>[1]monsters!$Q682</f>
        <v>115.2</v>
      </c>
      <c r="BW682" s="9">
        <f>[1]monsters!$R682</f>
        <v>32</v>
      </c>
      <c r="BX682" s="9">
        <f>[1]monsters!$S682</f>
        <v>3.2</v>
      </c>
      <c r="BY682" s="9">
        <f>[1]monsters!$K682</f>
        <v>1.5</v>
      </c>
      <c r="BZ682" s="7">
        <f>[1]monsters!$D682</f>
        <v>2</v>
      </c>
      <c r="CA682" s="7">
        <f t="shared" si="221"/>
        <v>0.1</v>
      </c>
      <c r="CB682" s="7">
        <f t="shared" si="222"/>
        <v>129.50787878787878</v>
      </c>
      <c r="CC682" s="7">
        <f t="shared" si="223"/>
        <v>12.950787878787878</v>
      </c>
      <c r="CD682" s="7"/>
      <c r="CE682" s="7"/>
      <c r="CF682" s="7"/>
      <c r="CG682" s="7"/>
      <c r="CH682" s="7"/>
      <c r="CI682" s="7"/>
      <c r="CJ682" s="7"/>
      <c r="CK682" s="7"/>
      <c r="CL682" s="7"/>
      <c r="CM682" s="7"/>
      <c r="CN682" s="7"/>
      <c r="CO682" s="7"/>
      <c r="CP682" s="7"/>
      <c r="CR682" s="25"/>
      <c r="CS682" s="25"/>
      <c r="CT682" s="25"/>
      <c r="CU682" s="25"/>
      <c r="CV682" s="25"/>
      <c r="CW682" s="25"/>
      <c r="DP682" s="32"/>
      <c r="DQ682" s="32"/>
      <c r="DR682" s="32"/>
      <c r="DS682" s="36"/>
      <c r="DT682" s="36"/>
      <c r="DU682" s="36"/>
      <c r="DV682" s="32"/>
      <c r="DW682" s="32"/>
      <c r="DX682" s="32"/>
      <c r="DY682" s="32"/>
      <c r="DZ682" s="32"/>
      <c r="EA682" s="32"/>
      <c r="EB682" s="43"/>
      <c r="EC682" s="16">
        <v>1102031</v>
      </c>
      <c r="ED682" s="16" t="s">
        <v>303</v>
      </c>
      <c r="EE682" s="16">
        <v>1</v>
      </c>
    </row>
    <row r="683" spans="15:135" ht="13.5" customHeight="1">
      <c r="O683" s="25"/>
      <c r="AI683" s="28"/>
      <c r="AJ683" s="28"/>
      <c r="AK683" s="28"/>
      <c r="AL683" s="28"/>
      <c r="AM683" s="28"/>
      <c r="AN683" s="28"/>
      <c r="BR683" s="7">
        <v>5205054</v>
      </c>
      <c r="BS683" s="9">
        <f>[1]monsters!$N683</f>
        <v>96</v>
      </c>
      <c r="BT683" s="9">
        <f>[1]monsters!$O683</f>
        <v>9.6</v>
      </c>
      <c r="BU683" s="9">
        <f>[1]monsters!$P683</f>
        <v>1152</v>
      </c>
      <c r="BV683" s="9">
        <f>[1]monsters!$Q683</f>
        <v>115.2</v>
      </c>
      <c r="BW683" s="9">
        <f>[1]monsters!$R683</f>
        <v>32</v>
      </c>
      <c r="BX683" s="9">
        <f>[1]monsters!$S683</f>
        <v>3.2</v>
      </c>
      <c r="BY683" s="9">
        <f>[1]monsters!$K683</f>
        <v>1.5</v>
      </c>
      <c r="BZ683" s="7">
        <f>[1]monsters!$D683</f>
        <v>2</v>
      </c>
      <c r="CA683" s="7">
        <f t="shared" si="221"/>
        <v>0.1</v>
      </c>
      <c r="CB683" s="7">
        <f t="shared" si="222"/>
        <v>129.50787878787878</v>
      </c>
      <c r="CC683" s="7">
        <f t="shared" si="223"/>
        <v>12.950787878787878</v>
      </c>
      <c r="CD683" s="7"/>
      <c r="CE683" s="7"/>
      <c r="CF683" s="7"/>
      <c r="CG683" s="7"/>
      <c r="CH683" s="7"/>
      <c r="CI683" s="7"/>
      <c r="CJ683" s="7"/>
      <c r="CK683" s="7"/>
      <c r="CL683" s="7"/>
      <c r="CM683" s="7"/>
      <c r="CN683" s="7"/>
      <c r="CO683" s="7"/>
      <c r="CP683" s="7"/>
      <c r="CR683" s="25"/>
      <c r="CS683" s="25"/>
      <c r="CT683" s="25"/>
      <c r="CU683" s="25"/>
      <c r="CV683" s="25"/>
      <c r="CW683" s="25"/>
      <c r="DP683" s="32"/>
      <c r="DQ683" s="32"/>
      <c r="DR683" s="36"/>
      <c r="DS683" s="14"/>
      <c r="DT683" s="36"/>
      <c r="DU683" s="36"/>
      <c r="DV683" s="32"/>
      <c r="DW683" s="32"/>
      <c r="DX683" s="32"/>
      <c r="DY683" s="32"/>
      <c r="DZ683" s="32"/>
      <c r="EA683" s="32"/>
      <c r="EB683" s="43"/>
      <c r="EC683" s="16">
        <v>1102032</v>
      </c>
      <c r="ED683" s="16" t="s">
        <v>304</v>
      </c>
      <c r="EE683" s="16">
        <v>1</v>
      </c>
    </row>
    <row r="684" spans="15:135" ht="13.5" customHeight="1">
      <c r="O684" s="25"/>
      <c r="AI684" s="28"/>
      <c r="AJ684" s="28"/>
      <c r="AK684" s="28"/>
      <c r="AL684" s="28"/>
      <c r="AM684" s="28"/>
      <c r="AN684" s="28"/>
      <c r="BR684" s="7">
        <v>5405054</v>
      </c>
      <c r="BS684" s="9">
        <f>[1]monsters!$N684</f>
        <v>96</v>
      </c>
      <c r="BT684" s="9">
        <f>[1]monsters!$O684</f>
        <v>9.6</v>
      </c>
      <c r="BU684" s="9">
        <f>[1]monsters!$P684</f>
        <v>1152</v>
      </c>
      <c r="BV684" s="9">
        <f>[1]monsters!$Q684</f>
        <v>115.2</v>
      </c>
      <c r="BW684" s="9">
        <f>[1]monsters!$R684</f>
        <v>32</v>
      </c>
      <c r="BX684" s="9">
        <f>[1]monsters!$S684</f>
        <v>3.2</v>
      </c>
      <c r="BY684" s="9">
        <f>[1]monsters!$K684</f>
        <v>1.5</v>
      </c>
      <c r="BZ684" s="7">
        <f>[1]monsters!$D684</f>
        <v>2</v>
      </c>
      <c r="CA684" s="7">
        <f t="shared" si="221"/>
        <v>0.1</v>
      </c>
      <c r="CB684" s="7">
        <f t="shared" si="222"/>
        <v>129.50787878787878</v>
      </c>
      <c r="CC684" s="7">
        <f t="shared" si="223"/>
        <v>12.950787878787878</v>
      </c>
      <c r="CD684" s="7"/>
      <c r="CE684" s="7"/>
      <c r="CF684" s="7"/>
      <c r="CG684" s="7"/>
      <c r="CH684" s="7"/>
      <c r="CI684" s="7"/>
      <c r="CJ684" s="7"/>
      <c r="CK684" s="7"/>
      <c r="CL684" s="7"/>
      <c r="CM684" s="7"/>
      <c r="CN684" s="7"/>
      <c r="CO684" s="7"/>
      <c r="CP684" s="7"/>
      <c r="CR684" s="25"/>
      <c r="CS684" s="25"/>
      <c r="CT684" s="25"/>
      <c r="CU684" s="25"/>
      <c r="CV684" s="25"/>
      <c r="CW684" s="25"/>
      <c r="DP684" s="32"/>
      <c r="DQ684" s="32"/>
      <c r="DR684" s="32"/>
      <c r="DS684" s="36"/>
      <c r="DT684" s="36"/>
      <c r="DU684" s="36"/>
      <c r="DV684" s="32"/>
      <c r="DW684" s="32"/>
      <c r="DX684" s="32"/>
      <c r="DY684" s="32"/>
      <c r="DZ684" s="32"/>
      <c r="EA684" s="32"/>
      <c r="EB684" s="21"/>
      <c r="EC684" s="16">
        <v>1102033</v>
      </c>
      <c r="ED684" s="16" t="s">
        <v>305</v>
      </c>
      <c r="EE684" s="16">
        <v>1</v>
      </c>
    </row>
    <row r="685" spans="15:135" ht="13.5" customHeight="1">
      <c r="O685" s="25"/>
      <c r="AI685" s="28"/>
      <c r="AJ685" s="28"/>
      <c r="AK685" s="28"/>
      <c r="AL685" s="28"/>
      <c r="AM685" s="28"/>
      <c r="AN685" s="28"/>
      <c r="BR685" s="7">
        <v>5203054</v>
      </c>
      <c r="BS685" s="9">
        <f>[1]monsters!$N685</f>
        <v>96</v>
      </c>
      <c r="BT685" s="9">
        <f>[1]monsters!$O685</f>
        <v>9.6</v>
      </c>
      <c r="BU685" s="9">
        <f>[1]monsters!$P685</f>
        <v>1152</v>
      </c>
      <c r="BV685" s="9">
        <f>[1]monsters!$Q685</f>
        <v>115.2</v>
      </c>
      <c r="BW685" s="9">
        <f>[1]monsters!$R685</f>
        <v>32</v>
      </c>
      <c r="BX685" s="9">
        <f>[1]monsters!$S685</f>
        <v>3.2</v>
      </c>
      <c r="BY685" s="9">
        <f>[1]monsters!$K685</f>
        <v>1.5</v>
      </c>
      <c r="BZ685" s="7">
        <f>[1]monsters!$D685</f>
        <v>2</v>
      </c>
      <c r="CA685" s="7">
        <f t="shared" si="221"/>
        <v>0.1</v>
      </c>
      <c r="CB685" s="7">
        <f t="shared" si="222"/>
        <v>129.50787878787878</v>
      </c>
      <c r="CC685" s="7">
        <f t="shared" si="223"/>
        <v>12.950787878787878</v>
      </c>
      <c r="CD685" s="7"/>
      <c r="CE685" s="7"/>
      <c r="CF685" s="7"/>
      <c r="CG685" s="7"/>
      <c r="CH685" s="7"/>
      <c r="CI685" s="7"/>
      <c r="CJ685" s="7"/>
      <c r="CK685" s="7"/>
      <c r="CL685" s="7"/>
      <c r="CM685" s="7"/>
      <c r="CN685" s="7"/>
      <c r="CO685" s="7"/>
      <c r="CP685" s="7"/>
      <c r="CR685" s="25"/>
      <c r="CS685" s="25"/>
      <c r="CT685" s="25"/>
      <c r="CU685" s="25"/>
      <c r="CV685" s="25"/>
      <c r="CW685" s="25"/>
      <c r="DP685" s="32"/>
      <c r="DQ685" s="32"/>
      <c r="DR685" s="32"/>
      <c r="DS685" s="32"/>
      <c r="DT685" s="32"/>
      <c r="DU685" s="32"/>
      <c r="DV685" s="32"/>
      <c r="DW685" s="32"/>
      <c r="DX685" s="32"/>
      <c r="DY685" s="32"/>
      <c r="DZ685" s="32"/>
      <c r="EA685" s="32"/>
      <c r="EB685" s="43"/>
      <c r="EC685" s="16">
        <v>1102034</v>
      </c>
      <c r="ED685" s="16" t="s">
        <v>306</v>
      </c>
      <c r="EE685" s="16">
        <v>1</v>
      </c>
    </row>
    <row r="686" spans="15:135" ht="13.5" customHeight="1">
      <c r="O686" s="25"/>
      <c r="AI686" s="28"/>
      <c r="AJ686" s="28"/>
      <c r="AK686" s="28"/>
      <c r="AL686" s="28"/>
      <c r="AM686" s="28"/>
      <c r="AN686" s="28"/>
      <c r="BR686" s="7">
        <v>5403054</v>
      </c>
      <c r="BS686" s="9">
        <f>[1]monsters!$N686</f>
        <v>96</v>
      </c>
      <c r="BT686" s="9">
        <f>[1]monsters!$O686</f>
        <v>9.6</v>
      </c>
      <c r="BU686" s="9">
        <f>[1]monsters!$P686</f>
        <v>1152</v>
      </c>
      <c r="BV686" s="9">
        <f>[1]monsters!$Q686</f>
        <v>115.2</v>
      </c>
      <c r="BW686" s="9">
        <f>[1]monsters!$R686</f>
        <v>32</v>
      </c>
      <c r="BX686" s="9">
        <f>[1]monsters!$S686</f>
        <v>3.2</v>
      </c>
      <c r="BY686" s="9">
        <f>[1]monsters!$K686</f>
        <v>1.5</v>
      </c>
      <c r="BZ686" s="7">
        <f>[1]monsters!$D686</f>
        <v>2</v>
      </c>
      <c r="CA686" s="7">
        <f t="shared" si="221"/>
        <v>0.1</v>
      </c>
      <c r="CB686" s="7">
        <f t="shared" si="222"/>
        <v>129.50787878787878</v>
      </c>
      <c r="CC686" s="7">
        <f t="shared" si="223"/>
        <v>12.950787878787878</v>
      </c>
      <c r="CD686" s="7"/>
      <c r="CE686" s="7"/>
      <c r="CF686" s="7"/>
      <c r="CG686" s="7"/>
      <c r="CH686" s="7"/>
      <c r="CI686" s="7"/>
      <c r="CJ686" s="7"/>
      <c r="CK686" s="7"/>
      <c r="CL686" s="7"/>
      <c r="CM686" s="7"/>
      <c r="CN686" s="7"/>
      <c r="CO686" s="7"/>
      <c r="CP686" s="7"/>
      <c r="CR686" s="25"/>
      <c r="CS686" s="25"/>
      <c r="CT686" s="25"/>
      <c r="CU686" s="25"/>
      <c r="CV686" s="25"/>
      <c r="CW686" s="25"/>
      <c r="DP686" s="36"/>
      <c r="DQ686" s="36"/>
      <c r="DR686" s="36"/>
      <c r="DS686" s="36"/>
      <c r="DT686" s="36"/>
      <c r="DU686" s="36"/>
      <c r="DV686" s="32"/>
      <c r="DW686" s="32"/>
      <c r="DX686" s="32"/>
      <c r="DY686" s="32"/>
      <c r="DZ686" s="32"/>
      <c r="EA686" s="32"/>
      <c r="EB686" s="43"/>
      <c r="EC686" s="16">
        <v>1102035</v>
      </c>
      <c r="ED686" s="16" t="s">
        <v>307</v>
      </c>
      <c r="EE686" s="16">
        <v>1</v>
      </c>
    </row>
    <row r="687" spans="15:135" ht="13.5" customHeight="1">
      <c r="O687" s="25"/>
      <c r="AI687" s="28"/>
      <c r="AJ687" s="28"/>
      <c r="AK687" s="28"/>
      <c r="AL687" s="28"/>
      <c r="AM687" s="28"/>
      <c r="AN687" s="28"/>
      <c r="BR687" s="7">
        <v>5204054</v>
      </c>
      <c r="BS687" s="9">
        <f>[1]monsters!$N687</f>
        <v>112</v>
      </c>
      <c r="BT687" s="9">
        <f>[1]monsters!$O687</f>
        <v>11.2</v>
      </c>
      <c r="BU687" s="9">
        <f>[1]monsters!$P687</f>
        <v>1344</v>
      </c>
      <c r="BV687" s="9">
        <f>[1]monsters!$Q687</f>
        <v>134.4</v>
      </c>
      <c r="BW687" s="9">
        <f>[1]monsters!$R687</f>
        <v>37.33</v>
      </c>
      <c r="BX687" s="9">
        <f>[1]monsters!$S687</f>
        <v>3.73</v>
      </c>
      <c r="BY687" s="9">
        <f>[1]monsters!$K687</f>
        <v>1.5</v>
      </c>
      <c r="BZ687" s="7">
        <f>[1]monsters!$D687</f>
        <v>2</v>
      </c>
      <c r="CA687" s="7">
        <f t="shared" si="221"/>
        <v>0.1</v>
      </c>
      <c r="CB687" s="7">
        <f t="shared" si="222"/>
        <v>151.09252525252526</v>
      </c>
      <c r="CC687" s="7">
        <f t="shared" si="223"/>
        <v>15.109252525252527</v>
      </c>
      <c r="CD687" s="7"/>
      <c r="CE687" s="7"/>
      <c r="CF687" s="7"/>
      <c r="CG687" s="7"/>
      <c r="CH687" s="7"/>
      <c r="CI687" s="7"/>
      <c r="CJ687" s="7"/>
      <c r="CK687" s="7"/>
      <c r="CL687" s="7"/>
      <c r="CM687" s="7"/>
      <c r="CN687" s="7"/>
      <c r="CO687" s="7"/>
      <c r="CP687" s="7"/>
      <c r="CR687" s="25"/>
      <c r="CS687" s="25"/>
      <c r="CT687" s="25"/>
      <c r="CU687" s="25"/>
      <c r="CV687" s="25"/>
      <c r="CW687" s="25"/>
      <c r="DP687" s="32"/>
      <c r="DQ687" s="32"/>
      <c r="DR687" s="32"/>
      <c r="DS687" s="32"/>
      <c r="DT687" s="32"/>
      <c r="DU687" s="32"/>
      <c r="DV687" s="32"/>
      <c r="DW687" s="32"/>
      <c r="DX687" s="32"/>
      <c r="DY687" s="32"/>
      <c r="DZ687" s="32"/>
      <c r="EA687" s="32"/>
      <c r="EB687" s="43"/>
      <c r="EC687" s="16">
        <v>1102041</v>
      </c>
      <c r="ED687" s="16" t="s">
        <v>303</v>
      </c>
      <c r="EE687" s="16">
        <v>1</v>
      </c>
    </row>
    <row r="688" spans="15:135" ht="13.5" customHeight="1">
      <c r="O688" s="25"/>
      <c r="AI688" s="28"/>
      <c r="AJ688" s="28"/>
      <c r="AK688" s="28"/>
      <c r="AL688" s="28"/>
      <c r="AM688" s="28"/>
      <c r="AN688" s="28"/>
      <c r="BR688" s="7">
        <v>5404054</v>
      </c>
      <c r="BS688" s="9">
        <f>[1]monsters!$N688</f>
        <v>112</v>
      </c>
      <c r="BT688" s="9">
        <f>[1]monsters!$O688</f>
        <v>11.2</v>
      </c>
      <c r="BU688" s="9">
        <f>[1]monsters!$P688</f>
        <v>1344</v>
      </c>
      <c r="BV688" s="9">
        <f>[1]monsters!$Q688</f>
        <v>134.4</v>
      </c>
      <c r="BW688" s="9">
        <f>[1]monsters!$R688</f>
        <v>37.33</v>
      </c>
      <c r="BX688" s="9">
        <f>[1]monsters!$S688</f>
        <v>3.73</v>
      </c>
      <c r="BY688" s="9">
        <f>[1]monsters!$K688</f>
        <v>1.5</v>
      </c>
      <c r="BZ688" s="7">
        <f>[1]monsters!$D688</f>
        <v>2</v>
      </c>
      <c r="CA688" s="7">
        <f t="shared" si="221"/>
        <v>0.1</v>
      </c>
      <c r="CB688" s="7">
        <f t="shared" si="222"/>
        <v>151.09252525252526</v>
      </c>
      <c r="CC688" s="7">
        <f t="shared" si="223"/>
        <v>15.109252525252527</v>
      </c>
      <c r="CD688" s="7"/>
      <c r="CE688" s="7"/>
      <c r="CF688" s="7"/>
      <c r="CG688" s="7"/>
      <c r="CH688" s="7"/>
      <c r="CI688" s="7"/>
      <c r="CJ688" s="7"/>
      <c r="CK688" s="7"/>
      <c r="CL688" s="7"/>
      <c r="CM688" s="7"/>
      <c r="CN688" s="7"/>
      <c r="CO688" s="7"/>
      <c r="CP688" s="7"/>
      <c r="CR688" s="25"/>
      <c r="CS688" s="25"/>
      <c r="CT688" s="25"/>
      <c r="CU688" s="25"/>
      <c r="CV688" s="25"/>
      <c r="CW688" s="25"/>
      <c r="DP688" s="13"/>
      <c r="DQ688" s="32"/>
      <c r="DR688" s="13"/>
      <c r="DS688" s="32"/>
      <c r="DT688" s="32"/>
      <c r="DU688" s="32"/>
      <c r="DV688" s="32"/>
      <c r="DW688" s="32"/>
      <c r="DX688" s="32"/>
      <c r="DY688" s="32"/>
      <c r="DZ688" s="32"/>
      <c r="EA688" s="32"/>
      <c r="EB688" s="21"/>
      <c r="EC688" s="16">
        <v>1102042</v>
      </c>
      <c r="ED688" s="16" t="s">
        <v>304</v>
      </c>
      <c r="EE688" s="16">
        <v>1</v>
      </c>
    </row>
    <row r="689" spans="15:135" ht="13.5" customHeight="1">
      <c r="O689" s="25"/>
      <c r="AI689" s="28"/>
      <c r="AJ689" s="28"/>
      <c r="AK689" s="28"/>
      <c r="AL689" s="28"/>
      <c r="AM689" s="28"/>
      <c r="AN689" s="28"/>
      <c r="BR689" s="7">
        <v>5303054</v>
      </c>
      <c r="BS689" s="9">
        <f>[1]monsters!$N689</f>
        <v>112</v>
      </c>
      <c r="BT689" s="9">
        <f>[1]monsters!$O689</f>
        <v>11.2</v>
      </c>
      <c r="BU689" s="9">
        <f>[1]monsters!$P689</f>
        <v>1344</v>
      </c>
      <c r="BV689" s="9">
        <f>[1]monsters!$Q689</f>
        <v>134.4</v>
      </c>
      <c r="BW689" s="9">
        <f>[1]monsters!$R689</f>
        <v>37.33</v>
      </c>
      <c r="BX689" s="9">
        <f>[1]monsters!$S689</f>
        <v>3.73</v>
      </c>
      <c r="BY689" s="9">
        <f>[1]monsters!$K689</f>
        <v>1.5</v>
      </c>
      <c r="BZ689" s="7">
        <f>[1]monsters!$D689</f>
        <v>2</v>
      </c>
      <c r="CA689" s="7">
        <f t="shared" si="221"/>
        <v>0.1</v>
      </c>
      <c r="CB689" s="7">
        <f t="shared" si="222"/>
        <v>151.09252525252526</v>
      </c>
      <c r="CC689" s="7">
        <f t="shared" si="223"/>
        <v>15.109252525252527</v>
      </c>
      <c r="CD689" s="7"/>
      <c r="CE689" s="7"/>
      <c r="CF689" s="7"/>
      <c r="CG689" s="7"/>
      <c r="CH689" s="7"/>
      <c r="CI689" s="7"/>
      <c r="CJ689" s="7"/>
      <c r="CK689" s="7"/>
      <c r="CL689" s="7"/>
      <c r="CM689" s="7"/>
      <c r="CN689" s="7"/>
      <c r="CO689" s="7"/>
      <c r="CP689" s="7"/>
      <c r="CR689" s="25"/>
      <c r="CS689" s="25"/>
      <c r="CT689" s="25"/>
      <c r="CU689" s="25"/>
      <c r="CV689" s="25"/>
      <c r="CW689" s="25"/>
      <c r="DP689" s="36"/>
      <c r="DQ689" s="36"/>
      <c r="DR689" s="36"/>
      <c r="DS689" s="36"/>
      <c r="DT689" s="36"/>
      <c r="DU689" s="36"/>
      <c r="DV689" s="32"/>
      <c r="DW689" s="32"/>
      <c r="DX689" s="32"/>
      <c r="DY689" s="32"/>
      <c r="DZ689" s="32"/>
      <c r="EA689" s="32"/>
      <c r="EB689" s="43"/>
      <c r="EC689" s="16">
        <v>1102043</v>
      </c>
      <c r="ED689" s="16" t="s">
        <v>305</v>
      </c>
      <c r="EE689" s="16">
        <v>1</v>
      </c>
    </row>
    <row r="690" spans="15:135" ht="13.5" customHeight="1">
      <c r="O690" s="25"/>
      <c r="AI690" s="28"/>
      <c r="AJ690" s="28"/>
      <c r="AK690" s="28"/>
      <c r="AL690" s="28"/>
      <c r="AM690" s="28"/>
      <c r="AN690" s="28"/>
      <c r="BR690" s="7">
        <v>5304054</v>
      </c>
      <c r="BS690" s="9">
        <f>[1]monsters!$N690</f>
        <v>112</v>
      </c>
      <c r="BT690" s="9">
        <f>[1]monsters!$O690</f>
        <v>11.2</v>
      </c>
      <c r="BU690" s="9">
        <f>[1]monsters!$P690</f>
        <v>1344</v>
      </c>
      <c r="BV690" s="9">
        <f>[1]monsters!$Q690</f>
        <v>134.4</v>
      </c>
      <c r="BW690" s="9">
        <f>[1]monsters!$R690</f>
        <v>37.33</v>
      </c>
      <c r="BX690" s="9">
        <f>[1]monsters!$S690</f>
        <v>3.73</v>
      </c>
      <c r="BY690" s="9">
        <f>[1]monsters!$K690</f>
        <v>1.5</v>
      </c>
      <c r="BZ690" s="7">
        <f>[1]monsters!$D690</f>
        <v>2</v>
      </c>
      <c r="CA690" s="7">
        <f t="shared" si="221"/>
        <v>0.1</v>
      </c>
      <c r="CB690" s="7">
        <f t="shared" si="222"/>
        <v>151.09252525252526</v>
      </c>
      <c r="CC690" s="7">
        <f t="shared" si="223"/>
        <v>15.109252525252527</v>
      </c>
      <c r="CD690" s="7"/>
      <c r="CE690" s="7"/>
      <c r="CF690" s="7"/>
      <c r="CG690" s="7"/>
      <c r="CH690" s="7"/>
      <c r="CI690" s="7"/>
      <c r="CJ690" s="7"/>
      <c r="CK690" s="7"/>
      <c r="CL690" s="7"/>
      <c r="CM690" s="7"/>
      <c r="CN690" s="7"/>
      <c r="CO690" s="7"/>
      <c r="CP690" s="7"/>
      <c r="CR690" s="25"/>
      <c r="CS690" s="25"/>
      <c r="CT690" s="25"/>
      <c r="CU690" s="25"/>
      <c r="CV690" s="25"/>
      <c r="CW690" s="25"/>
      <c r="DP690" s="32"/>
      <c r="DQ690" s="32"/>
      <c r="DR690" s="36"/>
      <c r="DS690" s="36"/>
      <c r="DT690" s="32"/>
      <c r="DU690" s="32"/>
      <c r="DV690" s="32"/>
      <c r="DW690" s="32"/>
      <c r="DX690" s="32"/>
      <c r="DY690" s="32"/>
      <c r="DZ690" s="32"/>
      <c r="EA690" s="32"/>
      <c r="EB690" s="43"/>
      <c r="EC690" s="16">
        <v>1102044</v>
      </c>
      <c r="ED690" s="16" t="s">
        <v>306</v>
      </c>
      <c r="EE690" s="16">
        <v>1</v>
      </c>
    </row>
    <row r="691" spans="15:135" ht="13.5" customHeight="1">
      <c r="O691" s="25"/>
      <c r="AI691" s="28"/>
      <c r="AJ691" s="28"/>
      <c r="AK691" s="28"/>
      <c r="AL691" s="28"/>
      <c r="AM691" s="28"/>
      <c r="AN691" s="28"/>
      <c r="BR691" s="7">
        <v>5503054</v>
      </c>
      <c r="BS691" s="9">
        <f>[1]monsters!$N691</f>
        <v>112</v>
      </c>
      <c r="BT691" s="9">
        <f>[1]monsters!$O691</f>
        <v>11.2</v>
      </c>
      <c r="BU691" s="9">
        <f>[1]monsters!$P691</f>
        <v>1344</v>
      </c>
      <c r="BV691" s="9">
        <f>[1]monsters!$Q691</f>
        <v>134.4</v>
      </c>
      <c r="BW691" s="9">
        <f>[1]monsters!$R691</f>
        <v>37.33</v>
      </c>
      <c r="BX691" s="9">
        <f>[1]monsters!$S691</f>
        <v>3.73</v>
      </c>
      <c r="BY691" s="9">
        <f>[1]monsters!$K691</f>
        <v>1.5</v>
      </c>
      <c r="BZ691" s="7">
        <f>[1]monsters!$D691</f>
        <v>2</v>
      </c>
      <c r="CA691" s="7">
        <f t="shared" si="221"/>
        <v>0.1</v>
      </c>
      <c r="CB691" s="7">
        <f t="shared" si="222"/>
        <v>151.09252525252526</v>
      </c>
      <c r="CC691" s="7">
        <f t="shared" si="223"/>
        <v>15.109252525252527</v>
      </c>
      <c r="CD691" s="7"/>
      <c r="CE691" s="7"/>
      <c r="CF691" s="7"/>
      <c r="CG691" s="7"/>
      <c r="CH691" s="7"/>
      <c r="CI691" s="7"/>
      <c r="CJ691" s="7"/>
      <c r="CK691" s="7"/>
      <c r="CL691" s="7"/>
      <c r="CM691" s="7"/>
      <c r="CN691" s="7"/>
      <c r="CO691" s="7"/>
      <c r="CP691" s="7"/>
      <c r="CR691" s="25"/>
      <c r="CS691" s="25"/>
      <c r="CT691" s="25"/>
      <c r="CU691" s="25"/>
      <c r="CV691" s="25"/>
      <c r="CW691" s="25"/>
      <c r="DP691" s="32"/>
      <c r="DQ691" s="32"/>
      <c r="DR691" s="36"/>
      <c r="DS691" s="36"/>
      <c r="DT691" s="36"/>
      <c r="DU691" s="36"/>
      <c r="DV691" s="32"/>
      <c r="DW691" s="32"/>
      <c r="DX691" s="32"/>
      <c r="DY691" s="32"/>
      <c r="DZ691" s="32"/>
      <c r="EA691" s="32"/>
      <c r="EB691" s="21"/>
      <c r="EC691" s="16">
        <v>1102045</v>
      </c>
      <c r="ED691" s="16" t="s">
        <v>307</v>
      </c>
      <c r="EE691" s="16">
        <v>1</v>
      </c>
    </row>
    <row r="692" spans="15:135" ht="13.5" customHeight="1">
      <c r="O692" s="25"/>
      <c r="AI692" s="28"/>
      <c r="AJ692" s="28"/>
      <c r="AK692" s="28"/>
      <c r="AL692" s="28"/>
      <c r="AM692" s="28"/>
      <c r="AN692" s="28"/>
      <c r="BR692" s="7">
        <v>5504054</v>
      </c>
      <c r="BS692" s="9">
        <f>[1]monsters!$N692</f>
        <v>128</v>
      </c>
      <c r="BT692" s="9">
        <f>[1]monsters!$O692</f>
        <v>12.8</v>
      </c>
      <c r="BU692" s="9">
        <f>[1]monsters!$P692</f>
        <v>1536</v>
      </c>
      <c r="BV692" s="9">
        <f>[1]monsters!$Q692</f>
        <v>153.6</v>
      </c>
      <c r="BW692" s="9">
        <f>[1]monsters!$R692</f>
        <v>42.67</v>
      </c>
      <c r="BX692" s="9">
        <f>[1]monsters!$S692</f>
        <v>4.2699999999999996</v>
      </c>
      <c r="BY692" s="9">
        <f>[1]monsters!$K692</f>
        <v>1.5</v>
      </c>
      <c r="BZ692" s="7">
        <f>[1]monsters!$D692</f>
        <v>2</v>
      </c>
      <c r="CA692" s="7">
        <f t="shared" si="221"/>
        <v>0.1</v>
      </c>
      <c r="CB692" s="7">
        <f t="shared" si="222"/>
        <v>172.67717171717172</v>
      </c>
      <c r="CC692" s="7">
        <f t="shared" si="223"/>
        <v>17.267717171717173</v>
      </c>
      <c r="CD692" s="7"/>
      <c r="CE692" s="7"/>
      <c r="CF692" s="7"/>
      <c r="CG692" s="7"/>
      <c r="CH692" s="7"/>
      <c r="CI692" s="7"/>
      <c r="CJ692" s="7"/>
      <c r="CK692" s="7"/>
      <c r="CL692" s="7"/>
      <c r="CM692" s="7"/>
      <c r="CN692" s="7"/>
      <c r="CO692" s="7"/>
      <c r="CP692" s="7"/>
      <c r="CR692" s="25"/>
      <c r="CS692" s="25"/>
      <c r="CT692" s="25"/>
      <c r="CU692" s="25"/>
      <c r="CV692" s="25"/>
      <c r="CW692" s="25"/>
      <c r="DP692" s="32"/>
      <c r="DQ692" s="32"/>
      <c r="DR692" s="32"/>
      <c r="DS692" s="32"/>
      <c r="DT692" s="36"/>
      <c r="DU692" s="36"/>
      <c r="DV692" s="32"/>
      <c r="DW692" s="32"/>
      <c r="DX692" s="32"/>
      <c r="DY692" s="32"/>
      <c r="DZ692" s="32"/>
      <c r="EA692" s="32"/>
      <c r="EB692" s="43"/>
      <c r="EC692" s="16">
        <v>1102051</v>
      </c>
      <c r="ED692" s="16" t="s">
        <v>303</v>
      </c>
      <c r="EE692" s="16">
        <v>1</v>
      </c>
    </row>
    <row r="693" spans="15:135" ht="13.5" customHeight="1">
      <c r="O693" s="25"/>
      <c r="AI693" s="28"/>
      <c r="AJ693" s="28"/>
      <c r="AK693" s="28"/>
      <c r="AL693" s="28"/>
      <c r="AM693" s="28"/>
      <c r="AN693" s="28"/>
      <c r="BR693" s="7">
        <v>5101054</v>
      </c>
      <c r="BS693" s="9">
        <f>[1]monsters!$N693</f>
        <v>128</v>
      </c>
      <c r="BT693" s="9">
        <f>[1]monsters!$O693</f>
        <v>12.8</v>
      </c>
      <c r="BU693" s="9">
        <f>[1]monsters!$P693</f>
        <v>1536</v>
      </c>
      <c r="BV693" s="9">
        <f>[1]monsters!$Q693</f>
        <v>153.6</v>
      </c>
      <c r="BW693" s="9">
        <f>[1]monsters!$R693</f>
        <v>42.67</v>
      </c>
      <c r="BX693" s="9">
        <f>[1]monsters!$S693</f>
        <v>4.2699999999999996</v>
      </c>
      <c r="BY693" s="9">
        <f>[1]monsters!$K693</f>
        <v>1.5</v>
      </c>
      <c r="BZ693" s="7">
        <f>[1]monsters!$D693</f>
        <v>2</v>
      </c>
      <c r="CA693" s="7">
        <f t="shared" si="221"/>
        <v>0.1</v>
      </c>
      <c r="CB693" s="7">
        <f t="shared" si="222"/>
        <v>172.67717171717172</v>
      </c>
      <c r="CC693" s="7">
        <f t="shared" si="223"/>
        <v>17.267717171717173</v>
      </c>
      <c r="CD693" s="7"/>
      <c r="CE693" s="7"/>
      <c r="CF693" s="7"/>
      <c r="CG693" s="7"/>
      <c r="CH693" s="7"/>
      <c r="CI693" s="7"/>
      <c r="CJ693" s="7"/>
      <c r="CK693" s="7"/>
      <c r="CL693" s="7"/>
      <c r="CM693" s="7"/>
      <c r="CN693" s="7"/>
      <c r="CO693" s="7"/>
      <c r="CP693" s="7"/>
      <c r="CR693" s="25"/>
      <c r="CS693" s="25"/>
      <c r="CT693" s="25"/>
      <c r="CU693" s="25"/>
      <c r="CV693" s="25"/>
      <c r="CW693" s="25"/>
      <c r="DP693" s="32"/>
      <c r="DQ693" s="32"/>
      <c r="DR693" s="32"/>
      <c r="DS693" s="36"/>
      <c r="DT693" s="36"/>
      <c r="DU693" s="36"/>
      <c r="DV693" s="32"/>
      <c r="DW693" s="32"/>
      <c r="DX693" s="32"/>
      <c r="DY693" s="32"/>
      <c r="DZ693" s="32"/>
      <c r="EA693" s="32"/>
      <c r="EB693" s="43"/>
      <c r="EC693" s="16">
        <v>1102052</v>
      </c>
      <c r="ED693" s="16" t="s">
        <v>304</v>
      </c>
      <c r="EE693" s="16">
        <v>1</v>
      </c>
    </row>
    <row r="694" spans="15:135" ht="13.5" customHeight="1">
      <c r="O694" s="25"/>
      <c r="AI694" s="28"/>
      <c r="AJ694" s="28"/>
      <c r="AK694" s="28"/>
      <c r="AL694" s="28"/>
      <c r="AM694" s="28"/>
      <c r="AN694" s="28"/>
      <c r="BR694" s="7">
        <v>5102054</v>
      </c>
      <c r="BS694" s="9">
        <f>[1]monsters!$N694</f>
        <v>128</v>
      </c>
      <c r="BT694" s="9">
        <f>[1]monsters!$O694</f>
        <v>12.8</v>
      </c>
      <c r="BU694" s="9">
        <f>[1]monsters!$P694</f>
        <v>1536</v>
      </c>
      <c r="BV694" s="9">
        <f>[1]monsters!$Q694</f>
        <v>153.6</v>
      </c>
      <c r="BW694" s="9">
        <f>[1]monsters!$R694</f>
        <v>42.67</v>
      </c>
      <c r="BX694" s="9">
        <f>[1]monsters!$S694</f>
        <v>4.2699999999999996</v>
      </c>
      <c r="BY694" s="9">
        <f>[1]monsters!$K694</f>
        <v>1.5</v>
      </c>
      <c r="BZ694" s="7">
        <f>[1]monsters!$D694</f>
        <v>2</v>
      </c>
      <c r="CA694" s="7">
        <f t="shared" si="221"/>
        <v>0.1</v>
      </c>
      <c r="CB694" s="7">
        <f t="shared" si="222"/>
        <v>172.67717171717172</v>
      </c>
      <c r="CC694" s="7">
        <f t="shared" si="223"/>
        <v>17.267717171717173</v>
      </c>
      <c r="CD694" s="7"/>
      <c r="CE694" s="7"/>
      <c r="CF694" s="7"/>
      <c r="CG694" s="7"/>
      <c r="CH694" s="7"/>
      <c r="CI694" s="7"/>
      <c r="CJ694" s="7"/>
      <c r="CK694" s="7"/>
      <c r="CL694" s="7"/>
      <c r="CM694" s="7"/>
      <c r="CN694" s="7"/>
      <c r="CO694" s="7"/>
      <c r="CP694" s="7"/>
      <c r="CR694" s="25"/>
      <c r="CS694" s="25"/>
      <c r="CT694" s="25"/>
      <c r="CU694" s="25"/>
      <c r="CV694" s="25"/>
      <c r="CW694" s="25"/>
      <c r="DP694" s="32"/>
      <c r="DQ694" s="32"/>
      <c r="DR694" s="32"/>
      <c r="DS694" s="36"/>
      <c r="DT694" s="36"/>
      <c r="DU694" s="36"/>
      <c r="DV694" s="32"/>
      <c r="DW694" s="32"/>
      <c r="DX694" s="32"/>
      <c r="DY694" s="32"/>
      <c r="DZ694" s="32"/>
      <c r="EA694" s="32"/>
      <c r="EB694" s="43"/>
      <c r="EC694" s="16">
        <v>1102053</v>
      </c>
      <c r="ED694" s="16" t="s">
        <v>305</v>
      </c>
      <c r="EE694" s="16">
        <v>1</v>
      </c>
    </row>
    <row r="695" spans="15:135" ht="13.5" customHeight="1">
      <c r="O695" s="25"/>
      <c r="AI695" s="28"/>
      <c r="AJ695" s="28"/>
      <c r="AK695" s="28"/>
      <c r="AL695" s="28"/>
      <c r="AM695" s="28"/>
      <c r="AN695" s="28"/>
      <c r="BR695" s="7">
        <v>5206055</v>
      </c>
      <c r="BS695" s="9">
        <f>[1]monsters!$N695</f>
        <v>128</v>
      </c>
      <c r="BT695" s="9">
        <f>[1]monsters!$O695</f>
        <v>12.8</v>
      </c>
      <c r="BU695" s="9">
        <f>[1]monsters!$P695</f>
        <v>1536</v>
      </c>
      <c r="BV695" s="9">
        <f>[1]monsters!$Q695</f>
        <v>153.6</v>
      </c>
      <c r="BW695" s="9">
        <f>[1]monsters!$R695</f>
        <v>42.67</v>
      </c>
      <c r="BX695" s="9">
        <f>[1]monsters!$S695</f>
        <v>4.2699999999999996</v>
      </c>
      <c r="BY695" s="9">
        <f>[1]monsters!$K695</f>
        <v>1.5</v>
      </c>
      <c r="BZ695" s="7">
        <f>[1]monsters!$D695</f>
        <v>2</v>
      </c>
      <c r="CA695" s="7">
        <f t="shared" si="221"/>
        <v>0.1</v>
      </c>
      <c r="CB695" s="7">
        <f t="shared" si="222"/>
        <v>172.67717171717172</v>
      </c>
      <c r="CC695" s="7">
        <f t="shared" si="223"/>
        <v>17.267717171717173</v>
      </c>
      <c r="CD695" s="7"/>
      <c r="CE695" s="7"/>
      <c r="CF695" s="7"/>
      <c r="CG695" s="7"/>
      <c r="CH695" s="7"/>
      <c r="CI695" s="7"/>
      <c r="CJ695" s="7"/>
      <c r="CK695" s="7"/>
      <c r="CL695" s="7"/>
      <c r="CM695" s="7"/>
      <c r="CN695" s="7"/>
      <c r="CO695" s="7"/>
      <c r="CP695" s="7"/>
      <c r="CR695" s="25"/>
      <c r="CS695" s="25"/>
      <c r="CT695" s="25"/>
      <c r="CU695" s="25"/>
      <c r="CV695" s="25"/>
      <c r="CW695" s="25"/>
      <c r="DP695" s="32"/>
      <c r="DQ695" s="32"/>
      <c r="DR695" s="32"/>
      <c r="DS695" s="36"/>
      <c r="DT695" s="36"/>
      <c r="DU695" s="36"/>
      <c r="DV695" s="32"/>
      <c r="DW695" s="32"/>
      <c r="DX695" s="32"/>
      <c r="DY695" s="32"/>
      <c r="DZ695" s="32"/>
      <c r="EA695" s="32"/>
      <c r="EB695" s="50"/>
      <c r="EC695" s="16">
        <v>1102054</v>
      </c>
      <c r="ED695" s="16" t="s">
        <v>306</v>
      </c>
      <c r="EE695" s="16">
        <v>1</v>
      </c>
    </row>
    <row r="696" spans="15:135" ht="13.5" customHeight="1">
      <c r="O696" s="25"/>
      <c r="AI696" s="28"/>
      <c r="AJ696" s="28"/>
      <c r="AK696" s="28"/>
      <c r="AL696" s="28"/>
      <c r="AM696" s="28"/>
      <c r="AN696" s="28"/>
      <c r="BR696" s="7">
        <v>5406055</v>
      </c>
      <c r="BS696" s="9">
        <f>[1]monsters!$N696</f>
        <v>128</v>
      </c>
      <c r="BT696" s="9">
        <f>[1]monsters!$O696</f>
        <v>12.8</v>
      </c>
      <c r="BU696" s="9">
        <f>[1]monsters!$P696</f>
        <v>1536</v>
      </c>
      <c r="BV696" s="9">
        <f>[1]monsters!$Q696</f>
        <v>153.6</v>
      </c>
      <c r="BW696" s="9">
        <f>[1]monsters!$R696</f>
        <v>42.67</v>
      </c>
      <c r="BX696" s="9">
        <f>[1]monsters!$S696</f>
        <v>4.2699999999999996</v>
      </c>
      <c r="BY696" s="9">
        <f>[1]monsters!$K696</f>
        <v>1.5</v>
      </c>
      <c r="BZ696" s="7">
        <f>[1]monsters!$D696</f>
        <v>2</v>
      </c>
      <c r="CA696" s="7">
        <f t="shared" si="221"/>
        <v>0.1</v>
      </c>
      <c r="CB696" s="7">
        <f t="shared" si="222"/>
        <v>172.67717171717172</v>
      </c>
      <c r="CC696" s="7">
        <f t="shared" si="223"/>
        <v>17.267717171717173</v>
      </c>
      <c r="CD696" s="7"/>
      <c r="CE696" s="7"/>
      <c r="CF696" s="7"/>
      <c r="CG696" s="7"/>
      <c r="CH696" s="7"/>
      <c r="CI696" s="7"/>
      <c r="CJ696" s="7"/>
      <c r="CK696" s="7"/>
      <c r="CL696" s="7"/>
      <c r="CM696" s="7"/>
      <c r="CN696" s="7"/>
      <c r="CO696" s="7"/>
      <c r="CP696" s="7"/>
      <c r="CR696" s="25"/>
      <c r="CS696" s="25"/>
      <c r="CT696" s="25"/>
      <c r="CU696" s="25"/>
      <c r="CV696" s="25"/>
      <c r="CW696" s="25"/>
      <c r="DP696" s="32"/>
      <c r="DQ696" s="32"/>
      <c r="DR696" s="32"/>
      <c r="DS696" s="36"/>
      <c r="DT696" s="36"/>
      <c r="DU696" s="36"/>
      <c r="DV696" s="32"/>
      <c r="DW696" s="32"/>
      <c r="DX696" s="32"/>
      <c r="DY696" s="32"/>
      <c r="DZ696" s="32"/>
      <c r="EA696" s="32"/>
      <c r="EB696" s="50"/>
      <c r="EC696" s="16">
        <v>1102055</v>
      </c>
      <c r="ED696" s="16" t="s">
        <v>307</v>
      </c>
      <c r="EE696" s="16">
        <v>1</v>
      </c>
    </row>
    <row r="697" spans="15:135" ht="13.5" customHeight="1">
      <c r="O697" s="25"/>
      <c r="AI697" s="28"/>
      <c r="AJ697" s="28"/>
      <c r="AK697" s="28"/>
      <c r="AL697" s="28"/>
      <c r="AM697" s="28"/>
      <c r="AN697" s="28"/>
      <c r="BR697" s="7">
        <v>5205055</v>
      </c>
      <c r="BS697" s="9">
        <f>[1]monsters!$N697</f>
        <v>144</v>
      </c>
      <c r="BT697" s="9">
        <f>[1]monsters!$O697</f>
        <v>14.4</v>
      </c>
      <c r="BU697" s="9">
        <f>[1]monsters!$P697</f>
        <v>1728</v>
      </c>
      <c r="BV697" s="9">
        <f>[1]monsters!$Q697</f>
        <v>172.8</v>
      </c>
      <c r="BW697" s="9">
        <f>[1]monsters!$R697</f>
        <v>48</v>
      </c>
      <c r="BX697" s="9">
        <f>[1]monsters!$S697</f>
        <v>4.8</v>
      </c>
      <c r="BY697" s="9">
        <f>[1]monsters!$K697</f>
        <v>1.5</v>
      </c>
      <c r="BZ697" s="7">
        <f>[1]monsters!$D697</f>
        <v>2</v>
      </c>
      <c r="CA697" s="7">
        <f t="shared" si="221"/>
        <v>0.1</v>
      </c>
      <c r="CB697" s="7">
        <f t="shared" si="222"/>
        <v>194.2618181818182</v>
      </c>
      <c r="CC697" s="7">
        <f t="shared" si="223"/>
        <v>19.426181818181821</v>
      </c>
      <c r="CD697" s="7"/>
      <c r="CE697" s="7"/>
      <c r="CF697" s="7"/>
      <c r="CG697" s="7"/>
      <c r="CH697" s="7"/>
      <c r="CI697" s="7"/>
      <c r="CJ697" s="7"/>
      <c r="CK697" s="7"/>
      <c r="CL697" s="7"/>
      <c r="CM697" s="7"/>
      <c r="CN697" s="7"/>
      <c r="CO697" s="7"/>
      <c r="CP697" s="7"/>
      <c r="CR697" s="25"/>
      <c r="CS697" s="25"/>
      <c r="CT697" s="25"/>
      <c r="CU697" s="25"/>
      <c r="CV697" s="25"/>
      <c r="CW697" s="25"/>
      <c r="DP697" s="32"/>
      <c r="DQ697" s="13"/>
      <c r="DR697" s="13"/>
      <c r="DS697" s="32"/>
      <c r="DT697" s="14"/>
      <c r="DU697" s="14"/>
      <c r="DV697" s="32"/>
      <c r="DW697" s="32"/>
      <c r="DX697" s="32"/>
      <c r="DY697" s="32"/>
      <c r="DZ697" s="32"/>
      <c r="EA697" s="32"/>
      <c r="EB697" s="50"/>
      <c r="EC697" s="16">
        <v>1102061</v>
      </c>
      <c r="ED697" s="16" t="s">
        <v>303</v>
      </c>
      <c r="EE697" s="16">
        <v>1</v>
      </c>
    </row>
    <row r="698" spans="15:135" ht="13.5" customHeight="1">
      <c r="O698" s="25"/>
      <c r="AI698" s="28"/>
      <c r="AJ698" s="28"/>
      <c r="AK698" s="28"/>
      <c r="AL698" s="28"/>
      <c r="AM698" s="28"/>
      <c r="AN698" s="28"/>
      <c r="BR698" s="7">
        <v>5405055</v>
      </c>
      <c r="BS698" s="9">
        <f>[1]monsters!$N698</f>
        <v>144</v>
      </c>
      <c r="BT698" s="9">
        <f>[1]monsters!$O698</f>
        <v>14.4</v>
      </c>
      <c r="BU698" s="9">
        <f>[1]monsters!$P698</f>
        <v>1728</v>
      </c>
      <c r="BV698" s="9">
        <f>[1]monsters!$Q698</f>
        <v>172.8</v>
      </c>
      <c r="BW698" s="9">
        <f>[1]monsters!$R698</f>
        <v>48</v>
      </c>
      <c r="BX698" s="9">
        <f>[1]monsters!$S698</f>
        <v>4.8</v>
      </c>
      <c r="BY698" s="9">
        <f>[1]monsters!$K698</f>
        <v>1.5</v>
      </c>
      <c r="BZ698" s="7">
        <f>[1]monsters!$D698</f>
        <v>2</v>
      </c>
      <c r="CA698" s="7">
        <f t="shared" si="221"/>
        <v>0.1</v>
      </c>
      <c r="CB698" s="7">
        <f t="shared" si="222"/>
        <v>194.2618181818182</v>
      </c>
      <c r="CC698" s="7">
        <f t="shared" si="223"/>
        <v>19.426181818181821</v>
      </c>
      <c r="CD698" s="7"/>
      <c r="CE698" s="7"/>
      <c r="CF698" s="7"/>
      <c r="CG698" s="7"/>
      <c r="CH698" s="7"/>
      <c r="CI698" s="7"/>
      <c r="CJ698" s="7"/>
      <c r="CK698" s="7"/>
      <c r="CL698" s="7"/>
      <c r="CM698" s="7"/>
      <c r="CN698" s="7"/>
      <c r="CO698" s="7"/>
      <c r="CP698" s="7"/>
      <c r="CR698" s="25"/>
      <c r="CS698" s="25"/>
      <c r="CT698" s="25"/>
      <c r="CU698" s="25"/>
      <c r="CV698" s="25"/>
      <c r="CW698" s="25"/>
      <c r="DP698" s="32"/>
      <c r="DQ698" s="32"/>
      <c r="DR698" s="36"/>
      <c r="DS698" s="36"/>
      <c r="DT698" s="32"/>
      <c r="DU698" s="32"/>
      <c r="DV698" s="32"/>
      <c r="DW698" s="32"/>
      <c r="DX698" s="32"/>
      <c r="DY698" s="32"/>
      <c r="DZ698" s="32"/>
      <c r="EA698" s="32"/>
      <c r="EB698" s="22"/>
      <c r="EC698" s="16">
        <v>1102062</v>
      </c>
      <c r="ED698" s="16" t="s">
        <v>304</v>
      </c>
      <c r="EE698" s="16">
        <v>1</v>
      </c>
    </row>
    <row r="699" spans="15:135" ht="13.5" customHeight="1">
      <c r="O699" s="25"/>
      <c r="AI699" s="28"/>
      <c r="AJ699" s="28"/>
      <c r="AK699" s="28"/>
      <c r="AL699" s="28"/>
      <c r="AM699" s="28"/>
      <c r="AN699" s="28"/>
      <c r="BR699" s="7">
        <v>5203055</v>
      </c>
      <c r="BS699" s="9">
        <f>[1]monsters!$N699</f>
        <v>144</v>
      </c>
      <c r="BT699" s="9">
        <f>[1]monsters!$O699</f>
        <v>14.4</v>
      </c>
      <c r="BU699" s="9">
        <f>[1]monsters!$P699</f>
        <v>1728</v>
      </c>
      <c r="BV699" s="9">
        <f>[1]monsters!$Q699</f>
        <v>172.8</v>
      </c>
      <c r="BW699" s="9">
        <f>[1]monsters!$R699</f>
        <v>48</v>
      </c>
      <c r="BX699" s="9">
        <f>[1]monsters!$S699</f>
        <v>4.8</v>
      </c>
      <c r="BY699" s="9">
        <f>[1]monsters!$K699</f>
        <v>1.5</v>
      </c>
      <c r="BZ699" s="7">
        <f>[1]monsters!$D699</f>
        <v>2</v>
      </c>
      <c r="CA699" s="7">
        <f t="shared" si="221"/>
        <v>0.1</v>
      </c>
      <c r="CB699" s="7">
        <f t="shared" si="222"/>
        <v>194.2618181818182</v>
      </c>
      <c r="CC699" s="7">
        <f t="shared" si="223"/>
        <v>19.426181818181821</v>
      </c>
      <c r="CD699" s="7"/>
      <c r="CE699" s="7"/>
      <c r="CF699" s="7"/>
      <c r="CG699" s="7"/>
      <c r="CH699" s="7"/>
      <c r="CI699" s="7"/>
      <c r="CJ699" s="7"/>
      <c r="CK699" s="7"/>
      <c r="CL699" s="7"/>
      <c r="CM699" s="7"/>
      <c r="CN699" s="7"/>
      <c r="CO699" s="7"/>
      <c r="CP699" s="7"/>
      <c r="CR699" s="25"/>
      <c r="CS699" s="25"/>
      <c r="CT699" s="25"/>
      <c r="CU699" s="25"/>
      <c r="CV699" s="25"/>
      <c r="CW699" s="25"/>
      <c r="DP699" s="32"/>
      <c r="DQ699" s="32"/>
      <c r="DR699" s="32"/>
      <c r="DS699" s="14"/>
      <c r="DT699" s="14"/>
      <c r="DU699" s="14"/>
      <c r="DV699" s="32"/>
      <c r="DW699" s="32"/>
      <c r="DX699" s="32"/>
      <c r="DY699" s="32"/>
      <c r="DZ699" s="32"/>
      <c r="EA699" s="32"/>
      <c r="EB699" s="50"/>
      <c r="EC699" s="16">
        <v>1102063</v>
      </c>
      <c r="ED699" s="16" t="s">
        <v>305</v>
      </c>
      <c r="EE699" s="16">
        <v>1</v>
      </c>
    </row>
    <row r="700" spans="15:135" ht="13.5" customHeight="1">
      <c r="O700" s="25"/>
      <c r="AI700" s="28"/>
      <c r="AJ700" s="28"/>
      <c r="AK700" s="28"/>
      <c r="AL700" s="28"/>
      <c r="AM700" s="28"/>
      <c r="AN700" s="28"/>
      <c r="BR700" s="7">
        <v>5403055</v>
      </c>
      <c r="BS700" s="9">
        <f>[1]monsters!$N700</f>
        <v>144</v>
      </c>
      <c r="BT700" s="9">
        <f>[1]monsters!$O700</f>
        <v>14.4</v>
      </c>
      <c r="BU700" s="9">
        <f>[1]monsters!$P700</f>
        <v>1728</v>
      </c>
      <c r="BV700" s="9">
        <f>[1]monsters!$Q700</f>
        <v>172.8</v>
      </c>
      <c r="BW700" s="9">
        <f>[1]monsters!$R700</f>
        <v>48</v>
      </c>
      <c r="BX700" s="9">
        <f>[1]monsters!$S700</f>
        <v>4.8</v>
      </c>
      <c r="BY700" s="9">
        <f>[1]monsters!$K700</f>
        <v>1.5</v>
      </c>
      <c r="BZ700" s="7">
        <f>[1]monsters!$D700</f>
        <v>2</v>
      </c>
      <c r="CA700" s="7">
        <f t="shared" si="221"/>
        <v>0.1</v>
      </c>
      <c r="CB700" s="7">
        <f t="shared" si="222"/>
        <v>194.2618181818182</v>
      </c>
      <c r="CC700" s="7">
        <f t="shared" si="223"/>
        <v>19.426181818181821</v>
      </c>
      <c r="CD700" s="7"/>
      <c r="CE700" s="7"/>
      <c r="CF700" s="7"/>
      <c r="CG700" s="7"/>
      <c r="CH700" s="7"/>
      <c r="CI700" s="7"/>
      <c r="CJ700" s="7"/>
      <c r="CK700" s="7"/>
      <c r="CL700" s="7"/>
      <c r="CM700" s="7"/>
      <c r="CN700" s="7"/>
      <c r="CO700" s="7"/>
      <c r="CP700" s="7"/>
      <c r="CR700" s="25"/>
      <c r="CS700" s="25"/>
      <c r="CT700" s="25"/>
      <c r="CU700" s="25"/>
      <c r="CV700" s="25"/>
      <c r="CW700" s="25"/>
      <c r="DP700" s="32"/>
      <c r="DQ700" s="32"/>
      <c r="DR700" s="36"/>
      <c r="DS700" s="36"/>
      <c r="DT700" s="32"/>
      <c r="DU700" s="32"/>
      <c r="DV700" s="32"/>
      <c r="DW700" s="32"/>
      <c r="DX700" s="32"/>
      <c r="DY700" s="32"/>
      <c r="DZ700" s="32"/>
      <c r="EA700" s="32"/>
      <c r="EB700" s="50"/>
      <c r="EC700" s="16">
        <v>1102064</v>
      </c>
      <c r="ED700" s="16" t="s">
        <v>306</v>
      </c>
      <c r="EE700" s="16">
        <v>1</v>
      </c>
    </row>
    <row r="701" spans="15:135" ht="13.5" customHeight="1">
      <c r="O701" s="25"/>
      <c r="AI701" s="28"/>
      <c r="AJ701" s="28"/>
      <c r="AK701" s="28"/>
      <c r="AL701" s="28"/>
      <c r="AM701" s="28"/>
      <c r="AN701" s="28"/>
      <c r="BR701" s="7">
        <v>5204055</v>
      </c>
      <c r="BS701" s="9">
        <f>[1]monsters!$N701</f>
        <v>144</v>
      </c>
      <c r="BT701" s="9">
        <f>[1]monsters!$O701</f>
        <v>14.4</v>
      </c>
      <c r="BU701" s="9">
        <f>[1]monsters!$P701</f>
        <v>1728</v>
      </c>
      <c r="BV701" s="9">
        <f>[1]monsters!$Q701</f>
        <v>172.8</v>
      </c>
      <c r="BW701" s="9">
        <f>[1]monsters!$R701</f>
        <v>48</v>
      </c>
      <c r="BX701" s="9">
        <f>[1]monsters!$S701</f>
        <v>4.8</v>
      </c>
      <c r="BY701" s="9">
        <f>[1]monsters!$K701</f>
        <v>1.5</v>
      </c>
      <c r="BZ701" s="7">
        <f>[1]monsters!$D701</f>
        <v>2</v>
      </c>
      <c r="CA701" s="7">
        <f t="shared" si="221"/>
        <v>0.1</v>
      </c>
      <c r="CB701" s="7">
        <f t="shared" si="222"/>
        <v>194.2618181818182</v>
      </c>
      <c r="CC701" s="7">
        <f t="shared" si="223"/>
        <v>19.426181818181821</v>
      </c>
      <c r="CD701" s="7"/>
      <c r="CE701" s="7"/>
      <c r="CF701" s="7"/>
      <c r="CG701" s="7"/>
      <c r="CH701" s="7"/>
      <c r="CI701" s="7"/>
      <c r="CJ701" s="7"/>
      <c r="CK701" s="7"/>
      <c r="CL701" s="7"/>
      <c r="CM701" s="7"/>
      <c r="CN701" s="7"/>
      <c r="CO701" s="7"/>
      <c r="CP701" s="7"/>
      <c r="CR701" s="25"/>
      <c r="CS701" s="25"/>
      <c r="CT701" s="25"/>
      <c r="CU701" s="25"/>
      <c r="CV701" s="25"/>
      <c r="CW701" s="25"/>
      <c r="DP701" s="32"/>
      <c r="DQ701" s="32"/>
      <c r="DR701" s="36"/>
      <c r="DS701" s="36"/>
      <c r="DT701" s="36"/>
      <c r="DU701" s="36"/>
      <c r="DV701" s="32"/>
      <c r="DW701" s="32"/>
      <c r="DX701" s="32"/>
      <c r="DY701" s="32"/>
      <c r="DZ701" s="32"/>
      <c r="EA701" s="32"/>
      <c r="EB701" s="50"/>
      <c r="EC701" s="16">
        <v>1102065</v>
      </c>
      <c r="ED701" s="16" t="s">
        <v>307</v>
      </c>
      <c r="EE701" s="16">
        <v>1</v>
      </c>
    </row>
    <row r="702" spans="15:135" ht="13.5" customHeight="1">
      <c r="O702" s="25"/>
      <c r="AI702" s="28"/>
      <c r="AJ702" s="28"/>
      <c r="AK702" s="28"/>
      <c r="AL702" s="28"/>
      <c r="AM702" s="28"/>
      <c r="AN702" s="28"/>
      <c r="BR702" s="7">
        <v>5404055</v>
      </c>
      <c r="BS702" s="9">
        <f>[1]monsters!$N702</f>
        <v>160</v>
      </c>
      <c r="BT702" s="9">
        <f>[1]monsters!$O702</f>
        <v>16</v>
      </c>
      <c r="BU702" s="9">
        <f>[1]monsters!$P702</f>
        <v>1920</v>
      </c>
      <c r="BV702" s="9">
        <f>[1]monsters!$Q702</f>
        <v>192</v>
      </c>
      <c r="BW702" s="9">
        <f>[1]monsters!$R702</f>
        <v>53.33</v>
      </c>
      <c r="BX702" s="9">
        <f>[1]monsters!$S702</f>
        <v>5.33</v>
      </c>
      <c r="BY702" s="9">
        <f>[1]monsters!$K702</f>
        <v>1.5</v>
      </c>
      <c r="BZ702" s="7">
        <f>[1]monsters!$D702</f>
        <v>2</v>
      </c>
      <c r="CA702" s="7">
        <f t="shared" si="221"/>
        <v>0.1</v>
      </c>
      <c r="CB702" s="7">
        <f t="shared" si="222"/>
        <v>215.84646464646465</v>
      </c>
      <c r="CC702" s="7">
        <f t="shared" si="223"/>
        <v>21.584646464646468</v>
      </c>
      <c r="CD702" s="7"/>
      <c r="CE702" s="7"/>
      <c r="CF702" s="7"/>
      <c r="CG702" s="7"/>
      <c r="CH702" s="7"/>
      <c r="CI702" s="7"/>
      <c r="CJ702" s="7"/>
      <c r="CK702" s="7"/>
      <c r="CL702" s="7"/>
      <c r="CM702" s="7"/>
      <c r="CN702" s="7"/>
      <c r="CO702" s="7"/>
      <c r="CP702" s="7"/>
      <c r="CR702" s="25"/>
      <c r="CS702" s="25"/>
      <c r="CT702" s="25"/>
      <c r="CU702" s="25"/>
      <c r="CV702" s="25"/>
      <c r="CW702" s="25"/>
      <c r="DP702" s="32"/>
      <c r="DQ702" s="36"/>
      <c r="DR702" s="32"/>
      <c r="DS702" s="36"/>
      <c r="DT702" s="36"/>
      <c r="DU702" s="14"/>
      <c r="DV702" s="32"/>
      <c r="DW702" s="32"/>
      <c r="DX702" s="32"/>
      <c r="DY702" s="32"/>
      <c r="DZ702" s="32"/>
      <c r="EA702" s="32"/>
      <c r="EB702" s="22"/>
      <c r="EC702" s="16">
        <v>1102071</v>
      </c>
      <c r="ED702" s="16" t="s">
        <v>303</v>
      </c>
      <c r="EE702" s="16">
        <v>1</v>
      </c>
    </row>
    <row r="703" spans="15:135" ht="13.5" customHeight="1">
      <c r="O703" s="25"/>
      <c r="AI703" s="28"/>
      <c r="AJ703" s="28"/>
      <c r="AK703" s="28"/>
      <c r="AL703" s="28"/>
      <c r="AM703" s="28"/>
      <c r="AN703" s="28"/>
      <c r="BR703" s="7">
        <v>5303055</v>
      </c>
      <c r="BS703" s="9">
        <f>[1]monsters!$N703</f>
        <v>160</v>
      </c>
      <c r="BT703" s="9">
        <f>[1]monsters!$O703</f>
        <v>16</v>
      </c>
      <c r="BU703" s="9">
        <f>[1]monsters!$P703</f>
        <v>1920</v>
      </c>
      <c r="BV703" s="9">
        <f>[1]monsters!$Q703</f>
        <v>192</v>
      </c>
      <c r="BW703" s="9">
        <f>[1]monsters!$R703</f>
        <v>53.33</v>
      </c>
      <c r="BX703" s="9">
        <f>[1]monsters!$S703</f>
        <v>5.33</v>
      </c>
      <c r="BY703" s="9">
        <f>[1]monsters!$K703</f>
        <v>1.5</v>
      </c>
      <c r="BZ703" s="7">
        <f>[1]monsters!$D703</f>
        <v>2</v>
      </c>
      <c r="CA703" s="7">
        <f t="shared" si="221"/>
        <v>0.1</v>
      </c>
      <c r="CB703" s="7">
        <f t="shared" si="222"/>
        <v>215.84646464646465</v>
      </c>
      <c r="CC703" s="7">
        <f t="shared" si="223"/>
        <v>21.584646464646468</v>
      </c>
      <c r="CD703" s="7"/>
      <c r="CE703" s="7"/>
      <c r="CF703" s="7"/>
      <c r="CG703" s="7"/>
      <c r="CH703" s="7"/>
      <c r="CI703" s="7"/>
      <c r="CJ703" s="7"/>
      <c r="CK703" s="7"/>
      <c r="CL703" s="7"/>
      <c r="CM703" s="7"/>
      <c r="CN703" s="7"/>
      <c r="CO703" s="7"/>
      <c r="CP703" s="7"/>
      <c r="CR703" s="25"/>
      <c r="CS703" s="25"/>
      <c r="CT703" s="25"/>
      <c r="CU703" s="25"/>
      <c r="CV703" s="25"/>
      <c r="CW703" s="25"/>
      <c r="DP703" s="32"/>
      <c r="DQ703" s="32"/>
      <c r="DR703" s="32"/>
      <c r="DS703" s="36"/>
      <c r="DT703" s="36"/>
      <c r="DU703" s="36"/>
      <c r="DV703" s="32"/>
      <c r="DW703" s="32"/>
      <c r="DX703" s="32"/>
      <c r="DY703" s="32"/>
      <c r="DZ703" s="32"/>
      <c r="EA703" s="32"/>
      <c r="EB703" s="50"/>
      <c r="EC703" s="16">
        <v>1102072</v>
      </c>
      <c r="ED703" s="16" t="s">
        <v>304</v>
      </c>
      <c r="EE703" s="16">
        <v>1</v>
      </c>
    </row>
    <row r="704" spans="15:135" ht="13.5" customHeight="1">
      <c r="O704" s="25"/>
      <c r="AI704" s="28"/>
      <c r="AJ704" s="28"/>
      <c r="AK704" s="28"/>
      <c r="AL704" s="28"/>
      <c r="AM704" s="28"/>
      <c r="AN704" s="28"/>
      <c r="BR704" s="7">
        <v>5304055</v>
      </c>
      <c r="BS704" s="9">
        <f>[1]monsters!$N704</f>
        <v>160</v>
      </c>
      <c r="BT704" s="9">
        <f>[1]monsters!$O704</f>
        <v>16</v>
      </c>
      <c r="BU704" s="9">
        <f>[1]monsters!$P704</f>
        <v>1920</v>
      </c>
      <c r="BV704" s="9">
        <f>[1]monsters!$Q704</f>
        <v>192</v>
      </c>
      <c r="BW704" s="9">
        <f>[1]monsters!$R704</f>
        <v>53.33</v>
      </c>
      <c r="BX704" s="9">
        <f>[1]monsters!$S704</f>
        <v>5.33</v>
      </c>
      <c r="BY704" s="9">
        <f>[1]monsters!$K704</f>
        <v>1.5</v>
      </c>
      <c r="BZ704" s="7">
        <f>[1]monsters!$D704</f>
        <v>2</v>
      </c>
      <c r="CA704" s="7">
        <f t="shared" si="221"/>
        <v>0.1</v>
      </c>
      <c r="CB704" s="7">
        <f t="shared" si="222"/>
        <v>215.84646464646465</v>
      </c>
      <c r="CC704" s="7">
        <f t="shared" si="223"/>
        <v>21.584646464646468</v>
      </c>
      <c r="CD704" s="7"/>
      <c r="CE704" s="7"/>
      <c r="CF704" s="7"/>
      <c r="CG704" s="7"/>
      <c r="CH704" s="7"/>
      <c r="CI704" s="7"/>
      <c r="CJ704" s="7"/>
      <c r="CK704" s="7"/>
      <c r="CL704" s="7"/>
      <c r="CM704" s="7"/>
      <c r="CN704" s="7"/>
      <c r="CO704" s="7"/>
      <c r="CP704" s="7"/>
      <c r="CR704" s="25"/>
      <c r="CS704" s="25"/>
      <c r="CT704" s="25"/>
      <c r="CU704" s="25"/>
      <c r="CV704" s="25"/>
      <c r="CW704" s="25"/>
      <c r="DP704" s="32"/>
      <c r="DQ704" s="32"/>
      <c r="DR704" s="32"/>
      <c r="DS704" s="32"/>
      <c r="DT704" s="32"/>
      <c r="DU704" s="32"/>
      <c r="DV704" s="32"/>
      <c r="DW704" s="32"/>
      <c r="DX704" s="32"/>
      <c r="DY704" s="32"/>
      <c r="DZ704" s="32"/>
      <c r="EA704" s="32"/>
      <c r="EB704" s="50"/>
      <c r="EC704" s="16">
        <v>1102073</v>
      </c>
      <c r="ED704" s="16" t="s">
        <v>305</v>
      </c>
      <c r="EE704" s="16">
        <v>1</v>
      </c>
    </row>
    <row r="705" spans="15:135" ht="13.5" customHeight="1">
      <c r="O705" s="25"/>
      <c r="AI705" s="28"/>
      <c r="AJ705" s="28"/>
      <c r="AK705" s="28"/>
      <c r="AL705" s="28"/>
      <c r="AM705" s="28"/>
      <c r="AN705" s="28"/>
      <c r="BR705" s="7">
        <v>5503055</v>
      </c>
      <c r="BS705" s="9">
        <f>[1]monsters!$N705</f>
        <v>160</v>
      </c>
      <c r="BT705" s="9">
        <f>[1]monsters!$O705</f>
        <v>16</v>
      </c>
      <c r="BU705" s="9">
        <f>[1]monsters!$P705</f>
        <v>1920</v>
      </c>
      <c r="BV705" s="9">
        <f>[1]monsters!$Q705</f>
        <v>192</v>
      </c>
      <c r="BW705" s="9">
        <f>[1]monsters!$R705</f>
        <v>53.33</v>
      </c>
      <c r="BX705" s="9">
        <f>[1]monsters!$S705</f>
        <v>5.33</v>
      </c>
      <c r="BY705" s="9">
        <f>[1]monsters!$K705</f>
        <v>1.5</v>
      </c>
      <c r="BZ705" s="7">
        <f>[1]monsters!$D705</f>
        <v>2</v>
      </c>
      <c r="CA705" s="7">
        <f t="shared" si="221"/>
        <v>0.1</v>
      </c>
      <c r="CB705" s="7">
        <f t="shared" si="222"/>
        <v>215.84646464646465</v>
      </c>
      <c r="CC705" s="7">
        <f t="shared" si="223"/>
        <v>21.584646464646468</v>
      </c>
      <c r="CD705" s="7"/>
      <c r="CE705" s="7"/>
      <c r="CF705" s="7"/>
      <c r="CG705" s="7"/>
      <c r="CH705" s="7"/>
      <c r="CI705" s="7"/>
      <c r="CJ705" s="7"/>
      <c r="CK705" s="7"/>
      <c r="CL705" s="7"/>
      <c r="CM705" s="7"/>
      <c r="CN705" s="7"/>
      <c r="CO705" s="7"/>
      <c r="CP705" s="7"/>
      <c r="CR705" s="25"/>
      <c r="CS705" s="25"/>
      <c r="CT705" s="25"/>
      <c r="CU705" s="25"/>
      <c r="CV705" s="25"/>
      <c r="CW705" s="25"/>
      <c r="DP705" s="32"/>
      <c r="DQ705" s="32"/>
      <c r="DR705" s="32"/>
      <c r="DS705" s="32"/>
      <c r="DT705" s="32"/>
      <c r="DU705" s="32"/>
      <c r="DV705" s="32"/>
      <c r="DW705" s="32"/>
      <c r="DX705" s="32"/>
      <c r="DY705" s="32"/>
      <c r="DZ705" s="32"/>
      <c r="EA705" s="32"/>
      <c r="EB705" s="22"/>
      <c r="EC705" s="16">
        <v>1102074</v>
      </c>
      <c r="ED705" s="16" t="s">
        <v>306</v>
      </c>
      <c r="EE705" s="16">
        <v>1</v>
      </c>
    </row>
    <row r="706" spans="15:135" ht="13.5" customHeight="1">
      <c r="O706" s="25"/>
      <c r="AI706" s="28"/>
      <c r="AJ706" s="28"/>
      <c r="AK706" s="28"/>
      <c r="AL706" s="28"/>
      <c r="AM706" s="28"/>
      <c r="AN706" s="28"/>
      <c r="BR706" s="7">
        <v>5504055</v>
      </c>
      <c r="BS706" s="9">
        <f>[1]monsters!$N706</f>
        <v>160</v>
      </c>
      <c r="BT706" s="9">
        <f>[1]monsters!$O706</f>
        <v>16</v>
      </c>
      <c r="BU706" s="9">
        <f>[1]monsters!$P706</f>
        <v>1920</v>
      </c>
      <c r="BV706" s="9">
        <f>[1]monsters!$Q706</f>
        <v>192</v>
      </c>
      <c r="BW706" s="9">
        <f>[1]monsters!$R706</f>
        <v>53.33</v>
      </c>
      <c r="BX706" s="9">
        <f>[1]monsters!$S706</f>
        <v>5.33</v>
      </c>
      <c r="BY706" s="9">
        <f>[1]monsters!$K706</f>
        <v>1.5</v>
      </c>
      <c r="BZ706" s="7">
        <f>[1]monsters!$D706</f>
        <v>2</v>
      </c>
      <c r="CA706" s="7">
        <f t="shared" si="221"/>
        <v>0.1</v>
      </c>
      <c r="CB706" s="7">
        <f t="shared" si="222"/>
        <v>215.84646464646465</v>
      </c>
      <c r="CC706" s="7">
        <f t="shared" si="223"/>
        <v>21.584646464646468</v>
      </c>
      <c r="CD706" s="7"/>
      <c r="CE706" s="7"/>
      <c r="CF706" s="7"/>
      <c r="CG706" s="7"/>
      <c r="CH706" s="7"/>
      <c r="CI706" s="7"/>
      <c r="CJ706" s="7"/>
      <c r="CK706" s="7"/>
      <c r="CL706" s="7"/>
      <c r="CM706" s="7"/>
      <c r="CN706" s="7"/>
      <c r="CO706" s="7"/>
      <c r="CP706" s="7"/>
      <c r="CR706" s="25"/>
      <c r="CS706" s="25"/>
      <c r="CT706" s="25"/>
      <c r="CU706" s="25"/>
      <c r="CV706" s="25"/>
      <c r="CW706" s="25"/>
      <c r="DP706" s="32"/>
      <c r="DQ706" s="32"/>
      <c r="DR706" s="32"/>
      <c r="DS706" s="32"/>
      <c r="DT706" s="32"/>
      <c r="DU706" s="32"/>
      <c r="DV706" s="32"/>
      <c r="DW706" s="32"/>
      <c r="DX706" s="32"/>
      <c r="DY706" s="32"/>
      <c r="DZ706" s="32"/>
      <c r="EA706" s="32"/>
      <c r="EB706" s="50"/>
      <c r="EC706" s="16">
        <v>1102075</v>
      </c>
      <c r="ED706" s="16" t="s">
        <v>307</v>
      </c>
      <c r="EE706" s="16">
        <v>1</v>
      </c>
    </row>
    <row r="707" spans="15:135" ht="13.5" customHeight="1">
      <c r="O707" s="25"/>
      <c r="AI707" s="28"/>
      <c r="AJ707" s="28"/>
      <c r="AK707" s="28"/>
      <c r="AL707" s="28"/>
      <c r="AM707" s="28"/>
      <c r="AN707" s="28"/>
      <c r="BR707" s="7">
        <v>5101055</v>
      </c>
      <c r="BS707" s="9">
        <f>[1]monsters!$N707</f>
        <v>176</v>
      </c>
      <c r="BT707" s="9">
        <f>[1]monsters!$O707</f>
        <v>17.600000000000001</v>
      </c>
      <c r="BU707" s="9">
        <f>[1]monsters!$P707</f>
        <v>2112</v>
      </c>
      <c r="BV707" s="9">
        <f>[1]monsters!$Q707</f>
        <v>211.2</v>
      </c>
      <c r="BW707" s="9">
        <f>[1]monsters!$R707</f>
        <v>58.67</v>
      </c>
      <c r="BX707" s="9">
        <f>[1]monsters!$S707</f>
        <v>5.87</v>
      </c>
      <c r="BY707" s="9">
        <f>[1]monsters!$K707</f>
        <v>1.5</v>
      </c>
      <c r="BZ707" s="7">
        <f>[1]monsters!$D707</f>
        <v>2</v>
      </c>
      <c r="CA707" s="7">
        <f t="shared" si="221"/>
        <v>0.1</v>
      </c>
      <c r="CB707" s="7">
        <f t="shared" si="222"/>
        <v>237.43111111111114</v>
      </c>
      <c r="CC707" s="7">
        <f t="shared" si="223"/>
        <v>23.743111111111116</v>
      </c>
      <c r="CD707" s="7"/>
      <c r="CE707" s="7"/>
      <c r="CF707" s="7"/>
      <c r="CG707" s="7"/>
      <c r="CH707" s="7"/>
      <c r="CI707" s="7"/>
      <c r="CJ707" s="7"/>
      <c r="CK707" s="7"/>
      <c r="CL707" s="7"/>
      <c r="CM707" s="7"/>
      <c r="CN707" s="7"/>
      <c r="CO707" s="7"/>
      <c r="CP707" s="7"/>
      <c r="CR707" s="25"/>
      <c r="CS707" s="25"/>
      <c r="CT707" s="25"/>
      <c r="CU707" s="25"/>
      <c r="CV707" s="25"/>
      <c r="CW707" s="25"/>
      <c r="DP707" s="32"/>
      <c r="DQ707" s="32"/>
      <c r="DR707" s="32"/>
      <c r="DS707" s="32"/>
      <c r="DT707" s="32"/>
      <c r="DU707" s="32"/>
      <c r="DV707" s="32"/>
      <c r="DW707" s="32"/>
      <c r="DX707" s="32"/>
      <c r="DY707" s="32"/>
      <c r="DZ707" s="32"/>
      <c r="EA707" s="32"/>
      <c r="EB707" s="50"/>
      <c r="EC707" s="16">
        <v>1102081</v>
      </c>
      <c r="ED707" s="16" t="s">
        <v>303</v>
      </c>
      <c r="EE707" s="16">
        <v>1</v>
      </c>
    </row>
    <row r="708" spans="15:135" ht="13.5" customHeight="1">
      <c r="O708" s="25"/>
      <c r="AI708" s="28"/>
      <c r="AJ708" s="28"/>
      <c r="AK708" s="28"/>
      <c r="AL708" s="28"/>
      <c r="AM708" s="28"/>
      <c r="AN708" s="28"/>
      <c r="BR708" s="7">
        <v>5102055</v>
      </c>
      <c r="BS708" s="9">
        <f>[1]monsters!$N708</f>
        <v>176</v>
      </c>
      <c r="BT708" s="9">
        <f>[1]monsters!$O708</f>
        <v>17.600000000000001</v>
      </c>
      <c r="BU708" s="9">
        <f>[1]monsters!$P708</f>
        <v>2112</v>
      </c>
      <c r="BV708" s="9">
        <f>[1]monsters!$Q708</f>
        <v>211.2</v>
      </c>
      <c r="BW708" s="9">
        <f>[1]monsters!$R708</f>
        <v>58.67</v>
      </c>
      <c r="BX708" s="9">
        <f>[1]monsters!$S708</f>
        <v>5.87</v>
      </c>
      <c r="BY708" s="9">
        <f>[1]monsters!$K708</f>
        <v>1.5</v>
      </c>
      <c r="BZ708" s="7">
        <f>[1]monsters!$D708</f>
        <v>2</v>
      </c>
      <c r="CA708" s="7">
        <f t="shared" si="221"/>
        <v>0.1</v>
      </c>
      <c r="CB708" s="7">
        <f t="shared" si="222"/>
        <v>237.43111111111114</v>
      </c>
      <c r="CC708" s="7">
        <f t="shared" si="223"/>
        <v>23.743111111111116</v>
      </c>
      <c r="CD708" s="7"/>
      <c r="CE708" s="7"/>
      <c r="CF708" s="7"/>
      <c r="CG708" s="7"/>
      <c r="CH708" s="7"/>
      <c r="CI708" s="7"/>
      <c r="CJ708" s="7"/>
      <c r="CK708" s="7"/>
      <c r="CL708" s="7"/>
      <c r="CM708" s="7"/>
      <c r="CN708" s="7"/>
      <c r="CO708" s="7"/>
      <c r="CP708" s="7"/>
      <c r="CR708" s="25"/>
      <c r="CS708" s="25"/>
      <c r="CT708" s="25"/>
      <c r="CU708" s="25"/>
      <c r="CV708" s="25"/>
      <c r="CW708" s="25"/>
      <c r="DP708" s="32"/>
      <c r="DQ708" s="32"/>
      <c r="DR708" s="32"/>
      <c r="DS708" s="32"/>
      <c r="DT708" s="32"/>
      <c r="DU708" s="32"/>
      <c r="DV708" s="32"/>
      <c r="DW708" s="32"/>
      <c r="DX708" s="32"/>
      <c r="DY708" s="32"/>
      <c r="DZ708" s="32"/>
      <c r="EA708" s="32"/>
      <c r="EB708" s="50"/>
      <c r="EC708" s="16">
        <v>1102082</v>
      </c>
      <c r="ED708" s="16" t="s">
        <v>304</v>
      </c>
      <c r="EE708" s="16">
        <v>1</v>
      </c>
    </row>
    <row r="709" spans="15:135" ht="13.5" customHeight="1">
      <c r="O709" s="25"/>
      <c r="AI709" s="28"/>
      <c r="AJ709" s="28"/>
      <c r="AK709" s="28"/>
      <c r="AL709" s="28"/>
      <c r="AM709" s="28"/>
      <c r="AN709" s="28"/>
      <c r="BR709" s="7">
        <v>5206061</v>
      </c>
      <c r="BS709" s="9">
        <f>[1]monsters!$N709</f>
        <v>176</v>
      </c>
      <c r="BT709" s="9">
        <f>[1]monsters!$O709</f>
        <v>17.600000000000001</v>
      </c>
      <c r="BU709" s="9">
        <f>[1]monsters!$P709</f>
        <v>2112</v>
      </c>
      <c r="BV709" s="9">
        <f>[1]monsters!$Q709</f>
        <v>211.2</v>
      </c>
      <c r="BW709" s="9">
        <f>[1]monsters!$R709</f>
        <v>58.67</v>
      </c>
      <c r="BX709" s="9">
        <f>[1]monsters!$S709</f>
        <v>5.87</v>
      </c>
      <c r="BY709" s="9">
        <f>[1]monsters!$K709</f>
        <v>1.5</v>
      </c>
      <c r="BZ709" s="7">
        <f>[1]monsters!$D709</f>
        <v>2</v>
      </c>
      <c r="CA709" s="7">
        <f t="shared" ref="CA709:CA772" si="224">INDEX($CH$5:$CH$10,MATCH($BZ709,$CG$5:$CG$10))</f>
        <v>0.1</v>
      </c>
      <c r="CB709" s="7">
        <f t="shared" ref="CB709:CB772" si="225">(BU709/33/(1-CA709)/(1-0)+BS709*(1+0.5*0.1)*0.9)</f>
        <v>237.43111111111114</v>
      </c>
      <c r="CC709" s="7">
        <f t="shared" ref="CC709:CC772" si="226">(BU709/33/(1-CA709)/(1-0)+BS709*(1+0.5*0.1)*0.9)*0.1</f>
        <v>23.743111111111116</v>
      </c>
      <c r="CD709" s="7"/>
      <c r="CE709" s="7"/>
      <c r="CF709" s="7"/>
      <c r="CG709" s="7"/>
      <c r="CH709" s="7"/>
      <c r="CI709" s="7"/>
      <c r="CJ709" s="7"/>
      <c r="CK709" s="7"/>
      <c r="CL709" s="7"/>
      <c r="CM709" s="7"/>
      <c r="CN709" s="7"/>
      <c r="CO709" s="7"/>
      <c r="CP709" s="7"/>
      <c r="CR709" s="25"/>
      <c r="CS709" s="25"/>
      <c r="CT709" s="25"/>
      <c r="CU709" s="25"/>
      <c r="CV709" s="25"/>
      <c r="CW709" s="25"/>
      <c r="DP709" s="32"/>
      <c r="DQ709" s="32"/>
      <c r="DR709" s="32"/>
      <c r="DS709" s="32"/>
      <c r="DT709" s="32"/>
      <c r="DU709" s="32"/>
      <c r="DV709" s="32"/>
      <c r="DW709" s="32"/>
      <c r="DX709" s="32"/>
      <c r="DY709" s="32"/>
      <c r="DZ709" s="32"/>
      <c r="EA709" s="32"/>
      <c r="EB709" s="47"/>
      <c r="EC709" s="16">
        <v>1102083</v>
      </c>
      <c r="ED709" s="16" t="s">
        <v>305</v>
      </c>
      <c r="EE709" s="16">
        <v>1</v>
      </c>
    </row>
    <row r="710" spans="15:135" ht="13.5" customHeight="1">
      <c r="O710" s="25"/>
      <c r="AI710" s="28"/>
      <c r="AJ710" s="28"/>
      <c r="AK710" s="28"/>
      <c r="AL710" s="28"/>
      <c r="AM710" s="28"/>
      <c r="AN710" s="28"/>
      <c r="BR710" s="7">
        <v>5406061</v>
      </c>
      <c r="BS710" s="9">
        <f>[1]monsters!$N710</f>
        <v>176</v>
      </c>
      <c r="BT710" s="9">
        <f>[1]monsters!$O710</f>
        <v>17.600000000000001</v>
      </c>
      <c r="BU710" s="9">
        <f>[1]monsters!$P710</f>
        <v>2112</v>
      </c>
      <c r="BV710" s="9">
        <f>[1]monsters!$Q710</f>
        <v>211.2</v>
      </c>
      <c r="BW710" s="9">
        <f>[1]monsters!$R710</f>
        <v>58.67</v>
      </c>
      <c r="BX710" s="9">
        <f>[1]monsters!$S710</f>
        <v>5.87</v>
      </c>
      <c r="BY710" s="9">
        <f>[1]monsters!$K710</f>
        <v>1.5</v>
      </c>
      <c r="BZ710" s="7">
        <f>[1]monsters!$D710</f>
        <v>2</v>
      </c>
      <c r="CA710" s="7">
        <f t="shared" si="224"/>
        <v>0.1</v>
      </c>
      <c r="CB710" s="7">
        <f t="shared" si="225"/>
        <v>237.43111111111114</v>
      </c>
      <c r="CC710" s="7">
        <f t="shared" si="226"/>
        <v>23.743111111111116</v>
      </c>
      <c r="CD710" s="7"/>
      <c r="CE710" s="7"/>
      <c r="CF710" s="7"/>
      <c r="CG710" s="7"/>
      <c r="CH710" s="7"/>
      <c r="CI710" s="7"/>
      <c r="CJ710" s="7"/>
      <c r="CK710" s="7"/>
      <c r="CL710" s="7"/>
      <c r="CM710" s="7"/>
      <c r="CN710" s="7"/>
      <c r="CO710" s="7"/>
      <c r="CP710" s="7"/>
      <c r="CR710" s="25"/>
      <c r="CS710" s="25"/>
      <c r="CT710" s="25"/>
      <c r="CU710" s="25"/>
      <c r="CV710" s="25"/>
      <c r="CW710" s="25"/>
      <c r="DP710" s="13"/>
      <c r="DQ710" s="13"/>
      <c r="DR710" s="13"/>
      <c r="DS710" s="32"/>
      <c r="DT710" s="32"/>
      <c r="DU710" s="32"/>
      <c r="DV710" s="32"/>
      <c r="DW710" s="32"/>
      <c r="DX710" s="32"/>
      <c r="DY710" s="32"/>
      <c r="DZ710" s="32"/>
      <c r="EA710" s="32"/>
      <c r="EB710" s="47"/>
      <c r="EC710" s="16">
        <v>1102084</v>
      </c>
      <c r="ED710" s="16" t="s">
        <v>306</v>
      </c>
      <c r="EE710" s="16">
        <v>1</v>
      </c>
    </row>
    <row r="711" spans="15:135" ht="13.5" customHeight="1">
      <c r="O711" s="25"/>
      <c r="AI711" s="28"/>
      <c r="AJ711" s="28"/>
      <c r="AK711" s="28"/>
      <c r="AL711" s="28"/>
      <c r="AM711" s="28"/>
      <c r="AN711" s="28"/>
      <c r="BR711" s="7">
        <v>5205061</v>
      </c>
      <c r="BS711" s="9">
        <f>[1]monsters!$N711</f>
        <v>176</v>
      </c>
      <c r="BT711" s="9">
        <f>[1]monsters!$O711</f>
        <v>17.600000000000001</v>
      </c>
      <c r="BU711" s="9">
        <f>[1]monsters!$P711</f>
        <v>2112</v>
      </c>
      <c r="BV711" s="9">
        <f>[1]monsters!$Q711</f>
        <v>211.2</v>
      </c>
      <c r="BW711" s="9">
        <f>[1]monsters!$R711</f>
        <v>58.67</v>
      </c>
      <c r="BX711" s="9">
        <f>[1]monsters!$S711</f>
        <v>5.87</v>
      </c>
      <c r="BY711" s="9">
        <f>[1]monsters!$K711</f>
        <v>1.5</v>
      </c>
      <c r="BZ711" s="7">
        <f>[1]monsters!$D711</f>
        <v>2</v>
      </c>
      <c r="CA711" s="7">
        <f t="shared" si="224"/>
        <v>0.1</v>
      </c>
      <c r="CB711" s="7">
        <f t="shared" si="225"/>
        <v>237.43111111111114</v>
      </c>
      <c r="CC711" s="7">
        <f t="shared" si="226"/>
        <v>23.743111111111116</v>
      </c>
      <c r="CD711" s="7"/>
      <c r="CE711" s="7"/>
      <c r="CF711" s="7"/>
      <c r="CG711" s="7"/>
      <c r="CH711" s="7"/>
      <c r="CI711" s="7"/>
      <c r="CJ711" s="7"/>
      <c r="CK711" s="7"/>
      <c r="CL711" s="7"/>
      <c r="CM711" s="7"/>
      <c r="CN711" s="7"/>
      <c r="CO711" s="7"/>
      <c r="CP711" s="7"/>
      <c r="CR711" s="25"/>
      <c r="CS711" s="25"/>
      <c r="CT711" s="25"/>
      <c r="CU711" s="25"/>
      <c r="CV711" s="25"/>
      <c r="CW711" s="25"/>
      <c r="DP711" s="32"/>
      <c r="DQ711" s="32"/>
      <c r="DR711" s="32"/>
      <c r="DS711" s="32"/>
      <c r="DT711" s="32"/>
      <c r="DU711" s="32"/>
      <c r="DV711" s="32"/>
      <c r="DW711" s="32"/>
      <c r="DX711" s="32"/>
      <c r="DY711" s="32"/>
      <c r="DZ711" s="32"/>
      <c r="EA711" s="32"/>
      <c r="EB711" s="47"/>
      <c r="EC711" s="16">
        <v>1102085</v>
      </c>
      <c r="ED711" s="16" t="s">
        <v>307</v>
      </c>
      <c r="EE711" s="16">
        <v>1</v>
      </c>
    </row>
    <row r="712" spans="15:135" ht="13.5" customHeight="1">
      <c r="O712" s="25"/>
      <c r="AI712" s="28"/>
      <c r="AJ712" s="28"/>
      <c r="AK712" s="28"/>
      <c r="AL712" s="28"/>
      <c r="AM712" s="28"/>
      <c r="AN712" s="28"/>
      <c r="BR712" s="7">
        <v>5405061</v>
      </c>
      <c r="BS712" s="9">
        <f>[1]monsters!$N712</f>
        <v>192</v>
      </c>
      <c r="BT712" s="9">
        <f>[1]monsters!$O712</f>
        <v>19.2</v>
      </c>
      <c r="BU712" s="9">
        <f>[1]monsters!$P712</f>
        <v>2304</v>
      </c>
      <c r="BV712" s="9">
        <f>[1]monsters!$Q712</f>
        <v>230.4</v>
      </c>
      <c r="BW712" s="9">
        <f>[1]monsters!$R712</f>
        <v>64</v>
      </c>
      <c r="BX712" s="9">
        <f>[1]monsters!$S712</f>
        <v>6.4</v>
      </c>
      <c r="BY712" s="9">
        <f>[1]monsters!$K712</f>
        <v>1.5</v>
      </c>
      <c r="BZ712" s="7">
        <f>[1]monsters!$D712</f>
        <v>2</v>
      </c>
      <c r="CA712" s="7">
        <f t="shared" si="224"/>
        <v>0.1</v>
      </c>
      <c r="CB712" s="7">
        <f t="shared" si="225"/>
        <v>259.01575757575756</v>
      </c>
      <c r="CC712" s="7">
        <f t="shared" si="226"/>
        <v>25.901575757575756</v>
      </c>
      <c r="CD712" s="7"/>
      <c r="CE712" s="7"/>
      <c r="CF712" s="7"/>
      <c r="CG712" s="7"/>
      <c r="CH712" s="7"/>
      <c r="CI712" s="7"/>
      <c r="CJ712" s="7"/>
      <c r="CK712" s="7"/>
      <c r="CL712" s="7"/>
      <c r="CM712" s="7"/>
      <c r="CN712" s="7"/>
      <c r="CO712" s="7"/>
      <c r="CP712" s="7"/>
      <c r="CR712" s="25"/>
      <c r="CS712" s="25"/>
      <c r="CT712" s="25"/>
      <c r="CU712" s="25"/>
      <c r="CV712" s="25"/>
      <c r="CW712" s="25"/>
      <c r="DP712" s="32"/>
      <c r="DQ712" s="32"/>
      <c r="DR712" s="32"/>
      <c r="DS712" s="32"/>
      <c r="DT712" s="32"/>
      <c r="DU712" s="32"/>
      <c r="DV712" s="32"/>
      <c r="DW712" s="32"/>
      <c r="DX712" s="32"/>
      <c r="DY712" s="32"/>
      <c r="DZ712" s="32"/>
      <c r="EA712" s="32"/>
      <c r="EB712" s="48"/>
      <c r="EC712" s="16">
        <v>1102091</v>
      </c>
      <c r="ED712" s="16" t="s">
        <v>303</v>
      </c>
      <c r="EE712" s="16">
        <v>1</v>
      </c>
    </row>
    <row r="713" spans="15:135" ht="13.5" customHeight="1">
      <c r="O713" s="25"/>
      <c r="AI713" s="28"/>
      <c r="AJ713" s="28"/>
      <c r="AK713" s="28"/>
      <c r="AL713" s="28"/>
      <c r="AM713" s="28"/>
      <c r="AN713" s="28"/>
      <c r="BR713" s="7">
        <v>5203061</v>
      </c>
      <c r="BS713" s="9">
        <f>[1]monsters!$N713</f>
        <v>192</v>
      </c>
      <c r="BT713" s="9">
        <f>[1]monsters!$O713</f>
        <v>19.2</v>
      </c>
      <c r="BU713" s="9">
        <f>[1]monsters!$P713</f>
        <v>2304</v>
      </c>
      <c r="BV713" s="9">
        <f>[1]monsters!$Q713</f>
        <v>230.4</v>
      </c>
      <c r="BW713" s="9">
        <f>[1]monsters!$R713</f>
        <v>64</v>
      </c>
      <c r="BX713" s="9">
        <f>[1]monsters!$S713</f>
        <v>6.4</v>
      </c>
      <c r="BY713" s="9">
        <f>[1]monsters!$K713</f>
        <v>1.5</v>
      </c>
      <c r="BZ713" s="7">
        <f>[1]monsters!$D713</f>
        <v>2</v>
      </c>
      <c r="CA713" s="7">
        <f t="shared" si="224"/>
        <v>0.1</v>
      </c>
      <c r="CB713" s="7">
        <f t="shared" si="225"/>
        <v>259.01575757575756</v>
      </c>
      <c r="CC713" s="7">
        <f t="shared" si="226"/>
        <v>25.901575757575756</v>
      </c>
      <c r="CD713" s="7"/>
      <c r="CE713" s="7"/>
      <c r="CF713" s="7"/>
      <c r="CG713" s="7"/>
      <c r="CH713" s="7"/>
      <c r="CI713" s="7"/>
      <c r="CJ713" s="7"/>
      <c r="CK713" s="7"/>
      <c r="CL713" s="7"/>
      <c r="CM713" s="7"/>
      <c r="CN713" s="7"/>
      <c r="CO713" s="7"/>
      <c r="CP713" s="7"/>
      <c r="CR713" s="25"/>
      <c r="CS713" s="25"/>
      <c r="CT713" s="25"/>
      <c r="CU713" s="25"/>
      <c r="CV713" s="25"/>
      <c r="CW713" s="25"/>
      <c r="DP713" s="32"/>
      <c r="DQ713" s="32"/>
      <c r="DR713" s="32"/>
      <c r="DS713" s="32"/>
      <c r="DT713" s="32"/>
      <c r="DU713" s="32"/>
      <c r="DV713" s="32"/>
      <c r="DW713" s="32"/>
      <c r="DX713" s="32"/>
      <c r="DY713" s="32"/>
      <c r="DZ713" s="32"/>
      <c r="EA713" s="32"/>
      <c r="EB713" s="47"/>
      <c r="EC713" s="16">
        <v>1102092</v>
      </c>
      <c r="ED713" s="16" t="s">
        <v>304</v>
      </c>
      <c r="EE713" s="16">
        <v>1</v>
      </c>
    </row>
    <row r="714" spans="15:135" ht="13.5" customHeight="1">
      <c r="O714" s="25"/>
      <c r="AI714" s="28"/>
      <c r="AJ714" s="28"/>
      <c r="AK714" s="28"/>
      <c r="AL714" s="28"/>
      <c r="AM714" s="28"/>
      <c r="AN714" s="28"/>
      <c r="BR714" s="7">
        <v>5403061</v>
      </c>
      <c r="BS714" s="9">
        <f>[1]monsters!$N714</f>
        <v>192</v>
      </c>
      <c r="BT714" s="9">
        <f>[1]monsters!$O714</f>
        <v>19.2</v>
      </c>
      <c r="BU714" s="9">
        <f>[1]monsters!$P714</f>
        <v>2304</v>
      </c>
      <c r="BV714" s="9">
        <f>[1]monsters!$Q714</f>
        <v>230.4</v>
      </c>
      <c r="BW714" s="9">
        <f>[1]monsters!$R714</f>
        <v>64</v>
      </c>
      <c r="BX714" s="9">
        <f>[1]monsters!$S714</f>
        <v>6.4</v>
      </c>
      <c r="BY714" s="9">
        <f>[1]monsters!$K714</f>
        <v>1.5</v>
      </c>
      <c r="BZ714" s="7">
        <f>[1]monsters!$D714</f>
        <v>2</v>
      </c>
      <c r="CA714" s="7">
        <f t="shared" si="224"/>
        <v>0.1</v>
      </c>
      <c r="CB714" s="7">
        <f t="shared" si="225"/>
        <v>259.01575757575756</v>
      </c>
      <c r="CC714" s="7">
        <f t="shared" si="226"/>
        <v>25.901575757575756</v>
      </c>
      <c r="CD714" s="7"/>
      <c r="CE714" s="7"/>
      <c r="CF714" s="7"/>
      <c r="CG714" s="7"/>
      <c r="CH714" s="7"/>
      <c r="CI714" s="7"/>
      <c r="CJ714" s="7"/>
      <c r="CK714" s="7"/>
      <c r="CL714" s="7"/>
      <c r="CM714" s="7"/>
      <c r="CN714" s="7"/>
      <c r="CO714" s="7"/>
      <c r="CP714" s="7"/>
      <c r="CR714" s="25"/>
      <c r="CS714" s="25"/>
      <c r="CT714" s="25"/>
      <c r="CU714" s="25"/>
      <c r="CV714" s="25"/>
      <c r="CW714" s="25"/>
      <c r="DP714" s="32"/>
      <c r="DQ714" s="32"/>
      <c r="DR714" s="32"/>
      <c r="DS714" s="32"/>
      <c r="DT714" s="32"/>
      <c r="DU714" s="32"/>
      <c r="DV714" s="32"/>
      <c r="DW714" s="32"/>
      <c r="DX714" s="32"/>
      <c r="DY714" s="32"/>
      <c r="DZ714" s="32"/>
      <c r="EA714" s="32"/>
      <c r="EB714" s="47"/>
      <c r="EC714" s="16">
        <v>1102093</v>
      </c>
      <c r="ED714" s="16" t="s">
        <v>305</v>
      </c>
      <c r="EE714" s="16">
        <v>1</v>
      </c>
    </row>
    <row r="715" spans="15:135" ht="13.5" customHeight="1">
      <c r="O715" s="25"/>
      <c r="AI715" s="28"/>
      <c r="AJ715" s="28"/>
      <c r="AK715" s="28"/>
      <c r="AL715" s="28"/>
      <c r="AM715" s="28"/>
      <c r="AN715" s="28"/>
      <c r="BR715" s="7">
        <v>5204061</v>
      </c>
      <c r="BS715" s="9">
        <f>[1]monsters!$N715</f>
        <v>192</v>
      </c>
      <c r="BT715" s="9">
        <f>[1]monsters!$O715</f>
        <v>19.2</v>
      </c>
      <c r="BU715" s="9">
        <f>[1]monsters!$P715</f>
        <v>2304</v>
      </c>
      <c r="BV715" s="9">
        <f>[1]monsters!$Q715</f>
        <v>230.4</v>
      </c>
      <c r="BW715" s="9">
        <f>[1]monsters!$R715</f>
        <v>64</v>
      </c>
      <c r="BX715" s="9">
        <f>[1]monsters!$S715</f>
        <v>6.4</v>
      </c>
      <c r="BY715" s="9">
        <f>[1]monsters!$K715</f>
        <v>1.5</v>
      </c>
      <c r="BZ715" s="7">
        <f>[1]monsters!$D715</f>
        <v>2</v>
      </c>
      <c r="CA715" s="7">
        <f t="shared" si="224"/>
        <v>0.1</v>
      </c>
      <c r="CB715" s="7">
        <f t="shared" si="225"/>
        <v>259.01575757575756</v>
      </c>
      <c r="CC715" s="7">
        <f t="shared" si="226"/>
        <v>25.901575757575756</v>
      </c>
      <c r="CD715" s="7"/>
      <c r="CE715" s="7"/>
      <c r="CF715" s="7"/>
      <c r="CG715" s="7"/>
      <c r="CH715" s="7"/>
      <c r="CI715" s="7"/>
      <c r="CJ715" s="7"/>
      <c r="CK715" s="7"/>
      <c r="CL715" s="7"/>
      <c r="CM715" s="7"/>
      <c r="CN715" s="7"/>
      <c r="CO715" s="7"/>
      <c r="CP715" s="7"/>
      <c r="CR715" s="25"/>
      <c r="CS715" s="25"/>
      <c r="CT715" s="25"/>
      <c r="CU715" s="25"/>
      <c r="CV715" s="25"/>
      <c r="CW715" s="25"/>
      <c r="DP715" s="32"/>
      <c r="DQ715" s="32"/>
      <c r="DR715" s="32"/>
      <c r="DS715" s="32"/>
      <c r="DT715" s="32"/>
      <c r="DU715" s="32"/>
      <c r="DV715" s="32"/>
      <c r="DW715" s="32"/>
      <c r="DX715" s="32"/>
      <c r="DY715" s="32"/>
      <c r="DZ715" s="32"/>
      <c r="EA715" s="32"/>
      <c r="EB715" s="47"/>
      <c r="EC715" s="16">
        <v>1102094</v>
      </c>
      <c r="ED715" s="16" t="s">
        <v>306</v>
      </c>
      <c r="EE715" s="16">
        <v>1</v>
      </c>
    </row>
    <row r="716" spans="15:135" ht="13.5" customHeight="1">
      <c r="O716" s="25"/>
      <c r="AI716" s="28"/>
      <c r="AJ716" s="28"/>
      <c r="AK716" s="28"/>
      <c r="AL716" s="28"/>
      <c r="AM716" s="28"/>
      <c r="AN716" s="28"/>
      <c r="BR716" s="7">
        <v>5404061</v>
      </c>
      <c r="BS716" s="9">
        <f>[1]monsters!$N716</f>
        <v>192</v>
      </c>
      <c r="BT716" s="9">
        <f>[1]monsters!$O716</f>
        <v>19.2</v>
      </c>
      <c r="BU716" s="9">
        <f>[1]monsters!$P716</f>
        <v>2304</v>
      </c>
      <c r="BV716" s="9">
        <f>[1]monsters!$Q716</f>
        <v>230.4</v>
      </c>
      <c r="BW716" s="9">
        <f>[1]monsters!$R716</f>
        <v>64</v>
      </c>
      <c r="BX716" s="9">
        <f>[1]monsters!$S716</f>
        <v>6.4</v>
      </c>
      <c r="BY716" s="9">
        <f>[1]monsters!$K716</f>
        <v>1.5</v>
      </c>
      <c r="BZ716" s="7">
        <f>[1]monsters!$D716</f>
        <v>2</v>
      </c>
      <c r="CA716" s="7">
        <f t="shared" si="224"/>
        <v>0.1</v>
      </c>
      <c r="CB716" s="7">
        <f t="shared" si="225"/>
        <v>259.01575757575756</v>
      </c>
      <c r="CC716" s="7">
        <f t="shared" si="226"/>
        <v>25.901575757575756</v>
      </c>
      <c r="CD716" s="7"/>
      <c r="CE716" s="7"/>
      <c r="CF716" s="7"/>
      <c r="CG716" s="7"/>
      <c r="CH716" s="7"/>
      <c r="CI716" s="7"/>
      <c r="CJ716" s="7"/>
      <c r="CK716" s="7"/>
      <c r="CL716" s="7"/>
      <c r="CM716" s="7"/>
      <c r="CN716" s="7"/>
      <c r="CO716" s="7"/>
      <c r="CP716" s="7"/>
      <c r="CR716" s="25"/>
      <c r="CS716" s="25"/>
      <c r="CT716" s="25"/>
      <c r="CU716" s="25"/>
      <c r="CV716" s="25"/>
      <c r="CW716" s="25"/>
      <c r="DP716" s="32"/>
      <c r="DQ716" s="32"/>
      <c r="DR716" s="32"/>
      <c r="DS716" s="32"/>
      <c r="DT716" s="32"/>
      <c r="DU716" s="32"/>
      <c r="DV716" s="32"/>
      <c r="DW716" s="32"/>
      <c r="DX716" s="32"/>
      <c r="DY716" s="32"/>
      <c r="DZ716" s="32"/>
      <c r="EA716" s="32"/>
      <c r="EB716" s="48"/>
      <c r="EC716" s="16">
        <v>1102095</v>
      </c>
      <c r="ED716" s="16" t="s">
        <v>307</v>
      </c>
      <c r="EE716" s="16">
        <v>1</v>
      </c>
    </row>
    <row r="717" spans="15:135" ht="13.5" customHeight="1">
      <c r="O717" s="25"/>
      <c r="AI717" s="28"/>
      <c r="AJ717" s="28"/>
      <c r="AK717" s="28"/>
      <c r="AL717" s="28"/>
      <c r="AM717" s="28"/>
      <c r="AN717" s="28"/>
      <c r="BR717" s="7">
        <v>5303061</v>
      </c>
      <c r="BS717" s="9">
        <f>[1]monsters!$N717</f>
        <v>208</v>
      </c>
      <c r="BT717" s="9">
        <f>[1]monsters!$O717</f>
        <v>20.8</v>
      </c>
      <c r="BU717" s="9">
        <f>[1]monsters!$P717</f>
        <v>2496</v>
      </c>
      <c r="BV717" s="9">
        <f>[1]monsters!$Q717</f>
        <v>249.6</v>
      </c>
      <c r="BW717" s="9">
        <f>[1]monsters!$R717</f>
        <v>69.33</v>
      </c>
      <c r="BX717" s="9">
        <f>[1]monsters!$S717</f>
        <v>6.93</v>
      </c>
      <c r="BY717" s="9">
        <f>[1]monsters!$K717</f>
        <v>1.5</v>
      </c>
      <c r="BZ717" s="7">
        <f>[1]monsters!$D717</f>
        <v>2</v>
      </c>
      <c r="CA717" s="7">
        <f t="shared" si="224"/>
        <v>0.1</v>
      </c>
      <c r="CB717" s="7">
        <f t="shared" si="225"/>
        <v>280.60040404040404</v>
      </c>
      <c r="CC717" s="7">
        <f t="shared" si="226"/>
        <v>28.060040404040407</v>
      </c>
      <c r="CD717" s="7"/>
      <c r="CE717" s="7"/>
      <c r="CF717" s="7"/>
      <c r="CG717" s="7"/>
      <c r="CH717" s="7"/>
      <c r="CI717" s="7"/>
      <c r="CJ717" s="7"/>
      <c r="CK717" s="7"/>
      <c r="CL717" s="7"/>
      <c r="CM717" s="7"/>
      <c r="CN717" s="7"/>
      <c r="CO717" s="7"/>
      <c r="CP717" s="7"/>
      <c r="CR717" s="25"/>
      <c r="CS717" s="25"/>
      <c r="CT717" s="25"/>
      <c r="CU717" s="25"/>
      <c r="CV717" s="25"/>
      <c r="CW717" s="25"/>
      <c r="DP717" s="32"/>
      <c r="DQ717" s="32"/>
      <c r="DR717" s="32"/>
      <c r="DS717" s="32"/>
      <c r="DT717" s="32"/>
      <c r="DU717" s="32"/>
      <c r="DV717" s="32"/>
      <c r="DW717" s="32"/>
      <c r="DX717" s="32"/>
      <c r="DY717" s="32"/>
      <c r="DZ717" s="32"/>
      <c r="EA717" s="32"/>
      <c r="EB717" s="47"/>
      <c r="EC717" s="16">
        <v>1102101</v>
      </c>
      <c r="ED717" s="16" t="s">
        <v>303</v>
      </c>
      <c r="EE717" s="16">
        <v>1</v>
      </c>
    </row>
    <row r="718" spans="15:135" ht="13.5" customHeight="1">
      <c r="O718" s="25"/>
      <c r="AI718" s="28"/>
      <c r="AJ718" s="28"/>
      <c r="AK718" s="28"/>
      <c r="AL718" s="28"/>
      <c r="AM718" s="28"/>
      <c r="AN718" s="28"/>
      <c r="BR718" s="7">
        <v>5304061</v>
      </c>
      <c r="BS718" s="9">
        <f>[1]monsters!$N718</f>
        <v>208</v>
      </c>
      <c r="BT718" s="9">
        <f>[1]monsters!$O718</f>
        <v>20.8</v>
      </c>
      <c r="BU718" s="9">
        <f>[1]monsters!$P718</f>
        <v>2496</v>
      </c>
      <c r="BV718" s="9">
        <f>[1]monsters!$Q718</f>
        <v>249.6</v>
      </c>
      <c r="BW718" s="9">
        <f>[1]monsters!$R718</f>
        <v>69.33</v>
      </c>
      <c r="BX718" s="9">
        <f>[1]monsters!$S718</f>
        <v>6.93</v>
      </c>
      <c r="BY718" s="9">
        <f>[1]monsters!$K718</f>
        <v>1.5</v>
      </c>
      <c r="BZ718" s="7">
        <f>[1]monsters!$D718</f>
        <v>2</v>
      </c>
      <c r="CA718" s="7">
        <f t="shared" si="224"/>
        <v>0.1</v>
      </c>
      <c r="CB718" s="7">
        <f t="shared" si="225"/>
        <v>280.60040404040404</v>
      </c>
      <c r="CC718" s="7">
        <f t="shared" si="226"/>
        <v>28.060040404040407</v>
      </c>
      <c r="CD718" s="7"/>
      <c r="CE718" s="7"/>
      <c r="CF718" s="7"/>
      <c r="CG718" s="7"/>
      <c r="CH718" s="7"/>
      <c r="CI718" s="7"/>
      <c r="CJ718" s="7"/>
      <c r="CK718" s="7"/>
      <c r="CL718" s="7"/>
      <c r="CM718" s="7"/>
      <c r="CN718" s="7"/>
      <c r="CO718" s="7"/>
      <c r="CP718" s="7"/>
      <c r="CR718" s="25"/>
      <c r="CS718" s="25"/>
      <c r="CT718" s="25"/>
      <c r="CU718" s="25"/>
      <c r="CV718" s="25"/>
      <c r="CW718" s="25"/>
      <c r="DP718" s="32"/>
      <c r="DQ718" s="32"/>
      <c r="DR718" s="32"/>
      <c r="DS718" s="32"/>
      <c r="DT718" s="32"/>
      <c r="DU718" s="32"/>
      <c r="DV718" s="32"/>
      <c r="DW718" s="32"/>
      <c r="DX718" s="32"/>
      <c r="DY718" s="32"/>
      <c r="DZ718" s="32"/>
      <c r="EA718" s="32"/>
      <c r="EB718" s="47"/>
      <c r="EC718" s="16">
        <v>1102102</v>
      </c>
      <c r="ED718" s="16" t="s">
        <v>304</v>
      </c>
      <c r="EE718" s="16">
        <v>1</v>
      </c>
    </row>
    <row r="719" spans="15:135" ht="13.5" customHeight="1">
      <c r="O719" s="25"/>
      <c r="AI719" s="28"/>
      <c r="AJ719" s="28"/>
      <c r="AK719" s="28"/>
      <c r="AL719" s="28"/>
      <c r="AM719" s="28"/>
      <c r="AN719" s="28"/>
      <c r="BR719" s="7">
        <v>5503061</v>
      </c>
      <c r="BS719" s="9">
        <f>[1]monsters!$N719</f>
        <v>208</v>
      </c>
      <c r="BT719" s="9">
        <f>[1]monsters!$O719</f>
        <v>20.8</v>
      </c>
      <c r="BU719" s="9">
        <f>[1]monsters!$P719</f>
        <v>2496</v>
      </c>
      <c r="BV719" s="9">
        <f>[1]monsters!$Q719</f>
        <v>249.6</v>
      </c>
      <c r="BW719" s="9">
        <f>[1]monsters!$R719</f>
        <v>69.33</v>
      </c>
      <c r="BX719" s="9">
        <f>[1]monsters!$S719</f>
        <v>6.93</v>
      </c>
      <c r="BY719" s="9">
        <f>[1]monsters!$K719</f>
        <v>1.5</v>
      </c>
      <c r="BZ719" s="7">
        <f>[1]monsters!$D719</f>
        <v>2</v>
      </c>
      <c r="CA719" s="7">
        <f t="shared" si="224"/>
        <v>0.1</v>
      </c>
      <c r="CB719" s="7">
        <f t="shared" si="225"/>
        <v>280.60040404040404</v>
      </c>
      <c r="CC719" s="7">
        <f t="shared" si="226"/>
        <v>28.060040404040407</v>
      </c>
      <c r="CD719" s="7"/>
      <c r="CE719" s="7"/>
      <c r="CF719" s="7"/>
      <c r="CG719" s="7"/>
      <c r="CH719" s="7"/>
      <c r="CI719" s="7"/>
      <c r="CJ719" s="7"/>
      <c r="CK719" s="7"/>
      <c r="CL719" s="7"/>
      <c r="CM719" s="7"/>
      <c r="CN719" s="7"/>
      <c r="CO719" s="7"/>
      <c r="CP719" s="7"/>
      <c r="CR719" s="25"/>
      <c r="CS719" s="25"/>
      <c r="CT719" s="25"/>
      <c r="CU719" s="25"/>
      <c r="CV719" s="25"/>
      <c r="CW719" s="25"/>
      <c r="DP719" s="32"/>
      <c r="DQ719" s="32"/>
      <c r="DR719" s="32"/>
      <c r="DS719" s="32"/>
      <c r="DT719" s="32"/>
      <c r="DU719" s="32"/>
      <c r="DV719" s="32"/>
      <c r="DW719" s="32"/>
      <c r="DX719" s="32"/>
      <c r="DY719" s="32"/>
      <c r="DZ719" s="32"/>
      <c r="EA719" s="32"/>
      <c r="EB719" s="48"/>
      <c r="EC719" s="16">
        <v>1102103</v>
      </c>
      <c r="ED719" s="16" t="s">
        <v>305</v>
      </c>
      <c r="EE719" s="16">
        <v>1</v>
      </c>
    </row>
    <row r="720" spans="15:135" ht="13.5" customHeight="1">
      <c r="O720" s="25"/>
      <c r="AI720" s="28"/>
      <c r="AJ720" s="28"/>
      <c r="AK720" s="28"/>
      <c r="AL720" s="28"/>
      <c r="AM720" s="28"/>
      <c r="AN720" s="28"/>
      <c r="BR720" s="7">
        <v>5504061</v>
      </c>
      <c r="BS720" s="9">
        <f>[1]monsters!$N720</f>
        <v>208</v>
      </c>
      <c r="BT720" s="9">
        <f>[1]monsters!$O720</f>
        <v>20.8</v>
      </c>
      <c r="BU720" s="9">
        <f>[1]monsters!$P720</f>
        <v>2496</v>
      </c>
      <c r="BV720" s="9">
        <f>[1]monsters!$Q720</f>
        <v>249.6</v>
      </c>
      <c r="BW720" s="9">
        <f>[1]monsters!$R720</f>
        <v>69.33</v>
      </c>
      <c r="BX720" s="9">
        <f>[1]monsters!$S720</f>
        <v>6.93</v>
      </c>
      <c r="BY720" s="9">
        <f>[1]monsters!$K720</f>
        <v>1.5</v>
      </c>
      <c r="BZ720" s="7">
        <f>[1]monsters!$D720</f>
        <v>2</v>
      </c>
      <c r="CA720" s="7">
        <f t="shared" si="224"/>
        <v>0.1</v>
      </c>
      <c r="CB720" s="7">
        <f t="shared" si="225"/>
        <v>280.60040404040404</v>
      </c>
      <c r="CC720" s="7">
        <f t="shared" si="226"/>
        <v>28.060040404040407</v>
      </c>
      <c r="CD720" s="7"/>
      <c r="CE720" s="7"/>
      <c r="CF720" s="7"/>
      <c r="CG720" s="7"/>
      <c r="CH720" s="7"/>
      <c r="CI720" s="7"/>
      <c r="CJ720" s="7"/>
      <c r="CK720" s="7"/>
      <c r="CL720" s="7"/>
      <c r="CM720" s="7"/>
      <c r="CN720" s="7"/>
      <c r="CO720" s="7"/>
      <c r="CP720" s="7"/>
      <c r="CR720" s="25"/>
      <c r="CS720" s="25"/>
      <c r="CT720" s="25"/>
      <c r="CU720" s="25"/>
      <c r="CV720" s="25"/>
      <c r="CW720" s="25"/>
      <c r="DP720" s="32"/>
      <c r="DQ720" s="32"/>
      <c r="DR720" s="32"/>
      <c r="DS720" s="32"/>
      <c r="DT720" s="32"/>
      <c r="DU720" s="32"/>
      <c r="DV720" s="32"/>
      <c r="DW720" s="32"/>
      <c r="DX720" s="32"/>
      <c r="DY720" s="32"/>
      <c r="DZ720" s="32"/>
      <c r="EA720" s="32"/>
      <c r="EB720" s="47"/>
      <c r="EC720" s="16">
        <v>1102104</v>
      </c>
      <c r="ED720" s="16" t="s">
        <v>306</v>
      </c>
      <c r="EE720" s="16">
        <v>1</v>
      </c>
    </row>
    <row r="721" spans="15:135" ht="13.5" customHeight="1">
      <c r="O721" s="25"/>
      <c r="AI721" s="28"/>
      <c r="AJ721" s="28"/>
      <c r="AK721" s="28"/>
      <c r="AL721" s="28"/>
      <c r="AM721" s="28"/>
      <c r="AN721" s="28"/>
      <c r="BR721" s="7">
        <v>5101061</v>
      </c>
      <c r="BS721" s="9">
        <f>[1]monsters!$N721</f>
        <v>208</v>
      </c>
      <c r="BT721" s="9">
        <f>[1]monsters!$O721</f>
        <v>20.8</v>
      </c>
      <c r="BU721" s="9">
        <f>[1]monsters!$P721</f>
        <v>2496</v>
      </c>
      <c r="BV721" s="9">
        <f>[1]monsters!$Q721</f>
        <v>249.6</v>
      </c>
      <c r="BW721" s="9">
        <f>[1]monsters!$R721</f>
        <v>69.33</v>
      </c>
      <c r="BX721" s="9">
        <f>[1]monsters!$S721</f>
        <v>6.93</v>
      </c>
      <c r="BY721" s="9">
        <f>[1]monsters!$K721</f>
        <v>1.5</v>
      </c>
      <c r="BZ721" s="7">
        <f>[1]monsters!$D721</f>
        <v>2</v>
      </c>
      <c r="CA721" s="7">
        <f t="shared" si="224"/>
        <v>0.1</v>
      </c>
      <c r="CB721" s="7">
        <f t="shared" si="225"/>
        <v>280.60040404040404</v>
      </c>
      <c r="CC721" s="7">
        <f t="shared" si="226"/>
        <v>28.060040404040407</v>
      </c>
      <c r="CD721" s="7"/>
      <c r="CE721" s="7"/>
      <c r="CF721" s="7"/>
      <c r="CG721" s="7"/>
      <c r="CH721" s="7"/>
      <c r="CI721" s="7"/>
      <c r="CJ721" s="7"/>
      <c r="CK721" s="7"/>
      <c r="CL721" s="7"/>
      <c r="CM721" s="7"/>
      <c r="CN721" s="7"/>
      <c r="CO721" s="7"/>
      <c r="CP721" s="7"/>
      <c r="CR721" s="25"/>
      <c r="CS721" s="25"/>
      <c r="CT721" s="25"/>
      <c r="CU721" s="25"/>
      <c r="CV721" s="25"/>
      <c r="CW721" s="25"/>
      <c r="DP721" s="32"/>
      <c r="DQ721" s="32"/>
      <c r="DR721" s="32"/>
      <c r="DS721" s="32"/>
      <c r="DT721" s="32"/>
      <c r="DU721" s="32"/>
      <c r="DV721" s="32"/>
      <c r="DW721" s="32"/>
      <c r="DX721" s="32"/>
      <c r="DY721" s="32"/>
      <c r="DZ721" s="32"/>
      <c r="EA721" s="32"/>
      <c r="EB721" s="47"/>
      <c r="EC721" s="16">
        <v>1102105</v>
      </c>
      <c r="ED721" s="16" t="s">
        <v>307</v>
      </c>
      <c r="EE721" s="16">
        <v>1</v>
      </c>
    </row>
    <row r="722" spans="15:135" ht="13.5" customHeight="1">
      <c r="O722" s="25"/>
      <c r="AI722" s="28"/>
      <c r="AJ722" s="28"/>
      <c r="AK722" s="28"/>
      <c r="AL722" s="28"/>
      <c r="AM722" s="28"/>
      <c r="AN722" s="28"/>
      <c r="BR722" s="7">
        <v>5102061</v>
      </c>
      <c r="BS722" s="9">
        <f>[1]monsters!$N722</f>
        <v>224</v>
      </c>
      <c r="BT722" s="9">
        <f>[1]monsters!$O722</f>
        <v>22.4</v>
      </c>
      <c r="BU722" s="9">
        <f>[1]monsters!$P722</f>
        <v>2688</v>
      </c>
      <c r="BV722" s="9">
        <f>[1]monsters!$Q722</f>
        <v>268.8</v>
      </c>
      <c r="BW722" s="9">
        <f>[1]monsters!$R722</f>
        <v>74.67</v>
      </c>
      <c r="BX722" s="9">
        <f>[1]monsters!$S722</f>
        <v>7.47</v>
      </c>
      <c r="BY722" s="9">
        <f>[1]monsters!$K722</f>
        <v>1.5</v>
      </c>
      <c r="BZ722" s="7">
        <f>[1]monsters!$D722</f>
        <v>2</v>
      </c>
      <c r="CA722" s="7">
        <f t="shared" si="224"/>
        <v>0.1</v>
      </c>
      <c r="CB722" s="7">
        <f t="shared" si="225"/>
        <v>302.18505050505053</v>
      </c>
      <c r="CC722" s="7">
        <f t="shared" si="226"/>
        <v>30.218505050505055</v>
      </c>
      <c r="CD722" s="7"/>
      <c r="CE722" s="7"/>
      <c r="CF722" s="7"/>
      <c r="CG722" s="7"/>
      <c r="CH722" s="7"/>
      <c r="CI722" s="7"/>
      <c r="CJ722" s="7"/>
      <c r="CK722" s="7"/>
      <c r="CL722" s="7"/>
      <c r="CM722" s="7"/>
      <c r="CN722" s="7"/>
      <c r="CO722" s="7"/>
      <c r="CP722" s="7"/>
      <c r="CR722" s="25"/>
      <c r="CS722" s="25"/>
      <c r="CT722" s="25"/>
      <c r="CU722" s="25"/>
      <c r="CV722" s="25"/>
      <c r="CW722" s="25"/>
      <c r="DP722" s="32"/>
      <c r="DQ722" s="32"/>
      <c r="DR722" s="32"/>
      <c r="DS722" s="32"/>
      <c r="DT722" s="32"/>
      <c r="DU722" s="32"/>
      <c r="DV722" s="32"/>
      <c r="DW722" s="32"/>
      <c r="DX722" s="32"/>
      <c r="DY722" s="32"/>
      <c r="DZ722" s="32"/>
      <c r="EA722" s="32"/>
      <c r="EB722" s="47"/>
      <c r="EC722" s="16">
        <v>1102111</v>
      </c>
      <c r="ED722" s="16" t="s">
        <v>303</v>
      </c>
      <c r="EE722" s="16">
        <v>1</v>
      </c>
    </row>
    <row r="723" spans="15:135" ht="13.5" customHeight="1">
      <c r="O723" s="25"/>
      <c r="AI723" s="28"/>
      <c r="AJ723" s="28"/>
      <c r="AK723" s="28"/>
      <c r="AL723" s="28"/>
      <c r="AM723" s="28"/>
      <c r="AN723" s="28"/>
      <c r="BR723" s="7">
        <v>5206062</v>
      </c>
      <c r="BS723" s="9">
        <f>[1]monsters!$N723</f>
        <v>224</v>
      </c>
      <c r="BT723" s="9">
        <f>[1]monsters!$O723</f>
        <v>22.4</v>
      </c>
      <c r="BU723" s="9">
        <f>[1]monsters!$P723</f>
        <v>2688</v>
      </c>
      <c r="BV723" s="9">
        <f>[1]monsters!$Q723</f>
        <v>268.8</v>
      </c>
      <c r="BW723" s="9">
        <f>[1]monsters!$R723</f>
        <v>74.67</v>
      </c>
      <c r="BX723" s="9">
        <f>[1]monsters!$S723</f>
        <v>7.47</v>
      </c>
      <c r="BY723" s="9">
        <f>[1]monsters!$K723</f>
        <v>1.5</v>
      </c>
      <c r="BZ723" s="7">
        <f>[1]monsters!$D723</f>
        <v>2</v>
      </c>
      <c r="CA723" s="7">
        <f t="shared" si="224"/>
        <v>0.1</v>
      </c>
      <c r="CB723" s="7">
        <f t="shared" si="225"/>
        <v>302.18505050505053</v>
      </c>
      <c r="CC723" s="7">
        <f t="shared" si="226"/>
        <v>30.218505050505055</v>
      </c>
      <c r="CD723" s="7"/>
      <c r="CE723" s="7"/>
      <c r="CF723" s="7"/>
      <c r="CG723" s="7"/>
      <c r="CH723" s="7"/>
      <c r="CI723" s="7"/>
      <c r="CJ723" s="7"/>
      <c r="CK723" s="7"/>
      <c r="CL723" s="7"/>
      <c r="CM723" s="7"/>
      <c r="CN723" s="7"/>
      <c r="CO723" s="7"/>
      <c r="CP723" s="7"/>
      <c r="CR723" s="25"/>
      <c r="CS723" s="25"/>
      <c r="CT723" s="25"/>
      <c r="CU723" s="25"/>
      <c r="CV723" s="25"/>
      <c r="CW723" s="25"/>
      <c r="DP723" s="32"/>
      <c r="DQ723" s="32"/>
      <c r="DR723" s="32"/>
      <c r="DS723" s="32"/>
      <c r="DT723" s="32"/>
      <c r="DU723" s="32"/>
      <c r="DV723" s="32"/>
      <c r="DW723" s="32"/>
      <c r="DX723" s="32"/>
      <c r="DY723" s="32"/>
      <c r="DZ723" s="32"/>
      <c r="EA723" s="32"/>
      <c r="EB723" s="49"/>
      <c r="EC723" s="16">
        <v>1102112</v>
      </c>
      <c r="ED723" s="16" t="s">
        <v>304</v>
      </c>
      <c r="EE723" s="16">
        <v>1</v>
      </c>
    </row>
    <row r="724" spans="15:135" ht="13.5" customHeight="1">
      <c r="O724" s="25"/>
      <c r="AI724" s="28"/>
      <c r="AJ724" s="28"/>
      <c r="AK724" s="28"/>
      <c r="AL724" s="28"/>
      <c r="AM724" s="28"/>
      <c r="AN724" s="28"/>
      <c r="BR724" s="7">
        <v>5406062</v>
      </c>
      <c r="BS724" s="9">
        <f>[1]monsters!$N724</f>
        <v>224</v>
      </c>
      <c r="BT724" s="9">
        <f>[1]monsters!$O724</f>
        <v>22.4</v>
      </c>
      <c r="BU724" s="9">
        <f>[1]monsters!$P724</f>
        <v>2688</v>
      </c>
      <c r="BV724" s="9">
        <f>[1]monsters!$Q724</f>
        <v>268.8</v>
      </c>
      <c r="BW724" s="9">
        <f>[1]monsters!$R724</f>
        <v>74.67</v>
      </c>
      <c r="BX724" s="9">
        <f>[1]monsters!$S724</f>
        <v>7.47</v>
      </c>
      <c r="BY724" s="9">
        <f>[1]monsters!$K724</f>
        <v>1.5</v>
      </c>
      <c r="BZ724" s="7">
        <f>[1]monsters!$D724</f>
        <v>2</v>
      </c>
      <c r="CA724" s="7">
        <f t="shared" si="224"/>
        <v>0.1</v>
      </c>
      <c r="CB724" s="7">
        <f t="shared" si="225"/>
        <v>302.18505050505053</v>
      </c>
      <c r="CC724" s="7">
        <f t="shared" si="226"/>
        <v>30.218505050505055</v>
      </c>
      <c r="CD724" s="7"/>
      <c r="CE724" s="7"/>
      <c r="CF724" s="7"/>
      <c r="CG724" s="7"/>
      <c r="CH724" s="7"/>
      <c r="CI724" s="7"/>
      <c r="CJ724" s="7"/>
      <c r="CK724" s="7"/>
      <c r="CL724" s="7"/>
      <c r="CM724" s="7"/>
      <c r="CN724" s="7"/>
      <c r="CO724" s="7"/>
      <c r="CP724" s="7"/>
      <c r="CR724" s="25"/>
      <c r="CS724" s="25"/>
      <c r="CT724" s="25"/>
      <c r="CU724" s="25"/>
      <c r="CV724" s="25"/>
      <c r="CW724" s="25"/>
      <c r="DP724" s="32"/>
      <c r="DQ724" s="32"/>
      <c r="DR724" s="32"/>
      <c r="DS724" s="32"/>
      <c r="DT724" s="32"/>
      <c r="DU724" s="32"/>
      <c r="DV724" s="32"/>
      <c r="DW724" s="32"/>
      <c r="DX724" s="32"/>
      <c r="DY724" s="32"/>
      <c r="DZ724" s="32"/>
      <c r="EA724" s="32"/>
      <c r="EB724" s="49"/>
      <c r="EC724" s="16">
        <v>1102113</v>
      </c>
      <c r="ED724" s="16" t="s">
        <v>305</v>
      </c>
      <c r="EE724" s="16">
        <v>1</v>
      </c>
    </row>
    <row r="725" spans="15:135" ht="13.5" customHeight="1">
      <c r="O725" s="25"/>
      <c r="AI725" s="28"/>
      <c r="AJ725" s="28"/>
      <c r="AK725" s="28"/>
      <c r="AL725" s="28"/>
      <c r="AM725" s="28"/>
      <c r="AN725" s="28"/>
      <c r="BR725" s="7">
        <v>5205062</v>
      </c>
      <c r="BS725" s="9">
        <f>[1]monsters!$N725</f>
        <v>224</v>
      </c>
      <c r="BT725" s="9">
        <f>[1]monsters!$O725</f>
        <v>22.4</v>
      </c>
      <c r="BU725" s="9">
        <f>[1]monsters!$P725</f>
        <v>2688</v>
      </c>
      <c r="BV725" s="9">
        <f>[1]monsters!$Q725</f>
        <v>268.8</v>
      </c>
      <c r="BW725" s="9">
        <f>[1]monsters!$R725</f>
        <v>74.67</v>
      </c>
      <c r="BX725" s="9">
        <f>[1]monsters!$S725</f>
        <v>7.47</v>
      </c>
      <c r="BY725" s="9">
        <f>[1]monsters!$K725</f>
        <v>1.5</v>
      </c>
      <c r="BZ725" s="7">
        <f>[1]monsters!$D725</f>
        <v>2</v>
      </c>
      <c r="CA725" s="7">
        <f t="shared" si="224"/>
        <v>0.1</v>
      </c>
      <c r="CB725" s="7">
        <f t="shared" si="225"/>
        <v>302.18505050505053</v>
      </c>
      <c r="CC725" s="7">
        <f t="shared" si="226"/>
        <v>30.218505050505055</v>
      </c>
      <c r="CD725" s="7"/>
      <c r="CE725" s="7"/>
      <c r="CF725" s="7"/>
      <c r="CG725" s="7"/>
      <c r="CH725" s="7"/>
      <c r="CI725" s="7"/>
      <c r="CJ725" s="7"/>
      <c r="CK725" s="7"/>
      <c r="CL725" s="7"/>
      <c r="CM725" s="7"/>
      <c r="CN725" s="7"/>
      <c r="CO725" s="7"/>
      <c r="CP725" s="7"/>
      <c r="CR725" s="25"/>
      <c r="CS725" s="25"/>
      <c r="CT725" s="25"/>
      <c r="CU725" s="25"/>
      <c r="CV725" s="25"/>
      <c r="CW725" s="25"/>
      <c r="DP725" s="32"/>
      <c r="DQ725" s="32"/>
      <c r="DR725" s="32"/>
      <c r="DS725" s="32"/>
      <c r="DT725" s="32"/>
      <c r="DU725" s="32"/>
      <c r="DV725" s="32"/>
      <c r="DW725" s="32"/>
      <c r="DX725" s="32"/>
      <c r="DY725" s="32"/>
      <c r="DZ725" s="32"/>
      <c r="EA725" s="32"/>
      <c r="EB725" s="49"/>
      <c r="EC725" s="16">
        <v>1102114</v>
      </c>
      <c r="ED725" s="16" t="s">
        <v>306</v>
      </c>
      <c r="EE725" s="16">
        <v>1</v>
      </c>
    </row>
    <row r="726" spans="15:135" ht="13.5" customHeight="1">
      <c r="O726" s="25"/>
      <c r="AI726" s="28"/>
      <c r="AJ726" s="28"/>
      <c r="AK726" s="28"/>
      <c r="AL726" s="28"/>
      <c r="AM726" s="28"/>
      <c r="AN726" s="28"/>
      <c r="BR726" s="7">
        <v>5405062</v>
      </c>
      <c r="BS726" s="9">
        <f>[1]monsters!$N726</f>
        <v>224</v>
      </c>
      <c r="BT726" s="9">
        <f>[1]monsters!$O726</f>
        <v>22.4</v>
      </c>
      <c r="BU726" s="9">
        <f>[1]monsters!$P726</f>
        <v>2688</v>
      </c>
      <c r="BV726" s="9">
        <f>[1]monsters!$Q726</f>
        <v>268.8</v>
      </c>
      <c r="BW726" s="9">
        <f>[1]monsters!$R726</f>
        <v>74.67</v>
      </c>
      <c r="BX726" s="9">
        <f>[1]monsters!$S726</f>
        <v>7.47</v>
      </c>
      <c r="BY726" s="9">
        <f>[1]monsters!$K726</f>
        <v>1.5</v>
      </c>
      <c r="BZ726" s="7">
        <f>[1]monsters!$D726</f>
        <v>2</v>
      </c>
      <c r="CA726" s="7">
        <f t="shared" si="224"/>
        <v>0.1</v>
      </c>
      <c r="CB726" s="7">
        <f t="shared" si="225"/>
        <v>302.18505050505053</v>
      </c>
      <c r="CC726" s="7">
        <f t="shared" si="226"/>
        <v>30.218505050505055</v>
      </c>
      <c r="CD726" s="7"/>
      <c r="CE726" s="7"/>
      <c r="CF726" s="7"/>
      <c r="CG726" s="7"/>
      <c r="CH726" s="7"/>
      <c r="CI726" s="7"/>
      <c r="CJ726" s="7"/>
      <c r="CK726" s="7"/>
      <c r="CL726" s="7"/>
      <c r="CM726" s="7"/>
      <c r="CN726" s="7"/>
      <c r="CO726" s="7"/>
      <c r="CP726" s="7"/>
      <c r="CR726" s="25"/>
      <c r="CS726" s="25"/>
      <c r="CT726" s="25"/>
      <c r="CU726" s="25"/>
      <c r="CV726" s="25"/>
      <c r="CW726" s="25"/>
      <c r="DP726" s="32"/>
      <c r="DQ726" s="32"/>
      <c r="DR726" s="32"/>
      <c r="DS726" s="32"/>
      <c r="DT726" s="32"/>
      <c r="DU726" s="32"/>
      <c r="DV726" s="32"/>
      <c r="DW726" s="32"/>
      <c r="DX726" s="32"/>
      <c r="DY726" s="32"/>
      <c r="DZ726" s="32"/>
      <c r="EA726" s="32"/>
      <c r="EB726" s="20"/>
      <c r="EC726" s="16">
        <v>1102115</v>
      </c>
      <c r="ED726" s="16" t="s">
        <v>307</v>
      </c>
      <c r="EE726" s="16">
        <v>1</v>
      </c>
    </row>
    <row r="727" spans="15:135" ht="13.5" customHeight="1">
      <c r="O727" s="25"/>
      <c r="AI727" s="28"/>
      <c r="AJ727" s="28"/>
      <c r="AK727" s="28"/>
      <c r="AL727" s="28"/>
      <c r="AM727" s="28"/>
      <c r="AN727" s="28"/>
      <c r="BR727" s="7">
        <v>5203062</v>
      </c>
      <c r="BS727" s="9">
        <f>[1]monsters!$N727</f>
        <v>240</v>
      </c>
      <c r="BT727" s="9">
        <f>[1]monsters!$O727</f>
        <v>24</v>
      </c>
      <c r="BU727" s="9">
        <f>[1]monsters!$P727</f>
        <v>2880</v>
      </c>
      <c r="BV727" s="9">
        <f>[1]monsters!$Q727</f>
        <v>288</v>
      </c>
      <c r="BW727" s="9">
        <f>[1]monsters!$R727</f>
        <v>80</v>
      </c>
      <c r="BX727" s="9">
        <f>[1]monsters!$S727</f>
        <v>8</v>
      </c>
      <c r="BY727" s="9">
        <f>[1]monsters!$K727</f>
        <v>1.5</v>
      </c>
      <c r="BZ727" s="7">
        <f>[1]monsters!$D727</f>
        <v>2</v>
      </c>
      <c r="CA727" s="7">
        <f t="shared" si="224"/>
        <v>0.1</v>
      </c>
      <c r="CB727" s="7">
        <f t="shared" si="225"/>
        <v>323.76969696969695</v>
      </c>
      <c r="CC727" s="7">
        <f t="shared" si="226"/>
        <v>32.376969696969695</v>
      </c>
      <c r="CD727" s="7"/>
      <c r="CE727" s="7"/>
      <c r="CF727" s="7"/>
      <c r="CG727" s="7"/>
      <c r="CH727" s="7"/>
      <c r="CI727" s="7"/>
      <c r="CJ727" s="7"/>
      <c r="CK727" s="7"/>
      <c r="CL727" s="7"/>
      <c r="CM727" s="7"/>
      <c r="CN727" s="7"/>
      <c r="CO727" s="7"/>
      <c r="CP727" s="7"/>
      <c r="CR727" s="25"/>
      <c r="CS727" s="25"/>
      <c r="CT727" s="25"/>
      <c r="CU727" s="25"/>
      <c r="CV727" s="25"/>
      <c r="CW727" s="25"/>
      <c r="DP727" s="32"/>
      <c r="DQ727" s="32"/>
      <c r="DR727" s="32"/>
      <c r="DS727" s="32"/>
      <c r="DT727" s="32"/>
      <c r="DU727" s="32"/>
      <c r="DV727" s="32"/>
      <c r="DW727" s="32"/>
      <c r="DX727" s="32"/>
      <c r="DY727" s="32"/>
      <c r="DZ727" s="32"/>
      <c r="EA727" s="32"/>
      <c r="EB727" s="49"/>
      <c r="EC727" s="16">
        <v>1102121</v>
      </c>
      <c r="ED727" s="16" t="s">
        <v>303</v>
      </c>
      <c r="EE727" s="16">
        <v>1</v>
      </c>
    </row>
    <row r="728" spans="15:135" ht="13.5" customHeight="1">
      <c r="O728" s="25"/>
      <c r="AI728" s="28"/>
      <c r="AJ728" s="28"/>
      <c r="AK728" s="28"/>
      <c r="AL728" s="28"/>
      <c r="AM728" s="28"/>
      <c r="AN728" s="28"/>
      <c r="BR728" s="7">
        <v>5403062</v>
      </c>
      <c r="BS728" s="9">
        <f>[1]monsters!$N728</f>
        <v>240</v>
      </c>
      <c r="BT728" s="9">
        <f>[1]monsters!$O728</f>
        <v>24</v>
      </c>
      <c r="BU728" s="9">
        <f>[1]monsters!$P728</f>
        <v>2880</v>
      </c>
      <c r="BV728" s="9">
        <f>[1]monsters!$Q728</f>
        <v>288</v>
      </c>
      <c r="BW728" s="9">
        <f>[1]monsters!$R728</f>
        <v>80</v>
      </c>
      <c r="BX728" s="9">
        <f>[1]monsters!$S728</f>
        <v>8</v>
      </c>
      <c r="BY728" s="9">
        <f>[1]monsters!$K728</f>
        <v>1.5</v>
      </c>
      <c r="BZ728" s="7">
        <f>[1]monsters!$D728</f>
        <v>2</v>
      </c>
      <c r="CA728" s="7">
        <f t="shared" si="224"/>
        <v>0.1</v>
      </c>
      <c r="CB728" s="7">
        <f t="shared" si="225"/>
        <v>323.76969696969695</v>
      </c>
      <c r="CC728" s="7">
        <f t="shared" si="226"/>
        <v>32.376969696969695</v>
      </c>
      <c r="CD728" s="7"/>
      <c r="CE728" s="7"/>
      <c r="CF728" s="7"/>
      <c r="CG728" s="7"/>
      <c r="CH728" s="7"/>
      <c r="CI728" s="7"/>
      <c r="CJ728" s="7"/>
      <c r="CK728" s="7"/>
      <c r="CL728" s="7"/>
      <c r="CM728" s="7"/>
      <c r="CN728" s="7"/>
      <c r="CO728" s="7"/>
      <c r="CP728" s="7"/>
      <c r="CR728" s="25"/>
      <c r="CS728" s="25"/>
      <c r="CT728" s="25"/>
      <c r="CU728" s="25"/>
      <c r="CV728" s="25"/>
      <c r="CW728" s="25"/>
      <c r="DP728" s="32"/>
      <c r="DQ728" s="32"/>
      <c r="DR728" s="32"/>
      <c r="DS728" s="32"/>
      <c r="DT728" s="32"/>
      <c r="DU728" s="32"/>
      <c r="DV728" s="32"/>
      <c r="DW728" s="32"/>
      <c r="DX728" s="32"/>
      <c r="DY728" s="32"/>
      <c r="DZ728" s="32"/>
      <c r="EA728" s="32"/>
      <c r="EB728" s="49"/>
      <c r="EC728" s="16">
        <v>1102122</v>
      </c>
      <c r="ED728" s="16" t="s">
        <v>304</v>
      </c>
      <c r="EE728" s="16">
        <v>1</v>
      </c>
    </row>
    <row r="729" spans="15:135" ht="13.5" customHeight="1">
      <c r="O729" s="25"/>
      <c r="AI729" s="28"/>
      <c r="AJ729" s="28"/>
      <c r="AK729" s="28"/>
      <c r="AL729" s="28"/>
      <c r="AM729" s="28"/>
      <c r="AN729" s="28"/>
      <c r="BR729" s="7">
        <v>5204062</v>
      </c>
      <c r="BS729" s="9">
        <f>[1]monsters!$N729</f>
        <v>240</v>
      </c>
      <c r="BT729" s="9">
        <f>[1]monsters!$O729</f>
        <v>24</v>
      </c>
      <c r="BU729" s="9">
        <f>[1]monsters!$P729</f>
        <v>2880</v>
      </c>
      <c r="BV729" s="9">
        <f>[1]monsters!$Q729</f>
        <v>288</v>
      </c>
      <c r="BW729" s="9">
        <f>[1]monsters!$R729</f>
        <v>80</v>
      </c>
      <c r="BX729" s="9">
        <f>[1]monsters!$S729</f>
        <v>8</v>
      </c>
      <c r="BY729" s="9">
        <f>[1]monsters!$K729</f>
        <v>1.5</v>
      </c>
      <c r="BZ729" s="7">
        <f>[1]monsters!$D729</f>
        <v>2</v>
      </c>
      <c r="CA729" s="7">
        <f t="shared" si="224"/>
        <v>0.1</v>
      </c>
      <c r="CB729" s="7">
        <f t="shared" si="225"/>
        <v>323.76969696969695</v>
      </c>
      <c r="CC729" s="7">
        <f t="shared" si="226"/>
        <v>32.376969696969695</v>
      </c>
      <c r="CD729" s="7"/>
      <c r="CE729" s="7"/>
      <c r="CF729" s="7"/>
      <c r="CG729" s="7"/>
      <c r="CH729" s="7"/>
      <c r="CI729" s="7"/>
      <c r="CJ729" s="7"/>
      <c r="CK729" s="7"/>
      <c r="CL729" s="7"/>
      <c r="CM729" s="7"/>
      <c r="CN729" s="7"/>
      <c r="CO729" s="7"/>
      <c r="CP729" s="7"/>
      <c r="CR729" s="25"/>
      <c r="CS729" s="25"/>
      <c r="CT729" s="25"/>
      <c r="CU729" s="25"/>
      <c r="CV729" s="25"/>
      <c r="CW729" s="25"/>
      <c r="DP729" s="32"/>
      <c r="DQ729" s="32"/>
      <c r="DR729" s="32"/>
      <c r="DS729" s="32"/>
      <c r="DT729" s="32"/>
      <c r="DU729" s="32"/>
      <c r="DV729" s="32"/>
      <c r="DW729" s="32"/>
      <c r="DX729" s="32"/>
      <c r="DY729" s="32"/>
      <c r="DZ729" s="32"/>
      <c r="EA729" s="32"/>
      <c r="EB729" s="49"/>
      <c r="EC729" s="16">
        <v>1102123</v>
      </c>
      <c r="ED729" s="16" t="s">
        <v>305</v>
      </c>
      <c r="EE729" s="16">
        <v>1</v>
      </c>
    </row>
    <row r="730" spans="15:135" ht="13.5" customHeight="1">
      <c r="O730" s="25"/>
      <c r="AI730" s="28"/>
      <c r="AJ730" s="28"/>
      <c r="AK730" s="28"/>
      <c r="AL730" s="28"/>
      <c r="AM730" s="28"/>
      <c r="AN730" s="28"/>
      <c r="BR730" s="7">
        <v>5404062</v>
      </c>
      <c r="BS730" s="9">
        <f>[1]monsters!$N730</f>
        <v>240</v>
      </c>
      <c r="BT730" s="9">
        <f>[1]monsters!$O730</f>
        <v>24</v>
      </c>
      <c r="BU730" s="9">
        <f>[1]monsters!$P730</f>
        <v>2880</v>
      </c>
      <c r="BV730" s="9">
        <f>[1]monsters!$Q730</f>
        <v>288</v>
      </c>
      <c r="BW730" s="9">
        <f>[1]monsters!$R730</f>
        <v>80</v>
      </c>
      <c r="BX730" s="9">
        <f>[1]monsters!$S730</f>
        <v>8</v>
      </c>
      <c r="BY730" s="9">
        <f>[1]monsters!$K730</f>
        <v>1.5</v>
      </c>
      <c r="BZ730" s="7">
        <f>[1]monsters!$D730</f>
        <v>2</v>
      </c>
      <c r="CA730" s="7">
        <f t="shared" si="224"/>
        <v>0.1</v>
      </c>
      <c r="CB730" s="7">
        <f t="shared" si="225"/>
        <v>323.76969696969695</v>
      </c>
      <c r="CC730" s="7">
        <f t="shared" si="226"/>
        <v>32.376969696969695</v>
      </c>
      <c r="CD730" s="7"/>
      <c r="CE730" s="7"/>
      <c r="CF730" s="7"/>
      <c r="CG730" s="7"/>
      <c r="CH730" s="7"/>
      <c r="CI730" s="7"/>
      <c r="CJ730" s="7"/>
      <c r="CK730" s="7"/>
      <c r="CL730" s="7"/>
      <c r="CM730" s="7"/>
      <c r="CN730" s="7"/>
      <c r="CO730" s="7"/>
      <c r="CP730" s="7"/>
      <c r="CR730" s="25"/>
      <c r="CS730" s="25"/>
      <c r="CT730" s="25"/>
      <c r="CU730" s="25"/>
      <c r="CV730" s="25"/>
      <c r="CW730" s="25"/>
      <c r="DP730" s="32"/>
      <c r="DQ730" s="32"/>
      <c r="DR730" s="32"/>
      <c r="DS730" s="32"/>
      <c r="DT730" s="32"/>
      <c r="DU730" s="32"/>
      <c r="DV730" s="32"/>
      <c r="DW730" s="32"/>
      <c r="DX730" s="32"/>
      <c r="DY730" s="32"/>
      <c r="DZ730" s="32"/>
      <c r="EA730" s="32"/>
      <c r="EB730" s="20"/>
      <c r="EC730" s="16">
        <v>1102124</v>
      </c>
      <c r="ED730" s="16" t="s">
        <v>306</v>
      </c>
      <c r="EE730" s="16">
        <v>1</v>
      </c>
    </row>
    <row r="731" spans="15:135" ht="13.5" customHeight="1">
      <c r="O731" s="25"/>
      <c r="AI731" s="28"/>
      <c r="AJ731" s="28"/>
      <c r="AK731" s="28"/>
      <c r="AL731" s="28"/>
      <c r="AM731" s="28"/>
      <c r="AN731" s="28"/>
      <c r="BR731" s="7">
        <v>5303062</v>
      </c>
      <c r="BS731" s="9">
        <f>[1]monsters!$N731</f>
        <v>240</v>
      </c>
      <c r="BT731" s="9">
        <f>[1]monsters!$O731</f>
        <v>24</v>
      </c>
      <c r="BU731" s="9">
        <f>[1]monsters!$P731</f>
        <v>2880</v>
      </c>
      <c r="BV731" s="9">
        <f>[1]monsters!$Q731</f>
        <v>288</v>
      </c>
      <c r="BW731" s="9">
        <f>[1]monsters!$R731</f>
        <v>80</v>
      </c>
      <c r="BX731" s="9">
        <f>[1]monsters!$S731</f>
        <v>8</v>
      </c>
      <c r="BY731" s="9">
        <f>[1]monsters!$K731</f>
        <v>1.5</v>
      </c>
      <c r="BZ731" s="7">
        <f>[1]monsters!$D731</f>
        <v>2</v>
      </c>
      <c r="CA731" s="7">
        <f t="shared" si="224"/>
        <v>0.1</v>
      </c>
      <c r="CB731" s="7">
        <f t="shared" si="225"/>
        <v>323.76969696969695</v>
      </c>
      <c r="CC731" s="7">
        <f t="shared" si="226"/>
        <v>32.376969696969695</v>
      </c>
      <c r="CD731" s="7"/>
      <c r="CE731" s="7"/>
      <c r="CF731" s="7"/>
      <c r="CG731" s="7"/>
      <c r="CH731" s="7"/>
      <c r="CI731" s="7"/>
      <c r="CJ731" s="7"/>
      <c r="CK731" s="7"/>
      <c r="CL731" s="7"/>
      <c r="CM731" s="7"/>
      <c r="CN731" s="7"/>
      <c r="CO731" s="7"/>
      <c r="CP731" s="7"/>
      <c r="CR731" s="25"/>
      <c r="CS731" s="25"/>
      <c r="CT731" s="25"/>
      <c r="CU731" s="25"/>
      <c r="CV731" s="25"/>
      <c r="CW731" s="25"/>
      <c r="DP731" s="32"/>
      <c r="DQ731" s="32"/>
      <c r="DR731" s="32"/>
      <c r="DS731" s="32"/>
      <c r="DT731" s="32"/>
      <c r="DU731" s="32"/>
      <c r="DV731" s="32"/>
      <c r="DW731" s="32"/>
      <c r="DX731" s="32"/>
      <c r="DY731" s="32"/>
      <c r="DZ731" s="32"/>
      <c r="EA731" s="32"/>
      <c r="EB731" s="49"/>
      <c r="EC731" s="16">
        <v>1102125</v>
      </c>
      <c r="ED731" s="16" t="s">
        <v>307</v>
      </c>
      <c r="EE731" s="16">
        <v>1</v>
      </c>
    </row>
    <row r="732" spans="15:135" ht="13.5" customHeight="1">
      <c r="O732" s="25"/>
      <c r="AI732" s="28"/>
      <c r="AJ732" s="28"/>
      <c r="AK732" s="28"/>
      <c r="AL732" s="28"/>
      <c r="AM732" s="28"/>
      <c r="AN732" s="28"/>
      <c r="BR732" s="7">
        <v>5304062</v>
      </c>
      <c r="BS732" s="9">
        <f>[1]monsters!$N732</f>
        <v>256</v>
      </c>
      <c r="BT732" s="9">
        <f>[1]monsters!$O732</f>
        <v>25.6</v>
      </c>
      <c r="BU732" s="9">
        <f>[1]monsters!$P732</f>
        <v>3072</v>
      </c>
      <c r="BV732" s="9">
        <f>[1]monsters!$Q732</f>
        <v>307.2</v>
      </c>
      <c r="BW732" s="9">
        <f>[1]monsters!$R732</f>
        <v>85.33</v>
      </c>
      <c r="BX732" s="9">
        <f>[1]monsters!$S732</f>
        <v>8.5299999999999994</v>
      </c>
      <c r="BY732" s="9">
        <f>[1]monsters!$K732</f>
        <v>1.5</v>
      </c>
      <c r="BZ732" s="7">
        <f>[1]monsters!$D732</f>
        <v>2</v>
      </c>
      <c r="CA732" s="7">
        <f t="shared" si="224"/>
        <v>0.1</v>
      </c>
      <c r="CB732" s="7">
        <f t="shared" si="225"/>
        <v>345.35434343434343</v>
      </c>
      <c r="CC732" s="7">
        <f t="shared" si="226"/>
        <v>34.535434343434346</v>
      </c>
      <c r="CD732" s="7"/>
      <c r="CE732" s="7"/>
      <c r="CF732" s="7"/>
      <c r="CG732" s="7"/>
      <c r="CH732" s="7"/>
      <c r="CI732" s="7"/>
      <c r="CJ732" s="7"/>
      <c r="CK732" s="7"/>
      <c r="CL732" s="7"/>
      <c r="CM732" s="7"/>
      <c r="CN732" s="7"/>
      <c r="CO732" s="7"/>
      <c r="CP732" s="7"/>
      <c r="CR732" s="25"/>
      <c r="CS732" s="25"/>
      <c r="CT732" s="25"/>
      <c r="CU732" s="25"/>
      <c r="CV732" s="25"/>
      <c r="CW732" s="25"/>
      <c r="DP732" s="32"/>
      <c r="DQ732" s="32"/>
      <c r="DR732" s="32"/>
      <c r="DS732" s="32"/>
      <c r="DT732" s="32"/>
      <c r="DU732" s="32"/>
      <c r="DV732" s="32"/>
      <c r="DW732" s="32"/>
      <c r="DX732" s="32"/>
      <c r="DY732" s="32"/>
      <c r="DZ732" s="32"/>
      <c r="EA732" s="32"/>
      <c r="EB732" s="49"/>
      <c r="EC732" s="16">
        <v>1102131</v>
      </c>
      <c r="ED732" s="16" t="s">
        <v>303</v>
      </c>
      <c r="EE732" s="16">
        <v>1</v>
      </c>
    </row>
    <row r="733" spans="15:135" ht="13.5" customHeight="1">
      <c r="O733" s="25"/>
      <c r="AI733" s="28"/>
      <c r="AJ733" s="28"/>
      <c r="AK733" s="28"/>
      <c r="AL733" s="28"/>
      <c r="AM733" s="28"/>
      <c r="AN733" s="28"/>
      <c r="BR733" s="7">
        <v>5503062</v>
      </c>
      <c r="BS733" s="9">
        <f>[1]monsters!$N733</f>
        <v>256</v>
      </c>
      <c r="BT733" s="9">
        <f>[1]monsters!$O733</f>
        <v>25.6</v>
      </c>
      <c r="BU733" s="9">
        <f>[1]monsters!$P733</f>
        <v>3072</v>
      </c>
      <c r="BV733" s="9">
        <f>[1]monsters!$Q733</f>
        <v>307.2</v>
      </c>
      <c r="BW733" s="9">
        <f>[1]monsters!$R733</f>
        <v>85.33</v>
      </c>
      <c r="BX733" s="9">
        <f>[1]monsters!$S733</f>
        <v>8.5299999999999994</v>
      </c>
      <c r="BY733" s="9">
        <f>[1]monsters!$K733</f>
        <v>1.5</v>
      </c>
      <c r="BZ733" s="7">
        <f>[1]monsters!$D733</f>
        <v>2</v>
      </c>
      <c r="CA733" s="7">
        <f t="shared" si="224"/>
        <v>0.1</v>
      </c>
      <c r="CB733" s="7">
        <f t="shared" si="225"/>
        <v>345.35434343434343</v>
      </c>
      <c r="CC733" s="7">
        <f t="shared" si="226"/>
        <v>34.535434343434346</v>
      </c>
      <c r="CD733" s="7"/>
      <c r="CE733" s="7"/>
      <c r="CF733" s="7"/>
      <c r="CG733" s="7"/>
      <c r="CH733" s="7"/>
      <c r="CI733" s="7"/>
      <c r="CJ733" s="7"/>
      <c r="CK733" s="7"/>
      <c r="CL733" s="7"/>
      <c r="CM733" s="7"/>
      <c r="CN733" s="7"/>
      <c r="CO733" s="7"/>
      <c r="CP733" s="7"/>
      <c r="CR733" s="25"/>
      <c r="CS733" s="25"/>
      <c r="CT733" s="25"/>
      <c r="CU733" s="25"/>
      <c r="CV733" s="25"/>
      <c r="CW733" s="25"/>
      <c r="DP733" s="25"/>
      <c r="DQ733" s="25"/>
      <c r="DR733" s="25"/>
      <c r="DS733" s="25"/>
      <c r="DT733" s="25"/>
      <c r="DU733" s="25"/>
      <c r="DV733" s="32"/>
      <c r="DW733" s="32"/>
      <c r="DX733" s="32"/>
      <c r="DY733" s="32"/>
      <c r="DZ733" s="32"/>
      <c r="EA733" s="32"/>
      <c r="EB733" s="20"/>
      <c r="EC733" s="16">
        <v>1102132</v>
      </c>
      <c r="ED733" s="16" t="s">
        <v>304</v>
      </c>
      <c r="EE733" s="16">
        <v>1</v>
      </c>
    </row>
    <row r="734" spans="15:135" ht="13.5" customHeight="1">
      <c r="O734" s="25"/>
      <c r="AI734" s="28"/>
      <c r="AJ734" s="28"/>
      <c r="AK734" s="28"/>
      <c r="AL734" s="28"/>
      <c r="AM734" s="28"/>
      <c r="AN734" s="28"/>
      <c r="BR734" s="7">
        <v>5504062</v>
      </c>
      <c r="BS734" s="9">
        <f>[1]monsters!$N734</f>
        <v>256</v>
      </c>
      <c r="BT734" s="9">
        <f>[1]monsters!$O734</f>
        <v>25.6</v>
      </c>
      <c r="BU734" s="9">
        <f>[1]monsters!$P734</f>
        <v>3072</v>
      </c>
      <c r="BV734" s="9">
        <f>[1]monsters!$Q734</f>
        <v>307.2</v>
      </c>
      <c r="BW734" s="9">
        <f>[1]monsters!$R734</f>
        <v>85.33</v>
      </c>
      <c r="BX734" s="9">
        <f>[1]monsters!$S734</f>
        <v>8.5299999999999994</v>
      </c>
      <c r="BY734" s="9">
        <f>[1]monsters!$K734</f>
        <v>1.5</v>
      </c>
      <c r="BZ734" s="7">
        <f>[1]monsters!$D734</f>
        <v>2</v>
      </c>
      <c r="CA734" s="7">
        <f t="shared" si="224"/>
        <v>0.1</v>
      </c>
      <c r="CB734" s="7">
        <f t="shared" si="225"/>
        <v>345.35434343434343</v>
      </c>
      <c r="CC734" s="7">
        <f t="shared" si="226"/>
        <v>34.535434343434346</v>
      </c>
      <c r="CD734" s="7"/>
      <c r="CE734" s="7"/>
      <c r="CF734" s="7"/>
      <c r="CG734" s="7"/>
      <c r="CH734" s="7"/>
      <c r="CI734" s="7"/>
      <c r="CJ734" s="7"/>
      <c r="CK734" s="7"/>
      <c r="CL734" s="7"/>
      <c r="CM734" s="7"/>
      <c r="CN734" s="7"/>
      <c r="CO734" s="7"/>
      <c r="CP734" s="7"/>
      <c r="CR734" s="25"/>
      <c r="CS734" s="25"/>
      <c r="CT734" s="25"/>
      <c r="CU734" s="25"/>
      <c r="CV734" s="25"/>
      <c r="CW734" s="25"/>
      <c r="DP734" s="25"/>
      <c r="DQ734" s="25"/>
      <c r="DR734" s="25"/>
      <c r="DS734" s="32"/>
      <c r="DT734" s="32"/>
      <c r="DU734" s="32"/>
      <c r="DV734" s="32"/>
      <c r="DW734" s="32"/>
      <c r="DX734" s="32"/>
      <c r="DY734" s="32"/>
      <c r="DZ734" s="32"/>
      <c r="EA734" s="32"/>
      <c r="EB734" s="49"/>
      <c r="EC734" s="16">
        <v>1102133</v>
      </c>
      <c r="ED734" s="16" t="s">
        <v>305</v>
      </c>
      <c r="EE734" s="16">
        <v>1</v>
      </c>
    </row>
    <row r="735" spans="15:135" ht="13.5" customHeight="1">
      <c r="O735" s="25"/>
      <c r="AI735" s="28"/>
      <c r="AJ735" s="28"/>
      <c r="AK735" s="28"/>
      <c r="AL735" s="28"/>
      <c r="AM735" s="28"/>
      <c r="AN735" s="28"/>
      <c r="BR735" s="7">
        <v>5101062</v>
      </c>
      <c r="BS735" s="9">
        <f>[1]monsters!$N735</f>
        <v>256</v>
      </c>
      <c r="BT735" s="9">
        <f>[1]monsters!$O735</f>
        <v>25.6</v>
      </c>
      <c r="BU735" s="9">
        <f>[1]monsters!$P735</f>
        <v>3072</v>
      </c>
      <c r="BV735" s="9">
        <f>[1]monsters!$Q735</f>
        <v>307.2</v>
      </c>
      <c r="BW735" s="9">
        <f>[1]monsters!$R735</f>
        <v>85.33</v>
      </c>
      <c r="BX735" s="9">
        <f>[1]monsters!$S735</f>
        <v>8.5299999999999994</v>
      </c>
      <c r="BY735" s="9">
        <f>[1]monsters!$K735</f>
        <v>1.5</v>
      </c>
      <c r="BZ735" s="7">
        <f>[1]monsters!$D735</f>
        <v>2</v>
      </c>
      <c r="CA735" s="7">
        <f t="shared" si="224"/>
        <v>0.1</v>
      </c>
      <c r="CB735" s="7">
        <f t="shared" si="225"/>
        <v>345.35434343434343</v>
      </c>
      <c r="CC735" s="7">
        <f t="shared" si="226"/>
        <v>34.535434343434346</v>
      </c>
      <c r="CD735" s="7"/>
      <c r="CE735" s="7"/>
      <c r="CF735" s="7"/>
      <c r="CG735" s="7"/>
      <c r="CH735" s="7"/>
      <c r="CI735" s="7"/>
      <c r="CJ735" s="7"/>
      <c r="CK735" s="7"/>
      <c r="CL735" s="7"/>
      <c r="CM735" s="7"/>
      <c r="CN735" s="7"/>
      <c r="CO735" s="7"/>
      <c r="CP735" s="7"/>
      <c r="CR735" s="25"/>
      <c r="CS735" s="25"/>
      <c r="CT735" s="25"/>
      <c r="CU735" s="25"/>
      <c r="CV735" s="25"/>
      <c r="CW735" s="25"/>
      <c r="DP735" s="25"/>
      <c r="DQ735" s="25"/>
      <c r="DR735" s="25"/>
      <c r="DS735" s="25"/>
      <c r="DT735" s="25"/>
      <c r="DU735" s="25"/>
      <c r="DV735" s="32"/>
      <c r="DW735" s="32"/>
      <c r="DX735" s="32"/>
      <c r="DY735" s="32"/>
      <c r="DZ735" s="32"/>
      <c r="EA735" s="32"/>
      <c r="EB735" s="49"/>
      <c r="EC735" s="16">
        <v>1102134</v>
      </c>
      <c r="ED735" s="16" t="s">
        <v>306</v>
      </c>
      <c r="EE735" s="16">
        <v>1</v>
      </c>
    </row>
    <row r="736" spans="15:135" ht="13.5" customHeight="1">
      <c r="O736" s="25"/>
      <c r="AI736" s="28"/>
      <c r="AJ736" s="28"/>
      <c r="AK736" s="28"/>
      <c r="AL736" s="28"/>
      <c r="AM736" s="28"/>
      <c r="AN736" s="28"/>
      <c r="BR736" s="7">
        <v>5102062</v>
      </c>
      <c r="BS736" s="9">
        <f>[1]monsters!$N736</f>
        <v>256</v>
      </c>
      <c r="BT736" s="9">
        <f>[1]monsters!$O736</f>
        <v>25.6</v>
      </c>
      <c r="BU736" s="9">
        <f>[1]monsters!$P736</f>
        <v>3072</v>
      </c>
      <c r="BV736" s="9">
        <f>[1]monsters!$Q736</f>
        <v>307.2</v>
      </c>
      <c r="BW736" s="9">
        <f>[1]monsters!$R736</f>
        <v>85.33</v>
      </c>
      <c r="BX736" s="9">
        <f>[1]monsters!$S736</f>
        <v>8.5299999999999994</v>
      </c>
      <c r="BY736" s="9">
        <f>[1]monsters!$K736</f>
        <v>1.5</v>
      </c>
      <c r="BZ736" s="7">
        <f>[1]monsters!$D736</f>
        <v>2</v>
      </c>
      <c r="CA736" s="7">
        <f t="shared" si="224"/>
        <v>0.1</v>
      </c>
      <c r="CB736" s="7">
        <f t="shared" si="225"/>
        <v>345.35434343434343</v>
      </c>
      <c r="CC736" s="7">
        <f t="shared" si="226"/>
        <v>34.535434343434346</v>
      </c>
      <c r="CD736" s="7"/>
      <c r="CE736" s="7"/>
      <c r="CF736" s="7"/>
      <c r="CG736" s="7"/>
      <c r="CH736" s="7"/>
      <c r="CI736" s="7"/>
      <c r="CJ736" s="7"/>
      <c r="CK736" s="7"/>
      <c r="CL736" s="7"/>
      <c r="CM736" s="7"/>
      <c r="CN736" s="7"/>
      <c r="CO736" s="7"/>
      <c r="CP736" s="7"/>
      <c r="CR736" s="25"/>
      <c r="CS736" s="25"/>
      <c r="CT736" s="25"/>
      <c r="CU736" s="25"/>
      <c r="CV736" s="25"/>
      <c r="CW736" s="25"/>
      <c r="DP736" s="25"/>
      <c r="DQ736" s="25"/>
      <c r="DR736" s="25"/>
      <c r="DS736" s="25"/>
      <c r="DT736" s="25"/>
      <c r="DU736" s="25"/>
      <c r="DV736" s="32"/>
      <c r="DW736" s="32"/>
      <c r="DX736" s="32"/>
      <c r="DY736" s="32"/>
      <c r="DZ736" s="32"/>
      <c r="EA736" s="32"/>
      <c r="EB736" s="49"/>
      <c r="EC736" s="16">
        <v>1102135</v>
      </c>
      <c r="ED736" s="16" t="s">
        <v>307</v>
      </c>
      <c r="EE736" s="16">
        <v>1</v>
      </c>
    </row>
    <row r="737" spans="15:135" ht="13.5" customHeight="1">
      <c r="O737" s="25"/>
      <c r="AI737" s="28"/>
      <c r="AJ737" s="28"/>
      <c r="AK737" s="28"/>
      <c r="AL737" s="28"/>
      <c r="AM737" s="28"/>
      <c r="AN737" s="28"/>
      <c r="BR737" s="7">
        <v>5206063</v>
      </c>
      <c r="BS737" s="9">
        <f>[1]monsters!$N737</f>
        <v>85.33</v>
      </c>
      <c r="BT737" s="9">
        <f>[1]monsters!$O737</f>
        <v>8.5299999999999994</v>
      </c>
      <c r="BU737" s="9">
        <f>[1]monsters!$P737</f>
        <v>960</v>
      </c>
      <c r="BV737" s="9">
        <f>[1]monsters!$Q737</f>
        <v>96</v>
      </c>
      <c r="BW737" s="9">
        <f>[1]monsters!$R737</f>
        <v>28.44</v>
      </c>
      <c r="BX737" s="9">
        <f>[1]monsters!$S737</f>
        <v>2.84</v>
      </c>
      <c r="BY737" s="9">
        <f>[1]monsters!$K737</f>
        <v>1.6</v>
      </c>
      <c r="BZ737" s="7">
        <f>[1]monsters!$D737</f>
        <v>2</v>
      </c>
      <c r="CA737" s="7">
        <f t="shared" si="224"/>
        <v>0.1</v>
      </c>
      <c r="CB737" s="7">
        <f t="shared" si="225"/>
        <v>112.96008232323233</v>
      </c>
      <c r="CC737" s="7">
        <f t="shared" si="226"/>
        <v>11.296008232323233</v>
      </c>
      <c r="CD737" s="7"/>
      <c r="CE737" s="7"/>
      <c r="CF737" s="7"/>
      <c r="CG737" s="7"/>
      <c r="CH737" s="7"/>
      <c r="CI737" s="7"/>
      <c r="CJ737" s="7"/>
      <c r="CK737" s="7"/>
      <c r="CL737" s="7"/>
      <c r="CM737" s="7"/>
      <c r="CN737" s="7"/>
      <c r="CO737" s="7"/>
      <c r="CP737" s="7"/>
      <c r="CR737" s="25"/>
      <c r="CS737" s="25"/>
      <c r="CT737" s="25"/>
      <c r="CU737" s="25"/>
      <c r="CV737" s="25"/>
      <c r="CW737" s="25"/>
      <c r="DP737" s="25"/>
      <c r="DQ737" s="25"/>
      <c r="DR737" s="25"/>
      <c r="DS737" s="25"/>
      <c r="DT737" s="25"/>
      <c r="DU737" s="25"/>
      <c r="DV737" s="32"/>
      <c r="DW737" s="32"/>
      <c r="DX737" s="32"/>
      <c r="DY737" s="32"/>
      <c r="DZ737" s="32"/>
      <c r="EA737" s="32"/>
      <c r="EB737" s="31"/>
      <c r="EC737" s="16">
        <v>1103011</v>
      </c>
      <c r="ED737" s="16" t="s">
        <v>308</v>
      </c>
      <c r="EE737" s="16">
        <v>2</v>
      </c>
    </row>
    <row r="738" spans="15:135" ht="13.5" customHeight="1">
      <c r="O738" s="25"/>
      <c r="AI738" s="28"/>
      <c r="AJ738" s="28"/>
      <c r="AK738" s="28"/>
      <c r="AL738" s="28"/>
      <c r="AM738" s="28"/>
      <c r="AN738" s="28"/>
      <c r="BR738" s="7">
        <v>5406063</v>
      </c>
      <c r="BS738" s="9">
        <f>[1]monsters!$N738</f>
        <v>85.33</v>
      </c>
      <c r="BT738" s="9">
        <f>[1]monsters!$O738</f>
        <v>8.5299999999999994</v>
      </c>
      <c r="BU738" s="9">
        <f>[1]monsters!$P738</f>
        <v>960</v>
      </c>
      <c r="BV738" s="9">
        <f>[1]monsters!$Q738</f>
        <v>96</v>
      </c>
      <c r="BW738" s="9">
        <f>[1]monsters!$R738</f>
        <v>28.44</v>
      </c>
      <c r="BX738" s="9">
        <f>[1]monsters!$S738</f>
        <v>2.84</v>
      </c>
      <c r="BY738" s="9">
        <f>[1]monsters!$K738</f>
        <v>1.6</v>
      </c>
      <c r="BZ738" s="7">
        <f>[1]monsters!$D738</f>
        <v>2</v>
      </c>
      <c r="CA738" s="7">
        <f t="shared" si="224"/>
        <v>0.1</v>
      </c>
      <c r="CB738" s="7">
        <f t="shared" si="225"/>
        <v>112.96008232323233</v>
      </c>
      <c r="CC738" s="7">
        <f t="shared" si="226"/>
        <v>11.296008232323233</v>
      </c>
      <c r="CD738" s="7"/>
      <c r="CE738" s="7"/>
      <c r="CF738" s="7"/>
      <c r="CG738" s="7"/>
      <c r="CH738" s="7"/>
      <c r="CI738" s="7"/>
      <c r="CJ738" s="7"/>
      <c r="CK738" s="7"/>
      <c r="CL738" s="7"/>
      <c r="CM738" s="7"/>
      <c r="CN738" s="7"/>
      <c r="CO738" s="7"/>
      <c r="CP738" s="7"/>
      <c r="CR738" s="25"/>
      <c r="CS738" s="25"/>
      <c r="CT738" s="25"/>
      <c r="CU738" s="25"/>
      <c r="CV738" s="25"/>
      <c r="CW738" s="25"/>
      <c r="DP738" s="32"/>
      <c r="DQ738" s="32"/>
      <c r="DR738" s="32"/>
      <c r="DS738" s="32"/>
      <c r="DT738" s="32"/>
      <c r="DU738" s="32"/>
      <c r="DV738" s="32"/>
      <c r="DW738" s="32"/>
      <c r="DX738" s="32"/>
      <c r="DY738" s="32"/>
      <c r="DZ738" s="32"/>
      <c r="EA738" s="32"/>
      <c r="EB738" s="31"/>
      <c r="EC738" s="16">
        <v>1103012</v>
      </c>
      <c r="ED738" s="16" t="s">
        <v>309</v>
      </c>
      <c r="EE738" s="16">
        <v>2</v>
      </c>
    </row>
    <row r="739" spans="15:135" ht="13.5" customHeight="1">
      <c r="O739" s="25"/>
      <c r="AI739" s="28"/>
      <c r="AJ739" s="28"/>
      <c r="AK739" s="28"/>
      <c r="AL739" s="28"/>
      <c r="AM739" s="28"/>
      <c r="AN739" s="28"/>
      <c r="BR739" s="7">
        <v>5205063</v>
      </c>
      <c r="BS739" s="9">
        <f>[1]monsters!$N739</f>
        <v>85.33</v>
      </c>
      <c r="BT739" s="9">
        <f>[1]monsters!$O739</f>
        <v>8.5299999999999994</v>
      </c>
      <c r="BU739" s="9">
        <f>[1]monsters!$P739</f>
        <v>960</v>
      </c>
      <c r="BV739" s="9">
        <f>[1]monsters!$Q739</f>
        <v>96</v>
      </c>
      <c r="BW739" s="9">
        <f>[1]monsters!$R739</f>
        <v>28.44</v>
      </c>
      <c r="BX739" s="9">
        <f>[1]monsters!$S739</f>
        <v>2.84</v>
      </c>
      <c r="BY739" s="9">
        <f>[1]monsters!$K739</f>
        <v>1.6</v>
      </c>
      <c r="BZ739" s="7">
        <f>[1]monsters!$D739</f>
        <v>2</v>
      </c>
      <c r="CA739" s="7">
        <f t="shared" si="224"/>
        <v>0.1</v>
      </c>
      <c r="CB739" s="7">
        <f t="shared" si="225"/>
        <v>112.96008232323233</v>
      </c>
      <c r="CC739" s="7">
        <f t="shared" si="226"/>
        <v>11.296008232323233</v>
      </c>
      <c r="CD739" s="7"/>
      <c r="CE739" s="7"/>
      <c r="CF739" s="7"/>
      <c r="CG739" s="7"/>
      <c r="CH739" s="7"/>
      <c r="CI739" s="7"/>
      <c r="CJ739" s="7"/>
      <c r="CK739" s="7"/>
      <c r="CL739" s="7"/>
      <c r="CM739" s="7"/>
      <c r="CN739" s="7"/>
      <c r="CO739" s="7"/>
      <c r="CP739" s="7"/>
      <c r="CR739" s="25"/>
      <c r="CS739" s="25"/>
      <c r="CT739" s="25"/>
      <c r="CU739" s="25"/>
      <c r="CV739" s="25"/>
      <c r="CW739" s="25"/>
      <c r="DP739" s="36"/>
      <c r="DQ739" s="36"/>
      <c r="DR739" s="36"/>
      <c r="DS739" s="36"/>
      <c r="DT739" s="36"/>
      <c r="DU739" s="36"/>
      <c r="DV739" s="32"/>
      <c r="DW739" s="32"/>
      <c r="DX739" s="32"/>
      <c r="DY739" s="32"/>
      <c r="DZ739" s="32"/>
      <c r="EA739" s="32"/>
      <c r="EB739" s="31"/>
      <c r="EC739" s="16">
        <v>1103013</v>
      </c>
      <c r="ED739" s="16" t="s">
        <v>310</v>
      </c>
      <c r="EE739" s="16">
        <v>2</v>
      </c>
    </row>
    <row r="740" spans="15:135" ht="13.5" customHeight="1">
      <c r="O740" s="25"/>
      <c r="AI740" s="28"/>
      <c r="AJ740" s="28"/>
      <c r="AK740" s="28"/>
      <c r="AL740" s="28"/>
      <c r="AM740" s="28"/>
      <c r="AN740" s="28"/>
      <c r="BR740" s="7">
        <v>5405063</v>
      </c>
      <c r="BS740" s="9">
        <f>[1]monsters!$N740</f>
        <v>85.33</v>
      </c>
      <c r="BT740" s="9">
        <f>[1]monsters!$O740</f>
        <v>8.5299999999999994</v>
      </c>
      <c r="BU740" s="9">
        <f>[1]monsters!$P740</f>
        <v>960</v>
      </c>
      <c r="BV740" s="9">
        <f>[1]monsters!$Q740</f>
        <v>96</v>
      </c>
      <c r="BW740" s="9">
        <f>[1]monsters!$R740</f>
        <v>28.44</v>
      </c>
      <c r="BX740" s="9">
        <f>[1]monsters!$S740</f>
        <v>2.84</v>
      </c>
      <c r="BY740" s="9">
        <f>[1]monsters!$K740</f>
        <v>1.6</v>
      </c>
      <c r="BZ740" s="7">
        <f>[1]monsters!$D740</f>
        <v>2</v>
      </c>
      <c r="CA740" s="7">
        <f t="shared" si="224"/>
        <v>0.1</v>
      </c>
      <c r="CB740" s="7">
        <f t="shared" si="225"/>
        <v>112.96008232323233</v>
      </c>
      <c r="CC740" s="7">
        <f t="shared" si="226"/>
        <v>11.296008232323233</v>
      </c>
      <c r="CD740" s="7"/>
      <c r="CE740" s="7"/>
      <c r="CF740" s="7"/>
      <c r="CG740" s="7"/>
      <c r="CH740" s="7"/>
      <c r="CI740" s="7"/>
      <c r="CJ740" s="7"/>
      <c r="CK740" s="7"/>
      <c r="CL740" s="7"/>
      <c r="CM740" s="7"/>
      <c r="CN740" s="7"/>
      <c r="CO740" s="7"/>
      <c r="CP740" s="7"/>
      <c r="CR740" s="25"/>
      <c r="CS740" s="25"/>
      <c r="CT740" s="25"/>
      <c r="CU740" s="25"/>
      <c r="CV740" s="25"/>
      <c r="CW740" s="25"/>
      <c r="DP740" s="32"/>
      <c r="DQ740" s="32"/>
      <c r="DR740" s="36"/>
      <c r="DS740" s="36"/>
      <c r="DT740" s="36"/>
      <c r="DU740" s="36"/>
      <c r="DV740" s="32"/>
      <c r="DW740" s="32"/>
      <c r="DX740" s="32"/>
      <c r="DY740" s="32"/>
      <c r="DZ740" s="32"/>
      <c r="EA740" s="32"/>
      <c r="EB740" s="15"/>
      <c r="EC740" s="16">
        <v>1103014</v>
      </c>
      <c r="ED740" s="16" t="s">
        <v>311</v>
      </c>
      <c r="EE740" s="16">
        <v>2</v>
      </c>
    </row>
    <row r="741" spans="15:135" ht="13.5" customHeight="1">
      <c r="O741" s="25"/>
      <c r="AI741" s="28"/>
      <c r="AJ741" s="28"/>
      <c r="AK741" s="28"/>
      <c r="AL741" s="28"/>
      <c r="AM741" s="28"/>
      <c r="AN741" s="28"/>
      <c r="BR741" s="7">
        <v>5203063</v>
      </c>
      <c r="BS741" s="9">
        <f>[1]monsters!$N741</f>
        <v>85.33</v>
      </c>
      <c r="BT741" s="9">
        <f>[1]monsters!$O741</f>
        <v>8.5299999999999994</v>
      </c>
      <c r="BU741" s="9">
        <f>[1]monsters!$P741</f>
        <v>960</v>
      </c>
      <c r="BV741" s="9">
        <f>[1]monsters!$Q741</f>
        <v>96</v>
      </c>
      <c r="BW741" s="9">
        <f>[1]monsters!$R741</f>
        <v>28.44</v>
      </c>
      <c r="BX741" s="9">
        <f>[1]monsters!$S741</f>
        <v>2.84</v>
      </c>
      <c r="BY741" s="9">
        <f>[1]monsters!$K741</f>
        <v>1.6</v>
      </c>
      <c r="BZ741" s="7">
        <f>[1]monsters!$D741</f>
        <v>2</v>
      </c>
      <c r="CA741" s="7">
        <f t="shared" si="224"/>
        <v>0.1</v>
      </c>
      <c r="CB741" s="7">
        <f t="shared" si="225"/>
        <v>112.96008232323233</v>
      </c>
      <c r="CC741" s="7">
        <f t="shared" si="226"/>
        <v>11.296008232323233</v>
      </c>
      <c r="CD741" s="7"/>
      <c r="CE741" s="7"/>
      <c r="CF741" s="7"/>
      <c r="CG741" s="7"/>
      <c r="CH741" s="7"/>
      <c r="CI741" s="7"/>
      <c r="CJ741" s="7"/>
      <c r="CK741" s="7"/>
      <c r="CL741" s="7"/>
      <c r="CM741" s="7"/>
      <c r="CN741" s="7"/>
      <c r="CO741" s="7"/>
      <c r="CP741" s="7"/>
      <c r="CR741" s="25"/>
      <c r="CS741" s="25"/>
      <c r="CT741" s="25"/>
      <c r="CU741" s="25"/>
      <c r="CV741" s="25"/>
      <c r="CW741" s="25"/>
      <c r="DP741" s="32"/>
      <c r="DQ741" s="32"/>
      <c r="DR741" s="32"/>
      <c r="DS741" s="36"/>
      <c r="DT741" s="36"/>
      <c r="DU741" s="36"/>
      <c r="DV741" s="32"/>
      <c r="DW741" s="32"/>
      <c r="DX741" s="32"/>
      <c r="DY741" s="32"/>
      <c r="DZ741" s="32"/>
      <c r="EA741" s="32"/>
      <c r="EB741" s="31"/>
      <c r="EC741" s="16">
        <v>1103015</v>
      </c>
      <c r="ED741" s="16" t="s">
        <v>312</v>
      </c>
      <c r="EE741" s="16">
        <v>2</v>
      </c>
    </row>
    <row r="742" spans="15:135" ht="13.5" customHeight="1">
      <c r="O742" s="25"/>
      <c r="AI742" s="28"/>
      <c r="AJ742" s="28"/>
      <c r="AK742" s="28"/>
      <c r="AL742" s="28"/>
      <c r="AM742" s="28"/>
      <c r="AN742" s="28"/>
      <c r="BR742" s="7">
        <v>5403063</v>
      </c>
      <c r="BS742" s="9">
        <f>[1]monsters!$N742</f>
        <v>93.87</v>
      </c>
      <c r="BT742" s="9">
        <f>[1]monsters!$O742</f>
        <v>9.39</v>
      </c>
      <c r="BU742" s="9">
        <f>[1]monsters!$P742</f>
        <v>1056</v>
      </c>
      <c r="BV742" s="9">
        <f>[1]monsters!$Q742</f>
        <v>105.6</v>
      </c>
      <c r="BW742" s="9">
        <f>[1]monsters!$R742</f>
        <v>31.29</v>
      </c>
      <c r="BX742" s="9">
        <f>[1]monsters!$S742</f>
        <v>3.13</v>
      </c>
      <c r="BY742" s="9">
        <f>[1]monsters!$K742</f>
        <v>1.6</v>
      </c>
      <c r="BZ742" s="7">
        <f>[1]monsters!$D742</f>
        <v>2</v>
      </c>
      <c r="CA742" s="7">
        <f t="shared" si="224"/>
        <v>0.1</v>
      </c>
      <c r="CB742" s="7">
        <f t="shared" si="225"/>
        <v>124.26270555555557</v>
      </c>
      <c r="CC742" s="7">
        <f t="shared" si="226"/>
        <v>12.426270555555558</v>
      </c>
      <c r="CD742" s="7"/>
      <c r="CE742" s="7"/>
      <c r="CF742" s="7"/>
      <c r="CG742" s="7"/>
      <c r="CH742" s="7"/>
      <c r="CI742" s="7"/>
      <c r="CJ742" s="7"/>
      <c r="CK742" s="7"/>
      <c r="CL742" s="7"/>
      <c r="CM742" s="7"/>
      <c r="CN742" s="7"/>
      <c r="CO742" s="7"/>
      <c r="CP742" s="7"/>
      <c r="CR742" s="25"/>
      <c r="CS742" s="25"/>
      <c r="CT742" s="25"/>
      <c r="CU742" s="25"/>
      <c r="CV742" s="25"/>
      <c r="CW742" s="25"/>
      <c r="DP742" s="32"/>
      <c r="DQ742" s="32"/>
      <c r="DR742" s="36"/>
      <c r="DS742" s="14"/>
      <c r="DT742" s="36"/>
      <c r="DU742" s="36"/>
      <c r="DV742" s="32"/>
      <c r="DW742" s="32"/>
      <c r="DX742" s="32"/>
      <c r="DY742" s="32"/>
      <c r="DZ742" s="32"/>
      <c r="EA742" s="32"/>
      <c r="EB742" s="31"/>
      <c r="EC742" s="16">
        <v>1103021</v>
      </c>
      <c r="ED742" s="16" t="s">
        <v>308</v>
      </c>
      <c r="EE742" s="16">
        <v>2</v>
      </c>
    </row>
    <row r="743" spans="15:135" ht="13.5" customHeight="1">
      <c r="O743" s="25"/>
      <c r="AI743" s="28"/>
      <c r="AJ743" s="28"/>
      <c r="AK743" s="28"/>
      <c r="AL743" s="28"/>
      <c r="AM743" s="28"/>
      <c r="AN743" s="28"/>
      <c r="BR743" s="7">
        <v>5204063</v>
      </c>
      <c r="BS743" s="9">
        <f>[1]monsters!$N743</f>
        <v>93.87</v>
      </c>
      <c r="BT743" s="9">
        <f>[1]monsters!$O743</f>
        <v>9.39</v>
      </c>
      <c r="BU743" s="9">
        <f>[1]monsters!$P743</f>
        <v>1056</v>
      </c>
      <c r="BV743" s="9">
        <f>[1]monsters!$Q743</f>
        <v>105.6</v>
      </c>
      <c r="BW743" s="9">
        <f>[1]monsters!$R743</f>
        <v>31.29</v>
      </c>
      <c r="BX743" s="9">
        <f>[1]monsters!$S743</f>
        <v>3.13</v>
      </c>
      <c r="BY743" s="9">
        <f>[1]monsters!$K743</f>
        <v>1.6</v>
      </c>
      <c r="BZ743" s="7">
        <f>[1]monsters!$D743</f>
        <v>2</v>
      </c>
      <c r="CA743" s="7">
        <f t="shared" si="224"/>
        <v>0.1</v>
      </c>
      <c r="CB743" s="7">
        <f t="shared" si="225"/>
        <v>124.26270555555557</v>
      </c>
      <c r="CC743" s="7">
        <f t="shared" si="226"/>
        <v>12.426270555555558</v>
      </c>
      <c r="CD743" s="7"/>
      <c r="CE743" s="7"/>
      <c r="CF743" s="7"/>
      <c r="CG743" s="7"/>
      <c r="CH743" s="7"/>
      <c r="CI743" s="7"/>
      <c r="CJ743" s="7"/>
      <c r="CK743" s="7"/>
      <c r="CL743" s="7"/>
      <c r="CM743" s="7"/>
      <c r="CN743" s="7"/>
      <c r="CO743" s="7"/>
      <c r="CP743" s="7"/>
      <c r="CR743" s="25"/>
      <c r="CS743" s="25"/>
      <c r="CT743" s="25"/>
      <c r="CU743" s="25"/>
      <c r="CV743" s="25"/>
      <c r="CW743" s="25"/>
      <c r="DP743" s="32"/>
      <c r="DQ743" s="32"/>
      <c r="DR743" s="32"/>
      <c r="DS743" s="36"/>
      <c r="DT743" s="36"/>
      <c r="DU743" s="36"/>
      <c r="DV743" s="32"/>
      <c r="DW743" s="32"/>
      <c r="DX743" s="32"/>
      <c r="DY743" s="32"/>
      <c r="DZ743" s="32"/>
      <c r="EA743" s="32"/>
      <c r="EB743" s="31"/>
      <c r="EC743" s="16">
        <v>1103022</v>
      </c>
      <c r="ED743" s="16" t="s">
        <v>309</v>
      </c>
      <c r="EE743" s="16">
        <v>2</v>
      </c>
    </row>
    <row r="744" spans="15:135" ht="13.5" customHeight="1">
      <c r="O744" s="25"/>
      <c r="AI744" s="28"/>
      <c r="AJ744" s="28"/>
      <c r="AK744" s="28"/>
      <c r="AL744" s="28"/>
      <c r="AM744" s="28"/>
      <c r="AN744" s="28"/>
      <c r="BR744" s="7">
        <v>5404063</v>
      </c>
      <c r="BS744" s="9">
        <f>[1]monsters!$N744</f>
        <v>93.87</v>
      </c>
      <c r="BT744" s="9">
        <f>[1]monsters!$O744</f>
        <v>9.39</v>
      </c>
      <c r="BU744" s="9">
        <f>[1]monsters!$P744</f>
        <v>1056</v>
      </c>
      <c r="BV744" s="9">
        <f>[1]monsters!$Q744</f>
        <v>105.6</v>
      </c>
      <c r="BW744" s="9">
        <f>[1]monsters!$R744</f>
        <v>31.29</v>
      </c>
      <c r="BX744" s="9">
        <f>[1]monsters!$S744</f>
        <v>3.13</v>
      </c>
      <c r="BY744" s="9">
        <f>[1]monsters!$K744</f>
        <v>1.6</v>
      </c>
      <c r="BZ744" s="7">
        <f>[1]monsters!$D744</f>
        <v>2</v>
      </c>
      <c r="CA744" s="7">
        <f t="shared" si="224"/>
        <v>0.1</v>
      </c>
      <c r="CB744" s="7">
        <f t="shared" si="225"/>
        <v>124.26270555555557</v>
      </c>
      <c r="CC744" s="7">
        <f t="shared" si="226"/>
        <v>12.426270555555558</v>
      </c>
      <c r="CD744" s="7"/>
      <c r="CE744" s="7"/>
      <c r="CF744" s="7"/>
      <c r="CG744" s="7"/>
      <c r="CH744" s="7"/>
      <c r="CI744" s="7"/>
      <c r="CJ744" s="7"/>
      <c r="CK744" s="7"/>
      <c r="CL744" s="7"/>
      <c r="CM744" s="7"/>
      <c r="CN744" s="7"/>
      <c r="CO744" s="7"/>
      <c r="CP744" s="7"/>
      <c r="CR744" s="25"/>
      <c r="CS744" s="25"/>
      <c r="CT744" s="25"/>
      <c r="CU744" s="25"/>
      <c r="CV744" s="25"/>
      <c r="CW744" s="25"/>
      <c r="DP744" s="32"/>
      <c r="DQ744" s="32"/>
      <c r="DR744" s="32"/>
      <c r="DS744" s="32"/>
      <c r="DT744" s="32"/>
      <c r="DU744" s="32"/>
      <c r="DV744" s="32"/>
      <c r="DW744" s="32"/>
      <c r="DX744" s="32"/>
      <c r="DY744" s="32"/>
      <c r="DZ744" s="32"/>
      <c r="EA744" s="32"/>
      <c r="EB744" s="15"/>
      <c r="EC744" s="16">
        <v>1103023</v>
      </c>
      <c r="ED744" s="16" t="s">
        <v>310</v>
      </c>
      <c r="EE744" s="16">
        <v>2</v>
      </c>
    </row>
    <row r="745" spans="15:135" ht="13.5" customHeight="1">
      <c r="O745" s="25"/>
      <c r="AI745" s="28"/>
      <c r="AJ745" s="28"/>
      <c r="AK745" s="28"/>
      <c r="AL745" s="28"/>
      <c r="AM745" s="28"/>
      <c r="AN745" s="28"/>
      <c r="BR745" s="7">
        <v>5303063</v>
      </c>
      <c r="BS745" s="9">
        <f>[1]monsters!$N745</f>
        <v>93.87</v>
      </c>
      <c r="BT745" s="9">
        <f>[1]monsters!$O745</f>
        <v>9.39</v>
      </c>
      <c r="BU745" s="9">
        <f>[1]monsters!$P745</f>
        <v>1056</v>
      </c>
      <c r="BV745" s="9">
        <f>[1]monsters!$Q745</f>
        <v>105.6</v>
      </c>
      <c r="BW745" s="9">
        <f>[1]monsters!$R745</f>
        <v>31.29</v>
      </c>
      <c r="BX745" s="9">
        <f>[1]monsters!$S745</f>
        <v>3.13</v>
      </c>
      <c r="BY745" s="9">
        <f>[1]monsters!$K745</f>
        <v>1.6</v>
      </c>
      <c r="BZ745" s="7">
        <f>[1]monsters!$D745</f>
        <v>2</v>
      </c>
      <c r="CA745" s="7">
        <f t="shared" si="224"/>
        <v>0.1</v>
      </c>
      <c r="CB745" s="7">
        <f t="shared" si="225"/>
        <v>124.26270555555557</v>
      </c>
      <c r="CC745" s="7">
        <f t="shared" si="226"/>
        <v>12.426270555555558</v>
      </c>
      <c r="CD745" s="7"/>
      <c r="CE745" s="7"/>
      <c r="CF745" s="7"/>
      <c r="CG745" s="7"/>
      <c r="CH745" s="7"/>
      <c r="CI745" s="7"/>
      <c r="CJ745" s="7"/>
      <c r="CK745" s="7"/>
      <c r="CL745" s="7"/>
      <c r="CM745" s="7"/>
      <c r="CN745" s="7"/>
      <c r="CO745" s="7"/>
      <c r="CP745" s="7"/>
      <c r="CR745" s="25"/>
      <c r="CS745" s="25"/>
      <c r="CT745" s="25"/>
      <c r="CU745" s="25"/>
      <c r="CV745" s="25"/>
      <c r="CW745" s="25"/>
      <c r="DP745" s="36"/>
      <c r="DQ745" s="36"/>
      <c r="DR745" s="36"/>
      <c r="DS745" s="36"/>
      <c r="DT745" s="36"/>
      <c r="DU745" s="36"/>
      <c r="DV745" s="32"/>
      <c r="DW745" s="32"/>
      <c r="DX745" s="32"/>
      <c r="DY745" s="32"/>
      <c r="DZ745" s="32"/>
      <c r="EA745" s="32"/>
      <c r="EB745" s="31"/>
      <c r="EC745" s="16">
        <v>1103024</v>
      </c>
      <c r="ED745" s="16" t="s">
        <v>311</v>
      </c>
      <c r="EE745" s="16">
        <v>2</v>
      </c>
    </row>
    <row r="746" spans="15:135" ht="13.5" customHeight="1">
      <c r="O746" s="25"/>
      <c r="AI746" s="28"/>
      <c r="AJ746" s="28"/>
      <c r="AK746" s="28"/>
      <c r="AL746" s="28"/>
      <c r="AM746" s="28"/>
      <c r="AN746" s="28"/>
      <c r="BR746" s="7">
        <v>5304063</v>
      </c>
      <c r="BS746" s="9">
        <f>[1]monsters!$N746</f>
        <v>93.87</v>
      </c>
      <c r="BT746" s="9">
        <f>[1]monsters!$O746</f>
        <v>9.39</v>
      </c>
      <c r="BU746" s="9">
        <f>[1]monsters!$P746</f>
        <v>1056</v>
      </c>
      <c r="BV746" s="9">
        <f>[1]monsters!$Q746</f>
        <v>105.6</v>
      </c>
      <c r="BW746" s="9">
        <f>[1]monsters!$R746</f>
        <v>31.29</v>
      </c>
      <c r="BX746" s="9">
        <f>[1]monsters!$S746</f>
        <v>3.13</v>
      </c>
      <c r="BY746" s="9">
        <f>[1]monsters!$K746</f>
        <v>1.6</v>
      </c>
      <c r="BZ746" s="7">
        <f>[1]monsters!$D746</f>
        <v>2</v>
      </c>
      <c r="CA746" s="7">
        <f t="shared" si="224"/>
        <v>0.1</v>
      </c>
      <c r="CB746" s="7">
        <f t="shared" si="225"/>
        <v>124.26270555555557</v>
      </c>
      <c r="CC746" s="7">
        <f t="shared" si="226"/>
        <v>12.426270555555558</v>
      </c>
      <c r="CD746" s="7"/>
      <c r="CE746" s="7"/>
      <c r="CF746" s="7"/>
      <c r="CG746" s="7"/>
      <c r="CH746" s="7"/>
      <c r="CI746" s="7"/>
      <c r="CJ746" s="7"/>
      <c r="CK746" s="7"/>
      <c r="CL746" s="7"/>
      <c r="CM746" s="7"/>
      <c r="CN746" s="7"/>
      <c r="CO746" s="7"/>
      <c r="CP746" s="7"/>
      <c r="CR746" s="25"/>
      <c r="CS746" s="25"/>
      <c r="CT746" s="25"/>
      <c r="CU746" s="25"/>
      <c r="CV746" s="25"/>
      <c r="CW746" s="25"/>
      <c r="DP746" s="32"/>
      <c r="DQ746" s="13"/>
      <c r="DR746" s="32"/>
      <c r="DS746" s="32"/>
      <c r="DT746" s="32"/>
      <c r="DU746" s="32"/>
      <c r="DV746" s="32"/>
      <c r="DW746" s="32"/>
      <c r="DX746" s="32"/>
      <c r="DY746" s="32"/>
      <c r="DZ746" s="32"/>
      <c r="EA746" s="32"/>
      <c r="EB746" s="31"/>
      <c r="EC746" s="16">
        <v>1103025</v>
      </c>
      <c r="ED746" s="16" t="s">
        <v>312</v>
      </c>
      <c r="EE746" s="16">
        <v>2</v>
      </c>
    </row>
    <row r="747" spans="15:135" ht="13.5" customHeight="1">
      <c r="O747" s="25"/>
      <c r="AI747" s="28"/>
      <c r="AJ747" s="28"/>
      <c r="AK747" s="28"/>
      <c r="AL747" s="28"/>
      <c r="AM747" s="28"/>
      <c r="AN747" s="28"/>
      <c r="BR747" s="7">
        <v>5503063</v>
      </c>
      <c r="BS747" s="9">
        <f>[1]monsters!$N747</f>
        <v>102.4</v>
      </c>
      <c r="BT747" s="9">
        <f>[1]monsters!$O747</f>
        <v>10.24</v>
      </c>
      <c r="BU747" s="9">
        <f>[1]monsters!$P747</f>
        <v>1152</v>
      </c>
      <c r="BV747" s="9">
        <f>[1]monsters!$Q747</f>
        <v>115.2</v>
      </c>
      <c r="BW747" s="9">
        <f>[1]monsters!$R747</f>
        <v>34.130000000000003</v>
      </c>
      <c r="BX747" s="9">
        <f>[1]monsters!$S747</f>
        <v>3.41</v>
      </c>
      <c r="BY747" s="9">
        <f>[1]monsters!$K747</f>
        <v>1.6</v>
      </c>
      <c r="BZ747" s="7">
        <f>[1]monsters!$D747</f>
        <v>2</v>
      </c>
      <c r="CA747" s="7">
        <f t="shared" si="224"/>
        <v>0.1</v>
      </c>
      <c r="CB747" s="7">
        <f t="shared" si="225"/>
        <v>135.55587878787878</v>
      </c>
      <c r="CC747" s="7">
        <f t="shared" si="226"/>
        <v>13.555587878787879</v>
      </c>
      <c r="CD747" s="7"/>
      <c r="CE747" s="7"/>
      <c r="CF747" s="7"/>
      <c r="CG747" s="7"/>
      <c r="CH747" s="7"/>
      <c r="CI747" s="7"/>
      <c r="CJ747" s="7"/>
      <c r="CK747" s="7"/>
      <c r="CL747" s="7"/>
      <c r="CM747" s="7"/>
      <c r="CN747" s="7"/>
      <c r="CO747" s="7"/>
      <c r="CP747" s="7"/>
      <c r="CR747" s="25"/>
      <c r="CS747" s="25"/>
      <c r="CT747" s="25"/>
      <c r="CU747" s="25"/>
      <c r="CV747" s="25"/>
      <c r="CW747" s="25"/>
      <c r="DP747" s="13"/>
      <c r="DQ747" s="32"/>
      <c r="DR747" s="32"/>
      <c r="DS747" s="32"/>
      <c r="DT747" s="32"/>
      <c r="DU747" s="32"/>
      <c r="DV747" s="32"/>
      <c r="DW747" s="32"/>
      <c r="DX747" s="32"/>
      <c r="DY747" s="32"/>
      <c r="DZ747" s="32"/>
      <c r="EA747" s="32"/>
      <c r="EB747" s="15"/>
      <c r="EC747" s="16">
        <v>1103031</v>
      </c>
      <c r="ED747" s="16" t="s">
        <v>308</v>
      </c>
      <c r="EE747" s="16">
        <v>2</v>
      </c>
    </row>
    <row r="748" spans="15:135" ht="13.5" customHeight="1">
      <c r="O748" s="25"/>
      <c r="AI748" s="28"/>
      <c r="AJ748" s="28"/>
      <c r="AK748" s="28"/>
      <c r="AL748" s="28"/>
      <c r="AM748" s="28"/>
      <c r="AN748" s="28"/>
      <c r="BR748" s="7">
        <v>5504063</v>
      </c>
      <c r="BS748" s="9">
        <f>[1]monsters!$N748</f>
        <v>102.4</v>
      </c>
      <c r="BT748" s="9">
        <f>[1]monsters!$O748</f>
        <v>10.24</v>
      </c>
      <c r="BU748" s="9">
        <f>[1]monsters!$P748</f>
        <v>1152</v>
      </c>
      <c r="BV748" s="9">
        <f>[1]monsters!$Q748</f>
        <v>115.2</v>
      </c>
      <c r="BW748" s="9">
        <f>[1]monsters!$R748</f>
        <v>34.130000000000003</v>
      </c>
      <c r="BX748" s="9">
        <f>[1]monsters!$S748</f>
        <v>3.41</v>
      </c>
      <c r="BY748" s="9">
        <f>[1]monsters!$K748</f>
        <v>1.6</v>
      </c>
      <c r="BZ748" s="7">
        <f>[1]monsters!$D748</f>
        <v>2</v>
      </c>
      <c r="CA748" s="7">
        <f t="shared" si="224"/>
        <v>0.1</v>
      </c>
      <c r="CB748" s="7">
        <f t="shared" si="225"/>
        <v>135.55587878787878</v>
      </c>
      <c r="CC748" s="7">
        <f t="shared" si="226"/>
        <v>13.555587878787879</v>
      </c>
      <c r="CD748" s="7"/>
      <c r="CE748" s="7"/>
      <c r="CF748" s="7"/>
      <c r="CG748" s="7"/>
      <c r="CH748" s="7"/>
      <c r="CI748" s="7"/>
      <c r="CJ748" s="7"/>
      <c r="CK748" s="7"/>
      <c r="CL748" s="7"/>
      <c r="CM748" s="7"/>
      <c r="CN748" s="7"/>
      <c r="CO748" s="7"/>
      <c r="CP748" s="7"/>
      <c r="CR748" s="25"/>
      <c r="CS748" s="25"/>
      <c r="CT748" s="25"/>
      <c r="CU748" s="25"/>
      <c r="CV748" s="25"/>
      <c r="CW748" s="25"/>
      <c r="DP748" s="36"/>
      <c r="DQ748" s="36"/>
      <c r="DR748" s="36"/>
      <c r="DS748" s="36"/>
      <c r="DT748" s="36"/>
      <c r="DU748" s="36"/>
      <c r="DV748" s="32"/>
      <c r="DW748" s="32"/>
      <c r="DX748" s="32"/>
      <c r="DY748" s="32"/>
      <c r="DZ748" s="32"/>
      <c r="EA748" s="32"/>
      <c r="EB748" s="31"/>
      <c r="EC748" s="16">
        <v>1103032</v>
      </c>
      <c r="ED748" s="16" t="s">
        <v>309</v>
      </c>
      <c r="EE748" s="16">
        <v>2</v>
      </c>
    </row>
    <row r="749" spans="15:135" ht="13.5" customHeight="1">
      <c r="O749" s="25"/>
      <c r="AI749" s="28"/>
      <c r="AJ749" s="28"/>
      <c r="AK749" s="28"/>
      <c r="AL749" s="28"/>
      <c r="AM749" s="28"/>
      <c r="AN749" s="28"/>
      <c r="BR749" s="7">
        <v>5101063</v>
      </c>
      <c r="BS749" s="9">
        <f>[1]monsters!$N749</f>
        <v>102.4</v>
      </c>
      <c r="BT749" s="9">
        <f>[1]monsters!$O749</f>
        <v>10.24</v>
      </c>
      <c r="BU749" s="9">
        <f>[1]monsters!$P749</f>
        <v>1152</v>
      </c>
      <c r="BV749" s="9">
        <f>[1]monsters!$Q749</f>
        <v>115.2</v>
      </c>
      <c r="BW749" s="9">
        <f>[1]monsters!$R749</f>
        <v>34.130000000000003</v>
      </c>
      <c r="BX749" s="9">
        <f>[1]monsters!$S749</f>
        <v>3.41</v>
      </c>
      <c r="BY749" s="9">
        <f>[1]monsters!$K749</f>
        <v>1.6</v>
      </c>
      <c r="BZ749" s="7">
        <f>[1]monsters!$D749</f>
        <v>2</v>
      </c>
      <c r="CA749" s="7">
        <f t="shared" si="224"/>
        <v>0.1</v>
      </c>
      <c r="CB749" s="7">
        <f t="shared" si="225"/>
        <v>135.55587878787878</v>
      </c>
      <c r="CC749" s="7">
        <f t="shared" si="226"/>
        <v>13.555587878787879</v>
      </c>
      <c r="CD749" s="7"/>
      <c r="CE749" s="7"/>
      <c r="CF749" s="7"/>
      <c r="CG749" s="7"/>
      <c r="CH749" s="7"/>
      <c r="CI749" s="7"/>
      <c r="CJ749" s="7"/>
      <c r="CK749" s="7"/>
      <c r="CL749" s="7"/>
      <c r="CM749" s="7"/>
      <c r="CN749" s="7"/>
      <c r="CO749" s="7"/>
      <c r="CP749" s="7"/>
      <c r="CR749" s="25"/>
      <c r="CS749" s="25"/>
      <c r="CT749" s="25"/>
      <c r="CU749" s="25"/>
      <c r="CV749" s="25"/>
      <c r="CW749" s="25"/>
      <c r="DP749" s="32"/>
      <c r="DQ749" s="32"/>
      <c r="DR749" s="36"/>
      <c r="DS749" s="36"/>
      <c r="DT749" s="32"/>
      <c r="DU749" s="32"/>
      <c r="DV749" s="32"/>
      <c r="DW749" s="32"/>
      <c r="DX749" s="32"/>
      <c r="DY749" s="32"/>
      <c r="DZ749" s="32"/>
      <c r="EA749" s="32"/>
      <c r="EB749" s="31"/>
      <c r="EC749" s="16">
        <v>1103033</v>
      </c>
      <c r="ED749" s="16" t="s">
        <v>310</v>
      </c>
      <c r="EE749" s="16">
        <v>2</v>
      </c>
    </row>
    <row r="750" spans="15:135" ht="13.5" customHeight="1">
      <c r="O750" s="25"/>
      <c r="AI750" s="28"/>
      <c r="AJ750" s="28"/>
      <c r="AK750" s="28"/>
      <c r="AL750" s="28"/>
      <c r="AM750" s="28"/>
      <c r="AN750" s="28"/>
      <c r="BR750" s="7">
        <v>5102063</v>
      </c>
      <c r="BS750" s="9">
        <f>[1]monsters!$N750</f>
        <v>102.4</v>
      </c>
      <c r="BT750" s="9">
        <f>[1]monsters!$O750</f>
        <v>10.24</v>
      </c>
      <c r="BU750" s="9">
        <f>[1]monsters!$P750</f>
        <v>1152</v>
      </c>
      <c r="BV750" s="9">
        <f>[1]monsters!$Q750</f>
        <v>115.2</v>
      </c>
      <c r="BW750" s="9">
        <f>[1]monsters!$R750</f>
        <v>34.130000000000003</v>
      </c>
      <c r="BX750" s="9">
        <f>[1]monsters!$S750</f>
        <v>3.41</v>
      </c>
      <c r="BY750" s="9">
        <f>[1]monsters!$K750</f>
        <v>1.6</v>
      </c>
      <c r="BZ750" s="7">
        <f>[1]monsters!$D750</f>
        <v>2</v>
      </c>
      <c r="CA750" s="7">
        <f t="shared" si="224"/>
        <v>0.1</v>
      </c>
      <c r="CB750" s="7">
        <f t="shared" si="225"/>
        <v>135.55587878787878</v>
      </c>
      <c r="CC750" s="7">
        <f t="shared" si="226"/>
        <v>13.555587878787879</v>
      </c>
      <c r="CD750" s="7"/>
      <c r="CE750" s="7"/>
      <c r="CF750" s="7"/>
      <c r="CG750" s="7"/>
      <c r="CH750" s="7"/>
      <c r="CI750" s="7"/>
      <c r="CJ750" s="7"/>
      <c r="CK750" s="7"/>
      <c r="CL750" s="7"/>
      <c r="CM750" s="7"/>
      <c r="CN750" s="7"/>
      <c r="CO750" s="7"/>
      <c r="CP750" s="7"/>
      <c r="CR750" s="25"/>
      <c r="CS750" s="25"/>
      <c r="CT750" s="25"/>
      <c r="CU750" s="25"/>
      <c r="CV750" s="25"/>
      <c r="CW750" s="25"/>
      <c r="DP750" s="32"/>
      <c r="DQ750" s="32"/>
      <c r="DR750" s="36"/>
      <c r="DS750" s="36"/>
      <c r="DT750" s="36"/>
      <c r="DU750" s="36"/>
      <c r="DV750" s="32"/>
      <c r="DW750" s="32"/>
      <c r="DX750" s="32"/>
      <c r="DY750" s="32"/>
      <c r="DZ750" s="32"/>
      <c r="EA750" s="32"/>
      <c r="EB750" s="31"/>
      <c r="EC750" s="16">
        <v>1103034</v>
      </c>
      <c r="ED750" s="16" t="s">
        <v>311</v>
      </c>
      <c r="EE750" s="16">
        <v>2</v>
      </c>
    </row>
    <row r="751" spans="15:135" ht="13.5" customHeight="1">
      <c r="O751" s="25"/>
      <c r="AI751" s="28"/>
      <c r="AJ751" s="28"/>
      <c r="AK751" s="28"/>
      <c r="AL751" s="28"/>
      <c r="AM751" s="28"/>
      <c r="AN751" s="28"/>
      <c r="BR751" s="7">
        <v>5206064</v>
      </c>
      <c r="BS751" s="9">
        <f>[1]monsters!$N751</f>
        <v>102.4</v>
      </c>
      <c r="BT751" s="9">
        <f>[1]monsters!$O751</f>
        <v>10.24</v>
      </c>
      <c r="BU751" s="9">
        <f>[1]monsters!$P751</f>
        <v>1152</v>
      </c>
      <c r="BV751" s="9">
        <f>[1]monsters!$Q751</f>
        <v>115.2</v>
      </c>
      <c r="BW751" s="9">
        <f>[1]monsters!$R751</f>
        <v>34.130000000000003</v>
      </c>
      <c r="BX751" s="9">
        <f>[1]monsters!$S751</f>
        <v>3.41</v>
      </c>
      <c r="BY751" s="9">
        <f>[1]monsters!$K751</f>
        <v>1.6</v>
      </c>
      <c r="BZ751" s="7">
        <f>[1]monsters!$D751</f>
        <v>2</v>
      </c>
      <c r="CA751" s="7">
        <f t="shared" si="224"/>
        <v>0.1</v>
      </c>
      <c r="CB751" s="7">
        <f t="shared" si="225"/>
        <v>135.55587878787878</v>
      </c>
      <c r="CC751" s="7">
        <f t="shared" si="226"/>
        <v>13.555587878787879</v>
      </c>
      <c r="CD751" s="7"/>
      <c r="CE751" s="7"/>
      <c r="CF751" s="7"/>
      <c r="CG751" s="7"/>
      <c r="CH751" s="7"/>
      <c r="CI751" s="7"/>
      <c r="CJ751" s="7"/>
      <c r="CK751" s="7"/>
      <c r="CL751" s="7"/>
      <c r="CM751" s="7"/>
      <c r="CN751" s="7"/>
      <c r="CO751" s="7"/>
      <c r="CP751" s="7"/>
      <c r="CR751" s="25"/>
      <c r="CS751" s="25"/>
      <c r="CT751" s="25"/>
      <c r="CU751" s="25"/>
      <c r="CV751" s="25"/>
      <c r="CW751" s="25"/>
      <c r="DP751" s="32"/>
      <c r="DQ751" s="32"/>
      <c r="DR751" s="32"/>
      <c r="DS751" s="32"/>
      <c r="DT751" s="36"/>
      <c r="DU751" s="36"/>
      <c r="DV751" s="32"/>
      <c r="DW751" s="32"/>
      <c r="DX751" s="32"/>
      <c r="DY751" s="32"/>
      <c r="DZ751" s="32"/>
      <c r="EA751" s="32"/>
      <c r="EB751" s="43"/>
      <c r="EC751" s="16">
        <v>1103035</v>
      </c>
      <c r="ED751" s="16" t="s">
        <v>312</v>
      </c>
      <c r="EE751" s="16">
        <v>2</v>
      </c>
    </row>
    <row r="752" spans="15:135" ht="13.5" customHeight="1">
      <c r="O752" s="25"/>
      <c r="AI752" s="28"/>
      <c r="AJ752" s="28"/>
      <c r="AK752" s="28"/>
      <c r="AL752" s="28"/>
      <c r="AM752" s="28"/>
      <c r="AN752" s="28"/>
      <c r="BR752" s="7">
        <v>5406064</v>
      </c>
      <c r="BS752" s="9">
        <f>[1]monsters!$N752</f>
        <v>119.47</v>
      </c>
      <c r="BT752" s="9">
        <f>[1]monsters!$O752</f>
        <v>11.95</v>
      </c>
      <c r="BU752" s="9">
        <f>[1]monsters!$P752</f>
        <v>1344</v>
      </c>
      <c r="BV752" s="9">
        <f>[1]monsters!$Q752</f>
        <v>134.4</v>
      </c>
      <c r="BW752" s="9">
        <f>[1]monsters!$R752</f>
        <v>39.82</v>
      </c>
      <c r="BX752" s="9">
        <f>[1]monsters!$S752</f>
        <v>3.98</v>
      </c>
      <c r="BY752" s="9">
        <f>[1]monsters!$K752</f>
        <v>1.6</v>
      </c>
      <c r="BZ752" s="7">
        <f>[1]monsters!$D752</f>
        <v>2</v>
      </c>
      <c r="CA752" s="7">
        <f t="shared" si="224"/>
        <v>0.1</v>
      </c>
      <c r="CB752" s="7">
        <f t="shared" si="225"/>
        <v>158.15167525252525</v>
      </c>
      <c r="CC752" s="7">
        <f t="shared" si="226"/>
        <v>15.815167525252527</v>
      </c>
      <c r="CD752" s="7"/>
      <c r="CE752" s="7"/>
      <c r="CF752" s="7"/>
      <c r="CG752" s="7"/>
      <c r="CH752" s="7"/>
      <c r="CI752" s="7"/>
      <c r="CJ752" s="7"/>
      <c r="CK752" s="7"/>
      <c r="CL752" s="7"/>
      <c r="CM752" s="7"/>
      <c r="CN752" s="7"/>
      <c r="CO752" s="7"/>
      <c r="CP752" s="7"/>
      <c r="CR752" s="25"/>
      <c r="CS752" s="25"/>
      <c r="CT752" s="25"/>
      <c r="CU752" s="25"/>
      <c r="CV752" s="25"/>
      <c r="CW752" s="25"/>
      <c r="DP752" s="32"/>
      <c r="DQ752" s="32"/>
      <c r="DR752" s="32"/>
      <c r="DS752" s="36"/>
      <c r="DT752" s="36"/>
      <c r="DU752" s="36"/>
      <c r="DV752" s="32"/>
      <c r="DW752" s="32"/>
      <c r="DX752" s="32"/>
      <c r="DY752" s="32"/>
      <c r="DZ752" s="32"/>
      <c r="EA752" s="32"/>
      <c r="EB752" s="43"/>
      <c r="EC752" s="16">
        <v>1103041</v>
      </c>
      <c r="ED752" s="16" t="s">
        <v>308</v>
      </c>
      <c r="EE752" s="16">
        <v>2</v>
      </c>
    </row>
    <row r="753" spans="15:135" ht="13.5" customHeight="1">
      <c r="O753" s="25"/>
      <c r="AI753" s="28"/>
      <c r="AJ753" s="28"/>
      <c r="AK753" s="28"/>
      <c r="AL753" s="28"/>
      <c r="AM753" s="28"/>
      <c r="AN753" s="28"/>
      <c r="BR753" s="7">
        <v>5205064</v>
      </c>
      <c r="BS753" s="9">
        <f>[1]monsters!$N753</f>
        <v>119.47</v>
      </c>
      <c r="BT753" s="9">
        <f>[1]monsters!$O753</f>
        <v>11.95</v>
      </c>
      <c r="BU753" s="9">
        <f>[1]monsters!$P753</f>
        <v>1344</v>
      </c>
      <c r="BV753" s="9">
        <f>[1]monsters!$Q753</f>
        <v>134.4</v>
      </c>
      <c r="BW753" s="9">
        <f>[1]monsters!$R753</f>
        <v>39.82</v>
      </c>
      <c r="BX753" s="9">
        <f>[1]monsters!$S753</f>
        <v>3.98</v>
      </c>
      <c r="BY753" s="9">
        <f>[1]monsters!$K753</f>
        <v>1.6</v>
      </c>
      <c r="BZ753" s="7">
        <f>[1]monsters!$D753</f>
        <v>2</v>
      </c>
      <c r="CA753" s="7">
        <f t="shared" si="224"/>
        <v>0.1</v>
      </c>
      <c r="CB753" s="7">
        <f t="shared" si="225"/>
        <v>158.15167525252525</v>
      </c>
      <c r="CC753" s="7">
        <f t="shared" si="226"/>
        <v>15.815167525252527</v>
      </c>
      <c r="CD753" s="7"/>
      <c r="CE753" s="7"/>
      <c r="CF753" s="7"/>
      <c r="CG753" s="7"/>
      <c r="CH753" s="7"/>
      <c r="CI753" s="7"/>
      <c r="CJ753" s="7"/>
      <c r="CK753" s="7"/>
      <c r="CL753" s="7"/>
      <c r="CM753" s="7"/>
      <c r="CN753" s="7"/>
      <c r="CO753" s="7"/>
      <c r="CP753" s="7"/>
      <c r="CR753" s="25"/>
      <c r="CS753" s="25"/>
      <c r="CT753" s="25"/>
      <c r="CU753" s="25"/>
      <c r="CV753" s="25"/>
      <c r="CW753" s="25"/>
      <c r="DP753" s="32"/>
      <c r="DQ753" s="32"/>
      <c r="DR753" s="32"/>
      <c r="DS753" s="36"/>
      <c r="DT753" s="36"/>
      <c r="DU753" s="36"/>
      <c r="DV753" s="32"/>
      <c r="DW753" s="32"/>
      <c r="DX753" s="32"/>
      <c r="DY753" s="32"/>
      <c r="DZ753" s="32"/>
      <c r="EA753" s="32"/>
      <c r="EB753" s="43"/>
      <c r="EC753" s="16">
        <v>1103042</v>
      </c>
      <c r="ED753" s="16" t="s">
        <v>309</v>
      </c>
      <c r="EE753" s="16">
        <v>2</v>
      </c>
    </row>
    <row r="754" spans="15:135" ht="13.5" customHeight="1">
      <c r="O754" s="25"/>
      <c r="AI754" s="28"/>
      <c r="AJ754" s="28"/>
      <c r="AK754" s="28"/>
      <c r="AL754" s="28"/>
      <c r="AM754" s="28"/>
      <c r="AN754" s="28"/>
      <c r="BR754" s="7">
        <v>5405064</v>
      </c>
      <c r="BS754" s="9">
        <f>[1]monsters!$N754</f>
        <v>119.47</v>
      </c>
      <c r="BT754" s="9">
        <f>[1]monsters!$O754</f>
        <v>11.95</v>
      </c>
      <c r="BU754" s="9">
        <f>[1]monsters!$P754</f>
        <v>1344</v>
      </c>
      <c r="BV754" s="9">
        <f>[1]monsters!$Q754</f>
        <v>134.4</v>
      </c>
      <c r="BW754" s="9">
        <f>[1]monsters!$R754</f>
        <v>39.82</v>
      </c>
      <c r="BX754" s="9">
        <f>[1]monsters!$S754</f>
        <v>3.98</v>
      </c>
      <c r="BY754" s="9">
        <f>[1]monsters!$K754</f>
        <v>1.6</v>
      </c>
      <c r="BZ754" s="7">
        <f>[1]monsters!$D754</f>
        <v>2</v>
      </c>
      <c r="CA754" s="7">
        <f t="shared" si="224"/>
        <v>0.1</v>
      </c>
      <c r="CB754" s="7">
        <f t="shared" si="225"/>
        <v>158.15167525252525</v>
      </c>
      <c r="CC754" s="7">
        <f t="shared" si="226"/>
        <v>15.815167525252527</v>
      </c>
      <c r="CD754" s="7"/>
      <c r="CE754" s="7"/>
      <c r="CF754" s="7"/>
      <c r="CG754" s="7"/>
      <c r="CH754" s="7"/>
      <c r="CI754" s="7"/>
      <c r="CJ754" s="7"/>
      <c r="CK754" s="7"/>
      <c r="CL754" s="7"/>
      <c r="CM754" s="7"/>
      <c r="CN754" s="7"/>
      <c r="CO754" s="7"/>
      <c r="CP754" s="7"/>
      <c r="CR754" s="25"/>
      <c r="CS754" s="25"/>
      <c r="CT754" s="25"/>
      <c r="CU754" s="25"/>
      <c r="CV754" s="25"/>
      <c r="CW754" s="25"/>
      <c r="DP754" s="32"/>
      <c r="DQ754" s="32"/>
      <c r="DR754" s="32"/>
      <c r="DS754" s="36"/>
      <c r="DT754" s="36"/>
      <c r="DU754" s="36"/>
      <c r="DV754" s="32"/>
      <c r="DW754" s="32"/>
      <c r="DX754" s="32"/>
      <c r="DY754" s="32"/>
      <c r="DZ754" s="32"/>
      <c r="EA754" s="32"/>
      <c r="EB754" s="21"/>
      <c r="EC754" s="16">
        <v>1103043</v>
      </c>
      <c r="ED754" s="16" t="s">
        <v>310</v>
      </c>
      <c r="EE754" s="16">
        <v>2</v>
      </c>
    </row>
    <row r="755" spans="15:135" ht="13.5" customHeight="1">
      <c r="O755" s="25"/>
      <c r="AI755" s="28"/>
      <c r="AJ755" s="28"/>
      <c r="AK755" s="28"/>
      <c r="AL755" s="28"/>
      <c r="AM755" s="28"/>
      <c r="AN755" s="28"/>
      <c r="BR755" s="7">
        <v>5203064</v>
      </c>
      <c r="BS755" s="9">
        <f>[1]monsters!$N755</f>
        <v>119.47</v>
      </c>
      <c r="BT755" s="9">
        <f>[1]monsters!$O755</f>
        <v>11.95</v>
      </c>
      <c r="BU755" s="9">
        <f>[1]monsters!$P755</f>
        <v>1344</v>
      </c>
      <c r="BV755" s="9">
        <f>[1]monsters!$Q755</f>
        <v>134.4</v>
      </c>
      <c r="BW755" s="9">
        <f>[1]monsters!$R755</f>
        <v>39.82</v>
      </c>
      <c r="BX755" s="9">
        <f>[1]monsters!$S755</f>
        <v>3.98</v>
      </c>
      <c r="BY755" s="9">
        <f>[1]monsters!$K755</f>
        <v>1.6</v>
      </c>
      <c r="BZ755" s="7">
        <f>[1]monsters!$D755</f>
        <v>2</v>
      </c>
      <c r="CA755" s="7">
        <f t="shared" si="224"/>
        <v>0.1</v>
      </c>
      <c r="CB755" s="7">
        <f t="shared" si="225"/>
        <v>158.15167525252525</v>
      </c>
      <c r="CC755" s="7">
        <f t="shared" si="226"/>
        <v>15.815167525252527</v>
      </c>
      <c r="CD755" s="7"/>
      <c r="CE755" s="7"/>
      <c r="CF755" s="7"/>
      <c r="CG755" s="7"/>
      <c r="CH755" s="7"/>
      <c r="CI755" s="7"/>
      <c r="CJ755" s="7"/>
      <c r="CK755" s="7"/>
      <c r="CL755" s="7"/>
      <c r="CM755" s="7"/>
      <c r="CN755" s="7"/>
      <c r="CO755" s="7"/>
      <c r="CP755" s="7"/>
      <c r="CR755" s="25"/>
      <c r="CS755" s="25"/>
      <c r="CT755" s="25"/>
      <c r="CU755" s="25"/>
      <c r="CV755" s="25"/>
      <c r="CW755" s="25"/>
      <c r="DP755" s="32"/>
      <c r="DQ755" s="32"/>
      <c r="DR755" s="32"/>
      <c r="DS755" s="36"/>
      <c r="DT755" s="36"/>
      <c r="DU755" s="36"/>
      <c r="DV755" s="32"/>
      <c r="DW755" s="32"/>
      <c r="DX755" s="32"/>
      <c r="DY755" s="32"/>
      <c r="DZ755" s="32"/>
      <c r="EA755" s="32"/>
      <c r="EB755" s="43"/>
      <c r="EC755" s="16">
        <v>1103044</v>
      </c>
      <c r="ED755" s="16" t="s">
        <v>311</v>
      </c>
      <c r="EE755" s="16">
        <v>2</v>
      </c>
    </row>
    <row r="756" spans="15:135" ht="13.5" customHeight="1">
      <c r="O756" s="25"/>
      <c r="AI756" s="28"/>
      <c r="AJ756" s="28"/>
      <c r="AK756" s="28"/>
      <c r="AL756" s="28"/>
      <c r="AM756" s="28"/>
      <c r="AN756" s="28"/>
      <c r="BR756" s="7">
        <v>5403064</v>
      </c>
      <c r="BS756" s="9">
        <f>[1]monsters!$N756</f>
        <v>119.47</v>
      </c>
      <c r="BT756" s="9">
        <f>[1]monsters!$O756</f>
        <v>11.95</v>
      </c>
      <c r="BU756" s="9">
        <f>[1]monsters!$P756</f>
        <v>1344</v>
      </c>
      <c r="BV756" s="9">
        <f>[1]monsters!$Q756</f>
        <v>134.4</v>
      </c>
      <c r="BW756" s="9">
        <f>[1]monsters!$R756</f>
        <v>39.82</v>
      </c>
      <c r="BX756" s="9">
        <f>[1]monsters!$S756</f>
        <v>3.98</v>
      </c>
      <c r="BY756" s="9">
        <f>[1]monsters!$K756</f>
        <v>1.6</v>
      </c>
      <c r="BZ756" s="7">
        <f>[1]monsters!$D756</f>
        <v>2</v>
      </c>
      <c r="CA756" s="7">
        <f t="shared" si="224"/>
        <v>0.1</v>
      </c>
      <c r="CB756" s="7">
        <f t="shared" si="225"/>
        <v>158.15167525252525</v>
      </c>
      <c r="CC756" s="7">
        <f t="shared" si="226"/>
        <v>15.815167525252527</v>
      </c>
      <c r="CD756" s="7"/>
      <c r="CE756" s="7"/>
      <c r="CF756" s="7"/>
      <c r="CG756" s="7"/>
      <c r="CH756" s="7"/>
      <c r="CI756" s="7"/>
      <c r="CJ756" s="7"/>
      <c r="CK756" s="7"/>
      <c r="CL756" s="7"/>
      <c r="CM756" s="7"/>
      <c r="CN756" s="7"/>
      <c r="CO756" s="7"/>
      <c r="CP756" s="7"/>
      <c r="CR756" s="25"/>
      <c r="CS756" s="25"/>
      <c r="CT756" s="25"/>
      <c r="CU756" s="25"/>
      <c r="CV756" s="25"/>
      <c r="CW756" s="25"/>
      <c r="DP756" s="13"/>
      <c r="DQ756" s="13"/>
      <c r="DR756" s="13"/>
      <c r="DS756" s="32"/>
      <c r="DT756" s="14"/>
      <c r="DU756" s="14"/>
      <c r="DV756" s="32"/>
      <c r="DW756" s="32"/>
      <c r="DX756" s="32"/>
      <c r="DY756" s="32"/>
      <c r="DZ756" s="32"/>
      <c r="EA756" s="32"/>
      <c r="EB756" s="43"/>
      <c r="EC756" s="16">
        <v>1103045</v>
      </c>
      <c r="ED756" s="16" t="s">
        <v>312</v>
      </c>
      <c r="EE756" s="16">
        <v>2</v>
      </c>
    </row>
    <row r="757" spans="15:135" ht="13.5" customHeight="1">
      <c r="O757" s="25"/>
      <c r="AI757" s="28"/>
      <c r="AJ757" s="28"/>
      <c r="AK757" s="28"/>
      <c r="AL757" s="28"/>
      <c r="AM757" s="28"/>
      <c r="AN757" s="28"/>
      <c r="BR757" s="7">
        <v>5204064</v>
      </c>
      <c r="BS757" s="9">
        <f>[1]monsters!$N757</f>
        <v>136.53</v>
      </c>
      <c r="BT757" s="9">
        <f>[1]monsters!$O757</f>
        <v>13.65</v>
      </c>
      <c r="BU757" s="9">
        <f>[1]monsters!$P757</f>
        <v>1536</v>
      </c>
      <c r="BV757" s="9">
        <f>[1]monsters!$Q757</f>
        <v>153.6</v>
      </c>
      <c r="BW757" s="9">
        <f>[1]monsters!$R757</f>
        <v>45.51</v>
      </c>
      <c r="BX757" s="9">
        <f>[1]monsters!$S757</f>
        <v>4.55</v>
      </c>
      <c r="BY757" s="9">
        <f>[1]monsters!$K757</f>
        <v>1.6</v>
      </c>
      <c r="BZ757" s="7">
        <f>[1]monsters!$D757</f>
        <v>2</v>
      </c>
      <c r="CA757" s="7">
        <f t="shared" si="224"/>
        <v>0.1</v>
      </c>
      <c r="CB757" s="7">
        <f t="shared" si="225"/>
        <v>180.73802171717173</v>
      </c>
      <c r="CC757" s="7">
        <f t="shared" si="226"/>
        <v>18.073802171717173</v>
      </c>
      <c r="CD757" s="7"/>
      <c r="CE757" s="7"/>
      <c r="CF757" s="7"/>
      <c r="CG757" s="7"/>
      <c r="CH757" s="7"/>
      <c r="CI757" s="7"/>
      <c r="CJ757" s="7"/>
      <c r="CK757" s="7"/>
      <c r="CL757" s="7"/>
      <c r="CM757" s="7"/>
      <c r="CN757" s="7"/>
      <c r="CO757" s="7"/>
      <c r="CP757" s="7"/>
      <c r="CR757" s="25"/>
      <c r="CS757" s="25"/>
      <c r="CT757" s="25"/>
      <c r="CU757" s="25"/>
      <c r="CV757" s="25"/>
      <c r="CW757" s="25"/>
      <c r="DP757" s="32"/>
      <c r="DQ757" s="32"/>
      <c r="DR757" s="36"/>
      <c r="DS757" s="36"/>
      <c r="DT757" s="32"/>
      <c r="DU757" s="32"/>
      <c r="DV757" s="32"/>
      <c r="DW757" s="32"/>
      <c r="DX757" s="32"/>
      <c r="DY757" s="32"/>
      <c r="DZ757" s="32"/>
      <c r="EA757" s="32"/>
      <c r="EB757" s="43"/>
      <c r="EC757" s="16">
        <v>1103051</v>
      </c>
      <c r="ED757" s="16" t="s">
        <v>308</v>
      </c>
      <c r="EE757" s="16">
        <v>2</v>
      </c>
    </row>
    <row r="758" spans="15:135" ht="13.5" customHeight="1">
      <c r="O758" s="25"/>
      <c r="AI758" s="28"/>
      <c r="AJ758" s="28"/>
      <c r="AK758" s="28"/>
      <c r="AL758" s="28"/>
      <c r="AM758" s="28"/>
      <c r="AN758" s="28"/>
      <c r="BR758" s="7">
        <v>5404064</v>
      </c>
      <c r="BS758" s="9">
        <f>[1]monsters!$N758</f>
        <v>136.53</v>
      </c>
      <c r="BT758" s="9">
        <f>[1]monsters!$O758</f>
        <v>13.65</v>
      </c>
      <c r="BU758" s="9">
        <f>[1]monsters!$P758</f>
        <v>1536</v>
      </c>
      <c r="BV758" s="9">
        <f>[1]monsters!$Q758</f>
        <v>153.6</v>
      </c>
      <c r="BW758" s="9">
        <f>[1]monsters!$R758</f>
        <v>45.51</v>
      </c>
      <c r="BX758" s="9">
        <f>[1]monsters!$S758</f>
        <v>4.55</v>
      </c>
      <c r="BY758" s="9">
        <f>[1]monsters!$K758</f>
        <v>1.6</v>
      </c>
      <c r="BZ758" s="7">
        <f>[1]monsters!$D758</f>
        <v>2</v>
      </c>
      <c r="CA758" s="7">
        <f t="shared" si="224"/>
        <v>0.1</v>
      </c>
      <c r="CB758" s="7">
        <f t="shared" si="225"/>
        <v>180.73802171717173</v>
      </c>
      <c r="CC758" s="7">
        <f t="shared" si="226"/>
        <v>18.073802171717173</v>
      </c>
      <c r="CD758" s="7"/>
      <c r="CE758" s="7"/>
      <c r="CF758" s="7"/>
      <c r="CG758" s="7"/>
      <c r="CH758" s="7"/>
      <c r="CI758" s="7"/>
      <c r="CJ758" s="7"/>
      <c r="CK758" s="7"/>
      <c r="CL758" s="7"/>
      <c r="CM758" s="7"/>
      <c r="CN758" s="7"/>
      <c r="CO758" s="7"/>
      <c r="CP758" s="7"/>
      <c r="CR758" s="25"/>
      <c r="CS758" s="25"/>
      <c r="CT758" s="25"/>
      <c r="CU758" s="25"/>
      <c r="CV758" s="25"/>
      <c r="CW758" s="25"/>
      <c r="DP758" s="32"/>
      <c r="DQ758" s="32"/>
      <c r="DR758" s="32"/>
      <c r="DS758" s="14"/>
      <c r="DT758" s="14"/>
      <c r="DU758" s="14"/>
      <c r="DV758" s="32"/>
      <c r="DW758" s="32"/>
      <c r="DX758" s="32"/>
      <c r="DY758" s="32"/>
      <c r="DZ758" s="32"/>
      <c r="EA758" s="32"/>
      <c r="EB758" s="21"/>
      <c r="EC758" s="16">
        <v>1103052</v>
      </c>
      <c r="ED758" s="16" t="s">
        <v>309</v>
      </c>
      <c r="EE758" s="16">
        <v>2</v>
      </c>
    </row>
    <row r="759" spans="15:135" ht="13.5" customHeight="1">
      <c r="O759" s="25"/>
      <c r="AI759" s="28"/>
      <c r="AJ759" s="28"/>
      <c r="AK759" s="28"/>
      <c r="AL759" s="28"/>
      <c r="AM759" s="28"/>
      <c r="AN759" s="28"/>
      <c r="BR759" s="7">
        <v>5303064</v>
      </c>
      <c r="BS759" s="9">
        <f>[1]monsters!$N759</f>
        <v>136.53</v>
      </c>
      <c r="BT759" s="9">
        <f>[1]monsters!$O759</f>
        <v>13.65</v>
      </c>
      <c r="BU759" s="9">
        <f>[1]monsters!$P759</f>
        <v>1536</v>
      </c>
      <c r="BV759" s="9">
        <f>[1]monsters!$Q759</f>
        <v>153.6</v>
      </c>
      <c r="BW759" s="9">
        <f>[1]monsters!$R759</f>
        <v>45.51</v>
      </c>
      <c r="BX759" s="9">
        <f>[1]monsters!$S759</f>
        <v>4.55</v>
      </c>
      <c r="BY759" s="9">
        <f>[1]monsters!$K759</f>
        <v>1.6</v>
      </c>
      <c r="BZ759" s="7">
        <f>[1]monsters!$D759</f>
        <v>2</v>
      </c>
      <c r="CA759" s="7">
        <f t="shared" si="224"/>
        <v>0.1</v>
      </c>
      <c r="CB759" s="7">
        <f t="shared" si="225"/>
        <v>180.73802171717173</v>
      </c>
      <c r="CC759" s="7">
        <f t="shared" si="226"/>
        <v>18.073802171717173</v>
      </c>
      <c r="CD759" s="7"/>
      <c r="CE759" s="7"/>
      <c r="CF759" s="7"/>
      <c r="CG759" s="7"/>
      <c r="CH759" s="7"/>
      <c r="CI759" s="7"/>
      <c r="CJ759" s="7"/>
      <c r="CK759" s="7"/>
      <c r="CL759" s="7"/>
      <c r="CM759" s="7"/>
      <c r="CN759" s="7"/>
      <c r="CO759" s="7"/>
      <c r="CP759" s="7"/>
      <c r="CR759" s="25"/>
      <c r="CS759" s="25"/>
      <c r="CT759" s="25"/>
      <c r="CU759" s="25"/>
      <c r="CV759" s="25"/>
      <c r="CW759" s="25"/>
      <c r="DP759" s="32"/>
      <c r="DQ759" s="32"/>
      <c r="DR759" s="36"/>
      <c r="DS759" s="36"/>
      <c r="DT759" s="32"/>
      <c r="DU759" s="32"/>
      <c r="DV759" s="32"/>
      <c r="DW759" s="32"/>
      <c r="DX759" s="32"/>
      <c r="DY759" s="32"/>
      <c r="DZ759" s="32"/>
      <c r="EA759" s="32"/>
      <c r="EB759" s="43"/>
      <c r="EC759" s="16">
        <v>1103053</v>
      </c>
      <c r="ED759" s="16" t="s">
        <v>310</v>
      </c>
      <c r="EE759" s="16">
        <v>2</v>
      </c>
    </row>
    <row r="760" spans="15:135" ht="13.5" customHeight="1">
      <c r="O760" s="25"/>
      <c r="AI760" s="28"/>
      <c r="AJ760" s="28"/>
      <c r="AK760" s="28"/>
      <c r="AL760" s="28"/>
      <c r="AM760" s="28"/>
      <c r="AN760" s="28"/>
      <c r="BR760" s="7">
        <v>5304064</v>
      </c>
      <c r="BS760" s="9">
        <f>[1]monsters!$N760</f>
        <v>136.53</v>
      </c>
      <c r="BT760" s="9">
        <f>[1]monsters!$O760</f>
        <v>13.65</v>
      </c>
      <c r="BU760" s="9">
        <f>[1]monsters!$P760</f>
        <v>1536</v>
      </c>
      <c r="BV760" s="9">
        <f>[1]monsters!$Q760</f>
        <v>153.6</v>
      </c>
      <c r="BW760" s="9">
        <f>[1]monsters!$R760</f>
        <v>45.51</v>
      </c>
      <c r="BX760" s="9">
        <f>[1]monsters!$S760</f>
        <v>4.55</v>
      </c>
      <c r="BY760" s="9">
        <f>[1]monsters!$K760</f>
        <v>1.6</v>
      </c>
      <c r="BZ760" s="7">
        <f>[1]monsters!$D760</f>
        <v>2</v>
      </c>
      <c r="CA760" s="7">
        <f t="shared" si="224"/>
        <v>0.1</v>
      </c>
      <c r="CB760" s="7">
        <f t="shared" si="225"/>
        <v>180.73802171717173</v>
      </c>
      <c r="CC760" s="7">
        <f t="shared" si="226"/>
        <v>18.073802171717173</v>
      </c>
      <c r="CD760" s="7"/>
      <c r="CE760" s="7"/>
      <c r="CF760" s="7"/>
      <c r="CG760" s="7"/>
      <c r="CH760" s="7"/>
      <c r="CI760" s="7"/>
      <c r="CJ760" s="7"/>
      <c r="CK760" s="7"/>
      <c r="CL760" s="7"/>
      <c r="CM760" s="7"/>
      <c r="CN760" s="7"/>
      <c r="CO760" s="7"/>
      <c r="CP760" s="7"/>
      <c r="CR760" s="25"/>
      <c r="CS760" s="25"/>
      <c r="CT760" s="25"/>
      <c r="CU760" s="25"/>
      <c r="CV760" s="25"/>
      <c r="CW760" s="25"/>
      <c r="DP760" s="32"/>
      <c r="DQ760" s="32"/>
      <c r="DR760" s="36"/>
      <c r="DS760" s="36"/>
      <c r="DT760" s="36"/>
      <c r="DU760" s="36"/>
      <c r="DV760" s="32"/>
      <c r="DW760" s="32"/>
      <c r="DX760" s="32"/>
      <c r="DY760" s="32"/>
      <c r="DZ760" s="32"/>
      <c r="EA760" s="32"/>
      <c r="EB760" s="43"/>
      <c r="EC760" s="16">
        <v>1103054</v>
      </c>
      <c r="ED760" s="16" t="s">
        <v>311</v>
      </c>
      <c r="EE760" s="16">
        <v>2</v>
      </c>
    </row>
    <row r="761" spans="15:135" ht="13.5" customHeight="1">
      <c r="O761" s="25"/>
      <c r="AI761" s="28"/>
      <c r="AJ761" s="28"/>
      <c r="AK761" s="28"/>
      <c r="AL761" s="28"/>
      <c r="AM761" s="28"/>
      <c r="AN761" s="28"/>
      <c r="BR761" s="7">
        <v>5503064</v>
      </c>
      <c r="BS761" s="9">
        <f>[1]monsters!$N761</f>
        <v>136.53</v>
      </c>
      <c r="BT761" s="9">
        <f>[1]monsters!$O761</f>
        <v>13.65</v>
      </c>
      <c r="BU761" s="9">
        <f>[1]monsters!$P761</f>
        <v>1536</v>
      </c>
      <c r="BV761" s="9">
        <f>[1]monsters!$Q761</f>
        <v>153.6</v>
      </c>
      <c r="BW761" s="9">
        <f>[1]monsters!$R761</f>
        <v>45.51</v>
      </c>
      <c r="BX761" s="9">
        <f>[1]monsters!$S761</f>
        <v>4.55</v>
      </c>
      <c r="BY761" s="9">
        <f>[1]monsters!$K761</f>
        <v>1.6</v>
      </c>
      <c r="BZ761" s="7">
        <f>[1]monsters!$D761</f>
        <v>2</v>
      </c>
      <c r="CA761" s="7">
        <f t="shared" si="224"/>
        <v>0.1</v>
      </c>
      <c r="CB761" s="7">
        <f t="shared" si="225"/>
        <v>180.73802171717173</v>
      </c>
      <c r="CC761" s="7">
        <f t="shared" si="226"/>
        <v>18.073802171717173</v>
      </c>
      <c r="CD761" s="7"/>
      <c r="CE761" s="7"/>
      <c r="CF761" s="7"/>
      <c r="CG761" s="7"/>
      <c r="CH761" s="7"/>
      <c r="CI761" s="7"/>
      <c r="CJ761" s="7"/>
      <c r="CK761" s="7"/>
      <c r="CL761" s="7"/>
      <c r="CM761" s="7"/>
      <c r="CN761" s="7"/>
      <c r="CO761" s="7"/>
      <c r="CP761" s="7"/>
      <c r="CR761" s="25"/>
      <c r="CS761" s="25"/>
      <c r="CT761" s="25"/>
      <c r="CU761" s="25"/>
      <c r="CV761" s="25"/>
      <c r="CW761" s="25"/>
      <c r="DP761" s="32"/>
      <c r="DQ761" s="36"/>
      <c r="DR761" s="32"/>
      <c r="DS761" s="36"/>
      <c r="DT761" s="36"/>
      <c r="DU761" s="14"/>
      <c r="DV761" s="32"/>
      <c r="DW761" s="32"/>
      <c r="DX761" s="32"/>
      <c r="DY761" s="32"/>
      <c r="DZ761" s="32"/>
      <c r="EA761" s="32"/>
      <c r="EB761" s="21"/>
      <c r="EC761" s="16">
        <v>1103055</v>
      </c>
      <c r="ED761" s="16" t="s">
        <v>312</v>
      </c>
      <c r="EE761" s="16">
        <v>2</v>
      </c>
    </row>
    <row r="762" spans="15:135" ht="13.5" customHeight="1">
      <c r="O762" s="25"/>
      <c r="AI762" s="28"/>
      <c r="AJ762" s="28"/>
      <c r="AK762" s="28"/>
      <c r="AL762" s="28"/>
      <c r="AM762" s="28"/>
      <c r="AN762" s="28"/>
      <c r="BR762" s="7">
        <v>5504064</v>
      </c>
      <c r="BS762" s="9">
        <f>[1]monsters!$N762</f>
        <v>153.6</v>
      </c>
      <c r="BT762" s="9">
        <f>[1]monsters!$O762</f>
        <v>15.36</v>
      </c>
      <c r="BU762" s="9">
        <f>[1]monsters!$P762</f>
        <v>1728</v>
      </c>
      <c r="BV762" s="9">
        <f>[1]monsters!$Q762</f>
        <v>172.8</v>
      </c>
      <c r="BW762" s="9">
        <f>[1]monsters!$R762</f>
        <v>51.2</v>
      </c>
      <c r="BX762" s="9">
        <f>[1]monsters!$S762</f>
        <v>5.12</v>
      </c>
      <c r="BY762" s="9">
        <f>[1]monsters!$K762</f>
        <v>1.6</v>
      </c>
      <c r="BZ762" s="7">
        <f>[1]monsters!$D762</f>
        <v>2</v>
      </c>
      <c r="CA762" s="7">
        <f t="shared" si="224"/>
        <v>0.1</v>
      </c>
      <c r="CB762" s="7">
        <f t="shared" si="225"/>
        <v>203.3338181818182</v>
      </c>
      <c r="CC762" s="7">
        <f t="shared" si="226"/>
        <v>20.33338181818182</v>
      </c>
      <c r="CD762" s="7"/>
      <c r="CE762" s="7"/>
      <c r="CF762" s="7"/>
      <c r="CG762" s="7"/>
      <c r="CH762" s="7"/>
      <c r="CI762" s="7"/>
      <c r="CJ762" s="7"/>
      <c r="CK762" s="7"/>
      <c r="CL762" s="7"/>
      <c r="CM762" s="7"/>
      <c r="CN762" s="7"/>
      <c r="CO762" s="7"/>
      <c r="CP762" s="7"/>
      <c r="CR762" s="25"/>
      <c r="CS762" s="25"/>
      <c r="CT762" s="25"/>
      <c r="CU762" s="25"/>
      <c r="CV762" s="25"/>
      <c r="CW762" s="25"/>
      <c r="DP762" s="32"/>
      <c r="DQ762" s="32"/>
      <c r="DR762" s="32"/>
      <c r="DS762" s="36"/>
      <c r="DT762" s="36"/>
      <c r="DU762" s="36"/>
      <c r="DV762" s="32"/>
      <c r="DW762" s="32"/>
      <c r="DX762" s="32"/>
      <c r="DY762" s="32"/>
      <c r="DZ762" s="32"/>
      <c r="EA762" s="32"/>
      <c r="EB762" s="43"/>
      <c r="EC762" s="16">
        <v>1103061</v>
      </c>
      <c r="ED762" s="16" t="s">
        <v>308</v>
      </c>
      <c r="EE762" s="16">
        <v>2</v>
      </c>
    </row>
    <row r="763" spans="15:135" ht="13.5" customHeight="1">
      <c r="O763" s="25"/>
      <c r="AI763" s="28"/>
      <c r="AJ763" s="28"/>
      <c r="AK763" s="28"/>
      <c r="AL763" s="28"/>
      <c r="AM763" s="28"/>
      <c r="AN763" s="28"/>
      <c r="BR763" s="7">
        <v>5101064</v>
      </c>
      <c r="BS763" s="9">
        <f>[1]monsters!$N763</f>
        <v>153.6</v>
      </c>
      <c r="BT763" s="9">
        <f>[1]monsters!$O763</f>
        <v>15.36</v>
      </c>
      <c r="BU763" s="9">
        <f>[1]monsters!$P763</f>
        <v>1728</v>
      </c>
      <c r="BV763" s="9">
        <f>[1]monsters!$Q763</f>
        <v>172.8</v>
      </c>
      <c r="BW763" s="9">
        <f>[1]monsters!$R763</f>
        <v>51.2</v>
      </c>
      <c r="BX763" s="9">
        <f>[1]monsters!$S763</f>
        <v>5.12</v>
      </c>
      <c r="BY763" s="9">
        <f>[1]monsters!$K763</f>
        <v>1.6</v>
      </c>
      <c r="BZ763" s="7">
        <f>[1]monsters!$D763</f>
        <v>2</v>
      </c>
      <c r="CA763" s="7">
        <f t="shared" si="224"/>
        <v>0.1</v>
      </c>
      <c r="CB763" s="7">
        <f t="shared" si="225"/>
        <v>203.3338181818182</v>
      </c>
      <c r="CC763" s="7">
        <f t="shared" si="226"/>
        <v>20.33338181818182</v>
      </c>
      <c r="CD763" s="7"/>
      <c r="CE763" s="7"/>
      <c r="CF763" s="7"/>
      <c r="CG763" s="7"/>
      <c r="CH763" s="7"/>
      <c r="CI763" s="7"/>
      <c r="CJ763" s="7"/>
      <c r="CK763" s="7"/>
      <c r="CL763" s="7"/>
      <c r="CM763" s="7"/>
      <c r="CN763" s="7"/>
      <c r="CO763" s="7"/>
      <c r="CP763" s="7"/>
      <c r="CR763" s="25"/>
      <c r="CS763" s="25"/>
      <c r="CT763" s="25"/>
      <c r="CU763" s="25"/>
      <c r="CV763" s="25"/>
      <c r="CW763" s="25"/>
      <c r="DP763" s="32"/>
      <c r="DQ763" s="32"/>
      <c r="DR763" s="32"/>
      <c r="DS763" s="32"/>
      <c r="DT763" s="32"/>
      <c r="DU763" s="32"/>
      <c r="DV763" s="32"/>
      <c r="DW763" s="32"/>
      <c r="DX763" s="32"/>
      <c r="DY763" s="32"/>
      <c r="DZ763" s="32"/>
      <c r="EA763" s="32"/>
      <c r="EB763" s="43"/>
      <c r="EC763" s="16">
        <v>1103062</v>
      </c>
      <c r="ED763" s="16" t="s">
        <v>309</v>
      </c>
      <c r="EE763" s="16">
        <v>2</v>
      </c>
    </row>
    <row r="764" spans="15:135" ht="13.5" customHeight="1">
      <c r="O764" s="25"/>
      <c r="AI764" s="28"/>
      <c r="AJ764" s="28"/>
      <c r="AK764" s="28"/>
      <c r="AL764" s="28"/>
      <c r="AM764" s="28"/>
      <c r="AN764" s="28"/>
      <c r="BR764" s="7">
        <v>5102064</v>
      </c>
      <c r="BS764" s="9">
        <f>[1]monsters!$N764</f>
        <v>153.6</v>
      </c>
      <c r="BT764" s="9">
        <f>[1]monsters!$O764</f>
        <v>15.36</v>
      </c>
      <c r="BU764" s="9">
        <f>[1]monsters!$P764</f>
        <v>1728</v>
      </c>
      <c r="BV764" s="9">
        <f>[1]monsters!$Q764</f>
        <v>172.8</v>
      </c>
      <c r="BW764" s="9">
        <f>[1]monsters!$R764</f>
        <v>51.2</v>
      </c>
      <c r="BX764" s="9">
        <f>[1]monsters!$S764</f>
        <v>5.12</v>
      </c>
      <c r="BY764" s="9">
        <f>[1]monsters!$K764</f>
        <v>1.6</v>
      </c>
      <c r="BZ764" s="7">
        <f>[1]monsters!$D764</f>
        <v>2</v>
      </c>
      <c r="CA764" s="7">
        <f t="shared" si="224"/>
        <v>0.1</v>
      </c>
      <c r="CB764" s="7">
        <f t="shared" si="225"/>
        <v>203.3338181818182</v>
      </c>
      <c r="CC764" s="7">
        <f t="shared" si="226"/>
        <v>20.33338181818182</v>
      </c>
      <c r="CD764" s="7"/>
      <c r="CE764" s="7"/>
      <c r="CF764" s="7"/>
      <c r="CG764" s="7"/>
      <c r="CH764" s="7"/>
      <c r="CI764" s="7"/>
      <c r="CJ764" s="7"/>
      <c r="CK764" s="7"/>
      <c r="CL764" s="7"/>
      <c r="CM764" s="7"/>
      <c r="CN764" s="7"/>
      <c r="CO764" s="7"/>
      <c r="CP764" s="7"/>
      <c r="CR764" s="25"/>
      <c r="CS764" s="25"/>
      <c r="CT764" s="25"/>
      <c r="CU764" s="25"/>
      <c r="CV764" s="25"/>
      <c r="CW764" s="25"/>
      <c r="DP764" s="32"/>
      <c r="DQ764" s="32"/>
      <c r="DR764" s="32"/>
      <c r="DS764" s="32"/>
      <c r="DT764" s="32"/>
      <c r="DU764" s="32"/>
      <c r="DV764" s="32"/>
      <c r="DW764" s="32"/>
      <c r="DX764" s="32"/>
      <c r="DY764" s="32"/>
      <c r="DZ764" s="32"/>
      <c r="EA764" s="32"/>
      <c r="EB764" s="43"/>
      <c r="EC764" s="16">
        <v>1103063</v>
      </c>
      <c r="ED764" s="16" t="s">
        <v>310</v>
      </c>
      <c r="EE764" s="16">
        <v>2</v>
      </c>
    </row>
    <row r="765" spans="15:135" ht="13.5" customHeight="1">
      <c r="O765" s="25"/>
      <c r="AI765" s="28"/>
      <c r="AJ765" s="28"/>
      <c r="AK765" s="28"/>
      <c r="AL765" s="28"/>
      <c r="AM765" s="28"/>
      <c r="AN765" s="28"/>
      <c r="BR765" s="7">
        <v>5206065</v>
      </c>
      <c r="BS765" s="9">
        <f>[1]monsters!$N765</f>
        <v>153.6</v>
      </c>
      <c r="BT765" s="9">
        <f>[1]monsters!$O765</f>
        <v>15.36</v>
      </c>
      <c r="BU765" s="9">
        <f>[1]monsters!$P765</f>
        <v>1728</v>
      </c>
      <c r="BV765" s="9">
        <f>[1]monsters!$Q765</f>
        <v>172.8</v>
      </c>
      <c r="BW765" s="9">
        <f>[1]monsters!$R765</f>
        <v>51.2</v>
      </c>
      <c r="BX765" s="9">
        <f>[1]monsters!$S765</f>
        <v>5.12</v>
      </c>
      <c r="BY765" s="9">
        <f>[1]monsters!$K765</f>
        <v>1.6</v>
      </c>
      <c r="BZ765" s="7">
        <f>[1]monsters!$D765</f>
        <v>2</v>
      </c>
      <c r="CA765" s="7">
        <f t="shared" si="224"/>
        <v>0.1</v>
      </c>
      <c r="CB765" s="7">
        <f t="shared" si="225"/>
        <v>203.3338181818182</v>
      </c>
      <c r="CC765" s="7">
        <f t="shared" si="226"/>
        <v>20.33338181818182</v>
      </c>
      <c r="CD765" s="7"/>
      <c r="CE765" s="7"/>
      <c r="CF765" s="7"/>
      <c r="CG765" s="7"/>
      <c r="CH765" s="7"/>
      <c r="CI765" s="7"/>
      <c r="CJ765" s="7"/>
      <c r="CK765" s="7"/>
      <c r="CL765" s="7"/>
      <c r="CM765" s="7"/>
      <c r="CN765" s="7"/>
      <c r="CO765" s="7"/>
      <c r="CP765" s="7"/>
      <c r="CR765" s="25"/>
      <c r="CS765" s="25"/>
      <c r="CT765" s="25"/>
      <c r="CU765" s="25"/>
      <c r="CV765" s="25"/>
      <c r="CW765" s="25"/>
      <c r="DP765" s="32"/>
      <c r="DQ765" s="32"/>
      <c r="DR765" s="32"/>
      <c r="DS765" s="32"/>
      <c r="DT765" s="32"/>
      <c r="DU765" s="32"/>
      <c r="DV765" s="32"/>
      <c r="DW765" s="32"/>
      <c r="DX765" s="32"/>
      <c r="DY765" s="32"/>
      <c r="DZ765" s="32"/>
      <c r="EA765" s="32"/>
      <c r="EB765" s="50"/>
      <c r="EC765" s="16">
        <v>1103064</v>
      </c>
      <c r="ED765" s="16" t="s">
        <v>311</v>
      </c>
      <c r="EE765" s="16">
        <v>2</v>
      </c>
    </row>
    <row r="766" spans="15:135" ht="13.5" customHeight="1">
      <c r="O766" s="25"/>
      <c r="AI766" s="28"/>
      <c r="AJ766" s="28"/>
      <c r="AK766" s="28"/>
      <c r="AL766" s="28"/>
      <c r="AM766" s="28"/>
      <c r="AN766" s="28"/>
      <c r="BR766" s="7">
        <v>5406065</v>
      </c>
      <c r="BS766" s="9">
        <f>[1]monsters!$N766</f>
        <v>153.6</v>
      </c>
      <c r="BT766" s="9">
        <f>[1]monsters!$O766</f>
        <v>15.36</v>
      </c>
      <c r="BU766" s="9">
        <f>[1]monsters!$P766</f>
        <v>1728</v>
      </c>
      <c r="BV766" s="9">
        <f>[1]monsters!$Q766</f>
        <v>172.8</v>
      </c>
      <c r="BW766" s="9">
        <f>[1]monsters!$R766</f>
        <v>51.2</v>
      </c>
      <c r="BX766" s="9">
        <f>[1]monsters!$S766</f>
        <v>5.12</v>
      </c>
      <c r="BY766" s="9">
        <f>[1]monsters!$K766</f>
        <v>1.6</v>
      </c>
      <c r="BZ766" s="7">
        <f>[1]monsters!$D766</f>
        <v>2</v>
      </c>
      <c r="CA766" s="7">
        <f t="shared" si="224"/>
        <v>0.1</v>
      </c>
      <c r="CB766" s="7">
        <f t="shared" si="225"/>
        <v>203.3338181818182</v>
      </c>
      <c r="CC766" s="7">
        <f t="shared" si="226"/>
        <v>20.33338181818182</v>
      </c>
      <c r="CD766" s="7"/>
      <c r="CE766" s="7"/>
      <c r="CF766" s="7"/>
      <c r="CG766" s="7"/>
      <c r="CH766" s="7"/>
      <c r="CI766" s="7"/>
      <c r="CJ766" s="7"/>
      <c r="CK766" s="7"/>
      <c r="CL766" s="7"/>
      <c r="CM766" s="7"/>
      <c r="CN766" s="7"/>
      <c r="CO766" s="7"/>
      <c r="CP766" s="7"/>
      <c r="CR766" s="25"/>
      <c r="CS766" s="25"/>
      <c r="CT766" s="25"/>
      <c r="CU766" s="25"/>
      <c r="CV766" s="25"/>
      <c r="CW766" s="25"/>
      <c r="DP766" s="32"/>
      <c r="DQ766" s="32"/>
      <c r="DR766" s="32"/>
      <c r="DS766" s="32"/>
      <c r="DT766" s="32"/>
      <c r="DU766" s="32"/>
      <c r="DV766" s="32"/>
      <c r="DW766" s="32"/>
      <c r="DX766" s="32"/>
      <c r="DY766" s="32"/>
      <c r="DZ766" s="32"/>
      <c r="EA766" s="32"/>
      <c r="EB766" s="50"/>
      <c r="EC766" s="16">
        <v>1103065</v>
      </c>
      <c r="ED766" s="16" t="s">
        <v>312</v>
      </c>
      <c r="EE766" s="16">
        <v>2</v>
      </c>
    </row>
    <row r="767" spans="15:135" ht="13.5" customHeight="1">
      <c r="O767" s="25"/>
      <c r="AI767" s="28"/>
      <c r="AJ767" s="28"/>
      <c r="AK767" s="28"/>
      <c r="AL767" s="28"/>
      <c r="AM767" s="28"/>
      <c r="AN767" s="28"/>
      <c r="BR767" s="7">
        <v>5205065</v>
      </c>
      <c r="BS767" s="9">
        <f>[1]monsters!$N767</f>
        <v>170.67</v>
      </c>
      <c r="BT767" s="9">
        <f>[1]monsters!$O767</f>
        <v>17.07</v>
      </c>
      <c r="BU767" s="9">
        <f>[1]monsters!$P767</f>
        <v>1920</v>
      </c>
      <c r="BV767" s="9">
        <f>[1]monsters!$Q767</f>
        <v>192</v>
      </c>
      <c r="BW767" s="9">
        <f>[1]monsters!$R767</f>
        <v>56.89</v>
      </c>
      <c r="BX767" s="9">
        <f>[1]monsters!$S767</f>
        <v>5.69</v>
      </c>
      <c r="BY767" s="9">
        <f>[1]monsters!$K767</f>
        <v>1.6</v>
      </c>
      <c r="BZ767" s="7">
        <f>[1]monsters!$D767</f>
        <v>2</v>
      </c>
      <c r="CA767" s="7">
        <f t="shared" si="224"/>
        <v>0.1</v>
      </c>
      <c r="CB767" s="7">
        <f t="shared" si="225"/>
        <v>225.92961464646464</v>
      </c>
      <c r="CC767" s="7">
        <f t="shared" si="226"/>
        <v>22.592961464646464</v>
      </c>
      <c r="CD767" s="7"/>
      <c r="CE767" s="7"/>
      <c r="CF767" s="7"/>
      <c r="CG767" s="7"/>
      <c r="CH767" s="7"/>
      <c r="CI767" s="7"/>
      <c r="CJ767" s="7"/>
      <c r="CK767" s="7"/>
      <c r="CL767" s="7"/>
      <c r="CM767" s="7"/>
      <c r="CN767" s="7"/>
      <c r="CO767" s="7"/>
      <c r="CP767" s="7"/>
      <c r="CR767" s="25"/>
      <c r="CS767" s="25"/>
      <c r="CT767" s="25"/>
      <c r="CU767" s="25"/>
      <c r="CV767" s="25"/>
      <c r="CW767" s="25"/>
      <c r="DP767" s="32"/>
      <c r="DQ767" s="32"/>
      <c r="DR767" s="32"/>
      <c r="DS767" s="32"/>
      <c r="DT767" s="32"/>
      <c r="DU767" s="32"/>
      <c r="DV767" s="32"/>
      <c r="DW767" s="32"/>
      <c r="DX767" s="32"/>
      <c r="DY767" s="32"/>
      <c r="DZ767" s="32"/>
      <c r="EA767" s="32"/>
      <c r="EB767" s="50"/>
      <c r="EC767" s="16">
        <v>1103071</v>
      </c>
      <c r="ED767" s="16" t="s">
        <v>308</v>
      </c>
      <c r="EE767" s="16">
        <v>2</v>
      </c>
    </row>
    <row r="768" spans="15:135" ht="13.5" customHeight="1">
      <c r="O768" s="25"/>
      <c r="AI768" s="28"/>
      <c r="AJ768" s="28"/>
      <c r="AK768" s="28"/>
      <c r="AL768" s="28"/>
      <c r="AM768" s="28"/>
      <c r="AN768" s="28"/>
      <c r="BR768" s="7">
        <v>5405065</v>
      </c>
      <c r="BS768" s="9">
        <f>[1]monsters!$N768</f>
        <v>170.67</v>
      </c>
      <c r="BT768" s="9">
        <f>[1]monsters!$O768</f>
        <v>17.07</v>
      </c>
      <c r="BU768" s="9">
        <f>[1]monsters!$P768</f>
        <v>1920</v>
      </c>
      <c r="BV768" s="9">
        <f>[1]monsters!$Q768</f>
        <v>192</v>
      </c>
      <c r="BW768" s="9">
        <f>[1]monsters!$R768</f>
        <v>56.89</v>
      </c>
      <c r="BX768" s="9">
        <f>[1]monsters!$S768</f>
        <v>5.69</v>
      </c>
      <c r="BY768" s="9">
        <f>[1]monsters!$K768</f>
        <v>1.6</v>
      </c>
      <c r="BZ768" s="7">
        <f>[1]monsters!$D768</f>
        <v>2</v>
      </c>
      <c r="CA768" s="7">
        <f t="shared" si="224"/>
        <v>0.1</v>
      </c>
      <c r="CB768" s="7">
        <f t="shared" si="225"/>
        <v>225.92961464646464</v>
      </c>
      <c r="CC768" s="7">
        <f t="shared" si="226"/>
        <v>22.592961464646464</v>
      </c>
      <c r="CD768" s="7"/>
      <c r="CE768" s="7"/>
      <c r="CF768" s="7"/>
      <c r="CG768" s="7"/>
      <c r="CH768" s="7"/>
      <c r="CI768" s="7"/>
      <c r="CJ768" s="7"/>
      <c r="CK768" s="7"/>
      <c r="CL768" s="7"/>
      <c r="CM768" s="7"/>
      <c r="CN768" s="7"/>
      <c r="CO768" s="7"/>
      <c r="CP768" s="7"/>
      <c r="CR768" s="25"/>
      <c r="CS768" s="25"/>
      <c r="CT768" s="25"/>
      <c r="CU768" s="25"/>
      <c r="CV768" s="25"/>
      <c r="CW768" s="25"/>
      <c r="DP768" s="32"/>
      <c r="DQ768" s="32"/>
      <c r="DR768" s="32"/>
      <c r="DS768" s="32"/>
      <c r="DT768" s="32"/>
      <c r="DU768" s="32"/>
      <c r="DV768" s="32"/>
      <c r="DW768" s="32"/>
      <c r="DX768" s="32"/>
      <c r="DY768" s="32"/>
      <c r="DZ768" s="32"/>
      <c r="EA768" s="32"/>
      <c r="EB768" s="22"/>
      <c r="EC768" s="16">
        <v>1103072</v>
      </c>
      <c r="ED768" s="16" t="s">
        <v>309</v>
      </c>
      <c r="EE768" s="16">
        <v>2</v>
      </c>
    </row>
    <row r="769" spans="15:135" ht="13.5" customHeight="1">
      <c r="O769" s="25"/>
      <c r="AI769" s="28"/>
      <c r="AJ769" s="28"/>
      <c r="AK769" s="28"/>
      <c r="AL769" s="28"/>
      <c r="AM769" s="28"/>
      <c r="AN769" s="28"/>
      <c r="BR769" s="7">
        <v>5203065</v>
      </c>
      <c r="BS769" s="9">
        <f>[1]monsters!$N769</f>
        <v>170.67</v>
      </c>
      <c r="BT769" s="9">
        <f>[1]monsters!$O769</f>
        <v>17.07</v>
      </c>
      <c r="BU769" s="9">
        <f>[1]monsters!$P769</f>
        <v>1920</v>
      </c>
      <c r="BV769" s="9">
        <f>[1]monsters!$Q769</f>
        <v>192</v>
      </c>
      <c r="BW769" s="9">
        <f>[1]monsters!$R769</f>
        <v>56.89</v>
      </c>
      <c r="BX769" s="9">
        <f>[1]monsters!$S769</f>
        <v>5.69</v>
      </c>
      <c r="BY769" s="9">
        <f>[1]monsters!$K769</f>
        <v>1.6</v>
      </c>
      <c r="BZ769" s="7">
        <f>[1]monsters!$D769</f>
        <v>2</v>
      </c>
      <c r="CA769" s="7">
        <f t="shared" si="224"/>
        <v>0.1</v>
      </c>
      <c r="CB769" s="7">
        <f t="shared" si="225"/>
        <v>225.92961464646464</v>
      </c>
      <c r="CC769" s="7">
        <f t="shared" si="226"/>
        <v>22.592961464646464</v>
      </c>
      <c r="CD769" s="7"/>
      <c r="CE769" s="7"/>
      <c r="CF769" s="7"/>
      <c r="CG769" s="7"/>
      <c r="CH769" s="7"/>
      <c r="CI769" s="7"/>
      <c r="CJ769" s="7"/>
      <c r="CK769" s="7"/>
      <c r="CL769" s="7"/>
      <c r="CM769" s="7"/>
      <c r="CN769" s="7"/>
      <c r="CO769" s="7"/>
      <c r="CP769" s="7"/>
      <c r="CR769" s="25"/>
      <c r="CS769" s="25"/>
      <c r="CT769" s="25"/>
      <c r="CU769" s="25"/>
      <c r="CV769" s="25"/>
      <c r="CW769" s="25"/>
      <c r="DP769" s="13"/>
      <c r="DQ769" s="13"/>
      <c r="DR769" s="13"/>
      <c r="DS769" s="32"/>
      <c r="DT769" s="32"/>
      <c r="DU769" s="32"/>
      <c r="DV769" s="32"/>
      <c r="DW769" s="32"/>
      <c r="DX769" s="32"/>
      <c r="DY769" s="32"/>
      <c r="DZ769" s="32"/>
      <c r="EA769" s="32"/>
      <c r="EB769" s="50"/>
      <c r="EC769" s="16">
        <v>1103073</v>
      </c>
      <c r="ED769" s="16" t="s">
        <v>310</v>
      </c>
      <c r="EE769" s="16">
        <v>2</v>
      </c>
    </row>
    <row r="770" spans="15:135" ht="13.5" customHeight="1">
      <c r="O770" s="25"/>
      <c r="AI770" s="28"/>
      <c r="AJ770" s="28"/>
      <c r="AK770" s="28"/>
      <c r="AL770" s="28"/>
      <c r="AM770" s="28"/>
      <c r="AN770" s="28"/>
      <c r="BR770" s="7">
        <v>5403065</v>
      </c>
      <c r="BS770" s="9">
        <f>[1]monsters!$N770</f>
        <v>170.67</v>
      </c>
      <c r="BT770" s="9">
        <f>[1]monsters!$O770</f>
        <v>17.07</v>
      </c>
      <c r="BU770" s="9">
        <f>[1]monsters!$P770</f>
        <v>1920</v>
      </c>
      <c r="BV770" s="9">
        <f>[1]monsters!$Q770</f>
        <v>192</v>
      </c>
      <c r="BW770" s="9">
        <f>[1]monsters!$R770</f>
        <v>56.89</v>
      </c>
      <c r="BX770" s="9">
        <f>[1]monsters!$S770</f>
        <v>5.69</v>
      </c>
      <c r="BY770" s="9">
        <f>[1]monsters!$K770</f>
        <v>1.6</v>
      </c>
      <c r="BZ770" s="7">
        <f>[1]monsters!$D770</f>
        <v>2</v>
      </c>
      <c r="CA770" s="7">
        <f t="shared" si="224"/>
        <v>0.1</v>
      </c>
      <c r="CB770" s="7">
        <f t="shared" si="225"/>
        <v>225.92961464646464</v>
      </c>
      <c r="CC770" s="7">
        <f t="shared" si="226"/>
        <v>22.592961464646464</v>
      </c>
      <c r="CD770" s="7"/>
      <c r="CE770" s="7"/>
      <c r="CF770" s="7"/>
      <c r="CG770" s="7"/>
      <c r="CH770" s="7"/>
      <c r="CI770" s="7"/>
      <c r="CJ770" s="7"/>
      <c r="CK770" s="7"/>
      <c r="CL770" s="7"/>
      <c r="CM770" s="7"/>
      <c r="CN770" s="7"/>
      <c r="CO770" s="7"/>
      <c r="CP770" s="7"/>
      <c r="CR770" s="25"/>
      <c r="CS770" s="25"/>
      <c r="CT770" s="25"/>
      <c r="CU770" s="25"/>
      <c r="CV770" s="25"/>
      <c r="CW770" s="25"/>
      <c r="DP770" s="32"/>
      <c r="DQ770" s="32"/>
      <c r="DR770" s="32"/>
      <c r="DS770" s="32"/>
      <c r="DT770" s="32"/>
      <c r="DU770" s="32"/>
      <c r="DV770" s="32"/>
      <c r="DW770" s="32"/>
      <c r="DX770" s="32"/>
      <c r="DY770" s="32"/>
      <c r="DZ770" s="32"/>
      <c r="EA770" s="32"/>
      <c r="EB770" s="50"/>
      <c r="EC770" s="16">
        <v>1103074</v>
      </c>
      <c r="ED770" s="16" t="s">
        <v>311</v>
      </c>
      <c r="EE770" s="16">
        <v>2</v>
      </c>
    </row>
    <row r="771" spans="15:135" ht="13.5" customHeight="1">
      <c r="O771" s="25"/>
      <c r="AI771" s="28"/>
      <c r="AJ771" s="28"/>
      <c r="AK771" s="28"/>
      <c r="AL771" s="28"/>
      <c r="AM771" s="28"/>
      <c r="AN771" s="28"/>
      <c r="BR771" s="7">
        <v>5204065</v>
      </c>
      <c r="BS771" s="9">
        <f>[1]monsters!$N771</f>
        <v>170.67</v>
      </c>
      <c r="BT771" s="9">
        <f>[1]monsters!$O771</f>
        <v>17.07</v>
      </c>
      <c r="BU771" s="9">
        <f>[1]monsters!$P771</f>
        <v>1920</v>
      </c>
      <c r="BV771" s="9">
        <f>[1]monsters!$Q771</f>
        <v>192</v>
      </c>
      <c r="BW771" s="9">
        <f>[1]monsters!$R771</f>
        <v>56.89</v>
      </c>
      <c r="BX771" s="9">
        <f>[1]monsters!$S771</f>
        <v>5.69</v>
      </c>
      <c r="BY771" s="9">
        <f>[1]monsters!$K771</f>
        <v>1.6</v>
      </c>
      <c r="BZ771" s="7">
        <f>[1]monsters!$D771</f>
        <v>2</v>
      </c>
      <c r="CA771" s="7">
        <f t="shared" si="224"/>
        <v>0.1</v>
      </c>
      <c r="CB771" s="7">
        <f t="shared" si="225"/>
        <v>225.92961464646464</v>
      </c>
      <c r="CC771" s="7">
        <f t="shared" si="226"/>
        <v>22.592961464646464</v>
      </c>
      <c r="CD771" s="7"/>
      <c r="CE771" s="7"/>
      <c r="CF771" s="7"/>
      <c r="CG771" s="7"/>
      <c r="CH771" s="7"/>
      <c r="CI771" s="7"/>
      <c r="CJ771" s="7"/>
      <c r="CK771" s="7"/>
      <c r="CL771" s="7"/>
      <c r="CM771" s="7"/>
      <c r="CN771" s="7"/>
      <c r="CO771" s="7"/>
      <c r="CP771" s="7"/>
      <c r="CR771" s="25"/>
      <c r="CS771" s="25"/>
      <c r="CT771" s="25"/>
      <c r="CU771" s="25"/>
      <c r="CV771" s="25"/>
      <c r="CW771" s="25"/>
      <c r="DP771" s="32"/>
      <c r="DQ771" s="32"/>
      <c r="DR771" s="32"/>
      <c r="DS771" s="32"/>
      <c r="DT771" s="32"/>
      <c r="DU771" s="32"/>
      <c r="DV771" s="32"/>
      <c r="DW771" s="32"/>
      <c r="DX771" s="32"/>
      <c r="DY771" s="32"/>
      <c r="DZ771" s="32"/>
      <c r="EA771" s="32"/>
      <c r="EB771" s="50"/>
      <c r="EC771" s="16">
        <v>1103075</v>
      </c>
      <c r="ED771" s="16" t="s">
        <v>312</v>
      </c>
      <c r="EE771" s="16">
        <v>2</v>
      </c>
    </row>
    <row r="772" spans="15:135" ht="13.5" customHeight="1">
      <c r="O772" s="25"/>
      <c r="AI772" s="28"/>
      <c r="AJ772" s="28"/>
      <c r="AK772" s="28"/>
      <c r="AL772" s="28"/>
      <c r="AM772" s="28"/>
      <c r="AN772" s="28"/>
      <c r="BR772" s="7">
        <v>5404065</v>
      </c>
      <c r="BS772" s="9">
        <f>[1]monsters!$N772</f>
        <v>187.73</v>
      </c>
      <c r="BT772" s="9">
        <f>[1]monsters!$O772</f>
        <v>18.77</v>
      </c>
      <c r="BU772" s="9">
        <f>[1]monsters!$P772</f>
        <v>2112</v>
      </c>
      <c r="BV772" s="9">
        <f>[1]monsters!$Q772</f>
        <v>211.2</v>
      </c>
      <c r="BW772" s="9">
        <f>[1]monsters!$R772</f>
        <v>62.58</v>
      </c>
      <c r="BX772" s="9">
        <f>[1]monsters!$S772</f>
        <v>6.26</v>
      </c>
      <c r="BY772" s="9">
        <f>[1]monsters!$K772</f>
        <v>1.6</v>
      </c>
      <c r="BZ772" s="7">
        <f>[1]monsters!$D772</f>
        <v>2</v>
      </c>
      <c r="CA772" s="7">
        <f t="shared" si="224"/>
        <v>0.1</v>
      </c>
      <c r="CB772" s="7">
        <f t="shared" si="225"/>
        <v>248.51596111111112</v>
      </c>
      <c r="CC772" s="7">
        <f t="shared" si="226"/>
        <v>24.851596111111114</v>
      </c>
      <c r="CD772" s="7"/>
      <c r="CE772" s="7"/>
      <c r="CF772" s="7"/>
      <c r="CG772" s="7"/>
      <c r="CH772" s="7"/>
      <c r="CI772" s="7"/>
      <c r="CJ772" s="7"/>
      <c r="CK772" s="7"/>
      <c r="CL772" s="7"/>
      <c r="CM772" s="7"/>
      <c r="CN772" s="7"/>
      <c r="CO772" s="7"/>
      <c r="CP772" s="7"/>
      <c r="CR772" s="25"/>
      <c r="CS772" s="25"/>
      <c r="CT772" s="25"/>
      <c r="CU772" s="25"/>
      <c r="CV772" s="25"/>
      <c r="CW772" s="25"/>
      <c r="DP772" s="32"/>
      <c r="DQ772" s="32"/>
      <c r="DR772" s="32"/>
      <c r="DS772" s="32"/>
      <c r="DT772" s="32"/>
      <c r="DU772" s="32"/>
      <c r="DV772" s="32"/>
      <c r="DW772" s="32"/>
      <c r="DX772" s="32"/>
      <c r="DY772" s="32"/>
      <c r="DZ772" s="32"/>
      <c r="EA772" s="32"/>
      <c r="EB772" s="22"/>
      <c r="EC772" s="16">
        <v>1103081</v>
      </c>
      <c r="ED772" s="16" t="s">
        <v>308</v>
      </c>
      <c r="EE772" s="16">
        <v>2</v>
      </c>
    </row>
    <row r="773" spans="15:135" ht="13.5" customHeight="1">
      <c r="O773" s="25"/>
      <c r="AI773" s="28"/>
      <c r="AJ773" s="28"/>
      <c r="AK773" s="28"/>
      <c r="AL773" s="28"/>
      <c r="AM773" s="28"/>
      <c r="AN773" s="28"/>
      <c r="BR773" s="7">
        <v>5303065</v>
      </c>
      <c r="BS773" s="9">
        <f>[1]monsters!$N773</f>
        <v>187.73</v>
      </c>
      <c r="BT773" s="9">
        <f>[1]monsters!$O773</f>
        <v>18.77</v>
      </c>
      <c r="BU773" s="9">
        <f>[1]monsters!$P773</f>
        <v>2112</v>
      </c>
      <c r="BV773" s="9">
        <f>[1]monsters!$Q773</f>
        <v>211.2</v>
      </c>
      <c r="BW773" s="9">
        <f>[1]monsters!$R773</f>
        <v>62.58</v>
      </c>
      <c r="BX773" s="9">
        <f>[1]monsters!$S773</f>
        <v>6.26</v>
      </c>
      <c r="BY773" s="9">
        <f>[1]monsters!$K773</f>
        <v>1.6</v>
      </c>
      <c r="BZ773" s="7">
        <f>[1]monsters!$D773</f>
        <v>2</v>
      </c>
      <c r="CA773" s="7">
        <f t="shared" ref="CA773:CA836" si="227">INDEX($CH$5:$CH$10,MATCH($BZ773,$CG$5:$CG$10))</f>
        <v>0.1</v>
      </c>
      <c r="CB773" s="7">
        <f t="shared" ref="CB773:CB836" si="228">(BU773/33/(1-CA773)/(1-0)+BS773*(1+0.5*0.1)*0.9)</f>
        <v>248.51596111111112</v>
      </c>
      <c r="CC773" s="7">
        <f t="shared" ref="CC773:CC836" si="229">(BU773/33/(1-CA773)/(1-0)+BS773*(1+0.5*0.1)*0.9)*0.1</f>
        <v>24.851596111111114</v>
      </c>
      <c r="CD773" s="7"/>
      <c r="CE773" s="7"/>
      <c r="CF773" s="7"/>
      <c r="CG773" s="7"/>
      <c r="CH773" s="7"/>
      <c r="CI773" s="7"/>
      <c r="CJ773" s="7"/>
      <c r="CK773" s="7"/>
      <c r="CL773" s="7"/>
      <c r="CM773" s="7"/>
      <c r="CN773" s="7"/>
      <c r="CO773" s="7"/>
      <c r="CP773" s="7"/>
      <c r="CR773" s="25"/>
      <c r="CS773" s="25"/>
      <c r="CT773" s="25"/>
      <c r="CU773" s="25"/>
      <c r="CV773" s="25"/>
      <c r="CW773" s="25"/>
      <c r="DP773" s="32"/>
      <c r="DQ773" s="32"/>
      <c r="DR773" s="32"/>
      <c r="DS773" s="32"/>
      <c r="DT773" s="32"/>
      <c r="DU773" s="32"/>
      <c r="DV773" s="32"/>
      <c r="DW773" s="32"/>
      <c r="DX773" s="32"/>
      <c r="DY773" s="32"/>
      <c r="DZ773" s="32"/>
      <c r="EA773" s="32"/>
      <c r="EB773" s="50"/>
      <c r="EC773" s="16">
        <v>1103082</v>
      </c>
      <c r="ED773" s="16" t="s">
        <v>309</v>
      </c>
      <c r="EE773" s="16">
        <v>2</v>
      </c>
    </row>
    <row r="774" spans="15:135" ht="13.5" customHeight="1">
      <c r="O774" s="25"/>
      <c r="AI774" s="28"/>
      <c r="AJ774" s="28"/>
      <c r="AK774" s="28"/>
      <c r="AL774" s="28"/>
      <c r="AM774" s="28"/>
      <c r="AN774" s="28"/>
      <c r="BR774" s="7">
        <v>5304065</v>
      </c>
      <c r="BS774" s="9">
        <f>[1]monsters!$N774</f>
        <v>187.73</v>
      </c>
      <c r="BT774" s="9">
        <f>[1]monsters!$O774</f>
        <v>18.77</v>
      </c>
      <c r="BU774" s="9">
        <f>[1]monsters!$P774</f>
        <v>2112</v>
      </c>
      <c r="BV774" s="9">
        <f>[1]monsters!$Q774</f>
        <v>211.2</v>
      </c>
      <c r="BW774" s="9">
        <f>[1]monsters!$R774</f>
        <v>62.58</v>
      </c>
      <c r="BX774" s="9">
        <f>[1]monsters!$S774</f>
        <v>6.26</v>
      </c>
      <c r="BY774" s="9">
        <f>[1]monsters!$K774</f>
        <v>1.6</v>
      </c>
      <c r="BZ774" s="7">
        <f>[1]monsters!$D774</f>
        <v>2</v>
      </c>
      <c r="CA774" s="7">
        <f t="shared" si="227"/>
        <v>0.1</v>
      </c>
      <c r="CB774" s="7">
        <f t="shared" si="228"/>
        <v>248.51596111111112</v>
      </c>
      <c r="CC774" s="7">
        <f t="shared" si="229"/>
        <v>24.851596111111114</v>
      </c>
      <c r="CD774" s="7"/>
      <c r="CE774" s="7"/>
      <c r="CF774" s="7"/>
      <c r="CG774" s="7"/>
      <c r="CH774" s="7"/>
      <c r="CI774" s="7"/>
      <c r="CJ774" s="7"/>
      <c r="CK774" s="7"/>
      <c r="CL774" s="7"/>
      <c r="CM774" s="7"/>
      <c r="CN774" s="7"/>
      <c r="CO774" s="7"/>
      <c r="CP774" s="7"/>
      <c r="CR774" s="25"/>
      <c r="CS774" s="25"/>
      <c r="CT774" s="25"/>
      <c r="CU774" s="25"/>
      <c r="CV774" s="25"/>
      <c r="CW774" s="25"/>
      <c r="DP774" s="32"/>
      <c r="DQ774" s="32"/>
      <c r="DR774" s="32"/>
      <c r="DS774" s="32"/>
      <c r="DT774" s="32"/>
      <c r="DU774" s="32"/>
      <c r="DV774" s="32"/>
      <c r="DW774" s="32"/>
      <c r="DX774" s="32"/>
      <c r="DY774" s="32"/>
      <c r="DZ774" s="32"/>
      <c r="EA774" s="32"/>
      <c r="EB774" s="50"/>
      <c r="EC774" s="16">
        <v>1103083</v>
      </c>
      <c r="ED774" s="16" t="s">
        <v>310</v>
      </c>
      <c r="EE774" s="16">
        <v>2</v>
      </c>
    </row>
    <row r="775" spans="15:135" ht="13.5" customHeight="1">
      <c r="O775" s="25"/>
      <c r="AI775" s="28"/>
      <c r="AJ775" s="28"/>
      <c r="AK775" s="28"/>
      <c r="AL775" s="28"/>
      <c r="AM775" s="28"/>
      <c r="AN775" s="28"/>
      <c r="BR775" s="7">
        <v>5503065</v>
      </c>
      <c r="BS775" s="9">
        <f>[1]monsters!$N775</f>
        <v>187.73</v>
      </c>
      <c r="BT775" s="9">
        <f>[1]monsters!$O775</f>
        <v>18.77</v>
      </c>
      <c r="BU775" s="9">
        <f>[1]monsters!$P775</f>
        <v>2112</v>
      </c>
      <c r="BV775" s="9">
        <f>[1]monsters!$Q775</f>
        <v>211.2</v>
      </c>
      <c r="BW775" s="9">
        <f>[1]monsters!$R775</f>
        <v>62.58</v>
      </c>
      <c r="BX775" s="9">
        <f>[1]monsters!$S775</f>
        <v>6.26</v>
      </c>
      <c r="BY775" s="9">
        <f>[1]monsters!$K775</f>
        <v>1.6</v>
      </c>
      <c r="BZ775" s="7">
        <f>[1]monsters!$D775</f>
        <v>2</v>
      </c>
      <c r="CA775" s="7">
        <f t="shared" si="227"/>
        <v>0.1</v>
      </c>
      <c r="CB775" s="7">
        <f t="shared" si="228"/>
        <v>248.51596111111112</v>
      </c>
      <c r="CC775" s="7">
        <f t="shared" si="229"/>
        <v>24.851596111111114</v>
      </c>
      <c r="CD775" s="7"/>
      <c r="CE775" s="7"/>
      <c r="CF775" s="7"/>
      <c r="CG775" s="7"/>
      <c r="CH775" s="7"/>
      <c r="CI775" s="7"/>
      <c r="CJ775" s="7"/>
      <c r="CK775" s="7"/>
      <c r="CL775" s="7"/>
      <c r="CM775" s="7"/>
      <c r="CN775" s="7"/>
      <c r="CO775" s="7"/>
      <c r="CP775" s="7"/>
      <c r="CR775" s="25"/>
      <c r="CS775" s="25"/>
      <c r="CT775" s="25"/>
      <c r="CU775" s="25"/>
      <c r="CV775" s="25"/>
      <c r="CW775" s="25"/>
      <c r="DP775" s="32"/>
      <c r="DQ775" s="32"/>
      <c r="DR775" s="32"/>
      <c r="DS775" s="32"/>
      <c r="DT775" s="32"/>
      <c r="DU775" s="32"/>
      <c r="DV775" s="32"/>
      <c r="DW775" s="32"/>
      <c r="DX775" s="32"/>
      <c r="DY775" s="32"/>
      <c r="DZ775" s="32"/>
      <c r="EA775" s="32"/>
      <c r="EB775" s="22"/>
      <c r="EC775" s="16">
        <v>1103084</v>
      </c>
      <c r="ED775" s="16" t="s">
        <v>311</v>
      </c>
      <c r="EE775" s="16">
        <v>2</v>
      </c>
    </row>
    <row r="776" spans="15:135" ht="13.5" customHeight="1">
      <c r="O776" s="25"/>
      <c r="AI776" s="28"/>
      <c r="AJ776" s="28"/>
      <c r="AK776" s="28"/>
      <c r="AL776" s="28"/>
      <c r="AM776" s="28"/>
      <c r="AN776" s="28"/>
      <c r="BR776" s="7">
        <v>5504065</v>
      </c>
      <c r="BS776" s="9">
        <f>[1]monsters!$N776</f>
        <v>187.73</v>
      </c>
      <c r="BT776" s="9">
        <f>[1]monsters!$O776</f>
        <v>18.77</v>
      </c>
      <c r="BU776" s="9">
        <f>[1]monsters!$P776</f>
        <v>2112</v>
      </c>
      <c r="BV776" s="9">
        <f>[1]monsters!$Q776</f>
        <v>211.2</v>
      </c>
      <c r="BW776" s="9">
        <f>[1]monsters!$R776</f>
        <v>62.58</v>
      </c>
      <c r="BX776" s="9">
        <f>[1]monsters!$S776</f>
        <v>6.26</v>
      </c>
      <c r="BY776" s="9">
        <f>[1]monsters!$K776</f>
        <v>1.6</v>
      </c>
      <c r="BZ776" s="7">
        <f>[1]monsters!$D776</f>
        <v>2</v>
      </c>
      <c r="CA776" s="7">
        <f t="shared" si="227"/>
        <v>0.1</v>
      </c>
      <c r="CB776" s="7">
        <f t="shared" si="228"/>
        <v>248.51596111111112</v>
      </c>
      <c r="CC776" s="7">
        <f t="shared" si="229"/>
        <v>24.851596111111114</v>
      </c>
      <c r="CD776" s="7"/>
      <c r="CE776" s="7"/>
      <c r="CF776" s="7"/>
      <c r="CG776" s="7"/>
      <c r="CH776" s="7"/>
      <c r="CI776" s="7"/>
      <c r="CJ776" s="7"/>
      <c r="CK776" s="7"/>
      <c r="CL776" s="7"/>
      <c r="CM776" s="7"/>
      <c r="CN776" s="7"/>
      <c r="CO776" s="7"/>
      <c r="CP776" s="7"/>
      <c r="CR776" s="25"/>
      <c r="CS776" s="25"/>
      <c r="CT776" s="25"/>
      <c r="CU776" s="25"/>
      <c r="CV776" s="25"/>
      <c r="CW776" s="25"/>
      <c r="DP776" s="32"/>
      <c r="DQ776" s="32"/>
      <c r="DR776" s="32"/>
      <c r="DS776" s="32"/>
      <c r="DT776" s="32"/>
      <c r="DU776" s="32"/>
      <c r="DV776" s="32"/>
      <c r="DW776" s="32"/>
      <c r="DX776" s="32"/>
      <c r="DY776" s="32"/>
      <c r="DZ776" s="32"/>
      <c r="EA776" s="32"/>
      <c r="EB776" s="50"/>
      <c r="EC776" s="16">
        <v>1103085</v>
      </c>
      <c r="ED776" s="16" t="s">
        <v>312</v>
      </c>
      <c r="EE776" s="16">
        <v>2</v>
      </c>
    </row>
    <row r="777" spans="15:135" ht="13.5" customHeight="1">
      <c r="O777" s="25"/>
      <c r="AI777" s="28"/>
      <c r="AJ777" s="28"/>
      <c r="AK777" s="28"/>
      <c r="AL777" s="28"/>
      <c r="AM777" s="28"/>
      <c r="AN777" s="28"/>
      <c r="BR777" s="7">
        <v>5101065</v>
      </c>
      <c r="BS777" s="9">
        <f>[1]monsters!$N777</f>
        <v>204.8</v>
      </c>
      <c r="BT777" s="9">
        <f>[1]monsters!$O777</f>
        <v>20.48</v>
      </c>
      <c r="BU777" s="9">
        <f>[1]monsters!$P777</f>
        <v>2304</v>
      </c>
      <c r="BV777" s="9">
        <f>[1]monsters!$Q777</f>
        <v>230.4</v>
      </c>
      <c r="BW777" s="9">
        <f>[1]monsters!$R777</f>
        <v>68.27</v>
      </c>
      <c r="BX777" s="9">
        <f>[1]monsters!$S777</f>
        <v>6.83</v>
      </c>
      <c r="BY777" s="9">
        <f>[1]monsters!$K777</f>
        <v>1.6</v>
      </c>
      <c r="BZ777" s="7">
        <f>[1]monsters!$D777</f>
        <v>2</v>
      </c>
      <c r="CA777" s="7">
        <f t="shared" si="227"/>
        <v>0.1</v>
      </c>
      <c r="CB777" s="7">
        <f t="shared" si="228"/>
        <v>271.11175757575757</v>
      </c>
      <c r="CC777" s="7">
        <f t="shared" si="229"/>
        <v>27.111175757575758</v>
      </c>
      <c r="CD777" s="7"/>
      <c r="CE777" s="7"/>
      <c r="CF777" s="7"/>
      <c r="CG777" s="7"/>
      <c r="CH777" s="7"/>
      <c r="CI777" s="7"/>
      <c r="CJ777" s="7"/>
      <c r="CK777" s="7"/>
      <c r="CL777" s="7"/>
      <c r="CM777" s="7"/>
      <c r="CN777" s="7"/>
      <c r="CO777" s="7"/>
      <c r="CP777" s="7"/>
      <c r="CR777" s="25"/>
      <c r="CS777" s="25"/>
      <c r="CT777" s="25"/>
      <c r="CU777" s="25"/>
      <c r="CV777" s="25"/>
      <c r="CW777" s="25"/>
      <c r="DP777" s="32"/>
      <c r="DQ777" s="32"/>
      <c r="DR777" s="32"/>
      <c r="DS777" s="32"/>
      <c r="DT777" s="32"/>
      <c r="DU777" s="32"/>
      <c r="DV777" s="32"/>
      <c r="DW777" s="32"/>
      <c r="DX777" s="32"/>
      <c r="DY777" s="32"/>
      <c r="DZ777" s="32"/>
      <c r="EA777" s="32"/>
      <c r="EB777" s="50"/>
      <c r="EC777" s="16">
        <v>1103091</v>
      </c>
      <c r="ED777" s="16" t="s">
        <v>308</v>
      </c>
      <c r="EE777" s="16">
        <v>2</v>
      </c>
    </row>
    <row r="778" spans="15:135" ht="13.5" customHeight="1">
      <c r="O778" s="25"/>
      <c r="AI778" s="28"/>
      <c r="AJ778" s="28"/>
      <c r="AK778" s="28"/>
      <c r="AL778" s="28"/>
      <c r="AM778" s="28"/>
      <c r="AN778" s="28"/>
      <c r="BR778" s="7">
        <v>5102065</v>
      </c>
      <c r="BS778" s="9">
        <f>[1]monsters!$N778</f>
        <v>204.8</v>
      </c>
      <c r="BT778" s="9">
        <f>[1]monsters!$O778</f>
        <v>20.48</v>
      </c>
      <c r="BU778" s="9">
        <f>[1]monsters!$P778</f>
        <v>2304</v>
      </c>
      <c r="BV778" s="9">
        <f>[1]monsters!$Q778</f>
        <v>230.4</v>
      </c>
      <c r="BW778" s="9">
        <f>[1]monsters!$R778</f>
        <v>68.27</v>
      </c>
      <c r="BX778" s="9">
        <f>[1]monsters!$S778</f>
        <v>6.83</v>
      </c>
      <c r="BY778" s="9">
        <f>[1]monsters!$K778</f>
        <v>1.6</v>
      </c>
      <c r="BZ778" s="7">
        <f>[1]monsters!$D778</f>
        <v>2</v>
      </c>
      <c r="CA778" s="7">
        <f t="shared" si="227"/>
        <v>0.1</v>
      </c>
      <c r="CB778" s="7">
        <f t="shared" si="228"/>
        <v>271.11175757575757</v>
      </c>
      <c r="CC778" s="7">
        <f t="shared" si="229"/>
        <v>27.111175757575758</v>
      </c>
      <c r="CD778" s="7"/>
      <c r="CE778" s="7"/>
      <c r="CF778" s="7"/>
      <c r="CG778" s="7"/>
      <c r="CH778" s="7"/>
      <c r="CI778" s="7"/>
      <c r="CJ778" s="7"/>
      <c r="CK778" s="7"/>
      <c r="CL778" s="7"/>
      <c r="CM778" s="7"/>
      <c r="CN778" s="7"/>
      <c r="CO778" s="7"/>
      <c r="CP778" s="7"/>
      <c r="CR778" s="25"/>
      <c r="CS778" s="25"/>
      <c r="CT778" s="25"/>
      <c r="CU778" s="25"/>
      <c r="CV778" s="25"/>
      <c r="CW778" s="25"/>
      <c r="DP778" s="32"/>
      <c r="DQ778" s="32"/>
      <c r="DR778" s="32"/>
      <c r="DS778" s="32"/>
      <c r="DT778" s="32"/>
      <c r="DU778" s="32"/>
      <c r="DV778" s="32"/>
      <c r="DW778" s="32"/>
      <c r="DX778" s="32"/>
      <c r="DY778" s="32"/>
      <c r="DZ778" s="32"/>
      <c r="EA778" s="32"/>
      <c r="EB778" s="50"/>
      <c r="EC778" s="16">
        <v>1103092</v>
      </c>
      <c r="ED778" s="16" t="s">
        <v>309</v>
      </c>
      <c r="EE778" s="16">
        <v>2</v>
      </c>
    </row>
    <row r="779" spans="15:135" ht="13.5" customHeight="1">
      <c r="O779" s="25"/>
      <c r="AI779" s="28"/>
      <c r="AJ779" s="28"/>
      <c r="AK779" s="28"/>
      <c r="AL779" s="28"/>
      <c r="AM779" s="28"/>
      <c r="AN779" s="28"/>
      <c r="BR779" s="7">
        <v>5206071</v>
      </c>
      <c r="BS779" s="9">
        <f>[1]monsters!$N779</f>
        <v>204.8</v>
      </c>
      <c r="BT779" s="9">
        <f>[1]monsters!$O779</f>
        <v>20.48</v>
      </c>
      <c r="BU779" s="9">
        <f>[1]monsters!$P779</f>
        <v>2304</v>
      </c>
      <c r="BV779" s="9">
        <f>[1]monsters!$Q779</f>
        <v>230.4</v>
      </c>
      <c r="BW779" s="9">
        <f>[1]monsters!$R779</f>
        <v>68.27</v>
      </c>
      <c r="BX779" s="9">
        <f>[1]monsters!$S779</f>
        <v>6.83</v>
      </c>
      <c r="BY779" s="9">
        <f>[1]monsters!$K779</f>
        <v>1.6</v>
      </c>
      <c r="BZ779" s="7">
        <f>[1]monsters!$D779</f>
        <v>2</v>
      </c>
      <c r="CA779" s="7">
        <f t="shared" si="227"/>
        <v>0.1</v>
      </c>
      <c r="CB779" s="7">
        <f t="shared" si="228"/>
        <v>271.11175757575757</v>
      </c>
      <c r="CC779" s="7">
        <f t="shared" si="229"/>
        <v>27.111175757575758</v>
      </c>
      <c r="CD779" s="7"/>
      <c r="CE779" s="7"/>
      <c r="CF779" s="7"/>
      <c r="CG779" s="7"/>
      <c r="CH779" s="7"/>
      <c r="CI779" s="7"/>
      <c r="CJ779" s="7"/>
      <c r="CK779" s="7"/>
      <c r="CL779" s="7"/>
      <c r="CM779" s="7"/>
      <c r="CN779" s="7"/>
      <c r="CO779" s="7"/>
      <c r="CP779" s="7"/>
      <c r="CR779" s="25"/>
      <c r="CS779" s="25"/>
      <c r="CT779" s="25"/>
      <c r="CU779" s="25"/>
      <c r="CV779" s="25"/>
      <c r="CW779" s="25"/>
      <c r="DP779" s="32"/>
      <c r="DQ779" s="32"/>
      <c r="DR779" s="32"/>
      <c r="DS779" s="32"/>
      <c r="DT779" s="32"/>
      <c r="DU779" s="32"/>
      <c r="DV779" s="32"/>
      <c r="DW779" s="32"/>
      <c r="DX779" s="32"/>
      <c r="DY779" s="32"/>
      <c r="DZ779" s="32"/>
      <c r="EA779" s="32"/>
      <c r="EB779" s="47"/>
      <c r="EC779" s="16">
        <v>1103093</v>
      </c>
      <c r="ED779" s="16" t="s">
        <v>310</v>
      </c>
      <c r="EE779" s="16">
        <v>2</v>
      </c>
    </row>
    <row r="780" spans="15:135" ht="13.5" customHeight="1">
      <c r="O780" s="25"/>
      <c r="AI780" s="28"/>
      <c r="AJ780" s="28"/>
      <c r="AK780" s="28"/>
      <c r="AL780" s="28"/>
      <c r="AM780" s="28"/>
      <c r="AN780" s="28"/>
      <c r="BR780" s="7">
        <v>5406071</v>
      </c>
      <c r="BS780" s="9">
        <f>[1]monsters!$N780</f>
        <v>204.8</v>
      </c>
      <c r="BT780" s="9">
        <f>[1]monsters!$O780</f>
        <v>20.48</v>
      </c>
      <c r="BU780" s="9">
        <f>[1]monsters!$P780</f>
        <v>2304</v>
      </c>
      <c r="BV780" s="9">
        <f>[1]monsters!$Q780</f>
        <v>230.4</v>
      </c>
      <c r="BW780" s="9">
        <f>[1]monsters!$R780</f>
        <v>68.27</v>
      </c>
      <c r="BX780" s="9">
        <f>[1]monsters!$S780</f>
        <v>6.83</v>
      </c>
      <c r="BY780" s="9">
        <f>[1]monsters!$K780</f>
        <v>1.6</v>
      </c>
      <c r="BZ780" s="7">
        <f>[1]monsters!$D780</f>
        <v>2</v>
      </c>
      <c r="CA780" s="7">
        <f t="shared" si="227"/>
        <v>0.1</v>
      </c>
      <c r="CB780" s="7">
        <f t="shared" si="228"/>
        <v>271.11175757575757</v>
      </c>
      <c r="CC780" s="7">
        <f t="shared" si="229"/>
        <v>27.111175757575758</v>
      </c>
      <c r="CD780" s="7"/>
      <c r="CE780" s="7"/>
      <c r="CF780" s="7"/>
      <c r="CG780" s="7"/>
      <c r="CH780" s="7"/>
      <c r="CI780" s="7"/>
      <c r="CJ780" s="7"/>
      <c r="CK780" s="7"/>
      <c r="CL780" s="7"/>
      <c r="CM780" s="7"/>
      <c r="CN780" s="7"/>
      <c r="CO780" s="7"/>
      <c r="CP780" s="7"/>
      <c r="CR780" s="25"/>
      <c r="CS780" s="25"/>
      <c r="CT780" s="25"/>
      <c r="CU780" s="25"/>
      <c r="CV780" s="25"/>
      <c r="CW780" s="25"/>
      <c r="DP780" s="32"/>
      <c r="DQ780" s="32"/>
      <c r="DR780" s="32"/>
      <c r="DS780" s="32"/>
      <c r="DT780" s="32"/>
      <c r="DU780" s="32"/>
      <c r="DV780" s="32"/>
      <c r="DW780" s="32"/>
      <c r="DX780" s="32"/>
      <c r="DY780" s="32"/>
      <c r="DZ780" s="32"/>
      <c r="EA780" s="32"/>
      <c r="EB780" s="47"/>
      <c r="EC780" s="16">
        <v>1103094</v>
      </c>
      <c r="ED780" s="16" t="s">
        <v>311</v>
      </c>
      <c r="EE780" s="16">
        <v>2</v>
      </c>
    </row>
    <row r="781" spans="15:135" ht="13.5" customHeight="1">
      <c r="O781" s="25"/>
      <c r="AI781" s="28"/>
      <c r="AJ781" s="28"/>
      <c r="AK781" s="28"/>
      <c r="AL781" s="28"/>
      <c r="AM781" s="28"/>
      <c r="AN781" s="28"/>
      <c r="BR781" s="7">
        <v>5205071</v>
      </c>
      <c r="BS781" s="9">
        <f>[1]monsters!$N781</f>
        <v>204.8</v>
      </c>
      <c r="BT781" s="9">
        <f>[1]monsters!$O781</f>
        <v>20.48</v>
      </c>
      <c r="BU781" s="9">
        <f>[1]monsters!$P781</f>
        <v>2304</v>
      </c>
      <c r="BV781" s="9">
        <f>[1]monsters!$Q781</f>
        <v>230.4</v>
      </c>
      <c r="BW781" s="9">
        <f>[1]monsters!$R781</f>
        <v>68.27</v>
      </c>
      <c r="BX781" s="9">
        <f>[1]monsters!$S781</f>
        <v>6.83</v>
      </c>
      <c r="BY781" s="9">
        <f>[1]monsters!$K781</f>
        <v>1.6</v>
      </c>
      <c r="BZ781" s="7">
        <f>[1]monsters!$D781</f>
        <v>2</v>
      </c>
      <c r="CA781" s="7">
        <f t="shared" si="227"/>
        <v>0.1</v>
      </c>
      <c r="CB781" s="7">
        <f t="shared" si="228"/>
        <v>271.11175757575757</v>
      </c>
      <c r="CC781" s="7">
        <f t="shared" si="229"/>
        <v>27.111175757575758</v>
      </c>
      <c r="CD781" s="7"/>
      <c r="CE781" s="7"/>
      <c r="CF781" s="7"/>
      <c r="CG781" s="7"/>
      <c r="CH781" s="7"/>
      <c r="CI781" s="7"/>
      <c r="CJ781" s="7"/>
      <c r="CK781" s="7"/>
      <c r="CL781" s="7"/>
      <c r="CM781" s="7"/>
      <c r="CN781" s="7"/>
      <c r="CO781" s="7"/>
      <c r="CP781" s="7"/>
      <c r="CR781" s="25"/>
      <c r="CS781" s="25"/>
      <c r="CT781" s="25"/>
      <c r="CU781" s="25"/>
      <c r="CV781" s="25"/>
      <c r="CW781" s="25"/>
      <c r="DP781" s="32"/>
      <c r="DQ781" s="32"/>
      <c r="DR781" s="32"/>
      <c r="DS781" s="32"/>
      <c r="DT781" s="32"/>
      <c r="DU781" s="32"/>
      <c r="DV781" s="32"/>
      <c r="DW781" s="32"/>
      <c r="DX781" s="32"/>
      <c r="DY781" s="32"/>
      <c r="DZ781" s="32"/>
      <c r="EA781" s="32"/>
      <c r="EB781" s="47"/>
      <c r="EC781" s="16">
        <v>1103095</v>
      </c>
      <c r="ED781" s="16" t="s">
        <v>312</v>
      </c>
      <c r="EE781" s="16">
        <v>2</v>
      </c>
    </row>
    <row r="782" spans="15:135" ht="13.5" customHeight="1">
      <c r="O782" s="25"/>
      <c r="AI782" s="28"/>
      <c r="AJ782" s="28"/>
      <c r="AK782" s="28"/>
      <c r="AL782" s="28"/>
      <c r="AM782" s="28"/>
      <c r="AN782" s="28"/>
      <c r="BR782" s="7">
        <v>5405071</v>
      </c>
      <c r="BS782" s="9">
        <f>[1]monsters!$N782</f>
        <v>221.87</v>
      </c>
      <c r="BT782" s="9">
        <f>[1]monsters!$O782</f>
        <v>22.19</v>
      </c>
      <c r="BU782" s="9">
        <f>[1]monsters!$P782</f>
        <v>2496</v>
      </c>
      <c r="BV782" s="9">
        <f>[1]monsters!$Q782</f>
        <v>249.6</v>
      </c>
      <c r="BW782" s="9">
        <f>[1]monsters!$R782</f>
        <v>73.959999999999994</v>
      </c>
      <c r="BX782" s="9">
        <f>[1]monsters!$S782</f>
        <v>7.4</v>
      </c>
      <c r="BY782" s="9">
        <f>[1]monsters!$K782</f>
        <v>1.6</v>
      </c>
      <c r="BZ782" s="7">
        <f>[1]monsters!$D782</f>
        <v>2</v>
      </c>
      <c r="CA782" s="7">
        <f t="shared" si="227"/>
        <v>0.1</v>
      </c>
      <c r="CB782" s="7">
        <f t="shared" si="228"/>
        <v>293.70755404040403</v>
      </c>
      <c r="CC782" s="7">
        <f t="shared" si="229"/>
        <v>29.370755404040406</v>
      </c>
      <c r="CD782" s="7"/>
      <c r="CE782" s="7"/>
      <c r="CF782" s="7"/>
      <c r="CG782" s="7"/>
      <c r="CH782" s="7"/>
      <c r="CI782" s="7"/>
      <c r="CJ782" s="7"/>
      <c r="CK782" s="7"/>
      <c r="CL782" s="7"/>
      <c r="CM782" s="7"/>
      <c r="CN782" s="7"/>
      <c r="CO782" s="7"/>
      <c r="CP782" s="7"/>
      <c r="CR782" s="25"/>
      <c r="CS782" s="25"/>
      <c r="CT782" s="25"/>
      <c r="CU782" s="25"/>
      <c r="CV782" s="25"/>
      <c r="CW782" s="25"/>
      <c r="DP782" s="32"/>
      <c r="DQ782" s="32"/>
      <c r="DR782" s="32"/>
      <c r="DS782" s="32"/>
      <c r="DT782" s="32"/>
      <c r="DU782" s="32"/>
      <c r="DV782" s="32"/>
      <c r="DW782" s="32"/>
      <c r="DX782" s="32"/>
      <c r="DY782" s="32"/>
      <c r="DZ782" s="32"/>
      <c r="EA782" s="32"/>
      <c r="EB782" s="48"/>
      <c r="EC782" s="16">
        <v>1103101</v>
      </c>
      <c r="ED782" s="16" t="s">
        <v>308</v>
      </c>
      <c r="EE782" s="16">
        <v>2</v>
      </c>
    </row>
    <row r="783" spans="15:135" ht="13.5" customHeight="1">
      <c r="O783" s="25"/>
      <c r="AI783" s="28"/>
      <c r="AJ783" s="28"/>
      <c r="AK783" s="28"/>
      <c r="AL783" s="28"/>
      <c r="AM783" s="28"/>
      <c r="AN783" s="28"/>
      <c r="BR783" s="7">
        <v>5203071</v>
      </c>
      <c r="BS783" s="9">
        <f>[1]monsters!$N783</f>
        <v>221.87</v>
      </c>
      <c r="BT783" s="9">
        <f>[1]monsters!$O783</f>
        <v>22.19</v>
      </c>
      <c r="BU783" s="9">
        <f>[1]monsters!$P783</f>
        <v>2496</v>
      </c>
      <c r="BV783" s="9">
        <f>[1]monsters!$Q783</f>
        <v>249.6</v>
      </c>
      <c r="BW783" s="9">
        <f>[1]monsters!$R783</f>
        <v>73.959999999999994</v>
      </c>
      <c r="BX783" s="9">
        <f>[1]monsters!$S783</f>
        <v>7.4</v>
      </c>
      <c r="BY783" s="9">
        <f>[1]monsters!$K783</f>
        <v>1.6</v>
      </c>
      <c r="BZ783" s="7">
        <f>[1]monsters!$D783</f>
        <v>2</v>
      </c>
      <c r="CA783" s="7">
        <f t="shared" si="227"/>
        <v>0.1</v>
      </c>
      <c r="CB783" s="7">
        <f t="shared" si="228"/>
        <v>293.70755404040403</v>
      </c>
      <c r="CC783" s="7">
        <f t="shared" si="229"/>
        <v>29.370755404040406</v>
      </c>
      <c r="CD783" s="7"/>
      <c r="CE783" s="7"/>
      <c r="CF783" s="7"/>
      <c r="CG783" s="7"/>
      <c r="CH783" s="7"/>
      <c r="CI783" s="7"/>
      <c r="CJ783" s="7"/>
      <c r="CK783" s="7"/>
      <c r="CL783" s="7"/>
      <c r="CM783" s="7"/>
      <c r="CN783" s="7"/>
      <c r="CO783" s="7"/>
      <c r="CP783" s="7"/>
      <c r="CR783" s="25"/>
      <c r="CS783" s="25"/>
      <c r="CT783" s="25"/>
      <c r="CU783" s="25"/>
      <c r="CV783" s="25"/>
      <c r="CW783" s="25"/>
      <c r="DP783" s="32"/>
      <c r="DQ783" s="32"/>
      <c r="DR783" s="32"/>
      <c r="DS783" s="32"/>
      <c r="DT783" s="32"/>
      <c r="DU783" s="32"/>
      <c r="DV783" s="32"/>
      <c r="DW783" s="32"/>
      <c r="DX783" s="32"/>
      <c r="DY783" s="32"/>
      <c r="DZ783" s="32"/>
      <c r="EA783" s="32"/>
      <c r="EB783" s="47"/>
      <c r="EC783" s="16">
        <v>1103102</v>
      </c>
      <c r="ED783" s="16" t="s">
        <v>309</v>
      </c>
      <c r="EE783" s="16">
        <v>2</v>
      </c>
    </row>
    <row r="784" spans="15:135" ht="13.5" customHeight="1">
      <c r="O784" s="25"/>
      <c r="AI784" s="28"/>
      <c r="AJ784" s="28"/>
      <c r="AK784" s="28"/>
      <c r="AL784" s="28"/>
      <c r="AM784" s="28"/>
      <c r="AN784" s="28"/>
      <c r="BR784" s="7">
        <v>5403071</v>
      </c>
      <c r="BS784" s="9">
        <f>[1]monsters!$N784</f>
        <v>221.87</v>
      </c>
      <c r="BT784" s="9">
        <f>[1]monsters!$O784</f>
        <v>22.19</v>
      </c>
      <c r="BU784" s="9">
        <f>[1]monsters!$P784</f>
        <v>2496</v>
      </c>
      <c r="BV784" s="9">
        <f>[1]monsters!$Q784</f>
        <v>249.6</v>
      </c>
      <c r="BW784" s="9">
        <f>[1]monsters!$R784</f>
        <v>73.959999999999994</v>
      </c>
      <c r="BX784" s="9">
        <f>[1]monsters!$S784</f>
        <v>7.4</v>
      </c>
      <c r="BY784" s="9">
        <f>[1]monsters!$K784</f>
        <v>1.6</v>
      </c>
      <c r="BZ784" s="7">
        <f>[1]monsters!$D784</f>
        <v>2</v>
      </c>
      <c r="CA784" s="7">
        <f t="shared" si="227"/>
        <v>0.1</v>
      </c>
      <c r="CB784" s="7">
        <f t="shared" si="228"/>
        <v>293.70755404040403</v>
      </c>
      <c r="CC784" s="7">
        <f t="shared" si="229"/>
        <v>29.370755404040406</v>
      </c>
      <c r="CD784" s="7"/>
      <c r="CE784" s="7"/>
      <c r="CF784" s="7"/>
      <c r="CG784" s="7"/>
      <c r="CH784" s="7"/>
      <c r="CI784" s="7"/>
      <c r="CJ784" s="7"/>
      <c r="CK784" s="7"/>
      <c r="CL784" s="7"/>
      <c r="CM784" s="7"/>
      <c r="CN784" s="7"/>
      <c r="CO784" s="7"/>
      <c r="CP784" s="7"/>
      <c r="CR784" s="25"/>
      <c r="CS784" s="25"/>
      <c r="CT784" s="25"/>
      <c r="CU784" s="25"/>
      <c r="CV784" s="25"/>
      <c r="CW784" s="25"/>
      <c r="DP784" s="25"/>
      <c r="DQ784" s="25"/>
      <c r="DR784" s="25"/>
      <c r="DS784" s="25"/>
      <c r="DT784" s="25"/>
      <c r="DU784" s="25"/>
      <c r="DV784" s="32"/>
      <c r="DW784" s="32"/>
      <c r="DX784" s="32"/>
      <c r="DY784" s="32"/>
      <c r="DZ784" s="32"/>
      <c r="EA784" s="32"/>
      <c r="EB784" s="47"/>
      <c r="EC784" s="16">
        <v>1103103</v>
      </c>
      <c r="ED784" s="16" t="s">
        <v>310</v>
      </c>
      <c r="EE784" s="16">
        <v>2</v>
      </c>
    </row>
    <row r="785" spans="15:135" ht="13.5" customHeight="1">
      <c r="O785" s="25"/>
      <c r="AI785" s="28"/>
      <c r="AJ785" s="28"/>
      <c r="AK785" s="28"/>
      <c r="AL785" s="28"/>
      <c r="AM785" s="28"/>
      <c r="AN785" s="28"/>
      <c r="BR785" s="7">
        <v>5204071</v>
      </c>
      <c r="BS785" s="9">
        <f>[1]monsters!$N785</f>
        <v>221.87</v>
      </c>
      <c r="BT785" s="9">
        <f>[1]monsters!$O785</f>
        <v>22.19</v>
      </c>
      <c r="BU785" s="9">
        <f>[1]monsters!$P785</f>
        <v>2496</v>
      </c>
      <c r="BV785" s="9">
        <f>[1]monsters!$Q785</f>
        <v>249.6</v>
      </c>
      <c r="BW785" s="9">
        <f>[1]monsters!$R785</f>
        <v>73.959999999999994</v>
      </c>
      <c r="BX785" s="9">
        <f>[1]monsters!$S785</f>
        <v>7.4</v>
      </c>
      <c r="BY785" s="9">
        <f>[1]monsters!$K785</f>
        <v>1.6</v>
      </c>
      <c r="BZ785" s="7">
        <f>[1]monsters!$D785</f>
        <v>2</v>
      </c>
      <c r="CA785" s="7">
        <f t="shared" si="227"/>
        <v>0.1</v>
      </c>
      <c r="CB785" s="7">
        <f t="shared" si="228"/>
        <v>293.70755404040403</v>
      </c>
      <c r="CC785" s="7">
        <f t="shared" si="229"/>
        <v>29.370755404040406</v>
      </c>
      <c r="CD785" s="7"/>
      <c r="CE785" s="7"/>
      <c r="CF785" s="7"/>
      <c r="CG785" s="7"/>
      <c r="CH785" s="7"/>
      <c r="CI785" s="7"/>
      <c r="CJ785" s="7"/>
      <c r="CK785" s="7"/>
      <c r="CL785" s="7"/>
      <c r="CM785" s="7"/>
      <c r="CN785" s="7"/>
      <c r="CO785" s="7"/>
      <c r="CP785" s="7"/>
      <c r="CR785" s="25"/>
      <c r="CS785" s="25"/>
      <c r="CT785" s="25"/>
      <c r="CU785" s="25"/>
      <c r="CV785" s="25"/>
      <c r="CW785" s="25"/>
      <c r="DP785" s="25"/>
      <c r="DQ785" s="25"/>
      <c r="DR785" s="25"/>
      <c r="DS785" s="32"/>
      <c r="DT785" s="32"/>
      <c r="DU785" s="32"/>
      <c r="DV785" s="32"/>
      <c r="DW785" s="32"/>
      <c r="DX785" s="32"/>
      <c r="DY785" s="32"/>
      <c r="DZ785" s="32"/>
      <c r="EA785" s="32"/>
      <c r="EB785" s="47"/>
      <c r="EC785" s="16">
        <v>1103104</v>
      </c>
      <c r="ED785" s="16" t="s">
        <v>311</v>
      </c>
      <c r="EE785" s="16">
        <v>2</v>
      </c>
    </row>
    <row r="786" spans="15:135" ht="13.5" customHeight="1">
      <c r="O786" s="25"/>
      <c r="AI786" s="28"/>
      <c r="AJ786" s="28"/>
      <c r="AK786" s="28"/>
      <c r="AL786" s="28"/>
      <c r="AM786" s="28"/>
      <c r="AN786" s="28"/>
      <c r="BR786" s="7">
        <v>5404071</v>
      </c>
      <c r="BS786" s="9">
        <f>[1]monsters!$N786</f>
        <v>221.87</v>
      </c>
      <c r="BT786" s="9">
        <f>[1]monsters!$O786</f>
        <v>22.19</v>
      </c>
      <c r="BU786" s="9">
        <f>[1]monsters!$P786</f>
        <v>2496</v>
      </c>
      <c r="BV786" s="9">
        <f>[1]monsters!$Q786</f>
        <v>249.6</v>
      </c>
      <c r="BW786" s="9">
        <f>[1]monsters!$R786</f>
        <v>73.959999999999994</v>
      </c>
      <c r="BX786" s="9">
        <f>[1]monsters!$S786</f>
        <v>7.4</v>
      </c>
      <c r="BY786" s="9">
        <f>[1]monsters!$K786</f>
        <v>1.6</v>
      </c>
      <c r="BZ786" s="7">
        <f>[1]monsters!$D786</f>
        <v>2</v>
      </c>
      <c r="CA786" s="7">
        <f t="shared" si="227"/>
        <v>0.1</v>
      </c>
      <c r="CB786" s="7">
        <f t="shared" si="228"/>
        <v>293.70755404040403</v>
      </c>
      <c r="CC786" s="7">
        <f t="shared" si="229"/>
        <v>29.370755404040406</v>
      </c>
      <c r="CD786" s="7"/>
      <c r="CE786" s="7"/>
      <c r="CF786" s="7"/>
      <c r="CG786" s="7"/>
      <c r="CH786" s="7"/>
      <c r="CI786" s="7"/>
      <c r="CJ786" s="7"/>
      <c r="CK786" s="7"/>
      <c r="CL786" s="7"/>
      <c r="CM786" s="7"/>
      <c r="CN786" s="7"/>
      <c r="CO786" s="7"/>
      <c r="CP786" s="7"/>
      <c r="CR786" s="25"/>
      <c r="CS786" s="25"/>
      <c r="CT786" s="25"/>
      <c r="CU786" s="25"/>
      <c r="CV786" s="25"/>
      <c r="CW786" s="25"/>
      <c r="DP786" s="25"/>
      <c r="DQ786" s="25"/>
      <c r="DR786" s="25"/>
      <c r="DS786" s="25"/>
      <c r="DT786" s="25"/>
      <c r="DU786" s="25"/>
      <c r="DV786" s="32"/>
      <c r="DW786" s="32"/>
      <c r="DX786" s="32"/>
      <c r="DY786" s="32"/>
      <c r="DZ786" s="32"/>
      <c r="EA786" s="32"/>
      <c r="EB786" s="48"/>
      <c r="EC786" s="16">
        <v>1103105</v>
      </c>
      <c r="ED786" s="16" t="s">
        <v>312</v>
      </c>
      <c r="EE786" s="16">
        <v>2</v>
      </c>
    </row>
    <row r="787" spans="15:135" ht="13.5" customHeight="1">
      <c r="O787" s="25"/>
      <c r="AI787" s="28"/>
      <c r="AJ787" s="28"/>
      <c r="AK787" s="28"/>
      <c r="AL787" s="28"/>
      <c r="AM787" s="28"/>
      <c r="AN787" s="28"/>
      <c r="BR787" s="7">
        <v>5303071</v>
      </c>
      <c r="BS787" s="9">
        <f>[1]monsters!$N787</f>
        <v>238.93</v>
      </c>
      <c r="BT787" s="9">
        <f>[1]monsters!$O787</f>
        <v>23.89</v>
      </c>
      <c r="BU787" s="9">
        <f>[1]monsters!$P787</f>
        <v>2688</v>
      </c>
      <c r="BV787" s="9">
        <f>[1]monsters!$Q787</f>
        <v>268.8</v>
      </c>
      <c r="BW787" s="9">
        <f>[1]monsters!$R787</f>
        <v>79.64</v>
      </c>
      <c r="BX787" s="9">
        <f>[1]monsters!$S787</f>
        <v>7.96</v>
      </c>
      <c r="BY787" s="9">
        <f>[1]monsters!$K787</f>
        <v>1.6</v>
      </c>
      <c r="BZ787" s="7">
        <f>[1]monsters!$D787</f>
        <v>2</v>
      </c>
      <c r="CA787" s="7">
        <f t="shared" si="227"/>
        <v>0.1</v>
      </c>
      <c r="CB787" s="7">
        <f t="shared" si="228"/>
        <v>316.29390050505054</v>
      </c>
      <c r="CC787" s="7">
        <f t="shared" si="229"/>
        <v>31.629390050505055</v>
      </c>
      <c r="CD787" s="7"/>
      <c r="CE787" s="7"/>
      <c r="CF787" s="7"/>
      <c r="CG787" s="7"/>
      <c r="CH787" s="7"/>
      <c r="CI787" s="7"/>
      <c r="CJ787" s="7"/>
      <c r="CK787" s="7"/>
      <c r="CL787" s="7"/>
      <c r="CM787" s="7"/>
      <c r="CN787" s="7"/>
      <c r="CO787" s="7"/>
      <c r="CP787" s="7"/>
      <c r="CR787" s="25"/>
      <c r="CS787" s="25"/>
      <c r="CT787" s="25"/>
      <c r="CU787" s="25"/>
      <c r="CV787" s="25"/>
      <c r="CW787" s="25"/>
      <c r="DP787" s="25"/>
      <c r="DQ787" s="25"/>
      <c r="DR787" s="25"/>
      <c r="DS787" s="25"/>
      <c r="DT787" s="25"/>
      <c r="DU787" s="25"/>
      <c r="DV787" s="32"/>
      <c r="DW787" s="32"/>
      <c r="DX787" s="32"/>
      <c r="DY787" s="32"/>
      <c r="DZ787" s="32"/>
      <c r="EA787" s="32"/>
      <c r="EB787" s="47"/>
      <c r="EC787" s="16">
        <v>1103111</v>
      </c>
      <c r="ED787" s="16" t="s">
        <v>308</v>
      </c>
      <c r="EE787" s="16">
        <v>2</v>
      </c>
    </row>
    <row r="788" spans="15:135" ht="13.5" customHeight="1">
      <c r="O788" s="25"/>
      <c r="AI788" s="28"/>
      <c r="AJ788" s="28"/>
      <c r="AK788" s="28"/>
      <c r="AL788" s="28"/>
      <c r="AM788" s="28"/>
      <c r="AN788" s="28"/>
      <c r="BR788" s="7">
        <v>5304071</v>
      </c>
      <c r="BS788" s="9">
        <f>[1]monsters!$N788</f>
        <v>238.93</v>
      </c>
      <c r="BT788" s="9">
        <f>[1]monsters!$O788</f>
        <v>23.89</v>
      </c>
      <c r="BU788" s="9">
        <f>[1]monsters!$P788</f>
        <v>2688</v>
      </c>
      <c r="BV788" s="9">
        <f>[1]monsters!$Q788</f>
        <v>268.8</v>
      </c>
      <c r="BW788" s="9">
        <f>[1]monsters!$R788</f>
        <v>79.64</v>
      </c>
      <c r="BX788" s="9">
        <f>[1]monsters!$S788</f>
        <v>7.96</v>
      </c>
      <c r="BY788" s="9">
        <f>[1]monsters!$K788</f>
        <v>1.6</v>
      </c>
      <c r="BZ788" s="7">
        <f>[1]monsters!$D788</f>
        <v>2</v>
      </c>
      <c r="CA788" s="7">
        <f t="shared" si="227"/>
        <v>0.1</v>
      </c>
      <c r="CB788" s="7">
        <f t="shared" si="228"/>
        <v>316.29390050505054</v>
      </c>
      <c r="CC788" s="7">
        <f t="shared" si="229"/>
        <v>31.629390050505055</v>
      </c>
      <c r="CD788" s="7"/>
      <c r="CE788" s="7"/>
      <c r="CF788" s="7"/>
      <c r="CG788" s="7"/>
      <c r="CH788" s="7"/>
      <c r="CI788" s="7"/>
      <c r="CJ788" s="7"/>
      <c r="CK788" s="7"/>
      <c r="CL788" s="7"/>
      <c r="CM788" s="7"/>
      <c r="CN788" s="7"/>
      <c r="CO788" s="7"/>
      <c r="CP788" s="7"/>
      <c r="CR788" s="25"/>
      <c r="CS788" s="25"/>
      <c r="CT788" s="25"/>
      <c r="CU788" s="25"/>
      <c r="CV788" s="25"/>
      <c r="CW788" s="25"/>
      <c r="DP788" s="25"/>
      <c r="DQ788" s="25"/>
      <c r="DR788" s="25"/>
      <c r="DS788" s="25"/>
      <c r="DT788" s="25"/>
      <c r="DU788" s="25"/>
      <c r="DV788" s="32"/>
      <c r="DW788" s="32"/>
      <c r="DX788" s="32"/>
      <c r="DY788" s="32"/>
      <c r="DZ788" s="32"/>
      <c r="EA788" s="32"/>
      <c r="EB788" s="47"/>
      <c r="EC788" s="16">
        <v>1103112</v>
      </c>
      <c r="ED788" s="16" t="s">
        <v>309</v>
      </c>
      <c r="EE788" s="16">
        <v>2</v>
      </c>
    </row>
    <row r="789" spans="15:135" ht="13.5" customHeight="1">
      <c r="O789" s="25"/>
      <c r="AI789" s="28"/>
      <c r="AJ789" s="28"/>
      <c r="AK789" s="28"/>
      <c r="AL789" s="28"/>
      <c r="AM789" s="28"/>
      <c r="AN789" s="28"/>
      <c r="BR789" s="7">
        <v>5503071</v>
      </c>
      <c r="BS789" s="9">
        <f>[1]monsters!$N789</f>
        <v>238.93</v>
      </c>
      <c r="BT789" s="9">
        <f>[1]monsters!$O789</f>
        <v>23.89</v>
      </c>
      <c r="BU789" s="9">
        <f>[1]monsters!$P789</f>
        <v>2688</v>
      </c>
      <c r="BV789" s="9">
        <f>[1]monsters!$Q789</f>
        <v>268.8</v>
      </c>
      <c r="BW789" s="9">
        <f>[1]monsters!$R789</f>
        <v>79.64</v>
      </c>
      <c r="BX789" s="9">
        <f>[1]monsters!$S789</f>
        <v>7.96</v>
      </c>
      <c r="BY789" s="9">
        <f>[1]monsters!$K789</f>
        <v>1.6</v>
      </c>
      <c r="BZ789" s="7">
        <f>[1]monsters!$D789</f>
        <v>2</v>
      </c>
      <c r="CA789" s="7">
        <f t="shared" si="227"/>
        <v>0.1</v>
      </c>
      <c r="CB789" s="7">
        <f t="shared" si="228"/>
        <v>316.29390050505054</v>
      </c>
      <c r="CC789" s="7">
        <f t="shared" si="229"/>
        <v>31.629390050505055</v>
      </c>
      <c r="CD789" s="7"/>
      <c r="CE789" s="7"/>
      <c r="CF789" s="7"/>
      <c r="CG789" s="7"/>
      <c r="CH789" s="7"/>
      <c r="CI789" s="7"/>
      <c r="CJ789" s="7"/>
      <c r="CK789" s="7"/>
      <c r="CL789" s="7"/>
      <c r="CM789" s="7"/>
      <c r="CN789" s="7"/>
      <c r="CO789" s="7"/>
      <c r="CP789" s="7"/>
      <c r="CR789" s="25"/>
      <c r="CS789" s="25"/>
      <c r="CT789" s="25"/>
      <c r="CU789" s="25"/>
      <c r="CV789" s="25"/>
      <c r="CW789" s="25"/>
      <c r="DP789" s="32"/>
      <c r="DQ789" s="32"/>
      <c r="DR789" s="32"/>
      <c r="DS789" s="32"/>
      <c r="DT789" s="32"/>
      <c r="DU789" s="32"/>
      <c r="DV789" s="32"/>
      <c r="DW789" s="32"/>
      <c r="DX789" s="32"/>
      <c r="DY789" s="32"/>
      <c r="DZ789" s="32"/>
      <c r="EA789" s="32"/>
      <c r="EB789" s="48"/>
      <c r="EC789" s="16">
        <v>1103113</v>
      </c>
      <c r="ED789" s="16" t="s">
        <v>310</v>
      </c>
      <c r="EE789" s="16">
        <v>2</v>
      </c>
    </row>
    <row r="790" spans="15:135" ht="13.5" customHeight="1">
      <c r="O790" s="25"/>
      <c r="AI790" s="28"/>
      <c r="AJ790" s="28"/>
      <c r="AK790" s="28"/>
      <c r="AL790" s="28"/>
      <c r="AM790" s="28"/>
      <c r="AN790" s="28"/>
      <c r="BR790" s="7">
        <v>5504071</v>
      </c>
      <c r="BS790" s="9">
        <f>[1]monsters!$N790</f>
        <v>238.93</v>
      </c>
      <c r="BT790" s="9">
        <f>[1]monsters!$O790</f>
        <v>23.89</v>
      </c>
      <c r="BU790" s="9">
        <f>[1]monsters!$P790</f>
        <v>2688</v>
      </c>
      <c r="BV790" s="9">
        <f>[1]monsters!$Q790</f>
        <v>268.8</v>
      </c>
      <c r="BW790" s="9">
        <f>[1]monsters!$R790</f>
        <v>79.64</v>
      </c>
      <c r="BX790" s="9">
        <f>[1]monsters!$S790</f>
        <v>7.96</v>
      </c>
      <c r="BY790" s="9">
        <f>[1]monsters!$K790</f>
        <v>1.6</v>
      </c>
      <c r="BZ790" s="7">
        <f>[1]monsters!$D790</f>
        <v>2</v>
      </c>
      <c r="CA790" s="7">
        <f t="shared" si="227"/>
        <v>0.1</v>
      </c>
      <c r="CB790" s="7">
        <f t="shared" si="228"/>
        <v>316.29390050505054</v>
      </c>
      <c r="CC790" s="7">
        <f t="shared" si="229"/>
        <v>31.629390050505055</v>
      </c>
      <c r="CD790" s="7"/>
      <c r="CE790" s="7"/>
      <c r="CF790" s="7"/>
      <c r="CG790" s="7"/>
      <c r="CH790" s="7"/>
      <c r="CI790" s="7"/>
      <c r="CJ790" s="7"/>
      <c r="CK790" s="7"/>
      <c r="CL790" s="7"/>
      <c r="CM790" s="7"/>
      <c r="CN790" s="7"/>
      <c r="CO790" s="7"/>
      <c r="CP790" s="7"/>
      <c r="CR790" s="25"/>
      <c r="CS790" s="25"/>
      <c r="CT790" s="25"/>
      <c r="CU790" s="25"/>
      <c r="CV790" s="25"/>
      <c r="CW790" s="25"/>
      <c r="DP790" s="36"/>
      <c r="DQ790" s="36"/>
      <c r="DR790" s="36"/>
      <c r="DS790" s="36"/>
      <c r="DT790" s="36"/>
      <c r="DU790" s="36"/>
      <c r="DV790" s="32"/>
      <c r="DW790" s="32"/>
      <c r="DX790" s="32"/>
      <c r="DY790" s="32"/>
      <c r="DZ790" s="32"/>
      <c r="EA790" s="32"/>
      <c r="EB790" s="47"/>
      <c r="EC790" s="16">
        <v>1103114</v>
      </c>
      <c r="ED790" s="16" t="s">
        <v>311</v>
      </c>
      <c r="EE790" s="16">
        <v>2</v>
      </c>
    </row>
    <row r="791" spans="15:135" ht="13.5" customHeight="1">
      <c r="O791" s="25"/>
      <c r="AI791" s="28"/>
      <c r="AJ791" s="28"/>
      <c r="AK791" s="28"/>
      <c r="AL791" s="28"/>
      <c r="AM791" s="28"/>
      <c r="AN791" s="28"/>
      <c r="BR791" s="7">
        <v>5101071</v>
      </c>
      <c r="BS791" s="9">
        <f>[1]monsters!$N791</f>
        <v>238.93</v>
      </c>
      <c r="BT791" s="9">
        <f>[1]monsters!$O791</f>
        <v>23.89</v>
      </c>
      <c r="BU791" s="9">
        <f>[1]monsters!$P791</f>
        <v>2688</v>
      </c>
      <c r="BV791" s="9">
        <f>[1]monsters!$Q791</f>
        <v>268.8</v>
      </c>
      <c r="BW791" s="9">
        <f>[1]monsters!$R791</f>
        <v>79.64</v>
      </c>
      <c r="BX791" s="9">
        <f>[1]monsters!$S791</f>
        <v>7.96</v>
      </c>
      <c r="BY791" s="9">
        <f>[1]monsters!$K791</f>
        <v>1.6</v>
      </c>
      <c r="BZ791" s="7">
        <f>[1]monsters!$D791</f>
        <v>2</v>
      </c>
      <c r="CA791" s="7">
        <f t="shared" si="227"/>
        <v>0.1</v>
      </c>
      <c r="CB791" s="7">
        <f t="shared" si="228"/>
        <v>316.29390050505054</v>
      </c>
      <c r="CC791" s="7">
        <f t="shared" si="229"/>
        <v>31.629390050505055</v>
      </c>
      <c r="CD791" s="7"/>
      <c r="CE791" s="7"/>
      <c r="CF791" s="7"/>
      <c r="CG791" s="7"/>
      <c r="CH791" s="7"/>
      <c r="CI791" s="7"/>
      <c r="CJ791" s="7"/>
      <c r="CK791" s="7"/>
      <c r="CL791" s="7"/>
      <c r="CM791" s="7"/>
      <c r="CN791" s="7"/>
      <c r="CO791" s="7"/>
      <c r="CP791" s="7"/>
      <c r="CR791" s="25"/>
      <c r="CS791" s="25"/>
      <c r="CT791" s="25"/>
      <c r="CU791" s="25"/>
      <c r="CV791" s="25"/>
      <c r="CW791" s="25"/>
      <c r="DP791" s="32"/>
      <c r="DQ791" s="32"/>
      <c r="DR791" s="36"/>
      <c r="DS791" s="36"/>
      <c r="DT791" s="36"/>
      <c r="DU791" s="36"/>
      <c r="DV791" s="32"/>
      <c r="DW791" s="32"/>
      <c r="DX791" s="32"/>
      <c r="DY791" s="32"/>
      <c r="DZ791" s="32"/>
      <c r="EA791" s="32"/>
      <c r="EB791" s="47"/>
      <c r="EC791" s="16">
        <v>1103115</v>
      </c>
      <c r="ED791" s="16" t="s">
        <v>312</v>
      </c>
      <c r="EE791" s="16">
        <v>2</v>
      </c>
    </row>
    <row r="792" spans="15:135" ht="13.5" customHeight="1">
      <c r="O792" s="25"/>
      <c r="AI792" s="28"/>
      <c r="AJ792" s="28"/>
      <c r="AK792" s="28"/>
      <c r="AL792" s="28"/>
      <c r="AM792" s="28"/>
      <c r="AN792" s="28"/>
      <c r="BR792" s="7">
        <v>5102071</v>
      </c>
      <c r="BS792" s="9">
        <f>[1]monsters!$N792</f>
        <v>256</v>
      </c>
      <c r="BT792" s="9">
        <f>[1]monsters!$O792</f>
        <v>25.6</v>
      </c>
      <c r="BU792" s="9">
        <f>[1]monsters!$P792</f>
        <v>2880</v>
      </c>
      <c r="BV792" s="9">
        <f>[1]monsters!$Q792</f>
        <v>288</v>
      </c>
      <c r="BW792" s="9">
        <f>[1]monsters!$R792</f>
        <v>85.33</v>
      </c>
      <c r="BX792" s="9">
        <f>[1]monsters!$S792</f>
        <v>8.5299999999999994</v>
      </c>
      <c r="BY792" s="9">
        <f>[1]monsters!$K792</f>
        <v>1.6</v>
      </c>
      <c r="BZ792" s="7">
        <f>[1]monsters!$D792</f>
        <v>2</v>
      </c>
      <c r="CA792" s="7">
        <f t="shared" si="227"/>
        <v>0.1</v>
      </c>
      <c r="CB792" s="7">
        <f t="shared" si="228"/>
        <v>338.88969696969696</v>
      </c>
      <c r="CC792" s="7">
        <f t="shared" si="229"/>
        <v>33.888969696969696</v>
      </c>
      <c r="CD792" s="7"/>
      <c r="CE792" s="7"/>
      <c r="CF792" s="7"/>
      <c r="CG792" s="7"/>
      <c r="CH792" s="7"/>
      <c r="CI792" s="7"/>
      <c r="CJ792" s="7"/>
      <c r="CK792" s="7"/>
      <c r="CL792" s="7"/>
      <c r="CM792" s="7"/>
      <c r="CN792" s="7"/>
      <c r="CO792" s="7"/>
      <c r="CP792" s="7"/>
      <c r="CR792" s="25"/>
      <c r="CS792" s="25"/>
      <c r="CT792" s="25"/>
      <c r="CU792" s="25"/>
      <c r="CV792" s="25"/>
      <c r="CW792" s="25"/>
      <c r="DP792" s="32"/>
      <c r="DQ792" s="32"/>
      <c r="DR792" s="32"/>
      <c r="DS792" s="36"/>
      <c r="DT792" s="36"/>
      <c r="DU792" s="36"/>
      <c r="DV792" s="32"/>
      <c r="DW792" s="32"/>
      <c r="DX792" s="32"/>
      <c r="DY792" s="32"/>
      <c r="DZ792" s="32"/>
      <c r="EA792" s="32"/>
      <c r="EB792" s="47"/>
      <c r="EC792" s="16">
        <v>1103121</v>
      </c>
      <c r="ED792" s="16" t="s">
        <v>308</v>
      </c>
      <c r="EE792" s="16">
        <v>2</v>
      </c>
    </row>
    <row r="793" spans="15:135" ht="13.5" customHeight="1">
      <c r="O793" s="25"/>
      <c r="AI793" s="28"/>
      <c r="AJ793" s="28"/>
      <c r="AK793" s="28"/>
      <c r="AL793" s="28"/>
      <c r="AM793" s="28"/>
      <c r="AN793" s="28"/>
      <c r="BR793" s="7">
        <v>5206072</v>
      </c>
      <c r="BS793" s="9">
        <f>[1]monsters!$N793</f>
        <v>256</v>
      </c>
      <c r="BT793" s="9">
        <f>[1]monsters!$O793</f>
        <v>25.6</v>
      </c>
      <c r="BU793" s="9">
        <f>[1]monsters!$P793</f>
        <v>2880</v>
      </c>
      <c r="BV793" s="9">
        <f>[1]monsters!$Q793</f>
        <v>288</v>
      </c>
      <c r="BW793" s="9">
        <f>[1]monsters!$R793</f>
        <v>85.33</v>
      </c>
      <c r="BX793" s="9">
        <f>[1]monsters!$S793</f>
        <v>8.5299999999999994</v>
      </c>
      <c r="BY793" s="9">
        <f>[1]monsters!$K793</f>
        <v>1.6</v>
      </c>
      <c r="BZ793" s="7">
        <f>[1]monsters!$D793</f>
        <v>2</v>
      </c>
      <c r="CA793" s="7">
        <f t="shared" si="227"/>
        <v>0.1</v>
      </c>
      <c r="CB793" s="7">
        <f t="shared" si="228"/>
        <v>338.88969696969696</v>
      </c>
      <c r="CC793" s="7">
        <f t="shared" si="229"/>
        <v>33.888969696969696</v>
      </c>
      <c r="CD793" s="7"/>
      <c r="CE793" s="7"/>
      <c r="CF793" s="7"/>
      <c r="CG793" s="7"/>
      <c r="CH793" s="7"/>
      <c r="CI793" s="7"/>
      <c r="CJ793" s="7"/>
      <c r="CK793" s="7"/>
      <c r="CL793" s="7"/>
      <c r="CM793" s="7"/>
      <c r="CN793" s="7"/>
      <c r="CO793" s="7"/>
      <c r="CP793" s="7"/>
      <c r="CR793" s="25"/>
      <c r="CS793" s="25"/>
      <c r="CT793" s="25"/>
      <c r="CU793" s="25"/>
      <c r="CV793" s="25"/>
      <c r="CW793" s="25"/>
      <c r="DP793" s="32"/>
      <c r="DQ793" s="32"/>
      <c r="DR793" s="36"/>
      <c r="DS793" s="14"/>
      <c r="DT793" s="36"/>
      <c r="DU793" s="36"/>
      <c r="DV793" s="32"/>
      <c r="DW793" s="32"/>
      <c r="DX793" s="32"/>
      <c r="DY793" s="32"/>
      <c r="DZ793" s="32"/>
      <c r="EA793" s="32"/>
      <c r="EB793" s="49"/>
      <c r="EC793" s="16">
        <v>1103122</v>
      </c>
      <c r="ED793" s="16" t="s">
        <v>309</v>
      </c>
      <c r="EE793" s="16">
        <v>2</v>
      </c>
    </row>
    <row r="794" spans="15:135" ht="13.5" customHeight="1">
      <c r="O794" s="25"/>
      <c r="AI794" s="28"/>
      <c r="AJ794" s="28"/>
      <c r="AK794" s="28"/>
      <c r="AL794" s="28"/>
      <c r="AM794" s="28"/>
      <c r="AN794" s="28"/>
      <c r="BR794" s="7">
        <v>5406072</v>
      </c>
      <c r="BS794" s="9">
        <f>[1]monsters!$N794</f>
        <v>256</v>
      </c>
      <c r="BT794" s="9">
        <f>[1]monsters!$O794</f>
        <v>25.6</v>
      </c>
      <c r="BU794" s="9">
        <f>[1]monsters!$P794</f>
        <v>2880</v>
      </c>
      <c r="BV794" s="9">
        <f>[1]monsters!$Q794</f>
        <v>288</v>
      </c>
      <c r="BW794" s="9">
        <f>[1]monsters!$R794</f>
        <v>85.33</v>
      </c>
      <c r="BX794" s="9">
        <f>[1]monsters!$S794</f>
        <v>8.5299999999999994</v>
      </c>
      <c r="BY794" s="9">
        <f>[1]monsters!$K794</f>
        <v>1.6</v>
      </c>
      <c r="BZ794" s="7">
        <f>[1]monsters!$D794</f>
        <v>2</v>
      </c>
      <c r="CA794" s="7">
        <f t="shared" si="227"/>
        <v>0.1</v>
      </c>
      <c r="CB794" s="7">
        <f t="shared" si="228"/>
        <v>338.88969696969696</v>
      </c>
      <c r="CC794" s="7">
        <f t="shared" si="229"/>
        <v>33.888969696969696</v>
      </c>
      <c r="CD794" s="7"/>
      <c r="CE794" s="7"/>
      <c r="CF794" s="7"/>
      <c r="CG794" s="7"/>
      <c r="CH794" s="7"/>
      <c r="CI794" s="7"/>
      <c r="CJ794" s="7"/>
      <c r="CK794" s="7"/>
      <c r="CL794" s="7"/>
      <c r="CM794" s="7"/>
      <c r="CN794" s="7"/>
      <c r="CO794" s="7"/>
      <c r="CP794" s="7"/>
      <c r="CR794" s="25"/>
      <c r="CS794" s="25"/>
      <c r="CT794" s="25"/>
      <c r="CU794" s="25"/>
      <c r="CV794" s="25"/>
      <c r="CW794" s="25"/>
      <c r="DP794" s="32"/>
      <c r="DQ794" s="32"/>
      <c r="DR794" s="32"/>
      <c r="DS794" s="36"/>
      <c r="DT794" s="36"/>
      <c r="DU794" s="36"/>
      <c r="DV794" s="32"/>
      <c r="DW794" s="32"/>
      <c r="DX794" s="32"/>
      <c r="DY794" s="32"/>
      <c r="DZ794" s="32"/>
      <c r="EA794" s="32"/>
      <c r="EB794" s="49"/>
      <c r="EC794" s="16">
        <v>1103123</v>
      </c>
      <c r="ED794" s="16" t="s">
        <v>310</v>
      </c>
      <c r="EE794" s="16">
        <v>2</v>
      </c>
    </row>
    <row r="795" spans="15:135" ht="13.5" customHeight="1">
      <c r="O795" s="25"/>
      <c r="AI795" s="28"/>
      <c r="AJ795" s="28"/>
      <c r="AK795" s="28"/>
      <c r="AL795" s="28"/>
      <c r="AM795" s="28"/>
      <c r="AN795" s="28"/>
      <c r="BR795" s="7">
        <v>5205072</v>
      </c>
      <c r="BS795" s="9">
        <f>[1]monsters!$N795</f>
        <v>256</v>
      </c>
      <c r="BT795" s="9">
        <f>[1]monsters!$O795</f>
        <v>25.6</v>
      </c>
      <c r="BU795" s="9">
        <f>[1]monsters!$P795</f>
        <v>2880</v>
      </c>
      <c r="BV795" s="9">
        <f>[1]monsters!$Q795</f>
        <v>288</v>
      </c>
      <c r="BW795" s="9">
        <f>[1]monsters!$R795</f>
        <v>85.33</v>
      </c>
      <c r="BX795" s="9">
        <f>[1]monsters!$S795</f>
        <v>8.5299999999999994</v>
      </c>
      <c r="BY795" s="9">
        <f>[1]monsters!$K795</f>
        <v>1.6</v>
      </c>
      <c r="BZ795" s="7">
        <f>[1]monsters!$D795</f>
        <v>2</v>
      </c>
      <c r="CA795" s="7">
        <f t="shared" si="227"/>
        <v>0.1</v>
      </c>
      <c r="CB795" s="7">
        <f t="shared" si="228"/>
        <v>338.88969696969696</v>
      </c>
      <c r="CC795" s="7">
        <f t="shared" si="229"/>
        <v>33.888969696969696</v>
      </c>
      <c r="CD795" s="7"/>
      <c r="CE795" s="7"/>
      <c r="CF795" s="7"/>
      <c r="CG795" s="7"/>
      <c r="CH795" s="7"/>
      <c r="CI795" s="7"/>
      <c r="CJ795" s="7"/>
      <c r="CK795" s="7"/>
      <c r="CL795" s="7"/>
      <c r="CM795" s="7"/>
      <c r="CN795" s="7"/>
      <c r="CO795" s="7"/>
      <c r="CP795" s="7"/>
      <c r="CR795" s="25"/>
      <c r="CS795" s="25"/>
      <c r="CT795" s="25"/>
      <c r="CU795" s="25"/>
      <c r="CV795" s="25"/>
      <c r="CW795" s="25"/>
      <c r="DP795" s="32"/>
      <c r="DQ795" s="32"/>
      <c r="DR795" s="32"/>
      <c r="DS795" s="32"/>
      <c r="DT795" s="32"/>
      <c r="DU795" s="32"/>
      <c r="DV795" s="32"/>
      <c r="DW795" s="32"/>
      <c r="DX795" s="32"/>
      <c r="DY795" s="32"/>
      <c r="DZ795" s="32"/>
      <c r="EA795" s="32"/>
      <c r="EB795" s="49"/>
      <c r="EC795" s="16">
        <v>1103124</v>
      </c>
      <c r="ED795" s="16" t="s">
        <v>311</v>
      </c>
      <c r="EE795" s="16">
        <v>2</v>
      </c>
    </row>
    <row r="796" spans="15:135" ht="13.5" customHeight="1">
      <c r="O796" s="25"/>
      <c r="AI796" s="28"/>
      <c r="AJ796" s="28"/>
      <c r="AK796" s="28"/>
      <c r="AL796" s="28"/>
      <c r="AM796" s="28"/>
      <c r="AN796" s="28"/>
      <c r="BR796" s="7">
        <v>5405072</v>
      </c>
      <c r="BS796" s="9">
        <f>[1]monsters!$N796</f>
        <v>256</v>
      </c>
      <c r="BT796" s="9">
        <f>[1]monsters!$O796</f>
        <v>25.6</v>
      </c>
      <c r="BU796" s="9">
        <f>[1]monsters!$P796</f>
        <v>2880</v>
      </c>
      <c r="BV796" s="9">
        <f>[1]monsters!$Q796</f>
        <v>288</v>
      </c>
      <c r="BW796" s="9">
        <f>[1]monsters!$R796</f>
        <v>85.33</v>
      </c>
      <c r="BX796" s="9">
        <f>[1]monsters!$S796</f>
        <v>8.5299999999999994</v>
      </c>
      <c r="BY796" s="9">
        <f>[1]monsters!$K796</f>
        <v>1.6</v>
      </c>
      <c r="BZ796" s="7">
        <f>[1]monsters!$D796</f>
        <v>2</v>
      </c>
      <c r="CA796" s="7">
        <f t="shared" si="227"/>
        <v>0.1</v>
      </c>
      <c r="CB796" s="7">
        <f t="shared" si="228"/>
        <v>338.88969696969696</v>
      </c>
      <c r="CC796" s="7">
        <f t="shared" si="229"/>
        <v>33.888969696969696</v>
      </c>
      <c r="CD796" s="7"/>
      <c r="CE796" s="7"/>
      <c r="CF796" s="7"/>
      <c r="CG796" s="7"/>
      <c r="CH796" s="7"/>
      <c r="CI796" s="7"/>
      <c r="CJ796" s="7"/>
      <c r="CK796" s="7"/>
      <c r="CL796" s="7"/>
      <c r="CM796" s="7"/>
      <c r="CN796" s="7"/>
      <c r="CO796" s="7"/>
      <c r="CP796" s="7"/>
      <c r="CR796" s="25"/>
      <c r="CS796" s="25"/>
      <c r="CT796" s="25"/>
      <c r="CU796" s="25"/>
      <c r="CV796" s="25"/>
      <c r="CW796" s="25"/>
      <c r="DP796" s="36"/>
      <c r="DQ796" s="36"/>
      <c r="DR796" s="36"/>
      <c r="DS796" s="36"/>
      <c r="DT796" s="36"/>
      <c r="DU796" s="36"/>
      <c r="DV796" s="32"/>
      <c r="DW796" s="32"/>
      <c r="DX796" s="32"/>
      <c r="DY796" s="32"/>
      <c r="DZ796" s="32"/>
      <c r="EA796" s="32"/>
      <c r="EB796" s="20"/>
      <c r="EC796" s="16">
        <v>1103125</v>
      </c>
      <c r="ED796" s="16" t="s">
        <v>312</v>
      </c>
      <c r="EE796" s="16">
        <v>2</v>
      </c>
    </row>
    <row r="797" spans="15:135" ht="13.5" customHeight="1">
      <c r="O797" s="25"/>
      <c r="AI797" s="28"/>
      <c r="AJ797" s="28"/>
      <c r="AK797" s="28"/>
      <c r="AL797" s="28"/>
      <c r="AM797" s="28"/>
      <c r="AN797" s="28"/>
      <c r="BR797" s="7">
        <v>5203072</v>
      </c>
      <c r="BS797" s="9">
        <f>[1]monsters!$N797</f>
        <v>273.07</v>
      </c>
      <c r="BT797" s="9">
        <f>[1]monsters!$O797</f>
        <v>27.31</v>
      </c>
      <c r="BU797" s="9">
        <f>[1]monsters!$P797</f>
        <v>3072</v>
      </c>
      <c r="BV797" s="9">
        <f>[1]monsters!$Q797</f>
        <v>307.2</v>
      </c>
      <c r="BW797" s="9">
        <f>[1]monsters!$R797</f>
        <v>91.02</v>
      </c>
      <c r="BX797" s="9">
        <f>[1]monsters!$S797</f>
        <v>9.1</v>
      </c>
      <c r="BY797" s="9">
        <f>[1]monsters!$K797</f>
        <v>1.6</v>
      </c>
      <c r="BZ797" s="7">
        <f>[1]monsters!$D797</f>
        <v>2</v>
      </c>
      <c r="CA797" s="7">
        <f t="shared" si="227"/>
        <v>0.1</v>
      </c>
      <c r="CB797" s="7">
        <f t="shared" si="228"/>
        <v>361.48549343434343</v>
      </c>
      <c r="CC797" s="7">
        <f t="shared" si="229"/>
        <v>36.148549343434347</v>
      </c>
      <c r="CD797" s="7"/>
      <c r="CE797" s="7"/>
      <c r="CF797" s="7"/>
      <c r="CG797" s="7"/>
      <c r="CH797" s="7"/>
      <c r="CI797" s="7"/>
      <c r="CJ797" s="7"/>
      <c r="CK797" s="7"/>
      <c r="CL797" s="7"/>
      <c r="CM797" s="7"/>
      <c r="CN797" s="7"/>
      <c r="CO797" s="7"/>
      <c r="CP797" s="7"/>
      <c r="CR797" s="25"/>
      <c r="CS797" s="25"/>
      <c r="CT797" s="25"/>
      <c r="CU797" s="25"/>
      <c r="CV797" s="25"/>
      <c r="CW797" s="25"/>
      <c r="DP797" s="32"/>
      <c r="DQ797" s="32"/>
      <c r="DR797" s="32"/>
      <c r="DS797" s="32"/>
      <c r="DT797" s="32"/>
      <c r="DU797" s="32"/>
      <c r="DV797" s="32"/>
      <c r="DW797" s="32"/>
      <c r="DX797" s="32"/>
      <c r="DY797" s="32"/>
      <c r="DZ797" s="32"/>
      <c r="EA797" s="32"/>
      <c r="EB797" s="49"/>
      <c r="EC797" s="16">
        <v>1103131</v>
      </c>
      <c r="ED797" s="16" t="s">
        <v>308</v>
      </c>
      <c r="EE797" s="16">
        <v>2</v>
      </c>
    </row>
    <row r="798" spans="15:135" ht="13.5" customHeight="1">
      <c r="O798" s="25"/>
      <c r="AI798" s="28"/>
      <c r="AJ798" s="28"/>
      <c r="AK798" s="28"/>
      <c r="AL798" s="28"/>
      <c r="AM798" s="28"/>
      <c r="AN798" s="28"/>
      <c r="BR798" s="7">
        <v>5403072</v>
      </c>
      <c r="BS798" s="9">
        <f>[1]monsters!$N798</f>
        <v>273.07</v>
      </c>
      <c r="BT798" s="9">
        <f>[1]monsters!$O798</f>
        <v>27.31</v>
      </c>
      <c r="BU798" s="9">
        <f>[1]monsters!$P798</f>
        <v>3072</v>
      </c>
      <c r="BV798" s="9">
        <f>[1]monsters!$Q798</f>
        <v>307.2</v>
      </c>
      <c r="BW798" s="9">
        <f>[1]monsters!$R798</f>
        <v>91.02</v>
      </c>
      <c r="BX798" s="9">
        <f>[1]monsters!$S798</f>
        <v>9.1</v>
      </c>
      <c r="BY798" s="9">
        <f>[1]monsters!$K798</f>
        <v>1.6</v>
      </c>
      <c r="BZ798" s="7">
        <f>[1]monsters!$D798</f>
        <v>2</v>
      </c>
      <c r="CA798" s="7">
        <f t="shared" si="227"/>
        <v>0.1</v>
      </c>
      <c r="CB798" s="7">
        <f t="shared" si="228"/>
        <v>361.48549343434343</v>
      </c>
      <c r="CC798" s="7">
        <f t="shared" si="229"/>
        <v>36.148549343434347</v>
      </c>
      <c r="CD798" s="7"/>
      <c r="CE798" s="7"/>
      <c r="CF798" s="7"/>
      <c r="CG798" s="7"/>
      <c r="CH798" s="7"/>
      <c r="CI798" s="7"/>
      <c r="CJ798" s="7"/>
      <c r="CK798" s="7"/>
      <c r="CL798" s="7"/>
      <c r="CM798" s="7"/>
      <c r="CN798" s="7"/>
      <c r="CO798" s="7"/>
      <c r="CP798" s="7"/>
      <c r="CR798" s="25"/>
      <c r="CS798" s="25"/>
      <c r="CT798" s="25"/>
      <c r="CU798" s="25"/>
      <c r="CV798" s="25"/>
      <c r="CW798" s="25"/>
      <c r="DP798" s="13"/>
      <c r="DQ798" s="32"/>
      <c r="DR798" s="13"/>
      <c r="DS798" s="32"/>
      <c r="DT798" s="32"/>
      <c r="DU798" s="32"/>
      <c r="DV798" s="32"/>
      <c r="DW798" s="32"/>
      <c r="DX798" s="32"/>
      <c r="DY798" s="32"/>
      <c r="DZ798" s="32"/>
      <c r="EA798" s="32"/>
      <c r="EB798" s="49"/>
      <c r="EC798" s="16">
        <v>1103132</v>
      </c>
      <c r="ED798" s="16" t="s">
        <v>309</v>
      </c>
      <c r="EE798" s="16">
        <v>2</v>
      </c>
    </row>
    <row r="799" spans="15:135" ht="13.5" customHeight="1">
      <c r="O799" s="25"/>
      <c r="AI799" s="28"/>
      <c r="AJ799" s="28"/>
      <c r="AK799" s="28"/>
      <c r="AL799" s="28"/>
      <c r="AM799" s="28"/>
      <c r="AN799" s="28"/>
      <c r="BR799" s="7">
        <v>5204072</v>
      </c>
      <c r="BS799" s="9">
        <f>[1]monsters!$N799</f>
        <v>273.07</v>
      </c>
      <c r="BT799" s="9">
        <f>[1]monsters!$O799</f>
        <v>27.31</v>
      </c>
      <c r="BU799" s="9">
        <f>[1]monsters!$P799</f>
        <v>3072</v>
      </c>
      <c r="BV799" s="9">
        <f>[1]monsters!$Q799</f>
        <v>307.2</v>
      </c>
      <c r="BW799" s="9">
        <f>[1]monsters!$R799</f>
        <v>91.02</v>
      </c>
      <c r="BX799" s="9">
        <f>[1]monsters!$S799</f>
        <v>9.1</v>
      </c>
      <c r="BY799" s="9">
        <f>[1]monsters!$K799</f>
        <v>1.6</v>
      </c>
      <c r="BZ799" s="7">
        <f>[1]monsters!$D799</f>
        <v>2</v>
      </c>
      <c r="CA799" s="7">
        <f t="shared" si="227"/>
        <v>0.1</v>
      </c>
      <c r="CB799" s="7">
        <f t="shared" si="228"/>
        <v>361.48549343434343</v>
      </c>
      <c r="CC799" s="7">
        <f t="shared" si="229"/>
        <v>36.148549343434347</v>
      </c>
      <c r="CD799" s="7"/>
      <c r="CE799" s="7"/>
      <c r="CF799" s="7"/>
      <c r="CG799" s="7"/>
      <c r="CH799" s="7"/>
      <c r="CI799" s="7"/>
      <c r="CJ799" s="7"/>
      <c r="CK799" s="7"/>
      <c r="CL799" s="7"/>
      <c r="CM799" s="7"/>
      <c r="CN799" s="7"/>
      <c r="CO799" s="7"/>
      <c r="CP799" s="7"/>
      <c r="CR799" s="25"/>
      <c r="CS799" s="25"/>
      <c r="CT799" s="25"/>
      <c r="CU799" s="25"/>
      <c r="CV799" s="25"/>
      <c r="CW799" s="25"/>
      <c r="DP799" s="36"/>
      <c r="DQ799" s="36"/>
      <c r="DR799" s="36"/>
      <c r="DS799" s="36"/>
      <c r="DT799" s="36"/>
      <c r="DU799" s="36"/>
      <c r="DV799" s="32"/>
      <c r="DW799" s="32"/>
      <c r="DX799" s="32"/>
      <c r="DY799" s="32"/>
      <c r="DZ799" s="32"/>
      <c r="EA799" s="32"/>
      <c r="EB799" s="49"/>
      <c r="EC799" s="16">
        <v>1103133</v>
      </c>
      <c r="ED799" s="16" t="s">
        <v>310</v>
      </c>
      <c r="EE799" s="16">
        <v>2</v>
      </c>
    </row>
    <row r="800" spans="15:135" ht="13.5" customHeight="1">
      <c r="O800" s="25"/>
      <c r="AI800" s="28"/>
      <c r="AJ800" s="28"/>
      <c r="AK800" s="28"/>
      <c r="AL800" s="28"/>
      <c r="AM800" s="28"/>
      <c r="AN800" s="28"/>
      <c r="BR800" s="7">
        <v>5404072</v>
      </c>
      <c r="BS800" s="9">
        <f>[1]monsters!$N800</f>
        <v>62.4</v>
      </c>
      <c r="BT800" s="9">
        <f>[1]monsters!$O800</f>
        <v>6.24</v>
      </c>
      <c r="BU800" s="9">
        <f>[1]monsters!$P800</f>
        <v>213.33400000000003</v>
      </c>
      <c r="BV800" s="9">
        <f>[1]monsters!$Q800</f>
        <v>106.67</v>
      </c>
      <c r="BW800" s="9">
        <f>[1]monsters!$R800</f>
        <v>12.48</v>
      </c>
      <c r="BX800" s="9">
        <f>[1]monsters!$S800</f>
        <v>1.25</v>
      </c>
      <c r="BY800" s="9">
        <f>[1]monsters!$K800</f>
        <v>1.3</v>
      </c>
      <c r="BZ800" s="7">
        <f>[1]monsters!$D800</f>
        <v>2</v>
      </c>
      <c r="CA800" s="7">
        <f t="shared" si="227"/>
        <v>0.1</v>
      </c>
      <c r="CB800" s="7">
        <f t="shared" si="228"/>
        <v>66.150962962962964</v>
      </c>
      <c r="CC800" s="7">
        <f t="shared" si="229"/>
        <v>6.6150962962962971</v>
      </c>
      <c r="CD800" s="7"/>
      <c r="CE800" s="7"/>
      <c r="CF800" s="7"/>
      <c r="CG800" s="7"/>
      <c r="CH800" s="7"/>
      <c r="CI800" s="7"/>
      <c r="CJ800" s="7"/>
      <c r="CK800" s="7"/>
      <c r="CL800" s="7"/>
      <c r="CM800" s="7"/>
      <c r="CN800" s="7"/>
      <c r="CO800" s="7"/>
      <c r="CP800" s="7"/>
      <c r="CR800" s="25"/>
      <c r="CS800" s="25"/>
      <c r="CT800" s="25"/>
      <c r="CU800" s="25"/>
      <c r="CV800" s="25"/>
      <c r="CW800" s="25"/>
      <c r="DP800" s="32"/>
      <c r="DQ800" s="32"/>
      <c r="DR800" s="36"/>
      <c r="DS800" s="36"/>
      <c r="DT800" s="32"/>
      <c r="DU800" s="32"/>
      <c r="DV800" s="32"/>
      <c r="DW800" s="32"/>
      <c r="DX800" s="32"/>
      <c r="DY800" s="32"/>
      <c r="DZ800" s="32"/>
      <c r="EA800" s="32"/>
      <c r="EB800" s="20"/>
      <c r="EC800" s="16">
        <v>1103134</v>
      </c>
      <c r="ED800" s="16" t="s">
        <v>311</v>
      </c>
      <c r="EE800" s="16">
        <v>2</v>
      </c>
    </row>
    <row r="801" spans="15:135" ht="13.5" customHeight="1">
      <c r="O801" s="25"/>
      <c r="AI801" s="28"/>
      <c r="AJ801" s="28"/>
      <c r="AK801" s="28"/>
      <c r="AL801" s="28"/>
      <c r="AM801" s="28"/>
      <c r="AN801" s="28"/>
      <c r="BR801" s="7">
        <v>5303072</v>
      </c>
      <c r="BS801" s="9">
        <f>[1]monsters!$N801</f>
        <v>83.2</v>
      </c>
      <c r="BT801" s="9">
        <f>[1]monsters!$O801</f>
        <v>8.32</v>
      </c>
      <c r="BU801" s="9">
        <f>[1]monsters!$P801</f>
        <v>160</v>
      </c>
      <c r="BV801" s="9">
        <f>[1]monsters!$Q801</f>
        <v>80</v>
      </c>
      <c r="BW801" s="9">
        <f>[1]monsters!$R801</f>
        <v>8.32</v>
      </c>
      <c r="BX801" s="9">
        <f>[1]monsters!$S801</f>
        <v>0.83</v>
      </c>
      <c r="BY801" s="9">
        <f>[1]monsters!$K801</f>
        <v>1.3</v>
      </c>
      <c r="BZ801" s="7">
        <f>[1]monsters!$D801</f>
        <v>4</v>
      </c>
      <c r="CA801" s="7">
        <f t="shared" si="227"/>
        <v>0.1</v>
      </c>
      <c r="CB801" s="7">
        <f t="shared" si="228"/>
        <v>84.011205387205393</v>
      </c>
      <c r="CC801" s="7">
        <f t="shared" si="229"/>
        <v>8.401120538720539</v>
      </c>
      <c r="CD801" s="7"/>
      <c r="CE801" s="7"/>
      <c r="CF801" s="7"/>
      <c r="CG801" s="7"/>
      <c r="CH801" s="7"/>
      <c r="CI801" s="7"/>
      <c r="CJ801" s="7"/>
      <c r="CK801" s="7"/>
      <c r="CL801" s="7"/>
      <c r="CM801" s="7"/>
      <c r="CN801" s="7"/>
      <c r="CO801" s="7"/>
      <c r="CP801" s="7"/>
      <c r="CR801" s="25"/>
      <c r="CS801" s="25"/>
      <c r="CT801" s="25"/>
      <c r="CU801" s="25"/>
      <c r="CV801" s="25"/>
      <c r="CW801" s="25"/>
      <c r="DP801" s="32"/>
      <c r="DQ801" s="32"/>
      <c r="DR801" s="36"/>
      <c r="DS801" s="36"/>
      <c r="DT801" s="36"/>
      <c r="DU801" s="36"/>
      <c r="DV801" s="32"/>
      <c r="DW801" s="32"/>
      <c r="DX801" s="32"/>
      <c r="DY801" s="32"/>
      <c r="DZ801" s="32"/>
      <c r="EA801" s="32"/>
      <c r="EB801" s="49"/>
      <c r="EC801" s="16">
        <v>1103135</v>
      </c>
      <c r="ED801" s="16" t="s">
        <v>312</v>
      </c>
      <c r="EE801" s="16">
        <v>2</v>
      </c>
    </row>
    <row r="802" spans="15:135" ht="13.5" customHeight="1">
      <c r="O802" s="25"/>
      <c r="AI802" s="28"/>
      <c r="AJ802" s="28"/>
      <c r="AK802" s="28"/>
      <c r="AL802" s="28"/>
      <c r="AM802" s="28"/>
      <c r="AN802" s="28"/>
      <c r="BR802" s="7">
        <v>5304072</v>
      </c>
      <c r="BS802" s="9">
        <f>[1]monsters!$N802</f>
        <v>86.4</v>
      </c>
      <c r="BT802" s="9">
        <f>[1]monsters!$O802</f>
        <v>8.64</v>
      </c>
      <c r="BU802" s="9">
        <f>[1]monsters!$P802</f>
        <v>213.33400000000003</v>
      </c>
      <c r="BV802" s="9">
        <f>[1]monsters!$Q802</f>
        <v>106.67</v>
      </c>
      <c r="BW802" s="9">
        <f>[1]monsters!$R802</f>
        <v>17.28</v>
      </c>
      <c r="BX802" s="9">
        <f>[1]monsters!$S802</f>
        <v>1.73</v>
      </c>
      <c r="BY802" s="9">
        <f>[1]monsters!$K802</f>
        <v>1.8</v>
      </c>
      <c r="BZ802" s="7">
        <f>[1]monsters!$D802</f>
        <v>2</v>
      </c>
      <c r="CA802" s="7">
        <f t="shared" si="227"/>
        <v>0.1</v>
      </c>
      <c r="CB802" s="7">
        <f t="shared" si="228"/>
        <v>88.830962962962971</v>
      </c>
      <c r="CC802" s="7">
        <f t="shared" si="229"/>
        <v>8.8830962962962978</v>
      </c>
      <c r="CD802" s="7"/>
      <c r="CE802" s="7"/>
      <c r="CF802" s="7"/>
      <c r="CG802" s="7"/>
      <c r="CH802" s="7"/>
      <c r="CI802" s="7"/>
      <c r="CJ802" s="7"/>
      <c r="CK802" s="7"/>
      <c r="CL802" s="7"/>
      <c r="CM802" s="7"/>
      <c r="CN802" s="7"/>
      <c r="CO802" s="7"/>
      <c r="CP802" s="7"/>
      <c r="CR802" s="25"/>
      <c r="CS802" s="25"/>
      <c r="CT802" s="25"/>
      <c r="CU802" s="25"/>
      <c r="CV802" s="25"/>
      <c r="CW802" s="25"/>
      <c r="DP802" s="32"/>
      <c r="DQ802" s="32"/>
      <c r="DR802" s="32"/>
      <c r="DS802" s="32"/>
      <c r="DT802" s="36"/>
      <c r="DU802" s="36"/>
      <c r="DV802" s="32"/>
      <c r="DW802" s="32"/>
      <c r="DX802" s="32"/>
      <c r="DY802" s="32"/>
      <c r="DZ802" s="32"/>
      <c r="EA802" s="32"/>
      <c r="EB802" s="49"/>
    </row>
    <row r="803" spans="15:135" ht="13.5" customHeight="1">
      <c r="O803" s="25"/>
      <c r="AI803" s="28"/>
      <c r="AJ803" s="28"/>
      <c r="AK803" s="28"/>
      <c r="AL803" s="28"/>
      <c r="AM803" s="28"/>
      <c r="AN803" s="28"/>
      <c r="BR803" s="7">
        <v>5503072</v>
      </c>
      <c r="BS803" s="9">
        <f>[1]monsters!$N803</f>
        <v>100</v>
      </c>
      <c r="BT803" s="9">
        <f>[1]monsters!$O803</f>
        <v>10</v>
      </c>
      <c r="BU803" s="9">
        <f>[1]monsters!$P803</f>
        <v>153.60000000000002</v>
      </c>
      <c r="BV803" s="9">
        <f>[1]monsters!$Q803</f>
        <v>76.8</v>
      </c>
      <c r="BW803" s="9">
        <f>[1]monsters!$R803</f>
        <v>10</v>
      </c>
      <c r="BX803" s="9">
        <f>[1]monsters!$S803</f>
        <v>1</v>
      </c>
      <c r="BY803" s="9">
        <f>[1]monsters!$K803</f>
        <v>1.5</v>
      </c>
      <c r="BZ803" s="7">
        <f>[1]monsters!$D803</f>
        <v>4</v>
      </c>
      <c r="CA803" s="7">
        <f t="shared" si="227"/>
        <v>0.1</v>
      </c>
      <c r="CB803" s="7">
        <f t="shared" si="228"/>
        <v>99.671717171717177</v>
      </c>
      <c r="CC803" s="7">
        <f t="shared" si="229"/>
        <v>9.967171717171718</v>
      </c>
      <c r="CD803" s="7"/>
      <c r="CE803" s="7"/>
      <c r="CF803" s="7"/>
      <c r="CG803" s="7"/>
      <c r="CH803" s="7"/>
      <c r="CI803" s="7"/>
      <c r="CJ803" s="7"/>
      <c r="CK803" s="7"/>
      <c r="CL803" s="7"/>
      <c r="CM803" s="7"/>
      <c r="CN803" s="7"/>
      <c r="CO803" s="7"/>
      <c r="CP803" s="7"/>
      <c r="CR803" s="25"/>
      <c r="CS803" s="25"/>
      <c r="CT803" s="25"/>
      <c r="CU803" s="25"/>
      <c r="CV803" s="25"/>
      <c r="CW803" s="25"/>
      <c r="DP803" s="32"/>
      <c r="DQ803" s="32"/>
      <c r="DR803" s="32"/>
      <c r="DS803" s="36"/>
      <c r="DT803" s="36"/>
      <c r="DU803" s="36"/>
      <c r="DV803" s="32"/>
      <c r="DW803" s="32"/>
      <c r="DX803" s="32"/>
      <c r="DY803" s="32"/>
      <c r="DZ803" s="32"/>
      <c r="EA803" s="32"/>
      <c r="EB803" s="20"/>
    </row>
    <row r="804" spans="15:135" ht="13.5" customHeight="1">
      <c r="AC804" s="16" t="str">
        <f t="shared" ref="AC804:AC836" si="230">IF(AI804&gt;0,FLOOR((POWER((AI804/IF(AND(W804&gt;=2,W804&lt;4),1.1,IF(AND(W804&gt;=4,W804&lt;6),1.2,IF(W804&gt;=6,1.4,1)))/$Z$1),0.5)/INDEX($BD$4:$BQ$4,MATCH(W804,$BD$3:$BQ$3,0))-1)*10,1),"")</f>
        <v/>
      </c>
      <c r="AD804" s="16" t="str">
        <f t="shared" ref="AD804:AH807" si="231">IF(AJ804&gt;0,FLOOR((POWER((AJ804/IF(AND(X804&gt;=2,X804&lt;4),1.1,IF(AND(X804&gt;=4,X804&lt;6),1.15,IF(X804&gt;=6,1.2,1)))/$Z$1),0.5)/INDEX($BD$4:$BQ$4,MATCH(X804,$BD$3:$BQ$3,0))-1)*10,1),"")</f>
        <v/>
      </c>
      <c r="AE804" s="16" t="str">
        <f t="shared" si="231"/>
        <v/>
      </c>
      <c r="AF804" s="16" t="str">
        <f t="shared" si="231"/>
        <v/>
      </c>
      <c r="AG804" s="16" t="str">
        <f t="shared" si="231"/>
        <v/>
      </c>
      <c r="AH804" s="16" t="str">
        <f t="shared" si="231"/>
        <v/>
      </c>
      <c r="BR804" s="7">
        <v>5504072</v>
      </c>
      <c r="BS804" s="9">
        <f>[1]monsters!$N804</f>
        <v>76.27</v>
      </c>
      <c r="BT804" s="9">
        <f>[1]monsters!$O804</f>
        <v>7.63</v>
      </c>
      <c r="BU804" s="9">
        <f>[1]monsters!$P804</f>
        <v>174.54600000000002</v>
      </c>
      <c r="BV804" s="9">
        <f>[1]monsters!$Q804</f>
        <v>87.27</v>
      </c>
      <c r="BW804" s="9">
        <f>[1]monsters!$R804</f>
        <v>9.5299999999999994</v>
      </c>
      <c r="BX804" s="9">
        <f>[1]monsters!$S804</f>
        <v>0.95</v>
      </c>
      <c r="BY804" s="9">
        <f>[1]monsters!$K804</f>
        <v>1.3</v>
      </c>
      <c r="BZ804" s="7">
        <f>[1]monsters!$D804</f>
        <v>3</v>
      </c>
      <c r="CA804" s="7">
        <f t="shared" si="227"/>
        <v>0.1</v>
      </c>
      <c r="CB804" s="7">
        <f t="shared" si="228"/>
        <v>77.952119696969703</v>
      </c>
      <c r="CC804" s="7">
        <f t="shared" si="229"/>
        <v>7.7952119696969708</v>
      </c>
      <c r="CD804" s="7"/>
      <c r="CE804" s="7"/>
      <c r="CF804" s="7"/>
      <c r="CG804" s="7"/>
      <c r="CH804" s="7"/>
      <c r="CI804" s="7"/>
      <c r="CJ804" s="7"/>
      <c r="CK804" s="7"/>
      <c r="CL804" s="7"/>
      <c r="CM804" s="7"/>
      <c r="CN804" s="7"/>
      <c r="CO804" s="7"/>
      <c r="CP804" s="7"/>
      <c r="CR804" s="25"/>
      <c r="CS804" s="25"/>
      <c r="CT804" s="25"/>
      <c r="CU804" s="25"/>
      <c r="CV804" s="25"/>
      <c r="CW804" s="25"/>
      <c r="DP804" s="32"/>
      <c r="DQ804" s="32"/>
      <c r="DR804" s="32"/>
      <c r="DS804" s="36"/>
      <c r="DT804" s="36"/>
      <c r="DU804" s="36"/>
      <c r="DV804" s="32"/>
      <c r="DW804" s="32"/>
      <c r="DX804" s="32"/>
      <c r="DY804" s="32"/>
      <c r="DZ804" s="32"/>
      <c r="EA804" s="32"/>
      <c r="EB804" s="49"/>
    </row>
    <row r="805" spans="15:135" ht="13.5" customHeight="1">
      <c r="AC805" s="16" t="str">
        <f t="shared" si="230"/>
        <v/>
      </c>
      <c r="AD805" s="16" t="str">
        <f t="shared" si="231"/>
        <v/>
      </c>
      <c r="AE805" s="16" t="str">
        <f t="shared" si="231"/>
        <v/>
      </c>
      <c r="AF805" s="16" t="str">
        <f t="shared" si="231"/>
        <v/>
      </c>
      <c r="AG805" s="16" t="str">
        <f t="shared" si="231"/>
        <v/>
      </c>
      <c r="AH805" s="16" t="str">
        <f t="shared" si="231"/>
        <v/>
      </c>
      <c r="BR805" s="7">
        <v>5101072</v>
      </c>
      <c r="BS805" s="9">
        <f>[1]monsters!$N805</f>
        <v>105.6</v>
      </c>
      <c r="BT805" s="9">
        <f>[1]monsters!$O805</f>
        <v>10.56</v>
      </c>
      <c r="BU805" s="9">
        <f>[1]monsters!$P805</f>
        <v>174.54600000000002</v>
      </c>
      <c r="BV805" s="9">
        <f>[1]monsters!$Q805</f>
        <v>87.27</v>
      </c>
      <c r="BW805" s="9">
        <f>[1]monsters!$R805</f>
        <v>17.600000000000001</v>
      </c>
      <c r="BX805" s="9">
        <f>[1]monsters!$S805</f>
        <v>1.76</v>
      </c>
      <c r="BY805" s="9">
        <f>[1]monsters!$K805</f>
        <v>1.8</v>
      </c>
      <c r="BZ805" s="7">
        <f>[1]monsters!$D805</f>
        <v>5</v>
      </c>
      <c r="CA805" s="7">
        <f t="shared" si="227"/>
        <v>0.1</v>
      </c>
      <c r="CB805" s="7">
        <f t="shared" si="228"/>
        <v>105.6689696969697</v>
      </c>
      <c r="CC805" s="7">
        <f t="shared" si="229"/>
        <v>10.56689696969697</v>
      </c>
      <c r="CD805" s="7"/>
      <c r="CE805" s="7"/>
      <c r="CF805" s="7"/>
      <c r="CG805" s="7"/>
      <c r="CH805" s="7"/>
      <c r="CI805" s="7"/>
      <c r="CJ805" s="7"/>
      <c r="CK805" s="7"/>
      <c r="CL805" s="7"/>
      <c r="CM805" s="7"/>
      <c r="CN805" s="7"/>
      <c r="CO805" s="7"/>
      <c r="CP805" s="7"/>
      <c r="CR805" s="25"/>
      <c r="CS805" s="25"/>
      <c r="CT805" s="25"/>
      <c r="CU805" s="25"/>
      <c r="CV805" s="25"/>
      <c r="CW805" s="25"/>
      <c r="DP805" s="32"/>
      <c r="DQ805" s="32"/>
      <c r="DR805" s="32"/>
      <c r="DS805" s="36"/>
      <c r="DT805" s="36"/>
      <c r="DU805" s="36"/>
      <c r="DV805" s="32"/>
      <c r="DW805" s="32"/>
      <c r="DX805" s="32"/>
      <c r="DY805" s="32"/>
      <c r="DZ805" s="32"/>
      <c r="EA805" s="32"/>
      <c r="EB805" s="49"/>
    </row>
    <row r="806" spans="15:135" ht="13.5" customHeight="1">
      <c r="AC806" s="16" t="str">
        <f t="shared" si="230"/>
        <v/>
      </c>
      <c r="AD806" s="16" t="str">
        <f t="shared" si="231"/>
        <v/>
      </c>
      <c r="AE806" s="16" t="str">
        <f t="shared" si="231"/>
        <v/>
      </c>
      <c r="AF806" s="16" t="str">
        <f t="shared" si="231"/>
        <v/>
      </c>
      <c r="AG806" s="16" t="str">
        <f t="shared" si="231"/>
        <v/>
      </c>
      <c r="AH806" s="16" t="str">
        <f t="shared" si="231"/>
        <v/>
      </c>
      <c r="BR806" s="7">
        <v>5102072</v>
      </c>
      <c r="BS806" s="9">
        <f>[1]monsters!$N806</f>
        <v>76.8</v>
      </c>
      <c r="BT806" s="9">
        <f>[1]monsters!$O806</f>
        <v>7.68</v>
      </c>
      <c r="BU806" s="9">
        <f>[1]monsters!$P806</f>
        <v>213.33400000000003</v>
      </c>
      <c r="BV806" s="9">
        <f>[1]monsters!$Q806</f>
        <v>106.67</v>
      </c>
      <c r="BW806" s="9">
        <f>[1]monsters!$R806</f>
        <v>15.36</v>
      </c>
      <c r="BX806" s="9">
        <f>[1]monsters!$S806</f>
        <v>1.54</v>
      </c>
      <c r="BY806" s="9">
        <f>[1]monsters!$K806</f>
        <v>1.6</v>
      </c>
      <c r="BZ806" s="7">
        <f>[1]monsters!$D806</f>
        <v>2</v>
      </c>
      <c r="CA806" s="7">
        <f t="shared" si="227"/>
        <v>0.1</v>
      </c>
      <c r="CB806" s="7">
        <f t="shared" si="228"/>
        <v>79.758962962962968</v>
      </c>
      <c r="CC806" s="7">
        <f t="shared" si="229"/>
        <v>7.9758962962962974</v>
      </c>
      <c r="CD806" s="7"/>
      <c r="CE806" s="7"/>
      <c r="CF806" s="7"/>
      <c r="CG806" s="7"/>
      <c r="CH806" s="7"/>
      <c r="CI806" s="7"/>
      <c r="CJ806" s="7"/>
      <c r="CK806" s="7"/>
      <c r="CL806" s="7"/>
      <c r="CM806" s="7"/>
      <c r="CN806" s="7"/>
      <c r="CO806" s="7"/>
      <c r="CP806" s="7"/>
      <c r="CR806" s="25"/>
      <c r="CS806" s="25"/>
      <c r="CT806" s="25"/>
      <c r="CU806" s="25"/>
      <c r="CV806" s="25"/>
      <c r="CW806" s="25"/>
      <c r="DP806" s="32"/>
      <c r="DQ806" s="32"/>
      <c r="DR806" s="32"/>
      <c r="DS806" s="36"/>
      <c r="DT806" s="36"/>
      <c r="DU806" s="36"/>
      <c r="DV806" s="32"/>
      <c r="DW806" s="32"/>
      <c r="DX806" s="32"/>
      <c r="DY806" s="32"/>
      <c r="DZ806" s="32"/>
      <c r="EA806" s="32"/>
      <c r="EB806" s="49"/>
    </row>
    <row r="807" spans="15:135" ht="13.5" customHeight="1">
      <c r="AC807" s="16" t="str">
        <f t="shared" si="230"/>
        <v/>
      </c>
      <c r="AD807" s="16" t="str">
        <f t="shared" si="231"/>
        <v/>
      </c>
      <c r="AE807" s="16" t="str">
        <f t="shared" si="231"/>
        <v/>
      </c>
      <c r="AF807" s="16" t="str">
        <f t="shared" si="231"/>
        <v/>
      </c>
      <c r="AG807" s="16" t="str">
        <f t="shared" si="231"/>
        <v/>
      </c>
      <c r="AH807" s="16" t="str">
        <f t="shared" si="231"/>
        <v/>
      </c>
      <c r="BR807" s="7">
        <v>5206073</v>
      </c>
      <c r="BS807" s="9">
        <f>[1]monsters!$N807</f>
        <v>97.07</v>
      </c>
      <c r="BT807" s="9">
        <f>[1]monsters!$O807</f>
        <v>9.7100000000000009</v>
      </c>
      <c r="BU807" s="9">
        <f>[1]monsters!$P807</f>
        <v>147.69200000000001</v>
      </c>
      <c r="BV807" s="9">
        <f>[1]monsters!$Q807</f>
        <v>73.849999999999994</v>
      </c>
      <c r="BW807" s="9">
        <f>[1]monsters!$R807</f>
        <v>9.7100000000000009</v>
      </c>
      <c r="BX807" s="9">
        <f>[1]monsters!$S807</f>
        <v>0.97</v>
      </c>
      <c r="BY807" s="9">
        <f>[1]monsters!$K807</f>
        <v>1.4000000000000001</v>
      </c>
      <c r="BZ807" s="7">
        <f>[1]monsters!$D807</f>
        <v>4</v>
      </c>
      <c r="CA807" s="7">
        <f t="shared" si="227"/>
        <v>0.1</v>
      </c>
      <c r="CB807" s="7">
        <f t="shared" si="228"/>
        <v>96.703944612794615</v>
      </c>
      <c r="CC807" s="7">
        <f t="shared" si="229"/>
        <v>9.6703944612794626</v>
      </c>
      <c r="CD807" s="7"/>
      <c r="CE807" s="7"/>
      <c r="CF807" s="7"/>
      <c r="CG807" s="7"/>
      <c r="CH807" s="7"/>
      <c r="CI807" s="7"/>
      <c r="CJ807" s="7"/>
      <c r="CK807" s="7"/>
      <c r="CL807" s="7"/>
      <c r="CM807" s="7"/>
      <c r="CN807" s="7"/>
      <c r="CO807" s="7"/>
      <c r="CP807" s="7"/>
      <c r="CR807" s="25"/>
      <c r="CS807" s="25"/>
      <c r="CT807" s="25"/>
      <c r="CU807" s="25"/>
      <c r="CV807" s="25"/>
      <c r="CW807" s="25"/>
      <c r="DP807" s="13"/>
      <c r="DQ807" s="13"/>
      <c r="DR807" s="13"/>
      <c r="DS807" s="14"/>
      <c r="DT807" s="14"/>
      <c r="DU807" s="14"/>
      <c r="DV807" s="32"/>
      <c r="DW807" s="32"/>
      <c r="DX807" s="32"/>
      <c r="DY807" s="32"/>
      <c r="DZ807" s="32"/>
      <c r="EA807" s="32"/>
      <c r="EB807" s="31"/>
    </row>
    <row r="808" spans="15:135" ht="13.5" customHeight="1">
      <c r="AC808" s="16" t="str">
        <f t="shared" si="230"/>
        <v/>
      </c>
      <c r="AD808" s="16" t="str">
        <f t="shared" ref="AD808:AH858" si="232">IF(AJ808&gt;0,FLOOR((POWER((AJ808/IF(AND(X808&gt;=2,X808&lt;4),1.1,IF(AND(X808&gt;=4,X808&lt;6),1.15,IF(X808&gt;=6,1.2,1)))/$Z$1),0.5)/INDEX($BD$4:$BQ$4,MATCH(X808,$BD$3:$BQ$3,0))-1)*10,1),"")</f>
        <v/>
      </c>
      <c r="AE808" s="16" t="str">
        <f t="shared" si="232"/>
        <v/>
      </c>
      <c r="AF808" s="16" t="str">
        <f t="shared" si="232"/>
        <v/>
      </c>
      <c r="AG808" s="16" t="str">
        <f t="shared" si="232"/>
        <v/>
      </c>
      <c r="AH808" s="16" t="str">
        <f t="shared" si="232"/>
        <v/>
      </c>
      <c r="BR808" s="7">
        <v>5406073</v>
      </c>
      <c r="BS808" s="9">
        <f>[1]monsters!$N808</f>
        <v>67.2</v>
      </c>
      <c r="BT808" s="9">
        <f>[1]monsters!$O808</f>
        <v>6.72</v>
      </c>
      <c r="BU808" s="9">
        <f>[1]monsters!$P808</f>
        <v>213.33400000000003</v>
      </c>
      <c r="BV808" s="9">
        <f>[1]monsters!$Q808</f>
        <v>106.67</v>
      </c>
      <c r="BW808" s="9">
        <f>[1]monsters!$R808</f>
        <v>13.44</v>
      </c>
      <c r="BX808" s="9">
        <f>[1]monsters!$S808</f>
        <v>1.34</v>
      </c>
      <c r="BY808" s="9">
        <f>[1]monsters!$K808</f>
        <v>1.4000000000000001</v>
      </c>
      <c r="BZ808" s="7">
        <f>[1]monsters!$D808</f>
        <v>2</v>
      </c>
      <c r="CA808" s="7">
        <f t="shared" si="227"/>
        <v>0.1</v>
      </c>
      <c r="CB808" s="7">
        <f t="shared" si="228"/>
        <v>70.686962962962966</v>
      </c>
      <c r="CC808" s="7">
        <f t="shared" si="229"/>
        <v>7.0686962962962969</v>
      </c>
      <c r="CD808" s="7"/>
      <c r="CE808" s="7"/>
      <c r="CF808" s="7"/>
      <c r="CG808" s="7"/>
      <c r="CH808" s="7"/>
      <c r="CI808" s="7"/>
      <c r="CJ808" s="7"/>
      <c r="CK808" s="7"/>
      <c r="CL808" s="7"/>
      <c r="CM808" s="7"/>
      <c r="CN808" s="7"/>
      <c r="CO808" s="7"/>
      <c r="CP808" s="7"/>
      <c r="CR808" s="25"/>
      <c r="CS808" s="25"/>
      <c r="CT808" s="25"/>
      <c r="CU808" s="25"/>
      <c r="CV808" s="25"/>
      <c r="CW808" s="25"/>
      <c r="DP808" s="32"/>
      <c r="DQ808" s="32"/>
      <c r="DR808" s="36"/>
      <c r="DS808" s="36"/>
      <c r="DT808" s="32"/>
      <c r="DU808" s="32"/>
      <c r="DV808" s="32"/>
      <c r="DW808" s="32"/>
      <c r="DX808" s="32"/>
      <c r="DY808" s="32"/>
      <c r="DZ808" s="32"/>
      <c r="EA808" s="32"/>
      <c r="EB808" s="31"/>
    </row>
    <row r="809" spans="15:135" ht="13.5" customHeight="1">
      <c r="AC809" s="16" t="str">
        <f t="shared" si="230"/>
        <v/>
      </c>
      <c r="AD809" s="16" t="str">
        <f t="shared" si="232"/>
        <v/>
      </c>
      <c r="AE809" s="16" t="str">
        <f t="shared" si="232"/>
        <v/>
      </c>
      <c r="AF809" s="16" t="str">
        <f t="shared" si="232"/>
        <v/>
      </c>
      <c r="AG809" s="16" t="str">
        <f t="shared" si="232"/>
        <v/>
      </c>
      <c r="AH809" s="16" t="str">
        <f t="shared" si="232"/>
        <v/>
      </c>
      <c r="BR809" s="7">
        <v>5205073</v>
      </c>
      <c r="BS809" s="9">
        <f>[1]monsters!$N809</f>
        <v>110.93</v>
      </c>
      <c r="BT809" s="9">
        <f>[1]monsters!$O809</f>
        <v>11.09</v>
      </c>
      <c r="BU809" s="9">
        <f>[1]monsters!$P809</f>
        <v>147.69200000000001</v>
      </c>
      <c r="BV809" s="9">
        <f>[1]monsters!$Q809</f>
        <v>73.849999999999994</v>
      </c>
      <c r="BW809" s="9">
        <f>[1]monsters!$R809</f>
        <v>11.09</v>
      </c>
      <c r="BX809" s="9">
        <f>[1]monsters!$S809</f>
        <v>1.1100000000000001</v>
      </c>
      <c r="BY809" s="9">
        <f>[1]monsters!$K809</f>
        <v>1.6</v>
      </c>
      <c r="BZ809" s="7">
        <f>[1]monsters!$D809</f>
        <v>4</v>
      </c>
      <c r="CA809" s="7">
        <f t="shared" si="227"/>
        <v>0.1</v>
      </c>
      <c r="CB809" s="7">
        <f t="shared" si="228"/>
        <v>109.80164461279463</v>
      </c>
      <c r="CC809" s="7">
        <f t="shared" si="229"/>
        <v>10.980164461279465</v>
      </c>
      <c r="CD809" s="7"/>
      <c r="CE809" s="7"/>
      <c r="CF809" s="7"/>
      <c r="CG809" s="7"/>
      <c r="CH809" s="7"/>
      <c r="CI809" s="7"/>
      <c r="CJ809" s="7"/>
      <c r="CK809" s="7"/>
      <c r="CL809" s="7"/>
      <c r="CM809" s="7"/>
      <c r="CN809" s="7"/>
      <c r="CO809" s="7"/>
      <c r="CP809" s="7"/>
      <c r="CR809" s="25"/>
      <c r="CS809" s="25"/>
      <c r="CT809" s="25"/>
      <c r="CU809" s="25"/>
      <c r="CV809" s="25"/>
      <c r="CW809" s="25"/>
      <c r="DP809" s="32"/>
      <c r="DQ809" s="32"/>
      <c r="DR809" s="32"/>
      <c r="DS809" s="14"/>
      <c r="DT809" s="14"/>
      <c r="DU809" s="14"/>
      <c r="DV809" s="32"/>
      <c r="DW809" s="32"/>
      <c r="DX809" s="32"/>
      <c r="DY809" s="32"/>
      <c r="DZ809" s="32"/>
      <c r="EA809" s="32"/>
      <c r="EB809" s="31"/>
    </row>
    <row r="810" spans="15:135" ht="13.5" customHeight="1">
      <c r="AC810" s="16" t="str">
        <f t="shared" si="230"/>
        <v/>
      </c>
      <c r="AD810" s="16" t="str">
        <f t="shared" si="232"/>
        <v/>
      </c>
      <c r="AE810" s="16" t="str">
        <f t="shared" si="232"/>
        <v/>
      </c>
      <c r="AF810" s="16" t="str">
        <f t="shared" si="232"/>
        <v/>
      </c>
      <c r="AG810" s="16" t="str">
        <f t="shared" si="232"/>
        <v/>
      </c>
      <c r="AH810" s="16" t="str">
        <f t="shared" si="232"/>
        <v/>
      </c>
      <c r="BR810" s="7">
        <v>5405073</v>
      </c>
      <c r="BS810" s="9">
        <f>[1]monsters!$N810</f>
        <v>102.4</v>
      </c>
      <c r="BT810" s="9">
        <f>[1]monsters!$O810</f>
        <v>10.24</v>
      </c>
      <c r="BU810" s="9">
        <f>[1]monsters!$P810</f>
        <v>160</v>
      </c>
      <c r="BV810" s="9">
        <f>[1]monsters!$Q810</f>
        <v>80</v>
      </c>
      <c r="BW810" s="9">
        <f>[1]monsters!$R810</f>
        <v>17.07</v>
      </c>
      <c r="BX810" s="9">
        <f>[1]monsters!$S810</f>
        <v>1.71</v>
      </c>
      <c r="BY810" s="9">
        <f>[1]monsters!$K810</f>
        <v>1.6</v>
      </c>
      <c r="BZ810" s="7">
        <f>[1]monsters!$D810</f>
        <v>5</v>
      </c>
      <c r="CA810" s="7">
        <f t="shared" si="227"/>
        <v>0.1</v>
      </c>
      <c r="CB810" s="7">
        <f t="shared" si="228"/>
        <v>102.1552053872054</v>
      </c>
      <c r="CC810" s="7">
        <f t="shared" si="229"/>
        <v>10.21552053872054</v>
      </c>
      <c r="CD810" s="7"/>
      <c r="CE810" s="7"/>
      <c r="CF810" s="7"/>
      <c r="CG810" s="7"/>
      <c r="CH810" s="7"/>
      <c r="CI810" s="7"/>
      <c r="CJ810" s="7"/>
      <c r="CK810" s="7"/>
      <c r="CL810" s="7"/>
      <c r="CM810" s="7"/>
      <c r="CN810" s="7"/>
      <c r="CO810" s="7"/>
      <c r="CP810" s="7"/>
      <c r="CR810" s="25"/>
      <c r="CS810" s="25"/>
      <c r="CT810" s="25"/>
      <c r="CU810" s="25"/>
      <c r="CV810" s="25"/>
      <c r="CW810" s="25"/>
      <c r="DP810" s="32"/>
      <c r="DQ810" s="32"/>
      <c r="DR810" s="36"/>
      <c r="DS810" s="36"/>
      <c r="DT810" s="32"/>
      <c r="DU810" s="32"/>
      <c r="DV810" s="32"/>
      <c r="DW810" s="32"/>
      <c r="DX810" s="32"/>
      <c r="DY810" s="32"/>
      <c r="DZ810" s="32"/>
      <c r="EA810" s="32"/>
      <c r="EB810" s="15"/>
    </row>
    <row r="811" spans="15:135" ht="13.5" customHeight="1">
      <c r="AC811" s="16" t="str">
        <f t="shared" si="230"/>
        <v/>
      </c>
      <c r="AD811" s="16" t="str">
        <f t="shared" si="232"/>
        <v/>
      </c>
      <c r="AE811" s="16" t="str">
        <f t="shared" si="232"/>
        <v/>
      </c>
      <c r="AF811" s="16" t="str">
        <f t="shared" si="232"/>
        <v/>
      </c>
      <c r="AG811" s="16" t="str">
        <f t="shared" si="232"/>
        <v/>
      </c>
      <c r="AH811" s="16" t="str">
        <f t="shared" si="232"/>
        <v/>
      </c>
      <c r="BR811" s="7">
        <v>5203073</v>
      </c>
      <c r="BS811" s="9">
        <f>[1]monsters!$N811</f>
        <v>85.87</v>
      </c>
      <c r="BT811" s="9">
        <f>[1]monsters!$O811</f>
        <v>8.59</v>
      </c>
      <c r="BU811" s="9">
        <f>[1]monsters!$P811</f>
        <v>166.95600000000002</v>
      </c>
      <c r="BV811" s="9">
        <f>[1]monsters!$Q811</f>
        <v>83.48</v>
      </c>
      <c r="BW811" s="9">
        <f>[1]monsters!$R811</f>
        <v>10.73</v>
      </c>
      <c r="BX811" s="9">
        <f>[1]monsters!$S811</f>
        <v>1.07</v>
      </c>
      <c r="BY811" s="9">
        <f>[1]monsters!$K811</f>
        <v>1.4000000000000001</v>
      </c>
      <c r="BZ811" s="7">
        <f>[1]monsters!$D811</f>
        <v>3</v>
      </c>
      <c r="CA811" s="7">
        <f t="shared" si="227"/>
        <v>0.1</v>
      </c>
      <c r="CB811" s="7">
        <f t="shared" si="228"/>
        <v>86.768564141414146</v>
      </c>
      <c r="CC811" s="7">
        <f t="shared" si="229"/>
        <v>8.6768564141414153</v>
      </c>
      <c r="CD811" s="7"/>
      <c r="CE811" s="7"/>
      <c r="CF811" s="7"/>
      <c r="CG811" s="7"/>
      <c r="CH811" s="7"/>
      <c r="CI811" s="7"/>
      <c r="CJ811" s="7"/>
      <c r="CK811" s="7"/>
      <c r="CL811" s="7"/>
      <c r="CM811" s="7"/>
      <c r="CN811" s="7"/>
      <c r="CO811" s="7"/>
      <c r="CP811" s="7"/>
      <c r="CR811" s="25"/>
      <c r="CS811" s="25"/>
      <c r="CT811" s="25"/>
      <c r="CU811" s="25"/>
      <c r="CV811" s="25"/>
      <c r="CW811" s="25"/>
      <c r="DP811" s="32"/>
      <c r="DQ811" s="32"/>
      <c r="DR811" s="36"/>
      <c r="DS811" s="36"/>
      <c r="DT811" s="36"/>
      <c r="DU811" s="36"/>
      <c r="DV811" s="32"/>
      <c r="DW811" s="32"/>
      <c r="DX811" s="32"/>
      <c r="DY811" s="32"/>
      <c r="DZ811" s="32"/>
      <c r="EA811" s="32"/>
      <c r="EB811" s="31"/>
    </row>
    <row r="812" spans="15:135" ht="13.5" customHeight="1">
      <c r="AC812" s="16" t="str">
        <f t="shared" si="230"/>
        <v/>
      </c>
      <c r="AD812" s="16" t="str">
        <f t="shared" si="232"/>
        <v/>
      </c>
      <c r="AE812" s="16" t="str">
        <f t="shared" si="232"/>
        <v/>
      </c>
      <c r="AF812" s="16" t="str">
        <f t="shared" si="232"/>
        <v/>
      </c>
      <c r="AG812" s="16" t="str">
        <f t="shared" si="232"/>
        <v/>
      </c>
      <c r="AH812" s="16" t="str">
        <f t="shared" si="232"/>
        <v/>
      </c>
      <c r="BR812" s="7">
        <v>5403073</v>
      </c>
      <c r="BS812" s="9">
        <f>[1]monsters!$N812</f>
        <v>62.4</v>
      </c>
      <c r="BT812" s="9">
        <f>[1]monsters!$O812</f>
        <v>6.24</v>
      </c>
      <c r="BU812" s="9">
        <f>[1]monsters!$P812</f>
        <v>213.33400000000003</v>
      </c>
      <c r="BV812" s="9">
        <f>[1]monsters!$Q812</f>
        <v>106.67</v>
      </c>
      <c r="BW812" s="9">
        <f>[1]monsters!$R812</f>
        <v>12.48</v>
      </c>
      <c r="BX812" s="9">
        <f>[1]monsters!$S812</f>
        <v>1.25</v>
      </c>
      <c r="BY812" s="9">
        <f>[1]monsters!$K812</f>
        <v>1.3</v>
      </c>
      <c r="BZ812" s="7">
        <f>[1]monsters!$D812</f>
        <v>2</v>
      </c>
      <c r="CA812" s="7">
        <f t="shared" si="227"/>
        <v>0.1</v>
      </c>
      <c r="CB812" s="7">
        <f t="shared" si="228"/>
        <v>66.150962962962964</v>
      </c>
      <c r="CC812" s="7">
        <f t="shared" si="229"/>
        <v>6.6150962962962971</v>
      </c>
      <c r="CD812" s="7"/>
      <c r="CE812" s="7"/>
      <c r="CF812" s="7"/>
      <c r="CG812" s="7"/>
      <c r="CH812" s="7"/>
      <c r="CI812" s="7"/>
      <c r="CJ812" s="7"/>
      <c r="CK812" s="7"/>
      <c r="CL812" s="7"/>
      <c r="CM812" s="7"/>
      <c r="CN812" s="7"/>
      <c r="CO812" s="7"/>
      <c r="CP812" s="7"/>
      <c r="CR812" s="25"/>
      <c r="CS812" s="25"/>
      <c r="CT812" s="25"/>
      <c r="CU812" s="25"/>
      <c r="CV812" s="25"/>
      <c r="CW812" s="25"/>
      <c r="DP812" s="32"/>
      <c r="DQ812" s="36"/>
      <c r="DR812" s="32"/>
      <c r="DS812" s="36"/>
      <c r="DT812" s="36"/>
      <c r="DU812" s="14"/>
      <c r="DV812" s="32"/>
      <c r="DW812" s="32"/>
      <c r="DX812" s="32"/>
      <c r="DY812" s="32"/>
      <c r="DZ812" s="32"/>
      <c r="EA812" s="32"/>
      <c r="EB812" s="31"/>
    </row>
    <row r="813" spans="15:135" ht="13.5" customHeight="1">
      <c r="AC813" s="16" t="str">
        <f t="shared" si="230"/>
        <v/>
      </c>
      <c r="AD813" s="16" t="str">
        <f t="shared" si="232"/>
        <v/>
      </c>
      <c r="AE813" s="16" t="str">
        <f t="shared" si="232"/>
        <v/>
      </c>
      <c r="AF813" s="16" t="str">
        <f t="shared" si="232"/>
        <v/>
      </c>
      <c r="AG813" s="16" t="str">
        <f t="shared" si="232"/>
        <v/>
      </c>
      <c r="AH813" s="16" t="str">
        <f t="shared" si="232"/>
        <v/>
      </c>
      <c r="BR813" s="7">
        <v>5204073</v>
      </c>
      <c r="BS813" s="9">
        <f>[1]monsters!$N813</f>
        <v>83.2</v>
      </c>
      <c r="BT813" s="9">
        <f>[1]monsters!$O813</f>
        <v>8.32</v>
      </c>
      <c r="BU813" s="9">
        <f>[1]monsters!$P813</f>
        <v>160</v>
      </c>
      <c r="BV813" s="9">
        <f>[1]monsters!$Q813</f>
        <v>80</v>
      </c>
      <c r="BW813" s="9">
        <f>[1]monsters!$R813</f>
        <v>8.32</v>
      </c>
      <c r="BX813" s="9">
        <f>[1]monsters!$S813</f>
        <v>0.83</v>
      </c>
      <c r="BY813" s="9">
        <f>[1]monsters!$K813</f>
        <v>1.3</v>
      </c>
      <c r="BZ813" s="7">
        <f>[1]monsters!$D813</f>
        <v>4</v>
      </c>
      <c r="CA813" s="7">
        <f t="shared" si="227"/>
        <v>0.1</v>
      </c>
      <c r="CB813" s="7">
        <f t="shared" si="228"/>
        <v>84.011205387205393</v>
      </c>
      <c r="CC813" s="7">
        <f t="shared" si="229"/>
        <v>8.401120538720539</v>
      </c>
      <c r="CD813" s="7"/>
      <c r="CE813" s="7"/>
      <c r="CF813" s="7"/>
      <c r="CG813" s="7"/>
      <c r="CH813" s="7"/>
      <c r="CI813" s="7"/>
      <c r="CJ813" s="7"/>
      <c r="CK813" s="7"/>
      <c r="CL813" s="7"/>
      <c r="CM813" s="7"/>
      <c r="CN813" s="7"/>
      <c r="CO813" s="7"/>
      <c r="CP813" s="7"/>
      <c r="CR813" s="25"/>
      <c r="CS813" s="25"/>
      <c r="CT813" s="25"/>
      <c r="CU813" s="25"/>
      <c r="CV813" s="25"/>
      <c r="CW813" s="25"/>
      <c r="DP813" s="32"/>
      <c r="DQ813" s="32"/>
      <c r="DR813" s="32"/>
      <c r="DS813" s="36"/>
      <c r="DT813" s="36"/>
      <c r="DU813" s="36"/>
      <c r="DV813" s="32"/>
      <c r="DW813" s="32"/>
      <c r="DX813" s="32"/>
      <c r="DY813" s="32"/>
      <c r="DZ813" s="32"/>
      <c r="EA813" s="32"/>
      <c r="EB813" s="31"/>
    </row>
    <row r="814" spans="15:135" ht="13.5" customHeight="1">
      <c r="AC814" s="16" t="str">
        <f t="shared" si="230"/>
        <v/>
      </c>
      <c r="AD814" s="16" t="str">
        <f t="shared" si="232"/>
        <v/>
      </c>
      <c r="AE814" s="16" t="str">
        <f t="shared" si="232"/>
        <v/>
      </c>
      <c r="AF814" s="16" t="str">
        <f t="shared" si="232"/>
        <v/>
      </c>
      <c r="AG814" s="16" t="str">
        <f t="shared" si="232"/>
        <v/>
      </c>
      <c r="AH814" s="16" t="str">
        <f t="shared" si="232"/>
        <v/>
      </c>
      <c r="BR814" s="7">
        <v>5404073</v>
      </c>
      <c r="BS814" s="9">
        <f>[1]monsters!$N814</f>
        <v>86.4</v>
      </c>
      <c r="BT814" s="9">
        <f>[1]monsters!$O814</f>
        <v>8.64</v>
      </c>
      <c r="BU814" s="9">
        <f>[1]monsters!$P814</f>
        <v>213.33400000000003</v>
      </c>
      <c r="BV814" s="9">
        <f>[1]monsters!$Q814</f>
        <v>106.67</v>
      </c>
      <c r="BW814" s="9">
        <f>[1]monsters!$R814</f>
        <v>17.28</v>
      </c>
      <c r="BX814" s="9">
        <f>[1]monsters!$S814</f>
        <v>1.73</v>
      </c>
      <c r="BY814" s="9">
        <f>[1]monsters!$K814</f>
        <v>1.8</v>
      </c>
      <c r="BZ814" s="7">
        <f>[1]monsters!$D814</f>
        <v>2</v>
      </c>
      <c r="CA814" s="7">
        <f t="shared" si="227"/>
        <v>0.1</v>
      </c>
      <c r="CB814" s="7">
        <f t="shared" si="228"/>
        <v>88.830962962962971</v>
      </c>
      <c r="CC814" s="7">
        <f t="shared" si="229"/>
        <v>8.8830962962962978</v>
      </c>
      <c r="CD814" s="7"/>
      <c r="CE814" s="7"/>
      <c r="CF814" s="7"/>
      <c r="CG814" s="7"/>
      <c r="CH814" s="7"/>
      <c r="CI814" s="7"/>
      <c r="CJ814" s="7"/>
      <c r="CK814" s="7"/>
      <c r="CL814" s="7"/>
      <c r="CM814" s="7"/>
      <c r="CN814" s="7"/>
      <c r="CO814" s="7"/>
      <c r="CP814" s="7"/>
      <c r="CR814" s="25"/>
      <c r="CS814" s="25"/>
      <c r="CT814" s="25"/>
      <c r="CU814" s="25"/>
      <c r="CV814" s="25"/>
      <c r="CW814" s="25"/>
      <c r="DP814" s="32"/>
      <c r="DQ814" s="32"/>
      <c r="DR814" s="32"/>
      <c r="DS814" s="32"/>
      <c r="DT814" s="32"/>
      <c r="DU814" s="32"/>
      <c r="DV814" s="32"/>
      <c r="DW814" s="32"/>
      <c r="DX814" s="32"/>
      <c r="DY814" s="32"/>
      <c r="DZ814" s="32"/>
      <c r="EA814" s="32"/>
      <c r="EB814" s="15"/>
    </row>
    <row r="815" spans="15:135" ht="13.5" customHeight="1">
      <c r="AC815" s="16" t="str">
        <f t="shared" si="230"/>
        <v/>
      </c>
      <c r="AD815" s="16" t="str">
        <f t="shared" si="232"/>
        <v/>
      </c>
      <c r="AE815" s="16" t="str">
        <f t="shared" si="232"/>
        <v/>
      </c>
      <c r="AF815" s="16" t="str">
        <f t="shared" si="232"/>
        <v/>
      </c>
      <c r="AG815" s="16" t="str">
        <f t="shared" si="232"/>
        <v/>
      </c>
      <c r="AH815" s="16" t="str">
        <f t="shared" si="232"/>
        <v/>
      </c>
      <c r="BR815" s="7">
        <v>5303073</v>
      </c>
      <c r="BS815" s="9">
        <f>[1]monsters!$N815</f>
        <v>100</v>
      </c>
      <c r="BT815" s="9">
        <f>[1]monsters!$O815</f>
        <v>10</v>
      </c>
      <c r="BU815" s="9">
        <f>[1]monsters!$P815</f>
        <v>153.60000000000002</v>
      </c>
      <c r="BV815" s="9">
        <f>[1]monsters!$Q815</f>
        <v>76.8</v>
      </c>
      <c r="BW815" s="9">
        <f>[1]monsters!$R815</f>
        <v>10</v>
      </c>
      <c r="BX815" s="9">
        <f>[1]monsters!$S815</f>
        <v>1</v>
      </c>
      <c r="BY815" s="9">
        <f>[1]monsters!$K815</f>
        <v>1.5</v>
      </c>
      <c r="BZ815" s="7">
        <f>[1]monsters!$D815</f>
        <v>4</v>
      </c>
      <c r="CA815" s="7">
        <f t="shared" si="227"/>
        <v>0.1</v>
      </c>
      <c r="CB815" s="7">
        <f t="shared" si="228"/>
        <v>99.671717171717177</v>
      </c>
      <c r="CC815" s="7">
        <f t="shared" si="229"/>
        <v>9.967171717171718</v>
      </c>
      <c r="CD815" s="7"/>
      <c r="CE815" s="7"/>
      <c r="CF815" s="7"/>
      <c r="CG815" s="7"/>
      <c r="CH815" s="7"/>
      <c r="CI815" s="7"/>
      <c r="CJ815" s="7"/>
      <c r="CK815" s="7"/>
      <c r="CL815" s="7"/>
      <c r="CM815" s="7"/>
      <c r="CN815" s="7"/>
      <c r="CO815" s="7"/>
      <c r="CP815" s="7"/>
      <c r="CR815" s="25"/>
      <c r="CS815" s="25"/>
      <c r="CT815" s="25"/>
      <c r="CU815" s="25"/>
      <c r="CV815" s="25"/>
      <c r="CW815" s="25"/>
      <c r="DP815" s="32"/>
      <c r="DQ815" s="32"/>
      <c r="DR815" s="32"/>
      <c r="DS815" s="32"/>
      <c r="DT815" s="32"/>
      <c r="DU815" s="32"/>
      <c r="DV815" s="32"/>
      <c r="DW815" s="32"/>
      <c r="DX815" s="32"/>
      <c r="DY815" s="32"/>
      <c r="DZ815" s="32"/>
      <c r="EA815" s="32"/>
      <c r="EB815" s="31"/>
    </row>
    <row r="816" spans="15:135" ht="13.5" customHeight="1">
      <c r="AC816" s="16" t="str">
        <f t="shared" si="230"/>
        <v/>
      </c>
      <c r="AD816" s="16" t="str">
        <f t="shared" si="232"/>
        <v/>
      </c>
      <c r="AE816" s="16" t="str">
        <f t="shared" si="232"/>
        <v/>
      </c>
      <c r="AF816" s="16" t="str">
        <f t="shared" si="232"/>
        <v/>
      </c>
      <c r="AG816" s="16" t="str">
        <f t="shared" si="232"/>
        <v/>
      </c>
      <c r="AH816" s="16" t="str">
        <f t="shared" si="232"/>
        <v/>
      </c>
      <c r="BR816" s="7">
        <v>5304073</v>
      </c>
      <c r="BS816" s="9">
        <f>[1]monsters!$N816</f>
        <v>76.27</v>
      </c>
      <c r="BT816" s="9">
        <f>[1]monsters!$O816</f>
        <v>7.63</v>
      </c>
      <c r="BU816" s="9">
        <f>[1]monsters!$P816</f>
        <v>174.54600000000002</v>
      </c>
      <c r="BV816" s="9">
        <f>[1]monsters!$Q816</f>
        <v>87.27</v>
      </c>
      <c r="BW816" s="9">
        <f>[1]monsters!$R816</f>
        <v>9.5299999999999994</v>
      </c>
      <c r="BX816" s="9">
        <f>[1]monsters!$S816</f>
        <v>0.95</v>
      </c>
      <c r="BY816" s="9">
        <f>[1]monsters!$K816</f>
        <v>1.3</v>
      </c>
      <c r="BZ816" s="7">
        <f>[1]monsters!$D816</f>
        <v>3</v>
      </c>
      <c r="CA816" s="7">
        <f t="shared" si="227"/>
        <v>0.1</v>
      </c>
      <c r="CB816" s="7">
        <f t="shared" si="228"/>
        <v>77.952119696969703</v>
      </c>
      <c r="CC816" s="7">
        <f t="shared" si="229"/>
        <v>7.7952119696969708</v>
      </c>
      <c r="CD816" s="7"/>
      <c r="CE816" s="7"/>
      <c r="CF816" s="7"/>
      <c r="CG816" s="7"/>
      <c r="CH816" s="7"/>
      <c r="CI816" s="7"/>
      <c r="CJ816" s="7"/>
      <c r="CK816" s="7"/>
      <c r="CL816" s="7"/>
      <c r="CM816" s="7"/>
      <c r="CN816" s="7"/>
      <c r="CO816" s="7"/>
      <c r="CP816" s="7"/>
      <c r="CR816" s="25"/>
      <c r="CS816" s="25"/>
      <c r="CT816" s="25"/>
      <c r="CU816" s="25"/>
      <c r="CV816" s="25"/>
      <c r="CW816" s="25"/>
      <c r="DP816" s="32"/>
      <c r="DQ816" s="32"/>
      <c r="DR816" s="32"/>
      <c r="DS816" s="32"/>
      <c r="DT816" s="32"/>
      <c r="DU816" s="32"/>
      <c r="DV816" s="32"/>
      <c r="DW816" s="32"/>
      <c r="DX816" s="32"/>
      <c r="DY816" s="32"/>
      <c r="DZ816" s="32"/>
      <c r="EA816" s="32"/>
      <c r="EB816" s="31"/>
    </row>
    <row r="817" spans="29:132" ht="13.5" customHeight="1">
      <c r="AC817" s="16" t="str">
        <f t="shared" si="230"/>
        <v/>
      </c>
      <c r="AD817" s="16" t="str">
        <f t="shared" si="232"/>
        <v/>
      </c>
      <c r="AE817" s="16" t="str">
        <f t="shared" si="232"/>
        <v/>
      </c>
      <c r="AF817" s="16" t="str">
        <f t="shared" si="232"/>
        <v/>
      </c>
      <c r="AG817" s="16" t="str">
        <f t="shared" si="232"/>
        <v/>
      </c>
      <c r="AH817" s="16" t="str">
        <f t="shared" si="232"/>
        <v/>
      </c>
      <c r="BR817" s="7">
        <v>5503073</v>
      </c>
      <c r="BS817" s="9">
        <f>[1]monsters!$N817</f>
        <v>105.6</v>
      </c>
      <c r="BT817" s="9">
        <f>[1]monsters!$O817</f>
        <v>10.56</v>
      </c>
      <c r="BU817" s="9">
        <f>[1]monsters!$P817</f>
        <v>174.54600000000002</v>
      </c>
      <c r="BV817" s="9">
        <f>[1]monsters!$Q817</f>
        <v>87.27</v>
      </c>
      <c r="BW817" s="9">
        <f>[1]monsters!$R817</f>
        <v>17.600000000000001</v>
      </c>
      <c r="BX817" s="9">
        <f>[1]monsters!$S817</f>
        <v>1.76</v>
      </c>
      <c r="BY817" s="9">
        <f>[1]monsters!$K817</f>
        <v>1.8</v>
      </c>
      <c r="BZ817" s="7">
        <f>[1]monsters!$D817</f>
        <v>5</v>
      </c>
      <c r="CA817" s="7">
        <f t="shared" si="227"/>
        <v>0.1</v>
      </c>
      <c r="CB817" s="7">
        <f t="shared" si="228"/>
        <v>105.6689696969697</v>
      </c>
      <c r="CC817" s="7">
        <f t="shared" si="229"/>
        <v>10.56689696969697</v>
      </c>
      <c r="CD817" s="7"/>
      <c r="CE817" s="7"/>
      <c r="CF817" s="7"/>
      <c r="CG817" s="7"/>
      <c r="CH817" s="7"/>
      <c r="CI817" s="7"/>
      <c r="CJ817" s="7"/>
      <c r="CK817" s="7"/>
      <c r="CL817" s="7"/>
      <c r="CM817" s="7"/>
      <c r="CN817" s="7"/>
      <c r="CO817" s="7"/>
      <c r="CP817" s="7"/>
      <c r="CR817" s="25"/>
      <c r="CS817" s="25"/>
      <c r="CT817" s="25"/>
      <c r="CU817" s="25"/>
      <c r="CV817" s="25"/>
      <c r="CW817" s="25"/>
      <c r="DP817" s="32"/>
      <c r="DQ817" s="32"/>
      <c r="DR817" s="32"/>
      <c r="DS817" s="32"/>
      <c r="DT817" s="32"/>
      <c r="DU817" s="32"/>
      <c r="DV817" s="32"/>
      <c r="DW817" s="32"/>
      <c r="DX817" s="32"/>
      <c r="DY817" s="32"/>
      <c r="DZ817" s="32"/>
      <c r="EA817" s="32"/>
      <c r="EB817" s="15"/>
    </row>
    <row r="818" spans="29:132" ht="13.5" customHeight="1">
      <c r="AC818" s="16" t="str">
        <f t="shared" si="230"/>
        <v/>
      </c>
      <c r="AD818" s="16" t="str">
        <f t="shared" si="232"/>
        <v/>
      </c>
      <c r="AE818" s="16" t="str">
        <f t="shared" si="232"/>
        <v/>
      </c>
      <c r="AF818" s="16" t="str">
        <f t="shared" si="232"/>
        <v/>
      </c>
      <c r="AG818" s="16" t="str">
        <f t="shared" si="232"/>
        <v/>
      </c>
      <c r="AH818" s="16" t="str">
        <f t="shared" si="232"/>
        <v/>
      </c>
      <c r="BR818" s="7">
        <v>5504073</v>
      </c>
      <c r="BS818" s="9">
        <f>[1]monsters!$N818</f>
        <v>76.8</v>
      </c>
      <c r="BT818" s="9">
        <f>[1]monsters!$O818</f>
        <v>7.68</v>
      </c>
      <c r="BU818" s="9">
        <f>[1]monsters!$P818</f>
        <v>213.33400000000003</v>
      </c>
      <c r="BV818" s="9">
        <f>[1]monsters!$Q818</f>
        <v>106.67</v>
      </c>
      <c r="BW818" s="9">
        <f>[1]monsters!$R818</f>
        <v>15.36</v>
      </c>
      <c r="BX818" s="9">
        <f>[1]monsters!$S818</f>
        <v>1.54</v>
      </c>
      <c r="BY818" s="9">
        <f>[1]monsters!$K818</f>
        <v>1.6</v>
      </c>
      <c r="BZ818" s="7">
        <f>[1]monsters!$D818</f>
        <v>2</v>
      </c>
      <c r="CA818" s="7">
        <f t="shared" si="227"/>
        <v>0.1</v>
      </c>
      <c r="CB818" s="7">
        <f t="shared" si="228"/>
        <v>79.758962962962968</v>
      </c>
      <c r="CC818" s="7">
        <f t="shared" si="229"/>
        <v>7.9758962962962974</v>
      </c>
      <c r="CD818" s="7"/>
      <c r="CE818" s="7"/>
      <c r="CF818" s="7"/>
      <c r="CG818" s="7"/>
      <c r="CH818" s="7"/>
      <c r="CI818" s="7"/>
      <c r="CJ818" s="7"/>
      <c r="CK818" s="7"/>
      <c r="CL818" s="7"/>
      <c r="CM818" s="7"/>
      <c r="CN818" s="7"/>
      <c r="CO818" s="7"/>
      <c r="CP818" s="7"/>
      <c r="CR818" s="25"/>
      <c r="CS818" s="25"/>
      <c r="CT818" s="25"/>
      <c r="CU818" s="25"/>
      <c r="CV818" s="25"/>
      <c r="CW818" s="25"/>
      <c r="DP818" s="32"/>
      <c r="DQ818" s="32"/>
      <c r="DR818" s="32"/>
      <c r="DS818" s="32"/>
      <c r="DT818" s="32"/>
      <c r="DU818" s="32"/>
      <c r="DV818" s="32"/>
      <c r="DW818" s="32"/>
      <c r="DX818" s="32"/>
      <c r="DY818" s="32"/>
      <c r="DZ818" s="32"/>
      <c r="EA818" s="32"/>
      <c r="EB818" s="31"/>
    </row>
    <row r="819" spans="29:132" ht="13.5" customHeight="1">
      <c r="AC819" s="16" t="str">
        <f t="shared" si="230"/>
        <v/>
      </c>
      <c r="AD819" s="16" t="str">
        <f t="shared" si="232"/>
        <v/>
      </c>
      <c r="AE819" s="16" t="str">
        <f t="shared" si="232"/>
        <v/>
      </c>
      <c r="AF819" s="16" t="str">
        <f t="shared" si="232"/>
        <v/>
      </c>
      <c r="AG819" s="16" t="str">
        <f t="shared" si="232"/>
        <v/>
      </c>
      <c r="AH819" s="16" t="str">
        <f t="shared" si="232"/>
        <v/>
      </c>
      <c r="BR819" s="7">
        <v>5101073</v>
      </c>
      <c r="BS819" s="9">
        <f>[1]monsters!$N819</f>
        <v>97.07</v>
      </c>
      <c r="BT819" s="9">
        <f>[1]monsters!$O819</f>
        <v>9.7100000000000009</v>
      </c>
      <c r="BU819" s="9">
        <f>[1]monsters!$P819</f>
        <v>147.69200000000001</v>
      </c>
      <c r="BV819" s="9">
        <f>[1]monsters!$Q819</f>
        <v>73.849999999999994</v>
      </c>
      <c r="BW819" s="9">
        <f>[1]monsters!$R819</f>
        <v>9.7100000000000009</v>
      </c>
      <c r="BX819" s="9">
        <f>[1]monsters!$S819</f>
        <v>0.97</v>
      </c>
      <c r="BY819" s="9">
        <f>[1]monsters!$K819</f>
        <v>1.4000000000000001</v>
      </c>
      <c r="BZ819" s="7">
        <f>[1]monsters!$D819</f>
        <v>4</v>
      </c>
      <c r="CA819" s="7">
        <f t="shared" si="227"/>
        <v>0.1</v>
      </c>
      <c r="CB819" s="7">
        <f t="shared" si="228"/>
        <v>96.703944612794615</v>
      </c>
      <c r="CC819" s="7">
        <f t="shared" si="229"/>
        <v>9.6703944612794626</v>
      </c>
      <c r="CD819" s="7"/>
      <c r="CE819" s="7"/>
      <c r="CF819" s="7"/>
      <c r="CG819" s="7"/>
      <c r="CH819" s="7"/>
      <c r="CI819" s="7"/>
      <c r="CJ819" s="7"/>
      <c r="CK819" s="7"/>
      <c r="CL819" s="7"/>
      <c r="CM819" s="7"/>
      <c r="CN819" s="7"/>
      <c r="CO819" s="7"/>
      <c r="CP819" s="7"/>
      <c r="CR819" s="25"/>
      <c r="CS819" s="25"/>
      <c r="CT819" s="25"/>
      <c r="CU819" s="25"/>
      <c r="CV819" s="25"/>
      <c r="CW819" s="25"/>
      <c r="DP819" s="32"/>
      <c r="DQ819" s="32"/>
      <c r="DR819" s="32"/>
      <c r="DS819" s="32"/>
      <c r="DT819" s="32"/>
      <c r="DU819" s="32"/>
      <c r="DV819" s="32"/>
      <c r="DW819" s="32"/>
      <c r="DX819" s="32"/>
      <c r="DY819" s="32"/>
      <c r="DZ819" s="32"/>
      <c r="EA819" s="32"/>
      <c r="EB819" s="31"/>
    </row>
    <row r="820" spans="29:132" ht="13.5" customHeight="1">
      <c r="AC820" s="16" t="str">
        <f t="shared" si="230"/>
        <v/>
      </c>
      <c r="AD820" s="16" t="str">
        <f t="shared" si="232"/>
        <v/>
      </c>
      <c r="AE820" s="16" t="str">
        <f t="shared" si="232"/>
        <v/>
      </c>
      <c r="AF820" s="16" t="str">
        <f t="shared" si="232"/>
        <v/>
      </c>
      <c r="AG820" s="16" t="str">
        <f t="shared" si="232"/>
        <v/>
      </c>
      <c r="AH820" s="16" t="str">
        <f t="shared" si="232"/>
        <v/>
      </c>
      <c r="BR820" s="7">
        <v>5102073</v>
      </c>
      <c r="BS820" s="9">
        <f>[1]monsters!$N820</f>
        <v>67.2</v>
      </c>
      <c r="BT820" s="9">
        <f>[1]monsters!$O820</f>
        <v>6.72</v>
      </c>
      <c r="BU820" s="9">
        <f>[1]monsters!$P820</f>
        <v>213.33400000000003</v>
      </c>
      <c r="BV820" s="9">
        <f>[1]monsters!$Q820</f>
        <v>106.67</v>
      </c>
      <c r="BW820" s="9">
        <f>[1]monsters!$R820</f>
        <v>13.44</v>
      </c>
      <c r="BX820" s="9">
        <f>[1]monsters!$S820</f>
        <v>1.34</v>
      </c>
      <c r="BY820" s="9">
        <f>[1]monsters!$K820</f>
        <v>1.4000000000000001</v>
      </c>
      <c r="BZ820" s="7">
        <f>[1]monsters!$D820</f>
        <v>2</v>
      </c>
      <c r="CA820" s="7">
        <f t="shared" si="227"/>
        <v>0.1</v>
      </c>
      <c r="CB820" s="7">
        <f t="shared" si="228"/>
        <v>70.686962962962966</v>
      </c>
      <c r="CC820" s="7">
        <f t="shared" si="229"/>
        <v>7.0686962962962969</v>
      </c>
      <c r="CD820" s="7"/>
      <c r="CE820" s="7"/>
      <c r="CF820" s="7"/>
      <c r="CG820" s="7"/>
      <c r="CH820" s="7"/>
      <c r="CI820" s="7"/>
      <c r="CJ820" s="7"/>
      <c r="CK820" s="7"/>
      <c r="CL820" s="7"/>
      <c r="CM820" s="7"/>
      <c r="CN820" s="7"/>
      <c r="CO820" s="7"/>
      <c r="CP820" s="7"/>
      <c r="CR820" s="25"/>
      <c r="CS820" s="25"/>
      <c r="CT820" s="25"/>
      <c r="CU820" s="25"/>
      <c r="CV820" s="25"/>
      <c r="CW820" s="25"/>
      <c r="DP820" s="13"/>
      <c r="DQ820" s="13"/>
      <c r="DR820" s="13"/>
      <c r="DS820" s="32"/>
      <c r="DT820" s="32"/>
      <c r="DU820" s="32"/>
      <c r="DV820" s="32"/>
      <c r="DW820" s="32"/>
      <c r="DX820" s="32"/>
      <c r="DY820" s="32"/>
      <c r="DZ820" s="32"/>
      <c r="EA820" s="32"/>
      <c r="EB820" s="31"/>
    </row>
    <row r="821" spans="29:132" ht="13.5" customHeight="1">
      <c r="AC821" s="16" t="str">
        <f t="shared" si="230"/>
        <v/>
      </c>
      <c r="AD821" s="16" t="str">
        <f t="shared" si="232"/>
        <v/>
      </c>
      <c r="AE821" s="16" t="str">
        <f t="shared" si="232"/>
        <v/>
      </c>
      <c r="AF821" s="16" t="str">
        <f t="shared" si="232"/>
        <v/>
      </c>
      <c r="AG821" s="16" t="str">
        <f t="shared" si="232"/>
        <v/>
      </c>
      <c r="AH821" s="16" t="str">
        <f t="shared" si="232"/>
        <v/>
      </c>
      <c r="BR821" s="7">
        <v>5206074</v>
      </c>
      <c r="BS821" s="9">
        <f>[1]monsters!$N821</f>
        <v>110.93</v>
      </c>
      <c r="BT821" s="9">
        <f>[1]monsters!$O821</f>
        <v>11.09</v>
      </c>
      <c r="BU821" s="9">
        <f>[1]monsters!$P821</f>
        <v>147.69200000000001</v>
      </c>
      <c r="BV821" s="9">
        <f>[1]monsters!$Q821</f>
        <v>73.849999999999994</v>
      </c>
      <c r="BW821" s="9">
        <f>[1]monsters!$R821</f>
        <v>11.09</v>
      </c>
      <c r="BX821" s="9">
        <f>[1]monsters!$S821</f>
        <v>1.1100000000000001</v>
      </c>
      <c r="BY821" s="9">
        <f>[1]monsters!$K821</f>
        <v>1.6</v>
      </c>
      <c r="BZ821" s="7">
        <f>[1]monsters!$D821</f>
        <v>4</v>
      </c>
      <c r="CA821" s="7">
        <f t="shared" si="227"/>
        <v>0.1</v>
      </c>
      <c r="CB821" s="7">
        <f t="shared" si="228"/>
        <v>109.80164461279463</v>
      </c>
      <c r="CC821" s="7">
        <f t="shared" si="229"/>
        <v>10.980164461279465</v>
      </c>
      <c r="CD821" s="7"/>
      <c r="CE821" s="7"/>
      <c r="CF821" s="7"/>
      <c r="CG821" s="7"/>
      <c r="CH821" s="7"/>
      <c r="CI821" s="7"/>
      <c r="CJ821" s="7"/>
      <c r="CK821" s="7"/>
      <c r="CL821" s="7"/>
      <c r="CM821" s="7"/>
      <c r="CN821" s="7"/>
      <c r="CO821" s="7"/>
      <c r="CP821" s="7"/>
      <c r="CR821" s="25"/>
      <c r="CS821" s="25"/>
      <c r="CT821" s="25"/>
      <c r="CU821" s="25"/>
      <c r="CV821" s="25"/>
      <c r="CW821" s="25"/>
      <c r="DP821" s="32"/>
      <c r="DQ821" s="32"/>
      <c r="DR821" s="32"/>
      <c r="DS821" s="32"/>
      <c r="DT821" s="32"/>
      <c r="DU821" s="32"/>
      <c r="DV821" s="32"/>
      <c r="DW821" s="32"/>
      <c r="DX821" s="32"/>
      <c r="DY821" s="32"/>
      <c r="DZ821" s="32"/>
      <c r="EA821" s="32"/>
      <c r="EB821" s="43"/>
    </row>
    <row r="822" spans="29:132" ht="13.5" customHeight="1">
      <c r="AC822" s="16" t="str">
        <f t="shared" si="230"/>
        <v/>
      </c>
      <c r="AD822" s="16" t="str">
        <f t="shared" si="232"/>
        <v/>
      </c>
      <c r="AE822" s="16" t="str">
        <f t="shared" si="232"/>
        <v/>
      </c>
      <c r="AF822" s="16" t="str">
        <f t="shared" si="232"/>
        <v/>
      </c>
      <c r="AG822" s="16" t="str">
        <f t="shared" si="232"/>
        <v/>
      </c>
      <c r="AH822" s="16" t="str">
        <f t="shared" si="232"/>
        <v/>
      </c>
      <c r="BR822" s="7">
        <v>5406074</v>
      </c>
      <c r="BS822" s="9">
        <f>[1]monsters!$N822</f>
        <v>102.4</v>
      </c>
      <c r="BT822" s="9">
        <f>[1]monsters!$O822</f>
        <v>10.24</v>
      </c>
      <c r="BU822" s="9">
        <f>[1]monsters!$P822</f>
        <v>160</v>
      </c>
      <c r="BV822" s="9">
        <f>[1]monsters!$Q822</f>
        <v>80</v>
      </c>
      <c r="BW822" s="9">
        <f>[1]monsters!$R822</f>
        <v>17.07</v>
      </c>
      <c r="BX822" s="9">
        <f>[1]monsters!$S822</f>
        <v>1.71</v>
      </c>
      <c r="BY822" s="9">
        <f>[1]monsters!$K822</f>
        <v>1.6</v>
      </c>
      <c r="BZ822" s="7">
        <f>[1]monsters!$D822</f>
        <v>5</v>
      </c>
      <c r="CA822" s="7">
        <f t="shared" si="227"/>
        <v>0.1</v>
      </c>
      <c r="CB822" s="7">
        <f t="shared" si="228"/>
        <v>102.1552053872054</v>
      </c>
      <c r="CC822" s="7">
        <f t="shared" si="229"/>
        <v>10.21552053872054</v>
      </c>
      <c r="CD822" s="7"/>
      <c r="CE822" s="7"/>
      <c r="CF822" s="7"/>
      <c r="CG822" s="7"/>
      <c r="CH822" s="7"/>
      <c r="CI822" s="7"/>
      <c r="CJ822" s="7"/>
      <c r="CK822" s="7"/>
      <c r="CL822" s="7"/>
      <c r="CM822" s="7"/>
      <c r="CN822" s="7"/>
      <c r="CO822" s="7"/>
      <c r="CP822" s="7"/>
      <c r="CR822" s="25"/>
      <c r="CS822" s="25"/>
      <c r="CT822" s="25"/>
      <c r="CU822" s="25"/>
      <c r="CV822" s="25"/>
      <c r="CW822" s="25"/>
      <c r="DP822" s="32"/>
      <c r="DQ822" s="32"/>
      <c r="DR822" s="32"/>
      <c r="DS822" s="32"/>
      <c r="DT822" s="32"/>
      <c r="DU822" s="32"/>
      <c r="DV822" s="32"/>
      <c r="DW822" s="32"/>
      <c r="DX822" s="32"/>
      <c r="DY822" s="32"/>
      <c r="DZ822" s="32"/>
      <c r="EA822" s="32"/>
      <c r="EB822" s="43"/>
    </row>
    <row r="823" spans="29:132" ht="13.5" customHeight="1">
      <c r="AC823" s="16" t="str">
        <f t="shared" si="230"/>
        <v/>
      </c>
      <c r="AD823" s="16" t="str">
        <f t="shared" si="232"/>
        <v/>
      </c>
      <c r="AE823" s="16" t="str">
        <f t="shared" si="232"/>
        <v/>
      </c>
      <c r="AF823" s="16" t="str">
        <f t="shared" si="232"/>
        <v/>
      </c>
      <c r="AG823" s="16" t="str">
        <f t="shared" si="232"/>
        <v/>
      </c>
      <c r="AH823" s="16" t="str">
        <f t="shared" si="232"/>
        <v/>
      </c>
      <c r="BR823" s="7">
        <v>5205074</v>
      </c>
      <c r="BS823" s="9">
        <f>[1]monsters!$N823</f>
        <v>85.87</v>
      </c>
      <c r="BT823" s="9">
        <f>[1]monsters!$O823</f>
        <v>8.59</v>
      </c>
      <c r="BU823" s="9">
        <f>[1]monsters!$P823</f>
        <v>166.95600000000002</v>
      </c>
      <c r="BV823" s="9">
        <f>[1]monsters!$Q823</f>
        <v>83.48</v>
      </c>
      <c r="BW823" s="9">
        <f>[1]monsters!$R823</f>
        <v>10.73</v>
      </c>
      <c r="BX823" s="9">
        <f>[1]monsters!$S823</f>
        <v>1.07</v>
      </c>
      <c r="BY823" s="9">
        <f>[1]monsters!$K823</f>
        <v>1.4000000000000001</v>
      </c>
      <c r="BZ823" s="7">
        <f>[1]monsters!$D823</f>
        <v>3</v>
      </c>
      <c r="CA823" s="7">
        <f t="shared" si="227"/>
        <v>0.1</v>
      </c>
      <c r="CB823" s="7">
        <f t="shared" si="228"/>
        <v>86.768564141414146</v>
      </c>
      <c r="CC823" s="7">
        <f t="shared" si="229"/>
        <v>8.6768564141414153</v>
      </c>
      <c r="CD823" s="7"/>
      <c r="CE823" s="7"/>
      <c r="CF823" s="7"/>
      <c r="CG823" s="7"/>
      <c r="CH823" s="7"/>
      <c r="CI823" s="7"/>
      <c r="CJ823" s="7"/>
      <c r="CK823" s="7"/>
      <c r="CL823" s="7"/>
      <c r="CM823" s="7"/>
      <c r="CN823" s="7"/>
      <c r="CO823" s="7"/>
      <c r="CP823" s="7"/>
      <c r="CR823" s="25"/>
      <c r="CS823" s="25"/>
      <c r="CT823" s="25"/>
      <c r="CU823" s="25"/>
      <c r="CV823" s="25"/>
      <c r="CW823" s="25"/>
      <c r="DP823" s="32"/>
      <c r="DQ823" s="32"/>
      <c r="DR823" s="32"/>
      <c r="DS823" s="32"/>
      <c r="DT823" s="32"/>
      <c r="DU823" s="32"/>
      <c r="DV823" s="32"/>
      <c r="DW823" s="32"/>
      <c r="DX823" s="32"/>
      <c r="DY823" s="32"/>
      <c r="DZ823" s="32"/>
      <c r="EA823" s="32"/>
      <c r="EB823" s="43"/>
    </row>
    <row r="824" spans="29:132" ht="13.5" customHeight="1">
      <c r="AC824" s="16" t="str">
        <f t="shared" si="230"/>
        <v/>
      </c>
      <c r="AD824" s="16" t="str">
        <f t="shared" si="232"/>
        <v/>
      </c>
      <c r="AE824" s="16" t="str">
        <f t="shared" si="232"/>
        <v/>
      </c>
      <c r="AF824" s="16" t="str">
        <f t="shared" si="232"/>
        <v/>
      </c>
      <c r="AG824" s="16" t="str">
        <f t="shared" si="232"/>
        <v/>
      </c>
      <c r="AH824" s="16" t="str">
        <f t="shared" si="232"/>
        <v/>
      </c>
      <c r="BR824" s="7">
        <v>5405074</v>
      </c>
      <c r="BS824" s="9">
        <f>[1]monsters!$N824</f>
        <v>62.4</v>
      </c>
      <c r="BT824" s="9">
        <f>[1]monsters!$O824</f>
        <v>6.24</v>
      </c>
      <c r="BU824" s="9">
        <f>[1]monsters!$P824</f>
        <v>213.33400000000003</v>
      </c>
      <c r="BV824" s="9">
        <f>[1]monsters!$Q824</f>
        <v>106.67</v>
      </c>
      <c r="BW824" s="9">
        <f>[1]monsters!$R824</f>
        <v>12.48</v>
      </c>
      <c r="BX824" s="9">
        <f>[1]monsters!$S824</f>
        <v>1.25</v>
      </c>
      <c r="BY824" s="9">
        <f>[1]monsters!$K824</f>
        <v>1.3</v>
      </c>
      <c r="BZ824" s="7">
        <f>[1]monsters!$D824</f>
        <v>2</v>
      </c>
      <c r="CA824" s="7">
        <f t="shared" si="227"/>
        <v>0.1</v>
      </c>
      <c r="CB824" s="7">
        <f t="shared" si="228"/>
        <v>66.150962962962964</v>
      </c>
      <c r="CC824" s="7">
        <f t="shared" si="229"/>
        <v>6.6150962962962971</v>
      </c>
      <c r="CD824" s="7"/>
      <c r="CE824" s="7"/>
      <c r="CF824" s="7"/>
      <c r="CG824" s="7"/>
      <c r="CH824" s="7"/>
      <c r="CI824" s="7"/>
      <c r="CJ824" s="7"/>
      <c r="CK824" s="7"/>
      <c r="CL824" s="7"/>
      <c r="CM824" s="7"/>
      <c r="CN824" s="7"/>
      <c r="CO824" s="7"/>
      <c r="CP824" s="7"/>
      <c r="CR824" s="25"/>
      <c r="CS824" s="25"/>
      <c r="CT824" s="25"/>
      <c r="CU824" s="25"/>
      <c r="CV824" s="25"/>
      <c r="CW824" s="25"/>
      <c r="DP824" s="32"/>
      <c r="DQ824" s="32"/>
      <c r="DR824" s="32"/>
      <c r="DS824" s="32"/>
      <c r="DT824" s="32"/>
      <c r="DU824" s="32"/>
      <c r="DV824" s="32"/>
      <c r="DW824" s="32"/>
      <c r="DX824" s="32"/>
      <c r="DY824" s="32"/>
      <c r="DZ824" s="32"/>
      <c r="EA824" s="32"/>
      <c r="EB824" s="21"/>
    </row>
    <row r="825" spans="29:132" ht="13.5" customHeight="1">
      <c r="AC825" s="16" t="str">
        <f t="shared" si="230"/>
        <v/>
      </c>
      <c r="AD825" s="16" t="str">
        <f t="shared" si="232"/>
        <v/>
      </c>
      <c r="AE825" s="16" t="str">
        <f t="shared" si="232"/>
        <v/>
      </c>
      <c r="AF825" s="16" t="str">
        <f t="shared" si="232"/>
        <v/>
      </c>
      <c r="AG825" s="16" t="str">
        <f t="shared" si="232"/>
        <v/>
      </c>
      <c r="AH825" s="16" t="str">
        <f t="shared" si="232"/>
        <v/>
      </c>
      <c r="BR825" s="7">
        <v>5203074</v>
      </c>
      <c r="BS825" s="9">
        <f>[1]monsters!$N825</f>
        <v>83.2</v>
      </c>
      <c r="BT825" s="9">
        <f>[1]monsters!$O825</f>
        <v>8.32</v>
      </c>
      <c r="BU825" s="9">
        <f>[1]monsters!$P825</f>
        <v>160</v>
      </c>
      <c r="BV825" s="9">
        <f>[1]monsters!$Q825</f>
        <v>80</v>
      </c>
      <c r="BW825" s="9">
        <f>[1]monsters!$R825</f>
        <v>8.32</v>
      </c>
      <c r="BX825" s="9">
        <f>[1]monsters!$S825</f>
        <v>0.83</v>
      </c>
      <c r="BY825" s="9">
        <f>[1]monsters!$K825</f>
        <v>1.3</v>
      </c>
      <c r="BZ825" s="7">
        <f>[1]monsters!$D825</f>
        <v>4</v>
      </c>
      <c r="CA825" s="7">
        <f t="shared" si="227"/>
        <v>0.1</v>
      </c>
      <c r="CB825" s="7">
        <f t="shared" si="228"/>
        <v>84.011205387205393</v>
      </c>
      <c r="CC825" s="7">
        <f t="shared" si="229"/>
        <v>8.401120538720539</v>
      </c>
      <c r="CD825" s="7"/>
      <c r="CE825" s="7"/>
      <c r="CF825" s="7"/>
      <c r="CG825" s="7"/>
      <c r="CH825" s="7"/>
      <c r="CI825" s="7"/>
      <c r="CJ825" s="7"/>
      <c r="CK825" s="7"/>
      <c r="CL825" s="7"/>
      <c r="CM825" s="7"/>
      <c r="CN825" s="7"/>
      <c r="CO825" s="7"/>
      <c r="CP825" s="7"/>
      <c r="CR825" s="25"/>
      <c r="CS825" s="25"/>
      <c r="CT825" s="25"/>
      <c r="CU825" s="25"/>
      <c r="CV825" s="25"/>
      <c r="CW825" s="25"/>
      <c r="DP825" s="32"/>
      <c r="DQ825" s="32"/>
      <c r="DR825" s="32"/>
      <c r="DS825" s="32"/>
      <c r="DT825" s="32"/>
      <c r="DU825" s="32"/>
      <c r="DV825" s="32"/>
      <c r="DW825" s="32"/>
      <c r="DX825" s="32"/>
      <c r="DY825" s="32"/>
      <c r="DZ825" s="32"/>
      <c r="EA825" s="32"/>
      <c r="EB825" s="43"/>
    </row>
    <row r="826" spans="29:132" ht="13.5" customHeight="1">
      <c r="AC826" s="16" t="str">
        <f t="shared" si="230"/>
        <v/>
      </c>
      <c r="AD826" s="16" t="str">
        <f t="shared" si="232"/>
        <v/>
      </c>
      <c r="AE826" s="16" t="str">
        <f t="shared" si="232"/>
        <v/>
      </c>
      <c r="AF826" s="16" t="str">
        <f t="shared" si="232"/>
        <v/>
      </c>
      <c r="AG826" s="16" t="str">
        <f t="shared" si="232"/>
        <v/>
      </c>
      <c r="AH826" s="16" t="str">
        <f t="shared" si="232"/>
        <v/>
      </c>
      <c r="BR826" s="7">
        <v>5403074</v>
      </c>
      <c r="BS826" s="9">
        <f>[1]monsters!$N826</f>
        <v>86.4</v>
      </c>
      <c r="BT826" s="9">
        <f>[1]monsters!$O826</f>
        <v>8.64</v>
      </c>
      <c r="BU826" s="9">
        <f>[1]monsters!$P826</f>
        <v>213.33400000000003</v>
      </c>
      <c r="BV826" s="9">
        <f>[1]monsters!$Q826</f>
        <v>106.67</v>
      </c>
      <c r="BW826" s="9">
        <f>[1]monsters!$R826</f>
        <v>17.28</v>
      </c>
      <c r="BX826" s="9">
        <f>[1]monsters!$S826</f>
        <v>1.73</v>
      </c>
      <c r="BY826" s="9">
        <f>[1]monsters!$K826</f>
        <v>1.8</v>
      </c>
      <c r="BZ826" s="7">
        <f>[1]monsters!$D826</f>
        <v>2</v>
      </c>
      <c r="CA826" s="7">
        <f t="shared" si="227"/>
        <v>0.1</v>
      </c>
      <c r="CB826" s="7">
        <f t="shared" si="228"/>
        <v>88.830962962962971</v>
      </c>
      <c r="CC826" s="7">
        <f t="shared" si="229"/>
        <v>8.8830962962962978</v>
      </c>
      <c r="CD826" s="7"/>
      <c r="CE826" s="7"/>
      <c r="CF826" s="7"/>
      <c r="CG826" s="7"/>
      <c r="CH826" s="7"/>
      <c r="CI826" s="7"/>
      <c r="CJ826" s="7"/>
      <c r="CK826" s="7"/>
      <c r="CL826" s="7"/>
      <c r="CM826" s="7"/>
      <c r="CN826" s="7"/>
      <c r="CO826" s="7"/>
      <c r="CP826" s="7"/>
      <c r="CR826" s="25"/>
      <c r="CS826" s="25"/>
      <c r="CT826" s="25"/>
      <c r="CU826" s="25"/>
      <c r="CV826" s="25"/>
      <c r="CW826" s="25"/>
      <c r="DP826" s="32"/>
      <c r="DQ826" s="32"/>
      <c r="DR826" s="32"/>
      <c r="DS826" s="32"/>
      <c r="DT826" s="32"/>
      <c r="DU826" s="32"/>
      <c r="DV826" s="32"/>
      <c r="DW826" s="32"/>
      <c r="DX826" s="32"/>
      <c r="DY826" s="32"/>
      <c r="DZ826" s="32"/>
      <c r="EA826" s="32"/>
      <c r="EB826" s="43"/>
    </row>
    <row r="827" spans="29:132" ht="13.5" customHeight="1">
      <c r="AC827" s="16" t="str">
        <f t="shared" si="230"/>
        <v/>
      </c>
      <c r="AD827" s="16" t="str">
        <f t="shared" si="232"/>
        <v/>
      </c>
      <c r="AE827" s="16" t="str">
        <f t="shared" si="232"/>
        <v/>
      </c>
      <c r="AF827" s="16" t="str">
        <f t="shared" si="232"/>
        <v/>
      </c>
      <c r="AG827" s="16" t="str">
        <f t="shared" si="232"/>
        <v/>
      </c>
      <c r="AH827" s="16" t="str">
        <f t="shared" si="232"/>
        <v/>
      </c>
      <c r="BR827" s="7">
        <v>5204074</v>
      </c>
      <c r="BS827" s="9">
        <f>[1]monsters!$N827</f>
        <v>100</v>
      </c>
      <c r="BT827" s="9">
        <f>[1]monsters!$O827</f>
        <v>10</v>
      </c>
      <c r="BU827" s="9">
        <f>[1]monsters!$P827</f>
        <v>153.60000000000002</v>
      </c>
      <c r="BV827" s="9">
        <f>[1]monsters!$Q827</f>
        <v>76.8</v>
      </c>
      <c r="BW827" s="9">
        <f>[1]monsters!$R827</f>
        <v>10</v>
      </c>
      <c r="BX827" s="9">
        <f>[1]monsters!$S827</f>
        <v>1</v>
      </c>
      <c r="BY827" s="9">
        <f>[1]monsters!$K827</f>
        <v>1.5</v>
      </c>
      <c r="BZ827" s="7">
        <f>[1]monsters!$D827</f>
        <v>4</v>
      </c>
      <c r="CA827" s="7">
        <f t="shared" si="227"/>
        <v>0.1</v>
      </c>
      <c r="CB827" s="7">
        <f t="shared" si="228"/>
        <v>99.671717171717177</v>
      </c>
      <c r="CC827" s="7">
        <f t="shared" si="229"/>
        <v>9.967171717171718</v>
      </c>
      <c r="CD827" s="7"/>
      <c r="CE827" s="7"/>
      <c r="CF827" s="7"/>
      <c r="CG827" s="7"/>
      <c r="CH827" s="7"/>
      <c r="CI827" s="7"/>
      <c r="CJ827" s="7"/>
      <c r="CK827" s="7"/>
      <c r="CL827" s="7"/>
      <c r="CM827" s="7"/>
      <c r="CN827" s="7"/>
      <c r="CO827" s="7"/>
      <c r="CP827" s="7"/>
      <c r="CR827" s="25"/>
      <c r="CS827" s="25"/>
      <c r="CT827" s="25"/>
      <c r="CU827" s="25"/>
      <c r="CV827" s="25"/>
      <c r="CW827" s="25"/>
      <c r="DP827" s="32"/>
      <c r="DQ827" s="32"/>
      <c r="DR827" s="32"/>
      <c r="DS827" s="32"/>
      <c r="DT827" s="32"/>
      <c r="DU827" s="32"/>
      <c r="DV827" s="32"/>
      <c r="DW827" s="32"/>
      <c r="DX827" s="32"/>
      <c r="DY827" s="32"/>
      <c r="DZ827" s="32"/>
      <c r="EA827" s="32"/>
      <c r="EB827" s="43"/>
    </row>
    <row r="828" spans="29:132" ht="13.5" customHeight="1">
      <c r="AC828" s="16" t="str">
        <f t="shared" si="230"/>
        <v/>
      </c>
      <c r="AD828" s="16" t="str">
        <f t="shared" si="232"/>
        <v/>
      </c>
      <c r="AE828" s="16" t="str">
        <f t="shared" si="232"/>
        <v/>
      </c>
      <c r="AF828" s="16" t="str">
        <f t="shared" si="232"/>
        <v/>
      </c>
      <c r="AG828" s="16" t="str">
        <f t="shared" si="232"/>
        <v/>
      </c>
      <c r="AH828" s="16" t="str">
        <f t="shared" si="232"/>
        <v/>
      </c>
      <c r="BR828" s="7">
        <v>5404074</v>
      </c>
      <c r="BS828" s="9">
        <f>[1]monsters!$N828</f>
        <v>76.27</v>
      </c>
      <c r="BT828" s="9">
        <f>[1]monsters!$O828</f>
        <v>7.63</v>
      </c>
      <c r="BU828" s="9">
        <f>[1]monsters!$P828</f>
        <v>174.54600000000002</v>
      </c>
      <c r="BV828" s="9">
        <f>[1]monsters!$Q828</f>
        <v>87.27</v>
      </c>
      <c r="BW828" s="9">
        <f>[1]monsters!$R828</f>
        <v>9.5299999999999994</v>
      </c>
      <c r="BX828" s="9">
        <f>[1]monsters!$S828</f>
        <v>0.95</v>
      </c>
      <c r="BY828" s="9">
        <f>[1]monsters!$K828</f>
        <v>1.3</v>
      </c>
      <c r="BZ828" s="7">
        <f>[1]monsters!$D828</f>
        <v>3</v>
      </c>
      <c r="CA828" s="7">
        <f t="shared" si="227"/>
        <v>0.1</v>
      </c>
      <c r="CB828" s="7">
        <f t="shared" si="228"/>
        <v>77.952119696969703</v>
      </c>
      <c r="CC828" s="7">
        <f t="shared" si="229"/>
        <v>7.7952119696969708</v>
      </c>
      <c r="CD828" s="7"/>
      <c r="CE828" s="7"/>
      <c r="CF828" s="7"/>
      <c r="CG828" s="7"/>
      <c r="CH828" s="7"/>
      <c r="CI828" s="7"/>
      <c r="CJ828" s="7"/>
      <c r="CK828" s="7"/>
      <c r="CL828" s="7"/>
      <c r="CM828" s="7"/>
      <c r="CN828" s="7"/>
      <c r="CO828" s="7"/>
      <c r="CP828" s="7"/>
      <c r="CR828" s="25"/>
      <c r="CS828" s="25"/>
      <c r="CT828" s="25"/>
      <c r="CU828" s="25"/>
      <c r="CV828" s="25"/>
      <c r="CW828" s="25"/>
      <c r="DP828" s="32"/>
      <c r="DQ828" s="32"/>
      <c r="DR828" s="32"/>
      <c r="DS828" s="32"/>
      <c r="DT828" s="32"/>
      <c r="DU828" s="32"/>
      <c r="DV828" s="32"/>
      <c r="DW828" s="32"/>
      <c r="DX828" s="32"/>
      <c r="DY828" s="32"/>
      <c r="DZ828" s="32"/>
      <c r="EA828" s="32"/>
      <c r="EB828" s="21"/>
    </row>
    <row r="829" spans="29:132" ht="13.5" customHeight="1">
      <c r="AC829" s="16" t="str">
        <f t="shared" si="230"/>
        <v/>
      </c>
      <c r="AD829" s="16" t="str">
        <f t="shared" si="232"/>
        <v/>
      </c>
      <c r="AE829" s="16" t="str">
        <f t="shared" si="232"/>
        <v/>
      </c>
      <c r="AF829" s="16" t="str">
        <f t="shared" si="232"/>
        <v/>
      </c>
      <c r="AG829" s="16" t="str">
        <f t="shared" si="232"/>
        <v/>
      </c>
      <c r="AH829" s="16" t="str">
        <f t="shared" si="232"/>
        <v/>
      </c>
      <c r="BR829" s="7">
        <v>5303074</v>
      </c>
      <c r="BS829" s="9">
        <f>[1]monsters!$N829</f>
        <v>105.6</v>
      </c>
      <c r="BT829" s="9">
        <f>[1]monsters!$O829</f>
        <v>10.56</v>
      </c>
      <c r="BU829" s="9">
        <f>[1]monsters!$P829</f>
        <v>174.54600000000002</v>
      </c>
      <c r="BV829" s="9">
        <f>[1]monsters!$Q829</f>
        <v>87.27</v>
      </c>
      <c r="BW829" s="9">
        <f>[1]monsters!$R829</f>
        <v>17.600000000000001</v>
      </c>
      <c r="BX829" s="9">
        <f>[1]monsters!$S829</f>
        <v>1.76</v>
      </c>
      <c r="BY829" s="9">
        <f>[1]monsters!$K829</f>
        <v>1.8</v>
      </c>
      <c r="BZ829" s="7">
        <f>[1]monsters!$D829</f>
        <v>5</v>
      </c>
      <c r="CA829" s="7">
        <f t="shared" si="227"/>
        <v>0.1</v>
      </c>
      <c r="CB829" s="7">
        <f t="shared" si="228"/>
        <v>105.6689696969697</v>
      </c>
      <c r="CC829" s="7">
        <f t="shared" si="229"/>
        <v>10.56689696969697</v>
      </c>
      <c r="CD829" s="7"/>
      <c r="CE829" s="7"/>
      <c r="CF829" s="7"/>
      <c r="CG829" s="7"/>
      <c r="CH829" s="7"/>
      <c r="CI829" s="7"/>
      <c r="CJ829" s="7"/>
      <c r="CK829" s="7"/>
      <c r="CL829" s="7"/>
      <c r="CM829" s="7"/>
      <c r="CN829" s="7"/>
      <c r="CO829" s="7"/>
      <c r="CP829" s="7"/>
      <c r="CR829" s="25"/>
      <c r="CS829" s="25"/>
      <c r="CT829" s="25"/>
      <c r="CU829" s="25"/>
      <c r="CV829" s="25"/>
      <c r="CW829" s="25"/>
      <c r="DP829" s="32"/>
      <c r="DQ829" s="32"/>
      <c r="DR829" s="32"/>
      <c r="DS829" s="32"/>
      <c r="DT829" s="32"/>
      <c r="DU829" s="32"/>
      <c r="DV829" s="32"/>
      <c r="DW829" s="32"/>
      <c r="DX829" s="32"/>
      <c r="DY829" s="32"/>
      <c r="DZ829" s="32"/>
      <c r="EA829" s="32"/>
      <c r="EB829" s="43"/>
    </row>
    <row r="830" spans="29:132" ht="13.5" customHeight="1">
      <c r="AC830" s="16" t="str">
        <f t="shared" si="230"/>
        <v/>
      </c>
      <c r="AD830" s="16" t="str">
        <f t="shared" si="232"/>
        <v/>
      </c>
      <c r="AE830" s="16" t="str">
        <f t="shared" si="232"/>
        <v/>
      </c>
      <c r="AF830" s="16" t="str">
        <f t="shared" si="232"/>
        <v/>
      </c>
      <c r="AG830" s="16" t="str">
        <f t="shared" si="232"/>
        <v/>
      </c>
      <c r="AH830" s="16" t="str">
        <f t="shared" si="232"/>
        <v/>
      </c>
      <c r="BR830" s="7">
        <v>5304074</v>
      </c>
      <c r="BS830" s="9">
        <f>[1]monsters!$N830</f>
        <v>76.8</v>
      </c>
      <c r="BT830" s="9">
        <f>[1]monsters!$O830</f>
        <v>7.68</v>
      </c>
      <c r="BU830" s="9">
        <f>[1]monsters!$P830</f>
        <v>213.33400000000003</v>
      </c>
      <c r="BV830" s="9">
        <f>[1]monsters!$Q830</f>
        <v>106.67</v>
      </c>
      <c r="BW830" s="9">
        <f>[1]monsters!$R830</f>
        <v>15.36</v>
      </c>
      <c r="BX830" s="9">
        <f>[1]monsters!$S830</f>
        <v>1.54</v>
      </c>
      <c r="BY830" s="9">
        <f>[1]monsters!$K830</f>
        <v>1.6</v>
      </c>
      <c r="BZ830" s="7">
        <f>[1]monsters!$D830</f>
        <v>2</v>
      </c>
      <c r="CA830" s="7">
        <f t="shared" si="227"/>
        <v>0.1</v>
      </c>
      <c r="CB830" s="7">
        <f t="shared" si="228"/>
        <v>79.758962962962968</v>
      </c>
      <c r="CC830" s="7">
        <f t="shared" si="229"/>
        <v>7.9758962962962974</v>
      </c>
      <c r="CD830" s="7"/>
      <c r="CE830" s="7"/>
      <c r="CF830" s="7"/>
      <c r="CG830" s="7"/>
      <c r="CH830" s="7"/>
      <c r="CI830" s="7"/>
      <c r="CJ830" s="7"/>
      <c r="CK830" s="7"/>
      <c r="CL830" s="7"/>
      <c r="CM830" s="7"/>
      <c r="CN830" s="7"/>
      <c r="CO830" s="7"/>
      <c r="CP830" s="7"/>
      <c r="CR830" s="25"/>
      <c r="CS830" s="25"/>
      <c r="CT830" s="25"/>
      <c r="CU830" s="25"/>
      <c r="CV830" s="25"/>
      <c r="CW830" s="25"/>
      <c r="DP830" s="32"/>
      <c r="DQ830" s="32"/>
      <c r="DR830" s="32"/>
      <c r="DS830" s="32"/>
      <c r="DT830" s="32"/>
      <c r="DU830" s="32"/>
      <c r="DV830" s="32"/>
      <c r="DW830" s="32"/>
      <c r="DX830" s="32"/>
      <c r="DY830" s="32"/>
      <c r="DZ830" s="32"/>
      <c r="EA830" s="32"/>
      <c r="EB830" s="43"/>
    </row>
    <row r="831" spans="29:132" ht="13.5" customHeight="1">
      <c r="AC831" s="16" t="str">
        <f t="shared" si="230"/>
        <v/>
      </c>
      <c r="AD831" s="16" t="str">
        <f t="shared" si="232"/>
        <v/>
      </c>
      <c r="AE831" s="16" t="str">
        <f t="shared" si="232"/>
        <v/>
      </c>
      <c r="AF831" s="16" t="str">
        <f t="shared" si="232"/>
        <v/>
      </c>
      <c r="AG831" s="16" t="str">
        <f t="shared" si="232"/>
        <v/>
      </c>
      <c r="AH831" s="16" t="str">
        <f t="shared" si="232"/>
        <v/>
      </c>
      <c r="BR831" s="7">
        <v>5503074</v>
      </c>
      <c r="BS831" s="9">
        <f>[1]monsters!$N831</f>
        <v>97.07</v>
      </c>
      <c r="BT831" s="9">
        <f>[1]monsters!$O831</f>
        <v>9.7100000000000009</v>
      </c>
      <c r="BU831" s="9">
        <f>[1]monsters!$P831</f>
        <v>147.69200000000001</v>
      </c>
      <c r="BV831" s="9">
        <f>[1]monsters!$Q831</f>
        <v>73.849999999999994</v>
      </c>
      <c r="BW831" s="9">
        <f>[1]monsters!$R831</f>
        <v>9.7100000000000009</v>
      </c>
      <c r="BX831" s="9">
        <f>[1]monsters!$S831</f>
        <v>0.97</v>
      </c>
      <c r="BY831" s="9">
        <f>[1]monsters!$K831</f>
        <v>1.4000000000000001</v>
      </c>
      <c r="BZ831" s="7">
        <f>[1]monsters!$D831</f>
        <v>4</v>
      </c>
      <c r="CA831" s="7">
        <f t="shared" si="227"/>
        <v>0.1</v>
      </c>
      <c r="CB831" s="7">
        <f t="shared" si="228"/>
        <v>96.703944612794615</v>
      </c>
      <c r="CC831" s="7">
        <f t="shared" si="229"/>
        <v>9.6703944612794626</v>
      </c>
      <c r="CD831" s="7"/>
      <c r="CE831" s="7"/>
      <c r="CF831" s="7"/>
      <c r="CG831" s="7"/>
      <c r="CH831" s="7"/>
      <c r="CI831" s="7"/>
      <c r="CJ831" s="7"/>
      <c r="CK831" s="7"/>
      <c r="CL831" s="7"/>
      <c r="CM831" s="7"/>
      <c r="CN831" s="7"/>
      <c r="CO831" s="7"/>
      <c r="CP831" s="7"/>
      <c r="CR831" s="25"/>
      <c r="CS831" s="25"/>
      <c r="CT831" s="25"/>
      <c r="CU831" s="25"/>
      <c r="CV831" s="25"/>
      <c r="CW831" s="25"/>
      <c r="DP831" s="32"/>
      <c r="DQ831" s="32"/>
      <c r="DR831" s="32"/>
      <c r="DS831" s="32"/>
      <c r="DT831" s="32"/>
      <c r="DU831" s="32"/>
      <c r="DV831" s="32"/>
      <c r="DW831" s="32"/>
      <c r="DX831" s="32"/>
      <c r="DY831" s="32"/>
      <c r="DZ831" s="32"/>
      <c r="EA831" s="32"/>
      <c r="EB831" s="21"/>
    </row>
    <row r="832" spans="29:132" ht="13.5" customHeight="1">
      <c r="AC832" s="16" t="str">
        <f t="shared" si="230"/>
        <v/>
      </c>
      <c r="AD832" s="16" t="str">
        <f t="shared" si="232"/>
        <v/>
      </c>
      <c r="AE832" s="16" t="str">
        <f t="shared" si="232"/>
        <v/>
      </c>
      <c r="AF832" s="16" t="str">
        <f t="shared" si="232"/>
        <v/>
      </c>
      <c r="AG832" s="16" t="str">
        <f t="shared" si="232"/>
        <v/>
      </c>
      <c r="AH832" s="16" t="str">
        <f t="shared" si="232"/>
        <v/>
      </c>
      <c r="BR832" s="7">
        <v>5504074</v>
      </c>
      <c r="BS832" s="9">
        <f>[1]monsters!$N832</f>
        <v>67.2</v>
      </c>
      <c r="BT832" s="9">
        <f>[1]monsters!$O832</f>
        <v>6.72</v>
      </c>
      <c r="BU832" s="9">
        <f>[1]monsters!$P832</f>
        <v>213.33400000000003</v>
      </c>
      <c r="BV832" s="9">
        <f>[1]monsters!$Q832</f>
        <v>106.67</v>
      </c>
      <c r="BW832" s="9">
        <f>[1]monsters!$R832</f>
        <v>13.44</v>
      </c>
      <c r="BX832" s="9">
        <f>[1]monsters!$S832</f>
        <v>1.34</v>
      </c>
      <c r="BY832" s="9">
        <f>[1]monsters!$K832</f>
        <v>1.4000000000000001</v>
      </c>
      <c r="BZ832" s="7">
        <f>[1]monsters!$D832</f>
        <v>2</v>
      </c>
      <c r="CA832" s="7">
        <f t="shared" si="227"/>
        <v>0.1</v>
      </c>
      <c r="CB832" s="7">
        <f t="shared" si="228"/>
        <v>70.686962962962966</v>
      </c>
      <c r="CC832" s="7">
        <f t="shared" si="229"/>
        <v>7.0686962962962969</v>
      </c>
      <c r="CD832" s="7"/>
      <c r="CE832" s="7"/>
      <c r="CF832" s="7"/>
      <c r="CG832" s="7"/>
      <c r="CH832" s="7"/>
      <c r="CI832" s="7"/>
      <c r="CJ832" s="7"/>
      <c r="CK832" s="7"/>
      <c r="CL832" s="7"/>
      <c r="CM832" s="7"/>
      <c r="CN832" s="7"/>
      <c r="CO832" s="7"/>
      <c r="CP832" s="7"/>
      <c r="CR832" s="25"/>
      <c r="CS832" s="25"/>
      <c r="CT832" s="25"/>
      <c r="CU832" s="25"/>
      <c r="CV832" s="25"/>
      <c r="CW832" s="25"/>
      <c r="DP832" s="32"/>
      <c r="DQ832" s="32"/>
      <c r="DR832" s="32"/>
      <c r="DS832" s="32"/>
      <c r="DT832" s="32"/>
      <c r="DU832" s="32"/>
      <c r="DV832" s="32"/>
      <c r="DW832" s="32"/>
      <c r="DX832" s="32"/>
      <c r="DY832" s="32"/>
      <c r="DZ832" s="32"/>
      <c r="EA832" s="32"/>
      <c r="EB832" s="43"/>
    </row>
    <row r="833" spans="29:132" ht="13.5" customHeight="1">
      <c r="AC833" s="16" t="str">
        <f t="shared" si="230"/>
        <v/>
      </c>
      <c r="AD833" s="16" t="str">
        <f t="shared" si="232"/>
        <v/>
      </c>
      <c r="AE833" s="16" t="str">
        <f t="shared" si="232"/>
        <v/>
      </c>
      <c r="AF833" s="16" t="str">
        <f t="shared" si="232"/>
        <v/>
      </c>
      <c r="AG833" s="16" t="str">
        <f t="shared" si="232"/>
        <v/>
      </c>
      <c r="AH833" s="16" t="str">
        <f t="shared" si="232"/>
        <v/>
      </c>
      <c r="BR833" s="7">
        <v>5101074</v>
      </c>
      <c r="BS833" s="9">
        <f>[1]monsters!$N833</f>
        <v>110.93</v>
      </c>
      <c r="BT833" s="9">
        <f>[1]monsters!$O833</f>
        <v>11.09</v>
      </c>
      <c r="BU833" s="9">
        <f>[1]monsters!$P833</f>
        <v>147.69200000000001</v>
      </c>
      <c r="BV833" s="9">
        <f>[1]monsters!$Q833</f>
        <v>73.849999999999994</v>
      </c>
      <c r="BW833" s="9">
        <f>[1]monsters!$R833</f>
        <v>11.09</v>
      </c>
      <c r="BX833" s="9">
        <f>[1]monsters!$S833</f>
        <v>1.1100000000000001</v>
      </c>
      <c r="BY833" s="9">
        <f>[1]monsters!$K833</f>
        <v>1.6</v>
      </c>
      <c r="BZ833" s="7">
        <f>[1]monsters!$D833</f>
        <v>4</v>
      </c>
      <c r="CA833" s="7">
        <f t="shared" si="227"/>
        <v>0.1</v>
      </c>
      <c r="CB833" s="7">
        <f t="shared" si="228"/>
        <v>109.80164461279463</v>
      </c>
      <c r="CC833" s="7">
        <f t="shared" si="229"/>
        <v>10.980164461279465</v>
      </c>
      <c r="CD833" s="7"/>
      <c r="CE833" s="7"/>
      <c r="CF833" s="7"/>
      <c r="CG833" s="7"/>
      <c r="CH833" s="7"/>
      <c r="CI833" s="7"/>
      <c r="CJ833" s="7"/>
      <c r="CK833" s="7"/>
      <c r="CL833" s="7"/>
      <c r="CM833" s="7"/>
      <c r="CN833" s="7"/>
      <c r="CO833" s="7"/>
      <c r="CP833" s="7"/>
      <c r="CR833" s="25"/>
      <c r="CS833" s="25"/>
      <c r="CT833" s="25"/>
      <c r="CU833" s="25"/>
      <c r="CV833" s="25"/>
      <c r="CW833" s="25"/>
      <c r="DP833" s="32"/>
      <c r="DQ833" s="32"/>
      <c r="DR833" s="32"/>
      <c r="DS833" s="32"/>
      <c r="DT833" s="32"/>
      <c r="DU833" s="32"/>
      <c r="DV833" s="32"/>
      <c r="DW833" s="32"/>
      <c r="DX833" s="32"/>
      <c r="DY833" s="32"/>
      <c r="DZ833" s="32"/>
      <c r="EA833" s="32"/>
      <c r="EB833" s="43"/>
    </row>
    <row r="834" spans="29:132" ht="13.5" customHeight="1">
      <c r="AC834" s="16" t="str">
        <f t="shared" si="230"/>
        <v/>
      </c>
      <c r="AD834" s="16" t="str">
        <f t="shared" si="232"/>
        <v/>
      </c>
      <c r="AE834" s="16" t="str">
        <f t="shared" si="232"/>
        <v/>
      </c>
      <c r="AF834" s="16" t="str">
        <f t="shared" si="232"/>
        <v/>
      </c>
      <c r="AG834" s="16" t="str">
        <f t="shared" si="232"/>
        <v/>
      </c>
      <c r="AH834" s="16" t="str">
        <f t="shared" si="232"/>
        <v/>
      </c>
      <c r="BR834" s="7">
        <v>5102074</v>
      </c>
      <c r="BS834" s="9">
        <f>[1]monsters!$N834</f>
        <v>102.4</v>
      </c>
      <c r="BT834" s="9">
        <f>[1]monsters!$O834</f>
        <v>10.24</v>
      </c>
      <c r="BU834" s="9">
        <f>[1]monsters!$P834</f>
        <v>160</v>
      </c>
      <c r="BV834" s="9">
        <f>[1]monsters!$Q834</f>
        <v>80</v>
      </c>
      <c r="BW834" s="9">
        <f>[1]monsters!$R834</f>
        <v>17.07</v>
      </c>
      <c r="BX834" s="9">
        <f>[1]monsters!$S834</f>
        <v>1.71</v>
      </c>
      <c r="BY834" s="9">
        <f>[1]monsters!$K834</f>
        <v>1.6</v>
      </c>
      <c r="BZ834" s="7">
        <f>[1]monsters!$D834</f>
        <v>5</v>
      </c>
      <c r="CA834" s="7">
        <f t="shared" si="227"/>
        <v>0.1</v>
      </c>
      <c r="CB834" s="7">
        <f t="shared" si="228"/>
        <v>102.1552053872054</v>
      </c>
      <c r="CC834" s="7">
        <f t="shared" si="229"/>
        <v>10.21552053872054</v>
      </c>
      <c r="CD834" s="7"/>
      <c r="CE834" s="7"/>
      <c r="CF834" s="7"/>
      <c r="CG834" s="7"/>
      <c r="CH834" s="7"/>
      <c r="CI834" s="7"/>
      <c r="CJ834" s="7"/>
      <c r="CK834" s="7"/>
      <c r="CL834" s="7"/>
      <c r="CM834" s="7"/>
      <c r="CN834" s="7"/>
      <c r="CO834" s="7"/>
      <c r="CP834" s="7"/>
      <c r="CR834" s="25"/>
      <c r="CS834" s="25"/>
      <c r="CT834" s="25"/>
      <c r="CU834" s="25"/>
      <c r="CV834" s="25"/>
      <c r="CW834" s="25"/>
      <c r="DP834" s="32"/>
      <c r="DQ834" s="32"/>
      <c r="DR834" s="32"/>
      <c r="DS834" s="32"/>
      <c r="DT834" s="32"/>
      <c r="DU834" s="32"/>
      <c r="DV834" s="32"/>
      <c r="DW834" s="32"/>
      <c r="DX834" s="32"/>
      <c r="DY834" s="32"/>
      <c r="DZ834" s="32"/>
      <c r="EA834" s="32"/>
      <c r="EB834" s="43"/>
    </row>
    <row r="835" spans="29:132" ht="13.5" customHeight="1">
      <c r="AC835" s="16" t="str">
        <f t="shared" si="230"/>
        <v/>
      </c>
      <c r="AD835" s="16" t="str">
        <f t="shared" si="232"/>
        <v/>
      </c>
      <c r="AE835" s="16" t="str">
        <f t="shared" si="232"/>
        <v/>
      </c>
      <c r="AF835" s="16" t="str">
        <f t="shared" si="232"/>
        <v/>
      </c>
      <c r="AG835" s="16" t="str">
        <f t="shared" si="232"/>
        <v/>
      </c>
      <c r="AH835" s="16" t="str">
        <f t="shared" si="232"/>
        <v/>
      </c>
      <c r="BR835" s="7">
        <v>5206075</v>
      </c>
      <c r="BS835" s="9">
        <f>[1]monsters!$N835</f>
        <v>85.87</v>
      </c>
      <c r="BT835" s="9">
        <f>[1]monsters!$O835</f>
        <v>8.59</v>
      </c>
      <c r="BU835" s="9">
        <f>[1]monsters!$P835</f>
        <v>166.95600000000002</v>
      </c>
      <c r="BV835" s="9">
        <f>[1]monsters!$Q835</f>
        <v>83.48</v>
      </c>
      <c r="BW835" s="9">
        <f>[1]monsters!$R835</f>
        <v>10.73</v>
      </c>
      <c r="BX835" s="9">
        <f>[1]monsters!$S835</f>
        <v>1.07</v>
      </c>
      <c r="BY835" s="9">
        <f>[1]monsters!$K835</f>
        <v>1.4000000000000001</v>
      </c>
      <c r="BZ835" s="7">
        <f>[1]monsters!$D835</f>
        <v>3</v>
      </c>
      <c r="CA835" s="7">
        <f t="shared" si="227"/>
        <v>0.1</v>
      </c>
      <c r="CB835" s="7">
        <f t="shared" si="228"/>
        <v>86.768564141414146</v>
      </c>
      <c r="CC835" s="7">
        <f t="shared" si="229"/>
        <v>8.6768564141414153</v>
      </c>
      <c r="CD835" s="7"/>
      <c r="CE835" s="7"/>
      <c r="CF835" s="7"/>
      <c r="CG835" s="7"/>
      <c r="CH835" s="7"/>
      <c r="CI835" s="7"/>
      <c r="CJ835" s="7"/>
      <c r="CK835" s="7"/>
      <c r="CL835" s="7"/>
      <c r="CM835" s="7"/>
      <c r="CN835" s="7"/>
      <c r="CO835" s="7"/>
      <c r="CP835" s="7"/>
      <c r="CR835" s="25"/>
      <c r="CS835" s="25"/>
      <c r="CT835" s="25"/>
      <c r="CU835" s="25"/>
      <c r="CV835" s="25"/>
      <c r="CW835" s="25"/>
      <c r="DP835" s="32"/>
      <c r="DQ835" s="32"/>
      <c r="DR835" s="32"/>
      <c r="DS835" s="32"/>
      <c r="DT835" s="32"/>
      <c r="DU835" s="32"/>
      <c r="DV835" s="32"/>
      <c r="DW835" s="32"/>
      <c r="DX835" s="32"/>
      <c r="DY835" s="32"/>
      <c r="DZ835" s="32"/>
      <c r="EA835" s="32"/>
      <c r="EB835" s="50"/>
    </row>
    <row r="836" spans="29:132" ht="13.5" customHeight="1">
      <c r="AC836" s="16" t="str">
        <f t="shared" si="230"/>
        <v/>
      </c>
      <c r="AD836" s="16" t="str">
        <f t="shared" si="232"/>
        <v/>
      </c>
      <c r="AE836" s="16" t="str">
        <f t="shared" si="232"/>
        <v/>
      </c>
      <c r="AF836" s="16" t="str">
        <f t="shared" si="232"/>
        <v/>
      </c>
      <c r="AG836" s="16" t="str">
        <f t="shared" si="232"/>
        <v/>
      </c>
      <c r="AH836" s="16" t="str">
        <f t="shared" si="232"/>
        <v/>
      </c>
      <c r="BR836" s="7">
        <v>5406075</v>
      </c>
      <c r="BS836" s="9">
        <f>[1]monsters!$N836</f>
        <v>62.4</v>
      </c>
      <c r="BT836" s="9">
        <f>[1]monsters!$O836</f>
        <v>6.24</v>
      </c>
      <c r="BU836" s="9">
        <f>[1]monsters!$P836</f>
        <v>213.33400000000003</v>
      </c>
      <c r="BV836" s="9">
        <f>[1]monsters!$Q836</f>
        <v>106.67</v>
      </c>
      <c r="BW836" s="9">
        <f>[1]monsters!$R836</f>
        <v>12.48</v>
      </c>
      <c r="BX836" s="9">
        <f>[1]monsters!$S836</f>
        <v>1.25</v>
      </c>
      <c r="BY836" s="9">
        <f>[1]monsters!$K836</f>
        <v>1.3</v>
      </c>
      <c r="BZ836" s="7">
        <f>[1]monsters!$D836</f>
        <v>2</v>
      </c>
      <c r="CA836" s="7">
        <f t="shared" si="227"/>
        <v>0.1</v>
      </c>
      <c r="CB836" s="7">
        <f t="shared" si="228"/>
        <v>66.150962962962964</v>
      </c>
      <c r="CC836" s="7">
        <f t="shared" si="229"/>
        <v>6.6150962962962971</v>
      </c>
      <c r="CD836" s="7"/>
      <c r="CE836" s="7"/>
      <c r="CF836" s="7"/>
      <c r="CG836" s="7"/>
      <c r="CH836" s="7"/>
      <c r="CI836" s="7"/>
      <c r="CJ836" s="7"/>
      <c r="CK836" s="7"/>
      <c r="CL836" s="7"/>
      <c r="CM836" s="7"/>
      <c r="CN836" s="7"/>
      <c r="CO836" s="7"/>
      <c r="CP836" s="7"/>
      <c r="CR836" s="25"/>
      <c r="CS836" s="25"/>
      <c r="CT836" s="25"/>
      <c r="CU836" s="25"/>
      <c r="CV836" s="25"/>
      <c r="CW836" s="25"/>
      <c r="DP836" s="32"/>
      <c r="DQ836" s="32"/>
      <c r="DR836" s="32"/>
      <c r="DS836" s="32"/>
      <c r="DT836" s="32"/>
      <c r="DU836" s="32"/>
      <c r="DV836" s="32"/>
      <c r="DW836" s="32"/>
      <c r="DX836" s="32"/>
      <c r="DY836" s="32"/>
      <c r="DZ836" s="32"/>
      <c r="EA836" s="32"/>
      <c r="EB836" s="50"/>
    </row>
    <row r="837" spans="29:132" ht="13.5" customHeight="1">
      <c r="AC837" s="16" t="str">
        <f t="shared" ref="AC837:AC900" si="233">IF(AI837&gt;0,FLOOR((POWER((AI837/IF(AND(W837&gt;=2,W837&lt;4),1.1,IF(AND(W837&gt;=4,W837&lt;6),1.2,IF(W837&gt;=6,1.4,1)))/$Z$1),0.5)/INDEX($BD$4:$BQ$4,MATCH(W837,$BD$3:$BQ$3,0))-1)*10,1),"")</f>
        <v/>
      </c>
      <c r="AD837" s="16" t="str">
        <f t="shared" si="232"/>
        <v/>
      </c>
      <c r="AE837" s="16" t="str">
        <f t="shared" si="232"/>
        <v/>
      </c>
      <c r="AF837" s="16" t="str">
        <f t="shared" si="232"/>
        <v/>
      </c>
      <c r="AG837" s="16" t="str">
        <f t="shared" si="232"/>
        <v/>
      </c>
      <c r="AH837" s="16" t="str">
        <f t="shared" si="232"/>
        <v/>
      </c>
      <c r="BR837" s="7">
        <v>5205075</v>
      </c>
      <c r="BS837" s="9">
        <f>[1]monsters!$N837</f>
        <v>83.2</v>
      </c>
      <c r="BT837" s="9">
        <f>[1]monsters!$O837</f>
        <v>8.32</v>
      </c>
      <c r="BU837" s="9">
        <f>[1]monsters!$P837</f>
        <v>160</v>
      </c>
      <c r="BV837" s="9">
        <f>[1]monsters!$Q837</f>
        <v>80</v>
      </c>
      <c r="BW837" s="9">
        <f>[1]monsters!$R837</f>
        <v>8.32</v>
      </c>
      <c r="BX837" s="9">
        <f>[1]monsters!$S837</f>
        <v>0.83</v>
      </c>
      <c r="BY837" s="9">
        <f>[1]monsters!$K837</f>
        <v>1.3</v>
      </c>
      <c r="BZ837" s="7">
        <f>[1]monsters!$D837</f>
        <v>4</v>
      </c>
      <c r="CA837" s="7">
        <f t="shared" ref="CA837:CA900" si="234">INDEX($CH$5:$CH$10,MATCH($BZ837,$CG$5:$CG$10))</f>
        <v>0.1</v>
      </c>
      <c r="CB837" s="7">
        <f t="shared" ref="CB837:CB900" si="235">(BU837/33/(1-CA837)/(1-0)+BS837*(1+0.5*0.1)*0.9)</f>
        <v>84.011205387205393</v>
      </c>
      <c r="CC837" s="7">
        <f t="shared" ref="CC837:CC900" si="236">(BU837/33/(1-CA837)/(1-0)+BS837*(1+0.5*0.1)*0.9)*0.1</f>
        <v>8.401120538720539</v>
      </c>
      <c r="CD837" s="7"/>
      <c r="CE837" s="7"/>
      <c r="CF837" s="7"/>
      <c r="CG837" s="7"/>
      <c r="CH837" s="7"/>
      <c r="CI837" s="7"/>
      <c r="CJ837" s="7"/>
      <c r="CK837" s="7"/>
      <c r="CL837" s="7"/>
      <c r="CM837" s="7"/>
      <c r="CN837" s="7"/>
      <c r="CO837" s="7"/>
      <c r="CP837" s="7"/>
      <c r="CR837" s="25"/>
      <c r="CS837" s="25"/>
      <c r="CT837" s="25"/>
      <c r="CU837" s="25"/>
      <c r="CV837" s="25"/>
      <c r="CW837" s="25"/>
      <c r="DP837" s="32"/>
      <c r="DQ837" s="32"/>
      <c r="DR837" s="32"/>
      <c r="DS837" s="32"/>
      <c r="DT837" s="32"/>
      <c r="DU837" s="32"/>
      <c r="DV837" s="32"/>
      <c r="DW837" s="32"/>
      <c r="DX837" s="32"/>
      <c r="DY837" s="32"/>
      <c r="DZ837" s="32"/>
      <c r="EA837" s="32"/>
      <c r="EB837" s="50"/>
    </row>
    <row r="838" spans="29:132" ht="13.5" customHeight="1">
      <c r="AC838" s="16" t="str">
        <f t="shared" si="233"/>
        <v/>
      </c>
      <c r="AD838" s="16" t="str">
        <f t="shared" si="232"/>
        <v/>
      </c>
      <c r="AE838" s="16" t="str">
        <f t="shared" si="232"/>
        <v/>
      </c>
      <c r="AF838" s="16" t="str">
        <f t="shared" si="232"/>
        <v/>
      </c>
      <c r="AG838" s="16" t="str">
        <f t="shared" si="232"/>
        <v/>
      </c>
      <c r="AH838" s="16" t="str">
        <f t="shared" si="232"/>
        <v/>
      </c>
      <c r="BR838" s="7">
        <v>5405075</v>
      </c>
      <c r="BS838" s="9">
        <f>[1]monsters!$N838</f>
        <v>86.4</v>
      </c>
      <c r="BT838" s="9">
        <f>[1]monsters!$O838</f>
        <v>8.64</v>
      </c>
      <c r="BU838" s="9">
        <f>[1]monsters!$P838</f>
        <v>213.33400000000003</v>
      </c>
      <c r="BV838" s="9">
        <f>[1]monsters!$Q838</f>
        <v>106.67</v>
      </c>
      <c r="BW838" s="9">
        <f>[1]monsters!$R838</f>
        <v>17.28</v>
      </c>
      <c r="BX838" s="9">
        <f>[1]monsters!$S838</f>
        <v>1.73</v>
      </c>
      <c r="BY838" s="9">
        <f>[1]monsters!$K838</f>
        <v>1.8</v>
      </c>
      <c r="BZ838" s="7">
        <f>[1]monsters!$D838</f>
        <v>2</v>
      </c>
      <c r="CA838" s="7">
        <f t="shared" si="234"/>
        <v>0.1</v>
      </c>
      <c r="CB838" s="7">
        <f t="shared" si="235"/>
        <v>88.830962962962971</v>
      </c>
      <c r="CC838" s="7">
        <f t="shared" si="236"/>
        <v>8.8830962962962978</v>
      </c>
      <c r="CD838" s="7"/>
      <c r="CE838" s="7"/>
      <c r="CF838" s="7"/>
      <c r="CG838" s="7"/>
      <c r="CH838" s="7"/>
      <c r="CI838" s="7"/>
      <c r="CJ838" s="7"/>
      <c r="CK838" s="7"/>
      <c r="CL838" s="7"/>
      <c r="CM838" s="7"/>
      <c r="CN838" s="7"/>
      <c r="CO838" s="7"/>
      <c r="CP838" s="7"/>
      <c r="CR838" s="25"/>
      <c r="CS838" s="25"/>
      <c r="CT838" s="25"/>
      <c r="CU838" s="25"/>
      <c r="CV838" s="25"/>
      <c r="CW838" s="25"/>
      <c r="DP838" s="32"/>
      <c r="DQ838" s="32"/>
      <c r="DR838" s="32"/>
      <c r="DS838" s="32"/>
      <c r="DT838" s="32"/>
      <c r="DU838" s="32"/>
      <c r="DV838" s="32"/>
      <c r="DW838" s="32"/>
      <c r="DX838" s="32"/>
      <c r="DY838" s="32"/>
      <c r="DZ838" s="32"/>
      <c r="EA838" s="32"/>
      <c r="EB838" s="22"/>
    </row>
    <row r="839" spans="29:132" ht="13.5" customHeight="1">
      <c r="AC839" s="16" t="str">
        <f t="shared" si="233"/>
        <v/>
      </c>
      <c r="AD839" s="16" t="str">
        <f t="shared" si="232"/>
        <v/>
      </c>
      <c r="AE839" s="16" t="str">
        <f t="shared" si="232"/>
        <v/>
      </c>
      <c r="AF839" s="16" t="str">
        <f t="shared" si="232"/>
        <v/>
      </c>
      <c r="AG839" s="16" t="str">
        <f t="shared" si="232"/>
        <v/>
      </c>
      <c r="AH839" s="16" t="str">
        <f t="shared" si="232"/>
        <v/>
      </c>
      <c r="BR839" s="7">
        <v>5203075</v>
      </c>
      <c r="BS839" s="9">
        <f>[1]monsters!$N839</f>
        <v>100</v>
      </c>
      <c r="BT839" s="9">
        <f>[1]monsters!$O839</f>
        <v>10</v>
      </c>
      <c r="BU839" s="9">
        <f>[1]monsters!$P839</f>
        <v>153.60000000000002</v>
      </c>
      <c r="BV839" s="9">
        <f>[1]monsters!$Q839</f>
        <v>76.8</v>
      </c>
      <c r="BW839" s="9">
        <f>[1]monsters!$R839</f>
        <v>10</v>
      </c>
      <c r="BX839" s="9">
        <f>[1]monsters!$S839</f>
        <v>1</v>
      </c>
      <c r="BY839" s="9">
        <f>[1]monsters!$K839</f>
        <v>1.5</v>
      </c>
      <c r="BZ839" s="7">
        <f>[1]monsters!$D839</f>
        <v>4</v>
      </c>
      <c r="CA839" s="7">
        <f t="shared" si="234"/>
        <v>0.1</v>
      </c>
      <c r="CB839" s="7">
        <f t="shared" si="235"/>
        <v>99.671717171717177</v>
      </c>
      <c r="CC839" s="7">
        <f t="shared" si="236"/>
        <v>9.967171717171718</v>
      </c>
      <c r="CD839" s="7"/>
      <c r="CE839" s="7"/>
      <c r="CF839" s="7"/>
      <c r="CG839" s="7"/>
      <c r="CH839" s="7"/>
      <c r="CI839" s="7"/>
      <c r="CJ839" s="7"/>
      <c r="CK839" s="7"/>
      <c r="CL839" s="7"/>
      <c r="CM839" s="7"/>
      <c r="CN839" s="7"/>
      <c r="CO839" s="7"/>
      <c r="CP839" s="7"/>
      <c r="CR839" s="25"/>
      <c r="CS839" s="25"/>
      <c r="CT839" s="25"/>
      <c r="CU839" s="25"/>
      <c r="CV839" s="25"/>
      <c r="CW839" s="25"/>
      <c r="DP839" s="32"/>
      <c r="DQ839" s="32"/>
      <c r="DR839" s="32"/>
      <c r="DS839" s="32"/>
      <c r="DT839" s="32"/>
      <c r="DU839" s="32"/>
      <c r="DV839" s="32"/>
      <c r="DW839" s="32"/>
      <c r="DX839" s="32"/>
      <c r="DY839" s="32"/>
      <c r="DZ839" s="32"/>
      <c r="EA839" s="32"/>
      <c r="EB839" s="50"/>
    </row>
    <row r="840" spans="29:132" ht="13.5" customHeight="1">
      <c r="AC840" s="16" t="str">
        <f t="shared" si="233"/>
        <v/>
      </c>
      <c r="AD840" s="16" t="str">
        <f t="shared" si="232"/>
        <v/>
      </c>
      <c r="AE840" s="16" t="str">
        <f t="shared" si="232"/>
        <v/>
      </c>
      <c r="AF840" s="16" t="str">
        <f t="shared" si="232"/>
        <v/>
      </c>
      <c r="AG840" s="16" t="str">
        <f t="shared" si="232"/>
        <v/>
      </c>
      <c r="AH840" s="16" t="str">
        <f t="shared" si="232"/>
        <v/>
      </c>
      <c r="BR840" s="7">
        <v>5403075</v>
      </c>
      <c r="BS840" s="9">
        <f>[1]monsters!$N840</f>
        <v>76.27</v>
      </c>
      <c r="BT840" s="9">
        <f>[1]monsters!$O840</f>
        <v>7.63</v>
      </c>
      <c r="BU840" s="9">
        <f>[1]monsters!$P840</f>
        <v>174.54600000000002</v>
      </c>
      <c r="BV840" s="9">
        <f>[1]monsters!$Q840</f>
        <v>87.27</v>
      </c>
      <c r="BW840" s="9">
        <f>[1]monsters!$R840</f>
        <v>9.5299999999999994</v>
      </c>
      <c r="BX840" s="9">
        <f>[1]monsters!$S840</f>
        <v>0.95</v>
      </c>
      <c r="BY840" s="9">
        <f>[1]monsters!$K840</f>
        <v>1.3</v>
      </c>
      <c r="BZ840" s="7">
        <f>[1]monsters!$D840</f>
        <v>3</v>
      </c>
      <c r="CA840" s="7">
        <f t="shared" si="234"/>
        <v>0.1</v>
      </c>
      <c r="CB840" s="7">
        <f t="shared" si="235"/>
        <v>77.952119696969703</v>
      </c>
      <c r="CC840" s="7">
        <f t="shared" si="236"/>
        <v>7.7952119696969708</v>
      </c>
      <c r="CD840" s="7"/>
      <c r="CE840" s="7"/>
      <c r="CF840" s="7"/>
      <c r="CG840" s="7"/>
      <c r="CH840" s="7"/>
      <c r="CI840" s="7"/>
      <c r="CJ840" s="7"/>
      <c r="CK840" s="7"/>
      <c r="CL840" s="7"/>
      <c r="CM840" s="7"/>
      <c r="CN840" s="7"/>
      <c r="CO840" s="7"/>
      <c r="CP840" s="7"/>
      <c r="CR840" s="25"/>
      <c r="CS840" s="25"/>
      <c r="CT840" s="25"/>
      <c r="CU840" s="25"/>
      <c r="CV840" s="25"/>
      <c r="CW840" s="25"/>
      <c r="DP840" s="32"/>
      <c r="DQ840" s="32"/>
      <c r="DR840" s="32"/>
      <c r="DS840" s="32"/>
      <c r="DT840" s="32"/>
      <c r="DU840" s="32"/>
      <c r="DV840" s="32"/>
      <c r="DW840" s="32"/>
      <c r="DX840" s="32"/>
      <c r="DY840" s="32"/>
      <c r="DZ840" s="32"/>
      <c r="EA840" s="32"/>
      <c r="EB840" s="50"/>
    </row>
    <row r="841" spans="29:132" ht="13.5" customHeight="1">
      <c r="AC841" s="16" t="str">
        <f t="shared" si="233"/>
        <v/>
      </c>
      <c r="AD841" s="16" t="str">
        <f t="shared" si="232"/>
        <v/>
      </c>
      <c r="AE841" s="16" t="str">
        <f t="shared" si="232"/>
        <v/>
      </c>
      <c r="AF841" s="16" t="str">
        <f t="shared" si="232"/>
        <v/>
      </c>
      <c r="AG841" s="16" t="str">
        <f t="shared" si="232"/>
        <v/>
      </c>
      <c r="AH841" s="16" t="str">
        <f t="shared" si="232"/>
        <v/>
      </c>
      <c r="BR841" s="7">
        <v>5204075</v>
      </c>
      <c r="BS841" s="9">
        <f>[1]monsters!$N841</f>
        <v>105.6</v>
      </c>
      <c r="BT841" s="9">
        <f>[1]monsters!$O841</f>
        <v>10.56</v>
      </c>
      <c r="BU841" s="9">
        <f>[1]monsters!$P841</f>
        <v>174.54600000000002</v>
      </c>
      <c r="BV841" s="9">
        <f>[1]monsters!$Q841</f>
        <v>87.27</v>
      </c>
      <c r="BW841" s="9">
        <f>[1]monsters!$R841</f>
        <v>17.600000000000001</v>
      </c>
      <c r="BX841" s="9">
        <f>[1]monsters!$S841</f>
        <v>1.76</v>
      </c>
      <c r="BY841" s="9">
        <f>[1]monsters!$K841</f>
        <v>1.8</v>
      </c>
      <c r="BZ841" s="7">
        <f>[1]monsters!$D841</f>
        <v>5</v>
      </c>
      <c r="CA841" s="7">
        <f t="shared" si="234"/>
        <v>0.1</v>
      </c>
      <c r="CB841" s="7">
        <f t="shared" si="235"/>
        <v>105.6689696969697</v>
      </c>
      <c r="CC841" s="7">
        <f t="shared" si="236"/>
        <v>10.56689696969697</v>
      </c>
      <c r="CD841" s="7"/>
      <c r="CE841" s="7"/>
      <c r="CF841" s="7"/>
      <c r="CG841" s="7"/>
      <c r="CH841" s="7"/>
      <c r="CI841" s="7"/>
      <c r="CJ841" s="7"/>
      <c r="CK841" s="7"/>
      <c r="CL841" s="7"/>
      <c r="CM841" s="7"/>
      <c r="CN841" s="7"/>
      <c r="CO841" s="7"/>
      <c r="CP841" s="7"/>
      <c r="CR841" s="25"/>
      <c r="CS841" s="25"/>
      <c r="CT841" s="25"/>
      <c r="CU841" s="25"/>
      <c r="CV841" s="25"/>
      <c r="CW841" s="25"/>
      <c r="DP841" s="32"/>
      <c r="DQ841" s="32"/>
      <c r="DR841" s="32"/>
      <c r="DS841" s="32"/>
      <c r="DT841" s="32"/>
      <c r="DU841" s="32"/>
      <c r="DV841" s="32"/>
      <c r="DW841" s="32"/>
      <c r="DX841" s="32"/>
      <c r="DY841" s="32"/>
      <c r="DZ841" s="32"/>
      <c r="EA841" s="32"/>
      <c r="EB841" s="50"/>
    </row>
    <row r="842" spans="29:132" ht="13.5" customHeight="1">
      <c r="AC842" s="16" t="str">
        <f t="shared" si="233"/>
        <v/>
      </c>
      <c r="AD842" s="16" t="str">
        <f t="shared" si="232"/>
        <v/>
      </c>
      <c r="AE842" s="16" t="str">
        <f t="shared" si="232"/>
        <v/>
      </c>
      <c r="AF842" s="16" t="str">
        <f t="shared" si="232"/>
        <v/>
      </c>
      <c r="AG842" s="16" t="str">
        <f t="shared" si="232"/>
        <v/>
      </c>
      <c r="AH842" s="16" t="str">
        <f t="shared" si="232"/>
        <v/>
      </c>
      <c r="BR842" s="7">
        <v>5404075</v>
      </c>
      <c r="BS842" s="9">
        <f>[1]monsters!$N842</f>
        <v>76.8</v>
      </c>
      <c r="BT842" s="9">
        <f>[1]monsters!$O842</f>
        <v>7.68</v>
      </c>
      <c r="BU842" s="9">
        <f>[1]monsters!$P842</f>
        <v>213.33400000000003</v>
      </c>
      <c r="BV842" s="9">
        <f>[1]monsters!$Q842</f>
        <v>106.67</v>
      </c>
      <c r="BW842" s="9">
        <f>[1]monsters!$R842</f>
        <v>15.36</v>
      </c>
      <c r="BX842" s="9">
        <f>[1]monsters!$S842</f>
        <v>1.54</v>
      </c>
      <c r="BY842" s="9">
        <f>[1]monsters!$K842</f>
        <v>1.6</v>
      </c>
      <c r="BZ842" s="7">
        <f>[1]monsters!$D842</f>
        <v>2</v>
      </c>
      <c r="CA842" s="7">
        <f t="shared" si="234"/>
        <v>0.1</v>
      </c>
      <c r="CB842" s="7">
        <f t="shared" si="235"/>
        <v>79.758962962962968</v>
      </c>
      <c r="CC842" s="7">
        <f t="shared" si="236"/>
        <v>7.9758962962962974</v>
      </c>
      <c r="CD842" s="7"/>
      <c r="CE842" s="7"/>
      <c r="CF842" s="7"/>
      <c r="CG842" s="7"/>
      <c r="CH842" s="7"/>
      <c r="CI842" s="7"/>
      <c r="CJ842" s="7"/>
      <c r="CK842" s="7"/>
      <c r="CL842" s="7"/>
      <c r="CM842" s="7"/>
      <c r="CN842" s="7"/>
      <c r="CO842" s="7"/>
      <c r="CP842" s="7"/>
      <c r="CR842" s="25"/>
      <c r="CS842" s="25"/>
      <c r="CT842" s="25"/>
      <c r="CU842" s="25"/>
      <c r="CV842" s="25"/>
      <c r="CW842" s="25"/>
      <c r="DP842" s="32"/>
      <c r="DQ842" s="32"/>
      <c r="DR842" s="32"/>
      <c r="DS842" s="32"/>
      <c r="DT842" s="32"/>
      <c r="DU842" s="32"/>
      <c r="DV842" s="32"/>
      <c r="DW842" s="32"/>
      <c r="DX842" s="32"/>
      <c r="DY842" s="32"/>
      <c r="DZ842" s="32"/>
      <c r="EA842" s="32"/>
      <c r="EB842" s="22"/>
    </row>
    <row r="843" spans="29:132" ht="13.5" customHeight="1">
      <c r="AC843" s="16" t="str">
        <f t="shared" si="233"/>
        <v/>
      </c>
      <c r="AD843" s="16" t="str">
        <f t="shared" si="232"/>
        <v/>
      </c>
      <c r="AE843" s="16" t="str">
        <f t="shared" si="232"/>
        <v/>
      </c>
      <c r="AF843" s="16" t="str">
        <f t="shared" si="232"/>
        <v/>
      </c>
      <c r="AG843" s="16" t="str">
        <f t="shared" si="232"/>
        <v/>
      </c>
      <c r="AH843" s="16" t="str">
        <f t="shared" si="232"/>
        <v/>
      </c>
      <c r="BR843" s="7">
        <v>5303075</v>
      </c>
      <c r="BS843" s="9">
        <f>[1]monsters!$N843</f>
        <v>97.07</v>
      </c>
      <c r="BT843" s="9">
        <f>[1]monsters!$O843</f>
        <v>9.7100000000000009</v>
      </c>
      <c r="BU843" s="9">
        <f>[1]monsters!$P843</f>
        <v>147.69200000000001</v>
      </c>
      <c r="BV843" s="9">
        <f>[1]monsters!$Q843</f>
        <v>73.849999999999994</v>
      </c>
      <c r="BW843" s="9">
        <f>[1]monsters!$R843</f>
        <v>9.7100000000000009</v>
      </c>
      <c r="BX843" s="9">
        <f>[1]monsters!$S843</f>
        <v>0.97</v>
      </c>
      <c r="BY843" s="9">
        <f>[1]monsters!$K843</f>
        <v>1.4000000000000001</v>
      </c>
      <c r="BZ843" s="7">
        <f>[1]monsters!$D843</f>
        <v>4</v>
      </c>
      <c r="CA843" s="7">
        <f t="shared" si="234"/>
        <v>0.1</v>
      </c>
      <c r="CB843" s="7">
        <f t="shared" si="235"/>
        <v>96.703944612794615</v>
      </c>
      <c r="CC843" s="7">
        <f t="shared" si="236"/>
        <v>9.6703944612794626</v>
      </c>
      <c r="CD843" s="7"/>
      <c r="CE843" s="7"/>
      <c r="CF843" s="7"/>
      <c r="CG843" s="7"/>
      <c r="CH843" s="7"/>
      <c r="CI843" s="7"/>
      <c r="CJ843" s="7"/>
      <c r="CK843" s="7"/>
      <c r="CL843" s="7"/>
      <c r="CM843" s="7"/>
      <c r="CN843" s="7"/>
      <c r="CO843" s="7"/>
      <c r="CP843" s="7"/>
      <c r="CR843" s="25"/>
      <c r="CS843" s="25"/>
      <c r="CT843" s="25"/>
      <c r="CU843" s="25"/>
      <c r="CV843" s="25"/>
      <c r="CW843" s="25"/>
      <c r="DP843" s="25"/>
      <c r="DQ843" s="25"/>
      <c r="DR843" s="25"/>
      <c r="DS843" s="25"/>
      <c r="DT843" s="25"/>
      <c r="DU843" s="25"/>
      <c r="DV843" s="32"/>
      <c r="DW843" s="32"/>
      <c r="DX843" s="32"/>
      <c r="DY843" s="32"/>
      <c r="DZ843" s="32"/>
      <c r="EA843" s="32"/>
      <c r="EB843" s="50"/>
    </row>
    <row r="844" spans="29:132" ht="13.5" customHeight="1">
      <c r="AC844" s="16" t="str">
        <f t="shared" si="233"/>
        <v/>
      </c>
      <c r="AD844" s="16" t="str">
        <f t="shared" si="232"/>
        <v/>
      </c>
      <c r="AE844" s="16" t="str">
        <f t="shared" si="232"/>
        <v/>
      </c>
      <c r="AF844" s="16" t="str">
        <f t="shared" si="232"/>
        <v/>
      </c>
      <c r="AG844" s="16" t="str">
        <f t="shared" si="232"/>
        <v/>
      </c>
      <c r="AH844" s="16" t="str">
        <f t="shared" si="232"/>
        <v/>
      </c>
      <c r="BR844" s="7">
        <v>5304075</v>
      </c>
      <c r="BS844" s="9">
        <f>[1]monsters!$N844</f>
        <v>67.2</v>
      </c>
      <c r="BT844" s="9">
        <f>[1]monsters!$O844</f>
        <v>6.72</v>
      </c>
      <c r="BU844" s="9">
        <f>[1]monsters!$P844</f>
        <v>213.33400000000003</v>
      </c>
      <c r="BV844" s="9">
        <f>[1]monsters!$Q844</f>
        <v>106.67</v>
      </c>
      <c r="BW844" s="9">
        <f>[1]monsters!$R844</f>
        <v>13.44</v>
      </c>
      <c r="BX844" s="9">
        <f>[1]monsters!$S844</f>
        <v>1.34</v>
      </c>
      <c r="BY844" s="9">
        <f>[1]monsters!$K844</f>
        <v>1.4000000000000001</v>
      </c>
      <c r="BZ844" s="7">
        <f>[1]monsters!$D844</f>
        <v>2</v>
      </c>
      <c r="CA844" s="7">
        <f t="shared" si="234"/>
        <v>0.1</v>
      </c>
      <c r="CB844" s="7">
        <f t="shared" si="235"/>
        <v>70.686962962962966</v>
      </c>
      <c r="CC844" s="7">
        <f t="shared" si="236"/>
        <v>7.0686962962962969</v>
      </c>
      <c r="CD844" s="7"/>
      <c r="CE844" s="7"/>
      <c r="CF844" s="7"/>
      <c r="CG844" s="7"/>
      <c r="CH844" s="7"/>
      <c r="CI844" s="7"/>
      <c r="CJ844" s="7"/>
      <c r="CK844" s="7"/>
      <c r="CL844" s="7"/>
      <c r="CM844" s="7"/>
      <c r="CN844" s="7"/>
      <c r="CO844" s="7"/>
      <c r="CP844" s="7"/>
      <c r="CR844" s="25"/>
      <c r="CS844" s="25"/>
      <c r="CT844" s="25"/>
      <c r="CU844" s="25"/>
      <c r="CV844" s="25"/>
      <c r="CW844" s="25"/>
      <c r="DP844" s="25"/>
      <c r="DQ844" s="25"/>
      <c r="DR844" s="25"/>
      <c r="DS844" s="32"/>
      <c r="DT844" s="32"/>
      <c r="DU844" s="32"/>
      <c r="DV844" s="32"/>
      <c r="DW844" s="32"/>
      <c r="DX844" s="32"/>
      <c r="DY844" s="32"/>
      <c r="DZ844" s="32"/>
      <c r="EA844" s="32"/>
      <c r="EB844" s="50"/>
    </row>
    <row r="845" spans="29:132" ht="13.5" customHeight="1">
      <c r="AC845" s="16" t="str">
        <f t="shared" si="233"/>
        <v/>
      </c>
      <c r="AD845" s="16" t="str">
        <f t="shared" si="232"/>
        <v/>
      </c>
      <c r="AE845" s="16" t="str">
        <f t="shared" si="232"/>
        <v/>
      </c>
      <c r="AF845" s="16" t="str">
        <f t="shared" si="232"/>
        <v/>
      </c>
      <c r="AG845" s="16" t="str">
        <f t="shared" si="232"/>
        <v/>
      </c>
      <c r="AH845" s="16" t="str">
        <f t="shared" si="232"/>
        <v/>
      </c>
      <c r="BR845" s="7">
        <v>5503075</v>
      </c>
      <c r="BS845" s="9">
        <f>[1]monsters!$N845</f>
        <v>110.93</v>
      </c>
      <c r="BT845" s="9">
        <f>[1]monsters!$O845</f>
        <v>11.09</v>
      </c>
      <c r="BU845" s="9">
        <f>[1]monsters!$P845</f>
        <v>147.69200000000001</v>
      </c>
      <c r="BV845" s="9">
        <f>[1]monsters!$Q845</f>
        <v>73.849999999999994</v>
      </c>
      <c r="BW845" s="9">
        <f>[1]monsters!$R845</f>
        <v>11.09</v>
      </c>
      <c r="BX845" s="9">
        <f>[1]monsters!$S845</f>
        <v>1.1100000000000001</v>
      </c>
      <c r="BY845" s="9">
        <f>[1]monsters!$K845</f>
        <v>1.6</v>
      </c>
      <c r="BZ845" s="7">
        <f>[1]monsters!$D845</f>
        <v>4</v>
      </c>
      <c r="CA845" s="7">
        <f t="shared" si="234"/>
        <v>0.1</v>
      </c>
      <c r="CB845" s="7">
        <f t="shared" si="235"/>
        <v>109.80164461279463</v>
      </c>
      <c r="CC845" s="7">
        <f t="shared" si="236"/>
        <v>10.980164461279465</v>
      </c>
      <c r="CD845" s="7"/>
      <c r="CE845" s="7"/>
      <c r="CF845" s="7"/>
      <c r="CG845" s="7"/>
      <c r="CH845" s="7"/>
      <c r="CI845" s="7"/>
      <c r="CJ845" s="7"/>
      <c r="CK845" s="7"/>
      <c r="CL845" s="7"/>
      <c r="CM845" s="7"/>
      <c r="CN845" s="7"/>
      <c r="CO845" s="7"/>
      <c r="CP845" s="7"/>
      <c r="CR845" s="25"/>
      <c r="CS845" s="25"/>
      <c r="CT845" s="25"/>
      <c r="CU845" s="25"/>
      <c r="CV845" s="25"/>
      <c r="CW845" s="25"/>
      <c r="DP845" s="25"/>
      <c r="DQ845" s="25"/>
      <c r="DR845" s="25"/>
      <c r="DS845" s="25"/>
      <c r="DT845" s="25"/>
      <c r="DU845" s="25"/>
      <c r="DV845" s="32"/>
      <c r="DW845" s="32"/>
      <c r="DX845" s="32"/>
      <c r="DY845" s="32"/>
      <c r="DZ845" s="32"/>
      <c r="EA845" s="32"/>
      <c r="EB845" s="22"/>
    </row>
    <row r="846" spans="29:132" ht="13.5" customHeight="1">
      <c r="AC846" s="16" t="str">
        <f t="shared" si="233"/>
        <v/>
      </c>
      <c r="AD846" s="16" t="str">
        <f t="shared" si="232"/>
        <v/>
      </c>
      <c r="AE846" s="16" t="str">
        <f t="shared" si="232"/>
        <v/>
      </c>
      <c r="AF846" s="16" t="str">
        <f t="shared" si="232"/>
        <v/>
      </c>
      <c r="AG846" s="16" t="str">
        <f t="shared" si="232"/>
        <v/>
      </c>
      <c r="AH846" s="16" t="str">
        <f t="shared" si="232"/>
        <v/>
      </c>
      <c r="BR846" s="7">
        <v>5504075</v>
      </c>
      <c r="BS846" s="9">
        <f>[1]monsters!$N846</f>
        <v>102.4</v>
      </c>
      <c r="BT846" s="9">
        <f>[1]monsters!$O846</f>
        <v>10.24</v>
      </c>
      <c r="BU846" s="9">
        <f>[1]monsters!$P846</f>
        <v>160</v>
      </c>
      <c r="BV846" s="9">
        <f>[1]monsters!$Q846</f>
        <v>80</v>
      </c>
      <c r="BW846" s="9">
        <f>[1]monsters!$R846</f>
        <v>17.07</v>
      </c>
      <c r="BX846" s="9">
        <f>[1]monsters!$S846</f>
        <v>1.71</v>
      </c>
      <c r="BY846" s="9">
        <f>[1]monsters!$K846</f>
        <v>1.6</v>
      </c>
      <c r="BZ846" s="7">
        <f>[1]monsters!$D846</f>
        <v>5</v>
      </c>
      <c r="CA846" s="7">
        <f t="shared" si="234"/>
        <v>0.1</v>
      </c>
      <c r="CB846" s="7">
        <f t="shared" si="235"/>
        <v>102.1552053872054</v>
      </c>
      <c r="CC846" s="7">
        <f t="shared" si="236"/>
        <v>10.21552053872054</v>
      </c>
      <c r="CD846" s="7"/>
      <c r="CE846" s="7"/>
      <c r="CF846" s="7"/>
      <c r="CG846" s="7"/>
      <c r="CH846" s="7"/>
      <c r="CI846" s="7"/>
      <c r="CJ846" s="7"/>
      <c r="CK846" s="7"/>
      <c r="CL846" s="7"/>
      <c r="CM846" s="7"/>
      <c r="CN846" s="7"/>
      <c r="CO846" s="7"/>
      <c r="CP846" s="7"/>
      <c r="CR846" s="25"/>
      <c r="CS846" s="25"/>
      <c r="CT846" s="25"/>
      <c r="CU846" s="25"/>
      <c r="CV846" s="25"/>
      <c r="CW846" s="25"/>
      <c r="DP846" s="25"/>
      <c r="DQ846" s="25"/>
      <c r="DR846" s="25"/>
      <c r="DS846" s="25"/>
      <c r="DT846" s="25"/>
      <c r="DU846" s="25"/>
      <c r="DV846" s="32"/>
      <c r="DW846" s="32"/>
      <c r="DX846" s="32"/>
      <c r="DY846" s="32"/>
      <c r="DZ846" s="32"/>
      <c r="EA846" s="32"/>
      <c r="EB846" s="50"/>
    </row>
    <row r="847" spans="29:132" ht="13.5" customHeight="1">
      <c r="AC847" s="16" t="str">
        <f t="shared" si="233"/>
        <v/>
      </c>
      <c r="AD847" s="16" t="str">
        <f t="shared" si="232"/>
        <v/>
      </c>
      <c r="AE847" s="16" t="str">
        <f t="shared" si="232"/>
        <v/>
      </c>
      <c r="AF847" s="16" t="str">
        <f t="shared" si="232"/>
        <v/>
      </c>
      <c r="AG847" s="16" t="str">
        <f t="shared" si="232"/>
        <v/>
      </c>
      <c r="AH847" s="16" t="str">
        <f t="shared" si="232"/>
        <v/>
      </c>
      <c r="BR847" s="7">
        <v>5101075</v>
      </c>
      <c r="BS847" s="9">
        <f>[1]monsters!$N847</f>
        <v>85.87</v>
      </c>
      <c r="BT847" s="9">
        <f>[1]monsters!$O847</f>
        <v>8.59</v>
      </c>
      <c r="BU847" s="9">
        <f>[1]monsters!$P847</f>
        <v>166.95600000000002</v>
      </c>
      <c r="BV847" s="9">
        <f>[1]monsters!$Q847</f>
        <v>83.48</v>
      </c>
      <c r="BW847" s="9">
        <f>[1]monsters!$R847</f>
        <v>10.73</v>
      </c>
      <c r="BX847" s="9">
        <f>[1]monsters!$S847</f>
        <v>1.07</v>
      </c>
      <c r="BY847" s="9">
        <f>[1]monsters!$K847</f>
        <v>1.4000000000000001</v>
      </c>
      <c r="BZ847" s="7">
        <f>[1]monsters!$D847</f>
        <v>3</v>
      </c>
      <c r="CA847" s="7">
        <f t="shared" si="234"/>
        <v>0.1</v>
      </c>
      <c r="CB847" s="7">
        <f t="shared" si="235"/>
        <v>86.768564141414146</v>
      </c>
      <c r="CC847" s="7">
        <f t="shared" si="236"/>
        <v>8.6768564141414153</v>
      </c>
      <c r="CD847" s="7"/>
      <c r="CE847" s="7"/>
      <c r="CF847" s="7"/>
      <c r="CG847" s="7"/>
      <c r="CH847" s="7"/>
      <c r="CI847" s="7"/>
      <c r="CJ847" s="7"/>
      <c r="CK847" s="7"/>
      <c r="CL847" s="7"/>
      <c r="CM847" s="7"/>
      <c r="CN847" s="7"/>
      <c r="CO847" s="7"/>
      <c r="CP847" s="7"/>
      <c r="CR847" s="25"/>
      <c r="CS847" s="25"/>
      <c r="CT847" s="25"/>
      <c r="CU847" s="25"/>
      <c r="CV847" s="25"/>
      <c r="CW847" s="25"/>
      <c r="DP847" s="25"/>
      <c r="DQ847" s="25"/>
      <c r="DR847" s="25"/>
      <c r="DS847" s="25"/>
      <c r="DT847" s="25"/>
      <c r="DU847" s="25"/>
      <c r="DV847" s="32"/>
      <c r="DW847" s="32"/>
      <c r="DX847" s="32"/>
      <c r="DY847" s="32"/>
      <c r="DZ847" s="32"/>
      <c r="EA847" s="32"/>
      <c r="EB847" s="50"/>
    </row>
    <row r="848" spans="29:132" ht="13.5" customHeight="1">
      <c r="AC848" s="16" t="str">
        <f t="shared" si="233"/>
        <v/>
      </c>
      <c r="AD848" s="16" t="str">
        <f t="shared" si="232"/>
        <v/>
      </c>
      <c r="AE848" s="16" t="str">
        <f t="shared" si="232"/>
        <v/>
      </c>
      <c r="AF848" s="16" t="str">
        <f t="shared" si="232"/>
        <v/>
      </c>
      <c r="AG848" s="16" t="str">
        <f t="shared" si="232"/>
        <v/>
      </c>
      <c r="AH848" s="16" t="str">
        <f t="shared" si="232"/>
        <v/>
      </c>
      <c r="BR848" s="7">
        <v>5102075</v>
      </c>
      <c r="BS848" s="9">
        <f>[1]monsters!$N848</f>
        <v>62.4</v>
      </c>
      <c r="BT848" s="9">
        <f>[1]monsters!$O848</f>
        <v>6.24</v>
      </c>
      <c r="BU848" s="9">
        <f>[1]monsters!$P848</f>
        <v>213.33400000000003</v>
      </c>
      <c r="BV848" s="9">
        <f>[1]monsters!$Q848</f>
        <v>106.67</v>
      </c>
      <c r="BW848" s="9">
        <f>[1]monsters!$R848</f>
        <v>12.48</v>
      </c>
      <c r="BX848" s="9">
        <f>[1]monsters!$S848</f>
        <v>1.25</v>
      </c>
      <c r="BY848" s="9">
        <f>[1]monsters!$K848</f>
        <v>1.3</v>
      </c>
      <c r="BZ848" s="7">
        <f>[1]monsters!$D848</f>
        <v>2</v>
      </c>
      <c r="CA848" s="7">
        <f t="shared" si="234"/>
        <v>0.1</v>
      </c>
      <c r="CB848" s="7">
        <f t="shared" si="235"/>
        <v>66.150962962962964</v>
      </c>
      <c r="CC848" s="7">
        <f t="shared" si="236"/>
        <v>6.6150962962962971</v>
      </c>
      <c r="CD848" s="7"/>
      <c r="CE848" s="7"/>
      <c r="CF848" s="7"/>
      <c r="CG848" s="7"/>
      <c r="CH848" s="7"/>
      <c r="CI848" s="7"/>
      <c r="CJ848" s="7"/>
      <c r="CK848" s="7"/>
      <c r="CL848" s="7"/>
      <c r="CM848" s="7"/>
      <c r="CN848" s="7"/>
      <c r="CO848" s="7"/>
      <c r="CP848" s="7"/>
      <c r="CR848" s="25"/>
      <c r="CS848" s="25"/>
      <c r="CT848" s="25"/>
      <c r="CU848" s="25"/>
      <c r="CV848" s="25"/>
      <c r="CW848" s="25"/>
      <c r="DP848" s="32"/>
      <c r="DQ848" s="32"/>
      <c r="DR848" s="32"/>
      <c r="DS848" s="32"/>
      <c r="DT848" s="32"/>
      <c r="DU848" s="32"/>
      <c r="DV848" s="32"/>
      <c r="DW848" s="32"/>
      <c r="DX848" s="32"/>
      <c r="DY848" s="32"/>
      <c r="DZ848" s="32"/>
      <c r="EA848" s="32"/>
      <c r="EB848" s="50"/>
    </row>
    <row r="849" spans="29:132" ht="13.5" customHeight="1">
      <c r="AC849" s="16" t="str">
        <f t="shared" si="233"/>
        <v/>
      </c>
      <c r="AD849" s="16" t="str">
        <f t="shared" si="232"/>
        <v/>
      </c>
      <c r="AE849" s="16" t="str">
        <f t="shared" si="232"/>
        <v/>
      </c>
      <c r="AF849" s="16" t="str">
        <f t="shared" si="232"/>
        <v/>
      </c>
      <c r="AG849" s="16" t="str">
        <f t="shared" si="232"/>
        <v/>
      </c>
      <c r="AH849" s="16" t="str">
        <f t="shared" si="232"/>
        <v/>
      </c>
      <c r="BR849" s="7">
        <v>5206081</v>
      </c>
      <c r="BS849" s="9">
        <f>[1]monsters!$N849</f>
        <v>83.2</v>
      </c>
      <c r="BT849" s="9">
        <f>[1]monsters!$O849</f>
        <v>8.32</v>
      </c>
      <c r="BU849" s="9">
        <f>[1]monsters!$P849</f>
        <v>160</v>
      </c>
      <c r="BV849" s="9">
        <f>[1]monsters!$Q849</f>
        <v>80</v>
      </c>
      <c r="BW849" s="9">
        <f>[1]monsters!$R849</f>
        <v>8.32</v>
      </c>
      <c r="BX849" s="9">
        <f>[1]monsters!$S849</f>
        <v>0.83</v>
      </c>
      <c r="BY849" s="9">
        <f>[1]monsters!$K849</f>
        <v>1.3</v>
      </c>
      <c r="BZ849" s="7">
        <f>[1]monsters!$D849</f>
        <v>4</v>
      </c>
      <c r="CA849" s="7">
        <f t="shared" si="234"/>
        <v>0.1</v>
      </c>
      <c r="CB849" s="7">
        <f t="shared" si="235"/>
        <v>84.011205387205393</v>
      </c>
      <c r="CC849" s="7">
        <f t="shared" si="236"/>
        <v>8.401120538720539</v>
      </c>
      <c r="CD849" s="7"/>
      <c r="CE849" s="7"/>
      <c r="CF849" s="7"/>
      <c r="CG849" s="7"/>
      <c r="CH849" s="7"/>
      <c r="CI849" s="7"/>
      <c r="CJ849" s="7"/>
      <c r="CK849" s="7"/>
      <c r="CL849" s="7"/>
      <c r="CM849" s="7"/>
      <c r="CN849" s="7"/>
      <c r="CO849" s="7"/>
      <c r="CP849" s="7"/>
      <c r="CR849" s="25"/>
      <c r="CS849" s="25"/>
      <c r="CT849" s="25"/>
      <c r="CU849" s="25"/>
      <c r="CV849" s="25"/>
      <c r="CW849" s="25"/>
      <c r="DP849" s="36"/>
      <c r="DQ849" s="36"/>
      <c r="DR849" s="36"/>
      <c r="DS849" s="36"/>
      <c r="DT849" s="36"/>
      <c r="DU849" s="36"/>
      <c r="DV849" s="32"/>
      <c r="DW849" s="32"/>
      <c r="DX849" s="32"/>
      <c r="DY849" s="32"/>
      <c r="DZ849" s="32"/>
      <c r="EA849" s="32"/>
      <c r="EB849" s="47"/>
    </row>
    <row r="850" spans="29:132" ht="13.5" customHeight="1">
      <c r="AC850" s="16" t="str">
        <f t="shared" si="233"/>
        <v/>
      </c>
      <c r="AD850" s="16" t="str">
        <f t="shared" si="232"/>
        <v/>
      </c>
      <c r="AE850" s="16" t="str">
        <f t="shared" si="232"/>
        <v/>
      </c>
      <c r="AF850" s="16" t="str">
        <f t="shared" si="232"/>
        <v/>
      </c>
      <c r="AG850" s="16" t="str">
        <f t="shared" si="232"/>
        <v/>
      </c>
      <c r="AH850" s="16" t="str">
        <f t="shared" si="232"/>
        <v/>
      </c>
      <c r="BR850" s="7">
        <v>5406081</v>
      </c>
      <c r="BS850" s="9">
        <f>[1]monsters!$N850</f>
        <v>86.4</v>
      </c>
      <c r="BT850" s="9">
        <f>[1]monsters!$O850</f>
        <v>8.64</v>
      </c>
      <c r="BU850" s="9">
        <f>[1]monsters!$P850</f>
        <v>213.33400000000003</v>
      </c>
      <c r="BV850" s="9">
        <f>[1]monsters!$Q850</f>
        <v>106.67</v>
      </c>
      <c r="BW850" s="9">
        <f>[1]monsters!$R850</f>
        <v>17.28</v>
      </c>
      <c r="BX850" s="9">
        <f>[1]monsters!$S850</f>
        <v>1.73</v>
      </c>
      <c r="BY850" s="9">
        <f>[1]monsters!$K850</f>
        <v>1.8</v>
      </c>
      <c r="BZ850" s="7">
        <f>[1]monsters!$D850</f>
        <v>2</v>
      </c>
      <c r="CA850" s="7">
        <f t="shared" si="234"/>
        <v>0.1</v>
      </c>
      <c r="CB850" s="7">
        <f t="shared" si="235"/>
        <v>88.830962962962971</v>
      </c>
      <c r="CC850" s="7">
        <f t="shared" si="236"/>
        <v>8.8830962962962978</v>
      </c>
      <c r="CD850" s="7"/>
      <c r="CE850" s="7"/>
      <c r="CF850" s="7"/>
      <c r="CG850" s="7"/>
      <c r="CH850" s="7"/>
      <c r="CI850" s="7"/>
      <c r="CJ850" s="7"/>
      <c r="CK850" s="7"/>
      <c r="CL850" s="7"/>
      <c r="CM850" s="7"/>
      <c r="CN850" s="7"/>
      <c r="CO850" s="7"/>
      <c r="CP850" s="7"/>
      <c r="CR850" s="25"/>
      <c r="CS850" s="25"/>
      <c r="CT850" s="25"/>
      <c r="CU850" s="25"/>
      <c r="CV850" s="25"/>
      <c r="CW850" s="25"/>
      <c r="DP850" s="32"/>
      <c r="DQ850" s="32"/>
      <c r="DR850" s="36"/>
      <c r="DS850" s="36"/>
      <c r="DT850" s="36"/>
      <c r="DU850" s="36"/>
      <c r="DV850" s="32"/>
      <c r="DW850" s="32"/>
      <c r="DX850" s="32"/>
      <c r="DY850" s="32"/>
      <c r="DZ850" s="32"/>
      <c r="EA850" s="32"/>
      <c r="EB850" s="47"/>
    </row>
    <row r="851" spans="29:132" ht="13.5" customHeight="1">
      <c r="AC851" s="16" t="str">
        <f t="shared" si="233"/>
        <v/>
      </c>
      <c r="AD851" s="16" t="str">
        <f t="shared" si="232"/>
        <v/>
      </c>
      <c r="AE851" s="16" t="str">
        <f t="shared" si="232"/>
        <v/>
      </c>
      <c r="AF851" s="16" t="str">
        <f t="shared" si="232"/>
        <v/>
      </c>
      <c r="AG851" s="16" t="str">
        <f t="shared" si="232"/>
        <v/>
      </c>
      <c r="AH851" s="16" t="str">
        <f t="shared" si="232"/>
        <v/>
      </c>
      <c r="BR851" s="7">
        <v>5205081</v>
      </c>
      <c r="BS851" s="9">
        <f>[1]monsters!$N851</f>
        <v>100</v>
      </c>
      <c r="BT851" s="9">
        <f>[1]monsters!$O851</f>
        <v>10</v>
      </c>
      <c r="BU851" s="9">
        <f>[1]monsters!$P851</f>
        <v>153.60000000000002</v>
      </c>
      <c r="BV851" s="9">
        <f>[1]monsters!$Q851</f>
        <v>76.8</v>
      </c>
      <c r="BW851" s="9">
        <f>[1]monsters!$R851</f>
        <v>10</v>
      </c>
      <c r="BX851" s="9">
        <f>[1]monsters!$S851</f>
        <v>1</v>
      </c>
      <c r="BY851" s="9">
        <f>[1]monsters!$K851</f>
        <v>1.5</v>
      </c>
      <c r="BZ851" s="7">
        <f>[1]monsters!$D851</f>
        <v>4</v>
      </c>
      <c r="CA851" s="7">
        <f t="shared" si="234"/>
        <v>0.1</v>
      </c>
      <c r="CB851" s="7">
        <f t="shared" si="235"/>
        <v>99.671717171717177</v>
      </c>
      <c r="CC851" s="7">
        <f t="shared" si="236"/>
        <v>9.967171717171718</v>
      </c>
      <c r="CD851" s="7"/>
      <c r="CE851" s="7"/>
      <c r="CF851" s="7"/>
      <c r="CG851" s="7"/>
      <c r="CH851" s="7"/>
      <c r="CI851" s="7"/>
      <c r="CJ851" s="7"/>
      <c r="CK851" s="7"/>
      <c r="CL851" s="7"/>
      <c r="CM851" s="7"/>
      <c r="CN851" s="7"/>
      <c r="CO851" s="7"/>
      <c r="CP851" s="7"/>
      <c r="CR851" s="25"/>
      <c r="CS851" s="25"/>
      <c r="CT851" s="25"/>
      <c r="CU851" s="25"/>
      <c r="CV851" s="25"/>
      <c r="CW851" s="25"/>
      <c r="DP851" s="32"/>
      <c r="DQ851" s="32"/>
      <c r="DR851" s="32"/>
      <c r="DS851" s="36"/>
      <c r="DT851" s="36"/>
      <c r="DU851" s="36"/>
      <c r="DV851" s="32"/>
      <c r="DW851" s="32"/>
      <c r="DX851" s="32"/>
      <c r="DY851" s="32"/>
      <c r="DZ851" s="32"/>
      <c r="EA851" s="32"/>
      <c r="EB851" s="47"/>
    </row>
    <row r="852" spans="29:132" ht="13.5" customHeight="1">
      <c r="AC852" s="16" t="str">
        <f t="shared" si="233"/>
        <v/>
      </c>
      <c r="AD852" s="16" t="str">
        <f t="shared" si="232"/>
        <v/>
      </c>
      <c r="AE852" s="16" t="str">
        <f t="shared" si="232"/>
        <v/>
      </c>
      <c r="AF852" s="16" t="str">
        <f t="shared" si="232"/>
        <v/>
      </c>
      <c r="AG852" s="16" t="str">
        <f t="shared" si="232"/>
        <v/>
      </c>
      <c r="AH852" s="16" t="str">
        <f t="shared" si="232"/>
        <v/>
      </c>
      <c r="BR852" s="7">
        <v>5405081</v>
      </c>
      <c r="BS852" s="9">
        <f>[1]monsters!$N852</f>
        <v>76.27</v>
      </c>
      <c r="BT852" s="9">
        <f>[1]monsters!$O852</f>
        <v>7.63</v>
      </c>
      <c r="BU852" s="9">
        <f>[1]monsters!$P852</f>
        <v>174.54600000000002</v>
      </c>
      <c r="BV852" s="9">
        <f>[1]monsters!$Q852</f>
        <v>87.27</v>
      </c>
      <c r="BW852" s="9">
        <f>[1]monsters!$R852</f>
        <v>9.5299999999999994</v>
      </c>
      <c r="BX852" s="9">
        <f>[1]monsters!$S852</f>
        <v>0.95</v>
      </c>
      <c r="BY852" s="9">
        <f>[1]monsters!$K852</f>
        <v>1.3</v>
      </c>
      <c r="BZ852" s="7">
        <f>[1]monsters!$D852</f>
        <v>3</v>
      </c>
      <c r="CA852" s="7">
        <f t="shared" si="234"/>
        <v>0.1</v>
      </c>
      <c r="CB852" s="7">
        <f t="shared" si="235"/>
        <v>77.952119696969703</v>
      </c>
      <c r="CC852" s="7">
        <f t="shared" si="236"/>
        <v>7.7952119696969708</v>
      </c>
      <c r="CD852" s="7"/>
      <c r="CE852" s="7"/>
      <c r="CF852" s="7"/>
      <c r="CG852" s="7"/>
      <c r="CH852" s="7"/>
      <c r="CI852" s="7"/>
      <c r="CJ852" s="7"/>
      <c r="CK852" s="7"/>
      <c r="CL852" s="7"/>
      <c r="CM852" s="7"/>
      <c r="CN852" s="7"/>
      <c r="CO852" s="7"/>
      <c r="CP852" s="7"/>
      <c r="CR852" s="25"/>
      <c r="CS852" s="25"/>
      <c r="CT852" s="25"/>
      <c r="CU852" s="25"/>
      <c r="CV852" s="25"/>
      <c r="CW852" s="25"/>
      <c r="DP852" s="32"/>
      <c r="DQ852" s="32"/>
      <c r="DR852" s="36"/>
      <c r="DS852" s="14"/>
      <c r="DT852" s="36"/>
      <c r="DU852" s="36"/>
      <c r="DV852" s="32"/>
      <c r="DW852" s="32"/>
      <c r="DX852" s="32"/>
      <c r="DY852" s="32"/>
      <c r="DZ852" s="32"/>
      <c r="EA852" s="32"/>
      <c r="EB852" s="48"/>
    </row>
    <row r="853" spans="29:132" ht="13.5" customHeight="1">
      <c r="AC853" s="16" t="str">
        <f t="shared" si="233"/>
        <v/>
      </c>
      <c r="AD853" s="16" t="str">
        <f t="shared" si="232"/>
        <v/>
      </c>
      <c r="AE853" s="16" t="str">
        <f t="shared" si="232"/>
        <v/>
      </c>
      <c r="AF853" s="16" t="str">
        <f t="shared" si="232"/>
        <v/>
      </c>
      <c r="AG853" s="16" t="str">
        <f t="shared" si="232"/>
        <v/>
      </c>
      <c r="AH853" s="16" t="str">
        <f t="shared" si="232"/>
        <v/>
      </c>
      <c r="BR853" s="7">
        <v>5203081</v>
      </c>
      <c r="BS853" s="9">
        <f>[1]monsters!$N853</f>
        <v>105.6</v>
      </c>
      <c r="BT853" s="9">
        <f>[1]monsters!$O853</f>
        <v>10.56</v>
      </c>
      <c r="BU853" s="9">
        <f>[1]monsters!$P853</f>
        <v>174.54600000000002</v>
      </c>
      <c r="BV853" s="9">
        <f>[1]monsters!$Q853</f>
        <v>87.27</v>
      </c>
      <c r="BW853" s="9">
        <f>[1]monsters!$R853</f>
        <v>17.600000000000001</v>
      </c>
      <c r="BX853" s="9">
        <f>[1]monsters!$S853</f>
        <v>1.76</v>
      </c>
      <c r="BY853" s="9">
        <f>[1]monsters!$K853</f>
        <v>1.8</v>
      </c>
      <c r="BZ853" s="7">
        <f>[1]monsters!$D853</f>
        <v>5</v>
      </c>
      <c r="CA853" s="7">
        <f t="shared" si="234"/>
        <v>0.1</v>
      </c>
      <c r="CB853" s="7">
        <f t="shared" si="235"/>
        <v>105.6689696969697</v>
      </c>
      <c r="CC853" s="7">
        <f t="shared" si="236"/>
        <v>10.56689696969697</v>
      </c>
      <c r="CD853" s="7"/>
      <c r="CE853" s="7"/>
      <c r="CF853" s="7"/>
      <c r="CG853" s="7"/>
      <c r="CH853" s="7"/>
      <c r="CI853" s="7"/>
      <c r="CJ853" s="7"/>
      <c r="CK853" s="7"/>
      <c r="CL853" s="7"/>
      <c r="CM853" s="7"/>
      <c r="CN853" s="7"/>
      <c r="CO853" s="7"/>
      <c r="CP853" s="7"/>
      <c r="CR853" s="25"/>
      <c r="CS853" s="25"/>
      <c r="CT853" s="25"/>
      <c r="CU853" s="25"/>
      <c r="CV853" s="25"/>
      <c r="CW853" s="25"/>
      <c r="DP853" s="32"/>
      <c r="DQ853" s="32"/>
      <c r="DR853" s="32"/>
      <c r="DS853" s="36"/>
      <c r="DT853" s="36"/>
      <c r="DU853" s="36"/>
      <c r="DV853" s="32"/>
      <c r="DW853" s="32"/>
      <c r="DX853" s="32"/>
      <c r="DY853" s="32"/>
      <c r="DZ853" s="32"/>
      <c r="EA853" s="32"/>
      <c r="EB853" s="47"/>
    </row>
    <row r="854" spans="29:132" ht="13.5" customHeight="1">
      <c r="AC854" s="16" t="str">
        <f t="shared" si="233"/>
        <v/>
      </c>
      <c r="AD854" s="16" t="str">
        <f t="shared" si="232"/>
        <v/>
      </c>
      <c r="AE854" s="16" t="str">
        <f t="shared" si="232"/>
        <v/>
      </c>
      <c r="AF854" s="16" t="str">
        <f t="shared" si="232"/>
        <v/>
      </c>
      <c r="AG854" s="16" t="str">
        <f t="shared" si="232"/>
        <v/>
      </c>
      <c r="AH854" s="16" t="str">
        <f t="shared" si="232"/>
        <v/>
      </c>
      <c r="BR854" s="7">
        <v>5403081</v>
      </c>
      <c r="BS854" s="9">
        <f>[1]monsters!$N854</f>
        <v>76.8</v>
      </c>
      <c r="BT854" s="9">
        <f>[1]monsters!$O854</f>
        <v>7.68</v>
      </c>
      <c r="BU854" s="9">
        <f>[1]monsters!$P854</f>
        <v>213.33400000000003</v>
      </c>
      <c r="BV854" s="9">
        <f>[1]monsters!$Q854</f>
        <v>106.67</v>
      </c>
      <c r="BW854" s="9">
        <f>[1]monsters!$R854</f>
        <v>15.36</v>
      </c>
      <c r="BX854" s="9">
        <f>[1]monsters!$S854</f>
        <v>1.54</v>
      </c>
      <c r="BY854" s="9">
        <f>[1]monsters!$K854</f>
        <v>1.6</v>
      </c>
      <c r="BZ854" s="7">
        <f>[1]monsters!$D854</f>
        <v>2</v>
      </c>
      <c r="CA854" s="7">
        <f t="shared" si="234"/>
        <v>0.1</v>
      </c>
      <c r="CB854" s="7">
        <f t="shared" si="235"/>
        <v>79.758962962962968</v>
      </c>
      <c r="CC854" s="7">
        <f t="shared" si="236"/>
        <v>7.9758962962962974</v>
      </c>
      <c r="CD854" s="7"/>
      <c r="CE854" s="7"/>
      <c r="CF854" s="7"/>
      <c r="CG854" s="7"/>
      <c r="CH854" s="7"/>
      <c r="CI854" s="7"/>
      <c r="CJ854" s="7"/>
      <c r="CK854" s="7"/>
      <c r="CL854" s="7"/>
      <c r="CM854" s="7"/>
      <c r="CN854" s="7"/>
      <c r="CO854" s="7"/>
      <c r="CP854" s="7"/>
      <c r="CR854" s="25"/>
      <c r="CS854" s="25"/>
      <c r="CT854" s="25"/>
      <c r="CU854" s="25"/>
      <c r="CV854" s="25"/>
      <c r="CW854" s="25"/>
      <c r="DP854" s="32"/>
      <c r="DQ854" s="32"/>
      <c r="DR854" s="32"/>
      <c r="DS854" s="32"/>
      <c r="DT854" s="32"/>
      <c r="DU854" s="32"/>
      <c r="DV854" s="32"/>
      <c r="DW854" s="32"/>
      <c r="DX854" s="32"/>
      <c r="DY854" s="32"/>
      <c r="DZ854" s="32"/>
      <c r="EA854" s="32"/>
      <c r="EB854" s="47"/>
    </row>
    <row r="855" spans="29:132" ht="13.5" customHeight="1">
      <c r="AC855" s="16" t="str">
        <f t="shared" si="233"/>
        <v/>
      </c>
      <c r="AD855" s="16" t="str">
        <f t="shared" si="232"/>
        <v/>
      </c>
      <c r="AE855" s="16" t="str">
        <f t="shared" si="232"/>
        <v/>
      </c>
      <c r="AF855" s="16" t="str">
        <f t="shared" si="232"/>
        <v/>
      </c>
      <c r="AG855" s="16" t="str">
        <f t="shared" si="232"/>
        <v/>
      </c>
      <c r="AH855" s="16" t="str">
        <f t="shared" si="232"/>
        <v/>
      </c>
      <c r="BR855" s="7">
        <v>5204081</v>
      </c>
      <c r="BS855" s="9">
        <f>[1]monsters!$N855</f>
        <v>97.07</v>
      </c>
      <c r="BT855" s="9">
        <f>[1]monsters!$O855</f>
        <v>9.7100000000000009</v>
      </c>
      <c r="BU855" s="9">
        <f>[1]monsters!$P855</f>
        <v>147.69200000000001</v>
      </c>
      <c r="BV855" s="9">
        <f>[1]monsters!$Q855</f>
        <v>73.849999999999994</v>
      </c>
      <c r="BW855" s="9">
        <f>[1]monsters!$R855</f>
        <v>9.7100000000000009</v>
      </c>
      <c r="BX855" s="9">
        <f>[1]monsters!$S855</f>
        <v>0.97</v>
      </c>
      <c r="BY855" s="9">
        <f>[1]monsters!$K855</f>
        <v>1.4000000000000001</v>
      </c>
      <c r="BZ855" s="7">
        <f>[1]monsters!$D855</f>
        <v>4</v>
      </c>
      <c r="CA855" s="7">
        <f t="shared" si="234"/>
        <v>0.1</v>
      </c>
      <c r="CB855" s="7">
        <f t="shared" si="235"/>
        <v>96.703944612794615</v>
      </c>
      <c r="CC855" s="7">
        <f t="shared" si="236"/>
        <v>9.6703944612794626</v>
      </c>
      <c r="CD855" s="7"/>
      <c r="CE855" s="7"/>
      <c r="CF855" s="7"/>
      <c r="CG855" s="7"/>
      <c r="CH855" s="7"/>
      <c r="CI855" s="7"/>
      <c r="CJ855" s="7"/>
      <c r="CK855" s="7"/>
      <c r="CL855" s="7"/>
      <c r="CM855" s="7"/>
      <c r="CN855" s="7"/>
      <c r="CO855" s="7"/>
      <c r="CP855" s="7"/>
      <c r="CR855" s="25"/>
      <c r="CS855" s="25"/>
      <c r="CT855" s="25"/>
      <c r="CU855" s="25"/>
      <c r="CV855" s="25"/>
      <c r="CW855" s="25"/>
      <c r="DP855" s="36"/>
      <c r="DQ855" s="36"/>
      <c r="DR855" s="36"/>
      <c r="DS855" s="36"/>
      <c r="DT855" s="36"/>
      <c r="DU855" s="36"/>
      <c r="DV855" s="32"/>
      <c r="DW855" s="32"/>
      <c r="DX855" s="32"/>
      <c r="DY855" s="32"/>
      <c r="DZ855" s="32"/>
      <c r="EA855" s="32"/>
      <c r="EB855" s="47"/>
    </row>
    <row r="856" spans="29:132" ht="13.5" customHeight="1">
      <c r="AC856" s="16" t="str">
        <f t="shared" si="233"/>
        <v/>
      </c>
      <c r="AD856" s="16" t="str">
        <f t="shared" si="232"/>
        <v/>
      </c>
      <c r="AE856" s="16" t="str">
        <f t="shared" si="232"/>
        <v/>
      </c>
      <c r="AF856" s="16" t="str">
        <f t="shared" si="232"/>
        <v/>
      </c>
      <c r="AG856" s="16" t="str">
        <f t="shared" si="232"/>
        <v/>
      </c>
      <c r="AH856" s="16" t="str">
        <f t="shared" si="232"/>
        <v/>
      </c>
      <c r="BR856" s="7">
        <v>5404081</v>
      </c>
      <c r="BS856" s="9">
        <f>[1]monsters!$N856</f>
        <v>67.2</v>
      </c>
      <c r="BT856" s="9">
        <f>[1]monsters!$O856</f>
        <v>6.72</v>
      </c>
      <c r="BU856" s="9">
        <f>[1]monsters!$P856</f>
        <v>213.33400000000003</v>
      </c>
      <c r="BV856" s="9">
        <f>[1]monsters!$Q856</f>
        <v>106.67</v>
      </c>
      <c r="BW856" s="9">
        <f>[1]monsters!$R856</f>
        <v>13.44</v>
      </c>
      <c r="BX856" s="9">
        <f>[1]monsters!$S856</f>
        <v>1.34</v>
      </c>
      <c r="BY856" s="9">
        <f>[1]monsters!$K856</f>
        <v>1.4000000000000001</v>
      </c>
      <c r="BZ856" s="7">
        <f>[1]monsters!$D856</f>
        <v>2</v>
      </c>
      <c r="CA856" s="7">
        <f t="shared" si="234"/>
        <v>0.1</v>
      </c>
      <c r="CB856" s="7">
        <f t="shared" si="235"/>
        <v>70.686962962962966</v>
      </c>
      <c r="CC856" s="7">
        <f t="shared" si="236"/>
        <v>7.0686962962962969</v>
      </c>
      <c r="CD856" s="7"/>
      <c r="CE856" s="7"/>
      <c r="CF856" s="7"/>
      <c r="CG856" s="7"/>
      <c r="CH856" s="7"/>
      <c r="CI856" s="7"/>
      <c r="CJ856" s="7"/>
      <c r="CK856" s="7"/>
      <c r="CL856" s="7"/>
      <c r="CM856" s="7"/>
      <c r="CN856" s="7"/>
      <c r="CO856" s="7"/>
      <c r="CP856" s="7"/>
      <c r="CR856" s="25"/>
      <c r="CS856" s="25"/>
      <c r="CT856" s="25"/>
      <c r="CU856" s="25"/>
      <c r="CV856" s="25"/>
      <c r="CW856" s="25"/>
      <c r="DP856" s="32"/>
      <c r="DQ856" s="32"/>
      <c r="DR856" s="32"/>
      <c r="DS856" s="32"/>
      <c r="DT856" s="32"/>
      <c r="DU856" s="32"/>
      <c r="DV856" s="32"/>
      <c r="DW856" s="32"/>
      <c r="DX856" s="32"/>
      <c r="DY856" s="32"/>
      <c r="DZ856" s="32"/>
      <c r="EA856" s="32"/>
      <c r="EB856" s="48"/>
    </row>
    <row r="857" spans="29:132" ht="13.5" customHeight="1">
      <c r="AC857" s="16" t="str">
        <f t="shared" si="233"/>
        <v/>
      </c>
      <c r="AD857" s="16" t="str">
        <f t="shared" si="232"/>
        <v/>
      </c>
      <c r="AE857" s="16" t="str">
        <f t="shared" si="232"/>
        <v/>
      </c>
      <c r="AF857" s="16" t="str">
        <f t="shared" si="232"/>
        <v/>
      </c>
      <c r="AG857" s="16" t="str">
        <f t="shared" si="232"/>
        <v/>
      </c>
      <c r="AH857" s="16" t="str">
        <f t="shared" si="232"/>
        <v/>
      </c>
      <c r="BR857" s="7">
        <v>5303081</v>
      </c>
      <c r="BS857" s="9">
        <f>[1]monsters!$N857</f>
        <v>110.93</v>
      </c>
      <c r="BT857" s="9">
        <f>[1]monsters!$O857</f>
        <v>11.09</v>
      </c>
      <c r="BU857" s="9">
        <f>[1]monsters!$P857</f>
        <v>147.69200000000001</v>
      </c>
      <c r="BV857" s="9">
        <f>[1]monsters!$Q857</f>
        <v>73.849999999999994</v>
      </c>
      <c r="BW857" s="9">
        <f>[1]monsters!$R857</f>
        <v>11.09</v>
      </c>
      <c r="BX857" s="9">
        <f>[1]monsters!$S857</f>
        <v>1.1100000000000001</v>
      </c>
      <c r="BY857" s="9">
        <f>[1]monsters!$K857</f>
        <v>1.6</v>
      </c>
      <c r="BZ857" s="7">
        <f>[1]monsters!$D857</f>
        <v>4</v>
      </c>
      <c r="CA857" s="7">
        <f t="shared" si="234"/>
        <v>0.1</v>
      </c>
      <c r="CB857" s="7">
        <f t="shared" si="235"/>
        <v>109.80164461279463</v>
      </c>
      <c r="CC857" s="7">
        <f t="shared" si="236"/>
        <v>10.980164461279465</v>
      </c>
      <c r="CD857" s="7"/>
      <c r="CE857" s="7"/>
      <c r="CF857" s="7"/>
      <c r="CG857" s="7"/>
      <c r="CH857" s="7"/>
      <c r="CI857" s="7"/>
      <c r="CJ857" s="7"/>
      <c r="CK857" s="7"/>
      <c r="CL857" s="7"/>
      <c r="CM857" s="7"/>
      <c r="CN857" s="7"/>
      <c r="CO857" s="7"/>
      <c r="CP857" s="7"/>
      <c r="CR857" s="25"/>
      <c r="CS857" s="25"/>
      <c r="CT857" s="25"/>
      <c r="CU857" s="25"/>
      <c r="CV857" s="25"/>
      <c r="CW857" s="25"/>
      <c r="DP857" s="13"/>
      <c r="DQ857" s="32"/>
      <c r="DR857" s="32"/>
      <c r="DS857" s="32"/>
      <c r="DT857" s="32"/>
      <c r="DU857" s="32"/>
      <c r="DV857" s="32"/>
      <c r="DW857" s="32"/>
      <c r="DX857" s="32"/>
      <c r="DY857" s="32"/>
      <c r="DZ857" s="32"/>
      <c r="EA857" s="32"/>
      <c r="EB857" s="47"/>
    </row>
    <row r="858" spans="29:132" ht="13.5" customHeight="1">
      <c r="AC858" s="16" t="str">
        <f t="shared" si="233"/>
        <v/>
      </c>
      <c r="AD858" s="16" t="str">
        <f t="shared" si="232"/>
        <v/>
      </c>
      <c r="AE858" s="16" t="str">
        <f t="shared" si="232"/>
        <v/>
      </c>
      <c r="AF858" s="16" t="str">
        <f t="shared" si="232"/>
        <v/>
      </c>
      <c r="AG858" s="16" t="str">
        <f t="shared" si="232"/>
        <v/>
      </c>
      <c r="AH858" s="16" t="str">
        <f t="shared" si="232"/>
        <v/>
      </c>
      <c r="BR858" s="7">
        <v>5304081</v>
      </c>
      <c r="BS858" s="9">
        <f>[1]monsters!$N858</f>
        <v>102.4</v>
      </c>
      <c r="BT858" s="9">
        <f>[1]monsters!$O858</f>
        <v>10.24</v>
      </c>
      <c r="BU858" s="9">
        <f>[1]monsters!$P858</f>
        <v>160</v>
      </c>
      <c r="BV858" s="9">
        <f>[1]monsters!$Q858</f>
        <v>80</v>
      </c>
      <c r="BW858" s="9">
        <f>[1]monsters!$R858</f>
        <v>17.07</v>
      </c>
      <c r="BX858" s="9">
        <f>[1]monsters!$S858</f>
        <v>1.71</v>
      </c>
      <c r="BY858" s="9">
        <f>[1]monsters!$K858</f>
        <v>1.6</v>
      </c>
      <c r="BZ858" s="7">
        <f>[1]monsters!$D858</f>
        <v>5</v>
      </c>
      <c r="CA858" s="7">
        <f t="shared" si="234"/>
        <v>0.1</v>
      </c>
      <c r="CB858" s="7">
        <f t="shared" si="235"/>
        <v>102.1552053872054</v>
      </c>
      <c r="CC858" s="7">
        <f t="shared" si="236"/>
        <v>10.21552053872054</v>
      </c>
      <c r="CD858" s="7"/>
      <c r="CE858" s="7"/>
      <c r="CF858" s="7"/>
      <c r="CG858" s="7"/>
      <c r="CH858" s="7"/>
      <c r="CI858" s="7"/>
      <c r="CJ858" s="7"/>
      <c r="CK858" s="7"/>
      <c r="CL858" s="7"/>
      <c r="CM858" s="7"/>
      <c r="CN858" s="7"/>
      <c r="CO858" s="7"/>
      <c r="CP858" s="7"/>
      <c r="CR858" s="25"/>
      <c r="CS858" s="25"/>
      <c r="CT858" s="25"/>
      <c r="CU858" s="25"/>
      <c r="CV858" s="25"/>
      <c r="CW858" s="25"/>
      <c r="DP858" s="36"/>
      <c r="DQ858" s="36"/>
      <c r="DR858" s="36"/>
      <c r="DS858" s="36"/>
      <c r="DT858" s="36"/>
      <c r="DU858" s="36"/>
      <c r="DV858" s="32"/>
      <c r="DW858" s="32"/>
      <c r="DX858" s="32"/>
      <c r="DY858" s="32"/>
      <c r="DZ858" s="32"/>
      <c r="EA858" s="32"/>
      <c r="EB858" s="47"/>
    </row>
    <row r="859" spans="29:132" ht="13.5" customHeight="1">
      <c r="AC859" s="16" t="str">
        <f t="shared" si="233"/>
        <v/>
      </c>
      <c r="AD859" s="16" t="str">
        <f t="shared" ref="AD859:AH909" si="237">IF(AJ859&gt;0,FLOOR((POWER((AJ859/IF(AND(X859&gt;=2,X859&lt;4),1.1,IF(AND(X859&gt;=4,X859&lt;6),1.15,IF(X859&gt;=6,1.2,1)))/$Z$1),0.5)/INDEX($BD$4:$BQ$4,MATCH(X859,$BD$3:$BQ$3,0))-1)*10,1),"")</f>
        <v/>
      </c>
      <c r="AE859" s="16" t="str">
        <f t="shared" si="237"/>
        <v/>
      </c>
      <c r="AF859" s="16" t="str">
        <f t="shared" si="237"/>
        <v/>
      </c>
      <c r="AG859" s="16" t="str">
        <f t="shared" si="237"/>
        <v/>
      </c>
      <c r="AH859" s="16" t="str">
        <f t="shared" si="237"/>
        <v/>
      </c>
      <c r="BR859" s="7">
        <v>5503081</v>
      </c>
      <c r="BS859" s="9">
        <f>[1]monsters!$N859</f>
        <v>85.87</v>
      </c>
      <c r="BT859" s="9">
        <f>[1]monsters!$O859</f>
        <v>8.59</v>
      </c>
      <c r="BU859" s="9">
        <f>[1]monsters!$P859</f>
        <v>166.95600000000002</v>
      </c>
      <c r="BV859" s="9">
        <f>[1]monsters!$Q859</f>
        <v>83.48</v>
      </c>
      <c r="BW859" s="9">
        <f>[1]monsters!$R859</f>
        <v>10.73</v>
      </c>
      <c r="BX859" s="9">
        <f>[1]monsters!$S859</f>
        <v>1.07</v>
      </c>
      <c r="BY859" s="9">
        <f>[1]monsters!$K859</f>
        <v>1.4000000000000001</v>
      </c>
      <c r="BZ859" s="7">
        <f>[1]monsters!$D859</f>
        <v>3</v>
      </c>
      <c r="CA859" s="7">
        <f t="shared" si="234"/>
        <v>0.1</v>
      </c>
      <c r="CB859" s="7">
        <f t="shared" si="235"/>
        <v>86.768564141414146</v>
      </c>
      <c r="CC859" s="7">
        <f t="shared" si="236"/>
        <v>8.6768564141414153</v>
      </c>
      <c r="CD859" s="7"/>
      <c r="CE859" s="7"/>
      <c r="CF859" s="7"/>
      <c r="CG859" s="7"/>
      <c r="CH859" s="7"/>
      <c r="CI859" s="7"/>
      <c r="CJ859" s="7"/>
      <c r="CK859" s="7"/>
      <c r="CL859" s="7"/>
      <c r="CM859" s="7"/>
      <c r="CN859" s="7"/>
      <c r="CO859" s="7"/>
      <c r="CP859" s="7"/>
      <c r="CR859" s="25"/>
      <c r="CS859" s="25"/>
      <c r="CT859" s="25"/>
      <c r="CU859" s="25"/>
      <c r="CV859" s="25"/>
      <c r="CW859" s="25"/>
      <c r="DP859" s="32"/>
      <c r="DQ859" s="32"/>
      <c r="DR859" s="36"/>
      <c r="DS859" s="36"/>
      <c r="DT859" s="32"/>
      <c r="DU859" s="32"/>
      <c r="DV859" s="32"/>
      <c r="DW859" s="32"/>
      <c r="DX859" s="32"/>
      <c r="DY859" s="32"/>
      <c r="DZ859" s="32"/>
      <c r="EA859" s="32"/>
      <c r="EB859" s="48"/>
    </row>
    <row r="860" spans="29:132" ht="13.5" customHeight="1">
      <c r="AC860" s="16" t="str">
        <f t="shared" si="233"/>
        <v/>
      </c>
      <c r="AD860" s="16" t="str">
        <f t="shared" si="237"/>
        <v/>
      </c>
      <c r="AE860" s="16" t="str">
        <f t="shared" si="237"/>
        <v/>
      </c>
      <c r="AF860" s="16" t="str">
        <f t="shared" si="237"/>
        <v/>
      </c>
      <c r="AG860" s="16" t="str">
        <f t="shared" si="237"/>
        <v/>
      </c>
      <c r="AH860" s="16" t="str">
        <f t="shared" si="237"/>
        <v/>
      </c>
      <c r="BR860" s="7">
        <v>5504081</v>
      </c>
      <c r="BS860" s="9">
        <f>[1]monsters!$N860</f>
        <v>299</v>
      </c>
      <c r="BT860" s="9">
        <f>[1]monsters!$O860</f>
        <v>1</v>
      </c>
      <c r="BU860" s="9">
        <f>[1]monsters!$P860</f>
        <v>799</v>
      </c>
      <c r="BV860" s="9">
        <f>[1]monsters!$Q860</f>
        <v>1</v>
      </c>
      <c r="BW860" s="9">
        <f>[1]monsters!$R860</f>
        <v>1</v>
      </c>
      <c r="BX860" s="9">
        <f>[1]monsters!$S860</f>
        <v>1</v>
      </c>
      <c r="BY860" s="9">
        <f>[1]monsters!$K860</f>
        <v>1.6</v>
      </c>
      <c r="BZ860" s="7">
        <f>[1]monsters!$D860</f>
        <v>2</v>
      </c>
      <c r="CA860" s="7">
        <f t="shared" si="234"/>
        <v>0.1</v>
      </c>
      <c r="CB860" s="7">
        <f t="shared" si="235"/>
        <v>309.45735690235688</v>
      </c>
      <c r="CC860" s="7">
        <f t="shared" si="236"/>
        <v>30.94573569023569</v>
      </c>
      <c r="CD860" s="7"/>
      <c r="CE860" s="7"/>
      <c r="CF860" s="7"/>
      <c r="CG860" s="7"/>
      <c r="CH860" s="7"/>
      <c r="CI860" s="7"/>
      <c r="CJ860" s="7"/>
      <c r="CK860" s="7"/>
      <c r="CL860" s="7"/>
      <c r="CM860" s="7"/>
      <c r="CN860" s="7"/>
      <c r="CO860" s="7"/>
      <c r="CP860" s="7"/>
      <c r="CR860" s="25"/>
      <c r="CS860" s="25"/>
      <c r="CT860" s="25"/>
      <c r="CU860" s="25"/>
      <c r="CV860" s="25"/>
      <c r="CW860" s="25"/>
      <c r="DP860" s="32"/>
      <c r="DQ860" s="32"/>
      <c r="DR860" s="36"/>
      <c r="DS860" s="36"/>
      <c r="DT860" s="36"/>
      <c r="DU860" s="36"/>
      <c r="DV860" s="32"/>
      <c r="DW860" s="32"/>
      <c r="DX860" s="32"/>
      <c r="DY860" s="32"/>
      <c r="DZ860" s="32"/>
      <c r="EA860" s="32"/>
      <c r="EB860" s="47"/>
    </row>
    <row r="861" spans="29:132" ht="13.5" customHeight="1">
      <c r="AC861" s="16" t="str">
        <f t="shared" si="233"/>
        <v/>
      </c>
      <c r="AD861" s="16" t="str">
        <f t="shared" si="237"/>
        <v/>
      </c>
      <c r="AE861" s="16" t="str">
        <f t="shared" si="237"/>
        <v/>
      </c>
      <c r="AF861" s="16" t="str">
        <f t="shared" si="237"/>
        <v/>
      </c>
      <c r="AG861" s="16" t="str">
        <f t="shared" si="237"/>
        <v/>
      </c>
      <c r="AH861" s="16" t="str">
        <f t="shared" si="237"/>
        <v/>
      </c>
      <c r="BR861" s="7">
        <v>5101081</v>
      </c>
      <c r="BS861" s="9">
        <f>[1]monsters!$N861</f>
        <v>200</v>
      </c>
      <c r="BT861" s="9">
        <f>[1]monsters!$O861</f>
        <v>1</v>
      </c>
      <c r="BU861" s="9">
        <f>[1]monsters!$P861</f>
        <v>1000</v>
      </c>
      <c r="BV861" s="9">
        <f>[1]monsters!$Q861</f>
        <v>1</v>
      </c>
      <c r="BW861" s="9">
        <f>[1]monsters!$R861</f>
        <v>1</v>
      </c>
      <c r="BX861" s="9">
        <f>[1]monsters!$S861</f>
        <v>1</v>
      </c>
      <c r="BY861" s="9">
        <f>[1]monsters!$K861</f>
        <v>1.4000000000000001</v>
      </c>
      <c r="BZ861" s="7">
        <f>[1]monsters!$D861</f>
        <v>3</v>
      </c>
      <c r="CA861" s="7">
        <f t="shared" si="234"/>
        <v>0.1</v>
      </c>
      <c r="CB861" s="7">
        <f t="shared" si="235"/>
        <v>222.67003367003366</v>
      </c>
      <c r="CC861" s="7">
        <f t="shared" si="236"/>
        <v>22.267003367003369</v>
      </c>
      <c r="CD861" s="7"/>
      <c r="CE861" s="7"/>
      <c r="CF861" s="7"/>
      <c r="CG861" s="7"/>
      <c r="CH861" s="7"/>
      <c r="CI861" s="7"/>
      <c r="CJ861" s="7"/>
      <c r="CK861" s="7"/>
      <c r="CL861" s="7"/>
      <c r="CM861" s="7"/>
      <c r="CN861" s="7"/>
      <c r="CO861" s="7"/>
      <c r="CP861" s="7"/>
      <c r="CR861" s="25"/>
      <c r="CS861" s="25"/>
      <c r="CT861" s="25"/>
      <c r="CU861" s="25"/>
      <c r="CV861" s="25"/>
      <c r="CW861" s="25"/>
      <c r="DP861" s="32"/>
      <c r="DQ861" s="32"/>
      <c r="DR861" s="32"/>
      <c r="DS861" s="32"/>
      <c r="DT861" s="36"/>
      <c r="DU861" s="36"/>
      <c r="DV861" s="32"/>
      <c r="DW861" s="32"/>
      <c r="DX861" s="32"/>
      <c r="DY861" s="32"/>
      <c r="DZ861" s="32"/>
      <c r="EA861" s="32"/>
      <c r="EB861" s="47"/>
    </row>
    <row r="862" spans="29:132" ht="13.5" customHeight="1">
      <c r="AC862" s="16" t="str">
        <f t="shared" si="233"/>
        <v/>
      </c>
      <c r="AD862" s="16" t="str">
        <f t="shared" si="237"/>
        <v/>
      </c>
      <c r="AE862" s="16" t="str">
        <f t="shared" si="237"/>
        <v/>
      </c>
      <c r="AF862" s="16" t="str">
        <f t="shared" si="237"/>
        <v/>
      </c>
      <c r="AG862" s="16" t="str">
        <f t="shared" si="237"/>
        <v/>
      </c>
      <c r="AH862" s="16" t="str">
        <f t="shared" si="237"/>
        <v/>
      </c>
      <c r="BR862" s="7">
        <v>5102081</v>
      </c>
      <c r="BS862" s="9">
        <f>[1]monsters!$N862</f>
        <v>200</v>
      </c>
      <c r="BT862" s="9">
        <f>[1]monsters!$O862</f>
        <v>1</v>
      </c>
      <c r="BU862" s="9">
        <f>[1]monsters!$P862</f>
        <v>1000</v>
      </c>
      <c r="BV862" s="9">
        <f>[1]monsters!$Q862</f>
        <v>1</v>
      </c>
      <c r="BW862" s="9">
        <f>[1]monsters!$R862</f>
        <v>1</v>
      </c>
      <c r="BX862" s="9">
        <f>[1]monsters!$S862</f>
        <v>1</v>
      </c>
      <c r="BY862" s="9">
        <f>[1]monsters!$K862</f>
        <v>1.8</v>
      </c>
      <c r="BZ862" s="7">
        <f>[1]monsters!$D862</f>
        <v>2</v>
      </c>
      <c r="CA862" s="7">
        <f t="shared" si="234"/>
        <v>0.1</v>
      </c>
      <c r="CB862" s="7">
        <f t="shared" si="235"/>
        <v>222.67003367003366</v>
      </c>
      <c r="CC862" s="7">
        <f t="shared" si="236"/>
        <v>22.267003367003369</v>
      </c>
      <c r="CD862" s="7"/>
      <c r="CE862" s="7"/>
      <c r="CF862" s="7"/>
      <c r="CG862" s="7"/>
      <c r="CH862" s="7"/>
      <c r="CI862" s="7"/>
      <c r="CJ862" s="7"/>
      <c r="CK862" s="7"/>
      <c r="CL862" s="7"/>
      <c r="CM862" s="7"/>
      <c r="CN862" s="7"/>
      <c r="CO862" s="7"/>
      <c r="CP862" s="7"/>
      <c r="CR862" s="25"/>
      <c r="CS862" s="25"/>
      <c r="CT862" s="25"/>
      <c r="CU862" s="25"/>
      <c r="CV862" s="25"/>
      <c r="CW862" s="25"/>
      <c r="DP862" s="32"/>
      <c r="DQ862" s="32"/>
      <c r="DR862" s="32"/>
      <c r="DS862" s="36"/>
      <c r="DT862" s="36"/>
      <c r="DU862" s="36"/>
      <c r="DV862" s="32"/>
      <c r="DW862" s="32"/>
      <c r="DX862" s="32"/>
      <c r="DY862" s="32"/>
      <c r="DZ862" s="32"/>
      <c r="EA862" s="32"/>
      <c r="EB862" s="47"/>
    </row>
    <row r="863" spans="29:132" ht="13.5" customHeight="1">
      <c r="AC863" s="16" t="str">
        <f t="shared" si="233"/>
        <v/>
      </c>
      <c r="AD863" s="16" t="str">
        <f t="shared" si="237"/>
        <v/>
      </c>
      <c r="AE863" s="16" t="str">
        <f t="shared" si="237"/>
        <v/>
      </c>
      <c r="AF863" s="16" t="str">
        <f t="shared" si="237"/>
        <v/>
      </c>
      <c r="AG863" s="16" t="str">
        <f t="shared" si="237"/>
        <v/>
      </c>
      <c r="AH863" s="16" t="str">
        <f t="shared" si="237"/>
        <v/>
      </c>
      <c r="BR863" s="7">
        <v>5206082</v>
      </c>
      <c r="BS863" s="9">
        <f>[1]monsters!$N863</f>
        <v>0</v>
      </c>
      <c r="BT863" s="9">
        <f>[1]monsters!$O863</f>
        <v>0</v>
      </c>
      <c r="BU863" s="9">
        <f>[1]monsters!$P863</f>
        <v>0</v>
      </c>
      <c r="BV863" s="9">
        <f>[1]monsters!$Q863</f>
        <v>0</v>
      </c>
      <c r="BW863" s="9">
        <f>[1]monsters!$R863</f>
        <v>0</v>
      </c>
      <c r="BX863" s="9">
        <f>[1]monsters!$S863</f>
        <v>0</v>
      </c>
      <c r="BY863" s="9">
        <f>[1]monsters!$K863</f>
        <v>0</v>
      </c>
      <c r="BZ863" s="7">
        <f>[1]monsters!$D863</f>
        <v>0</v>
      </c>
      <c r="CA863" s="7" t="e">
        <f t="shared" si="234"/>
        <v>#N/A</v>
      </c>
      <c r="CB863" s="7" t="e">
        <f t="shared" si="235"/>
        <v>#N/A</v>
      </c>
      <c r="CC863" s="7" t="e">
        <f t="shared" si="236"/>
        <v>#N/A</v>
      </c>
      <c r="CD863" s="7"/>
      <c r="CE863" s="7"/>
      <c r="CF863" s="7"/>
      <c r="CG863" s="7"/>
      <c r="CH863" s="7"/>
      <c r="CI863" s="7"/>
      <c r="CJ863" s="7"/>
      <c r="CK863" s="7"/>
      <c r="CL863" s="7"/>
      <c r="CM863" s="7"/>
      <c r="CN863" s="7"/>
      <c r="CO863" s="7"/>
      <c r="CP863" s="7"/>
      <c r="CR863" s="25"/>
      <c r="CS863" s="25"/>
      <c r="CT863" s="25"/>
      <c r="CU863" s="25"/>
      <c r="CV863" s="25"/>
      <c r="CW863" s="25"/>
      <c r="DP863" s="32"/>
      <c r="DQ863" s="32"/>
      <c r="DR863" s="32"/>
      <c r="DS863" s="36"/>
      <c r="DT863" s="36"/>
      <c r="DU863" s="36"/>
      <c r="DV863" s="32"/>
      <c r="DW863" s="32"/>
      <c r="DX863" s="32"/>
      <c r="DY863" s="32"/>
      <c r="DZ863" s="32"/>
      <c r="EA863" s="32"/>
      <c r="EB863" s="49"/>
    </row>
    <row r="864" spans="29:132" ht="13.5" customHeight="1">
      <c r="AC864" s="16" t="str">
        <f t="shared" si="233"/>
        <v/>
      </c>
      <c r="AD864" s="16" t="str">
        <f t="shared" si="237"/>
        <v/>
      </c>
      <c r="AE864" s="16" t="str">
        <f t="shared" si="237"/>
        <v/>
      </c>
      <c r="AF864" s="16" t="str">
        <f t="shared" si="237"/>
        <v/>
      </c>
      <c r="AG864" s="16" t="str">
        <f t="shared" si="237"/>
        <v/>
      </c>
      <c r="AH864" s="16" t="str">
        <f t="shared" si="237"/>
        <v/>
      </c>
      <c r="BR864" s="7">
        <v>5406082</v>
      </c>
      <c r="BS864" s="9">
        <f>[1]monsters!$N864</f>
        <v>0</v>
      </c>
      <c r="BT864" s="9">
        <f>[1]monsters!$O864</f>
        <v>0</v>
      </c>
      <c r="BU864" s="9">
        <f>[1]monsters!$P864</f>
        <v>0</v>
      </c>
      <c r="BV864" s="9">
        <f>[1]monsters!$Q864</f>
        <v>0</v>
      </c>
      <c r="BW864" s="9">
        <f>[1]monsters!$R864</f>
        <v>0</v>
      </c>
      <c r="BX864" s="9">
        <f>[1]monsters!$S864</f>
        <v>0</v>
      </c>
      <c r="BY864" s="9">
        <f>[1]monsters!$K864</f>
        <v>0</v>
      </c>
      <c r="BZ864" s="7">
        <f>[1]monsters!$D864</f>
        <v>0</v>
      </c>
      <c r="CA864" s="7" t="e">
        <f t="shared" si="234"/>
        <v>#N/A</v>
      </c>
      <c r="CB864" s="7" t="e">
        <f t="shared" si="235"/>
        <v>#N/A</v>
      </c>
      <c r="CC864" s="7" t="e">
        <f t="shared" si="236"/>
        <v>#N/A</v>
      </c>
      <c r="CD864" s="7"/>
      <c r="CE864" s="7"/>
      <c r="CF864" s="7"/>
      <c r="CG864" s="7"/>
      <c r="CH864" s="7"/>
      <c r="CI864" s="7"/>
      <c r="CJ864" s="7"/>
      <c r="CK864" s="7"/>
      <c r="CL864" s="7"/>
      <c r="CM864" s="7"/>
      <c r="CN864" s="7"/>
      <c r="CO864" s="7"/>
      <c r="CP864" s="7"/>
      <c r="CR864" s="25"/>
      <c r="CS864" s="25"/>
      <c r="CT864" s="25"/>
      <c r="CU864" s="25"/>
      <c r="CV864" s="25"/>
      <c r="CW864" s="25"/>
      <c r="DP864" s="32"/>
      <c r="DQ864" s="32"/>
      <c r="DR864" s="32"/>
      <c r="DS864" s="36"/>
      <c r="DT864" s="36"/>
      <c r="DU864" s="36"/>
      <c r="DV864" s="32"/>
      <c r="DW864" s="32"/>
      <c r="DX864" s="32"/>
      <c r="DY864" s="32"/>
      <c r="DZ864" s="32"/>
      <c r="EA864" s="32"/>
      <c r="EB864" s="49"/>
    </row>
    <row r="865" spans="29:132" ht="13.5" customHeight="1">
      <c r="AC865" s="16" t="str">
        <f t="shared" si="233"/>
        <v/>
      </c>
      <c r="AD865" s="16" t="str">
        <f t="shared" si="237"/>
        <v/>
      </c>
      <c r="AE865" s="16" t="str">
        <f t="shared" si="237"/>
        <v/>
      </c>
      <c r="AF865" s="16" t="str">
        <f t="shared" si="237"/>
        <v/>
      </c>
      <c r="AG865" s="16" t="str">
        <f t="shared" si="237"/>
        <v/>
      </c>
      <c r="AH865" s="16" t="str">
        <f t="shared" si="237"/>
        <v/>
      </c>
      <c r="BR865" s="7">
        <v>5205082</v>
      </c>
      <c r="BS865" s="9">
        <f>[1]monsters!$N865</f>
        <v>0</v>
      </c>
      <c r="BT865" s="9">
        <f>[1]monsters!$O865</f>
        <v>0</v>
      </c>
      <c r="BU865" s="9">
        <f>[1]monsters!$P865</f>
        <v>0</v>
      </c>
      <c r="BV865" s="9">
        <f>[1]monsters!$Q865</f>
        <v>0</v>
      </c>
      <c r="BW865" s="9">
        <f>[1]monsters!$R865</f>
        <v>0</v>
      </c>
      <c r="BX865" s="9">
        <f>[1]monsters!$S865</f>
        <v>0</v>
      </c>
      <c r="BY865" s="9">
        <f>[1]monsters!$K865</f>
        <v>0</v>
      </c>
      <c r="BZ865" s="7">
        <f>[1]monsters!$D865</f>
        <v>0</v>
      </c>
      <c r="CA865" s="7" t="e">
        <f t="shared" si="234"/>
        <v>#N/A</v>
      </c>
      <c r="CB865" s="7" t="e">
        <f t="shared" si="235"/>
        <v>#N/A</v>
      </c>
      <c r="CC865" s="7" t="e">
        <f t="shared" si="236"/>
        <v>#N/A</v>
      </c>
      <c r="CD865" s="7"/>
      <c r="CE865" s="7"/>
      <c r="CF865" s="7"/>
      <c r="CG865" s="7"/>
      <c r="CH865" s="7"/>
      <c r="CI865" s="7"/>
      <c r="CJ865" s="7"/>
      <c r="CK865" s="7"/>
      <c r="CL865" s="7"/>
      <c r="CM865" s="7"/>
      <c r="CN865" s="7"/>
      <c r="CO865" s="7"/>
      <c r="CP865" s="7"/>
      <c r="CR865" s="25"/>
      <c r="CS865" s="25"/>
      <c r="CT865" s="25"/>
      <c r="CU865" s="25"/>
      <c r="CV865" s="25"/>
      <c r="CW865" s="25"/>
      <c r="DP865" s="32"/>
      <c r="DQ865" s="32"/>
      <c r="DR865" s="32"/>
      <c r="DS865" s="36"/>
      <c r="DT865" s="36"/>
      <c r="DU865" s="36"/>
      <c r="DV865" s="32"/>
      <c r="DW865" s="32"/>
      <c r="DX865" s="32"/>
      <c r="DY865" s="32"/>
      <c r="DZ865" s="32"/>
      <c r="EA865" s="32"/>
      <c r="EB865" s="49"/>
    </row>
    <row r="866" spans="29:132" ht="13.5" customHeight="1">
      <c r="AC866" s="16" t="str">
        <f t="shared" si="233"/>
        <v/>
      </c>
      <c r="AD866" s="16" t="str">
        <f t="shared" si="237"/>
        <v/>
      </c>
      <c r="AE866" s="16" t="str">
        <f t="shared" si="237"/>
        <v/>
      </c>
      <c r="AF866" s="16" t="str">
        <f t="shared" si="237"/>
        <v/>
      </c>
      <c r="AG866" s="16" t="str">
        <f t="shared" si="237"/>
        <v/>
      </c>
      <c r="AH866" s="16" t="str">
        <f t="shared" si="237"/>
        <v/>
      </c>
      <c r="BR866" s="7">
        <v>5405082</v>
      </c>
      <c r="BS866" s="9">
        <f>[1]monsters!$N866</f>
        <v>0</v>
      </c>
      <c r="BT866" s="9">
        <f>[1]monsters!$O866</f>
        <v>0</v>
      </c>
      <c r="BU866" s="9">
        <f>[1]monsters!$P866</f>
        <v>0</v>
      </c>
      <c r="BV866" s="9">
        <f>[1]monsters!$Q866</f>
        <v>0</v>
      </c>
      <c r="BW866" s="9">
        <f>[1]monsters!$R866</f>
        <v>0</v>
      </c>
      <c r="BX866" s="9">
        <f>[1]monsters!$S866</f>
        <v>0</v>
      </c>
      <c r="BY866" s="9">
        <f>[1]monsters!$K866</f>
        <v>0</v>
      </c>
      <c r="BZ866" s="7">
        <f>[1]monsters!$D866</f>
        <v>0</v>
      </c>
      <c r="CA866" s="7" t="e">
        <f t="shared" si="234"/>
        <v>#N/A</v>
      </c>
      <c r="CB866" s="7" t="e">
        <f t="shared" si="235"/>
        <v>#N/A</v>
      </c>
      <c r="CC866" s="7" t="e">
        <f t="shared" si="236"/>
        <v>#N/A</v>
      </c>
      <c r="CD866" s="7"/>
      <c r="CE866" s="7"/>
      <c r="CF866" s="7"/>
      <c r="CG866" s="7"/>
      <c r="CH866" s="7"/>
      <c r="CI866" s="7"/>
      <c r="CJ866" s="7"/>
      <c r="CK866" s="7"/>
      <c r="CL866" s="7"/>
      <c r="CM866" s="7"/>
      <c r="CN866" s="7"/>
      <c r="CO866" s="7"/>
      <c r="CP866" s="7"/>
      <c r="CR866" s="25"/>
      <c r="CS866" s="25"/>
      <c r="CT866" s="25"/>
      <c r="CU866" s="25"/>
      <c r="CV866" s="25"/>
      <c r="CW866" s="25"/>
      <c r="DP866" s="13"/>
      <c r="DQ866" s="13"/>
      <c r="DR866" s="13"/>
      <c r="DS866" s="13"/>
      <c r="DT866" s="14"/>
      <c r="DU866" s="14"/>
      <c r="DV866" s="32"/>
      <c r="DW866" s="32"/>
      <c r="DX866" s="32"/>
      <c r="DY866" s="32"/>
      <c r="DZ866" s="32"/>
      <c r="EA866" s="32"/>
      <c r="EB866" s="20"/>
    </row>
    <row r="867" spans="29:132" ht="13.5" customHeight="1">
      <c r="AC867" s="16" t="str">
        <f t="shared" si="233"/>
        <v/>
      </c>
      <c r="AD867" s="16" t="str">
        <f t="shared" si="237"/>
        <v/>
      </c>
      <c r="AE867" s="16" t="str">
        <f t="shared" si="237"/>
        <v/>
      </c>
      <c r="AF867" s="16" t="str">
        <f t="shared" si="237"/>
        <v/>
      </c>
      <c r="AG867" s="16" t="str">
        <f t="shared" si="237"/>
        <v/>
      </c>
      <c r="AH867" s="16" t="str">
        <f t="shared" si="237"/>
        <v/>
      </c>
      <c r="BR867" s="7">
        <v>5203082</v>
      </c>
      <c r="BS867" s="9">
        <f>[1]monsters!$N867</f>
        <v>0</v>
      </c>
      <c r="BT867" s="9">
        <f>[1]monsters!$O867</f>
        <v>0</v>
      </c>
      <c r="BU867" s="9">
        <f>[1]monsters!$P867</f>
        <v>0</v>
      </c>
      <c r="BV867" s="9">
        <f>[1]monsters!$Q867</f>
        <v>0</v>
      </c>
      <c r="BW867" s="9">
        <f>[1]monsters!$R867</f>
        <v>0</v>
      </c>
      <c r="BX867" s="9">
        <f>[1]monsters!$S867</f>
        <v>0</v>
      </c>
      <c r="BY867" s="9">
        <f>[1]monsters!$K867</f>
        <v>0</v>
      </c>
      <c r="BZ867" s="7">
        <f>[1]monsters!$D867</f>
        <v>0</v>
      </c>
      <c r="CA867" s="7" t="e">
        <f t="shared" si="234"/>
        <v>#N/A</v>
      </c>
      <c r="CB867" s="7" t="e">
        <f t="shared" si="235"/>
        <v>#N/A</v>
      </c>
      <c r="CC867" s="7" t="e">
        <f t="shared" si="236"/>
        <v>#N/A</v>
      </c>
      <c r="CD867" s="7"/>
      <c r="CE867" s="7"/>
      <c r="CF867" s="7"/>
      <c r="CG867" s="7"/>
      <c r="CH867" s="7"/>
      <c r="CI867" s="7"/>
      <c r="CJ867" s="7"/>
      <c r="CK867" s="7"/>
      <c r="CL867" s="7"/>
      <c r="CM867" s="7"/>
      <c r="CN867" s="7"/>
      <c r="CO867" s="7"/>
      <c r="CP867" s="7"/>
      <c r="CR867" s="25"/>
      <c r="CS867" s="25"/>
      <c r="CT867" s="25"/>
      <c r="CU867" s="25"/>
      <c r="CV867" s="25"/>
      <c r="CW867" s="25"/>
      <c r="DP867" s="32"/>
      <c r="DQ867" s="32"/>
      <c r="DR867" s="36"/>
      <c r="DS867" s="36"/>
      <c r="DT867" s="32"/>
      <c r="DU867" s="32"/>
      <c r="DV867" s="32"/>
      <c r="DW867" s="32"/>
      <c r="DX867" s="32"/>
      <c r="DY867" s="32"/>
      <c r="DZ867" s="32"/>
      <c r="EA867" s="32"/>
      <c r="EB867" s="49"/>
    </row>
    <row r="868" spans="29:132" ht="13.5" customHeight="1">
      <c r="AC868" s="16" t="str">
        <f t="shared" si="233"/>
        <v/>
      </c>
      <c r="AD868" s="16" t="str">
        <f t="shared" si="237"/>
        <v/>
      </c>
      <c r="AE868" s="16" t="str">
        <f t="shared" si="237"/>
        <v/>
      </c>
      <c r="AF868" s="16" t="str">
        <f t="shared" si="237"/>
        <v/>
      </c>
      <c r="AG868" s="16" t="str">
        <f t="shared" si="237"/>
        <v/>
      </c>
      <c r="AH868" s="16" t="str">
        <f t="shared" si="237"/>
        <v/>
      </c>
      <c r="BR868" s="7">
        <v>5403082</v>
      </c>
      <c r="BS868" s="9">
        <f>[1]monsters!$N868</f>
        <v>0</v>
      </c>
      <c r="BT868" s="9">
        <f>[1]monsters!$O868</f>
        <v>0</v>
      </c>
      <c r="BU868" s="9">
        <f>[1]monsters!$P868</f>
        <v>0</v>
      </c>
      <c r="BV868" s="9">
        <f>[1]monsters!$Q868</f>
        <v>0</v>
      </c>
      <c r="BW868" s="9">
        <f>[1]monsters!$R868</f>
        <v>0</v>
      </c>
      <c r="BX868" s="9">
        <f>[1]monsters!$S868</f>
        <v>0</v>
      </c>
      <c r="BY868" s="9">
        <f>[1]monsters!$K868</f>
        <v>0</v>
      </c>
      <c r="BZ868" s="7">
        <f>[1]monsters!$D868</f>
        <v>0</v>
      </c>
      <c r="CA868" s="7" t="e">
        <f t="shared" si="234"/>
        <v>#N/A</v>
      </c>
      <c r="CB868" s="7" t="e">
        <f t="shared" si="235"/>
        <v>#N/A</v>
      </c>
      <c r="CC868" s="7" t="e">
        <f t="shared" si="236"/>
        <v>#N/A</v>
      </c>
      <c r="CD868" s="7"/>
      <c r="CE868" s="7"/>
      <c r="CF868" s="7"/>
      <c r="CG868" s="7"/>
      <c r="CH868" s="7"/>
      <c r="CI868" s="7"/>
      <c r="CJ868" s="7"/>
      <c r="CK868" s="7"/>
      <c r="CL868" s="7"/>
      <c r="CM868" s="7"/>
      <c r="CN868" s="7"/>
      <c r="CO868" s="7"/>
      <c r="CP868" s="7"/>
      <c r="CR868" s="25"/>
      <c r="CS868" s="25"/>
      <c r="CT868" s="25"/>
      <c r="CU868" s="25"/>
      <c r="CV868" s="25"/>
      <c r="CW868" s="25"/>
      <c r="DP868" s="32"/>
      <c r="DQ868" s="32"/>
      <c r="DR868" s="32"/>
      <c r="DS868" s="14"/>
      <c r="DT868" s="14"/>
      <c r="DU868" s="14"/>
      <c r="DV868" s="32"/>
      <c r="DW868" s="32"/>
      <c r="DX868" s="32"/>
      <c r="DY868" s="32"/>
      <c r="DZ868" s="32"/>
      <c r="EA868" s="32"/>
      <c r="EB868" s="49"/>
    </row>
    <row r="869" spans="29:132" ht="13.5" customHeight="1">
      <c r="AC869" s="16" t="str">
        <f t="shared" si="233"/>
        <v/>
      </c>
      <c r="AD869" s="16" t="str">
        <f t="shared" si="237"/>
        <v/>
      </c>
      <c r="AE869" s="16" t="str">
        <f t="shared" si="237"/>
        <v/>
      </c>
      <c r="AF869" s="16" t="str">
        <f t="shared" si="237"/>
        <v/>
      </c>
      <c r="AG869" s="16" t="str">
        <f t="shared" si="237"/>
        <v/>
      </c>
      <c r="AH869" s="16" t="str">
        <f t="shared" si="237"/>
        <v/>
      </c>
      <c r="BR869" s="7">
        <v>5204082</v>
      </c>
      <c r="BS869" s="9">
        <f>[1]monsters!$N869</f>
        <v>0</v>
      </c>
      <c r="BT869" s="9">
        <f>[1]monsters!$O869</f>
        <v>0</v>
      </c>
      <c r="BU869" s="9">
        <f>[1]monsters!$P869</f>
        <v>0</v>
      </c>
      <c r="BV869" s="9">
        <f>[1]monsters!$Q869</f>
        <v>0</v>
      </c>
      <c r="BW869" s="9">
        <f>[1]monsters!$R869</f>
        <v>0</v>
      </c>
      <c r="BX869" s="9">
        <f>[1]monsters!$S869</f>
        <v>0</v>
      </c>
      <c r="BY869" s="9">
        <f>[1]monsters!$K869</f>
        <v>0</v>
      </c>
      <c r="BZ869" s="7">
        <f>[1]monsters!$D869</f>
        <v>0</v>
      </c>
      <c r="CA869" s="7" t="e">
        <f t="shared" si="234"/>
        <v>#N/A</v>
      </c>
      <c r="CB869" s="7" t="e">
        <f t="shared" si="235"/>
        <v>#N/A</v>
      </c>
      <c r="CC869" s="7" t="e">
        <f t="shared" si="236"/>
        <v>#N/A</v>
      </c>
      <c r="CD869" s="7"/>
      <c r="CE869" s="7"/>
      <c r="CF869" s="7"/>
      <c r="CG869" s="7"/>
      <c r="CH869" s="7"/>
      <c r="CI869" s="7"/>
      <c r="CJ869" s="7"/>
      <c r="CK869" s="7"/>
      <c r="CL869" s="7"/>
      <c r="CM869" s="7"/>
      <c r="CN869" s="7"/>
      <c r="CO869" s="7"/>
      <c r="CP869" s="7"/>
      <c r="CR869" s="25"/>
      <c r="CS869" s="25"/>
      <c r="CT869" s="25"/>
      <c r="CU869" s="25"/>
      <c r="CV869" s="25"/>
      <c r="CW869" s="25"/>
      <c r="DP869" s="32"/>
      <c r="DQ869" s="32"/>
      <c r="DR869" s="36"/>
      <c r="DS869" s="36"/>
      <c r="DT869" s="32"/>
      <c r="DU869" s="32"/>
      <c r="DV869" s="32"/>
      <c r="DW869" s="32"/>
      <c r="DX869" s="32"/>
      <c r="DY869" s="32"/>
      <c r="DZ869" s="32"/>
      <c r="EA869" s="32"/>
      <c r="EB869" s="49"/>
    </row>
    <row r="870" spans="29:132" ht="13.5" customHeight="1">
      <c r="AC870" s="16" t="str">
        <f t="shared" si="233"/>
        <v/>
      </c>
      <c r="AD870" s="16" t="str">
        <f t="shared" si="237"/>
        <v/>
      </c>
      <c r="AE870" s="16" t="str">
        <f t="shared" si="237"/>
        <v/>
      </c>
      <c r="AF870" s="16" t="str">
        <f t="shared" si="237"/>
        <v/>
      </c>
      <c r="AG870" s="16" t="str">
        <f t="shared" si="237"/>
        <v/>
      </c>
      <c r="AH870" s="16" t="str">
        <f t="shared" si="237"/>
        <v/>
      </c>
      <c r="BR870" s="7">
        <v>5404082</v>
      </c>
      <c r="BS870" s="9">
        <f>[1]monsters!$N870</f>
        <v>0</v>
      </c>
      <c r="BT870" s="9">
        <f>[1]monsters!$O870</f>
        <v>0</v>
      </c>
      <c r="BU870" s="9">
        <f>[1]monsters!$P870</f>
        <v>0</v>
      </c>
      <c r="BV870" s="9">
        <f>[1]monsters!$Q870</f>
        <v>0</v>
      </c>
      <c r="BW870" s="9">
        <f>[1]monsters!$R870</f>
        <v>0</v>
      </c>
      <c r="BX870" s="9">
        <f>[1]monsters!$S870</f>
        <v>0</v>
      </c>
      <c r="BY870" s="9">
        <f>[1]monsters!$K870</f>
        <v>0</v>
      </c>
      <c r="BZ870" s="7">
        <f>[1]monsters!$D870</f>
        <v>0</v>
      </c>
      <c r="CA870" s="7" t="e">
        <f t="shared" si="234"/>
        <v>#N/A</v>
      </c>
      <c r="CB870" s="7" t="e">
        <f t="shared" si="235"/>
        <v>#N/A</v>
      </c>
      <c r="CC870" s="7" t="e">
        <f t="shared" si="236"/>
        <v>#N/A</v>
      </c>
      <c r="CD870" s="7"/>
      <c r="CE870" s="7"/>
      <c r="CF870" s="7"/>
      <c r="CG870" s="7"/>
      <c r="CH870" s="7"/>
      <c r="CI870" s="7"/>
      <c r="CJ870" s="7"/>
      <c r="CK870" s="7"/>
      <c r="CL870" s="7"/>
      <c r="CM870" s="7"/>
      <c r="CN870" s="7"/>
      <c r="CO870" s="7"/>
      <c r="CP870" s="7"/>
      <c r="CR870" s="25"/>
      <c r="CS870" s="25"/>
      <c r="CT870" s="25"/>
      <c r="CU870" s="25"/>
      <c r="CV870" s="25"/>
      <c r="CW870" s="25"/>
      <c r="DP870" s="32"/>
      <c r="DQ870" s="32"/>
      <c r="DR870" s="36"/>
      <c r="DS870" s="36"/>
      <c r="DT870" s="36"/>
      <c r="DU870" s="36"/>
      <c r="DV870" s="32"/>
      <c r="DW870" s="32"/>
      <c r="DX870" s="32"/>
      <c r="DY870" s="32"/>
      <c r="DZ870" s="32"/>
      <c r="EA870" s="32"/>
      <c r="EB870" s="20"/>
    </row>
    <row r="871" spans="29:132" ht="13.5" customHeight="1">
      <c r="AC871" s="16" t="str">
        <f t="shared" si="233"/>
        <v/>
      </c>
      <c r="AD871" s="16" t="str">
        <f t="shared" si="237"/>
        <v/>
      </c>
      <c r="AE871" s="16" t="str">
        <f t="shared" si="237"/>
        <v/>
      </c>
      <c r="AF871" s="16" t="str">
        <f t="shared" si="237"/>
        <v/>
      </c>
      <c r="AG871" s="16" t="str">
        <f t="shared" si="237"/>
        <v/>
      </c>
      <c r="AH871" s="16" t="str">
        <f t="shared" si="237"/>
        <v/>
      </c>
      <c r="BR871" s="7">
        <v>5303082</v>
      </c>
      <c r="BS871" s="9">
        <f>[1]monsters!$N871</f>
        <v>0</v>
      </c>
      <c r="BT871" s="9">
        <f>[1]monsters!$O871</f>
        <v>0</v>
      </c>
      <c r="BU871" s="9">
        <f>[1]monsters!$P871</f>
        <v>0</v>
      </c>
      <c r="BV871" s="9">
        <f>[1]monsters!$Q871</f>
        <v>0</v>
      </c>
      <c r="BW871" s="9">
        <f>[1]monsters!$R871</f>
        <v>0</v>
      </c>
      <c r="BX871" s="9">
        <f>[1]monsters!$S871</f>
        <v>0</v>
      </c>
      <c r="BY871" s="9">
        <f>[1]monsters!$K871</f>
        <v>0</v>
      </c>
      <c r="BZ871" s="7">
        <f>[1]monsters!$D871</f>
        <v>0</v>
      </c>
      <c r="CA871" s="7" t="e">
        <f t="shared" si="234"/>
        <v>#N/A</v>
      </c>
      <c r="CB871" s="7" t="e">
        <f t="shared" si="235"/>
        <v>#N/A</v>
      </c>
      <c r="CC871" s="7" t="e">
        <f t="shared" si="236"/>
        <v>#N/A</v>
      </c>
      <c r="CD871" s="7"/>
      <c r="CE871" s="7"/>
      <c r="CF871" s="7"/>
      <c r="CG871" s="7"/>
      <c r="CH871" s="7"/>
      <c r="CI871" s="7"/>
      <c r="CJ871" s="7"/>
      <c r="CK871" s="7"/>
      <c r="CL871" s="7"/>
      <c r="CM871" s="7"/>
      <c r="CN871" s="7"/>
      <c r="CO871" s="7"/>
      <c r="CP871" s="7"/>
      <c r="CR871" s="25"/>
      <c r="CS871" s="25"/>
      <c r="CT871" s="25"/>
      <c r="CU871" s="25"/>
      <c r="CV871" s="25"/>
      <c r="CW871" s="25"/>
      <c r="DP871" s="32"/>
      <c r="DQ871" s="36"/>
      <c r="DR871" s="32"/>
      <c r="DS871" s="36"/>
      <c r="DT871" s="36"/>
      <c r="DU871" s="14"/>
      <c r="DV871" s="32"/>
      <c r="DW871" s="32"/>
      <c r="DX871" s="32"/>
      <c r="DY871" s="32"/>
      <c r="DZ871" s="32"/>
      <c r="EA871" s="32"/>
      <c r="EB871" s="49"/>
    </row>
    <row r="872" spans="29:132" ht="13.5" customHeight="1">
      <c r="AC872" s="16" t="str">
        <f t="shared" si="233"/>
        <v/>
      </c>
      <c r="AD872" s="16" t="str">
        <f t="shared" si="237"/>
        <v/>
      </c>
      <c r="AE872" s="16" t="str">
        <f t="shared" si="237"/>
        <v/>
      </c>
      <c r="AF872" s="16" t="str">
        <f t="shared" si="237"/>
        <v/>
      </c>
      <c r="AG872" s="16" t="str">
        <f t="shared" si="237"/>
        <v/>
      </c>
      <c r="AH872" s="16" t="str">
        <f t="shared" si="237"/>
        <v/>
      </c>
      <c r="BR872" s="7">
        <v>5304082</v>
      </c>
      <c r="BS872" s="9">
        <f>[1]monsters!$N872</f>
        <v>0</v>
      </c>
      <c r="BT872" s="9">
        <f>[1]monsters!$O872</f>
        <v>0</v>
      </c>
      <c r="BU872" s="9">
        <f>[1]monsters!$P872</f>
        <v>0</v>
      </c>
      <c r="BV872" s="9">
        <f>[1]monsters!$Q872</f>
        <v>0</v>
      </c>
      <c r="BW872" s="9">
        <f>[1]monsters!$R872</f>
        <v>0</v>
      </c>
      <c r="BX872" s="9">
        <f>[1]monsters!$S872</f>
        <v>0</v>
      </c>
      <c r="BY872" s="9">
        <f>[1]monsters!$K872</f>
        <v>0</v>
      </c>
      <c r="BZ872" s="7">
        <f>[1]monsters!$D872</f>
        <v>0</v>
      </c>
      <c r="CA872" s="7" t="e">
        <f t="shared" si="234"/>
        <v>#N/A</v>
      </c>
      <c r="CB872" s="7" t="e">
        <f t="shared" si="235"/>
        <v>#N/A</v>
      </c>
      <c r="CC872" s="7" t="e">
        <f t="shared" si="236"/>
        <v>#N/A</v>
      </c>
      <c r="CD872" s="7"/>
      <c r="CE872" s="7"/>
      <c r="CF872" s="7"/>
      <c r="CG872" s="7"/>
      <c r="CH872" s="7"/>
      <c r="CI872" s="7"/>
      <c r="CJ872" s="7"/>
      <c r="CK872" s="7"/>
      <c r="CL872" s="7"/>
      <c r="CM872" s="7"/>
      <c r="CN872" s="7"/>
      <c r="CO872" s="7"/>
      <c r="CP872" s="7"/>
      <c r="CR872" s="25"/>
      <c r="CS872" s="25"/>
      <c r="CT872" s="25"/>
      <c r="CU872" s="25"/>
      <c r="CV872" s="25"/>
      <c r="CW872" s="25"/>
      <c r="DP872" s="32"/>
      <c r="DQ872" s="32"/>
      <c r="DR872" s="32"/>
      <c r="DS872" s="36"/>
      <c r="DT872" s="36"/>
      <c r="DU872" s="36"/>
      <c r="DV872" s="32"/>
      <c r="DW872" s="32"/>
      <c r="DX872" s="32"/>
      <c r="DY872" s="32"/>
      <c r="DZ872" s="32"/>
      <c r="EA872" s="32"/>
      <c r="EB872" s="49"/>
    </row>
    <row r="873" spans="29:132" ht="13.5" customHeight="1">
      <c r="AC873" s="16" t="str">
        <f t="shared" si="233"/>
        <v/>
      </c>
      <c r="AD873" s="16" t="str">
        <f t="shared" si="237"/>
        <v/>
      </c>
      <c r="AE873" s="16" t="str">
        <f t="shared" si="237"/>
        <v/>
      </c>
      <c r="AF873" s="16" t="str">
        <f t="shared" si="237"/>
        <v/>
      </c>
      <c r="AG873" s="16" t="str">
        <f t="shared" si="237"/>
        <v/>
      </c>
      <c r="AH873" s="16" t="str">
        <f t="shared" si="237"/>
        <v/>
      </c>
      <c r="BR873" s="7">
        <v>5503082</v>
      </c>
      <c r="BS873" s="9">
        <f>[1]monsters!$N873</f>
        <v>0</v>
      </c>
      <c r="BT873" s="9">
        <f>[1]monsters!$O873</f>
        <v>0</v>
      </c>
      <c r="BU873" s="9">
        <f>[1]monsters!$P873</f>
        <v>0</v>
      </c>
      <c r="BV873" s="9">
        <f>[1]monsters!$Q873</f>
        <v>0</v>
      </c>
      <c r="BW873" s="9">
        <f>[1]monsters!$R873</f>
        <v>0</v>
      </c>
      <c r="BX873" s="9">
        <f>[1]monsters!$S873</f>
        <v>0</v>
      </c>
      <c r="BY873" s="9">
        <f>[1]monsters!$K873</f>
        <v>0</v>
      </c>
      <c r="BZ873" s="7">
        <f>[1]monsters!$D873</f>
        <v>0</v>
      </c>
      <c r="CA873" s="7" t="e">
        <f t="shared" si="234"/>
        <v>#N/A</v>
      </c>
      <c r="CB873" s="7" t="e">
        <f t="shared" si="235"/>
        <v>#N/A</v>
      </c>
      <c r="CC873" s="7" t="e">
        <f t="shared" si="236"/>
        <v>#N/A</v>
      </c>
      <c r="CD873" s="7"/>
      <c r="CE873" s="7"/>
      <c r="CF873" s="7"/>
      <c r="CG873" s="7"/>
      <c r="CH873" s="7"/>
      <c r="CI873" s="7"/>
      <c r="CJ873" s="7"/>
      <c r="CK873" s="7"/>
      <c r="CL873" s="7"/>
      <c r="CM873" s="7"/>
      <c r="CN873" s="7"/>
      <c r="CO873" s="7"/>
      <c r="CP873" s="7"/>
      <c r="CR873" s="25"/>
      <c r="CS873" s="25"/>
      <c r="CT873" s="25"/>
      <c r="CU873" s="25"/>
      <c r="CV873" s="25"/>
      <c r="CW873" s="25"/>
      <c r="DP873" s="32"/>
      <c r="DQ873" s="32"/>
      <c r="DR873" s="32"/>
      <c r="DS873" s="32"/>
      <c r="DT873" s="32"/>
      <c r="DU873" s="32"/>
      <c r="DV873" s="32"/>
      <c r="DW873" s="32"/>
      <c r="DX873" s="32"/>
      <c r="DY873" s="32"/>
      <c r="DZ873" s="32"/>
      <c r="EA873" s="32"/>
      <c r="EB873" s="20"/>
    </row>
    <row r="874" spans="29:132" ht="13.5" customHeight="1">
      <c r="AC874" s="16" t="str">
        <f t="shared" si="233"/>
        <v/>
      </c>
      <c r="AD874" s="16" t="str">
        <f t="shared" si="237"/>
        <v/>
      </c>
      <c r="AE874" s="16" t="str">
        <f t="shared" si="237"/>
        <v/>
      </c>
      <c r="AF874" s="16" t="str">
        <f t="shared" si="237"/>
        <v/>
      </c>
      <c r="AG874" s="16" t="str">
        <f t="shared" si="237"/>
        <v/>
      </c>
      <c r="AH874" s="16" t="str">
        <f t="shared" si="237"/>
        <v/>
      </c>
      <c r="BR874" s="7">
        <v>5504082</v>
      </c>
      <c r="BS874" s="9">
        <f>[1]monsters!$N874</f>
        <v>0</v>
      </c>
      <c r="BT874" s="9">
        <f>[1]monsters!$O874</f>
        <v>0</v>
      </c>
      <c r="BU874" s="9">
        <f>[1]monsters!$P874</f>
        <v>0</v>
      </c>
      <c r="BV874" s="9">
        <f>[1]monsters!$Q874</f>
        <v>0</v>
      </c>
      <c r="BW874" s="9">
        <f>[1]monsters!$R874</f>
        <v>0</v>
      </c>
      <c r="BX874" s="9">
        <f>[1]monsters!$S874</f>
        <v>0</v>
      </c>
      <c r="BY874" s="9">
        <f>[1]monsters!$K874</f>
        <v>0</v>
      </c>
      <c r="BZ874" s="7">
        <f>[1]monsters!$D874</f>
        <v>0</v>
      </c>
      <c r="CA874" s="7" t="e">
        <f t="shared" si="234"/>
        <v>#N/A</v>
      </c>
      <c r="CB874" s="7" t="e">
        <f t="shared" si="235"/>
        <v>#N/A</v>
      </c>
      <c r="CC874" s="7" t="e">
        <f t="shared" si="236"/>
        <v>#N/A</v>
      </c>
      <c r="CD874" s="7"/>
      <c r="CE874" s="7"/>
      <c r="CF874" s="7"/>
      <c r="CG874" s="7"/>
      <c r="CH874" s="7"/>
      <c r="CI874" s="7"/>
      <c r="CJ874" s="7"/>
      <c r="CK874" s="7"/>
      <c r="CL874" s="7"/>
      <c r="CM874" s="7"/>
      <c r="CN874" s="7"/>
      <c r="CO874" s="7"/>
      <c r="CP874" s="7"/>
      <c r="CR874" s="25"/>
      <c r="CS874" s="25"/>
      <c r="CT874" s="25"/>
      <c r="CU874" s="25"/>
      <c r="CV874" s="25"/>
      <c r="CW874" s="25"/>
      <c r="DP874" s="32"/>
      <c r="DQ874" s="32"/>
      <c r="DR874" s="32"/>
      <c r="DS874" s="32"/>
      <c r="DT874" s="32"/>
      <c r="DU874" s="32"/>
      <c r="DV874" s="32"/>
      <c r="DW874" s="32"/>
      <c r="DX874" s="32"/>
      <c r="DY874" s="32"/>
      <c r="DZ874" s="32"/>
      <c r="EA874" s="32"/>
      <c r="EB874" s="49"/>
    </row>
    <row r="875" spans="29:132" ht="13.5" customHeight="1">
      <c r="AC875" s="16" t="str">
        <f t="shared" si="233"/>
        <v/>
      </c>
      <c r="AD875" s="16" t="str">
        <f t="shared" si="237"/>
        <v/>
      </c>
      <c r="AE875" s="16" t="str">
        <f t="shared" si="237"/>
        <v/>
      </c>
      <c r="AF875" s="16" t="str">
        <f t="shared" si="237"/>
        <v/>
      </c>
      <c r="AG875" s="16" t="str">
        <f t="shared" si="237"/>
        <v/>
      </c>
      <c r="AH875" s="16" t="str">
        <f t="shared" si="237"/>
        <v/>
      </c>
      <c r="BR875" s="7">
        <v>5101082</v>
      </c>
      <c r="BS875" s="9">
        <f>[1]monsters!$N875</f>
        <v>0</v>
      </c>
      <c r="BT875" s="9">
        <f>[1]monsters!$O875</f>
        <v>0</v>
      </c>
      <c r="BU875" s="9">
        <f>[1]monsters!$P875</f>
        <v>0</v>
      </c>
      <c r="BV875" s="9">
        <f>[1]monsters!$Q875</f>
        <v>0</v>
      </c>
      <c r="BW875" s="9">
        <f>[1]monsters!$R875</f>
        <v>0</v>
      </c>
      <c r="BX875" s="9">
        <f>[1]monsters!$S875</f>
        <v>0</v>
      </c>
      <c r="BY875" s="9">
        <f>[1]monsters!$K875</f>
        <v>0</v>
      </c>
      <c r="BZ875" s="7">
        <f>[1]monsters!$D875</f>
        <v>0</v>
      </c>
      <c r="CA875" s="7" t="e">
        <f t="shared" si="234"/>
        <v>#N/A</v>
      </c>
      <c r="CB875" s="7" t="e">
        <f t="shared" si="235"/>
        <v>#N/A</v>
      </c>
      <c r="CC875" s="7" t="e">
        <f t="shared" si="236"/>
        <v>#N/A</v>
      </c>
      <c r="CD875" s="7"/>
      <c r="CE875" s="7"/>
      <c r="CF875" s="7"/>
      <c r="CG875" s="7"/>
      <c r="CH875" s="7"/>
      <c r="CI875" s="7"/>
      <c r="CJ875" s="7"/>
      <c r="CK875" s="7"/>
      <c r="CL875" s="7"/>
      <c r="CM875" s="7"/>
      <c r="CN875" s="7"/>
      <c r="CO875" s="7"/>
      <c r="CP875" s="7"/>
      <c r="CR875" s="25"/>
      <c r="CS875" s="25"/>
      <c r="CT875" s="25"/>
      <c r="CU875" s="25"/>
      <c r="CV875" s="25"/>
      <c r="CW875" s="25"/>
      <c r="DP875" s="32"/>
      <c r="DQ875" s="32"/>
      <c r="DR875" s="32"/>
      <c r="DS875" s="32"/>
      <c r="DT875" s="32"/>
      <c r="DU875" s="32"/>
      <c r="DV875" s="32"/>
      <c r="DW875" s="32"/>
      <c r="DX875" s="32"/>
      <c r="DY875" s="32"/>
      <c r="DZ875" s="32"/>
      <c r="EA875" s="32"/>
      <c r="EB875" s="49"/>
    </row>
    <row r="876" spans="29:132" ht="13.5" customHeight="1">
      <c r="AC876" s="16" t="str">
        <f t="shared" si="233"/>
        <v/>
      </c>
      <c r="AD876" s="16" t="str">
        <f t="shared" si="237"/>
        <v/>
      </c>
      <c r="AE876" s="16" t="str">
        <f t="shared" si="237"/>
        <v/>
      </c>
      <c r="AF876" s="16" t="str">
        <f t="shared" si="237"/>
        <v/>
      </c>
      <c r="AG876" s="16" t="str">
        <f t="shared" si="237"/>
        <v/>
      </c>
      <c r="AH876" s="16" t="str">
        <f t="shared" si="237"/>
        <v/>
      </c>
      <c r="BR876" s="7">
        <v>5102082</v>
      </c>
      <c r="BS876" s="9">
        <f>[1]monsters!$N876</f>
        <v>0</v>
      </c>
      <c r="BT876" s="9">
        <f>[1]monsters!$O876</f>
        <v>0</v>
      </c>
      <c r="BU876" s="9">
        <f>[1]monsters!$P876</f>
        <v>0</v>
      </c>
      <c r="BV876" s="9">
        <f>[1]monsters!$Q876</f>
        <v>0</v>
      </c>
      <c r="BW876" s="9">
        <f>[1]monsters!$R876</f>
        <v>0</v>
      </c>
      <c r="BX876" s="9">
        <f>[1]monsters!$S876</f>
        <v>0</v>
      </c>
      <c r="BY876" s="9">
        <f>[1]monsters!$K876</f>
        <v>0</v>
      </c>
      <c r="BZ876" s="7">
        <f>[1]monsters!$D876</f>
        <v>0</v>
      </c>
      <c r="CA876" s="7" t="e">
        <f t="shared" si="234"/>
        <v>#N/A</v>
      </c>
      <c r="CB876" s="7" t="e">
        <f t="shared" si="235"/>
        <v>#N/A</v>
      </c>
      <c r="CC876" s="7" t="e">
        <f t="shared" si="236"/>
        <v>#N/A</v>
      </c>
      <c r="CD876" s="7"/>
      <c r="CE876" s="7"/>
      <c r="CF876" s="7"/>
      <c r="CG876" s="7"/>
      <c r="CH876" s="7"/>
      <c r="CI876" s="7"/>
      <c r="CJ876" s="7"/>
      <c r="CK876" s="7"/>
      <c r="CL876" s="7"/>
      <c r="CM876" s="7"/>
      <c r="CN876" s="7"/>
      <c r="CO876" s="7"/>
      <c r="CP876" s="7"/>
      <c r="CR876" s="25"/>
      <c r="CS876" s="25"/>
      <c r="CT876" s="25"/>
      <c r="CU876" s="25"/>
      <c r="CV876" s="25"/>
      <c r="CW876" s="25"/>
      <c r="DP876" s="32"/>
      <c r="DQ876" s="32"/>
      <c r="DR876" s="32"/>
      <c r="DS876" s="32"/>
      <c r="DT876" s="32"/>
      <c r="DU876" s="32"/>
      <c r="DV876" s="32"/>
      <c r="DW876" s="32"/>
      <c r="DX876" s="32"/>
      <c r="DY876" s="32"/>
      <c r="DZ876" s="32"/>
      <c r="EA876" s="32"/>
      <c r="EB876" s="49"/>
    </row>
    <row r="877" spans="29:132" ht="13.5" customHeight="1">
      <c r="AC877" s="16" t="str">
        <f t="shared" si="233"/>
        <v/>
      </c>
      <c r="AD877" s="16" t="str">
        <f t="shared" si="237"/>
        <v/>
      </c>
      <c r="AE877" s="16" t="str">
        <f t="shared" si="237"/>
        <v/>
      </c>
      <c r="AF877" s="16" t="str">
        <f t="shared" si="237"/>
        <v/>
      </c>
      <c r="AG877" s="16" t="str">
        <f t="shared" si="237"/>
        <v/>
      </c>
      <c r="AH877" s="16" t="str">
        <f t="shared" si="237"/>
        <v/>
      </c>
      <c r="BR877" s="7">
        <v>5206083</v>
      </c>
      <c r="BS877" s="9">
        <f>[1]monsters!$N877</f>
        <v>0</v>
      </c>
      <c r="BT877" s="9">
        <f>[1]monsters!$O877</f>
        <v>0</v>
      </c>
      <c r="BU877" s="9">
        <f>[1]monsters!$P877</f>
        <v>0</v>
      </c>
      <c r="BV877" s="9">
        <f>[1]monsters!$Q877</f>
        <v>0</v>
      </c>
      <c r="BW877" s="9">
        <f>[1]monsters!$R877</f>
        <v>0</v>
      </c>
      <c r="BX877" s="9">
        <f>[1]monsters!$S877</f>
        <v>0</v>
      </c>
      <c r="BY877" s="9">
        <f>[1]monsters!$K877</f>
        <v>0</v>
      </c>
      <c r="BZ877" s="7">
        <f>[1]monsters!$D877</f>
        <v>0</v>
      </c>
      <c r="CA877" s="7" t="e">
        <f t="shared" si="234"/>
        <v>#N/A</v>
      </c>
      <c r="CB877" s="7" t="e">
        <f t="shared" si="235"/>
        <v>#N/A</v>
      </c>
      <c r="CC877" s="7" t="e">
        <f t="shared" si="236"/>
        <v>#N/A</v>
      </c>
      <c r="CD877" s="7"/>
      <c r="CE877" s="7"/>
      <c r="CF877" s="7"/>
      <c r="CG877" s="7"/>
      <c r="CH877" s="7"/>
      <c r="CI877" s="7"/>
      <c r="CJ877" s="7"/>
      <c r="CK877" s="7"/>
      <c r="CL877" s="7"/>
      <c r="CM877" s="7"/>
      <c r="CN877" s="7"/>
      <c r="CO877" s="7"/>
      <c r="CP877" s="7"/>
      <c r="CR877" s="25"/>
      <c r="CS877" s="25"/>
      <c r="CT877" s="25"/>
      <c r="CU877" s="25"/>
      <c r="CV877" s="25"/>
      <c r="CW877" s="25"/>
      <c r="DP877" s="32"/>
      <c r="DQ877" s="32"/>
      <c r="DR877" s="32"/>
      <c r="DS877" s="32"/>
      <c r="DT877" s="32"/>
      <c r="DU877" s="32"/>
      <c r="DV877" s="32"/>
      <c r="DW877" s="32"/>
      <c r="DX877" s="32"/>
      <c r="DY877" s="32"/>
      <c r="DZ877" s="32"/>
      <c r="EA877" s="32"/>
      <c r="EB877" s="31"/>
    </row>
    <row r="878" spans="29:132" ht="13.5" customHeight="1">
      <c r="AC878" s="16" t="str">
        <f t="shared" si="233"/>
        <v/>
      </c>
      <c r="AD878" s="16" t="str">
        <f t="shared" si="237"/>
        <v/>
      </c>
      <c r="AE878" s="16" t="str">
        <f t="shared" si="237"/>
        <v/>
      </c>
      <c r="AF878" s="16" t="str">
        <f t="shared" si="237"/>
        <v/>
      </c>
      <c r="AG878" s="16" t="str">
        <f t="shared" si="237"/>
        <v/>
      </c>
      <c r="AH878" s="16" t="str">
        <f t="shared" si="237"/>
        <v/>
      </c>
      <c r="BR878" s="7">
        <v>5406083</v>
      </c>
      <c r="BS878" s="9">
        <f>[1]monsters!$N878</f>
        <v>0</v>
      </c>
      <c r="BT878" s="9">
        <f>[1]monsters!$O878</f>
        <v>0</v>
      </c>
      <c r="BU878" s="9">
        <f>[1]monsters!$P878</f>
        <v>0</v>
      </c>
      <c r="BV878" s="9">
        <f>[1]monsters!$Q878</f>
        <v>0</v>
      </c>
      <c r="BW878" s="9">
        <f>[1]monsters!$R878</f>
        <v>0</v>
      </c>
      <c r="BX878" s="9">
        <f>[1]monsters!$S878</f>
        <v>0</v>
      </c>
      <c r="BY878" s="9">
        <f>[1]monsters!$K878</f>
        <v>0</v>
      </c>
      <c r="BZ878" s="7">
        <f>[1]monsters!$D878</f>
        <v>0</v>
      </c>
      <c r="CA878" s="7" t="e">
        <f t="shared" si="234"/>
        <v>#N/A</v>
      </c>
      <c r="CB878" s="7" t="e">
        <f t="shared" si="235"/>
        <v>#N/A</v>
      </c>
      <c r="CC878" s="7" t="e">
        <f t="shared" si="236"/>
        <v>#N/A</v>
      </c>
      <c r="CD878" s="7"/>
      <c r="CE878" s="7"/>
      <c r="CF878" s="7"/>
      <c r="CG878" s="7"/>
      <c r="CH878" s="7"/>
      <c r="CI878" s="7"/>
      <c r="CJ878" s="7"/>
      <c r="CK878" s="7"/>
      <c r="CL878" s="7"/>
      <c r="CM878" s="7"/>
      <c r="CN878" s="7"/>
      <c r="CO878" s="7"/>
      <c r="CP878" s="7"/>
      <c r="CR878" s="25"/>
      <c r="CS878" s="25"/>
      <c r="CT878" s="25"/>
      <c r="CU878" s="25"/>
      <c r="CV878" s="25"/>
      <c r="CW878" s="25"/>
      <c r="DP878" s="32"/>
      <c r="DQ878" s="32"/>
      <c r="DR878" s="32"/>
      <c r="DS878" s="32"/>
      <c r="DT878" s="32"/>
      <c r="DU878" s="32"/>
      <c r="DV878" s="32"/>
      <c r="DW878" s="32"/>
      <c r="DX878" s="32"/>
      <c r="DY878" s="32"/>
      <c r="DZ878" s="32"/>
      <c r="EA878" s="32"/>
      <c r="EB878" s="31"/>
    </row>
    <row r="879" spans="29:132" ht="13.5" customHeight="1">
      <c r="AC879" s="16" t="str">
        <f t="shared" si="233"/>
        <v/>
      </c>
      <c r="AD879" s="16" t="str">
        <f t="shared" si="237"/>
        <v/>
      </c>
      <c r="AE879" s="16" t="str">
        <f t="shared" si="237"/>
        <v/>
      </c>
      <c r="AF879" s="16" t="str">
        <f t="shared" si="237"/>
        <v/>
      </c>
      <c r="AG879" s="16" t="str">
        <f t="shared" si="237"/>
        <v/>
      </c>
      <c r="AH879" s="16" t="str">
        <f t="shared" si="237"/>
        <v/>
      </c>
      <c r="BR879" s="7">
        <v>5205083</v>
      </c>
      <c r="BS879" s="9">
        <f>[1]monsters!$N879</f>
        <v>0</v>
      </c>
      <c r="BT879" s="9">
        <f>[1]monsters!$O879</f>
        <v>0</v>
      </c>
      <c r="BU879" s="9">
        <f>[1]monsters!$P879</f>
        <v>0</v>
      </c>
      <c r="BV879" s="9">
        <f>[1]monsters!$Q879</f>
        <v>0</v>
      </c>
      <c r="BW879" s="9">
        <f>[1]monsters!$R879</f>
        <v>0</v>
      </c>
      <c r="BX879" s="9">
        <f>[1]monsters!$S879</f>
        <v>0</v>
      </c>
      <c r="BY879" s="9">
        <f>[1]monsters!$K879</f>
        <v>0</v>
      </c>
      <c r="BZ879" s="7">
        <f>[1]monsters!$D879</f>
        <v>0</v>
      </c>
      <c r="CA879" s="7" t="e">
        <f t="shared" si="234"/>
        <v>#N/A</v>
      </c>
      <c r="CB879" s="7" t="e">
        <f t="shared" si="235"/>
        <v>#N/A</v>
      </c>
      <c r="CC879" s="7" t="e">
        <f t="shared" si="236"/>
        <v>#N/A</v>
      </c>
      <c r="CD879" s="7"/>
      <c r="CE879" s="7"/>
      <c r="CF879" s="7"/>
      <c r="CG879" s="7"/>
      <c r="CH879" s="7"/>
      <c r="CI879" s="7"/>
      <c r="CJ879" s="7"/>
      <c r="CK879" s="7"/>
      <c r="CL879" s="7"/>
      <c r="CM879" s="7"/>
      <c r="CN879" s="7"/>
      <c r="CO879" s="7"/>
      <c r="CP879" s="7"/>
      <c r="CR879" s="25"/>
      <c r="CS879" s="25"/>
      <c r="CT879" s="25"/>
      <c r="CU879" s="25"/>
      <c r="CV879" s="25"/>
      <c r="CW879" s="25"/>
      <c r="DP879" s="13"/>
      <c r="DQ879" s="13"/>
      <c r="DR879" s="13"/>
      <c r="DS879" s="32"/>
      <c r="DT879" s="32"/>
      <c r="DU879" s="32"/>
      <c r="DV879" s="32"/>
      <c r="DW879" s="32"/>
      <c r="DX879" s="32"/>
      <c r="DY879" s="32"/>
      <c r="DZ879" s="32"/>
      <c r="EA879" s="32"/>
      <c r="EB879" s="31"/>
    </row>
    <row r="880" spans="29:132" ht="13.5" customHeight="1">
      <c r="AC880" s="16" t="str">
        <f t="shared" si="233"/>
        <v/>
      </c>
      <c r="AD880" s="16" t="str">
        <f t="shared" si="237"/>
        <v/>
      </c>
      <c r="AE880" s="16" t="str">
        <f t="shared" si="237"/>
        <v/>
      </c>
      <c r="AF880" s="16" t="str">
        <f t="shared" si="237"/>
        <v/>
      </c>
      <c r="AG880" s="16" t="str">
        <f t="shared" si="237"/>
        <v/>
      </c>
      <c r="AH880" s="16" t="str">
        <f t="shared" si="237"/>
        <v/>
      </c>
      <c r="BR880" s="7">
        <v>5405083</v>
      </c>
      <c r="BS880" s="9">
        <f>[1]monsters!$N880</f>
        <v>0</v>
      </c>
      <c r="BT880" s="9">
        <f>[1]monsters!$O880</f>
        <v>0</v>
      </c>
      <c r="BU880" s="9">
        <f>[1]monsters!$P880</f>
        <v>0</v>
      </c>
      <c r="BV880" s="9">
        <f>[1]monsters!$Q880</f>
        <v>0</v>
      </c>
      <c r="BW880" s="9">
        <f>[1]monsters!$R880</f>
        <v>0</v>
      </c>
      <c r="BX880" s="9">
        <f>[1]monsters!$S880</f>
        <v>0</v>
      </c>
      <c r="BY880" s="9">
        <f>[1]monsters!$K880</f>
        <v>0</v>
      </c>
      <c r="BZ880" s="7">
        <f>[1]monsters!$D880</f>
        <v>0</v>
      </c>
      <c r="CA880" s="7" t="e">
        <f t="shared" si="234"/>
        <v>#N/A</v>
      </c>
      <c r="CB880" s="7" t="e">
        <f t="shared" si="235"/>
        <v>#N/A</v>
      </c>
      <c r="CC880" s="7" t="e">
        <f t="shared" si="236"/>
        <v>#N/A</v>
      </c>
      <c r="CD880" s="7"/>
      <c r="CE880" s="7"/>
      <c r="CF880" s="7"/>
      <c r="CG880" s="7"/>
      <c r="CH880" s="7"/>
      <c r="CI880" s="7"/>
      <c r="CJ880" s="7"/>
      <c r="CK880" s="7"/>
      <c r="CL880" s="7"/>
      <c r="CM880" s="7"/>
      <c r="CN880" s="7"/>
      <c r="CO880" s="7"/>
      <c r="CP880" s="7"/>
      <c r="CR880" s="25"/>
      <c r="CS880" s="25"/>
      <c r="CT880" s="25"/>
      <c r="CU880" s="25"/>
      <c r="CV880" s="25"/>
      <c r="CW880" s="25"/>
      <c r="DP880" s="32"/>
      <c r="DQ880" s="32"/>
      <c r="DR880" s="32"/>
      <c r="DS880" s="32"/>
      <c r="DT880" s="32"/>
      <c r="DU880" s="32"/>
      <c r="DV880" s="32"/>
      <c r="DW880" s="32"/>
      <c r="DX880" s="32"/>
      <c r="DY880" s="32"/>
      <c r="DZ880" s="32"/>
      <c r="EA880" s="32"/>
      <c r="EB880" s="15"/>
    </row>
    <row r="881" spans="29:132" ht="13.5" customHeight="1">
      <c r="AC881" s="16" t="str">
        <f t="shared" si="233"/>
        <v/>
      </c>
      <c r="AD881" s="16" t="str">
        <f t="shared" si="237"/>
        <v/>
      </c>
      <c r="AE881" s="16" t="str">
        <f t="shared" si="237"/>
        <v/>
      </c>
      <c r="AF881" s="16" t="str">
        <f t="shared" si="237"/>
        <v/>
      </c>
      <c r="AG881" s="16" t="str">
        <f t="shared" si="237"/>
        <v/>
      </c>
      <c r="AH881" s="16" t="str">
        <f t="shared" si="237"/>
        <v/>
      </c>
      <c r="BR881" s="7">
        <v>5203083</v>
      </c>
      <c r="BS881" s="9">
        <f>[1]monsters!$N881</f>
        <v>0</v>
      </c>
      <c r="BT881" s="9">
        <f>[1]monsters!$O881</f>
        <v>0</v>
      </c>
      <c r="BU881" s="9">
        <f>[1]monsters!$P881</f>
        <v>0</v>
      </c>
      <c r="BV881" s="9">
        <f>[1]monsters!$Q881</f>
        <v>0</v>
      </c>
      <c r="BW881" s="9">
        <f>[1]monsters!$R881</f>
        <v>0</v>
      </c>
      <c r="BX881" s="9">
        <f>[1]monsters!$S881</f>
        <v>0</v>
      </c>
      <c r="BY881" s="9">
        <f>[1]monsters!$K881</f>
        <v>0</v>
      </c>
      <c r="BZ881" s="7">
        <f>[1]monsters!$D881</f>
        <v>0</v>
      </c>
      <c r="CA881" s="7" t="e">
        <f t="shared" si="234"/>
        <v>#N/A</v>
      </c>
      <c r="CB881" s="7" t="e">
        <f t="shared" si="235"/>
        <v>#N/A</v>
      </c>
      <c r="CC881" s="7" t="e">
        <f t="shared" si="236"/>
        <v>#N/A</v>
      </c>
      <c r="CD881" s="7"/>
      <c r="CE881" s="7"/>
      <c r="CF881" s="7"/>
      <c r="CG881" s="7"/>
      <c r="CH881" s="7"/>
      <c r="CI881" s="7"/>
      <c r="CJ881" s="7"/>
      <c r="CK881" s="7"/>
      <c r="CL881" s="7"/>
      <c r="CM881" s="7"/>
      <c r="CN881" s="7"/>
      <c r="CO881" s="7"/>
      <c r="CP881" s="7"/>
      <c r="CR881" s="25"/>
      <c r="CS881" s="25"/>
      <c r="CT881" s="25"/>
      <c r="CU881" s="25"/>
      <c r="CV881" s="25"/>
      <c r="CW881" s="25"/>
      <c r="DP881" s="32"/>
      <c r="DQ881" s="32"/>
      <c r="DR881" s="32"/>
      <c r="DS881" s="32"/>
      <c r="DT881" s="32"/>
      <c r="DU881" s="32"/>
      <c r="DV881" s="32"/>
      <c r="DW881" s="32"/>
      <c r="DX881" s="32"/>
      <c r="DY881" s="32"/>
      <c r="DZ881" s="32"/>
      <c r="EA881" s="32"/>
      <c r="EB881" s="31"/>
    </row>
    <row r="882" spans="29:132" ht="13.5" customHeight="1">
      <c r="AC882" s="16" t="str">
        <f t="shared" si="233"/>
        <v/>
      </c>
      <c r="AD882" s="16" t="str">
        <f t="shared" si="237"/>
        <v/>
      </c>
      <c r="AE882" s="16" t="str">
        <f t="shared" si="237"/>
        <v/>
      </c>
      <c r="AF882" s="16" t="str">
        <f t="shared" si="237"/>
        <v/>
      </c>
      <c r="AG882" s="16" t="str">
        <f t="shared" si="237"/>
        <v/>
      </c>
      <c r="AH882" s="16" t="str">
        <f t="shared" si="237"/>
        <v/>
      </c>
      <c r="BR882" s="7">
        <v>5403083</v>
      </c>
      <c r="BS882" s="9">
        <f>[1]monsters!$N882</f>
        <v>0</v>
      </c>
      <c r="BT882" s="9">
        <f>[1]monsters!$O882</f>
        <v>0</v>
      </c>
      <c r="BU882" s="9">
        <f>[1]monsters!$P882</f>
        <v>0</v>
      </c>
      <c r="BV882" s="9">
        <f>[1]monsters!$Q882</f>
        <v>0</v>
      </c>
      <c r="BW882" s="9">
        <f>[1]monsters!$R882</f>
        <v>0</v>
      </c>
      <c r="BX882" s="9">
        <f>[1]monsters!$S882</f>
        <v>0</v>
      </c>
      <c r="BY882" s="9">
        <f>[1]monsters!$K882</f>
        <v>0</v>
      </c>
      <c r="BZ882" s="7">
        <f>[1]monsters!$D882</f>
        <v>0</v>
      </c>
      <c r="CA882" s="7" t="e">
        <f t="shared" si="234"/>
        <v>#N/A</v>
      </c>
      <c r="CB882" s="7" t="e">
        <f t="shared" si="235"/>
        <v>#N/A</v>
      </c>
      <c r="CC882" s="7" t="e">
        <f t="shared" si="236"/>
        <v>#N/A</v>
      </c>
      <c r="CD882" s="7"/>
      <c r="CE882" s="7"/>
      <c r="CF882" s="7"/>
      <c r="CG882" s="7"/>
      <c r="CH882" s="7"/>
      <c r="CI882" s="7"/>
      <c r="CJ882" s="7"/>
      <c r="CK882" s="7"/>
      <c r="CL882" s="7"/>
      <c r="CM882" s="7"/>
      <c r="CN882" s="7"/>
      <c r="CO882" s="7"/>
      <c r="CP882" s="7"/>
      <c r="CR882" s="25"/>
      <c r="CS882" s="25"/>
      <c r="CT882" s="25"/>
      <c r="CU882" s="25"/>
      <c r="CV882" s="25"/>
      <c r="CW882" s="25"/>
      <c r="DP882" s="32"/>
      <c r="DQ882" s="32"/>
      <c r="DR882" s="32"/>
      <c r="DS882" s="32"/>
      <c r="DT882" s="32"/>
      <c r="DU882" s="32"/>
      <c r="DV882" s="32"/>
      <c r="DW882" s="32"/>
      <c r="DX882" s="32"/>
      <c r="DY882" s="32"/>
      <c r="DZ882" s="32"/>
      <c r="EA882" s="32"/>
      <c r="EB882" s="31"/>
    </row>
    <row r="883" spans="29:132" ht="13.5" customHeight="1">
      <c r="AC883" s="16" t="str">
        <f t="shared" si="233"/>
        <v/>
      </c>
      <c r="AD883" s="16" t="str">
        <f t="shared" si="237"/>
        <v/>
      </c>
      <c r="AE883" s="16" t="str">
        <f t="shared" si="237"/>
        <v/>
      </c>
      <c r="AF883" s="16" t="str">
        <f t="shared" si="237"/>
        <v/>
      </c>
      <c r="AG883" s="16" t="str">
        <f t="shared" si="237"/>
        <v/>
      </c>
      <c r="AH883" s="16" t="str">
        <f t="shared" si="237"/>
        <v/>
      </c>
      <c r="BR883" s="7">
        <v>5204083</v>
      </c>
      <c r="BS883" s="9">
        <f>[1]monsters!$N883</f>
        <v>0</v>
      </c>
      <c r="BT883" s="9">
        <f>[1]monsters!$O883</f>
        <v>0</v>
      </c>
      <c r="BU883" s="9">
        <f>[1]monsters!$P883</f>
        <v>0</v>
      </c>
      <c r="BV883" s="9">
        <f>[1]monsters!$Q883</f>
        <v>0</v>
      </c>
      <c r="BW883" s="9">
        <f>[1]monsters!$R883</f>
        <v>0</v>
      </c>
      <c r="BX883" s="9">
        <f>[1]monsters!$S883</f>
        <v>0</v>
      </c>
      <c r="BY883" s="9">
        <f>[1]monsters!$K883</f>
        <v>0</v>
      </c>
      <c r="BZ883" s="7">
        <f>[1]monsters!$D883</f>
        <v>0</v>
      </c>
      <c r="CA883" s="7" t="e">
        <f t="shared" si="234"/>
        <v>#N/A</v>
      </c>
      <c r="CB883" s="7" t="e">
        <f t="shared" si="235"/>
        <v>#N/A</v>
      </c>
      <c r="CC883" s="7" t="e">
        <f t="shared" si="236"/>
        <v>#N/A</v>
      </c>
      <c r="CD883" s="7"/>
      <c r="CE883" s="7"/>
      <c r="CF883" s="7"/>
      <c r="CG883" s="7"/>
      <c r="CH883" s="7"/>
      <c r="CI883" s="7"/>
      <c r="CJ883" s="7"/>
      <c r="CK883" s="7"/>
      <c r="CL883" s="7"/>
      <c r="CM883" s="7"/>
      <c r="CN883" s="7"/>
      <c r="CO883" s="7"/>
      <c r="CP883" s="7"/>
      <c r="CR883" s="25"/>
      <c r="CS883" s="25"/>
      <c r="CT883" s="25"/>
      <c r="CU883" s="25"/>
      <c r="CV883" s="25"/>
      <c r="CW883" s="25"/>
      <c r="DP883" s="32"/>
      <c r="DQ883" s="32"/>
      <c r="DR883" s="32"/>
      <c r="DS883" s="32"/>
      <c r="DT883" s="32"/>
      <c r="DU883" s="32"/>
      <c r="DV883" s="32"/>
      <c r="DW883" s="32"/>
      <c r="DX883" s="32"/>
      <c r="DY883" s="32"/>
      <c r="DZ883" s="32"/>
      <c r="EA883" s="32"/>
      <c r="EB883" s="31"/>
    </row>
    <row r="884" spans="29:132" ht="13.5" customHeight="1">
      <c r="AC884" s="16" t="str">
        <f t="shared" si="233"/>
        <v/>
      </c>
      <c r="AD884" s="16" t="str">
        <f t="shared" si="237"/>
        <v/>
      </c>
      <c r="AE884" s="16" t="str">
        <f t="shared" si="237"/>
        <v/>
      </c>
      <c r="AF884" s="16" t="str">
        <f t="shared" si="237"/>
        <v/>
      </c>
      <c r="AG884" s="16" t="str">
        <f t="shared" si="237"/>
        <v/>
      </c>
      <c r="AH884" s="16" t="str">
        <f t="shared" si="237"/>
        <v/>
      </c>
      <c r="BR884" s="7">
        <v>5404083</v>
      </c>
      <c r="BS884" s="9">
        <f>[1]monsters!$N884</f>
        <v>0</v>
      </c>
      <c r="BT884" s="9">
        <f>[1]monsters!$O884</f>
        <v>0</v>
      </c>
      <c r="BU884" s="9">
        <f>[1]monsters!$P884</f>
        <v>0</v>
      </c>
      <c r="BV884" s="9">
        <f>[1]monsters!$Q884</f>
        <v>0</v>
      </c>
      <c r="BW884" s="9">
        <f>[1]monsters!$R884</f>
        <v>0</v>
      </c>
      <c r="BX884" s="9">
        <f>[1]monsters!$S884</f>
        <v>0</v>
      </c>
      <c r="BY884" s="9">
        <f>[1]monsters!$K884</f>
        <v>0</v>
      </c>
      <c r="BZ884" s="7">
        <f>[1]monsters!$D884</f>
        <v>0</v>
      </c>
      <c r="CA884" s="7" t="e">
        <f t="shared" si="234"/>
        <v>#N/A</v>
      </c>
      <c r="CB884" s="7" t="e">
        <f t="shared" si="235"/>
        <v>#N/A</v>
      </c>
      <c r="CC884" s="7" t="e">
        <f t="shared" si="236"/>
        <v>#N/A</v>
      </c>
      <c r="CD884" s="7"/>
      <c r="CE884" s="7"/>
      <c r="CF884" s="7"/>
      <c r="CG884" s="7"/>
      <c r="CH884" s="7"/>
      <c r="CI884" s="7"/>
      <c r="CJ884" s="7"/>
      <c r="CK884" s="7"/>
      <c r="CL884" s="7"/>
      <c r="CM884" s="7"/>
      <c r="CN884" s="7"/>
      <c r="CO884" s="7"/>
      <c r="CP884" s="7"/>
      <c r="CR884" s="25"/>
      <c r="CS884" s="25"/>
      <c r="CT884" s="25"/>
      <c r="CU884" s="25"/>
      <c r="CV884" s="25"/>
      <c r="CW884" s="25"/>
      <c r="DP884" s="32"/>
      <c r="DQ884" s="32"/>
      <c r="DR884" s="32"/>
      <c r="DS884" s="32"/>
      <c r="DT884" s="32"/>
      <c r="DU884" s="32"/>
      <c r="DV884" s="32"/>
      <c r="DW884" s="32"/>
      <c r="DX884" s="32"/>
      <c r="DY884" s="32"/>
      <c r="DZ884" s="32"/>
      <c r="EA884" s="32"/>
      <c r="EB884" s="15"/>
    </row>
    <row r="885" spans="29:132" ht="13.5" customHeight="1">
      <c r="AC885" s="16" t="str">
        <f t="shared" si="233"/>
        <v/>
      </c>
      <c r="AD885" s="16" t="str">
        <f t="shared" si="237"/>
        <v/>
      </c>
      <c r="AE885" s="16" t="str">
        <f t="shared" si="237"/>
        <v/>
      </c>
      <c r="AF885" s="16" t="str">
        <f t="shared" si="237"/>
        <v/>
      </c>
      <c r="AG885" s="16" t="str">
        <f t="shared" si="237"/>
        <v/>
      </c>
      <c r="AH885" s="16" t="str">
        <f t="shared" si="237"/>
        <v/>
      </c>
      <c r="BR885" s="7">
        <v>5303083</v>
      </c>
      <c r="BS885" s="9">
        <f>[1]monsters!$N885</f>
        <v>0</v>
      </c>
      <c r="BT885" s="9">
        <f>[1]monsters!$O885</f>
        <v>0</v>
      </c>
      <c r="BU885" s="9">
        <f>[1]monsters!$P885</f>
        <v>0</v>
      </c>
      <c r="BV885" s="9">
        <f>[1]monsters!$Q885</f>
        <v>0</v>
      </c>
      <c r="BW885" s="9">
        <f>[1]monsters!$R885</f>
        <v>0</v>
      </c>
      <c r="BX885" s="9">
        <f>[1]monsters!$S885</f>
        <v>0</v>
      </c>
      <c r="BY885" s="9">
        <f>[1]monsters!$K885</f>
        <v>0</v>
      </c>
      <c r="BZ885" s="7">
        <f>[1]monsters!$D885</f>
        <v>0</v>
      </c>
      <c r="CA885" s="7" t="e">
        <f t="shared" si="234"/>
        <v>#N/A</v>
      </c>
      <c r="CB885" s="7" t="e">
        <f t="shared" si="235"/>
        <v>#N/A</v>
      </c>
      <c r="CC885" s="7" t="e">
        <f t="shared" si="236"/>
        <v>#N/A</v>
      </c>
      <c r="CD885" s="7"/>
      <c r="CE885" s="7"/>
      <c r="CF885" s="7"/>
      <c r="CG885" s="7"/>
      <c r="CH885" s="7"/>
      <c r="CI885" s="7"/>
      <c r="CJ885" s="7"/>
      <c r="CK885" s="7"/>
      <c r="CL885" s="7"/>
      <c r="CM885" s="7"/>
      <c r="CN885" s="7"/>
      <c r="CO885" s="7"/>
      <c r="CP885" s="7"/>
      <c r="CR885" s="25"/>
      <c r="CS885" s="25"/>
      <c r="CT885" s="25"/>
      <c r="CU885" s="25"/>
      <c r="CV885" s="25"/>
      <c r="CW885" s="25"/>
      <c r="DP885" s="32"/>
      <c r="DQ885" s="32"/>
      <c r="DR885" s="32"/>
      <c r="DS885" s="32"/>
      <c r="DT885" s="32"/>
      <c r="DU885" s="32"/>
      <c r="DV885" s="32"/>
      <c r="DW885" s="32"/>
      <c r="DX885" s="32"/>
      <c r="DY885" s="32"/>
      <c r="DZ885" s="32"/>
      <c r="EA885" s="32"/>
      <c r="EB885" s="31"/>
    </row>
    <row r="886" spans="29:132" ht="13.5" customHeight="1">
      <c r="AC886" s="16" t="str">
        <f t="shared" si="233"/>
        <v/>
      </c>
      <c r="AD886" s="16" t="str">
        <f t="shared" si="237"/>
        <v/>
      </c>
      <c r="AE886" s="16" t="str">
        <f t="shared" si="237"/>
        <v/>
      </c>
      <c r="AF886" s="16" t="str">
        <f t="shared" si="237"/>
        <v/>
      </c>
      <c r="AG886" s="16" t="str">
        <f t="shared" si="237"/>
        <v/>
      </c>
      <c r="AH886" s="16" t="str">
        <f t="shared" si="237"/>
        <v/>
      </c>
      <c r="BR886" s="7">
        <v>5304083</v>
      </c>
      <c r="BS886" s="9">
        <f>[1]monsters!$N886</f>
        <v>0</v>
      </c>
      <c r="BT886" s="9">
        <f>[1]monsters!$O886</f>
        <v>0</v>
      </c>
      <c r="BU886" s="9">
        <f>[1]monsters!$P886</f>
        <v>0</v>
      </c>
      <c r="BV886" s="9">
        <f>[1]monsters!$Q886</f>
        <v>0</v>
      </c>
      <c r="BW886" s="9">
        <f>[1]monsters!$R886</f>
        <v>0</v>
      </c>
      <c r="BX886" s="9">
        <f>[1]monsters!$S886</f>
        <v>0</v>
      </c>
      <c r="BY886" s="9">
        <f>[1]monsters!$K886</f>
        <v>0</v>
      </c>
      <c r="BZ886" s="7">
        <f>[1]monsters!$D886</f>
        <v>0</v>
      </c>
      <c r="CA886" s="7" t="e">
        <f t="shared" si="234"/>
        <v>#N/A</v>
      </c>
      <c r="CB886" s="7" t="e">
        <f t="shared" si="235"/>
        <v>#N/A</v>
      </c>
      <c r="CC886" s="7" t="e">
        <f t="shared" si="236"/>
        <v>#N/A</v>
      </c>
      <c r="CD886" s="7"/>
      <c r="CE886" s="7"/>
      <c r="CF886" s="7"/>
      <c r="CG886" s="7"/>
      <c r="CH886" s="7"/>
      <c r="CI886" s="7"/>
      <c r="CJ886" s="7"/>
      <c r="CK886" s="7"/>
      <c r="CL886" s="7"/>
      <c r="CM886" s="7"/>
      <c r="CN886" s="7"/>
      <c r="CO886" s="7"/>
      <c r="CP886" s="7"/>
      <c r="CR886" s="25"/>
      <c r="CS886" s="25"/>
      <c r="CT886" s="25"/>
      <c r="CU886" s="25"/>
      <c r="CV886" s="25"/>
      <c r="CW886" s="25"/>
      <c r="DP886" s="32"/>
      <c r="DQ886" s="32"/>
      <c r="DR886" s="32"/>
      <c r="DS886" s="32"/>
      <c r="DT886" s="32"/>
      <c r="DU886" s="32"/>
      <c r="DV886" s="32"/>
      <c r="DW886" s="32"/>
      <c r="DX886" s="32"/>
      <c r="DY886" s="32"/>
      <c r="DZ886" s="32"/>
      <c r="EA886" s="32"/>
      <c r="EB886" s="31"/>
    </row>
    <row r="887" spans="29:132" ht="13.5" customHeight="1">
      <c r="AC887" s="16" t="str">
        <f t="shared" si="233"/>
        <v/>
      </c>
      <c r="AD887" s="16" t="str">
        <f t="shared" si="237"/>
        <v/>
      </c>
      <c r="AE887" s="16" t="str">
        <f t="shared" si="237"/>
        <v/>
      </c>
      <c r="AF887" s="16" t="str">
        <f t="shared" si="237"/>
        <v/>
      </c>
      <c r="AG887" s="16" t="str">
        <f t="shared" si="237"/>
        <v/>
      </c>
      <c r="AH887" s="16" t="str">
        <f t="shared" si="237"/>
        <v/>
      </c>
      <c r="BR887" s="7">
        <v>5503083</v>
      </c>
      <c r="BS887" s="9">
        <f>[1]monsters!$N887</f>
        <v>0</v>
      </c>
      <c r="BT887" s="9">
        <f>[1]monsters!$O887</f>
        <v>0</v>
      </c>
      <c r="BU887" s="9">
        <f>[1]monsters!$P887</f>
        <v>0</v>
      </c>
      <c r="BV887" s="9">
        <f>[1]monsters!$Q887</f>
        <v>0</v>
      </c>
      <c r="BW887" s="9">
        <f>[1]monsters!$R887</f>
        <v>0</v>
      </c>
      <c r="BX887" s="9">
        <f>[1]monsters!$S887</f>
        <v>0</v>
      </c>
      <c r="BY887" s="9">
        <f>[1]monsters!$K887</f>
        <v>0</v>
      </c>
      <c r="BZ887" s="7">
        <f>[1]monsters!$D887</f>
        <v>0</v>
      </c>
      <c r="CA887" s="7" t="e">
        <f t="shared" si="234"/>
        <v>#N/A</v>
      </c>
      <c r="CB887" s="7" t="e">
        <f t="shared" si="235"/>
        <v>#N/A</v>
      </c>
      <c r="CC887" s="7" t="e">
        <f t="shared" si="236"/>
        <v>#N/A</v>
      </c>
      <c r="CD887" s="7"/>
      <c r="CE887" s="7"/>
      <c r="CF887" s="7"/>
      <c r="CG887" s="7"/>
      <c r="CH887" s="7"/>
      <c r="CI887" s="7"/>
      <c r="CJ887" s="7"/>
      <c r="CK887" s="7"/>
      <c r="CL887" s="7"/>
      <c r="CM887" s="7"/>
      <c r="CN887" s="7"/>
      <c r="CO887" s="7"/>
      <c r="CP887" s="7"/>
      <c r="CR887" s="25"/>
      <c r="CS887" s="25"/>
      <c r="CT887" s="25"/>
      <c r="CU887" s="25"/>
      <c r="CV887" s="25"/>
      <c r="CW887" s="25"/>
      <c r="DP887" s="32"/>
      <c r="DQ887" s="32"/>
      <c r="DR887" s="32"/>
      <c r="DS887" s="32"/>
      <c r="DT887" s="32"/>
      <c r="DU887" s="32"/>
      <c r="DV887" s="32"/>
      <c r="DW887" s="32"/>
      <c r="DX887" s="32"/>
      <c r="DY887" s="32"/>
      <c r="DZ887" s="32"/>
      <c r="EA887" s="32"/>
      <c r="EB887" s="15"/>
    </row>
    <row r="888" spans="29:132" ht="13.5" customHeight="1">
      <c r="AC888" s="16" t="str">
        <f t="shared" si="233"/>
        <v/>
      </c>
      <c r="AD888" s="16" t="str">
        <f t="shared" si="237"/>
        <v/>
      </c>
      <c r="AE888" s="16" t="str">
        <f t="shared" si="237"/>
        <v/>
      </c>
      <c r="AF888" s="16" t="str">
        <f t="shared" si="237"/>
        <v/>
      </c>
      <c r="AG888" s="16" t="str">
        <f t="shared" si="237"/>
        <v/>
      </c>
      <c r="AH888" s="16" t="str">
        <f t="shared" si="237"/>
        <v/>
      </c>
      <c r="BR888" s="7">
        <v>5504083</v>
      </c>
      <c r="BS888" s="9">
        <f>[1]monsters!$N888</f>
        <v>0</v>
      </c>
      <c r="BT888" s="9">
        <f>[1]monsters!$O888</f>
        <v>0</v>
      </c>
      <c r="BU888" s="9">
        <f>[1]monsters!$P888</f>
        <v>0</v>
      </c>
      <c r="BV888" s="9">
        <f>[1]monsters!$Q888</f>
        <v>0</v>
      </c>
      <c r="BW888" s="9">
        <f>[1]monsters!$R888</f>
        <v>0</v>
      </c>
      <c r="BX888" s="9">
        <f>[1]monsters!$S888</f>
        <v>0</v>
      </c>
      <c r="BY888" s="9">
        <f>[1]monsters!$K888</f>
        <v>0</v>
      </c>
      <c r="BZ888" s="7">
        <f>[1]monsters!$D888</f>
        <v>0</v>
      </c>
      <c r="CA888" s="7" t="e">
        <f t="shared" si="234"/>
        <v>#N/A</v>
      </c>
      <c r="CB888" s="7" t="e">
        <f t="shared" si="235"/>
        <v>#N/A</v>
      </c>
      <c r="CC888" s="7" t="e">
        <f t="shared" si="236"/>
        <v>#N/A</v>
      </c>
      <c r="CD888" s="7"/>
      <c r="CE888" s="7"/>
      <c r="CF888" s="7"/>
      <c r="CG888" s="7"/>
      <c r="CH888" s="7"/>
      <c r="CI888" s="7"/>
      <c r="CJ888" s="7"/>
      <c r="CK888" s="7"/>
      <c r="CL888" s="7"/>
      <c r="CM888" s="7"/>
      <c r="CN888" s="7"/>
      <c r="CO888" s="7"/>
      <c r="CP888" s="7"/>
      <c r="CR888" s="25"/>
      <c r="CS888" s="25"/>
      <c r="CT888" s="25"/>
      <c r="CU888" s="25"/>
      <c r="CV888" s="25"/>
      <c r="CW888" s="25"/>
      <c r="DP888" s="32"/>
      <c r="DQ888" s="32"/>
      <c r="DR888" s="32"/>
      <c r="DS888" s="32"/>
      <c r="DT888" s="32"/>
      <c r="DU888" s="32"/>
      <c r="DV888" s="32"/>
      <c r="DW888" s="32"/>
      <c r="DX888" s="32"/>
      <c r="DY888" s="32"/>
      <c r="DZ888" s="32"/>
      <c r="EA888" s="32"/>
      <c r="EB888" s="31"/>
    </row>
    <row r="889" spans="29:132" ht="13.5" customHeight="1">
      <c r="AC889" s="16" t="str">
        <f t="shared" si="233"/>
        <v/>
      </c>
      <c r="AD889" s="16" t="str">
        <f t="shared" si="237"/>
        <v/>
      </c>
      <c r="AE889" s="16" t="str">
        <f t="shared" si="237"/>
        <v/>
      </c>
      <c r="AF889" s="16" t="str">
        <f t="shared" si="237"/>
        <v/>
      </c>
      <c r="AG889" s="16" t="str">
        <f t="shared" si="237"/>
        <v/>
      </c>
      <c r="AH889" s="16" t="str">
        <f t="shared" si="237"/>
        <v/>
      </c>
      <c r="BR889" s="7">
        <v>5101083</v>
      </c>
      <c r="BS889" s="9">
        <f>[1]monsters!$N889</f>
        <v>0</v>
      </c>
      <c r="BT889" s="9">
        <f>[1]monsters!$O889</f>
        <v>0</v>
      </c>
      <c r="BU889" s="9">
        <f>[1]monsters!$P889</f>
        <v>0</v>
      </c>
      <c r="BV889" s="9">
        <f>[1]monsters!$Q889</f>
        <v>0</v>
      </c>
      <c r="BW889" s="9">
        <f>[1]monsters!$R889</f>
        <v>0</v>
      </c>
      <c r="BX889" s="9">
        <f>[1]monsters!$S889</f>
        <v>0</v>
      </c>
      <c r="BY889" s="9">
        <f>[1]monsters!$K889</f>
        <v>0</v>
      </c>
      <c r="BZ889" s="7">
        <f>[1]monsters!$D889</f>
        <v>0</v>
      </c>
      <c r="CA889" s="7" t="e">
        <f t="shared" si="234"/>
        <v>#N/A</v>
      </c>
      <c r="CB889" s="7" t="e">
        <f t="shared" si="235"/>
        <v>#N/A</v>
      </c>
      <c r="CC889" s="7" t="e">
        <f t="shared" si="236"/>
        <v>#N/A</v>
      </c>
      <c r="CD889" s="7"/>
      <c r="CE889" s="7"/>
      <c r="CF889" s="7"/>
      <c r="CG889" s="7"/>
      <c r="CH889" s="7"/>
      <c r="CI889" s="7"/>
      <c r="CJ889" s="7"/>
      <c r="CK889" s="7"/>
      <c r="CL889" s="7"/>
      <c r="CM889" s="7"/>
      <c r="CN889" s="7"/>
      <c r="CO889" s="7"/>
      <c r="CP889" s="7"/>
      <c r="CR889" s="25"/>
      <c r="CS889" s="25"/>
      <c r="CT889" s="25"/>
      <c r="CU889" s="25"/>
      <c r="CV889" s="25"/>
      <c r="CW889" s="25"/>
      <c r="DP889" s="32"/>
      <c r="DQ889" s="32"/>
      <c r="DR889" s="32"/>
      <c r="DS889" s="32"/>
      <c r="DT889" s="32"/>
      <c r="DU889" s="32"/>
      <c r="DV889" s="32"/>
      <c r="DW889" s="32"/>
      <c r="DX889" s="32"/>
      <c r="DY889" s="32"/>
      <c r="DZ889" s="32"/>
      <c r="EA889" s="32"/>
      <c r="EB889" s="31"/>
    </row>
    <row r="890" spans="29:132" ht="13.5" customHeight="1">
      <c r="AC890" s="16" t="str">
        <f t="shared" si="233"/>
        <v/>
      </c>
      <c r="AD890" s="16" t="str">
        <f t="shared" si="237"/>
        <v/>
      </c>
      <c r="AE890" s="16" t="str">
        <f t="shared" si="237"/>
        <v/>
      </c>
      <c r="AF890" s="16" t="str">
        <f t="shared" si="237"/>
        <v/>
      </c>
      <c r="AG890" s="16" t="str">
        <f t="shared" si="237"/>
        <v/>
      </c>
      <c r="AH890" s="16" t="str">
        <f t="shared" si="237"/>
        <v/>
      </c>
      <c r="BR890" s="7">
        <v>5102083</v>
      </c>
      <c r="BS890" s="9">
        <f>[1]monsters!$N890</f>
        <v>0</v>
      </c>
      <c r="BT890" s="9">
        <f>[1]monsters!$O890</f>
        <v>0</v>
      </c>
      <c r="BU890" s="9">
        <f>[1]monsters!$P890</f>
        <v>0</v>
      </c>
      <c r="BV890" s="9">
        <f>[1]monsters!$Q890</f>
        <v>0</v>
      </c>
      <c r="BW890" s="9">
        <f>[1]monsters!$R890</f>
        <v>0</v>
      </c>
      <c r="BX890" s="9">
        <f>[1]monsters!$S890</f>
        <v>0</v>
      </c>
      <c r="BY890" s="9">
        <f>[1]monsters!$K890</f>
        <v>0</v>
      </c>
      <c r="BZ890" s="7">
        <f>[1]monsters!$D890</f>
        <v>0</v>
      </c>
      <c r="CA890" s="7" t="e">
        <f t="shared" si="234"/>
        <v>#N/A</v>
      </c>
      <c r="CB890" s="7" t="e">
        <f t="shared" si="235"/>
        <v>#N/A</v>
      </c>
      <c r="CC890" s="7" t="e">
        <f t="shared" si="236"/>
        <v>#N/A</v>
      </c>
      <c r="CD890" s="7"/>
      <c r="CE890" s="7"/>
      <c r="CF890" s="7"/>
      <c r="CG890" s="7"/>
      <c r="CH890" s="7"/>
      <c r="CI890" s="7"/>
      <c r="CJ890" s="7"/>
      <c r="CK890" s="7"/>
      <c r="CL890" s="7"/>
      <c r="CM890" s="7"/>
      <c r="CN890" s="7"/>
      <c r="CO890" s="7"/>
      <c r="CP890" s="7"/>
      <c r="CR890" s="25"/>
      <c r="CS890" s="25"/>
      <c r="CT890" s="25"/>
      <c r="CU890" s="25"/>
      <c r="CV890" s="25"/>
      <c r="CW890" s="25"/>
      <c r="DP890" s="32"/>
      <c r="DQ890" s="32"/>
      <c r="DR890" s="32"/>
      <c r="DS890" s="32"/>
      <c r="DT890" s="32"/>
      <c r="DU890" s="32"/>
      <c r="DV890" s="32"/>
      <c r="DW890" s="32"/>
      <c r="DX890" s="32"/>
      <c r="DY890" s="32"/>
      <c r="DZ890" s="32"/>
      <c r="EA890" s="32"/>
      <c r="EB890" s="31"/>
    </row>
    <row r="891" spans="29:132" ht="13.5" customHeight="1">
      <c r="AC891" s="16" t="str">
        <f t="shared" si="233"/>
        <v/>
      </c>
      <c r="AD891" s="16" t="str">
        <f t="shared" si="237"/>
        <v/>
      </c>
      <c r="AE891" s="16" t="str">
        <f t="shared" si="237"/>
        <v/>
      </c>
      <c r="AF891" s="16" t="str">
        <f t="shared" si="237"/>
        <v/>
      </c>
      <c r="AG891" s="16" t="str">
        <f t="shared" si="237"/>
        <v/>
      </c>
      <c r="AH891" s="16" t="str">
        <f t="shared" si="237"/>
        <v/>
      </c>
      <c r="BR891" s="7">
        <v>5206084</v>
      </c>
      <c r="BS891" s="9">
        <f>[1]monsters!$N891</f>
        <v>0</v>
      </c>
      <c r="BT891" s="9">
        <f>[1]monsters!$O891</f>
        <v>0</v>
      </c>
      <c r="BU891" s="9">
        <f>[1]monsters!$P891</f>
        <v>0</v>
      </c>
      <c r="BV891" s="9">
        <f>[1]monsters!$Q891</f>
        <v>0</v>
      </c>
      <c r="BW891" s="9">
        <f>[1]monsters!$R891</f>
        <v>0</v>
      </c>
      <c r="BX891" s="9">
        <f>[1]monsters!$S891</f>
        <v>0</v>
      </c>
      <c r="BY891" s="9">
        <f>[1]monsters!$K891</f>
        <v>0</v>
      </c>
      <c r="BZ891" s="7">
        <f>[1]monsters!$D891</f>
        <v>0</v>
      </c>
      <c r="CA891" s="7" t="e">
        <f t="shared" si="234"/>
        <v>#N/A</v>
      </c>
      <c r="CB891" s="7" t="e">
        <f t="shared" si="235"/>
        <v>#N/A</v>
      </c>
      <c r="CC891" s="7" t="e">
        <f t="shared" si="236"/>
        <v>#N/A</v>
      </c>
      <c r="CD891" s="7"/>
      <c r="CE891" s="7"/>
      <c r="CF891" s="7"/>
      <c r="CG891" s="7"/>
      <c r="CH891" s="7"/>
      <c r="CI891" s="7"/>
      <c r="CJ891" s="7"/>
      <c r="CK891" s="7"/>
      <c r="CL891" s="7"/>
      <c r="CM891" s="7"/>
      <c r="CN891" s="7"/>
      <c r="CO891" s="7"/>
      <c r="CP891" s="7"/>
      <c r="CR891" s="25"/>
      <c r="CS891" s="25"/>
      <c r="CT891" s="25"/>
      <c r="CU891" s="25"/>
      <c r="CV891" s="25"/>
      <c r="CW891" s="25"/>
      <c r="DP891" s="32"/>
      <c r="DQ891" s="32"/>
      <c r="DR891" s="32"/>
      <c r="DS891" s="32"/>
      <c r="DT891" s="32"/>
      <c r="DU891" s="32"/>
      <c r="DV891" s="32"/>
      <c r="DW891" s="32"/>
      <c r="DX891" s="32"/>
      <c r="DY891" s="32"/>
      <c r="DZ891" s="32"/>
      <c r="EA891" s="32"/>
      <c r="EB891" s="43"/>
    </row>
    <row r="892" spans="29:132" ht="13.5" customHeight="1">
      <c r="AC892" s="16" t="str">
        <f t="shared" si="233"/>
        <v/>
      </c>
      <c r="AD892" s="16" t="str">
        <f t="shared" si="237"/>
        <v/>
      </c>
      <c r="AE892" s="16" t="str">
        <f t="shared" si="237"/>
        <v/>
      </c>
      <c r="AF892" s="16" t="str">
        <f t="shared" si="237"/>
        <v/>
      </c>
      <c r="AG892" s="16" t="str">
        <f t="shared" si="237"/>
        <v/>
      </c>
      <c r="AH892" s="16" t="str">
        <f t="shared" si="237"/>
        <v/>
      </c>
      <c r="BR892" s="7">
        <v>5406084</v>
      </c>
      <c r="BS892" s="9">
        <f>[1]monsters!$N892</f>
        <v>0</v>
      </c>
      <c r="BT892" s="9">
        <f>[1]monsters!$O892</f>
        <v>0</v>
      </c>
      <c r="BU892" s="9">
        <f>[1]monsters!$P892</f>
        <v>0</v>
      </c>
      <c r="BV892" s="9">
        <f>[1]monsters!$Q892</f>
        <v>0</v>
      </c>
      <c r="BW892" s="9">
        <f>[1]monsters!$R892</f>
        <v>0</v>
      </c>
      <c r="BX892" s="9">
        <f>[1]monsters!$S892</f>
        <v>0</v>
      </c>
      <c r="BY892" s="9">
        <f>[1]monsters!$K892</f>
        <v>0</v>
      </c>
      <c r="BZ892" s="7">
        <f>[1]monsters!$D892</f>
        <v>0</v>
      </c>
      <c r="CA892" s="7" t="e">
        <f t="shared" si="234"/>
        <v>#N/A</v>
      </c>
      <c r="CB892" s="7" t="e">
        <f t="shared" si="235"/>
        <v>#N/A</v>
      </c>
      <c r="CC892" s="7" t="e">
        <f t="shared" si="236"/>
        <v>#N/A</v>
      </c>
      <c r="CD892" s="7"/>
      <c r="CE892" s="7"/>
      <c r="CF892" s="7"/>
      <c r="CG892" s="7"/>
      <c r="CH892" s="7"/>
      <c r="CI892" s="7"/>
      <c r="CJ892" s="7"/>
      <c r="CK892" s="7"/>
      <c r="CL892" s="7"/>
      <c r="CM892" s="7"/>
      <c r="CN892" s="7"/>
      <c r="CO892" s="7"/>
      <c r="CP892" s="7"/>
      <c r="CR892" s="25"/>
      <c r="CS892" s="25"/>
      <c r="CT892" s="25"/>
      <c r="CU892" s="25"/>
      <c r="CV892" s="25"/>
      <c r="CW892" s="25"/>
      <c r="DP892" s="32"/>
      <c r="DQ892" s="32"/>
      <c r="DR892" s="32"/>
      <c r="DS892" s="32"/>
      <c r="DT892" s="32"/>
      <c r="DU892" s="32"/>
      <c r="DV892" s="32"/>
      <c r="DW892" s="32"/>
      <c r="DX892" s="32"/>
      <c r="DY892" s="32"/>
      <c r="DZ892" s="32"/>
      <c r="EA892" s="32"/>
      <c r="EB892" s="43"/>
    </row>
    <row r="893" spans="29:132" ht="13.5" customHeight="1">
      <c r="AC893" s="16" t="str">
        <f t="shared" si="233"/>
        <v/>
      </c>
      <c r="AD893" s="16" t="str">
        <f t="shared" si="237"/>
        <v/>
      </c>
      <c r="AE893" s="16" t="str">
        <f t="shared" si="237"/>
        <v/>
      </c>
      <c r="AF893" s="16" t="str">
        <f t="shared" si="237"/>
        <v/>
      </c>
      <c r="AG893" s="16" t="str">
        <f t="shared" si="237"/>
        <v/>
      </c>
      <c r="AH893" s="16" t="str">
        <f t="shared" si="237"/>
        <v/>
      </c>
      <c r="BR893" s="7">
        <v>5205084</v>
      </c>
      <c r="BS893" s="9">
        <f>[1]monsters!$N893</f>
        <v>0</v>
      </c>
      <c r="BT893" s="9">
        <f>[1]monsters!$O893</f>
        <v>0</v>
      </c>
      <c r="BU893" s="9">
        <f>[1]monsters!$P893</f>
        <v>0</v>
      </c>
      <c r="BV893" s="9">
        <f>[1]monsters!$Q893</f>
        <v>0</v>
      </c>
      <c r="BW893" s="9">
        <f>[1]monsters!$R893</f>
        <v>0</v>
      </c>
      <c r="BX893" s="9">
        <f>[1]monsters!$S893</f>
        <v>0</v>
      </c>
      <c r="BY893" s="9">
        <f>[1]monsters!$K893</f>
        <v>0</v>
      </c>
      <c r="BZ893" s="7">
        <f>[1]monsters!$D893</f>
        <v>0</v>
      </c>
      <c r="CA893" s="7" t="e">
        <f t="shared" si="234"/>
        <v>#N/A</v>
      </c>
      <c r="CB893" s="7" t="e">
        <f t="shared" si="235"/>
        <v>#N/A</v>
      </c>
      <c r="CC893" s="7" t="e">
        <f t="shared" si="236"/>
        <v>#N/A</v>
      </c>
      <c r="CD893" s="7"/>
      <c r="CE893" s="7"/>
      <c r="CF893" s="7"/>
      <c r="CG893" s="7"/>
      <c r="CH893" s="7"/>
      <c r="CI893" s="7"/>
      <c r="CJ893" s="7"/>
      <c r="CK893" s="7"/>
      <c r="CL893" s="7"/>
      <c r="CM893" s="7"/>
      <c r="CN893" s="7"/>
      <c r="CO893" s="7"/>
      <c r="CP893" s="7"/>
      <c r="CR893" s="25"/>
      <c r="CS893" s="25"/>
      <c r="CT893" s="25"/>
      <c r="CU893" s="25"/>
      <c r="CV893" s="25"/>
      <c r="CW893" s="25"/>
      <c r="DP893" s="32"/>
      <c r="DQ893" s="32"/>
      <c r="DR893" s="32"/>
      <c r="DS893" s="32"/>
      <c r="DT893" s="32"/>
      <c r="DU893" s="32"/>
      <c r="DV893" s="32"/>
      <c r="DW893" s="32"/>
      <c r="DX893" s="32"/>
      <c r="DY893" s="32"/>
      <c r="DZ893" s="32"/>
      <c r="EA893" s="32"/>
      <c r="EB893" s="43"/>
    </row>
    <row r="894" spans="29:132" ht="13.5" customHeight="1">
      <c r="AC894" s="16" t="str">
        <f t="shared" si="233"/>
        <v/>
      </c>
      <c r="AD894" s="16" t="str">
        <f t="shared" si="237"/>
        <v/>
      </c>
      <c r="AE894" s="16" t="str">
        <f t="shared" si="237"/>
        <v/>
      </c>
      <c r="AF894" s="16" t="str">
        <f t="shared" si="237"/>
        <v/>
      </c>
      <c r="AG894" s="16" t="str">
        <f t="shared" si="237"/>
        <v/>
      </c>
      <c r="AH894" s="16" t="str">
        <f t="shared" si="237"/>
        <v/>
      </c>
      <c r="BR894" s="7">
        <v>5405084</v>
      </c>
      <c r="BS894" s="9">
        <f>[1]monsters!$N894</f>
        <v>0</v>
      </c>
      <c r="BT894" s="9">
        <f>[1]monsters!$O894</f>
        <v>0</v>
      </c>
      <c r="BU894" s="9">
        <f>[1]monsters!$P894</f>
        <v>0</v>
      </c>
      <c r="BV894" s="9">
        <f>[1]monsters!$Q894</f>
        <v>0</v>
      </c>
      <c r="BW894" s="9">
        <f>[1]monsters!$R894</f>
        <v>0</v>
      </c>
      <c r="BX894" s="9">
        <f>[1]monsters!$S894</f>
        <v>0</v>
      </c>
      <c r="BY894" s="9">
        <f>[1]monsters!$K894</f>
        <v>0</v>
      </c>
      <c r="BZ894" s="7">
        <f>[1]monsters!$D894</f>
        <v>0</v>
      </c>
      <c r="CA894" s="7" t="e">
        <f t="shared" si="234"/>
        <v>#N/A</v>
      </c>
      <c r="CB894" s="7" t="e">
        <f t="shared" si="235"/>
        <v>#N/A</v>
      </c>
      <c r="CC894" s="7" t="e">
        <f t="shared" si="236"/>
        <v>#N/A</v>
      </c>
      <c r="CD894" s="7"/>
      <c r="CE894" s="7"/>
      <c r="CF894" s="7"/>
      <c r="CG894" s="7"/>
      <c r="CH894" s="7"/>
      <c r="CI894" s="7"/>
      <c r="CJ894" s="7"/>
      <c r="CK894" s="7"/>
      <c r="CL894" s="7"/>
      <c r="CM894" s="7"/>
      <c r="CN894" s="7"/>
      <c r="CO894" s="7"/>
      <c r="CP894" s="7"/>
      <c r="CR894" s="25"/>
      <c r="CS894" s="25"/>
      <c r="CT894" s="25"/>
      <c r="CU894" s="25"/>
      <c r="CV894" s="25"/>
      <c r="CW894" s="25"/>
      <c r="DP894" s="25"/>
      <c r="DQ894" s="25"/>
      <c r="DR894" s="25"/>
      <c r="DS894" s="25"/>
      <c r="DT894" s="25"/>
      <c r="DU894" s="25"/>
      <c r="DV894" s="32"/>
      <c r="DW894" s="32"/>
      <c r="DX894" s="32"/>
      <c r="DY894" s="32"/>
      <c r="DZ894" s="32"/>
      <c r="EA894" s="32"/>
      <c r="EB894" s="21"/>
    </row>
    <row r="895" spans="29:132" ht="13.5" customHeight="1">
      <c r="AC895" s="16" t="str">
        <f t="shared" si="233"/>
        <v/>
      </c>
      <c r="AD895" s="16" t="str">
        <f t="shared" si="237"/>
        <v/>
      </c>
      <c r="AE895" s="16" t="str">
        <f t="shared" si="237"/>
        <v/>
      </c>
      <c r="AF895" s="16" t="str">
        <f t="shared" si="237"/>
        <v/>
      </c>
      <c r="AG895" s="16" t="str">
        <f t="shared" si="237"/>
        <v/>
      </c>
      <c r="AH895" s="16" t="str">
        <f t="shared" si="237"/>
        <v/>
      </c>
      <c r="BR895" s="7">
        <v>5203084</v>
      </c>
      <c r="BS895" s="9">
        <f>[1]monsters!$N895</f>
        <v>0</v>
      </c>
      <c r="BT895" s="9">
        <f>[1]monsters!$O895</f>
        <v>0</v>
      </c>
      <c r="BU895" s="9">
        <f>[1]monsters!$P895</f>
        <v>0</v>
      </c>
      <c r="BV895" s="9">
        <f>[1]monsters!$Q895</f>
        <v>0</v>
      </c>
      <c r="BW895" s="9">
        <f>[1]monsters!$R895</f>
        <v>0</v>
      </c>
      <c r="BX895" s="9">
        <f>[1]monsters!$S895</f>
        <v>0</v>
      </c>
      <c r="BY895" s="9">
        <f>[1]monsters!$K895</f>
        <v>0</v>
      </c>
      <c r="BZ895" s="7">
        <f>[1]monsters!$D895</f>
        <v>0</v>
      </c>
      <c r="CA895" s="7" t="e">
        <f t="shared" si="234"/>
        <v>#N/A</v>
      </c>
      <c r="CB895" s="7" t="e">
        <f t="shared" si="235"/>
        <v>#N/A</v>
      </c>
      <c r="CC895" s="7" t="e">
        <f t="shared" si="236"/>
        <v>#N/A</v>
      </c>
      <c r="CD895" s="7"/>
      <c r="CE895" s="7"/>
      <c r="CF895" s="7"/>
      <c r="CG895" s="7"/>
      <c r="CH895" s="7"/>
      <c r="CI895" s="7"/>
      <c r="CJ895" s="7"/>
      <c r="CK895" s="7"/>
      <c r="CL895" s="7"/>
      <c r="CM895" s="7"/>
      <c r="CN895" s="7"/>
      <c r="CO895" s="7"/>
      <c r="CP895" s="7"/>
      <c r="CR895" s="25"/>
      <c r="CS895" s="25"/>
      <c r="CT895" s="25"/>
      <c r="CU895" s="25"/>
      <c r="CV895" s="25"/>
      <c r="CW895" s="25"/>
      <c r="DP895" s="25"/>
      <c r="DQ895" s="25"/>
      <c r="DR895" s="25"/>
      <c r="DS895" s="32"/>
      <c r="DT895" s="32"/>
      <c r="DU895" s="32"/>
      <c r="DV895" s="32"/>
      <c r="DW895" s="32"/>
      <c r="DX895" s="32"/>
      <c r="DY895" s="32"/>
      <c r="DZ895" s="32"/>
      <c r="EA895" s="32"/>
      <c r="EB895" s="43"/>
    </row>
    <row r="896" spans="29:132" ht="13.5" customHeight="1">
      <c r="AC896" s="16" t="str">
        <f t="shared" si="233"/>
        <v/>
      </c>
      <c r="AD896" s="16" t="str">
        <f t="shared" si="237"/>
        <v/>
      </c>
      <c r="AE896" s="16" t="str">
        <f t="shared" si="237"/>
        <v/>
      </c>
      <c r="AF896" s="16" t="str">
        <f t="shared" si="237"/>
        <v/>
      </c>
      <c r="AG896" s="16" t="str">
        <f t="shared" si="237"/>
        <v/>
      </c>
      <c r="AH896" s="16" t="str">
        <f t="shared" si="237"/>
        <v/>
      </c>
      <c r="BR896" s="7">
        <v>5403084</v>
      </c>
      <c r="BS896" s="9">
        <f>[1]monsters!$N896</f>
        <v>0</v>
      </c>
      <c r="BT896" s="9">
        <f>[1]monsters!$O896</f>
        <v>0</v>
      </c>
      <c r="BU896" s="9">
        <f>[1]monsters!$P896</f>
        <v>0</v>
      </c>
      <c r="BV896" s="9">
        <f>[1]monsters!$Q896</f>
        <v>0</v>
      </c>
      <c r="BW896" s="9">
        <f>[1]monsters!$R896</f>
        <v>0</v>
      </c>
      <c r="BX896" s="9">
        <f>[1]monsters!$S896</f>
        <v>0</v>
      </c>
      <c r="BY896" s="9">
        <f>[1]monsters!$K896</f>
        <v>0</v>
      </c>
      <c r="BZ896" s="7">
        <f>[1]monsters!$D896</f>
        <v>0</v>
      </c>
      <c r="CA896" s="7" t="e">
        <f t="shared" si="234"/>
        <v>#N/A</v>
      </c>
      <c r="CB896" s="7" t="e">
        <f t="shared" si="235"/>
        <v>#N/A</v>
      </c>
      <c r="CC896" s="7" t="e">
        <f t="shared" si="236"/>
        <v>#N/A</v>
      </c>
      <c r="CD896" s="7"/>
      <c r="CE896" s="7"/>
      <c r="CF896" s="7"/>
      <c r="CG896" s="7"/>
      <c r="CH896" s="7"/>
      <c r="CI896" s="7"/>
      <c r="CJ896" s="7"/>
      <c r="CK896" s="7"/>
      <c r="CL896" s="7"/>
      <c r="CM896" s="7"/>
      <c r="CN896" s="7"/>
      <c r="CO896" s="7"/>
      <c r="CP896" s="7"/>
      <c r="CR896" s="25"/>
      <c r="CS896" s="25"/>
      <c r="CT896" s="25"/>
      <c r="CU896" s="25"/>
      <c r="CV896" s="25"/>
      <c r="CW896" s="25"/>
      <c r="DP896" s="25"/>
      <c r="DQ896" s="25"/>
      <c r="DR896" s="25"/>
      <c r="DS896" s="25"/>
      <c r="DT896" s="25"/>
      <c r="DU896" s="25"/>
      <c r="DV896" s="32"/>
      <c r="DW896" s="32"/>
      <c r="DX896" s="32"/>
      <c r="DY896" s="32"/>
      <c r="DZ896" s="32"/>
      <c r="EA896" s="32"/>
      <c r="EB896" s="43"/>
    </row>
    <row r="897" spans="29:132" ht="13.5" customHeight="1">
      <c r="AC897" s="16" t="str">
        <f t="shared" si="233"/>
        <v/>
      </c>
      <c r="AD897" s="16" t="str">
        <f t="shared" si="237"/>
        <v/>
      </c>
      <c r="AE897" s="16" t="str">
        <f t="shared" si="237"/>
        <v/>
      </c>
      <c r="AF897" s="16" t="str">
        <f t="shared" si="237"/>
        <v/>
      </c>
      <c r="AG897" s="16" t="str">
        <f t="shared" si="237"/>
        <v/>
      </c>
      <c r="AH897" s="16" t="str">
        <f t="shared" si="237"/>
        <v/>
      </c>
      <c r="BR897" s="7">
        <v>5204084</v>
      </c>
      <c r="BS897" s="9">
        <f>[1]monsters!$N897</f>
        <v>0</v>
      </c>
      <c r="BT897" s="9">
        <f>[1]monsters!$O897</f>
        <v>0</v>
      </c>
      <c r="BU897" s="9">
        <f>[1]monsters!$P897</f>
        <v>0</v>
      </c>
      <c r="BV897" s="9">
        <f>[1]monsters!$Q897</f>
        <v>0</v>
      </c>
      <c r="BW897" s="9">
        <f>[1]monsters!$R897</f>
        <v>0</v>
      </c>
      <c r="BX897" s="9">
        <f>[1]monsters!$S897</f>
        <v>0</v>
      </c>
      <c r="BY897" s="9">
        <f>[1]monsters!$K897</f>
        <v>0</v>
      </c>
      <c r="BZ897" s="7">
        <f>[1]monsters!$D897</f>
        <v>0</v>
      </c>
      <c r="CA897" s="7" t="e">
        <f t="shared" si="234"/>
        <v>#N/A</v>
      </c>
      <c r="CB897" s="7" t="e">
        <f t="shared" si="235"/>
        <v>#N/A</v>
      </c>
      <c r="CC897" s="7" t="e">
        <f t="shared" si="236"/>
        <v>#N/A</v>
      </c>
      <c r="CD897" s="7"/>
      <c r="CE897" s="7"/>
      <c r="CF897" s="7"/>
      <c r="CG897" s="7"/>
      <c r="CH897" s="7"/>
      <c r="CI897" s="7"/>
      <c r="CJ897" s="7"/>
      <c r="CK897" s="7"/>
      <c r="CL897" s="7"/>
      <c r="CM897" s="7"/>
      <c r="CN897" s="7"/>
      <c r="CO897" s="7"/>
      <c r="CP897" s="7"/>
      <c r="CR897" s="25"/>
      <c r="CS897" s="25"/>
      <c r="CT897" s="25"/>
      <c r="CU897" s="25"/>
      <c r="CV897" s="25"/>
      <c r="CW897" s="25"/>
      <c r="DP897" s="25"/>
      <c r="DQ897" s="25"/>
      <c r="DR897" s="25"/>
      <c r="DS897" s="25"/>
      <c r="DT897" s="25"/>
      <c r="DU897" s="25"/>
      <c r="DV897" s="32"/>
      <c r="DW897" s="32"/>
      <c r="DX897" s="32"/>
      <c r="DY897" s="32"/>
      <c r="DZ897" s="32"/>
      <c r="EA897" s="32"/>
      <c r="EB897" s="43"/>
    </row>
    <row r="898" spans="29:132" ht="13.5" customHeight="1">
      <c r="AC898" s="16" t="str">
        <f t="shared" si="233"/>
        <v/>
      </c>
      <c r="AD898" s="16" t="str">
        <f t="shared" si="237"/>
        <v/>
      </c>
      <c r="AE898" s="16" t="str">
        <f t="shared" si="237"/>
        <v/>
      </c>
      <c r="AF898" s="16" t="str">
        <f t="shared" si="237"/>
        <v/>
      </c>
      <c r="AG898" s="16" t="str">
        <f t="shared" si="237"/>
        <v/>
      </c>
      <c r="AH898" s="16" t="str">
        <f t="shared" si="237"/>
        <v/>
      </c>
      <c r="BR898" s="7">
        <v>5404084</v>
      </c>
      <c r="BS898" s="9">
        <f>[1]monsters!$N898</f>
        <v>0</v>
      </c>
      <c r="BT898" s="9">
        <f>[1]monsters!$O898</f>
        <v>0</v>
      </c>
      <c r="BU898" s="9">
        <f>[1]monsters!$P898</f>
        <v>0</v>
      </c>
      <c r="BV898" s="9">
        <f>[1]monsters!$Q898</f>
        <v>0</v>
      </c>
      <c r="BW898" s="9">
        <f>[1]monsters!$R898</f>
        <v>0</v>
      </c>
      <c r="BX898" s="9">
        <f>[1]monsters!$S898</f>
        <v>0</v>
      </c>
      <c r="BY898" s="9">
        <f>[1]monsters!$K898</f>
        <v>0</v>
      </c>
      <c r="BZ898" s="7">
        <f>[1]monsters!$D898</f>
        <v>0</v>
      </c>
      <c r="CA898" s="7" t="e">
        <f t="shared" si="234"/>
        <v>#N/A</v>
      </c>
      <c r="CB898" s="7" t="e">
        <f t="shared" si="235"/>
        <v>#N/A</v>
      </c>
      <c r="CC898" s="7" t="e">
        <f t="shared" si="236"/>
        <v>#N/A</v>
      </c>
      <c r="CD898" s="7"/>
      <c r="CE898" s="7"/>
      <c r="CF898" s="7"/>
      <c r="CG898" s="7"/>
      <c r="CH898" s="7"/>
      <c r="CI898" s="7"/>
      <c r="CJ898" s="7"/>
      <c r="CK898" s="7"/>
      <c r="CL898" s="7"/>
      <c r="CM898" s="7"/>
      <c r="CN898" s="7"/>
      <c r="CO898" s="7"/>
      <c r="CP898" s="7"/>
      <c r="CR898" s="25"/>
      <c r="CS898" s="25"/>
      <c r="CT898" s="25"/>
      <c r="CU898" s="25"/>
      <c r="CV898" s="25"/>
      <c r="CW898" s="25"/>
      <c r="DP898" s="25"/>
      <c r="DQ898" s="25"/>
      <c r="DR898" s="25"/>
      <c r="DS898" s="25"/>
      <c r="DT898" s="25"/>
      <c r="DU898" s="25"/>
      <c r="DV898" s="32"/>
      <c r="DW898" s="32"/>
      <c r="DX898" s="32"/>
      <c r="DY898" s="32"/>
      <c r="DZ898" s="32"/>
      <c r="EA898" s="32"/>
      <c r="EB898" s="21"/>
    </row>
    <row r="899" spans="29:132" ht="13.5" customHeight="1">
      <c r="AC899" s="16" t="str">
        <f t="shared" si="233"/>
        <v/>
      </c>
      <c r="AD899" s="16" t="str">
        <f t="shared" si="237"/>
        <v/>
      </c>
      <c r="AE899" s="16" t="str">
        <f t="shared" si="237"/>
        <v/>
      </c>
      <c r="AF899" s="16" t="str">
        <f t="shared" si="237"/>
        <v/>
      </c>
      <c r="AG899" s="16" t="str">
        <f t="shared" si="237"/>
        <v/>
      </c>
      <c r="AH899" s="16" t="str">
        <f t="shared" si="237"/>
        <v/>
      </c>
      <c r="BR899" s="7">
        <v>5303084</v>
      </c>
      <c r="BS899" s="9">
        <f>[1]monsters!$N899</f>
        <v>0</v>
      </c>
      <c r="BT899" s="9">
        <f>[1]monsters!$O899</f>
        <v>0</v>
      </c>
      <c r="BU899" s="9">
        <f>[1]monsters!$P899</f>
        <v>0</v>
      </c>
      <c r="BV899" s="9">
        <f>[1]monsters!$Q899</f>
        <v>0</v>
      </c>
      <c r="BW899" s="9">
        <f>[1]monsters!$R899</f>
        <v>0</v>
      </c>
      <c r="BX899" s="9">
        <f>[1]monsters!$S899</f>
        <v>0</v>
      </c>
      <c r="BY899" s="9">
        <f>[1]monsters!$K899</f>
        <v>0</v>
      </c>
      <c r="BZ899" s="7">
        <f>[1]monsters!$D899</f>
        <v>0</v>
      </c>
      <c r="CA899" s="7" t="e">
        <f t="shared" si="234"/>
        <v>#N/A</v>
      </c>
      <c r="CB899" s="7" t="e">
        <f t="shared" si="235"/>
        <v>#N/A</v>
      </c>
      <c r="CC899" s="7" t="e">
        <f t="shared" si="236"/>
        <v>#N/A</v>
      </c>
      <c r="CD899" s="7"/>
      <c r="CE899" s="7"/>
      <c r="CF899" s="7"/>
      <c r="CG899" s="7"/>
      <c r="CH899" s="7"/>
      <c r="CI899" s="7"/>
      <c r="CJ899" s="7"/>
      <c r="CK899" s="7"/>
      <c r="CL899" s="7"/>
      <c r="CM899" s="7"/>
      <c r="CN899" s="7"/>
      <c r="CO899" s="7"/>
      <c r="CP899" s="7"/>
      <c r="CR899" s="25"/>
      <c r="CS899" s="25"/>
      <c r="CT899" s="25"/>
      <c r="CU899" s="25"/>
      <c r="CV899" s="25"/>
      <c r="CW899" s="25"/>
      <c r="DP899" s="32"/>
      <c r="DQ899" s="32"/>
      <c r="DR899" s="32"/>
      <c r="DS899" s="32"/>
      <c r="DT899" s="32"/>
      <c r="DU899" s="32"/>
      <c r="DV899" s="32"/>
      <c r="DW899" s="32"/>
      <c r="DX899" s="32"/>
      <c r="DY899" s="32"/>
      <c r="DZ899" s="32"/>
      <c r="EA899" s="32"/>
      <c r="EB899" s="43"/>
    </row>
    <row r="900" spans="29:132" ht="13.5" customHeight="1">
      <c r="AC900" s="16" t="str">
        <f t="shared" si="233"/>
        <v/>
      </c>
      <c r="AD900" s="16" t="str">
        <f t="shared" si="237"/>
        <v/>
      </c>
      <c r="AE900" s="16" t="str">
        <f t="shared" si="237"/>
        <v/>
      </c>
      <c r="AF900" s="16" t="str">
        <f t="shared" si="237"/>
        <v/>
      </c>
      <c r="AG900" s="16" t="str">
        <f t="shared" si="237"/>
        <v/>
      </c>
      <c r="AH900" s="16" t="str">
        <f t="shared" si="237"/>
        <v/>
      </c>
      <c r="BR900" s="7">
        <v>5304084</v>
      </c>
      <c r="BS900" s="9">
        <f>[1]monsters!$N900</f>
        <v>0</v>
      </c>
      <c r="BT900" s="9">
        <f>[1]monsters!$O900</f>
        <v>0</v>
      </c>
      <c r="BU900" s="9">
        <f>[1]monsters!$P900</f>
        <v>0</v>
      </c>
      <c r="BV900" s="9">
        <f>[1]monsters!$Q900</f>
        <v>0</v>
      </c>
      <c r="BW900" s="9">
        <f>[1]monsters!$R900</f>
        <v>0</v>
      </c>
      <c r="BX900" s="9">
        <f>[1]monsters!$S900</f>
        <v>0</v>
      </c>
      <c r="BY900" s="9">
        <f>[1]monsters!$K900</f>
        <v>0</v>
      </c>
      <c r="BZ900" s="7">
        <f>[1]monsters!$D900</f>
        <v>0</v>
      </c>
      <c r="CA900" s="7" t="e">
        <f t="shared" si="234"/>
        <v>#N/A</v>
      </c>
      <c r="CB900" s="7" t="e">
        <f t="shared" si="235"/>
        <v>#N/A</v>
      </c>
      <c r="CC900" s="7" t="e">
        <f t="shared" si="236"/>
        <v>#N/A</v>
      </c>
      <c r="CD900" s="7"/>
      <c r="CE900" s="7"/>
      <c r="CF900" s="7"/>
      <c r="CG900" s="7"/>
      <c r="CH900" s="7"/>
      <c r="CI900" s="7"/>
      <c r="CJ900" s="7"/>
      <c r="CK900" s="7"/>
      <c r="CL900" s="7"/>
      <c r="CM900" s="7"/>
      <c r="CN900" s="7"/>
      <c r="CO900" s="7"/>
      <c r="CP900" s="7"/>
      <c r="CR900" s="25"/>
      <c r="CS900" s="25"/>
      <c r="CT900" s="25"/>
      <c r="CU900" s="25"/>
      <c r="CV900" s="25"/>
      <c r="CW900" s="25"/>
      <c r="DP900" s="36"/>
      <c r="DQ900" s="36"/>
      <c r="DR900" s="36"/>
      <c r="DS900" s="36"/>
      <c r="DT900" s="36"/>
      <c r="DU900" s="36"/>
      <c r="DV900" s="32"/>
      <c r="DW900" s="32"/>
      <c r="DX900" s="32"/>
      <c r="DY900" s="32"/>
      <c r="DZ900" s="32"/>
      <c r="EA900" s="32"/>
      <c r="EB900" s="43"/>
    </row>
    <row r="901" spans="29:132" ht="13.5" customHeight="1">
      <c r="AC901" s="16" t="str">
        <f t="shared" ref="AC901:AC964" si="238">IF(AI901&gt;0,FLOOR((POWER((AI901/IF(AND(W901&gt;=2,W901&lt;4),1.1,IF(AND(W901&gt;=4,W901&lt;6),1.2,IF(W901&gt;=6,1.4,1)))/$Z$1),0.5)/INDEX($BD$4:$BQ$4,MATCH(W901,$BD$3:$BQ$3,0))-1)*10,1),"")</f>
        <v/>
      </c>
      <c r="AD901" s="16" t="str">
        <f t="shared" si="237"/>
        <v/>
      </c>
      <c r="AE901" s="16" t="str">
        <f t="shared" si="237"/>
        <v/>
      </c>
      <c r="AF901" s="16" t="str">
        <f t="shared" si="237"/>
        <v/>
      </c>
      <c r="AG901" s="16" t="str">
        <f t="shared" si="237"/>
        <v/>
      </c>
      <c r="AH901" s="16" t="str">
        <f t="shared" si="237"/>
        <v/>
      </c>
      <c r="BR901" s="7">
        <v>5503084</v>
      </c>
      <c r="BS901" s="9">
        <f>[1]monsters!$N901</f>
        <v>0</v>
      </c>
      <c r="BT901" s="9">
        <f>[1]monsters!$O901</f>
        <v>0</v>
      </c>
      <c r="BU901" s="9">
        <f>[1]monsters!$P901</f>
        <v>0</v>
      </c>
      <c r="BV901" s="9">
        <f>[1]monsters!$Q901</f>
        <v>0</v>
      </c>
      <c r="BW901" s="9">
        <f>[1]monsters!$R901</f>
        <v>0</v>
      </c>
      <c r="BX901" s="9">
        <f>[1]monsters!$S901</f>
        <v>0</v>
      </c>
      <c r="BY901" s="9">
        <f>[1]monsters!$K901</f>
        <v>0</v>
      </c>
      <c r="BZ901" s="7">
        <f>[1]monsters!$D901</f>
        <v>0</v>
      </c>
      <c r="CA901" s="7" t="e">
        <f t="shared" ref="CA901:CA964" si="239">INDEX($CH$5:$CH$10,MATCH($BZ901,$CG$5:$CG$10))</f>
        <v>#N/A</v>
      </c>
      <c r="CB901" s="7" t="e">
        <f t="shared" ref="CB901:CB964" si="240">(BU901/33/(1-CA901)/(1-0)+BS901*(1+0.5*0.1)*0.9)</f>
        <v>#N/A</v>
      </c>
      <c r="CC901" s="7" t="e">
        <f t="shared" ref="CC901:CC964" si="241">(BU901/33/(1-CA901)/(1-0)+BS901*(1+0.5*0.1)*0.9)*0.1</f>
        <v>#N/A</v>
      </c>
      <c r="CD901" s="7"/>
      <c r="CE901" s="7"/>
      <c r="CF901" s="7"/>
      <c r="CG901" s="7"/>
      <c r="CH901" s="7"/>
      <c r="CI901" s="7"/>
      <c r="CJ901" s="7"/>
      <c r="CK901" s="7"/>
      <c r="CL901" s="7"/>
      <c r="CM901" s="7"/>
      <c r="CN901" s="7"/>
      <c r="CO901" s="7"/>
      <c r="CP901" s="7"/>
      <c r="CR901" s="25"/>
      <c r="CS901" s="25"/>
      <c r="CT901" s="25"/>
      <c r="CU901" s="25"/>
      <c r="CV901" s="25"/>
      <c r="CW901" s="25"/>
      <c r="DP901" s="32"/>
      <c r="DQ901" s="32"/>
      <c r="DR901" s="36"/>
      <c r="DS901" s="36"/>
      <c r="DT901" s="36"/>
      <c r="DU901" s="36"/>
      <c r="DV901" s="32"/>
      <c r="DW901" s="32"/>
      <c r="DX901" s="32"/>
      <c r="DY901" s="32"/>
      <c r="DZ901" s="32"/>
      <c r="EA901" s="32"/>
      <c r="EB901" s="21"/>
    </row>
    <row r="902" spans="29:132" ht="13.5" customHeight="1">
      <c r="AC902" s="16" t="str">
        <f t="shared" si="238"/>
        <v/>
      </c>
      <c r="AD902" s="16" t="str">
        <f t="shared" si="237"/>
        <v/>
      </c>
      <c r="AE902" s="16" t="str">
        <f t="shared" si="237"/>
        <v/>
      </c>
      <c r="AF902" s="16" t="str">
        <f t="shared" si="237"/>
        <v/>
      </c>
      <c r="AG902" s="16" t="str">
        <f t="shared" si="237"/>
        <v/>
      </c>
      <c r="AH902" s="16" t="str">
        <f t="shared" si="237"/>
        <v/>
      </c>
      <c r="BR902" s="7">
        <v>5504084</v>
      </c>
      <c r="BS902" s="9">
        <f>[1]monsters!$N902</f>
        <v>0</v>
      </c>
      <c r="BT902" s="9">
        <f>[1]monsters!$O902</f>
        <v>0</v>
      </c>
      <c r="BU902" s="9">
        <f>[1]monsters!$P902</f>
        <v>0</v>
      </c>
      <c r="BV902" s="9">
        <f>[1]monsters!$Q902</f>
        <v>0</v>
      </c>
      <c r="BW902" s="9">
        <f>[1]monsters!$R902</f>
        <v>0</v>
      </c>
      <c r="BX902" s="9">
        <f>[1]monsters!$S902</f>
        <v>0</v>
      </c>
      <c r="BY902" s="9">
        <f>[1]monsters!$K902</f>
        <v>0</v>
      </c>
      <c r="BZ902" s="7">
        <f>[1]monsters!$D902</f>
        <v>0</v>
      </c>
      <c r="CA902" s="7" t="e">
        <f t="shared" si="239"/>
        <v>#N/A</v>
      </c>
      <c r="CB902" s="7" t="e">
        <f t="shared" si="240"/>
        <v>#N/A</v>
      </c>
      <c r="CC902" s="7" t="e">
        <f t="shared" si="241"/>
        <v>#N/A</v>
      </c>
      <c r="CD902" s="7"/>
      <c r="CE902" s="7"/>
      <c r="CF902" s="7"/>
      <c r="CG902" s="7"/>
      <c r="CH902" s="7"/>
      <c r="CI902" s="7"/>
      <c r="CJ902" s="7"/>
      <c r="CK902" s="7"/>
      <c r="CL902" s="7"/>
      <c r="CM902" s="7"/>
      <c r="CN902" s="7"/>
      <c r="CO902" s="7"/>
      <c r="CP902" s="7"/>
      <c r="CR902" s="25"/>
      <c r="CS902" s="25"/>
      <c r="CT902" s="25"/>
      <c r="CU902" s="25"/>
      <c r="CV902" s="25"/>
      <c r="CW902" s="25"/>
      <c r="DP902" s="32"/>
      <c r="DQ902" s="32"/>
      <c r="DR902" s="32"/>
      <c r="DS902" s="36"/>
      <c r="DT902" s="36"/>
      <c r="DU902" s="36"/>
      <c r="DV902" s="32"/>
      <c r="DW902" s="32"/>
      <c r="DX902" s="32"/>
      <c r="DY902" s="32"/>
      <c r="DZ902" s="32"/>
      <c r="EA902" s="32"/>
      <c r="EB902" s="43"/>
    </row>
    <row r="903" spans="29:132" ht="13.5" customHeight="1">
      <c r="AC903" s="16" t="str">
        <f t="shared" si="238"/>
        <v/>
      </c>
      <c r="AD903" s="16" t="str">
        <f t="shared" si="237"/>
        <v/>
      </c>
      <c r="AE903" s="16" t="str">
        <f t="shared" si="237"/>
        <v/>
      </c>
      <c r="AF903" s="16" t="str">
        <f t="shared" si="237"/>
        <v/>
      </c>
      <c r="AG903" s="16" t="str">
        <f t="shared" si="237"/>
        <v/>
      </c>
      <c r="AH903" s="16" t="str">
        <f t="shared" si="237"/>
        <v/>
      </c>
      <c r="BR903" s="7">
        <v>5101084</v>
      </c>
      <c r="BS903" s="9">
        <f>[1]monsters!$N903</f>
        <v>0</v>
      </c>
      <c r="BT903" s="9">
        <f>[1]monsters!$O903</f>
        <v>0</v>
      </c>
      <c r="BU903" s="9">
        <f>[1]monsters!$P903</f>
        <v>0</v>
      </c>
      <c r="BV903" s="9">
        <f>[1]monsters!$Q903</f>
        <v>0</v>
      </c>
      <c r="BW903" s="9">
        <f>[1]monsters!$R903</f>
        <v>0</v>
      </c>
      <c r="BX903" s="9">
        <f>[1]monsters!$S903</f>
        <v>0</v>
      </c>
      <c r="BY903" s="9">
        <f>[1]monsters!$K903</f>
        <v>0</v>
      </c>
      <c r="BZ903" s="7">
        <f>[1]monsters!$D903</f>
        <v>0</v>
      </c>
      <c r="CA903" s="7" t="e">
        <f t="shared" si="239"/>
        <v>#N/A</v>
      </c>
      <c r="CB903" s="7" t="e">
        <f t="shared" si="240"/>
        <v>#N/A</v>
      </c>
      <c r="CC903" s="7" t="e">
        <f t="shared" si="241"/>
        <v>#N/A</v>
      </c>
      <c r="CD903" s="7"/>
      <c r="CE903" s="7"/>
      <c r="CF903" s="7"/>
      <c r="CG903" s="7"/>
      <c r="CH903" s="7"/>
      <c r="CI903" s="7"/>
      <c r="CJ903" s="7"/>
      <c r="CK903" s="7"/>
      <c r="CL903" s="7"/>
      <c r="CM903" s="7"/>
      <c r="CN903" s="7"/>
      <c r="CO903" s="7"/>
      <c r="CP903" s="7"/>
      <c r="CR903" s="25"/>
      <c r="CS903" s="25"/>
      <c r="CT903" s="25"/>
      <c r="CU903" s="25"/>
      <c r="CV903" s="25"/>
      <c r="CW903" s="25"/>
      <c r="DP903" s="32"/>
      <c r="DQ903" s="32"/>
      <c r="DR903" s="36"/>
      <c r="DS903" s="14"/>
      <c r="DT903" s="36"/>
      <c r="DU903" s="36"/>
      <c r="DV903" s="32"/>
      <c r="DW903" s="32"/>
      <c r="DX903" s="32"/>
      <c r="DY903" s="32"/>
      <c r="DZ903" s="32"/>
      <c r="EA903" s="32"/>
      <c r="EB903" s="43"/>
    </row>
    <row r="904" spans="29:132" ht="13.5" customHeight="1">
      <c r="AC904" s="16" t="str">
        <f t="shared" si="238"/>
        <v/>
      </c>
      <c r="AD904" s="16" t="str">
        <f t="shared" si="237"/>
        <v/>
      </c>
      <c r="AE904" s="16" t="str">
        <f t="shared" si="237"/>
        <v/>
      </c>
      <c r="AF904" s="16" t="str">
        <f t="shared" si="237"/>
        <v/>
      </c>
      <c r="AG904" s="16" t="str">
        <f t="shared" si="237"/>
        <v/>
      </c>
      <c r="AH904" s="16" t="str">
        <f t="shared" si="237"/>
        <v/>
      </c>
      <c r="BR904" s="7">
        <v>5102084</v>
      </c>
      <c r="BS904" s="9">
        <f>[1]monsters!$N904</f>
        <v>0</v>
      </c>
      <c r="BT904" s="9">
        <f>[1]monsters!$O904</f>
        <v>0</v>
      </c>
      <c r="BU904" s="9">
        <f>[1]monsters!$P904</f>
        <v>0</v>
      </c>
      <c r="BV904" s="9">
        <f>[1]monsters!$Q904</f>
        <v>0</v>
      </c>
      <c r="BW904" s="9">
        <f>[1]monsters!$R904</f>
        <v>0</v>
      </c>
      <c r="BX904" s="9">
        <f>[1]monsters!$S904</f>
        <v>0</v>
      </c>
      <c r="BY904" s="9">
        <f>[1]monsters!$K904</f>
        <v>0</v>
      </c>
      <c r="BZ904" s="7">
        <f>[1]monsters!$D904</f>
        <v>0</v>
      </c>
      <c r="CA904" s="7" t="e">
        <f t="shared" si="239"/>
        <v>#N/A</v>
      </c>
      <c r="CB904" s="7" t="e">
        <f t="shared" si="240"/>
        <v>#N/A</v>
      </c>
      <c r="CC904" s="7" t="e">
        <f t="shared" si="241"/>
        <v>#N/A</v>
      </c>
      <c r="CD904" s="7"/>
      <c r="CE904" s="7"/>
      <c r="CF904" s="7"/>
      <c r="CG904" s="7"/>
      <c r="CH904" s="7"/>
      <c r="CI904" s="7"/>
      <c r="CJ904" s="7"/>
      <c r="CK904" s="7"/>
      <c r="CL904" s="7"/>
      <c r="CM904" s="7"/>
      <c r="CN904" s="7"/>
      <c r="CO904" s="7"/>
      <c r="CP904" s="7"/>
      <c r="CR904" s="25"/>
      <c r="CS904" s="25"/>
      <c r="CT904" s="25"/>
      <c r="CU904" s="25"/>
      <c r="CV904" s="25"/>
      <c r="CW904" s="25"/>
      <c r="DP904" s="32"/>
      <c r="DQ904" s="32"/>
      <c r="DR904" s="32"/>
      <c r="DS904" s="36"/>
      <c r="DT904" s="36"/>
      <c r="DU904" s="36"/>
      <c r="DV904" s="32"/>
      <c r="DW904" s="32"/>
      <c r="DX904" s="32"/>
      <c r="DY904" s="32"/>
      <c r="DZ904" s="32"/>
      <c r="EA904" s="32"/>
      <c r="EB904" s="43"/>
    </row>
    <row r="905" spans="29:132" ht="13.5" customHeight="1">
      <c r="AC905" s="16" t="str">
        <f t="shared" si="238"/>
        <v/>
      </c>
      <c r="AD905" s="16" t="str">
        <f t="shared" si="237"/>
        <v/>
      </c>
      <c r="AE905" s="16" t="str">
        <f t="shared" si="237"/>
        <v/>
      </c>
      <c r="AF905" s="16" t="str">
        <f t="shared" si="237"/>
        <v/>
      </c>
      <c r="AG905" s="16" t="str">
        <f t="shared" si="237"/>
        <v/>
      </c>
      <c r="AH905" s="16" t="str">
        <f t="shared" si="237"/>
        <v/>
      </c>
      <c r="BR905" s="7">
        <v>5206085</v>
      </c>
      <c r="BS905" s="9">
        <f>[1]monsters!$N905</f>
        <v>0</v>
      </c>
      <c r="BT905" s="9">
        <f>[1]monsters!$O905</f>
        <v>0</v>
      </c>
      <c r="BU905" s="9">
        <f>[1]monsters!$P905</f>
        <v>0</v>
      </c>
      <c r="BV905" s="9">
        <f>[1]monsters!$Q905</f>
        <v>0</v>
      </c>
      <c r="BW905" s="9">
        <f>[1]monsters!$R905</f>
        <v>0</v>
      </c>
      <c r="BX905" s="9">
        <f>[1]monsters!$S905</f>
        <v>0</v>
      </c>
      <c r="BY905" s="9">
        <f>[1]monsters!$K905</f>
        <v>0</v>
      </c>
      <c r="BZ905" s="7">
        <f>[1]monsters!$D905</f>
        <v>0</v>
      </c>
      <c r="CA905" s="7" t="e">
        <f t="shared" si="239"/>
        <v>#N/A</v>
      </c>
      <c r="CB905" s="7" t="e">
        <f t="shared" si="240"/>
        <v>#N/A</v>
      </c>
      <c r="CC905" s="7" t="e">
        <f t="shared" si="241"/>
        <v>#N/A</v>
      </c>
      <c r="CD905" s="7"/>
      <c r="CE905" s="7"/>
      <c r="CF905" s="7"/>
      <c r="CG905" s="7"/>
      <c r="CH905" s="7"/>
      <c r="CI905" s="7"/>
      <c r="CJ905" s="7"/>
      <c r="CK905" s="7"/>
      <c r="CL905" s="7"/>
      <c r="CM905" s="7"/>
      <c r="CN905" s="7"/>
      <c r="CO905" s="7"/>
      <c r="CP905" s="7"/>
      <c r="CR905" s="25"/>
      <c r="CS905" s="25"/>
      <c r="CT905" s="25"/>
      <c r="CU905" s="25"/>
      <c r="CV905" s="25"/>
      <c r="CW905" s="25"/>
      <c r="DP905" s="32"/>
      <c r="DQ905" s="32"/>
      <c r="DR905" s="32"/>
      <c r="DS905" s="32"/>
      <c r="DT905" s="32"/>
      <c r="DU905" s="32"/>
      <c r="DV905" s="32"/>
      <c r="DW905" s="32"/>
      <c r="DX905" s="32"/>
      <c r="DY905" s="32"/>
      <c r="DZ905" s="32"/>
      <c r="EA905" s="32"/>
      <c r="EB905" s="50"/>
    </row>
    <row r="906" spans="29:132" ht="13.5" customHeight="1">
      <c r="AC906" s="16" t="str">
        <f t="shared" si="238"/>
        <v/>
      </c>
      <c r="AD906" s="16" t="str">
        <f t="shared" si="237"/>
        <v/>
      </c>
      <c r="AE906" s="16" t="str">
        <f t="shared" si="237"/>
        <v/>
      </c>
      <c r="AF906" s="16" t="str">
        <f t="shared" si="237"/>
        <v/>
      </c>
      <c r="AG906" s="16" t="str">
        <f t="shared" si="237"/>
        <v/>
      </c>
      <c r="AH906" s="16" t="str">
        <f t="shared" si="237"/>
        <v/>
      </c>
      <c r="BR906" s="7">
        <v>5406085</v>
      </c>
      <c r="BS906" s="9">
        <f>[1]monsters!$N906</f>
        <v>0</v>
      </c>
      <c r="BT906" s="9">
        <f>[1]monsters!$O906</f>
        <v>0</v>
      </c>
      <c r="BU906" s="9">
        <f>[1]monsters!$P906</f>
        <v>0</v>
      </c>
      <c r="BV906" s="9">
        <f>[1]monsters!$Q906</f>
        <v>0</v>
      </c>
      <c r="BW906" s="9">
        <f>[1]monsters!$R906</f>
        <v>0</v>
      </c>
      <c r="BX906" s="9">
        <f>[1]monsters!$S906</f>
        <v>0</v>
      </c>
      <c r="BY906" s="9">
        <f>[1]monsters!$K906</f>
        <v>0</v>
      </c>
      <c r="BZ906" s="7">
        <f>[1]monsters!$D906</f>
        <v>0</v>
      </c>
      <c r="CA906" s="7" t="e">
        <f t="shared" si="239"/>
        <v>#N/A</v>
      </c>
      <c r="CB906" s="7" t="e">
        <f t="shared" si="240"/>
        <v>#N/A</v>
      </c>
      <c r="CC906" s="7" t="e">
        <f t="shared" si="241"/>
        <v>#N/A</v>
      </c>
      <c r="CD906" s="7"/>
      <c r="CE906" s="7"/>
      <c r="CF906" s="7"/>
      <c r="CG906" s="7"/>
      <c r="CH906" s="7"/>
      <c r="CI906" s="7"/>
      <c r="CJ906" s="7"/>
      <c r="CK906" s="7"/>
      <c r="CL906" s="7"/>
      <c r="CM906" s="7"/>
      <c r="CN906" s="7"/>
      <c r="CO906" s="7"/>
      <c r="CP906" s="7"/>
      <c r="CR906" s="25"/>
      <c r="CS906" s="25"/>
      <c r="CT906" s="25"/>
      <c r="CU906" s="25"/>
      <c r="CV906" s="25"/>
      <c r="CW906" s="25"/>
      <c r="DP906" s="36"/>
      <c r="DQ906" s="36"/>
      <c r="DR906" s="36"/>
      <c r="DS906" s="36"/>
      <c r="DT906" s="36"/>
      <c r="DU906" s="36"/>
      <c r="DV906" s="32"/>
      <c r="DW906" s="32"/>
      <c r="DX906" s="32"/>
      <c r="DY906" s="32"/>
      <c r="DZ906" s="32"/>
      <c r="EA906" s="32"/>
      <c r="EB906" s="50"/>
    </row>
    <row r="907" spans="29:132" ht="13.5" customHeight="1">
      <c r="AC907" s="16" t="str">
        <f t="shared" si="238"/>
        <v/>
      </c>
      <c r="AD907" s="16" t="str">
        <f t="shared" si="237"/>
        <v/>
      </c>
      <c r="AE907" s="16" t="str">
        <f t="shared" si="237"/>
        <v/>
      </c>
      <c r="AF907" s="16" t="str">
        <f t="shared" si="237"/>
        <v/>
      </c>
      <c r="AG907" s="16" t="str">
        <f t="shared" si="237"/>
        <v/>
      </c>
      <c r="AH907" s="16" t="str">
        <f t="shared" si="237"/>
        <v/>
      </c>
      <c r="BR907" s="7">
        <v>5205085</v>
      </c>
      <c r="BS907" s="9">
        <f>[1]monsters!$N907</f>
        <v>0</v>
      </c>
      <c r="BT907" s="9">
        <f>[1]monsters!$O907</f>
        <v>0</v>
      </c>
      <c r="BU907" s="9">
        <f>[1]monsters!$P907</f>
        <v>0</v>
      </c>
      <c r="BV907" s="9">
        <f>[1]monsters!$Q907</f>
        <v>0</v>
      </c>
      <c r="BW907" s="9">
        <f>[1]monsters!$R907</f>
        <v>0</v>
      </c>
      <c r="BX907" s="9">
        <f>[1]monsters!$S907</f>
        <v>0</v>
      </c>
      <c r="BY907" s="9">
        <f>[1]monsters!$K907</f>
        <v>0</v>
      </c>
      <c r="BZ907" s="7">
        <f>[1]monsters!$D907</f>
        <v>0</v>
      </c>
      <c r="CA907" s="7" t="e">
        <f t="shared" si="239"/>
        <v>#N/A</v>
      </c>
      <c r="CB907" s="7" t="e">
        <f t="shared" si="240"/>
        <v>#N/A</v>
      </c>
      <c r="CC907" s="7" t="e">
        <f t="shared" si="241"/>
        <v>#N/A</v>
      </c>
      <c r="CD907" s="7"/>
      <c r="CE907" s="7"/>
      <c r="CF907" s="7"/>
      <c r="CG907" s="7"/>
      <c r="CH907" s="7"/>
      <c r="CI907" s="7"/>
      <c r="CJ907" s="7"/>
      <c r="CK907" s="7"/>
      <c r="CL907" s="7"/>
      <c r="CM907" s="7"/>
      <c r="CN907" s="7"/>
      <c r="CO907" s="7"/>
      <c r="CP907" s="7"/>
      <c r="CR907" s="25"/>
      <c r="CS907" s="25"/>
      <c r="CT907" s="25"/>
      <c r="CU907" s="25"/>
      <c r="CV907" s="25"/>
      <c r="CW907" s="25"/>
      <c r="DP907" s="32"/>
      <c r="DQ907" s="32"/>
      <c r="DR907" s="32"/>
      <c r="DS907" s="32"/>
      <c r="DT907" s="32"/>
      <c r="DU907" s="32"/>
      <c r="DV907" s="32"/>
      <c r="DW907" s="32"/>
      <c r="DX907" s="32"/>
      <c r="DY907" s="32"/>
      <c r="DZ907" s="32"/>
      <c r="EA907" s="32"/>
      <c r="EB907" s="50"/>
    </row>
    <row r="908" spans="29:132" ht="13.5" customHeight="1">
      <c r="AC908" s="16" t="str">
        <f t="shared" si="238"/>
        <v/>
      </c>
      <c r="AD908" s="16" t="str">
        <f t="shared" si="237"/>
        <v/>
      </c>
      <c r="AE908" s="16" t="str">
        <f t="shared" si="237"/>
        <v/>
      </c>
      <c r="AF908" s="16" t="str">
        <f t="shared" si="237"/>
        <v/>
      </c>
      <c r="AG908" s="16" t="str">
        <f t="shared" si="237"/>
        <v/>
      </c>
      <c r="AH908" s="16" t="str">
        <f t="shared" si="237"/>
        <v/>
      </c>
      <c r="BR908" s="7">
        <v>5405085</v>
      </c>
      <c r="BS908" s="9">
        <f>[1]monsters!$N908</f>
        <v>0</v>
      </c>
      <c r="BT908" s="9">
        <f>[1]monsters!$O908</f>
        <v>0</v>
      </c>
      <c r="BU908" s="9">
        <f>[1]monsters!$P908</f>
        <v>0</v>
      </c>
      <c r="BV908" s="9">
        <f>[1]monsters!$Q908</f>
        <v>0</v>
      </c>
      <c r="BW908" s="9">
        <f>[1]monsters!$R908</f>
        <v>0</v>
      </c>
      <c r="BX908" s="9">
        <f>[1]monsters!$S908</f>
        <v>0</v>
      </c>
      <c r="BY908" s="9">
        <f>[1]monsters!$K908</f>
        <v>0</v>
      </c>
      <c r="BZ908" s="7">
        <f>[1]monsters!$D908</f>
        <v>0</v>
      </c>
      <c r="CA908" s="7" t="e">
        <f t="shared" si="239"/>
        <v>#N/A</v>
      </c>
      <c r="CB908" s="7" t="e">
        <f t="shared" si="240"/>
        <v>#N/A</v>
      </c>
      <c r="CC908" s="7" t="e">
        <f t="shared" si="241"/>
        <v>#N/A</v>
      </c>
      <c r="CD908" s="7"/>
      <c r="CE908" s="7"/>
      <c r="CF908" s="7"/>
      <c r="CG908" s="7"/>
      <c r="CH908" s="7"/>
      <c r="CI908" s="7"/>
      <c r="CJ908" s="7"/>
      <c r="CK908" s="7"/>
      <c r="CL908" s="7"/>
      <c r="CM908" s="7"/>
      <c r="CN908" s="7"/>
      <c r="CO908" s="7"/>
      <c r="CP908" s="7"/>
      <c r="CR908" s="25"/>
      <c r="CS908" s="25"/>
      <c r="CT908" s="25"/>
      <c r="CU908" s="25"/>
      <c r="CV908" s="25"/>
      <c r="CW908" s="25"/>
      <c r="DP908" s="13"/>
      <c r="DQ908" s="32"/>
      <c r="DR908" s="13"/>
      <c r="DS908" s="32"/>
      <c r="DT908" s="32"/>
      <c r="DU908" s="32"/>
      <c r="DV908" s="32"/>
      <c r="DW908" s="32"/>
      <c r="DX908" s="32"/>
      <c r="DY908" s="32"/>
      <c r="DZ908" s="32"/>
      <c r="EA908" s="32"/>
      <c r="EB908" s="22"/>
    </row>
    <row r="909" spans="29:132" ht="13.5" customHeight="1">
      <c r="AC909" s="16" t="str">
        <f t="shared" si="238"/>
        <v/>
      </c>
      <c r="AD909" s="16" t="str">
        <f t="shared" si="237"/>
        <v/>
      </c>
      <c r="AE909" s="16" t="str">
        <f t="shared" si="237"/>
        <v/>
      </c>
      <c r="AF909" s="16" t="str">
        <f t="shared" si="237"/>
        <v/>
      </c>
      <c r="AG909" s="16" t="str">
        <f t="shared" si="237"/>
        <v/>
      </c>
      <c r="AH909" s="16" t="str">
        <f t="shared" si="237"/>
        <v/>
      </c>
      <c r="BR909" s="7">
        <v>5203085</v>
      </c>
      <c r="BS909" s="9">
        <f>[1]monsters!$N909</f>
        <v>0</v>
      </c>
      <c r="BT909" s="9">
        <f>[1]monsters!$O909</f>
        <v>0</v>
      </c>
      <c r="BU909" s="9">
        <f>[1]monsters!$P909</f>
        <v>0</v>
      </c>
      <c r="BV909" s="9">
        <f>[1]monsters!$Q909</f>
        <v>0</v>
      </c>
      <c r="BW909" s="9">
        <f>[1]monsters!$R909</f>
        <v>0</v>
      </c>
      <c r="BX909" s="9">
        <f>[1]monsters!$S909</f>
        <v>0</v>
      </c>
      <c r="BY909" s="9">
        <f>[1]monsters!$K909</f>
        <v>0</v>
      </c>
      <c r="BZ909" s="7">
        <f>[1]monsters!$D909</f>
        <v>0</v>
      </c>
      <c r="CA909" s="7" t="e">
        <f t="shared" si="239"/>
        <v>#N/A</v>
      </c>
      <c r="CB909" s="7" t="e">
        <f t="shared" si="240"/>
        <v>#N/A</v>
      </c>
      <c r="CC909" s="7" t="e">
        <f t="shared" si="241"/>
        <v>#N/A</v>
      </c>
      <c r="CD909" s="7"/>
      <c r="CE909" s="7"/>
      <c r="CF909" s="7"/>
      <c r="CG909" s="7"/>
      <c r="CH909" s="7"/>
      <c r="CI909" s="7"/>
      <c r="CJ909" s="7"/>
      <c r="CK909" s="7"/>
      <c r="CL909" s="7"/>
      <c r="CM909" s="7"/>
      <c r="CN909" s="7"/>
      <c r="CO909" s="7"/>
      <c r="CP909" s="7"/>
      <c r="CR909" s="25"/>
      <c r="CS909" s="25"/>
      <c r="CT909" s="25"/>
      <c r="CU909" s="25"/>
      <c r="CV909" s="25"/>
      <c r="CW909" s="25"/>
      <c r="DP909" s="36"/>
      <c r="DQ909" s="36"/>
      <c r="DR909" s="36"/>
      <c r="DS909" s="36"/>
      <c r="DT909" s="36"/>
      <c r="DU909" s="36"/>
      <c r="DV909" s="32"/>
      <c r="DW909" s="32"/>
      <c r="DX909" s="32"/>
      <c r="DY909" s="32"/>
      <c r="DZ909" s="32"/>
      <c r="EA909" s="32"/>
      <c r="EB909" s="50"/>
    </row>
    <row r="910" spans="29:132" ht="13.5" customHeight="1">
      <c r="AC910" s="16" t="str">
        <f t="shared" si="238"/>
        <v/>
      </c>
      <c r="AD910" s="16" t="str">
        <f t="shared" ref="AD910:AH960" si="242">IF(AJ910&gt;0,FLOOR((POWER((AJ910/IF(AND(X910&gt;=2,X910&lt;4),1.1,IF(AND(X910&gt;=4,X910&lt;6),1.15,IF(X910&gt;=6,1.2,1)))/$Z$1),0.5)/INDEX($BD$4:$BQ$4,MATCH(X910,$BD$3:$BQ$3,0))-1)*10,1),"")</f>
        <v/>
      </c>
      <c r="AE910" s="16" t="str">
        <f t="shared" si="242"/>
        <v/>
      </c>
      <c r="AF910" s="16" t="str">
        <f t="shared" si="242"/>
        <v/>
      </c>
      <c r="AG910" s="16" t="str">
        <f t="shared" si="242"/>
        <v/>
      </c>
      <c r="AH910" s="16" t="str">
        <f t="shared" si="242"/>
        <v/>
      </c>
      <c r="BR910" s="7">
        <v>5403085</v>
      </c>
      <c r="BS910" s="9">
        <f>[1]monsters!$N910</f>
        <v>0</v>
      </c>
      <c r="BT910" s="9">
        <f>[1]monsters!$O910</f>
        <v>0</v>
      </c>
      <c r="BU910" s="9">
        <f>[1]monsters!$P910</f>
        <v>0</v>
      </c>
      <c r="BV910" s="9">
        <f>[1]monsters!$Q910</f>
        <v>0</v>
      </c>
      <c r="BW910" s="9">
        <f>[1]monsters!$R910</f>
        <v>0</v>
      </c>
      <c r="BX910" s="9">
        <f>[1]monsters!$S910</f>
        <v>0</v>
      </c>
      <c r="BY910" s="9">
        <f>[1]monsters!$K910</f>
        <v>0</v>
      </c>
      <c r="BZ910" s="7">
        <f>[1]monsters!$D910</f>
        <v>0</v>
      </c>
      <c r="CA910" s="7" t="e">
        <f t="shared" si="239"/>
        <v>#N/A</v>
      </c>
      <c r="CB910" s="7" t="e">
        <f t="shared" si="240"/>
        <v>#N/A</v>
      </c>
      <c r="CC910" s="7" t="e">
        <f t="shared" si="241"/>
        <v>#N/A</v>
      </c>
      <c r="CD910" s="7"/>
      <c r="CE910" s="7"/>
      <c r="CF910" s="7"/>
      <c r="CG910" s="7"/>
      <c r="CH910" s="7"/>
      <c r="CI910" s="7"/>
      <c r="CJ910" s="7"/>
      <c r="CK910" s="7"/>
      <c r="CL910" s="7"/>
      <c r="CM910" s="7"/>
      <c r="CN910" s="7"/>
      <c r="CO910" s="7"/>
      <c r="CP910" s="7"/>
      <c r="CR910" s="25"/>
      <c r="CS910" s="25"/>
      <c r="CT910" s="25"/>
      <c r="CU910" s="25"/>
      <c r="CV910" s="25"/>
      <c r="CW910" s="25"/>
      <c r="DP910" s="32"/>
      <c r="DQ910" s="32"/>
      <c r="DR910" s="36"/>
      <c r="DS910" s="36"/>
      <c r="DT910" s="32"/>
      <c r="DU910" s="32"/>
      <c r="DV910" s="32"/>
      <c r="DW910" s="32"/>
      <c r="DX910" s="32"/>
      <c r="DY910" s="32"/>
      <c r="DZ910" s="32"/>
      <c r="EA910" s="32"/>
      <c r="EB910" s="50"/>
    </row>
    <row r="911" spans="29:132" ht="13.5" customHeight="1">
      <c r="AC911" s="16" t="str">
        <f t="shared" si="238"/>
        <v/>
      </c>
      <c r="AD911" s="16" t="str">
        <f t="shared" si="242"/>
        <v/>
      </c>
      <c r="AE911" s="16" t="str">
        <f t="shared" si="242"/>
        <v/>
      </c>
      <c r="AF911" s="16" t="str">
        <f t="shared" si="242"/>
        <v/>
      </c>
      <c r="AG911" s="16" t="str">
        <f t="shared" si="242"/>
        <v/>
      </c>
      <c r="AH911" s="16" t="str">
        <f t="shared" si="242"/>
        <v/>
      </c>
      <c r="BR911" s="7">
        <v>5204085</v>
      </c>
      <c r="BS911" s="9">
        <f>[1]monsters!$N911</f>
        <v>0</v>
      </c>
      <c r="BT911" s="9">
        <f>[1]monsters!$O911</f>
        <v>0</v>
      </c>
      <c r="BU911" s="9">
        <f>[1]monsters!$P911</f>
        <v>0</v>
      </c>
      <c r="BV911" s="9">
        <f>[1]monsters!$Q911</f>
        <v>0</v>
      </c>
      <c r="BW911" s="9">
        <f>[1]monsters!$R911</f>
        <v>0</v>
      </c>
      <c r="BX911" s="9">
        <f>[1]monsters!$S911</f>
        <v>0</v>
      </c>
      <c r="BY911" s="9">
        <f>[1]monsters!$K911</f>
        <v>0</v>
      </c>
      <c r="BZ911" s="7">
        <f>[1]monsters!$D911</f>
        <v>0</v>
      </c>
      <c r="CA911" s="7" t="e">
        <f t="shared" si="239"/>
        <v>#N/A</v>
      </c>
      <c r="CB911" s="7" t="e">
        <f t="shared" si="240"/>
        <v>#N/A</v>
      </c>
      <c r="CC911" s="7" t="e">
        <f t="shared" si="241"/>
        <v>#N/A</v>
      </c>
      <c r="CD911" s="7"/>
      <c r="CE911" s="7"/>
      <c r="CF911" s="7"/>
      <c r="CG911" s="7"/>
      <c r="CH911" s="7"/>
      <c r="CI911" s="7"/>
      <c r="CJ911" s="7"/>
      <c r="CK911" s="7"/>
      <c r="CL911" s="7"/>
      <c r="CM911" s="7"/>
      <c r="CN911" s="7"/>
      <c r="CO911" s="7"/>
      <c r="CP911" s="7"/>
      <c r="CR911" s="25"/>
      <c r="CS911" s="25"/>
      <c r="CT911" s="25"/>
      <c r="CU911" s="25"/>
      <c r="CV911" s="25"/>
      <c r="CW911" s="25"/>
      <c r="DP911" s="32"/>
      <c r="DQ911" s="32"/>
      <c r="DR911" s="36"/>
      <c r="DS911" s="36"/>
      <c r="DT911" s="36"/>
      <c r="DU911" s="36"/>
      <c r="DV911" s="32"/>
      <c r="DW911" s="32"/>
      <c r="DX911" s="32"/>
      <c r="DY911" s="32"/>
      <c r="DZ911" s="32"/>
      <c r="EA911" s="32"/>
      <c r="EB911" s="50"/>
    </row>
    <row r="912" spans="29:132" ht="13.5" customHeight="1">
      <c r="AC912" s="16" t="str">
        <f t="shared" si="238"/>
        <v/>
      </c>
      <c r="AD912" s="16" t="str">
        <f t="shared" si="242"/>
        <v/>
      </c>
      <c r="AE912" s="16" t="str">
        <f t="shared" si="242"/>
        <v/>
      </c>
      <c r="AF912" s="16" t="str">
        <f t="shared" si="242"/>
        <v/>
      </c>
      <c r="AG912" s="16" t="str">
        <f t="shared" si="242"/>
        <v/>
      </c>
      <c r="AH912" s="16" t="str">
        <f t="shared" si="242"/>
        <v/>
      </c>
      <c r="BR912" s="7">
        <v>5404085</v>
      </c>
      <c r="BS912" s="9">
        <f>[1]monsters!$N912</f>
        <v>0</v>
      </c>
      <c r="BT912" s="9">
        <f>[1]monsters!$O912</f>
        <v>0</v>
      </c>
      <c r="BU912" s="9">
        <f>[1]monsters!$P912</f>
        <v>0</v>
      </c>
      <c r="BV912" s="9">
        <f>[1]monsters!$Q912</f>
        <v>0</v>
      </c>
      <c r="BW912" s="9">
        <f>[1]monsters!$R912</f>
        <v>0</v>
      </c>
      <c r="BX912" s="9">
        <f>[1]monsters!$S912</f>
        <v>0</v>
      </c>
      <c r="BY912" s="9">
        <f>[1]monsters!$K912</f>
        <v>0</v>
      </c>
      <c r="BZ912" s="7">
        <f>[1]monsters!$D912</f>
        <v>0</v>
      </c>
      <c r="CA912" s="7" t="e">
        <f t="shared" si="239"/>
        <v>#N/A</v>
      </c>
      <c r="CB912" s="7" t="e">
        <f t="shared" si="240"/>
        <v>#N/A</v>
      </c>
      <c r="CC912" s="7" t="e">
        <f t="shared" si="241"/>
        <v>#N/A</v>
      </c>
      <c r="CD912" s="7"/>
      <c r="CE912" s="7"/>
      <c r="CF912" s="7"/>
      <c r="CG912" s="7"/>
      <c r="CH912" s="7"/>
      <c r="CI912" s="7"/>
      <c r="CJ912" s="7"/>
      <c r="CK912" s="7"/>
      <c r="CL912" s="7"/>
      <c r="CM912" s="7"/>
      <c r="CN912" s="7"/>
      <c r="CO912" s="7"/>
      <c r="CP912" s="7"/>
      <c r="CR912" s="25"/>
      <c r="CS912" s="25"/>
      <c r="CT912" s="25"/>
      <c r="CU912" s="25"/>
      <c r="CV912" s="25"/>
      <c r="CW912" s="25"/>
      <c r="DP912" s="32"/>
      <c r="DQ912" s="32"/>
      <c r="DR912" s="32"/>
      <c r="DS912" s="32"/>
      <c r="DT912" s="36"/>
      <c r="DU912" s="36"/>
      <c r="DV912" s="32"/>
      <c r="DW912" s="32"/>
      <c r="DX912" s="32"/>
      <c r="DY912" s="32"/>
      <c r="DZ912" s="32"/>
      <c r="EA912" s="32"/>
      <c r="EB912" s="22"/>
    </row>
    <row r="913" spans="29:132" ht="13.5" customHeight="1">
      <c r="AC913" s="16" t="str">
        <f t="shared" si="238"/>
        <v/>
      </c>
      <c r="AD913" s="16" t="str">
        <f t="shared" si="242"/>
        <v/>
      </c>
      <c r="AE913" s="16" t="str">
        <f t="shared" si="242"/>
        <v/>
      </c>
      <c r="AF913" s="16" t="str">
        <f t="shared" si="242"/>
        <v/>
      </c>
      <c r="AG913" s="16" t="str">
        <f t="shared" si="242"/>
        <v/>
      </c>
      <c r="AH913" s="16" t="str">
        <f t="shared" si="242"/>
        <v/>
      </c>
      <c r="BR913" s="7">
        <v>5303085</v>
      </c>
      <c r="BS913" s="9">
        <f>[1]monsters!$N913</f>
        <v>0</v>
      </c>
      <c r="BT913" s="9">
        <f>[1]monsters!$O913</f>
        <v>0</v>
      </c>
      <c r="BU913" s="9">
        <f>[1]monsters!$P913</f>
        <v>0</v>
      </c>
      <c r="BV913" s="9">
        <f>[1]monsters!$Q913</f>
        <v>0</v>
      </c>
      <c r="BW913" s="9">
        <f>[1]monsters!$R913</f>
        <v>0</v>
      </c>
      <c r="BX913" s="9">
        <f>[1]monsters!$S913</f>
        <v>0</v>
      </c>
      <c r="BY913" s="9">
        <f>[1]monsters!$K913</f>
        <v>0</v>
      </c>
      <c r="BZ913" s="7">
        <f>[1]monsters!$D913</f>
        <v>0</v>
      </c>
      <c r="CA913" s="7" t="e">
        <f t="shared" si="239"/>
        <v>#N/A</v>
      </c>
      <c r="CB913" s="7" t="e">
        <f t="shared" si="240"/>
        <v>#N/A</v>
      </c>
      <c r="CC913" s="7" t="e">
        <f t="shared" si="241"/>
        <v>#N/A</v>
      </c>
      <c r="CD913" s="7"/>
      <c r="CE913" s="7"/>
      <c r="CF913" s="7"/>
      <c r="CG913" s="7"/>
      <c r="CH913" s="7"/>
      <c r="CI913" s="7"/>
      <c r="CJ913" s="7"/>
      <c r="CK913" s="7"/>
      <c r="CL913" s="7"/>
      <c r="CM913" s="7"/>
      <c r="CN913" s="7"/>
      <c r="CO913" s="7"/>
      <c r="CP913" s="7"/>
      <c r="CR913" s="25"/>
      <c r="CS913" s="25"/>
      <c r="CT913" s="25"/>
      <c r="CU913" s="25"/>
      <c r="CV913" s="25"/>
      <c r="CW913" s="25"/>
      <c r="DP913" s="32"/>
      <c r="DQ913" s="32"/>
      <c r="DR913" s="32"/>
      <c r="DS913" s="36"/>
      <c r="DT913" s="36"/>
      <c r="DU913" s="36"/>
      <c r="DV913" s="32"/>
      <c r="DW913" s="32"/>
      <c r="DX913" s="32"/>
      <c r="DY913" s="32"/>
      <c r="DZ913" s="32"/>
      <c r="EA913" s="32"/>
      <c r="EB913" s="50"/>
    </row>
    <row r="914" spans="29:132" ht="13.5" customHeight="1">
      <c r="AC914" s="16" t="str">
        <f t="shared" si="238"/>
        <v/>
      </c>
      <c r="AD914" s="16" t="str">
        <f t="shared" si="242"/>
        <v/>
      </c>
      <c r="AE914" s="16" t="str">
        <f t="shared" si="242"/>
        <v/>
      </c>
      <c r="AF914" s="16" t="str">
        <f t="shared" si="242"/>
        <v/>
      </c>
      <c r="AG914" s="16" t="str">
        <f t="shared" si="242"/>
        <v/>
      </c>
      <c r="AH914" s="16" t="str">
        <f t="shared" si="242"/>
        <v/>
      </c>
      <c r="BR914" s="7">
        <v>5304085</v>
      </c>
      <c r="BS914" s="9">
        <f>[1]monsters!$N914</f>
        <v>0</v>
      </c>
      <c r="BT914" s="9">
        <f>[1]monsters!$O914</f>
        <v>0</v>
      </c>
      <c r="BU914" s="9">
        <f>[1]monsters!$P914</f>
        <v>0</v>
      </c>
      <c r="BV914" s="9">
        <f>[1]monsters!$Q914</f>
        <v>0</v>
      </c>
      <c r="BW914" s="9">
        <f>[1]monsters!$R914</f>
        <v>0</v>
      </c>
      <c r="BX914" s="9">
        <f>[1]monsters!$S914</f>
        <v>0</v>
      </c>
      <c r="BY914" s="9">
        <f>[1]monsters!$K914</f>
        <v>0</v>
      </c>
      <c r="BZ914" s="7">
        <f>[1]monsters!$D914</f>
        <v>0</v>
      </c>
      <c r="CA914" s="7" t="e">
        <f t="shared" si="239"/>
        <v>#N/A</v>
      </c>
      <c r="CB914" s="7" t="e">
        <f t="shared" si="240"/>
        <v>#N/A</v>
      </c>
      <c r="CC914" s="7" t="e">
        <f t="shared" si="241"/>
        <v>#N/A</v>
      </c>
      <c r="CD914" s="7"/>
      <c r="CE914" s="7"/>
      <c r="CF914" s="7"/>
      <c r="CG914" s="7"/>
      <c r="CH914" s="7"/>
      <c r="CI914" s="7"/>
      <c r="CJ914" s="7"/>
      <c r="CK914" s="7"/>
      <c r="CL914" s="7"/>
      <c r="CM914" s="7"/>
      <c r="CN914" s="7"/>
      <c r="CO914" s="7"/>
      <c r="CP914" s="7"/>
      <c r="CR914" s="25"/>
      <c r="CS914" s="25"/>
      <c r="CT914" s="25"/>
      <c r="CU914" s="25"/>
      <c r="CV914" s="25"/>
      <c r="CW914" s="25"/>
      <c r="DP914" s="32"/>
      <c r="DQ914" s="32"/>
      <c r="DR914" s="32"/>
      <c r="DS914" s="36"/>
      <c r="DT914" s="36"/>
      <c r="DU914" s="36"/>
      <c r="DV914" s="32"/>
      <c r="DW914" s="32"/>
      <c r="DX914" s="32"/>
      <c r="DY914" s="32"/>
      <c r="DZ914" s="32"/>
      <c r="EA914" s="32"/>
      <c r="EB914" s="50"/>
    </row>
    <row r="915" spans="29:132" ht="13.5" customHeight="1">
      <c r="AC915" s="16" t="str">
        <f t="shared" si="238"/>
        <v/>
      </c>
      <c r="AD915" s="16" t="str">
        <f t="shared" si="242"/>
        <v/>
      </c>
      <c r="AE915" s="16" t="str">
        <f t="shared" si="242"/>
        <v/>
      </c>
      <c r="AF915" s="16" t="str">
        <f t="shared" si="242"/>
        <v/>
      </c>
      <c r="AG915" s="16" t="str">
        <f t="shared" si="242"/>
        <v/>
      </c>
      <c r="AH915" s="16" t="str">
        <f t="shared" si="242"/>
        <v/>
      </c>
      <c r="BR915" s="7">
        <v>5503085</v>
      </c>
      <c r="BS915" s="9">
        <f>[1]monsters!$N915</f>
        <v>0</v>
      </c>
      <c r="BT915" s="9">
        <f>[1]monsters!$O915</f>
        <v>0</v>
      </c>
      <c r="BU915" s="9">
        <f>[1]monsters!$P915</f>
        <v>0</v>
      </c>
      <c r="BV915" s="9">
        <f>[1]monsters!$Q915</f>
        <v>0</v>
      </c>
      <c r="BW915" s="9">
        <f>[1]monsters!$R915</f>
        <v>0</v>
      </c>
      <c r="BX915" s="9">
        <f>[1]monsters!$S915</f>
        <v>0</v>
      </c>
      <c r="BY915" s="9">
        <f>[1]monsters!$K915</f>
        <v>0</v>
      </c>
      <c r="BZ915" s="7">
        <f>[1]monsters!$D915</f>
        <v>0</v>
      </c>
      <c r="CA915" s="7" t="e">
        <f t="shared" si="239"/>
        <v>#N/A</v>
      </c>
      <c r="CB915" s="7" t="e">
        <f t="shared" si="240"/>
        <v>#N/A</v>
      </c>
      <c r="CC915" s="7" t="e">
        <f t="shared" si="241"/>
        <v>#N/A</v>
      </c>
      <c r="CD915" s="7"/>
      <c r="CE915" s="7"/>
      <c r="CF915" s="7"/>
      <c r="CG915" s="7"/>
      <c r="CH915" s="7"/>
      <c r="CI915" s="7"/>
      <c r="CJ915" s="7"/>
      <c r="CK915" s="7"/>
      <c r="CL915" s="7"/>
      <c r="CM915" s="7"/>
      <c r="CN915" s="7"/>
      <c r="CO915" s="7"/>
      <c r="CP915" s="7"/>
      <c r="CR915" s="25"/>
      <c r="CS915" s="25"/>
      <c r="CT915" s="25"/>
      <c r="CU915" s="25"/>
      <c r="CV915" s="25"/>
      <c r="CW915" s="25"/>
      <c r="DP915" s="32"/>
      <c r="DQ915" s="32"/>
      <c r="DR915" s="32"/>
      <c r="DS915" s="36"/>
      <c r="DT915" s="36"/>
      <c r="DU915" s="36"/>
      <c r="DV915" s="32"/>
      <c r="DW915" s="32"/>
      <c r="DX915" s="32"/>
      <c r="DY915" s="32"/>
      <c r="DZ915" s="32"/>
      <c r="EA915" s="32"/>
      <c r="EB915" s="22"/>
    </row>
    <row r="916" spans="29:132" ht="13.5" customHeight="1">
      <c r="AC916" s="16" t="str">
        <f t="shared" si="238"/>
        <v/>
      </c>
      <c r="AD916" s="16" t="str">
        <f t="shared" si="242"/>
        <v/>
      </c>
      <c r="AE916" s="16" t="str">
        <f t="shared" si="242"/>
        <v/>
      </c>
      <c r="AF916" s="16" t="str">
        <f t="shared" si="242"/>
        <v/>
      </c>
      <c r="AG916" s="16" t="str">
        <f t="shared" si="242"/>
        <v/>
      </c>
      <c r="AH916" s="16" t="str">
        <f t="shared" si="242"/>
        <v/>
      </c>
      <c r="BR916" s="7">
        <v>5504085</v>
      </c>
      <c r="BS916" s="9">
        <f>[1]monsters!$N916</f>
        <v>0</v>
      </c>
      <c r="BT916" s="9">
        <f>[1]monsters!$O916</f>
        <v>0</v>
      </c>
      <c r="BU916" s="9">
        <f>[1]monsters!$P916</f>
        <v>0</v>
      </c>
      <c r="BV916" s="9">
        <f>[1]monsters!$Q916</f>
        <v>0</v>
      </c>
      <c r="BW916" s="9">
        <f>[1]monsters!$R916</f>
        <v>0</v>
      </c>
      <c r="BX916" s="9">
        <f>[1]monsters!$S916</f>
        <v>0</v>
      </c>
      <c r="BY916" s="9">
        <f>[1]monsters!$K916</f>
        <v>0</v>
      </c>
      <c r="BZ916" s="7">
        <f>[1]monsters!$D916</f>
        <v>0</v>
      </c>
      <c r="CA916" s="7" t="e">
        <f t="shared" si="239"/>
        <v>#N/A</v>
      </c>
      <c r="CB916" s="7" t="e">
        <f t="shared" si="240"/>
        <v>#N/A</v>
      </c>
      <c r="CC916" s="7" t="e">
        <f t="shared" si="241"/>
        <v>#N/A</v>
      </c>
      <c r="CD916" s="7"/>
      <c r="CE916" s="7"/>
      <c r="CF916" s="7"/>
      <c r="CG916" s="7"/>
      <c r="CH916" s="7"/>
      <c r="CI916" s="7"/>
      <c r="CJ916" s="7"/>
      <c r="CK916" s="7"/>
      <c r="CL916" s="7"/>
      <c r="CM916" s="7"/>
      <c r="CN916" s="7"/>
      <c r="CO916" s="7"/>
      <c r="CP916" s="7"/>
      <c r="CR916" s="25"/>
      <c r="CS916" s="25"/>
      <c r="CT916" s="25"/>
      <c r="CU916" s="25"/>
      <c r="CV916" s="25"/>
      <c r="CW916" s="25"/>
      <c r="DP916" s="32"/>
      <c r="DQ916" s="32"/>
      <c r="DR916" s="32"/>
      <c r="DS916" s="36"/>
      <c r="DT916" s="36"/>
      <c r="DU916" s="36"/>
      <c r="DV916" s="32"/>
      <c r="DW916" s="32"/>
      <c r="DX916" s="32"/>
      <c r="DY916" s="32"/>
      <c r="DZ916" s="32"/>
      <c r="EA916" s="32"/>
      <c r="EB916" s="50"/>
    </row>
    <row r="917" spans="29:132" ht="13.5" customHeight="1">
      <c r="AC917" s="16" t="str">
        <f t="shared" si="238"/>
        <v/>
      </c>
      <c r="AD917" s="16" t="str">
        <f t="shared" si="242"/>
        <v/>
      </c>
      <c r="AE917" s="16" t="str">
        <f t="shared" si="242"/>
        <v/>
      </c>
      <c r="AF917" s="16" t="str">
        <f t="shared" si="242"/>
        <v/>
      </c>
      <c r="AG917" s="16" t="str">
        <f t="shared" si="242"/>
        <v/>
      </c>
      <c r="AH917" s="16" t="str">
        <f t="shared" si="242"/>
        <v/>
      </c>
      <c r="BR917" s="7">
        <v>5101085</v>
      </c>
      <c r="BS917" s="9">
        <f>[1]monsters!$N917</f>
        <v>0</v>
      </c>
      <c r="BT917" s="9">
        <f>[1]monsters!$O917</f>
        <v>0</v>
      </c>
      <c r="BU917" s="9">
        <f>[1]monsters!$P917</f>
        <v>0</v>
      </c>
      <c r="BV917" s="9">
        <f>[1]monsters!$Q917</f>
        <v>0</v>
      </c>
      <c r="BW917" s="9">
        <f>[1]monsters!$R917</f>
        <v>0</v>
      </c>
      <c r="BX917" s="9">
        <f>[1]monsters!$S917</f>
        <v>0</v>
      </c>
      <c r="BY917" s="9">
        <f>[1]monsters!$K917</f>
        <v>0</v>
      </c>
      <c r="BZ917" s="7">
        <f>[1]monsters!$D917</f>
        <v>0</v>
      </c>
      <c r="CA917" s="7" t="e">
        <f t="shared" si="239"/>
        <v>#N/A</v>
      </c>
      <c r="CB917" s="7" t="e">
        <f t="shared" si="240"/>
        <v>#N/A</v>
      </c>
      <c r="CC917" s="7" t="e">
        <f t="shared" si="241"/>
        <v>#N/A</v>
      </c>
      <c r="CD917" s="7"/>
      <c r="CE917" s="7"/>
      <c r="CF917" s="7"/>
      <c r="CG917" s="7"/>
      <c r="CH917" s="7"/>
      <c r="CI917" s="7"/>
      <c r="CJ917" s="7"/>
      <c r="CK917" s="7"/>
      <c r="CL917" s="7"/>
      <c r="CM917" s="7"/>
      <c r="CN917" s="7"/>
      <c r="CO917" s="7"/>
      <c r="CP917" s="7"/>
      <c r="CR917" s="25"/>
      <c r="CS917" s="25"/>
      <c r="CT917" s="25"/>
      <c r="CU917" s="25"/>
      <c r="CV917" s="25"/>
      <c r="CW917" s="25"/>
      <c r="DP917" s="32"/>
      <c r="DQ917" s="32"/>
      <c r="DR917" s="32"/>
      <c r="DS917" s="13"/>
      <c r="DT917" s="13"/>
      <c r="DU917" s="13"/>
      <c r="DV917" s="32"/>
      <c r="DW917" s="32"/>
      <c r="DX917" s="32"/>
      <c r="DY917" s="32"/>
      <c r="DZ917" s="32"/>
      <c r="EA917" s="32"/>
      <c r="EB917" s="50"/>
    </row>
    <row r="918" spans="29:132" ht="13.5" customHeight="1">
      <c r="AC918" s="16" t="str">
        <f t="shared" si="238"/>
        <v/>
      </c>
      <c r="AD918" s="16" t="str">
        <f t="shared" si="242"/>
        <v/>
      </c>
      <c r="AE918" s="16" t="str">
        <f t="shared" si="242"/>
        <v/>
      </c>
      <c r="AF918" s="16" t="str">
        <f t="shared" si="242"/>
        <v/>
      </c>
      <c r="AG918" s="16" t="str">
        <f t="shared" si="242"/>
        <v/>
      </c>
      <c r="AH918" s="16" t="str">
        <f t="shared" si="242"/>
        <v/>
      </c>
      <c r="BR918" s="7">
        <v>5102085</v>
      </c>
      <c r="BS918" s="9">
        <f>[1]monsters!$N918</f>
        <v>0</v>
      </c>
      <c r="BT918" s="9">
        <f>[1]monsters!$O918</f>
        <v>0</v>
      </c>
      <c r="BU918" s="9">
        <f>[1]monsters!$P918</f>
        <v>0</v>
      </c>
      <c r="BV918" s="9">
        <f>[1]monsters!$Q918</f>
        <v>0</v>
      </c>
      <c r="BW918" s="9">
        <f>[1]monsters!$R918</f>
        <v>0</v>
      </c>
      <c r="BX918" s="9">
        <f>[1]monsters!$S918</f>
        <v>0</v>
      </c>
      <c r="BY918" s="9">
        <f>[1]monsters!$K918</f>
        <v>0</v>
      </c>
      <c r="BZ918" s="7">
        <f>[1]monsters!$D918</f>
        <v>0</v>
      </c>
      <c r="CA918" s="7" t="e">
        <f t="shared" si="239"/>
        <v>#N/A</v>
      </c>
      <c r="CB918" s="7" t="e">
        <f t="shared" si="240"/>
        <v>#N/A</v>
      </c>
      <c r="CC918" s="7" t="e">
        <f t="shared" si="241"/>
        <v>#N/A</v>
      </c>
      <c r="CD918" s="7"/>
      <c r="CE918" s="7"/>
      <c r="CF918" s="7"/>
      <c r="CG918" s="7"/>
      <c r="CH918" s="7"/>
      <c r="CI918" s="7"/>
      <c r="CJ918" s="7"/>
      <c r="CK918" s="7"/>
      <c r="CL918" s="7"/>
      <c r="CM918" s="7"/>
      <c r="CN918" s="7"/>
      <c r="CO918" s="7"/>
      <c r="CP918" s="7"/>
      <c r="CR918" s="25"/>
      <c r="CS918" s="25"/>
      <c r="CT918" s="25"/>
      <c r="CU918" s="25"/>
      <c r="CV918" s="25"/>
      <c r="CW918" s="25"/>
      <c r="DP918" s="32"/>
      <c r="DQ918" s="32"/>
      <c r="DR918" s="36"/>
      <c r="DS918" s="36"/>
      <c r="DT918" s="32"/>
      <c r="DU918" s="32"/>
      <c r="DV918" s="32"/>
      <c r="DW918" s="32"/>
      <c r="DX918" s="32"/>
      <c r="DY918" s="32"/>
      <c r="DZ918" s="32"/>
      <c r="EA918" s="32"/>
      <c r="EB918" s="50"/>
    </row>
    <row r="919" spans="29:132" ht="13.5" customHeight="1">
      <c r="AC919" s="16" t="str">
        <f t="shared" si="238"/>
        <v/>
      </c>
      <c r="AD919" s="16" t="str">
        <f t="shared" si="242"/>
        <v/>
      </c>
      <c r="AE919" s="16" t="str">
        <f t="shared" si="242"/>
        <v/>
      </c>
      <c r="AF919" s="16" t="str">
        <f t="shared" si="242"/>
        <v/>
      </c>
      <c r="AG919" s="16" t="str">
        <f t="shared" si="242"/>
        <v/>
      </c>
      <c r="AH919" s="16" t="str">
        <f t="shared" si="242"/>
        <v/>
      </c>
      <c r="BR919" s="7">
        <v>5206091</v>
      </c>
      <c r="BS919" s="9">
        <f>[1]monsters!$N919</f>
        <v>0</v>
      </c>
      <c r="BT919" s="9">
        <f>[1]monsters!$O919</f>
        <v>0</v>
      </c>
      <c r="BU919" s="9">
        <f>[1]monsters!$P919</f>
        <v>0</v>
      </c>
      <c r="BV919" s="9">
        <f>[1]monsters!$Q919</f>
        <v>0</v>
      </c>
      <c r="BW919" s="9">
        <f>[1]monsters!$R919</f>
        <v>0</v>
      </c>
      <c r="BX919" s="9">
        <f>[1]monsters!$S919</f>
        <v>0</v>
      </c>
      <c r="BY919" s="9">
        <f>[1]monsters!$K919</f>
        <v>0</v>
      </c>
      <c r="BZ919" s="7">
        <f>[1]monsters!$D919</f>
        <v>0</v>
      </c>
      <c r="CA919" s="7" t="e">
        <f t="shared" si="239"/>
        <v>#N/A</v>
      </c>
      <c r="CB919" s="7" t="e">
        <f t="shared" si="240"/>
        <v>#N/A</v>
      </c>
      <c r="CC919" s="7" t="e">
        <f t="shared" si="241"/>
        <v>#N/A</v>
      </c>
      <c r="CD919" s="7"/>
      <c r="CE919" s="7"/>
      <c r="CF919" s="7"/>
      <c r="CG919" s="7"/>
      <c r="CH919" s="7"/>
      <c r="CI919" s="7"/>
      <c r="CJ919" s="7"/>
      <c r="CK919" s="7"/>
      <c r="CL919" s="7"/>
      <c r="CM919" s="7"/>
      <c r="CN919" s="7"/>
      <c r="CO919" s="7"/>
      <c r="CP919" s="7"/>
      <c r="CR919" s="25"/>
      <c r="CS919" s="25"/>
      <c r="CT919" s="25"/>
      <c r="CU919" s="25"/>
      <c r="CV919" s="25"/>
      <c r="CW919" s="25"/>
      <c r="DP919" s="32"/>
      <c r="DQ919" s="32"/>
      <c r="DR919" s="32"/>
      <c r="DS919" s="14"/>
      <c r="DT919" s="14"/>
      <c r="DU919" s="14"/>
      <c r="DV919" s="32"/>
      <c r="DW919" s="32"/>
      <c r="DX919" s="32"/>
      <c r="DY919" s="32"/>
      <c r="DZ919" s="32"/>
      <c r="EA919" s="32"/>
    </row>
    <row r="920" spans="29:132" ht="13.5" customHeight="1">
      <c r="AC920" s="16" t="str">
        <f t="shared" si="238"/>
        <v/>
      </c>
      <c r="AD920" s="16" t="str">
        <f t="shared" si="242"/>
        <v/>
      </c>
      <c r="AE920" s="16" t="str">
        <f t="shared" si="242"/>
        <v/>
      </c>
      <c r="AF920" s="16" t="str">
        <f t="shared" si="242"/>
        <v/>
      </c>
      <c r="AG920" s="16" t="str">
        <f t="shared" si="242"/>
        <v/>
      </c>
      <c r="AH920" s="16" t="str">
        <f t="shared" si="242"/>
        <v/>
      </c>
      <c r="BR920" s="7">
        <v>5406091</v>
      </c>
      <c r="BS920" s="9">
        <f>[1]monsters!$N920</f>
        <v>0</v>
      </c>
      <c r="BT920" s="9">
        <f>[1]monsters!$O920</f>
        <v>0</v>
      </c>
      <c r="BU920" s="9">
        <f>[1]monsters!$P920</f>
        <v>0</v>
      </c>
      <c r="BV920" s="9">
        <f>[1]monsters!$Q920</f>
        <v>0</v>
      </c>
      <c r="BW920" s="9">
        <f>[1]monsters!$R920</f>
        <v>0</v>
      </c>
      <c r="BX920" s="9">
        <f>[1]monsters!$S920</f>
        <v>0</v>
      </c>
      <c r="BY920" s="9">
        <f>[1]monsters!$K920</f>
        <v>0</v>
      </c>
      <c r="BZ920" s="7">
        <f>[1]monsters!$D920</f>
        <v>0</v>
      </c>
      <c r="CA920" s="7" t="e">
        <f t="shared" si="239"/>
        <v>#N/A</v>
      </c>
      <c r="CB920" s="7" t="e">
        <f t="shared" si="240"/>
        <v>#N/A</v>
      </c>
      <c r="CC920" s="7" t="e">
        <f t="shared" si="241"/>
        <v>#N/A</v>
      </c>
      <c r="CD920" s="7"/>
      <c r="CE920" s="7"/>
      <c r="CF920" s="7"/>
      <c r="CG920" s="7"/>
      <c r="CH920" s="7"/>
      <c r="CI920" s="7"/>
      <c r="CJ920" s="7"/>
      <c r="CK920" s="7"/>
      <c r="CL920" s="7"/>
      <c r="CM920" s="7"/>
      <c r="CN920" s="7"/>
      <c r="CO920" s="7"/>
      <c r="CP920" s="7"/>
      <c r="CR920" s="25"/>
      <c r="CS920" s="25"/>
      <c r="CT920" s="25"/>
      <c r="CU920" s="25"/>
      <c r="CV920" s="25"/>
      <c r="CW920" s="25"/>
      <c r="DP920" s="32"/>
      <c r="DQ920" s="32"/>
      <c r="DR920" s="36"/>
      <c r="DS920" s="36"/>
      <c r="DT920" s="32"/>
      <c r="DU920" s="32"/>
      <c r="DV920" s="32"/>
      <c r="DW920" s="32"/>
      <c r="DX920" s="32"/>
      <c r="DY920" s="32"/>
      <c r="DZ920" s="32"/>
      <c r="EA920" s="32"/>
    </row>
    <row r="921" spans="29:132" ht="13.5" customHeight="1">
      <c r="AC921" s="16" t="str">
        <f t="shared" si="238"/>
        <v/>
      </c>
      <c r="AD921" s="16" t="str">
        <f t="shared" si="242"/>
        <v/>
      </c>
      <c r="AE921" s="16" t="str">
        <f t="shared" si="242"/>
        <v/>
      </c>
      <c r="AF921" s="16" t="str">
        <f t="shared" si="242"/>
        <v/>
      </c>
      <c r="AG921" s="16" t="str">
        <f t="shared" si="242"/>
        <v/>
      </c>
      <c r="AH921" s="16" t="str">
        <f t="shared" si="242"/>
        <v/>
      </c>
      <c r="BR921" s="7">
        <v>5205091</v>
      </c>
      <c r="BS921" s="9">
        <f>[1]monsters!$N921</f>
        <v>0</v>
      </c>
      <c r="BT921" s="9">
        <f>[1]monsters!$O921</f>
        <v>0</v>
      </c>
      <c r="BU921" s="9">
        <f>[1]monsters!$P921</f>
        <v>0</v>
      </c>
      <c r="BV921" s="9">
        <f>[1]monsters!$Q921</f>
        <v>0</v>
      </c>
      <c r="BW921" s="9">
        <f>[1]monsters!$R921</f>
        <v>0</v>
      </c>
      <c r="BX921" s="9">
        <f>[1]monsters!$S921</f>
        <v>0</v>
      </c>
      <c r="BY921" s="9">
        <f>[1]monsters!$K921</f>
        <v>0</v>
      </c>
      <c r="BZ921" s="7">
        <f>[1]monsters!$D921</f>
        <v>0</v>
      </c>
      <c r="CA921" s="7" t="e">
        <f t="shared" si="239"/>
        <v>#N/A</v>
      </c>
      <c r="CB921" s="7" t="e">
        <f t="shared" si="240"/>
        <v>#N/A</v>
      </c>
      <c r="CC921" s="7" t="e">
        <f t="shared" si="241"/>
        <v>#N/A</v>
      </c>
      <c r="CD921" s="7"/>
      <c r="CE921" s="7"/>
      <c r="CF921" s="7"/>
      <c r="CG921" s="7"/>
      <c r="CH921" s="7"/>
      <c r="CI921" s="7"/>
      <c r="CJ921" s="7"/>
      <c r="CK921" s="7"/>
      <c r="CL921" s="7"/>
      <c r="CM921" s="7"/>
      <c r="CN921" s="7"/>
      <c r="CO921" s="7"/>
      <c r="CP921" s="7"/>
      <c r="CR921" s="25"/>
      <c r="CS921" s="25"/>
      <c r="CT921" s="25"/>
      <c r="CU921" s="25"/>
      <c r="CV921" s="25"/>
      <c r="CW921" s="25"/>
      <c r="DP921" s="32"/>
      <c r="DQ921" s="32"/>
      <c r="DR921" s="36"/>
      <c r="DS921" s="36"/>
      <c r="DT921" s="36"/>
      <c r="DU921" s="36"/>
      <c r="DV921" s="32"/>
      <c r="DW921" s="32"/>
      <c r="DX921" s="32"/>
      <c r="DY921" s="32"/>
      <c r="DZ921" s="32"/>
      <c r="EA921" s="32"/>
    </row>
    <row r="922" spans="29:132" ht="13.5" customHeight="1">
      <c r="AC922" s="16" t="str">
        <f t="shared" si="238"/>
        <v/>
      </c>
      <c r="AD922" s="16" t="str">
        <f t="shared" si="242"/>
        <v/>
      </c>
      <c r="AE922" s="16" t="str">
        <f t="shared" si="242"/>
        <v/>
      </c>
      <c r="AF922" s="16" t="str">
        <f t="shared" si="242"/>
        <v/>
      </c>
      <c r="AG922" s="16" t="str">
        <f t="shared" si="242"/>
        <v/>
      </c>
      <c r="AH922" s="16" t="str">
        <f t="shared" si="242"/>
        <v/>
      </c>
      <c r="BR922" s="7">
        <v>5405091</v>
      </c>
      <c r="BS922" s="9">
        <f>[1]monsters!$N922</f>
        <v>0</v>
      </c>
      <c r="BT922" s="9">
        <f>[1]monsters!$O922</f>
        <v>0</v>
      </c>
      <c r="BU922" s="9">
        <f>[1]monsters!$P922</f>
        <v>0</v>
      </c>
      <c r="BV922" s="9">
        <f>[1]monsters!$Q922</f>
        <v>0</v>
      </c>
      <c r="BW922" s="9">
        <f>[1]monsters!$R922</f>
        <v>0</v>
      </c>
      <c r="BX922" s="9">
        <f>[1]monsters!$S922</f>
        <v>0</v>
      </c>
      <c r="BY922" s="9">
        <f>[1]monsters!$K922</f>
        <v>0</v>
      </c>
      <c r="BZ922" s="7">
        <f>[1]monsters!$D922</f>
        <v>0</v>
      </c>
      <c r="CA922" s="7" t="e">
        <f t="shared" si="239"/>
        <v>#N/A</v>
      </c>
      <c r="CB922" s="7" t="e">
        <f t="shared" si="240"/>
        <v>#N/A</v>
      </c>
      <c r="CC922" s="7" t="e">
        <f t="shared" si="241"/>
        <v>#N/A</v>
      </c>
      <c r="CD922" s="7"/>
      <c r="CE922" s="7"/>
      <c r="CF922" s="7"/>
      <c r="CG922" s="7"/>
      <c r="CH922" s="7"/>
      <c r="CI922" s="7"/>
      <c r="CJ922" s="7"/>
      <c r="CK922" s="7"/>
      <c r="CL922" s="7"/>
      <c r="CM922" s="7"/>
      <c r="CN922" s="7"/>
      <c r="CO922" s="7"/>
      <c r="CP922" s="7"/>
      <c r="CR922" s="25"/>
      <c r="CS922" s="25"/>
      <c r="CT922" s="25"/>
      <c r="CU922" s="25"/>
      <c r="CV922" s="25"/>
      <c r="CW922" s="25"/>
      <c r="DP922" s="32"/>
      <c r="DQ922" s="36"/>
      <c r="DR922" s="32"/>
      <c r="DS922" s="36"/>
      <c r="DT922" s="36"/>
      <c r="DU922" s="14"/>
      <c r="DV922" s="32"/>
      <c r="DW922" s="32"/>
      <c r="DX922" s="32"/>
      <c r="DY922" s="32"/>
      <c r="DZ922" s="32"/>
      <c r="EA922" s="32"/>
    </row>
    <row r="923" spans="29:132" ht="13.5" customHeight="1">
      <c r="AC923" s="16" t="str">
        <f t="shared" si="238"/>
        <v/>
      </c>
      <c r="AD923" s="16" t="str">
        <f t="shared" si="242"/>
        <v/>
      </c>
      <c r="AE923" s="16" t="str">
        <f t="shared" si="242"/>
        <v/>
      </c>
      <c r="AF923" s="16" t="str">
        <f t="shared" si="242"/>
        <v/>
      </c>
      <c r="AG923" s="16" t="str">
        <f t="shared" si="242"/>
        <v/>
      </c>
      <c r="AH923" s="16" t="str">
        <f t="shared" si="242"/>
        <v/>
      </c>
      <c r="BR923" s="7">
        <v>5203091</v>
      </c>
      <c r="BS923" s="9">
        <f>[1]monsters!$N923</f>
        <v>0</v>
      </c>
      <c r="BT923" s="9">
        <f>[1]monsters!$O923</f>
        <v>0</v>
      </c>
      <c r="BU923" s="9">
        <f>[1]monsters!$P923</f>
        <v>0</v>
      </c>
      <c r="BV923" s="9">
        <f>[1]monsters!$Q923</f>
        <v>0</v>
      </c>
      <c r="BW923" s="9">
        <f>[1]monsters!$R923</f>
        <v>0</v>
      </c>
      <c r="BX923" s="9">
        <f>[1]monsters!$S923</f>
        <v>0</v>
      </c>
      <c r="BY923" s="9">
        <f>[1]monsters!$K923</f>
        <v>0</v>
      </c>
      <c r="BZ923" s="7">
        <f>[1]monsters!$D923</f>
        <v>0</v>
      </c>
      <c r="CA923" s="7" t="e">
        <f t="shared" si="239"/>
        <v>#N/A</v>
      </c>
      <c r="CB923" s="7" t="e">
        <f t="shared" si="240"/>
        <v>#N/A</v>
      </c>
      <c r="CC923" s="7" t="e">
        <f t="shared" si="241"/>
        <v>#N/A</v>
      </c>
      <c r="CD923" s="7"/>
      <c r="CE923" s="7"/>
      <c r="CF923" s="7"/>
      <c r="CG923" s="7"/>
      <c r="CH923" s="7"/>
      <c r="CI923" s="7"/>
      <c r="CJ923" s="7"/>
      <c r="CK923" s="7"/>
      <c r="CL923" s="7"/>
      <c r="CM923" s="7"/>
      <c r="CN923" s="7"/>
      <c r="CO923" s="7"/>
      <c r="CP923" s="7"/>
      <c r="CR923" s="25"/>
      <c r="CS923" s="25"/>
      <c r="CT923" s="25"/>
      <c r="CU923" s="25"/>
      <c r="CV923" s="25"/>
      <c r="CW923" s="25"/>
      <c r="DP923" s="32"/>
      <c r="DQ923" s="32"/>
      <c r="DR923" s="32"/>
      <c r="DS923" s="36"/>
      <c r="DT923" s="36"/>
      <c r="DU923" s="36"/>
      <c r="DV923" s="32"/>
      <c r="DW923" s="32"/>
      <c r="DX923" s="32"/>
      <c r="DY923" s="32"/>
      <c r="DZ923" s="32"/>
      <c r="EA923" s="32"/>
    </row>
    <row r="924" spans="29:132" ht="13.5" customHeight="1">
      <c r="AC924" s="16" t="str">
        <f t="shared" si="238"/>
        <v/>
      </c>
      <c r="AD924" s="16" t="str">
        <f t="shared" si="242"/>
        <v/>
      </c>
      <c r="AE924" s="16" t="str">
        <f t="shared" si="242"/>
        <v/>
      </c>
      <c r="AF924" s="16" t="str">
        <f t="shared" si="242"/>
        <v/>
      </c>
      <c r="AG924" s="16" t="str">
        <f t="shared" si="242"/>
        <v/>
      </c>
      <c r="AH924" s="16" t="str">
        <f t="shared" si="242"/>
        <v/>
      </c>
      <c r="BR924" s="7">
        <v>5403091</v>
      </c>
      <c r="BS924" s="9">
        <f>[1]monsters!$N924</f>
        <v>0</v>
      </c>
      <c r="BT924" s="9">
        <f>[1]monsters!$O924</f>
        <v>0</v>
      </c>
      <c r="BU924" s="9">
        <f>[1]monsters!$P924</f>
        <v>0</v>
      </c>
      <c r="BV924" s="9">
        <f>[1]monsters!$Q924</f>
        <v>0</v>
      </c>
      <c r="BW924" s="9">
        <f>[1]monsters!$R924</f>
        <v>0</v>
      </c>
      <c r="BX924" s="9">
        <f>[1]monsters!$S924</f>
        <v>0</v>
      </c>
      <c r="BY924" s="9">
        <f>[1]monsters!$K924</f>
        <v>0</v>
      </c>
      <c r="BZ924" s="7">
        <f>[1]monsters!$D924</f>
        <v>0</v>
      </c>
      <c r="CA924" s="7" t="e">
        <f t="shared" si="239"/>
        <v>#N/A</v>
      </c>
      <c r="CB924" s="7" t="e">
        <f t="shared" si="240"/>
        <v>#N/A</v>
      </c>
      <c r="CC924" s="7" t="e">
        <f t="shared" si="241"/>
        <v>#N/A</v>
      </c>
      <c r="CD924" s="7"/>
      <c r="CE924" s="7"/>
      <c r="CF924" s="7"/>
      <c r="CG924" s="7"/>
      <c r="CH924" s="7"/>
      <c r="CI924" s="7"/>
      <c r="CJ924" s="7"/>
      <c r="CK924" s="7"/>
      <c r="CL924" s="7"/>
      <c r="CM924" s="7"/>
      <c r="CN924" s="7"/>
      <c r="CO924" s="7"/>
      <c r="CP924" s="7"/>
      <c r="CR924" s="25"/>
      <c r="CS924" s="25"/>
      <c r="CT924" s="25"/>
      <c r="CU924" s="25"/>
      <c r="CV924" s="25"/>
      <c r="CW924" s="25"/>
      <c r="DP924" s="32"/>
      <c r="DQ924" s="32"/>
      <c r="DR924" s="32"/>
      <c r="DS924" s="32"/>
      <c r="DT924" s="32"/>
      <c r="DU924" s="32"/>
      <c r="DV924" s="32"/>
      <c r="DW924" s="32"/>
      <c r="DX924" s="32"/>
      <c r="DY924" s="32"/>
      <c r="DZ924" s="32"/>
      <c r="EA924" s="32"/>
    </row>
    <row r="925" spans="29:132" ht="13.5" customHeight="1">
      <c r="AC925" s="16" t="str">
        <f t="shared" si="238"/>
        <v/>
      </c>
      <c r="AD925" s="16" t="str">
        <f t="shared" si="242"/>
        <v/>
      </c>
      <c r="AE925" s="16" t="str">
        <f t="shared" si="242"/>
        <v/>
      </c>
      <c r="AF925" s="16" t="str">
        <f t="shared" si="242"/>
        <v/>
      </c>
      <c r="AG925" s="16" t="str">
        <f t="shared" si="242"/>
        <v/>
      </c>
      <c r="AH925" s="16" t="str">
        <f t="shared" si="242"/>
        <v/>
      </c>
      <c r="BR925" s="7">
        <v>5204091</v>
      </c>
      <c r="BS925" s="9">
        <f>[1]monsters!$N925</f>
        <v>0</v>
      </c>
      <c r="BT925" s="9">
        <f>[1]monsters!$O925</f>
        <v>0</v>
      </c>
      <c r="BU925" s="9">
        <f>[1]monsters!$P925</f>
        <v>0</v>
      </c>
      <c r="BV925" s="9">
        <f>[1]monsters!$Q925</f>
        <v>0</v>
      </c>
      <c r="BW925" s="9">
        <f>[1]monsters!$R925</f>
        <v>0</v>
      </c>
      <c r="BX925" s="9">
        <f>[1]monsters!$S925</f>
        <v>0</v>
      </c>
      <c r="BY925" s="9">
        <f>[1]monsters!$K925</f>
        <v>0</v>
      </c>
      <c r="BZ925" s="7">
        <f>[1]monsters!$D925</f>
        <v>0</v>
      </c>
      <c r="CA925" s="7" t="e">
        <f t="shared" si="239"/>
        <v>#N/A</v>
      </c>
      <c r="CB925" s="7" t="e">
        <f t="shared" si="240"/>
        <v>#N/A</v>
      </c>
      <c r="CC925" s="7" t="e">
        <f t="shared" si="241"/>
        <v>#N/A</v>
      </c>
      <c r="CD925" s="7"/>
      <c r="CE925" s="7"/>
      <c r="CF925" s="7"/>
      <c r="CG925" s="7"/>
      <c r="CH925" s="7"/>
      <c r="CI925" s="7"/>
      <c r="CJ925" s="7"/>
      <c r="CK925" s="7"/>
      <c r="CL925" s="7"/>
      <c r="CM925" s="7"/>
      <c r="CN925" s="7"/>
      <c r="CO925" s="7"/>
      <c r="CP925" s="7"/>
      <c r="CR925" s="25"/>
      <c r="CS925" s="25"/>
      <c r="CT925" s="25"/>
      <c r="CU925" s="25"/>
      <c r="CV925" s="25"/>
      <c r="CW925" s="25"/>
      <c r="DP925" s="32"/>
      <c r="DQ925" s="32"/>
      <c r="DR925" s="32"/>
      <c r="DS925" s="32"/>
      <c r="DT925" s="32"/>
      <c r="DU925" s="32"/>
      <c r="DV925" s="32"/>
      <c r="DW925" s="32"/>
      <c r="DX925" s="32"/>
      <c r="DY925" s="32"/>
      <c r="DZ925" s="32"/>
      <c r="EA925" s="32"/>
    </row>
    <row r="926" spans="29:132" ht="13.5" customHeight="1">
      <c r="AC926" s="16" t="str">
        <f t="shared" si="238"/>
        <v/>
      </c>
      <c r="AD926" s="16" t="str">
        <f t="shared" si="242"/>
        <v/>
      </c>
      <c r="AE926" s="16" t="str">
        <f t="shared" si="242"/>
        <v/>
      </c>
      <c r="AF926" s="16" t="str">
        <f t="shared" si="242"/>
        <v/>
      </c>
      <c r="AG926" s="16" t="str">
        <f t="shared" si="242"/>
        <v/>
      </c>
      <c r="AH926" s="16" t="str">
        <f t="shared" si="242"/>
        <v/>
      </c>
      <c r="BR926" s="7">
        <v>5404091</v>
      </c>
      <c r="BS926" s="9">
        <f>[1]monsters!$N926</f>
        <v>0</v>
      </c>
      <c r="BT926" s="9">
        <f>[1]monsters!$O926</f>
        <v>0</v>
      </c>
      <c r="BU926" s="9">
        <f>[1]monsters!$P926</f>
        <v>0</v>
      </c>
      <c r="BV926" s="9">
        <f>[1]monsters!$Q926</f>
        <v>0</v>
      </c>
      <c r="BW926" s="9">
        <f>[1]monsters!$R926</f>
        <v>0</v>
      </c>
      <c r="BX926" s="9">
        <f>[1]monsters!$S926</f>
        <v>0</v>
      </c>
      <c r="BY926" s="9">
        <f>[1]monsters!$K926</f>
        <v>0</v>
      </c>
      <c r="BZ926" s="7">
        <f>[1]monsters!$D926</f>
        <v>0</v>
      </c>
      <c r="CA926" s="7" t="e">
        <f t="shared" si="239"/>
        <v>#N/A</v>
      </c>
      <c r="CB926" s="7" t="e">
        <f t="shared" si="240"/>
        <v>#N/A</v>
      </c>
      <c r="CC926" s="7" t="e">
        <f t="shared" si="241"/>
        <v>#N/A</v>
      </c>
      <c r="CD926" s="7"/>
      <c r="CE926" s="7"/>
      <c r="CF926" s="7"/>
      <c r="CG926" s="7"/>
      <c r="CH926" s="7"/>
      <c r="CI926" s="7"/>
      <c r="CJ926" s="7"/>
      <c r="CK926" s="7"/>
      <c r="CL926" s="7"/>
      <c r="CM926" s="7"/>
      <c r="CN926" s="7"/>
      <c r="CO926" s="7"/>
      <c r="CP926" s="7"/>
      <c r="CR926" s="25"/>
      <c r="CS926" s="25"/>
      <c r="CT926" s="25"/>
      <c r="CU926" s="25"/>
      <c r="CV926" s="25"/>
      <c r="CW926" s="25"/>
      <c r="DP926" s="32"/>
      <c r="DQ926" s="32"/>
      <c r="DR926" s="32"/>
      <c r="DS926" s="32"/>
      <c r="DT926" s="32"/>
      <c r="DU926" s="32"/>
      <c r="DV926" s="32"/>
      <c r="DW926" s="32"/>
      <c r="DX926" s="32"/>
      <c r="DY926" s="32"/>
      <c r="DZ926" s="32"/>
      <c r="EA926" s="32"/>
    </row>
    <row r="927" spans="29:132" ht="13.5" customHeight="1">
      <c r="AC927" s="16" t="str">
        <f t="shared" si="238"/>
        <v/>
      </c>
      <c r="AD927" s="16" t="str">
        <f t="shared" si="242"/>
        <v/>
      </c>
      <c r="AE927" s="16" t="str">
        <f t="shared" si="242"/>
        <v/>
      </c>
      <c r="AF927" s="16" t="str">
        <f t="shared" si="242"/>
        <v/>
      </c>
      <c r="AG927" s="16" t="str">
        <f t="shared" si="242"/>
        <v/>
      </c>
      <c r="AH927" s="16" t="str">
        <f t="shared" si="242"/>
        <v/>
      </c>
      <c r="BR927" s="7">
        <v>5303091</v>
      </c>
      <c r="BS927" s="9">
        <f>[1]monsters!$N927</f>
        <v>0</v>
      </c>
      <c r="BT927" s="9">
        <f>[1]monsters!$O927</f>
        <v>0</v>
      </c>
      <c r="BU927" s="9">
        <f>[1]monsters!$P927</f>
        <v>0</v>
      </c>
      <c r="BV927" s="9">
        <f>[1]monsters!$Q927</f>
        <v>0</v>
      </c>
      <c r="BW927" s="9">
        <f>[1]monsters!$R927</f>
        <v>0</v>
      </c>
      <c r="BX927" s="9">
        <f>[1]monsters!$S927</f>
        <v>0</v>
      </c>
      <c r="BY927" s="9">
        <f>[1]monsters!$K927</f>
        <v>0</v>
      </c>
      <c r="BZ927" s="7">
        <f>[1]monsters!$D927</f>
        <v>0</v>
      </c>
      <c r="CA927" s="7" t="e">
        <f t="shared" si="239"/>
        <v>#N/A</v>
      </c>
      <c r="CB927" s="7" t="e">
        <f t="shared" si="240"/>
        <v>#N/A</v>
      </c>
      <c r="CC927" s="7" t="e">
        <f t="shared" si="241"/>
        <v>#N/A</v>
      </c>
      <c r="CD927" s="7"/>
      <c r="CE927" s="7"/>
      <c r="CF927" s="7"/>
      <c r="CG927" s="7"/>
      <c r="CH927" s="7"/>
      <c r="CI927" s="7"/>
      <c r="CJ927" s="7"/>
      <c r="CK927" s="7"/>
      <c r="CL927" s="7"/>
      <c r="CM927" s="7"/>
      <c r="CN927" s="7"/>
      <c r="CO927" s="7"/>
      <c r="CP927" s="7"/>
      <c r="CR927" s="25"/>
      <c r="CS927" s="25"/>
      <c r="CT927" s="25"/>
      <c r="CU927" s="25"/>
      <c r="CV927" s="25"/>
      <c r="CW927" s="25"/>
      <c r="DP927" s="32"/>
      <c r="DQ927" s="32"/>
      <c r="DR927" s="32"/>
      <c r="DS927" s="32"/>
      <c r="DT927" s="32"/>
      <c r="DU927" s="32"/>
      <c r="DV927" s="32"/>
      <c r="DW927" s="32"/>
      <c r="DX927" s="32"/>
      <c r="DY927" s="32"/>
      <c r="DZ927" s="32"/>
      <c r="EA927" s="32"/>
    </row>
    <row r="928" spans="29:132" ht="13.5" customHeight="1">
      <c r="AC928" s="16" t="str">
        <f t="shared" si="238"/>
        <v/>
      </c>
      <c r="AD928" s="16" t="str">
        <f t="shared" si="242"/>
        <v/>
      </c>
      <c r="AE928" s="16" t="str">
        <f t="shared" si="242"/>
        <v/>
      </c>
      <c r="AF928" s="16" t="str">
        <f t="shared" si="242"/>
        <v/>
      </c>
      <c r="AG928" s="16" t="str">
        <f t="shared" si="242"/>
        <v/>
      </c>
      <c r="AH928" s="16" t="str">
        <f t="shared" si="242"/>
        <v/>
      </c>
      <c r="BR928" s="7">
        <v>5304091</v>
      </c>
      <c r="BS928" s="9">
        <f>[1]monsters!$N928</f>
        <v>0</v>
      </c>
      <c r="BT928" s="9">
        <f>[1]monsters!$O928</f>
        <v>0</v>
      </c>
      <c r="BU928" s="9">
        <f>[1]monsters!$P928</f>
        <v>0</v>
      </c>
      <c r="BV928" s="9">
        <f>[1]monsters!$Q928</f>
        <v>0</v>
      </c>
      <c r="BW928" s="9">
        <f>[1]monsters!$R928</f>
        <v>0</v>
      </c>
      <c r="BX928" s="9">
        <f>[1]monsters!$S928</f>
        <v>0</v>
      </c>
      <c r="BY928" s="9">
        <f>[1]monsters!$K928</f>
        <v>0</v>
      </c>
      <c r="BZ928" s="7">
        <f>[1]monsters!$D928</f>
        <v>0</v>
      </c>
      <c r="CA928" s="7" t="e">
        <f t="shared" si="239"/>
        <v>#N/A</v>
      </c>
      <c r="CB928" s="7" t="e">
        <f t="shared" si="240"/>
        <v>#N/A</v>
      </c>
      <c r="CC928" s="7" t="e">
        <f t="shared" si="241"/>
        <v>#N/A</v>
      </c>
      <c r="CD928" s="7"/>
      <c r="CE928" s="7"/>
      <c r="CF928" s="7"/>
      <c r="CG928" s="7"/>
      <c r="CH928" s="7"/>
      <c r="CI928" s="7"/>
      <c r="CJ928" s="7"/>
      <c r="CK928" s="7"/>
      <c r="CL928" s="7"/>
      <c r="CM928" s="7"/>
      <c r="CN928" s="7"/>
      <c r="CO928" s="7"/>
      <c r="CP928" s="7"/>
      <c r="CR928" s="25"/>
      <c r="CS928" s="25"/>
      <c r="CT928" s="25"/>
      <c r="CU928" s="25"/>
      <c r="CV928" s="25"/>
      <c r="CW928" s="25"/>
      <c r="DP928" s="32"/>
      <c r="DQ928" s="32"/>
      <c r="DR928" s="32"/>
      <c r="DS928" s="32"/>
      <c r="DT928" s="32"/>
      <c r="DU928" s="32"/>
      <c r="DV928" s="32"/>
      <c r="DW928" s="32"/>
      <c r="DX928" s="32"/>
      <c r="DY928" s="32"/>
      <c r="DZ928" s="32"/>
      <c r="EA928" s="32"/>
    </row>
    <row r="929" spans="29:131" ht="13.5" customHeight="1">
      <c r="AC929" s="16" t="str">
        <f t="shared" si="238"/>
        <v/>
      </c>
      <c r="AD929" s="16" t="str">
        <f t="shared" si="242"/>
        <v/>
      </c>
      <c r="AE929" s="16" t="str">
        <f t="shared" si="242"/>
        <v/>
      </c>
      <c r="AF929" s="16" t="str">
        <f t="shared" si="242"/>
        <v/>
      </c>
      <c r="AG929" s="16" t="str">
        <f t="shared" si="242"/>
        <v/>
      </c>
      <c r="AH929" s="16" t="str">
        <f t="shared" si="242"/>
        <v/>
      </c>
      <c r="BR929" s="7">
        <v>5503091</v>
      </c>
      <c r="BS929" s="9">
        <f>[1]monsters!$N929</f>
        <v>0</v>
      </c>
      <c r="BT929" s="9">
        <f>[1]monsters!$O929</f>
        <v>0</v>
      </c>
      <c r="BU929" s="9">
        <f>[1]monsters!$P929</f>
        <v>0</v>
      </c>
      <c r="BV929" s="9">
        <f>[1]monsters!$Q929</f>
        <v>0</v>
      </c>
      <c r="BW929" s="9">
        <f>[1]monsters!$R929</f>
        <v>0</v>
      </c>
      <c r="BX929" s="9">
        <f>[1]monsters!$S929</f>
        <v>0</v>
      </c>
      <c r="BY929" s="9">
        <f>[1]monsters!$K929</f>
        <v>0</v>
      </c>
      <c r="BZ929" s="7">
        <f>[1]monsters!$D929</f>
        <v>0</v>
      </c>
      <c r="CA929" s="7" t="e">
        <f t="shared" si="239"/>
        <v>#N/A</v>
      </c>
      <c r="CB929" s="7" t="e">
        <f t="shared" si="240"/>
        <v>#N/A</v>
      </c>
      <c r="CC929" s="7" t="e">
        <f t="shared" si="241"/>
        <v>#N/A</v>
      </c>
      <c r="CD929" s="7"/>
      <c r="CE929" s="7"/>
      <c r="CF929" s="7"/>
      <c r="CG929" s="7"/>
      <c r="CH929" s="7"/>
      <c r="CI929" s="7"/>
      <c r="CJ929" s="7"/>
      <c r="CK929" s="7"/>
      <c r="CL929" s="7"/>
      <c r="CM929" s="7"/>
      <c r="CN929" s="7"/>
      <c r="CO929" s="7"/>
      <c r="CP929" s="7"/>
      <c r="CR929" s="25"/>
      <c r="CS929" s="25"/>
      <c r="CT929" s="25"/>
      <c r="CU929" s="25"/>
      <c r="CV929" s="25"/>
      <c r="CW929" s="25"/>
      <c r="DP929" s="32"/>
      <c r="DQ929" s="32"/>
      <c r="DR929" s="32"/>
      <c r="DS929" s="32"/>
      <c r="DT929" s="32"/>
      <c r="DU929" s="32"/>
      <c r="DV929" s="32"/>
      <c r="DW929" s="32"/>
      <c r="DX929" s="32"/>
      <c r="DY929" s="32"/>
      <c r="DZ929" s="32"/>
      <c r="EA929" s="32"/>
    </row>
    <row r="930" spans="29:131" ht="13.5" customHeight="1">
      <c r="AC930" s="16" t="str">
        <f t="shared" si="238"/>
        <v/>
      </c>
      <c r="AD930" s="16" t="str">
        <f t="shared" si="242"/>
        <v/>
      </c>
      <c r="AE930" s="16" t="str">
        <f t="shared" si="242"/>
        <v/>
      </c>
      <c r="AF930" s="16" t="str">
        <f t="shared" si="242"/>
        <v/>
      </c>
      <c r="AG930" s="16" t="str">
        <f t="shared" si="242"/>
        <v/>
      </c>
      <c r="AH930" s="16" t="str">
        <f t="shared" si="242"/>
        <v/>
      </c>
      <c r="BR930" s="7">
        <v>5504091</v>
      </c>
      <c r="BS930" s="9">
        <f>[1]monsters!$N930</f>
        <v>0</v>
      </c>
      <c r="BT930" s="9">
        <f>[1]monsters!$O930</f>
        <v>0</v>
      </c>
      <c r="BU930" s="9">
        <f>[1]monsters!$P930</f>
        <v>0</v>
      </c>
      <c r="BV930" s="9">
        <f>[1]monsters!$Q930</f>
        <v>0</v>
      </c>
      <c r="BW930" s="9">
        <f>[1]monsters!$R930</f>
        <v>0</v>
      </c>
      <c r="BX930" s="9">
        <f>[1]monsters!$S930</f>
        <v>0</v>
      </c>
      <c r="BY930" s="9">
        <f>[1]monsters!$K930</f>
        <v>0</v>
      </c>
      <c r="BZ930" s="7">
        <f>[1]monsters!$D930</f>
        <v>0</v>
      </c>
      <c r="CA930" s="7" t="e">
        <f t="shared" si="239"/>
        <v>#N/A</v>
      </c>
      <c r="CB930" s="7" t="e">
        <f t="shared" si="240"/>
        <v>#N/A</v>
      </c>
      <c r="CC930" s="7" t="e">
        <f t="shared" si="241"/>
        <v>#N/A</v>
      </c>
      <c r="CD930" s="7"/>
      <c r="CE930" s="7"/>
      <c r="CF930" s="7"/>
      <c r="CG930" s="7"/>
      <c r="CH930" s="7"/>
      <c r="CI930" s="7"/>
      <c r="CJ930" s="7"/>
      <c r="CK930" s="7"/>
      <c r="CL930" s="7"/>
      <c r="CM930" s="7"/>
      <c r="CN930" s="7"/>
      <c r="CO930" s="7"/>
      <c r="CP930" s="7"/>
      <c r="CR930" s="25"/>
      <c r="CS930" s="25"/>
      <c r="CT930" s="25"/>
      <c r="CU930" s="25"/>
      <c r="CV930" s="25"/>
      <c r="CW930" s="25"/>
      <c r="DP930" s="13"/>
      <c r="DQ930" s="13"/>
      <c r="DR930" s="13"/>
      <c r="DS930" s="13"/>
      <c r="DT930" s="13"/>
      <c r="DU930" s="13"/>
      <c r="DV930" s="32"/>
      <c r="DW930" s="32"/>
      <c r="DX930" s="32"/>
      <c r="DY930" s="32"/>
      <c r="DZ930" s="32"/>
      <c r="EA930" s="32"/>
    </row>
    <row r="931" spans="29:131" ht="13.5" customHeight="1">
      <c r="AC931" s="16" t="str">
        <f t="shared" si="238"/>
        <v/>
      </c>
      <c r="AD931" s="16" t="str">
        <f t="shared" si="242"/>
        <v/>
      </c>
      <c r="AE931" s="16" t="str">
        <f t="shared" si="242"/>
        <v/>
      </c>
      <c r="AF931" s="16" t="str">
        <f t="shared" si="242"/>
        <v/>
      </c>
      <c r="AG931" s="16" t="str">
        <f t="shared" si="242"/>
        <v/>
      </c>
      <c r="AH931" s="16" t="str">
        <f t="shared" si="242"/>
        <v/>
      </c>
      <c r="BR931" s="7">
        <v>5101091</v>
      </c>
      <c r="BS931" s="9">
        <f>[1]monsters!$N931</f>
        <v>0</v>
      </c>
      <c r="BT931" s="9">
        <f>[1]monsters!$O931</f>
        <v>0</v>
      </c>
      <c r="BU931" s="9">
        <f>[1]monsters!$P931</f>
        <v>0</v>
      </c>
      <c r="BV931" s="9">
        <f>[1]monsters!$Q931</f>
        <v>0</v>
      </c>
      <c r="BW931" s="9">
        <f>[1]monsters!$R931</f>
        <v>0</v>
      </c>
      <c r="BX931" s="9">
        <f>[1]monsters!$S931</f>
        <v>0</v>
      </c>
      <c r="BY931" s="9">
        <f>[1]monsters!$K931</f>
        <v>0</v>
      </c>
      <c r="BZ931" s="7">
        <f>[1]monsters!$D931</f>
        <v>0</v>
      </c>
      <c r="CA931" s="7" t="e">
        <f t="shared" si="239"/>
        <v>#N/A</v>
      </c>
      <c r="CB931" s="7" t="e">
        <f t="shared" si="240"/>
        <v>#N/A</v>
      </c>
      <c r="CC931" s="7" t="e">
        <f t="shared" si="241"/>
        <v>#N/A</v>
      </c>
      <c r="CD931" s="7"/>
      <c r="CE931" s="7"/>
      <c r="CF931" s="7"/>
      <c r="CG931" s="7"/>
      <c r="CH931" s="7"/>
      <c r="CI931" s="7"/>
      <c r="CJ931" s="7"/>
      <c r="CK931" s="7"/>
      <c r="CL931" s="7"/>
      <c r="CM931" s="7"/>
      <c r="CN931" s="7"/>
      <c r="CO931" s="7"/>
      <c r="CP931" s="7"/>
      <c r="CR931" s="25"/>
      <c r="CS931" s="25"/>
      <c r="CT931" s="25"/>
      <c r="CU931" s="25"/>
      <c r="CV931" s="25"/>
      <c r="CW931" s="25"/>
      <c r="DP931" s="32"/>
      <c r="DQ931" s="32"/>
      <c r="DR931" s="32"/>
      <c r="DS931" s="32"/>
      <c r="DT931" s="32"/>
      <c r="DU931" s="32"/>
      <c r="DV931" s="32"/>
      <c r="DW931" s="32"/>
      <c r="DX931" s="32"/>
      <c r="DY931" s="32"/>
      <c r="DZ931" s="32"/>
      <c r="EA931" s="32"/>
    </row>
    <row r="932" spans="29:131" ht="13.5" customHeight="1">
      <c r="AC932" s="16" t="str">
        <f t="shared" si="238"/>
        <v/>
      </c>
      <c r="AD932" s="16" t="str">
        <f t="shared" si="242"/>
        <v/>
      </c>
      <c r="AE932" s="16" t="str">
        <f t="shared" si="242"/>
        <v/>
      </c>
      <c r="AF932" s="16" t="str">
        <f t="shared" si="242"/>
        <v/>
      </c>
      <c r="AG932" s="16" t="str">
        <f t="shared" si="242"/>
        <v/>
      </c>
      <c r="AH932" s="16" t="str">
        <f t="shared" si="242"/>
        <v/>
      </c>
      <c r="BR932" s="7">
        <v>5102091</v>
      </c>
      <c r="BS932" s="9">
        <f>[1]monsters!$N932</f>
        <v>0</v>
      </c>
      <c r="BT932" s="9">
        <f>[1]monsters!$O932</f>
        <v>0</v>
      </c>
      <c r="BU932" s="9">
        <f>[1]monsters!$P932</f>
        <v>0</v>
      </c>
      <c r="BV932" s="9">
        <f>[1]monsters!$Q932</f>
        <v>0</v>
      </c>
      <c r="BW932" s="9">
        <f>[1]monsters!$R932</f>
        <v>0</v>
      </c>
      <c r="BX932" s="9">
        <f>[1]monsters!$S932</f>
        <v>0</v>
      </c>
      <c r="BY932" s="9">
        <f>[1]monsters!$K932</f>
        <v>0</v>
      </c>
      <c r="BZ932" s="7">
        <f>[1]monsters!$D932</f>
        <v>0</v>
      </c>
      <c r="CA932" s="7" t="e">
        <f t="shared" si="239"/>
        <v>#N/A</v>
      </c>
      <c r="CB932" s="7" t="e">
        <f t="shared" si="240"/>
        <v>#N/A</v>
      </c>
      <c r="CC932" s="7" t="e">
        <f t="shared" si="241"/>
        <v>#N/A</v>
      </c>
      <c r="CD932" s="7"/>
      <c r="CE932" s="7"/>
      <c r="CF932" s="7"/>
      <c r="CG932" s="7"/>
      <c r="CH932" s="7"/>
      <c r="CI932" s="7"/>
      <c r="CJ932" s="7"/>
      <c r="CK932" s="7"/>
      <c r="CL932" s="7"/>
      <c r="CM932" s="7"/>
      <c r="CN932" s="7"/>
      <c r="CO932" s="7"/>
      <c r="CP932" s="7"/>
      <c r="CR932" s="25"/>
      <c r="CS932" s="25"/>
      <c r="CT932" s="25"/>
      <c r="CU932" s="25"/>
      <c r="CV932" s="25"/>
      <c r="CW932" s="25"/>
      <c r="DP932" s="32"/>
      <c r="DQ932" s="32"/>
      <c r="DR932" s="32"/>
      <c r="DS932" s="32"/>
      <c r="DT932" s="32"/>
      <c r="DU932" s="32"/>
      <c r="DV932" s="32"/>
      <c r="DW932" s="32"/>
      <c r="DX932" s="32"/>
      <c r="DY932" s="32"/>
      <c r="DZ932" s="32"/>
      <c r="EA932" s="32"/>
    </row>
    <row r="933" spans="29:131" ht="13.5" customHeight="1">
      <c r="AC933" s="16" t="str">
        <f t="shared" si="238"/>
        <v/>
      </c>
      <c r="AD933" s="16" t="str">
        <f t="shared" si="242"/>
        <v/>
      </c>
      <c r="AE933" s="16" t="str">
        <f t="shared" si="242"/>
        <v/>
      </c>
      <c r="AF933" s="16" t="str">
        <f t="shared" si="242"/>
        <v/>
      </c>
      <c r="AG933" s="16" t="str">
        <f t="shared" si="242"/>
        <v/>
      </c>
      <c r="AH933" s="16" t="str">
        <f t="shared" si="242"/>
        <v/>
      </c>
      <c r="BR933" s="7">
        <v>5206092</v>
      </c>
      <c r="BS933" s="9">
        <f>[1]monsters!$N933</f>
        <v>0</v>
      </c>
      <c r="BT933" s="9">
        <f>[1]monsters!$O933</f>
        <v>0</v>
      </c>
      <c r="BU933" s="9">
        <f>[1]monsters!$P933</f>
        <v>0</v>
      </c>
      <c r="BV933" s="9">
        <f>[1]monsters!$Q933</f>
        <v>0</v>
      </c>
      <c r="BW933" s="9">
        <f>[1]monsters!$R933</f>
        <v>0</v>
      </c>
      <c r="BX933" s="9">
        <f>[1]monsters!$S933</f>
        <v>0</v>
      </c>
      <c r="BY933" s="9">
        <f>[1]monsters!$K933</f>
        <v>0</v>
      </c>
      <c r="BZ933" s="7">
        <f>[1]monsters!$D933</f>
        <v>0</v>
      </c>
      <c r="CA933" s="7" t="e">
        <f t="shared" si="239"/>
        <v>#N/A</v>
      </c>
      <c r="CB933" s="7" t="e">
        <f t="shared" si="240"/>
        <v>#N/A</v>
      </c>
      <c r="CC933" s="7" t="e">
        <f t="shared" si="241"/>
        <v>#N/A</v>
      </c>
      <c r="CD933" s="7"/>
      <c r="CE933" s="7"/>
      <c r="CF933" s="7"/>
      <c r="CG933" s="7"/>
      <c r="CH933" s="7"/>
      <c r="CI933" s="7"/>
      <c r="CJ933" s="7"/>
      <c r="CK933" s="7"/>
      <c r="CL933" s="7"/>
      <c r="CM933" s="7"/>
      <c r="CN933" s="7"/>
      <c r="CO933" s="7"/>
      <c r="CP933" s="7"/>
      <c r="CR933" s="25"/>
      <c r="CS933" s="25"/>
      <c r="CT933" s="25"/>
      <c r="CU933" s="25"/>
      <c r="CV933" s="25"/>
      <c r="CW933" s="25"/>
      <c r="DP933" s="32"/>
      <c r="DQ933" s="32"/>
      <c r="DR933" s="32"/>
      <c r="DS933" s="32"/>
      <c r="DT933" s="32"/>
      <c r="DU933" s="32"/>
      <c r="DV933" s="32"/>
      <c r="DW933" s="32"/>
      <c r="DX933" s="32"/>
      <c r="DY933" s="32"/>
      <c r="DZ933" s="32"/>
      <c r="EA933" s="32"/>
    </row>
    <row r="934" spans="29:131" ht="13.5" customHeight="1">
      <c r="AC934" s="16" t="str">
        <f t="shared" si="238"/>
        <v/>
      </c>
      <c r="AD934" s="16" t="str">
        <f t="shared" si="242"/>
        <v/>
      </c>
      <c r="AE934" s="16" t="str">
        <f t="shared" si="242"/>
        <v/>
      </c>
      <c r="AF934" s="16" t="str">
        <f t="shared" si="242"/>
        <v/>
      </c>
      <c r="AG934" s="16" t="str">
        <f t="shared" si="242"/>
        <v/>
      </c>
      <c r="AH934" s="16" t="str">
        <f t="shared" si="242"/>
        <v/>
      </c>
      <c r="BR934" s="7">
        <v>5406092</v>
      </c>
      <c r="BS934" s="9">
        <f>[1]monsters!$N934</f>
        <v>0</v>
      </c>
      <c r="BT934" s="9">
        <f>[1]monsters!$O934</f>
        <v>0</v>
      </c>
      <c r="BU934" s="9">
        <f>[1]monsters!$P934</f>
        <v>0</v>
      </c>
      <c r="BV934" s="9">
        <f>[1]monsters!$Q934</f>
        <v>0</v>
      </c>
      <c r="BW934" s="9">
        <f>[1]monsters!$R934</f>
        <v>0</v>
      </c>
      <c r="BX934" s="9">
        <f>[1]monsters!$S934</f>
        <v>0</v>
      </c>
      <c r="BY934" s="9">
        <f>[1]monsters!$K934</f>
        <v>0</v>
      </c>
      <c r="BZ934" s="7">
        <f>[1]monsters!$D934</f>
        <v>0</v>
      </c>
      <c r="CA934" s="7" t="e">
        <f t="shared" si="239"/>
        <v>#N/A</v>
      </c>
      <c r="CB934" s="7" t="e">
        <f t="shared" si="240"/>
        <v>#N/A</v>
      </c>
      <c r="CC934" s="7" t="e">
        <f t="shared" si="241"/>
        <v>#N/A</v>
      </c>
      <c r="CD934" s="7"/>
      <c r="CE934" s="7"/>
      <c r="CF934" s="7"/>
      <c r="CG934" s="7"/>
      <c r="CH934" s="7"/>
      <c r="CI934" s="7"/>
      <c r="CJ934" s="7"/>
      <c r="CK934" s="7"/>
      <c r="CL934" s="7"/>
      <c r="CM934" s="7"/>
      <c r="CN934" s="7"/>
      <c r="CO934" s="7"/>
      <c r="CP934" s="7"/>
      <c r="CR934" s="25"/>
      <c r="CS934" s="25"/>
      <c r="CT934" s="25"/>
      <c r="CU934" s="25"/>
      <c r="CV934" s="25"/>
      <c r="CW934" s="25"/>
      <c r="DP934" s="32"/>
      <c r="DQ934" s="32"/>
      <c r="DR934" s="32"/>
      <c r="DS934" s="32"/>
      <c r="DT934" s="32"/>
      <c r="DU934" s="32"/>
      <c r="DV934" s="32"/>
      <c r="DW934" s="32"/>
      <c r="DX934" s="32"/>
      <c r="DY934" s="32"/>
      <c r="DZ934" s="32"/>
      <c r="EA934" s="32"/>
    </row>
    <row r="935" spans="29:131" ht="13.5" customHeight="1">
      <c r="AC935" s="16" t="str">
        <f t="shared" si="238"/>
        <v/>
      </c>
      <c r="AD935" s="16" t="str">
        <f t="shared" si="242"/>
        <v/>
      </c>
      <c r="AE935" s="16" t="str">
        <f t="shared" si="242"/>
        <v/>
      </c>
      <c r="AF935" s="16" t="str">
        <f t="shared" si="242"/>
        <v/>
      </c>
      <c r="AG935" s="16" t="str">
        <f t="shared" si="242"/>
        <v/>
      </c>
      <c r="AH935" s="16" t="str">
        <f t="shared" si="242"/>
        <v/>
      </c>
      <c r="BR935" s="7">
        <v>5205092</v>
      </c>
      <c r="BS935" s="9">
        <f>[1]monsters!$N935</f>
        <v>0</v>
      </c>
      <c r="BT935" s="9">
        <f>[1]monsters!$O935</f>
        <v>0</v>
      </c>
      <c r="BU935" s="9">
        <f>[1]monsters!$P935</f>
        <v>0</v>
      </c>
      <c r="BV935" s="9">
        <f>[1]monsters!$Q935</f>
        <v>0</v>
      </c>
      <c r="BW935" s="9">
        <f>[1]monsters!$R935</f>
        <v>0</v>
      </c>
      <c r="BX935" s="9">
        <f>[1]monsters!$S935</f>
        <v>0</v>
      </c>
      <c r="BY935" s="9">
        <f>[1]monsters!$K935</f>
        <v>0</v>
      </c>
      <c r="BZ935" s="7">
        <f>[1]monsters!$D935</f>
        <v>0</v>
      </c>
      <c r="CA935" s="7" t="e">
        <f t="shared" si="239"/>
        <v>#N/A</v>
      </c>
      <c r="CB935" s="7" t="e">
        <f t="shared" si="240"/>
        <v>#N/A</v>
      </c>
      <c r="CC935" s="7" t="e">
        <f t="shared" si="241"/>
        <v>#N/A</v>
      </c>
      <c r="CD935" s="7"/>
      <c r="CE935" s="7"/>
      <c r="CF935" s="7"/>
      <c r="CG935" s="7"/>
      <c r="CH935" s="7"/>
      <c r="CI935" s="7"/>
      <c r="CJ935" s="7"/>
      <c r="CK935" s="7"/>
      <c r="CL935" s="7"/>
      <c r="CM935" s="7"/>
      <c r="CN935" s="7"/>
      <c r="CO935" s="7"/>
      <c r="CP935" s="7"/>
      <c r="CR935" s="25"/>
      <c r="CS935" s="25"/>
      <c r="CT935" s="25"/>
      <c r="CU935" s="25"/>
      <c r="CV935" s="25"/>
      <c r="CW935" s="25"/>
      <c r="DP935" s="32"/>
      <c r="DQ935" s="32"/>
      <c r="DR935" s="32"/>
      <c r="DS935" s="32"/>
      <c r="DT935" s="32"/>
      <c r="DU935" s="32"/>
      <c r="DV935" s="32"/>
      <c r="DW935" s="32"/>
      <c r="DX935" s="32"/>
      <c r="DY935" s="32"/>
      <c r="DZ935" s="32"/>
      <c r="EA935" s="32"/>
    </row>
    <row r="936" spans="29:131" ht="13.5" customHeight="1">
      <c r="AC936" s="16" t="str">
        <f t="shared" si="238"/>
        <v/>
      </c>
      <c r="AD936" s="16" t="str">
        <f t="shared" si="242"/>
        <v/>
      </c>
      <c r="AE936" s="16" t="str">
        <f t="shared" si="242"/>
        <v/>
      </c>
      <c r="AF936" s="16" t="str">
        <f t="shared" si="242"/>
        <v/>
      </c>
      <c r="AG936" s="16" t="str">
        <f t="shared" si="242"/>
        <v/>
      </c>
      <c r="AH936" s="16" t="str">
        <f t="shared" si="242"/>
        <v/>
      </c>
      <c r="BR936" s="7">
        <v>5405092</v>
      </c>
      <c r="BS936" s="9">
        <f>[1]monsters!$N936</f>
        <v>0</v>
      </c>
      <c r="BT936" s="9">
        <f>[1]monsters!$O936</f>
        <v>0</v>
      </c>
      <c r="BU936" s="9">
        <f>[1]monsters!$P936</f>
        <v>0</v>
      </c>
      <c r="BV936" s="9">
        <f>[1]monsters!$Q936</f>
        <v>0</v>
      </c>
      <c r="BW936" s="9">
        <f>[1]monsters!$R936</f>
        <v>0</v>
      </c>
      <c r="BX936" s="9">
        <f>[1]monsters!$S936</f>
        <v>0</v>
      </c>
      <c r="BY936" s="9">
        <f>[1]monsters!$K936</f>
        <v>0</v>
      </c>
      <c r="BZ936" s="7">
        <f>[1]monsters!$D936</f>
        <v>0</v>
      </c>
      <c r="CA936" s="7" t="e">
        <f t="shared" si="239"/>
        <v>#N/A</v>
      </c>
      <c r="CB936" s="7" t="e">
        <f t="shared" si="240"/>
        <v>#N/A</v>
      </c>
      <c r="CC936" s="7" t="e">
        <f t="shared" si="241"/>
        <v>#N/A</v>
      </c>
      <c r="CD936" s="7"/>
      <c r="CE936" s="7"/>
      <c r="CF936" s="7"/>
      <c r="CG936" s="7"/>
      <c r="CH936" s="7"/>
      <c r="CI936" s="7"/>
      <c r="CJ936" s="7"/>
      <c r="CK936" s="7"/>
      <c r="CL936" s="7"/>
      <c r="CM936" s="7"/>
      <c r="CN936" s="7"/>
      <c r="CO936" s="7"/>
      <c r="CP936" s="7"/>
      <c r="CR936" s="25"/>
      <c r="CS936" s="25"/>
      <c r="CT936" s="25"/>
      <c r="CU936" s="25"/>
      <c r="CV936" s="25"/>
      <c r="CW936" s="25"/>
      <c r="DP936" s="32"/>
      <c r="DQ936" s="32"/>
      <c r="DR936" s="32"/>
      <c r="DS936" s="32"/>
      <c r="DT936" s="32"/>
      <c r="DU936" s="32"/>
      <c r="DV936" s="32"/>
      <c r="DW936" s="32"/>
      <c r="DX936" s="32"/>
      <c r="DY936" s="32"/>
      <c r="DZ936" s="32"/>
      <c r="EA936" s="32"/>
    </row>
    <row r="937" spans="29:131" ht="13.5" customHeight="1">
      <c r="AC937" s="16" t="str">
        <f t="shared" si="238"/>
        <v/>
      </c>
      <c r="AD937" s="16" t="str">
        <f t="shared" si="242"/>
        <v/>
      </c>
      <c r="AE937" s="16" t="str">
        <f t="shared" si="242"/>
        <v/>
      </c>
      <c r="AF937" s="16" t="str">
        <f t="shared" si="242"/>
        <v/>
      </c>
      <c r="AG937" s="16" t="str">
        <f t="shared" si="242"/>
        <v/>
      </c>
      <c r="AH937" s="16" t="str">
        <f t="shared" si="242"/>
        <v/>
      </c>
      <c r="BR937" s="7">
        <v>5203092</v>
      </c>
      <c r="BS937" s="9">
        <f>[1]monsters!$N937</f>
        <v>0</v>
      </c>
      <c r="BT937" s="9">
        <f>[1]monsters!$O937</f>
        <v>0</v>
      </c>
      <c r="BU937" s="9">
        <f>[1]monsters!$P937</f>
        <v>0</v>
      </c>
      <c r="BV937" s="9">
        <f>[1]monsters!$Q937</f>
        <v>0</v>
      </c>
      <c r="BW937" s="9">
        <f>[1]monsters!$R937</f>
        <v>0</v>
      </c>
      <c r="BX937" s="9">
        <f>[1]monsters!$S937</f>
        <v>0</v>
      </c>
      <c r="BY937" s="9">
        <f>[1]monsters!$K937</f>
        <v>0</v>
      </c>
      <c r="BZ937" s="7">
        <f>[1]monsters!$D937</f>
        <v>0</v>
      </c>
      <c r="CA937" s="7" t="e">
        <f t="shared" si="239"/>
        <v>#N/A</v>
      </c>
      <c r="CB937" s="7" t="e">
        <f t="shared" si="240"/>
        <v>#N/A</v>
      </c>
      <c r="CC937" s="7" t="e">
        <f t="shared" si="241"/>
        <v>#N/A</v>
      </c>
      <c r="CD937" s="7"/>
      <c r="CE937" s="7"/>
      <c r="CF937" s="7"/>
      <c r="CG937" s="7"/>
      <c r="CH937" s="7"/>
      <c r="CI937" s="7"/>
      <c r="CJ937" s="7"/>
      <c r="CK937" s="7"/>
      <c r="CL937" s="7"/>
      <c r="CM937" s="7"/>
      <c r="CN937" s="7"/>
      <c r="CO937" s="7"/>
      <c r="CP937" s="7"/>
      <c r="CR937" s="25"/>
      <c r="CS937" s="25"/>
      <c r="CT937" s="25"/>
      <c r="CU937" s="25"/>
      <c r="CV937" s="25"/>
      <c r="CW937" s="25"/>
      <c r="DP937" s="32"/>
      <c r="DQ937" s="32"/>
      <c r="DR937" s="32"/>
      <c r="DS937" s="32"/>
      <c r="DT937" s="32"/>
      <c r="DU937" s="32"/>
      <c r="DV937" s="32"/>
      <c r="DW937" s="32"/>
      <c r="DX937" s="32"/>
      <c r="DY937" s="32"/>
      <c r="DZ937" s="32"/>
      <c r="EA937" s="32"/>
    </row>
    <row r="938" spans="29:131" ht="13.5" customHeight="1">
      <c r="AC938" s="16" t="str">
        <f t="shared" si="238"/>
        <v/>
      </c>
      <c r="AD938" s="16" t="str">
        <f t="shared" si="242"/>
        <v/>
      </c>
      <c r="AE938" s="16" t="str">
        <f t="shared" si="242"/>
        <v/>
      </c>
      <c r="AF938" s="16" t="str">
        <f t="shared" si="242"/>
        <v/>
      </c>
      <c r="AG938" s="16" t="str">
        <f t="shared" si="242"/>
        <v/>
      </c>
      <c r="AH938" s="16" t="str">
        <f t="shared" si="242"/>
        <v/>
      </c>
      <c r="BR938" s="7">
        <v>5403092</v>
      </c>
      <c r="BS938" s="9">
        <f>[1]monsters!$N938</f>
        <v>0</v>
      </c>
      <c r="BT938" s="9">
        <f>[1]monsters!$O938</f>
        <v>0</v>
      </c>
      <c r="BU938" s="9">
        <f>[1]monsters!$P938</f>
        <v>0</v>
      </c>
      <c r="BV938" s="9">
        <f>[1]monsters!$Q938</f>
        <v>0</v>
      </c>
      <c r="BW938" s="9">
        <f>[1]monsters!$R938</f>
        <v>0</v>
      </c>
      <c r="BX938" s="9">
        <f>[1]monsters!$S938</f>
        <v>0</v>
      </c>
      <c r="BY938" s="9">
        <f>[1]monsters!$K938</f>
        <v>0</v>
      </c>
      <c r="BZ938" s="7">
        <f>[1]monsters!$D938</f>
        <v>0</v>
      </c>
      <c r="CA938" s="7" t="e">
        <f t="shared" si="239"/>
        <v>#N/A</v>
      </c>
      <c r="CB938" s="7" t="e">
        <f t="shared" si="240"/>
        <v>#N/A</v>
      </c>
      <c r="CC938" s="7" t="e">
        <f t="shared" si="241"/>
        <v>#N/A</v>
      </c>
      <c r="CD938" s="7"/>
      <c r="CE938" s="7"/>
      <c r="CF938" s="7"/>
      <c r="CG938" s="7"/>
      <c r="CH938" s="7"/>
      <c r="CI938" s="7"/>
      <c r="CJ938" s="7"/>
      <c r="CK938" s="7"/>
      <c r="CL938" s="7"/>
      <c r="CM938" s="7"/>
      <c r="CN938" s="7"/>
      <c r="CO938" s="7"/>
      <c r="CP938" s="7"/>
      <c r="CR938" s="25"/>
      <c r="CS938" s="25"/>
      <c r="CT938" s="25"/>
      <c r="CU938" s="25"/>
      <c r="CV938" s="25"/>
      <c r="CW938" s="25"/>
      <c r="DP938" s="32"/>
      <c r="DQ938" s="32"/>
      <c r="DR938" s="32"/>
      <c r="DS938" s="32"/>
      <c r="DT938" s="32"/>
      <c r="DU938" s="32"/>
      <c r="DV938" s="32"/>
      <c r="DW938" s="32"/>
      <c r="DX938" s="32"/>
      <c r="DY938" s="32"/>
      <c r="DZ938" s="32"/>
      <c r="EA938" s="32"/>
    </row>
    <row r="939" spans="29:131" ht="13.5" customHeight="1">
      <c r="AC939" s="16" t="str">
        <f t="shared" si="238"/>
        <v/>
      </c>
      <c r="AD939" s="16" t="str">
        <f t="shared" si="242"/>
        <v/>
      </c>
      <c r="AE939" s="16" t="str">
        <f t="shared" si="242"/>
        <v/>
      </c>
      <c r="AF939" s="16" t="str">
        <f t="shared" si="242"/>
        <v/>
      </c>
      <c r="AG939" s="16" t="str">
        <f t="shared" si="242"/>
        <v/>
      </c>
      <c r="AH939" s="16" t="str">
        <f t="shared" si="242"/>
        <v/>
      </c>
      <c r="BR939" s="7">
        <v>5204092</v>
      </c>
      <c r="BS939" s="9">
        <f>[1]monsters!$N939</f>
        <v>0</v>
      </c>
      <c r="BT939" s="9">
        <f>[1]monsters!$O939</f>
        <v>0</v>
      </c>
      <c r="BU939" s="9">
        <f>[1]monsters!$P939</f>
        <v>0</v>
      </c>
      <c r="BV939" s="9">
        <f>[1]monsters!$Q939</f>
        <v>0</v>
      </c>
      <c r="BW939" s="9">
        <f>[1]monsters!$R939</f>
        <v>0</v>
      </c>
      <c r="BX939" s="9">
        <f>[1]monsters!$S939</f>
        <v>0</v>
      </c>
      <c r="BY939" s="9">
        <f>[1]monsters!$K939</f>
        <v>0</v>
      </c>
      <c r="BZ939" s="7">
        <f>[1]monsters!$D939</f>
        <v>0</v>
      </c>
      <c r="CA939" s="7" t="e">
        <f t="shared" si="239"/>
        <v>#N/A</v>
      </c>
      <c r="CB939" s="7" t="e">
        <f t="shared" si="240"/>
        <v>#N/A</v>
      </c>
      <c r="CC939" s="7" t="e">
        <f t="shared" si="241"/>
        <v>#N/A</v>
      </c>
      <c r="CD939" s="7"/>
      <c r="CE939" s="7"/>
      <c r="CF939" s="7"/>
      <c r="CG939" s="7"/>
      <c r="CH939" s="7"/>
      <c r="CI939" s="7"/>
      <c r="CJ939" s="7"/>
      <c r="CK939" s="7"/>
      <c r="CL939" s="7"/>
      <c r="CM939" s="7"/>
      <c r="CN939" s="7"/>
      <c r="CO939" s="7"/>
      <c r="CP939" s="7"/>
      <c r="CR939" s="25"/>
      <c r="CS939" s="25"/>
      <c r="CT939" s="25"/>
      <c r="CU939" s="25"/>
      <c r="CV939" s="25"/>
      <c r="CW939" s="25"/>
      <c r="DP939" s="32"/>
      <c r="DQ939" s="32"/>
      <c r="DR939" s="32"/>
      <c r="DS939" s="32"/>
      <c r="DT939" s="32"/>
      <c r="DU939" s="32"/>
      <c r="DV939" s="32"/>
      <c r="DW939" s="32"/>
      <c r="DX939" s="32"/>
      <c r="DY939" s="32"/>
      <c r="DZ939" s="32"/>
      <c r="EA939" s="32"/>
    </row>
    <row r="940" spans="29:131" ht="13.5" customHeight="1">
      <c r="AC940" s="16" t="str">
        <f t="shared" si="238"/>
        <v/>
      </c>
      <c r="AD940" s="16" t="str">
        <f t="shared" si="242"/>
        <v/>
      </c>
      <c r="AE940" s="16" t="str">
        <f t="shared" si="242"/>
        <v/>
      </c>
      <c r="AF940" s="16" t="str">
        <f t="shared" si="242"/>
        <v/>
      </c>
      <c r="AG940" s="16" t="str">
        <f t="shared" si="242"/>
        <v/>
      </c>
      <c r="AH940" s="16" t="str">
        <f t="shared" si="242"/>
        <v/>
      </c>
      <c r="BR940" s="7">
        <v>5404092</v>
      </c>
      <c r="BS940" s="9">
        <f>[1]monsters!$N940</f>
        <v>0</v>
      </c>
      <c r="BT940" s="9">
        <f>[1]monsters!$O940</f>
        <v>0</v>
      </c>
      <c r="BU940" s="9">
        <f>[1]monsters!$P940</f>
        <v>0</v>
      </c>
      <c r="BV940" s="9">
        <f>[1]monsters!$Q940</f>
        <v>0</v>
      </c>
      <c r="BW940" s="9">
        <f>[1]monsters!$R940</f>
        <v>0</v>
      </c>
      <c r="BX940" s="9">
        <f>[1]monsters!$S940</f>
        <v>0</v>
      </c>
      <c r="BY940" s="9">
        <f>[1]monsters!$K940</f>
        <v>0</v>
      </c>
      <c r="BZ940" s="7">
        <f>[1]monsters!$D940</f>
        <v>0</v>
      </c>
      <c r="CA940" s="7" t="e">
        <f t="shared" si="239"/>
        <v>#N/A</v>
      </c>
      <c r="CB940" s="7" t="e">
        <f t="shared" si="240"/>
        <v>#N/A</v>
      </c>
      <c r="CC940" s="7" t="e">
        <f t="shared" si="241"/>
        <v>#N/A</v>
      </c>
      <c r="CN940" s="7"/>
      <c r="CO940" s="7"/>
      <c r="CP940" s="7"/>
      <c r="CR940" s="25"/>
      <c r="CS940" s="25"/>
      <c r="CT940" s="25"/>
      <c r="CU940" s="25"/>
      <c r="CV940" s="25"/>
      <c r="CW940" s="25"/>
      <c r="DP940" s="32"/>
      <c r="DQ940" s="32"/>
      <c r="DR940" s="32"/>
      <c r="DS940" s="32"/>
      <c r="DT940" s="32"/>
      <c r="DU940" s="32"/>
      <c r="DV940" s="32"/>
      <c r="DW940" s="32"/>
      <c r="DX940" s="32"/>
      <c r="DY940" s="32"/>
      <c r="DZ940" s="32"/>
      <c r="EA940" s="32"/>
    </row>
    <row r="941" spans="29:131" ht="13.5" customHeight="1">
      <c r="AC941" s="16" t="str">
        <f t="shared" si="238"/>
        <v/>
      </c>
      <c r="AD941" s="16" t="str">
        <f t="shared" si="242"/>
        <v/>
      </c>
      <c r="AE941" s="16" t="str">
        <f t="shared" si="242"/>
        <v/>
      </c>
      <c r="AF941" s="16" t="str">
        <f t="shared" si="242"/>
        <v/>
      </c>
      <c r="AG941" s="16" t="str">
        <f t="shared" si="242"/>
        <v/>
      </c>
      <c r="AH941" s="16" t="str">
        <f t="shared" si="242"/>
        <v/>
      </c>
      <c r="BR941" s="7">
        <v>5303092</v>
      </c>
      <c r="BS941" s="9">
        <f>[1]monsters!$N941</f>
        <v>0</v>
      </c>
      <c r="BT941" s="9">
        <f>[1]monsters!$O941</f>
        <v>0</v>
      </c>
      <c r="BU941" s="9">
        <f>[1]monsters!$P941</f>
        <v>0</v>
      </c>
      <c r="BV941" s="9">
        <f>[1]monsters!$Q941</f>
        <v>0</v>
      </c>
      <c r="BW941" s="9">
        <f>[1]monsters!$R941</f>
        <v>0</v>
      </c>
      <c r="BX941" s="9">
        <f>[1]monsters!$S941</f>
        <v>0</v>
      </c>
      <c r="BY941" s="9">
        <f>[1]monsters!$K941</f>
        <v>0</v>
      </c>
      <c r="BZ941" s="7">
        <f>[1]monsters!$D941</f>
        <v>0</v>
      </c>
      <c r="CA941" s="7" t="e">
        <f t="shared" si="239"/>
        <v>#N/A</v>
      </c>
      <c r="CB941" s="7" t="e">
        <f t="shared" si="240"/>
        <v>#N/A</v>
      </c>
      <c r="CC941" s="7" t="e">
        <f t="shared" si="241"/>
        <v>#N/A</v>
      </c>
      <c r="CN941" s="7"/>
      <c r="CO941" s="7"/>
      <c r="CP941" s="7"/>
      <c r="CR941" s="25"/>
      <c r="CS941" s="25"/>
      <c r="CT941" s="25"/>
      <c r="CU941" s="25"/>
      <c r="CV941" s="25"/>
      <c r="CW941" s="25"/>
      <c r="DP941" s="32"/>
      <c r="DQ941" s="32"/>
      <c r="DR941" s="32"/>
      <c r="DS941" s="32"/>
      <c r="DT941" s="32"/>
      <c r="DU941" s="32"/>
      <c r="DV941" s="32"/>
      <c r="DW941" s="32"/>
      <c r="DX941" s="32"/>
      <c r="DY941" s="32"/>
      <c r="DZ941" s="32"/>
      <c r="EA941" s="32"/>
    </row>
    <row r="942" spans="29:131" ht="13.5" customHeight="1">
      <c r="AC942" s="16" t="str">
        <f t="shared" si="238"/>
        <v/>
      </c>
      <c r="AD942" s="16" t="str">
        <f t="shared" si="242"/>
        <v/>
      </c>
      <c r="AE942" s="16" t="str">
        <f t="shared" si="242"/>
        <v/>
      </c>
      <c r="AF942" s="16" t="str">
        <f t="shared" si="242"/>
        <v/>
      </c>
      <c r="AG942" s="16" t="str">
        <f t="shared" si="242"/>
        <v/>
      </c>
      <c r="AH942" s="16" t="str">
        <f t="shared" si="242"/>
        <v/>
      </c>
      <c r="BR942" s="7">
        <v>5304092</v>
      </c>
      <c r="BS942" s="9">
        <f>[1]monsters!$N942</f>
        <v>0</v>
      </c>
      <c r="BT942" s="9">
        <f>[1]monsters!$O942</f>
        <v>0</v>
      </c>
      <c r="BU942" s="9">
        <f>[1]monsters!$P942</f>
        <v>0</v>
      </c>
      <c r="BV942" s="9">
        <f>[1]monsters!$Q942</f>
        <v>0</v>
      </c>
      <c r="BW942" s="9">
        <f>[1]monsters!$R942</f>
        <v>0</v>
      </c>
      <c r="BX942" s="9">
        <f>[1]monsters!$S942</f>
        <v>0</v>
      </c>
      <c r="BY942" s="9">
        <f>[1]monsters!$K942</f>
        <v>0</v>
      </c>
      <c r="BZ942" s="7">
        <f>[1]monsters!$D942</f>
        <v>0</v>
      </c>
      <c r="CA942" s="7" t="e">
        <f t="shared" si="239"/>
        <v>#N/A</v>
      </c>
      <c r="CB942" s="7" t="e">
        <f t="shared" si="240"/>
        <v>#N/A</v>
      </c>
      <c r="CC942" s="7" t="e">
        <f t="shared" si="241"/>
        <v>#N/A</v>
      </c>
      <c r="CN942" s="7"/>
      <c r="CO942" s="7"/>
      <c r="CP942" s="7"/>
      <c r="CR942" s="25"/>
      <c r="CS942" s="25"/>
      <c r="CT942" s="25"/>
      <c r="CU942" s="25"/>
      <c r="CV942" s="25"/>
      <c r="CW942" s="25"/>
      <c r="DP942" s="32"/>
      <c r="DQ942" s="32"/>
      <c r="DR942" s="32"/>
      <c r="DS942" s="32"/>
      <c r="DT942" s="32"/>
      <c r="DU942" s="32"/>
      <c r="DV942" s="32"/>
      <c r="DW942" s="32"/>
      <c r="DX942" s="32"/>
      <c r="DY942" s="32"/>
      <c r="DZ942" s="32"/>
      <c r="EA942" s="32"/>
    </row>
    <row r="943" spans="29:131" ht="13.5" customHeight="1">
      <c r="AC943" s="16" t="str">
        <f t="shared" si="238"/>
        <v/>
      </c>
      <c r="AD943" s="16" t="str">
        <f t="shared" si="242"/>
        <v/>
      </c>
      <c r="AE943" s="16" t="str">
        <f t="shared" si="242"/>
        <v/>
      </c>
      <c r="AF943" s="16" t="str">
        <f t="shared" si="242"/>
        <v/>
      </c>
      <c r="AG943" s="16" t="str">
        <f t="shared" si="242"/>
        <v/>
      </c>
      <c r="AH943" s="16" t="str">
        <f t="shared" si="242"/>
        <v/>
      </c>
      <c r="BR943" s="7">
        <v>5503092</v>
      </c>
      <c r="BS943" s="9">
        <f>[1]monsters!$N943</f>
        <v>0</v>
      </c>
      <c r="BT943" s="9">
        <f>[1]monsters!$O943</f>
        <v>0</v>
      </c>
      <c r="BU943" s="9">
        <f>[1]monsters!$P943</f>
        <v>0</v>
      </c>
      <c r="BV943" s="9">
        <f>[1]monsters!$Q943</f>
        <v>0</v>
      </c>
      <c r="BW943" s="9">
        <f>[1]monsters!$R943</f>
        <v>0</v>
      </c>
      <c r="BX943" s="9">
        <f>[1]monsters!$S943</f>
        <v>0</v>
      </c>
      <c r="BY943" s="9">
        <f>[1]monsters!$K943</f>
        <v>0</v>
      </c>
      <c r="BZ943" s="7">
        <f>[1]monsters!$D943</f>
        <v>0</v>
      </c>
      <c r="CA943" s="7" t="e">
        <f t="shared" si="239"/>
        <v>#N/A</v>
      </c>
      <c r="CB943" s="7" t="e">
        <f t="shared" si="240"/>
        <v>#N/A</v>
      </c>
      <c r="CC943" s="7" t="e">
        <f t="shared" si="241"/>
        <v>#N/A</v>
      </c>
      <c r="CN943" s="7"/>
      <c r="CO943" s="7"/>
      <c r="CP943" s="7"/>
      <c r="CR943" s="25"/>
      <c r="CS943" s="25"/>
      <c r="CT943" s="25"/>
      <c r="CU943" s="25"/>
      <c r="CV943" s="25"/>
      <c r="CW943" s="25"/>
      <c r="DP943" s="32"/>
      <c r="DQ943" s="32"/>
      <c r="DR943" s="32"/>
      <c r="DS943" s="32"/>
      <c r="DT943" s="32"/>
      <c r="DU943" s="32"/>
      <c r="DV943" s="32"/>
      <c r="DW943" s="32"/>
      <c r="DX943" s="32"/>
      <c r="DY943" s="32"/>
      <c r="DZ943" s="32"/>
      <c r="EA943" s="32"/>
    </row>
    <row r="944" spans="29:131" ht="13.5" customHeight="1">
      <c r="AC944" s="16" t="str">
        <f t="shared" si="238"/>
        <v/>
      </c>
      <c r="AD944" s="16" t="str">
        <f t="shared" si="242"/>
        <v/>
      </c>
      <c r="AE944" s="16" t="str">
        <f t="shared" si="242"/>
        <v/>
      </c>
      <c r="AF944" s="16" t="str">
        <f t="shared" si="242"/>
        <v/>
      </c>
      <c r="AG944" s="16" t="str">
        <f t="shared" si="242"/>
        <v/>
      </c>
      <c r="AH944" s="16" t="str">
        <f t="shared" si="242"/>
        <v/>
      </c>
      <c r="BR944" s="7">
        <v>5504092</v>
      </c>
      <c r="BS944" s="9">
        <f>[1]monsters!$N944</f>
        <v>0</v>
      </c>
      <c r="BT944" s="9">
        <f>[1]monsters!$O944</f>
        <v>0</v>
      </c>
      <c r="BU944" s="9">
        <f>[1]monsters!$P944</f>
        <v>0</v>
      </c>
      <c r="BV944" s="9">
        <f>[1]monsters!$Q944</f>
        <v>0</v>
      </c>
      <c r="BW944" s="9">
        <f>[1]monsters!$R944</f>
        <v>0</v>
      </c>
      <c r="BX944" s="9">
        <f>[1]monsters!$S944</f>
        <v>0</v>
      </c>
      <c r="BY944" s="9">
        <f>[1]monsters!$K944</f>
        <v>0</v>
      </c>
      <c r="BZ944" s="7">
        <f>[1]monsters!$D944</f>
        <v>0</v>
      </c>
      <c r="CA944" s="7" t="e">
        <f t="shared" si="239"/>
        <v>#N/A</v>
      </c>
      <c r="CB944" s="7" t="e">
        <f t="shared" si="240"/>
        <v>#N/A</v>
      </c>
      <c r="CC944" s="7" t="e">
        <f t="shared" si="241"/>
        <v>#N/A</v>
      </c>
      <c r="CN944" s="7"/>
      <c r="CO944" s="7"/>
      <c r="CP944" s="7"/>
      <c r="CR944" s="25"/>
      <c r="CS944" s="25"/>
      <c r="CT944" s="25"/>
      <c r="CU944" s="25"/>
      <c r="CV944" s="25"/>
      <c r="CW944" s="25"/>
      <c r="DP944" s="32"/>
      <c r="DQ944" s="32"/>
      <c r="DR944" s="32"/>
      <c r="DS944" s="32"/>
      <c r="DT944" s="32"/>
      <c r="DU944" s="32"/>
      <c r="DV944" s="32"/>
      <c r="DW944" s="32"/>
      <c r="DX944" s="32"/>
      <c r="DY944" s="32"/>
      <c r="DZ944" s="32"/>
      <c r="EA944" s="32"/>
    </row>
    <row r="945" spans="29:131" ht="13.5" customHeight="1">
      <c r="AC945" s="16" t="str">
        <f t="shared" si="238"/>
        <v/>
      </c>
      <c r="AD945" s="16" t="str">
        <f t="shared" si="242"/>
        <v/>
      </c>
      <c r="AE945" s="16" t="str">
        <f t="shared" si="242"/>
        <v/>
      </c>
      <c r="AF945" s="16" t="str">
        <f t="shared" si="242"/>
        <v/>
      </c>
      <c r="AG945" s="16" t="str">
        <f t="shared" si="242"/>
        <v/>
      </c>
      <c r="AH945" s="16" t="str">
        <f t="shared" si="242"/>
        <v/>
      </c>
      <c r="BR945" s="7">
        <v>5101092</v>
      </c>
      <c r="BS945" s="9">
        <f>[1]monsters!$N945</f>
        <v>0</v>
      </c>
      <c r="BT945" s="9">
        <f>[1]monsters!$O945</f>
        <v>0</v>
      </c>
      <c r="BU945" s="9">
        <f>[1]monsters!$P945</f>
        <v>0</v>
      </c>
      <c r="BV945" s="9">
        <f>[1]monsters!$Q945</f>
        <v>0</v>
      </c>
      <c r="BW945" s="9">
        <f>[1]monsters!$R945</f>
        <v>0</v>
      </c>
      <c r="BX945" s="9">
        <f>[1]monsters!$S945</f>
        <v>0</v>
      </c>
      <c r="BY945" s="9">
        <f>[1]monsters!$K945</f>
        <v>0</v>
      </c>
      <c r="BZ945" s="7">
        <f>[1]monsters!$D945</f>
        <v>0</v>
      </c>
      <c r="CA945" s="7" t="e">
        <f t="shared" si="239"/>
        <v>#N/A</v>
      </c>
      <c r="CB945" s="7" t="e">
        <f t="shared" si="240"/>
        <v>#N/A</v>
      </c>
      <c r="CC945" s="7" t="e">
        <f t="shared" si="241"/>
        <v>#N/A</v>
      </c>
      <c r="CN945" s="7"/>
      <c r="CO945" s="7"/>
      <c r="CP945" s="7"/>
      <c r="CR945" s="25"/>
      <c r="CS945" s="25"/>
      <c r="CT945" s="25"/>
      <c r="CU945" s="25"/>
      <c r="CV945" s="25"/>
      <c r="CW945" s="25"/>
      <c r="DP945" s="32"/>
      <c r="DQ945" s="32"/>
      <c r="DR945" s="32"/>
      <c r="DS945" s="32"/>
      <c r="DT945" s="32"/>
      <c r="DU945" s="32"/>
      <c r="DV945" s="32"/>
      <c r="DW945" s="32"/>
      <c r="DX945" s="32"/>
      <c r="DY945" s="32"/>
      <c r="DZ945" s="32"/>
      <c r="EA945" s="32"/>
    </row>
    <row r="946" spans="29:131" ht="13.5" customHeight="1">
      <c r="AC946" s="16" t="str">
        <f t="shared" si="238"/>
        <v/>
      </c>
      <c r="AD946" s="16" t="str">
        <f t="shared" si="242"/>
        <v/>
      </c>
      <c r="AE946" s="16" t="str">
        <f t="shared" si="242"/>
        <v/>
      </c>
      <c r="AF946" s="16" t="str">
        <f t="shared" si="242"/>
        <v/>
      </c>
      <c r="AG946" s="16" t="str">
        <f t="shared" si="242"/>
        <v/>
      </c>
      <c r="AH946" s="16" t="str">
        <f t="shared" si="242"/>
        <v/>
      </c>
      <c r="BR946" s="7">
        <v>5102092</v>
      </c>
      <c r="BS946" s="9">
        <f>[1]monsters!$N946</f>
        <v>0</v>
      </c>
      <c r="BT946" s="9">
        <f>[1]monsters!$O946</f>
        <v>0</v>
      </c>
      <c r="BU946" s="9">
        <f>[1]monsters!$P946</f>
        <v>0</v>
      </c>
      <c r="BV946" s="9">
        <f>[1]monsters!$Q946</f>
        <v>0</v>
      </c>
      <c r="BW946" s="9">
        <f>[1]monsters!$R946</f>
        <v>0</v>
      </c>
      <c r="BX946" s="9">
        <f>[1]monsters!$S946</f>
        <v>0</v>
      </c>
      <c r="BY946" s="9">
        <f>[1]monsters!$K946</f>
        <v>0</v>
      </c>
      <c r="BZ946" s="7">
        <f>[1]monsters!$D946</f>
        <v>0</v>
      </c>
      <c r="CA946" s="7" t="e">
        <f t="shared" si="239"/>
        <v>#N/A</v>
      </c>
      <c r="CB946" s="7" t="e">
        <f t="shared" si="240"/>
        <v>#N/A</v>
      </c>
      <c r="CC946" s="7" t="e">
        <f t="shared" si="241"/>
        <v>#N/A</v>
      </c>
      <c r="CN946" s="7"/>
      <c r="CO946" s="7"/>
      <c r="CP946" s="7"/>
      <c r="CR946" s="25"/>
      <c r="CS946" s="25"/>
      <c r="CT946" s="25"/>
      <c r="CU946" s="25"/>
      <c r="CV946" s="25"/>
      <c r="CW946" s="25"/>
      <c r="DP946" s="32"/>
      <c r="DQ946" s="32"/>
      <c r="DR946" s="32"/>
      <c r="DS946" s="32"/>
      <c r="DT946" s="32"/>
      <c r="DU946" s="32"/>
      <c r="DV946" s="32"/>
      <c r="DW946" s="32"/>
      <c r="DX946" s="32"/>
      <c r="DY946" s="32"/>
      <c r="DZ946" s="32"/>
      <c r="EA946" s="32"/>
    </row>
    <row r="947" spans="29:131" ht="13.5" customHeight="1">
      <c r="AC947" s="16" t="str">
        <f t="shared" si="238"/>
        <v/>
      </c>
      <c r="AD947" s="16" t="str">
        <f t="shared" si="242"/>
        <v/>
      </c>
      <c r="AE947" s="16" t="str">
        <f t="shared" si="242"/>
        <v/>
      </c>
      <c r="AF947" s="16" t="str">
        <f t="shared" si="242"/>
        <v/>
      </c>
      <c r="AG947" s="16" t="str">
        <f t="shared" si="242"/>
        <v/>
      </c>
      <c r="AH947" s="16" t="str">
        <f t="shared" si="242"/>
        <v/>
      </c>
      <c r="BR947" s="7">
        <v>5206093</v>
      </c>
      <c r="BS947" s="9">
        <f>[1]monsters!$N947</f>
        <v>0</v>
      </c>
      <c r="BT947" s="9">
        <f>[1]monsters!$O947</f>
        <v>0</v>
      </c>
      <c r="BU947" s="9">
        <f>[1]monsters!$P947</f>
        <v>0</v>
      </c>
      <c r="BV947" s="9">
        <f>[1]monsters!$Q947</f>
        <v>0</v>
      </c>
      <c r="BW947" s="9">
        <f>[1]monsters!$R947</f>
        <v>0</v>
      </c>
      <c r="BX947" s="9">
        <f>[1]monsters!$S947</f>
        <v>0</v>
      </c>
      <c r="BY947" s="9">
        <f>[1]monsters!$K947</f>
        <v>0</v>
      </c>
      <c r="BZ947" s="7">
        <f>[1]monsters!$D947</f>
        <v>0</v>
      </c>
      <c r="CA947" s="7" t="e">
        <f t="shared" si="239"/>
        <v>#N/A</v>
      </c>
      <c r="CB947" s="7" t="e">
        <f t="shared" si="240"/>
        <v>#N/A</v>
      </c>
      <c r="CC947" s="7" t="e">
        <f t="shared" si="241"/>
        <v>#N/A</v>
      </c>
      <c r="CN947" s="7"/>
      <c r="CO947" s="7"/>
      <c r="CP947" s="7"/>
      <c r="CR947" s="25"/>
      <c r="CS947" s="25"/>
      <c r="CT947" s="25"/>
      <c r="CU947" s="25"/>
      <c r="CV947" s="25"/>
      <c r="CW947" s="25"/>
      <c r="DP947" s="32"/>
      <c r="DQ947" s="32"/>
      <c r="DR947" s="32"/>
      <c r="DS947" s="32"/>
      <c r="DT947" s="32"/>
      <c r="DU947" s="32"/>
      <c r="DV947" s="32"/>
      <c r="DW947" s="32"/>
      <c r="DX947" s="32"/>
      <c r="DY947" s="32"/>
      <c r="DZ947" s="32"/>
      <c r="EA947" s="32"/>
    </row>
    <row r="948" spans="29:131" ht="13.5" customHeight="1">
      <c r="AC948" s="16" t="str">
        <f t="shared" si="238"/>
        <v/>
      </c>
      <c r="AD948" s="16" t="str">
        <f t="shared" si="242"/>
        <v/>
      </c>
      <c r="AE948" s="16" t="str">
        <f t="shared" si="242"/>
        <v/>
      </c>
      <c r="AF948" s="16" t="str">
        <f t="shared" si="242"/>
        <v/>
      </c>
      <c r="AG948" s="16" t="str">
        <f t="shared" si="242"/>
        <v/>
      </c>
      <c r="AH948" s="16" t="str">
        <f t="shared" si="242"/>
        <v/>
      </c>
      <c r="BR948" s="7">
        <v>5406093</v>
      </c>
      <c r="BS948" s="9">
        <f>[1]monsters!$N948</f>
        <v>0</v>
      </c>
      <c r="BT948" s="9">
        <f>[1]monsters!$O948</f>
        <v>0</v>
      </c>
      <c r="BU948" s="9">
        <f>[1]monsters!$P948</f>
        <v>0</v>
      </c>
      <c r="BV948" s="9">
        <f>[1]monsters!$Q948</f>
        <v>0</v>
      </c>
      <c r="BW948" s="9">
        <f>[1]monsters!$R948</f>
        <v>0</v>
      </c>
      <c r="BX948" s="9">
        <f>[1]monsters!$S948</f>
        <v>0</v>
      </c>
      <c r="BY948" s="9">
        <f>[1]monsters!$K948</f>
        <v>0</v>
      </c>
      <c r="BZ948" s="7">
        <f>[1]monsters!$D948</f>
        <v>0</v>
      </c>
      <c r="CA948" s="7" t="e">
        <f t="shared" si="239"/>
        <v>#N/A</v>
      </c>
      <c r="CB948" s="7" t="e">
        <f t="shared" si="240"/>
        <v>#N/A</v>
      </c>
      <c r="CC948" s="7" t="e">
        <f t="shared" si="241"/>
        <v>#N/A</v>
      </c>
      <c r="CN948" s="7"/>
      <c r="CO948" s="7"/>
      <c r="CP948" s="7"/>
      <c r="CR948" s="25"/>
      <c r="CS948" s="25"/>
      <c r="CT948" s="25"/>
      <c r="CU948" s="25"/>
      <c r="CV948" s="25"/>
      <c r="CW948" s="25"/>
      <c r="DP948" s="32"/>
      <c r="DQ948" s="32"/>
      <c r="DR948" s="32"/>
      <c r="DS948" s="32"/>
      <c r="DT948" s="32"/>
      <c r="DU948" s="32"/>
      <c r="DV948" s="32"/>
      <c r="DW948" s="32"/>
      <c r="DX948" s="32"/>
      <c r="DY948" s="32"/>
      <c r="DZ948" s="32"/>
      <c r="EA948" s="32"/>
    </row>
    <row r="949" spans="29:131" ht="13.5" customHeight="1">
      <c r="AC949" s="16" t="str">
        <f t="shared" si="238"/>
        <v/>
      </c>
      <c r="AD949" s="16" t="str">
        <f t="shared" si="242"/>
        <v/>
      </c>
      <c r="AE949" s="16" t="str">
        <f t="shared" si="242"/>
        <v/>
      </c>
      <c r="AF949" s="16" t="str">
        <f t="shared" si="242"/>
        <v/>
      </c>
      <c r="AG949" s="16" t="str">
        <f t="shared" si="242"/>
        <v/>
      </c>
      <c r="AH949" s="16" t="str">
        <f t="shared" si="242"/>
        <v/>
      </c>
      <c r="BR949" s="7">
        <v>5205093</v>
      </c>
      <c r="BS949" s="9">
        <f>[1]monsters!$N949</f>
        <v>0</v>
      </c>
      <c r="BT949" s="9">
        <f>[1]monsters!$O949</f>
        <v>0</v>
      </c>
      <c r="BU949" s="9">
        <f>[1]monsters!$P949</f>
        <v>0</v>
      </c>
      <c r="BV949" s="9">
        <f>[1]monsters!$Q949</f>
        <v>0</v>
      </c>
      <c r="BW949" s="9">
        <f>[1]monsters!$R949</f>
        <v>0</v>
      </c>
      <c r="BX949" s="9">
        <f>[1]monsters!$S949</f>
        <v>0</v>
      </c>
      <c r="BY949" s="9">
        <f>[1]monsters!$K949</f>
        <v>0</v>
      </c>
      <c r="BZ949" s="7">
        <f>[1]monsters!$D949</f>
        <v>0</v>
      </c>
      <c r="CA949" s="7" t="e">
        <f t="shared" si="239"/>
        <v>#N/A</v>
      </c>
      <c r="CB949" s="7" t="e">
        <f t="shared" si="240"/>
        <v>#N/A</v>
      </c>
      <c r="CC949" s="7" t="e">
        <f t="shared" si="241"/>
        <v>#N/A</v>
      </c>
      <c r="CN949" s="7"/>
      <c r="CO949" s="7"/>
      <c r="CP949" s="7"/>
      <c r="CR949" s="25"/>
      <c r="CS949" s="25"/>
      <c r="CT949" s="25"/>
      <c r="CU949" s="25"/>
      <c r="CV949" s="25"/>
      <c r="CW949" s="25"/>
      <c r="DP949" s="32"/>
      <c r="DQ949" s="32"/>
      <c r="DR949" s="32"/>
      <c r="DS949" s="32"/>
      <c r="DT949" s="32"/>
      <c r="DU949" s="32"/>
      <c r="DV949" s="32"/>
      <c r="DW949" s="32"/>
      <c r="DX949" s="32"/>
      <c r="DY949" s="32"/>
      <c r="DZ949" s="32"/>
      <c r="EA949" s="32"/>
    </row>
    <row r="950" spans="29:131" ht="13.5" customHeight="1">
      <c r="AC950" s="16" t="str">
        <f t="shared" si="238"/>
        <v/>
      </c>
      <c r="AD950" s="16" t="str">
        <f t="shared" si="242"/>
        <v/>
      </c>
      <c r="AE950" s="16" t="str">
        <f t="shared" si="242"/>
        <v/>
      </c>
      <c r="AF950" s="16" t="str">
        <f t="shared" si="242"/>
        <v/>
      </c>
      <c r="AG950" s="16" t="str">
        <f t="shared" si="242"/>
        <v/>
      </c>
      <c r="AH950" s="16" t="str">
        <f t="shared" si="242"/>
        <v/>
      </c>
      <c r="BR950" s="7">
        <v>5405093</v>
      </c>
      <c r="BS950" s="9">
        <f>[1]monsters!$N950</f>
        <v>0</v>
      </c>
      <c r="BT950" s="9">
        <f>[1]monsters!$O950</f>
        <v>0</v>
      </c>
      <c r="BU950" s="9">
        <f>[1]monsters!$P950</f>
        <v>0</v>
      </c>
      <c r="BV950" s="9">
        <f>[1]monsters!$Q950</f>
        <v>0</v>
      </c>
      <c r="BW950" s="9">
        <f>[1]monsters!$R950</f>
        <v>0</v>
      </c>
      <c r="BX950" s="9">
        <f>[1]monsters!$S950</f>
        <v>0</v>
      </c>
      <c r="BY950" s="9">
        <f>[1]monsters!$K950</f>
        <v>0</v>
      </c>
      <c r="BZ950" s="7">
        <f>[1]monsters!$D950</f>
        <v>0</v>
      </c>
      <c r="CA950" s="7" t="e">
        <f t="shared" si="239"/>
        <v>#N/A</v>
      </c>
      <c r="CB950" s="7" t="e">
        <f t="shared" si="240"/>
        <v>#N/A</v>
      </c>
      <c r="CC950" s="7" t="e">
        <f t="shared" si="241"/>
        <v>#N/A</v>
      </c>
      <c r="CN950" s="7"/>
      <c r="CO950" s="7"/>
      <c r="CP950" s="7"/>
      <c r="CR950" s="25"/>
      <c r="CS950" s="25"/>
      <c r="CT950" s="25"/>
      <c r="CU950" s="25"/>
      <c r="CV950" s="25"/>
      <c r="CW950" s="25"/>
      <c r="DP950" s="32"/>
      <c r="DQ950" s="32"/>
      <c r="DR950" s="32"/>
      <c r="DS950" s="32"/>
      <c r="DT950" s="32"/>
      <c r="DU950" s="32"/>
      <c r="DV950" s="32"/>
      <c r="DW950" s="32"/>
      <c r="DX950" s="32"/>
      <c r="DY950" s="32"/>
      <c r="DZ950" s="32"/>
      <c r="EA950" s="32"/>
    </row>
    <row r="951" spans="29:131" ht="13.5" customHeight="1">
      <c r="AC951" s="16" t="str">
        <f t="shared" si="238"/>
        <v/>
      </c>
      <c r="AD951" s="16" t="str">
        <f t="shared" si="242"/>
        <v/>
      </c>
      <c r="AE951" s="16" t="str">
        <f t="shared" si="242"/>
        <v/>
      </c>
      <c r="AF951" s="16" t="str">
        <f t="shared" si="242"/>
        <v/>
      </c>
      <c r="AG951" s="16" t="str">
        <f t="shared" si="242"/>
        <v/>
      </c>
      <c r="AH951" s="16" t="str">
        <f t="shared" si="242"/>
        <v/>
      </c>
      <c r="BR951" s="7">
        <v>5203093</v>
      </c>
      <c r="BS951" s="9">
        <f>[1]monsters!$N951</f>
        <v>0</v>
      </c>
      <c r="BT951" s="9">
        <f>[1]monsters!$O951</f>
        <v>0</v>
      </c>
      <c r="BU951" s="9">
        <f>[1]monsters!$P951</f>
        <v>0</v>
      </c>
      <c r="BV951" s="9">
        <f>[1]monsters!$Q951</f>
        <v>0</v>
      </c>
      <c r="BW951" s="9">
        <f>[1]monsters!$R951</f>
        <v>0</v>
      </c>
      <c r="BX951" s="9">
        <f>[1]monsters!$S951</f>
        <v>0</v>
      </c>
      <c r="BY951" s="9">
        <f>[1]monsters!$K951</f>
        <v>0</v>
      </c>
      <c r="BZ951" s="7">
        <f>[1]monsters!$D951</f>
        <v>0</v>
      </c>
      <c r="CA951" s="7" t="e">
        <f t="shared" si="239"/>
        <v>#N/A</v>
      </c>
      <c r="CB951" s="7" t="e">
        <f t="shared" si="240"/>
        <v>#N/A</v>
      </c>
      <c r="CC951" s="7" t="e">
        <f t="shared" si="241"/>
        <v>#N/A</v>
      </c>
      <c r="CN951" s="7"/>
      <c r="CO951" s="7"/>
      <c r="CP951" s="7"/>
      <c r="CR951" s="25"/>
      <c r="CS951" s="25"/>
      <c r="CT951" s="25"/>
      <c r="CU951" s="25"/>
      <c r="CV951" s="25"/>
      <c r="CW951" s="25"/>
      <c r="DP951" s="32"/>
      <c r="DQ951" s="32"/>
      <c r="DR951" s="32"/>
      <c r="DS951" s="32"/>
      <c r="DT951" s="32"/>
      <c r="DU951" s="32"/>
      <c r="DV951" s="32"/>
      <c r="DW951" s="32"/>
      <c r="DX951" s="32"/>
      <c r="DY951" s="32"/>
      <c r="DZ951" s="32"/>
      <c r="EA951" s="32"/>
    </row>
    <row r="952" spans="29:131" ht="13.5" customHeight="1">
      <c r="AC952" s="16" t="str">
        <f t="shared" si="238"/>
        <v/>
      </c>
      <c r="AD952" s="16" t="str">
        <f t="shared" si="242"/>
        <v/>
      </c>
      <c r="AE952" s="16" t="str">
        <f t="shared" si="242"/>
        <v/>
      </c>
      <c r="AF952" s="16" t="str">
        <f t="shared" si="242"/>
        <v/>
      </c>
      <c r="AG952" s="16" t="str">
        <f t="shared" si="242"/>
        <v/>
      </c>
      <c r="AH952" s="16" t="str">
        <f t="shared" si="242"/>
        <v/>
      </c>
      <c r="BR952" s="7">
        <v>5403093</v>
      </c>
      <c r="BS952" s="9">
        <f>[1]monsters!$N952</f>
        <v>0</v>
      </c>
      <c r="BT952" s="9">
        <f>[1]monsters!$O952</f>
        <v>0</v>
      </c>
      <c r="BU952" s="9">
        <f>[1]monsters!$P952</f>
        <v>0</v>
      </c>
      <c r="BV952" s="9">
        <f>[1]monsters!$Q952</f>
        <v>0</v>
      </c>
      <c r="BW952" s="9">
        <f>[1]monsters!$R952</f>
        <v>0</v>
      </c>
      <c r="BX952" s="9">
        <f>[1]monsters!$S952</f>
        <v>0</v>
      </c>
      <c r="BY952" s="9">
        <f>[1]monsters!$K952</f>
        <v>0</v>
      </c>
      <c r="BZ952" s="7">
        <f>[1]monsters!$D952</f>
        <v>0</v>
      </c>
      <c r="CA952" s="7" t="e">
        <f t="shared" si="239"/>
        <v>#N/A</v>
      </c>
      <c r="CB952" s="7" t="e">
        <f t="shared" si="240"/>
        <v>#N/A</v>
      </c>
      <c r="CC952" s="7" t="e">
        <f t="shared" si="241"/>
        <v>#N/A</v>
      </c>
      <c r="CN952" s="7"/>
      <c r="CO952" s="7"/>
      <c r="CP952" s="7"/>
      <c r="CR952" s="25"/>
      <c r="CS952" s="25"/>
      <c r="CT952" s="25"/>
      <c r="CU952" s="25"/>
      <c r="CV952" s="25"/>
      <c r="CW952" s="25"/>
      <c r="DP952" s="32"/>
      <c r="DQ952" s="32"/>
      <c r="DR952" s="32"/>
      <c r="DS952" s="32"/>
      <c r="DT952" s="32"/>
      <c r="DU952" s="32"/>
      <c r="DV952" s="32"/>
      <c r="DW952" s="32"/>
      <c r="DX952" s="32"/>
      <c r="DY952" s="32"/>
      <c r="DZ952" s="32"/>
      <c r="EA952" s="32"/>
    </row>
    <row r="953" spans="29:131" ht="13.5" customHeight="1">
      <c r="AC953" s="16" t="str">
        <f t="shared" si="238"/>
        <v/>
      </c>
      <c r="AD953" s="16" t="str">
        <f t="shared" si="242"/>
        <v/>
      </c>
      <c r="AE953" s="16" t="str">
        <f t="shared" si="242"/>
        <v/>
      </c>
      <c r="AF953" s="16" t="str">
        <f t="shared" si="242"/>
        <v/>
      </c>
      <c r="AG953" s="16" t="str">
        <f t="shared" si="242"/>
        <v/>
      </c>
      <c r="AH953" s="16" t="str">
        <f t="shared" si="242"/>
        <v/>
      </c>
      <c r="BR953" s="7">
        <v>5204093</v>
      </c>
      <c r="BS953" s="9">
        <f>[1]monsters!$N953</f>
        <v>0</v>
      </c>
      <c r="BT953" s="9">
        <f>[1]monsters!$O953</f>
        <v>0</v>
      </c>
      <c r="BU953" s="9">
        <f>[1]monsters!$P953</f>
        <v>0</v>
      </c>
      <c r="BV953" s="9">
        <f>[1]monsters!$Q953</f>
        <v>0</v>
      </c>
      <c r="BW953" s="9">
        <f>[1]monsters!$R953</f>
        <v>0</v>
      </c>
      <c r="BX953" s="9">
        <f>[1]monsters!$S953</f>
        <v>0</v>
      </c>
      <c r="BY953" s="9">
        <f>[1]monsters!$K953</f>
        <v>0</v>
      </c>
      <c r="BZ953" s="7">
        <f>[1]monsters!$D953</f>
        <v>0</v>
      </c>
      <c r="CA953" s="7" t="e">
        <f t="shared" si="239"/>
        <v>#N/A</v>
      </c>
      <c r="CB953" s="7" t="e">
        <f t="shared" si="240"/>
        <v>#N/A</v>
      </c>
      <c r="CC953" s="7" t="e">
        <f t="shared" si="241"/>
        <v>#N/A</v>
      </c>
      <c r="CN953" s="7"/>
      <c r="CO953" s="7"/>
      <c r="CP953" s="7"/>
      <c r="CR953" s="25"/>
      <c r="CS953" s="25"/>
      <c r="CT953" s="25"/>
      <c r="CU953" s="25"/>
      <c r="CV953" s="25"/>
      <c r="CW953" s="25"/>
      <c r="DP953" s="25"/>
      <c r="DQ953" s="25"/>
      <c r="DR953" s="25"/>
      <c r="DS953" s="25"/>
      <c r="DT953" s="25"/>
      <c r="DU953" s="25"/>
      <c r="DV953" s="32"/>
      <c r="DW953" s="32"/>
      <c r="DX953" s="32"/>
      <c r="DY953" s="32"/>
      <c r="DZ953" s="32"/>
      <c r="EA953" s="32"/>
    </row>
    <row r="954" spans="29:131" ht="13.5" customHeight="1">
      <c r="AC954" s="16" t="str">
        <f t="shared" si="238"/>
        <v/>
      </c>
      <c r="AD954" s="16" t="str">
        <f t="shared" si="242"/>
        <v/>
      </c>
      <c r="AE954" s="16" t="str">
        <f t="shared" si="242"/>
        <v/>
      </c>
      <c r="AF954" s="16" t="str">
        <f t="shared" si="242"/>
        <v/>
      </c>
      <c r="AG954" s="16" t="str">
        <f t="shared" si="242"/>
        <v/>
      </c>
      <c r="AH954" s="16" t="str">
        <f t="shared" si="242"/>
        <v/>
      </c>
      <c r="BR954" s="7">
        <v>5404093</v>
      </c>
      <c r="BS954" s="9">
        <f>[1]monsters!$N954</f>
        <v>0</v>
      </c>
      <c r="BT954" s="9">
        <f>[1]monsters!$O954</f>
        <v>0</v>
      </c>
      <c r="BU954" s="9">
        <f>[1]monsters!$P954</f>
        <v>0</v>
      </c>
      <c r="BV954" s="9">
        <f>[1]monsters!$Q954</f>
        <v>0</v>
      </c>
      <c r="BW954" s="9">
        <f>[1]monsters!$R954</f>
        <v>0</v>
      </c>
      <c r="BX954" s="9">
        <f>[1]monsters!$S954</f>
        <v>0</v>
      </c>
      <c r="BY954" s="9">
        <f>[1]monsters!$K954</f>
        <v>0</v>
      </c>
      <c r="BZ954" s="7">
        <f>[1]monsters!$D954</f>
        <v>0</v>
      </c>
      <c r="CA954" s="7" t="e">
        <f t="shared" si="239"/>
        <v>#N/A</v>
      </c>
      <c r="CB954" s="7" t="e">
        <f t="shared" si="240"/>
        <v>#N/A</v>
      </c>
      <c r="CC954" s="7" t="e">
        <f t="shared" si="241"/>
        <v>#N/A</v>
      </c>
      <c r="CN954" s="7"/>
      <c r="CO954" s="7"/>
      <c r="CP954" s="7"/>
      <c r="CR954" s="25"/>
      <c r="CS954" s="25"/>
      <c r="CT954" s="25"/>
      <c r="CU954" s="25"/>
      <c r="CV954" s="25"/>
      <c r="CW954" s="25"/>
      <c r="DP954" s="25"/>
      <c r="DQ954" s="25"/>
      <c r="DR954" s="25"/>
      <c r="DS954" s="32"/>
      <c r="DT954" s="32"/>
      <c r="DU954" s="32"/>
      <c r="DV954" s="32"/>
      <c r="DW954" s="32"/>
      <c r="DX954" s="32"/>
      <c r="DY954" s="32"/>
      <c r="DZ954" s="32"/>
      <c r="EA954" s="32"/>
    </row>
    <row r="955" spans="29:131" ht="13.5" customHeight="1">
      <c r="AC955" s="16" t="str">
        <f t="shared" si="238"/>
        <v/>
      </c>
      <c r="AD955" s="16" t="str">
        <f t="shared" si="242"/>
        <v/>
      </c>
      <c r="AE955" s="16" t="str">
        <f t="shared" si="242"/>
        <v/>
      </c>
      <c r="AF955" s="16" t="str">
        <f t="shared" si="242"/>
        <v/>
      </c>
      <c r="AG955" s="16" t="str">
        <f t="shared" si="242"/>
        <v/>
      </c>
      <c r="AH955" s="16" t="str">
        <f t="shared" si="242"/>
        <v/>
      </c>
      <c r="BR955" s="7">
        <v>5303093</v>
      </c>
      <c r="BS955" s="9">
        <f>[1]monsters!$N955</f>
        <v>0</v>
      </c>
      <c r="BT955" s="9">
        <f>[1]monsters!$O955</f>
        <v>0</v>
      </c>
      <c r="BU955" s="9">
        <f>[1]monsters!$P955</f>
        <v>0</v>
      </c>
      <c r="BV955" s="9">
        <f>[1]monsters!$Q955</f>
        <v>0</v>
      </c>
      <c r="BW955" s="9">
        <f>[1]monsters!$R955</f>
        <v>0</v>
      </c>
      <c r="BX955" s="9">
        <f>[1]monsters!$S955</f>
        <v>0</v>
      </c>
      <c r="BY955" s="9">
        <f>[1]monsters!$K955</f>
        <v>0</v>
      </c>
      <c r="BZ955" s="7">
        <f>[1]monsters!$D955</f>
        <v>0</v>
      </c>
      <c r="CA955" s="7" t="e">
        <f t="shared" si="239"/>
        <v>#N/A</v>
      </c>
      <c r="CB955" s="7" t="e">
        <f t="shared" si="240"/>
        <v>#N/A</v>
      </c>
      <c r="CC955" s="7" t="e">
        <f t="shared" si="241"/>
        <v>#N/A</v>
      </c>
      <c r="CN955" s="7"/>
      <c r="CO955" s="7"/>
      <c r="CP955" s="7"/>
      <c r="CR955" s="25"/>
      <c r="CS955" s="25"/>
      <c r="CT955" s="25"/>
      <c r="CU955" s="25"/>
      <c r="CV955" s="25"/>
      <c r="CW955" s="25"/>
      <c r="DP955" s="25"/>
      <c r="DQ955" s="25"/>
      <c r="DR955" s="25"/>
      <c r="DS955" s="25"/>
      <c r="DT955" s="25"/>
      <c r="DU955" s="25"/>
      <c r="DV955" s="32"/>
      <c r="DW955" s="32"/>
      <c r="DX955" s="32"/>
      <c r="DY955" s="32"/>
      <c r="DZ955" s="32"/>
      <c r="EA955" s="32"/>
    </row>
    <row r="956" spans="29:131" ht="13.5" customHeight="1">
      <c r="AC956" s="16" t="str">
        <f t="shared" si="238"/>
        <v/>
      </c>
      <c r="AD956" s="16" t="str">
        <f t="shared" si="242"/>
        <v/>
      </c>
      <c r="AE956" s="16" t="str">
        <f t="shared" si="242"/>
        <v/>
      </c>
      <c r="AF956" s="16" t="str">
        <f t="shared" si="242"/>
        <v/>
      </c>
      <c r="AG956" s="16" t="str">
        <f t="shared" si="242"/>
        <v/>
      </c>
      <c r="AH956" s="16" t="str">
        <f t="shared" si="242"/>
        <v/>
      </c>
      <c r="BR956" s="7">
        <v>5304093</v>
      </c>
      <c r="BS956" s="9">
        <f>[1]monsters!$N956</f>
        <v>0</v>
      </c>
      <c r="BT956" s="9">
        <f>[1]monsters!$O956</f>
        <v>0</v>
      </c>
      <c r="BU956" s="9">
        <f>[1]monsters!$P956</f>
        <v>0</v>
      </c>
      <c r="BV956" s="9">
        <f>[1]monsters!$Q956</f>
        <v>0</v>
      </c>
      <c r="BW956" s="9">
        <f>[1]monsters!$R956</f>
        <v>0</v>
      </c>
      <c r="BX956" s="9">
        <f>[1]monsters!$S956</f>
        <v>0</v>
      </c>
      <c r="BY956" s="9">
        <f>[1]monsters!$K956</f>
        <v>0</v>
      </c>
      <c r="BZ956" s="7">
        <f>[1]monsters!$D956</f>
        <v>0</v>
      </c>
      <c r="CA956" s="7" t="e">
        <f t="shared" si="239"/>
        <v>#N/A</v>
      </c>
      <c r="CB956" s="7" t="e">
        <f t="shared" si="240"/>
        <v>#N/A</v>
      </c>
      <c r="CC956" s="7" t="e">
        <f t="shared" si="241"/>
        <v>#N/A</v>
      </c>
      <c r="CN956" s="7"/>
      <c r="CO956" s="7"/>
      <c r="CP956" s="7"/>
      <c r="CR956" s="25"/>
      <c r="CS956" s="25"/>
      <c r="CT956" s="25"/>
      <c r="CU956" s="25"/>
      <c r="CV956" s="25"/>
      <c r="CW956" s="25"/>
      <c r="DP956" s="25"/>
      <c r="DQ956" s="25"/>
      <c r="DR956" s="25"/>
      <c r="DS956" s="25"/>
      <c r="DT956" s="25"/>
      <c r="DU956" s="25"/>
      <c r="DV956" s="32"/>
      <c r="DW956" s="32"/>
      <c r="DX956" s="32"/>
      <c r="DY956" s="32"/>
      <c r="DZ956" s="32"/>
      <c r="EA956" s="32"/>
    </row>
    <row r="957" spans="29:131" ht="13.5" customHeight="1">
      <c r="AC957" s="16" t="str">
        <f t="shared" si="238"/>
        <v/>
      </c>
      <c r="AD957" s="16" t="str">
        <f t="shared" si="242"/>
        <v/>
      </c>
      <c r="AE957" s="16" t="str">
        <f t="shared" si="242"/>
        <v/>
      </c>
      <c r="AF957" s="16" t="str">
        <f t="shared" si="242"/>
        <v/>
      </c>
      <c r="AG957" s="16" t="str">
        <f t="shared" si="242"/>
        <v/>
      </c>
      <c r="AH957" s="16" t="str">
        <f t="shared" si="242"/>
        <v/>
      </c>
      <c r="BR957" s="7">
        <v>5503093</v>
      </c>
      <c r="BS957" s="9">
        <f>[1]monsters!$N957</f>
        <v>0</v>
      </c>
      <c r="BT957" s="9">
        <f>[1]monsters!$O957</f>
        <v>0</v>
      </c>
      <c r="BU957" s="9">
        <f>[1]monsters!$P957</f>
        <v>0</v>
      </c>
      <c r="BV957" s="9">
        <f>[1]monsters!$Q957</f>
        <v>0</v>
      </c>
      <c r="BW957" s="9">
        <f>[1]monsters!$R957</f>
        <v>0</v>
      </c>
      <c r="BX957" s="9">
        <f>[1]monsters!$S957</f>
        <v>0</v>
      </c>
      <c r="BY957" s="9">
        <f>[1]monsters!$K957</f>
        <v>0</v>
      </c>
      <c r="BZ957" s="7">
        <f>[1]monsters!$D957</f>
        <v>0</v>
      </c>
      <c r="CA957" s="7" t="e">
        <f t="shared" si="239"/>
        <v>#N/A</v>
      </c>
      <c r="CB957" s="7" t="e">
        <f t="shared" si="240"/>
        <v>#N/A</v>
      </c>
      <c r="CC957" s="7" t="e">
        <f t="shared" si="241"/>
        <v>#N/A</v>
      </c>
      <c r="CN957" s="7"/>
      <c r="CO957" s="7"/>
      <c r="CP957" s="7"/>
      <c r="CR957" s="25"/>
      <c r="CS957" s="25"/>
      <c r="CT957" s="25"/>
      <c r="CU957" s="25"/>
      <c r="CV957" s="25"/>
      <c r="CW957" s="25"/>
      <c r="DP957" s="25"/>
      <c r="DQ957" s="25"/>
      <c r="DR957" s="25"/>
      <c r="DS957" s="25"/>
      <c r="DT957" s="25"/>
      <c r="DU957" s="25"/>
      <c r="DV957" s="32"/>
      <c r="DW957" s="32"/>
      <c r="DX957" s="32"/>
      <c r="DY957" s="32"/>
      <c r="DZ957" s="32"/>
      <c r="EA957" s="32"/>
    </row>
    <row r="958" spans="29:131" ht="13.5" customHeight="1">
      <c r="AC958" s="16" t="str">
        <f t="shared" si="238"/>
        <v/>
      </c>
      <c r="AD958" s="16" t="str">
        <f t="shared" si="242"/>
        <v/>
      </c>
      <c r="AE958" s="16" t="str">
        <f t="shared" si="242"/>
        <v/>
      </c>
      <c r="AF958" s="16" t="str">
        <f t="shared" si="242"/>
        <v/>
      </c>
      <c r="AG958" s="16" t="str">
        <f t="shared" si="242"/>
        <v/>
      </c>
      <c r="AH958" s="16" t="str">
        <f t="shared" si="242"/>
        <v/>
      </c>
      <c r="BR958" s="7">
        <v>5504093</v>
      </c>
      <c r="BS958" s="9">
        <f>[1]monsters!$N958</f>
        <v>0</v>
      </c>
      <c r="BT958" s="9">
        <f>[1]monsters!$O958</f>
        <v>0</v>
      </c>
      <c r="BU958" s="9">
        <f>[1]monsters!$P958</f>
        <v>0</v>
      </c>
      <c r="BV958" s="9">
        <f>[1]monsters!$Q958</f>
        <v>0</v>
      </c>
      <c r="BW958" s="9">
        <f>[1]monsters!$R958</f>
        <v>0</v>
      </c>
      <c r="BX958" s="9">
        <f>[1]monsters!$S958</f>
        <v>0</v>
      </c>
      <c r="BY958" s="9">
        <f>[1]monsters!$K958</f>
        <v>0</v>
      </c>
      <c r="BZ958" s="7">
        <f>[1]monsters!$D958</f>
        <v>0</v>
      </c>
      <c r="CA958" s="7" t="e">
        <f t="shared" si="239"/>
        <v>#N/A</v>
      </c>
      <c r="CB958" s="7" t="e">
        <f t="shared" si="240"/>
        <v>#N/A</v>
      </c>
      <c r="CC958" s="7" t="e">
        <f t="shared" si="241"/>
        <v>#N/A</v>
      </c>
      <c r="CN958" s="7"/>
      <c r="CO958" s="7"/>
      <c r="CP958" s="7"/>
      <c r="CR958" s="25"/>
      <c r="CS958" s="25"/>
      <c r="CT958" s="25"/>
      <c r="CU958" s="25"/>
      <c r="CV958" s="25"/>
      <c r="CW958" s="25"/>
      <c r="DP958" s="32"/>
      <c r="DQ958" s="32"/>
      <c r="DR958" s="32"/>
      <c r="DS958" s="32"/>
      <c r="DT958" s="32"/>
      <c r="DU958" s="32"/>
      <c r="DV958" s="32"/>
      <c r="DW958" s="32"/>
      <c r="DX958" s="32"/>
      <c r="DY958" s="32"/>
      <c r="DZ958" s="32"/>
      <c r="EA958" s="32"/>
    </row>
    <row r="959" spans="29:131" ht="13.5" customHeight="1">
      <c r="AC959" s="16" t="str">
        <f t="shared" si="238"/>
        <v/>
      </c>
      <c r="AD959" s="16" t="str">
        <f t="shared" si="242"/>
        <v/>
      </c>
      <c r="AE959" s="16" t="str">
        <f t="shared" si="242"/>
        <v/>
      </c>
      <c r="AF959" s="16" t="str">
        <f t="shared" si="242"/>
        <v/>
      </c>
      <c r="AG959" s="16" t="str">
        <f t="shared" si="242"/>
        <v/>
      </c>
      <c r="AH959" s="16" t="str">
        <f t="shared" si="242"/>
        <v/>
      </c>
      <c r="BR959" s="7">
        <v>5101093</v>
      </c>
      <c r="BS959" s="9">
        <f>[1]monsters!$N959</f>
        <v>0</v>
      </c>
      <c r="BT959" s="9">
        <f>[1]monsters!$O959</f>
        <v>0</v>
      </c>
      <c r="BU959" s="9">
        <f>[1]monsters!$P959</f>
        <v>0</v>
      </c>
      <c r="BV959" s="9">
        <f>[1]monsters!$Q959</f>
        <v>0</v>
      </c>
      <c r="BW959" s="9">
        <f>[1]monsters!$R959</f>
        <v>0</v>
      </c>
      <c r="BX959" s="9">
        <f>[1]monsters!$S959</f>
        <v>0</v>
      </c>
      <c r="BY959" s="9">
        <f>[1]monsters!$K959</f>
        <v>0</v>
      </c>
      <c r="BZ959" s="7">
        <f>[1]monsters!$D959</f>
        <v>0</v>
      </c>
      <c r="CA959" s="7" t="e">
        <f t="shared" si="239"/>
        <v>#N/A</v>
      </c>
      <c r="CB959" s="7" t="e">
        <f t="shared" si="240"/>
        <v>#N/A</v>
      </c>
      <c r="CC959" s="7" t="e">
        <f t="shared" si="241"/>
        <v>#N/A</v>
      </c>
      <c r="CN959" s="7"/>
      <c r="CO959" s="7"/>
      <c r="CP959" s="7"/>
      <c r="CR959" s="25"/>
      <c r="CS959" s="25"/>
      <c r="CT959" s="25"/>
      <c r="CU959" s="25"/>
      <c r="CV959" s="25"/>
      <c r="CW959" s="25"/>
      <c r="DP959" s="36"/>
      <c r="DQ959" s="36"/>
      <c r="DR959" s="36"/>
      <c r="DS959" s="36"/>
      <c r="DT959" s="36"/>
      <c r="DU959" s="36"/>
      <c r="DV959" s="32"/>
      <c r="DW959" s="32"/>
      <c r="DX959" s="32"/>
      <c r="DY959" s="32"/>
      <c r="DZ959" s="32"/>
      <c r="EA959" s="32"/>
    </row>
    <row r="960" spans="29:131" ht="13.5" customHeight="1">
      <c r="AC960" s="16" t="str">
        <f t="shared" si="238"/>
        <v/>
      </c>
      <c r="AD960" s="16" t="str">
        <f t="shared" si="242"/>
        <v/>
      </c>
      <c r="AE960" s="16" t="str">
        <f t="shared" si="242"/>
        <v/>
      </c>
      <c r="AF960" s="16" t="str">
        <f t="shared" si="242"/>
        <v/>
      </c>
      <c r="AG960" s="16" t="str">
        <f t="shared" si="242"/>
        <v/>
      </c>
      <c r="AH960" s="16" t="str">
        <f t="shared" si="242"/>
        <v/>
      </c>
      <c r="BR960" s="7">
        <v>5102093</v>
      </c>
      <c r="BS960" s="9">
        <f>[1]monsters!$N960</f>
        <v>0</v>
      </c>
      <c r="BT960" s="9">
        <f>[1]monsters!$O960</f>
        <v>0</v>
      </c>
      <c r="BU960" s="9">
        <f>[1]monsters!$P960</f>
        <v>0</v>
      </c>
      <c r="BV960" s="9">
        <f>[1]monsters!$Q960</f>
        <v>0</v>
      </c>
      <c r="BW960" s="9">
        <f>[1]monsters!$R960</f>
        <v>0</v>
      </c>
      <c r="BX960" s="9">
        <f>[1]monsters!$S960</f>
        <v>0</v>
      </c>
      <c r="BY960" s="9">
        <f>[1]monsters!$K960</f>
        <v>0</v>
      </c>
      <c r="BZ960" s="7">
        <f>[1]monsters!$D960</f>
        <v>0</v>
      </c>
      <c r="CA960" s="7" t="e">
        <f t="shared" si="239"/>
        <v>#N/A</v>
      </c>
      <c r="CB960" s="7" t="e">
        <f t="shared" si="240"/>
        <v>#N/A</v>
      </c>
      <c r="CC960" s="7" t="e">
        <f t="shared" si="241"/>
        <v>#N/A</v>
      </c>
      <c r="CN960" s="7"/>
      <c r="CO960" s="7"/>
      <c r="CP960" s="7"/>
      <c r="CR960" s="25"/>
      <c r="CS960" s="25"/>
      <c r="CT960" s="25"/>
      <c r="CU960" s="25"/>
      <c r="CV960" s="25"/>
      <c r="CW960" s="25"/>
      <c r="DP960" s="32"/>
      <c r="DQ960" s="32"/>
      <c r="DR960" s="36"/>
      <c r="DS960" s="36"/>
      <c r="DT960" s="36"/>
      <c r="DU960" s="36"/>
      <c r="DV960" s="32"/>
      <c r="DW960" s="32"/>
      <c r="DX960" s="32"/>
      <c r="DY960" s="32"/>
      <c r="DZ960" s="32"/>
      <c r="EA960" s="32"/>
    </row>
    <row r="961" spans="29:131" ht="13.5" customHeight="1">
      <c r="AC961" s="16" t="str">
        <f t="shared" si="238"/>
        <v/>
      </c>
      <c r="AD961" s="16" t="str">
        <f t="shared" ref="AD961:AH1002" si="243">IF(AJ961&gt;0,FLOOR((POWER((AJ961/IF(AND(X961&gt;=2,X961&lt;4),1.1,IF(AND(X961&gt;=4,X961&lt;6),1.15,IF(X961&gt;=6,1.2,1)))/$Z$1),0.5)/INDEX($BD$4:$BQ$4,MATCH(X961,$BD$3:$BQ$3,0))-1)*10,1),"")</f>
        <v/>
      </c>
      <c r="AE961" s="16" t="str">
        <f t="shared" si="243"/>
        <v/>
      </c>
      <c r="AF961" s="16" t="str">
        <f t="shared" si="243"/>
        <v/>
      </c>
      <c r="AG961" s="16" t="str">
        <f t="shared" si="243"/>
        <v/>
      </c>
      <c r="AH961" s="16" t="str">
        <f t="shared" si="243"/>
        <v/>
      </c>
      <c r="BR961" s="7">
        <v>5206094</v>
      </c>
      <c r="BS961" s="9">
        <f>[1]monsters!$N961</f>
        <v>0</v>
      </c>
      <c r="BT961" s="9">
        <f>[1]monsters!$O961</f>
        <v>0</v>
      </c>
      <c r="BU961" s="9">
        <f>[1]monsters!$P961</f>
        <v>0</v>
      </c>
      <c r="BV961" s="9">
        <f>[1]monsters!$Q961</f>
        <v>0</v>
      </c>
      <c r="BW961" s="9">
        <f>[1]monsters!$R961</f>
        <v>0</v>
      </c>
      <c r="BX961" s="9">
        <f>[1]monsters!$S961</f>
        <v>0</v>
      </c>
      <c r="BY961" s="9">
        <f>[1]monsters!$K961</f>
        <v>0</v>
      </c>
      <c r="BZ961" s="7">
        <f>[1]monsters!$D961</f>
        <v>0</v>
      </c>
      <c r="CA961" s="7" t="e">
        <f t="shared" si="239"/>
        <v>#N/A</v>
      </c>
      <c r="CB961" s="7" t="e">
        <f t="shared" si="240"/>
        <v>#N/A</v>
      </c>
      <c r="CC961" s="7" t="e">
        <f t="shared" si="241"/>
        <v>#N/A</v>
      </c>
      <c r="CN961" s="7"/>
      <c r="CO961" s="7"/>
      <c r="CP961" s="7"/>
      <c r="CR961" s="25"/>
      <c r="CS961" s="25"/>
      <c r="CT961" s="25"/>
      <c r="CU961" s="25"/>
      <c r="CV961" s="25"/>
      <c r="CW961" s="25"/>
      <c r="DP961" s="32"/>
      <c r="DQ961" s="32"/>
      <c r="DR961" s="32"/>
      <c r="DS961" s="36"/>
      <c r="DT961" s="36"/>
      <c r="DU961" s="36"/>
      <c r="DV961" s="32"/>
      <c r="DW961" s="32"/>
      <c r="DX961" s="32"/>
      <c r="DY961" s="32"/>
      <c r="DZ961" s="32"/>
      <c r="EA961" s="32"/>
    </row>
    <row r="962" spans="29:131" ht="13.5" customHeight="1">
      <c r="AC962" s="16" t="str">
        <f t="shared" si="238"/>
        <v/>
      </c>
      <c r="AD962" s="16" t="str">
        <f t="shared" si="243"/>
        <v/>
      </c>
      <c r="AE962" s="16" t="str">
        <f t="shared" si="243"/>
        <v/>
      </c>
      <c r="AF962" s="16" t="str">
        <f t="shared" si="243"/>
        <v/>
      </c>
      <c r="AG962" s="16" t="str">
        <f t="shared" si="243"/>
        <v/>
      </c>
      <c r="AH962" s="16" t="str">
        <f t="shared" si="243"/>
        <v/>
      </c>
      <c r="BR962" s="7">
        <v>5406094</v>
      </c>
      <c r="BS962" s="9">
        <f>[1]monsters!$N962</f>
        <v>0</v>
      </c>
      <c r="BT962" s="9">
        <f>[1]monsters!$O962</f>
        <v>0</v>
      </c>
      <c r="BU962" s="9">
        <f>[1]monsters!$P962</f>
        <v>0</v>
      </c>
      <c r="BV962" s="9">
        <f>[1]monsters!$Q962</f>
        <v>0</v>
      </c>
      <c r="BW962" s="9">
        <f>[1]monsters!$R962</f>
        <v>0</v>
      </c>
      <c r="BX962" s="9">
        <f>[1]monsters!$S962</f>
        <v>0</v>
      </c>
      <c r="BY962" s="9">
        <f>[1]monsters!$K962</f>
        <v>0</v>
      </c>
      <c r="BZ962" s="7">
        <f>[1]monsters!$D962</f>
        <v>0</v>
      </c>
      <c r="CA962" s="7" t="e">
        <f t="shared" si="239"/>
        <v>#N/A</v>
      </c>
      <c r="CB962" s="7" t="e">
        <f t="shared" si="240"/>
        <v>#N/A</v>
      </c>
      <c r="CC962" s="7" t="e">
        <f t="shared" si="241"/>
        <v>#N/A</v>
      </c>
      <c r="CN962" s="7"/>
      <c r="CO962" s="7"/>
      <c r="CP962" s="7"/>
      <c r="CR962" s="25"/>
      <c r="CS962" s="25"/>
      <c r="CT962" s="25"/>
      <c r="CU962" s="25"/>
      <c r="CV962" s="25"/>
      <c r="CW962" s="25"/>
      <c r="DP962" s="32"/>
      <c r="DQ962" s="32"/>
      <c r="DR962" s="36"/>
      <c r="DS962" s="14"/>
      <c r="DT962" s="36"/>
      <c r="DU962" s="36"/>
      <c r="DV962" s="32"/>
      <c r="DW962" s="32"/>
      <c r="DX962" s="32"/>
      <c r="DY962" s="32"/>
      <c r="DZ962" s="32"/>
      <c r="EA962" s="32"/>
    </row>
    <row r="963" spans="29:131" ht="13.5" customHeight="1">
      <c r="AC963" s="16" t="str">
        <f t="shared" si="238"/>
        <v/>
      </c>
      <c r="AD963" s="16" t="str">
        <f t="shared" si="243"/>
        <v/>
      </c>
      <c r="AE963" s="16" t="str">
        <f t="shared" si="243"/>
        <v/>
      </c>
      <c r="AF963" s="16" t="str">
        <f t="shared" si="243"/>
        <v/>
      </c>
      <c r="AG963" s="16" t="str">
        <f t="shared" si="243"/>
        <v/>
      </c>
      <c r="AH963" s="16" t="str">
        <f t="shared" si="243"/>
        <v/>
      </c>
      <c r="BR963" s="7">
        <v>5205094</v>
      </c>
      <c r="BS963" s="9">
        <f>[1]monsters!$N963</f>
        <v>0</v>
      </c>
      <c r="BT963" s="9">
        <f>[1]monsters!$O963</f>
        <v>0</v>
      </c>
      <c r="BU963" s="9">
        <f>[1]monsters!$P963</f>
        <v>0</v>
      </c>
      <c r="BV963" s="9">
        <f>[1]monsters!$Q963</f>
        <v>0</v>
      </c>
      <c r="BW963" s="9">
        <f>[1]monsters!$R963</f>
        <v>0</v>
      </c>
      <c r="BX963" s="9">
        <f>[1]monsters!$S963</f>
        <v>0</v>
      </c>
      <c r="BY963" s="9">
        <f>[1]monsters!$K963</f>
        <v>0</v>
      </c>
      <c r="BZ963" s="7">
        <f>[1]monsters!$D963</f>
        <v>0</v>
      </c>
      <c r="CA963" s="7" t="e">
        <f t="shared" si="239"/>
        <v>#N/A</v>
      </c>
      <c r="CB963" s="7" t="e">
        <f t="shared" si="240"/>
        <v>#N/A</v>
      </c>
      <c r="CC963" s="7" t="e">
        <f t="shared" si="241"/>
        <v>#N/A</v>
      </c>
      <c r="CN963" s="7"/>
      <c r="CO963" s="7"/>
      <c r="CP963" s="7"/>
      <c r="CR963" s="25"/>
      <c r="CS963" s="25"/>
      <c r="CT963" s="25"/>
      <c r="CU963" s="25"/>
      <c r="CV963" s="25"/>
      <c r="CW963" s="25"/>
      <c r="DP963" s="32"/>
      <c r="DQ963" s="32"/>
      <c r="DR963" s="32"/>
      <c r="DS963" s="36"/>
      <c r="DT963" s="36"/>
      <c r="DU963" s="36"/>
      <c r="DV963" s="32"/>
      <c r="DW963" s="32"/>
      <c r="DX963" s="32"/>
      <c r="DY963" s="32"/>
      <c r="DZ963" s="32"/>
      <c r="EA963" s="32"/>
    </row>
    <row r="964" spans="29:131" ht="13.5" customHeight="1">
      <c r="AC964" s="16" t="str">
        <f t="shared" si="238"/>
        <v/>
      </c>
      <c r="AD964" s="16" t="str">
        <f t="shared" si="243"/>
        <v/>
      </c>
      <c r="AE964" s="16" t="str">
        <f t="shared" si="243"/>
        <v/>
      </c>
      <c r="AF964" s="16" t="str">
        <f t="shared" si="243"/>
        <v/>
      </c>
      <c r="AG964" s="16" t="str">
        <f t="shared" si="243"/>
        <v/>
      </c>
      <c r="AH964" s="16" t="str">
        <f t="shared" si="243"/>
        <v/>
      </c>
      <c r="BR964" s="7">
        <v>5405094</v>
      </c>
      <c r="BS964" s="9">
        <f>[1]monsters!$N964</f>
        <v>0</v>
      </c>
      <c r="BT964" s="9">
        <f>[1]monsters!$O964</f>
        <v>0</v>
      </c>
      <c r="BU964" s="9">
        <f>[1]monsters!$P964</f>
        <v>0</v>
      </c>
      <c r="BV964" s="9">
        <f>[1]monsters!$Q964</f>
        <v>0</v>
      </c>
      <c r="BW964" s="9">
        <f>[1]monsters!$R964</f>
        <v>0</v>
      </c>
      <c r="BX964" s="9">
        <f>[1]monsters!$S964</f>
        <v>0</v>
      </c>
      <c r="BY964" s="9">
        <f>[1]monsters!$K964</f>
        <v>0</v>
      </c>
      <c r="BZ964" s="7">
        <f>[1]monsters!$D964</f>
        <v>0</v>
      </c>
      <c r="CA964" s="7" t="e">
        <f t="shared" si="239"/>
        <v>#N/A</v>
      </c>
      <c r="CB964" s="7" t="e">
        <f t="shared" si="240"/>
        <v>#N/A</v>
      </c>
      <c r="CC964" s="7" t="e">
        <f t="shared" si="241"/>
        <v>#N/A</v>
      </c>
      <c r="CN964" s="7"/>
      <c r="CO964" s="7"/>
      <c r="CP964" s="7"/>
      <c r="CR964" s="25"/>
      <c r="CS964" s="25"/>
      <c r="CT964" s="25"/>
      <c r="CU964" s="25"/>
      <c r="CV964" s="25"/>
      <c r="CW964" s="25"/>
      <c r="DP964" s="32"/>
      <c r="DQ964" s="32"/>
      <c r="DR964" s="32"/>
      <c r="DS964" s="32"/>
      <c r="DT964" s="32"/>
      <c r="DU964" s="32"/>
      <c r="DV964" s="32"/>
      <c r="DW964" s="32"/>
      <c r="DX964" s="32"/>
      <c r="DY964" s="32"/>
      <c r="DZ964" s="32"/>
      <c r="EA964" s="32"/>
    </row>
    <row r="965" spans="29:131" ht="13.5" customHeight="1">
      <c r="AC965" s="16" t="str">
        <f t="shared" ref="AC965:AC1002" si="244">IF(AI965&gt;0,FLOOR((POWER((AI965/IF(AND(W965&gt;=2,W965&lt;4),1.1,IF(AND(W965&gt;=4,W965&lt;6),1.2,IF(W965&gt;=6,1.4,1)))/$Z$1),0.5)/INDEX($BD$4:$BQ$4,MATCH(W965,$BD$3:$BQ$3,0))-1)*10,1),"")</f>
        <v/>
      </c>
      <c r="AD965" s="16" t="str">
        <f t="shared" si="243"/>
        <v/>
      </c>
      <c r="AE965" s="16" t="str">
        <f t="shared" si="243"/>
        <v/>
      </c>
      <c r="AF965" s="16" t="str">
        <f t="shared" si="243"/>
        <v/>
      </c>
      <c r="AG965" s="16" t="str">
        <f t="shared" si="243"/>
        <v/>
      </c>
      <c r="AH965" s="16" t="str">
        <f t="shared" si="243"/>
        <v/>
      </c>
      <c r="BR965" s="7">
        <v>5203094</v>
      </c>
      <c r="BS965" s="9">
        <f>[1]monsters!$N965</f>
        <v>0</v>
      </c>
      <c r="BT965" s="9">
        <f>[1]monsters!$O965</f>
        <v>0</v>
      </c>
      <c r="BU965" s="9">
        <f>[1]monsters!$P965</f>
        <v>0</v>
      </c>
      <c r="BV965" s="9">
        <f>[1]monsters!$Q965</f>
        <v>0</v>
      </c>
      <c r="BW965" s="9">
        <f>[1]monsters!$R965</f>
        <v>0</v>
      </c>
      <c r="BX965" s="9">
        <f>[1]monsters!$S965</f>
        <v>0</v>
      </c>
      <c r="BY965" s="9">
        <f>[1]monsters!$K965</f>
        <v>0</v>
      </c>
      <c r="BZ965" s="7">
        <f>[1]monsters!$D965</f>
        <v>0</v>
      </c>
      <c r="CA965" s="7" t="e">
        <f t="shared" ref="CA965:CA983" si="245">INDEX($CH$5:$CH$10,MATCH($BZ965,$CG$5:$CG$10))</f>
        <v>#N/A</v>
      </c>
      <c r="CB965" s="7" t="e">
        <f t="shared" ref="CB965:CB983" si="246">(BU965/33/(1-CA965)/(1-0)+BS965*(1+0.5*0.1)*0.9)</f>
        <v>#N/A</v>
      </c>
      <c r="CC965" s="7" t="e">
        <f t="shared" ref="CC965:CC983" si="247">(BU965/33/(1-CA965)/(1-0)+BS965*(1+0.5*0.1)*0.9)*0.1</f>
        <v>#N/A</v>
      </c>
      <c r="CN965" s="7"/>
      <c r="CO965" s="7"/>
      <c r="CP965" s="7"/>
      <c r="CR965" s="25"/>
      <c r="CS965" s="25"/>
      <c r="CT965" s="25"/>
      <c r="CU965" s="25"/>
      <c r="CV965" s="25"/>
      <c r="CW965" s="25"/>
      <c r="DP965" s="36"/>
      <c r="DQ965" s="36"/>
      <c r="DR965" s="36"/>
      <c r="DS965" s="36"/>
      <c r="DT965" s="36"/>
      <c r="DU965" s="36"/>
      <c r="DV965" s="32"/>
      <c r="DW965" s="32"/>
      <c r="DX965" s="32"/>
      <c r="DY965" s="32"/>
      <c r="DZ965" s="32"/>
      <c r="EA965" s="32"/>
    </row>
    <row r="966" spans="29:131" ht="13.5" customHeight="1">
      <c r="AC966" s="16" t="str">
        <f t="shared" si="244"/>
        <v/>
      </c>
      <c r="AD966" s="16" t="str">
        <f t="shared" si="243"/>
        <v/>
      </c>
      <c r="AE966" s="16" t="str">
        <f t="shared" si="243"/>
        <v/>
      </c>
      <c r="AF966" s="16" t="str">
        <f t="shared" si="243"/>
        <v/>
      </c>
      <c r="AG966" s="16" t="str">
        <f t="shared" si="243"/>
        <v/>
      </c>
      <c r="AH966" s="16" t="str">
        <f t="shared" si="243"/>
        <v/>
      </c>
      <c r="BR966" s="7">
        <v>5403094</v>
      </c>
      <c r="BS966" s="9">
        <f>[1]monsters!$N966</f>
        <v>0</v>
      </c>
      <c r="BT966" s="9">
        <f>[1]monsters!$O966</f>
        <v>0</v>
      </c>
      <c r="BU966" s="9">
        <f>[1]monsters!$P966</f>
        <v>0</v>
      </c>
      <c r="BV966" s="9">
        <f>[1]monsters!$Q966</f>
        <v>0</v>
      </c>
      <c r="BW966" s="9">
        <f>[1]monsters!$R966</f>
        <v>0</v>
      </c>
      <c r="BX966" s="9">
        <f>[1]monsters!$S966</f>
        <v>0</v>
      </c>
      <c r="BY966" s="9">
        <f>[1]monsters!$K966</f>
        <v>0</v>
      </c>
      <c r="BZ966" s="7">
        <f>[1]monsters!$D966</f>
        <v>0</v>
      </c>
      <c r="CA966" s="7" t="e">
        <f t="shared" si="245"/>
        <v>#N/A</v>
      </c>
      <c r="CB966" s="7" t="e">
        <f t="shared" si="246"/>
        <v>#N/A</v>
      </c>
      <c r="CC966" s="7" t="e">
        <f t="shared" si="247"/>
        <v>#N/A</v>
      </c>
      <c r="CN966" s="7"/>
      <c r="CO966" s="7"/>
      <c r="CP966" s="7"/>
      <c r="CR966" s="25"/>
      <c r="CS966" s="25"/>
      <c r="CT966" s="25"/>
      <c r="CU966" s="25"/>
      <c r="CV966" s="25"/>
      <c r="CW966" s="25"/>
      <c r="DP966" s="32"/>
      <c r="DQ966" s="13"/>
      <c r="DR966" s="32"/>
      <c r="DS966" s="32"/>
      <c r="DT966" s="32"/>
      <c r="DU966" s="32"/>
      <c r="DV966" s="32"/>
      <c r="DW966" s="32"/>
      <c r="DX966" s="32"/>
      <c r="DY966" s="32"/>
      <c r="DZ966" s="32"/>
      <c r="EA966" s="32"/>
    </row>
    <row r="967" spans="29:131" ht="13.5" customHeight="1">
      <c r="AC967" s="16" t="str">
        <f t="shared" si="244"/>
        <v/>
      </c>
      <c r="AD967" s="16" t="str">
        <f t="shared" si="243"/>
        <v/>
      </c>
      <c r="AE967" s="16" t="str">
        <f t="shared" si="243"/>
        <v/>
      </c>
      <c r="AF967" s="16" t="str">
        <f t="shared" si="243"/>
        <v/>
      </c>
      <c r="AG967" s="16" t="str">
        <f t="shared" si="243"/>
        <v/>
      </c>
      <c r="AH967" s="16" t="str">
        <f t="shared" si="243"/>
        <v/>
      </c>
      <c r="BR967" s="7">
        <v>5204094</v>
      </c>
      <c r="BS967" s="9">
        <f>[1]monsters!$N967</f>
        <v>0</v>
      </c>
      <c r="BT967" s="9">
        <f>[1]monsters!$O967</f>
        <v>0</v>
      </c>
      <c r="BU967" s="9">
        <f>[1]monsters!$P967</f>
        <v>0</v>
      </c>
      <c r="BV967" s="9">
        <f>[1]monsters!$Q967</f>
        <v>0</v>
      </c>
      <c r="BW967" s="9">
        <f>[1]monsters!$R967</f>
        <v>0</v>
      </c>
      <c r="BX967" s="9">
        <f>[1]monsters!$S967</f>
        <v>0</v>
      </c>
      <c r="BY967" s="9">
        <f>[1]monsters!$K967</f>
        <v>0</v>
      </c>
      <c r="BZ967" s="7">
        <f>[1]monsters!$D967</f>
        <v>0</v>
      </c>
      <c r="CA967" s="7" t="e">
        <f t="shared" si="245"/>
        <v>#N/A</v>
      </c>
      <c r="CB967" s="7" t="e">
        <f t="shared" si="246"/>
        <v>#N/A</v>
      </c>
      <c r="CC967" s="7" t="e">
        <f t="shared" si="247"/>
        <v>#N/A</v>
      </c>
      <c r="CN967" s="7"/>
      <c r="CO967" s="7"/>
      <c r="CP967" s="7"/>
      <c r="CR967" s="25"/>
      <c r="CS967" s="25"/>
      <c r="CT967" s="25"/>
      <c r="CU967" s="25"/>
      <c r="CV967" s="25"/>
      <c r="CW967" s="25"/>
      <c r="DP967" s="13"/>
      <c r="DQ967" s="32"/>
      <c r="DR967" s="32"/>
      <c r="DS967" s="32"/>
      <c r="DT967" s="32"/>
      <c r="DU967" s="32"/>
      <c r="DV967" s="32"/>
      <c r="DW967" s="32"/>
      <c r="DX967" s="32"/>
      <c r="DY967" s="32"/>
      <c r="DZ967" s="32"/>
      <c r="EA967" s="32"/>
    </row>
    <row r="968" spans="29:131" ht="13.5" customHeight="1">
      <c r="AC968" s="16" t="str">
        <f t="shared" si="244"/>
        <v/>
      </c>
      <c r="AD968" s="16" t="str">
        <f t="shared" si="243"/>
        <v/>
      </c>
      <c r="AE968" s="16" t="str">
        <f t="shared" si="243"/>
        <v/>
      </c>
      <c r="AF968" s="16" t="str">
        <f t="shared" si="243"/>
        <v/>
      </c>
      <c r="AG968" s="16" t="str">
        <f t="shared" si="243"/>
        <v/>
      </c>
      <c r="AH968" s="16" t="str">
        <f t="shared" si="243"/>
        <v/>
      </c>
      <c r="BR968" s="7">
        <v>5404094</v>
      </c>
      <c r="BS968" s="9">
        <f>[1]monsters!$N968</f>
        <v>0</v>
      </c>
      <c r="BT968" s="9">
        <f>[1]monsters!$O968</f>
        <v>0</v>
      </c>
      <c r="BU968" s="9">
        <f>[1]monsters!$P968</f>
        <v>0</v>
      </c>
      <c r="BV968" s="9">
        <f>[1]monsters!$Q968</f>
        <v>0</v>
      </c>
      <c r="BW968" s="9">
        <f>[1]monsters!$R968</f>
        <v>0</v>
      </c>
      <c r="BX968" s="9">
        <f>[1]monsters!$S968</f>
        <v>0</v>
      </c>
      <c r="BY968" s="9">
        <f>[1]monsters!$K968</f>
        <v>0</v>
      </c>
      <c r="BZ968" s="7">
        <f>[1]monsters!$D968</f>
        <v>0</v>
      </c>
      <c r="CA968" s="7" t="e">
        <f t="shared" si="245"/>
        <v>#N/A</v>
      </c>
      <c r="CB968" s="7" t="e">
        <f t="shared" si="246"/>
        <v>#N/A</v>
      </c>
      <c r="CC968" s="7" t="e">
        <f t="shared" si="247"/>
        <v>#N/A</v>
      </c>
      <c r="CN968" s="7"/>
      <c r="CO968" s="7"/>
      <c r="CP968" s="7"/>
      <c r="CR968" s="25"/>
      <c r="CS968" s="25"/>
      <c r="CT968" s="25"/>
      <c r="CU968" s="25"/>
      <c r="CV968" s="25"/>
      <c r="CW968" s="25"/>
      <c r="DP968" s="36"/>
      <c r="DQ968" s="36"/>
      <c r="DR968" s="36"/>
      <c r="DS968" s="36"/>
      <c r="DT968" s="36"/>
      <c r="DU968" s="36"/>
      <c r="DV968" s="32"/>
      <c r="DW968" s="32"/>
      <c r="DX968" s="32"/>
      <c r="DY968" s="32"/>
      <c r="DZ968" s="32"/>
      <c r="EA968" s="32"/>
    </row>
    <row r="969" spans="29:131" ht="13.5" customHeight="1">
      <c r="AC969" s="16" t="str">
        <f t="shared" si="244"/>
        <v/>
      </c>
      <c r="AD969" s="16" t="str">
        <f t="shared" si="243"/>
        <v/>
      </c>
      <c r="AE969" s="16" t="str">
        <f t="shared" si="243"/>
        <v/>
      </c>
      <c r="AF969" s="16" t="str">
        <f t="shared" si="243"/>
        <v/>
      </c>
      <c r="AG969" s="16" t="str">
        <f t="shared" si="243"/>
        <v/>
      </c>
      <c r="AH969" s="16" t="str">
        <f t="shared" si="243"/>
        <v/>
      </c>
      <c r="BR969" s="7">
        <v>5303094</v>
      </c>
      <c r="BS969" s="9">
        <f>[1]monsters!$N969</f>
        <v>0</v>
      </c>
      <c r="BT969" s="9">
        <f>[1]monsters!$O969</f>
        <v>0</v>
      </c>
      <c r="BU969" s="9">
        <f>[1]monsters!$P969</f>
        <v>0</v>
      </c>
      <c r="BV969" s="9">
        <f>[1]monsters!$Q969</f>
        <v>0</v>
      </c>
      <c r="BW969" s="9">
        <f>[1]monsters!$R969</f>
        <v>0</v>
      </c>
      <c r="BX969" s="9">
        <f>[1]monsters!$S969</f>
        <v>0</v>
      </c>
      <c r="BY969" s="9">
        <f>[1]monsters!$K969</f>
        <v>0</v>
      </c>
      <c r="BZ969" s="7">
        <f>[1]monsters!$D969</f>
        <v>0</v>
      </c>
      <c r="CA969" s="7" t="e">
        <f t="shared" si="245"/>
        <v>#N/A</v>
      </c>
      <c r="CB969" s="7" t="e">
        <f t="shared" si="246"/>
        <v>#N/A</v>
      </c>
      <c r="CC969" s="7" t="e">
        <f t="shared" si="247"/>
        <v>#N/A</v>
      </c>
      <c r="CN969" s="7"/>
      <c r="CO969" s="7"/>
      <c r="CP969" s="7"/>
      <c r="CR969" s="25"/>
      <c r="CS969" s="25"/>
      <c r="CT969" s="25"/>
      <c r="CU969" s="25"/>
      <c r="CV969" s="25"/>
      <c r="CW969" s="25"/>
      <c r="DP969" s="32"/>
      <c r="DQ969" s="32"/>
      <c r="DR969" s="36"/>
      <c r="DS969" s="36"/>
      <c r="DT969" s="32"/>
      <c r="DU969" s="32"/>
      <c r="DV969" s="32"/>
      <c r="DW969" s="32"/>
      <c r="DX969" s="32"/>
      <c r="DY969" s="32"/>
      <c r="DZ969" s="32"/>
      <c r="EA969" s="32"/>
    </row>
    <row r="970" spans="29:131" ht="13.5" customHeight="1">
      <c r="AC970" s="16" t="str">
        <f t="shared" si="244"/>
        <v/>
      </c>
      <c r="AD970" s="16" t="str">
        <f t="shared" si="243"/>
        <v/>
      </c>
      <c r="AE970" s="16" t="str">
        <f t="shared" si="243"/>
        <v/>
      </c>
      <c r="AF970" s="16" t="str">
        <f t="shared" si="243"/>
        <v/>
      </c>
      <c r="AG970" s="16" t="str">
        <f t="shared" si="243"/>
        <v/>
      </c>
      <c r="AH970" s="16" t="str">
        <f t="shared" si="243"/>
        <v/>
      </c>
      <c r="BR970" s="7">
        <v>5304094</v>
      </c>
      <c r="BS970" s="9">
        <f>[1]monsters!$N970</f>
        <v>0</v>
      </c>
      <c r="BT970" s="9">
        <f>[1]monsters!$O970</f>
        <v>0</v>
      </c>
      <c r="BU970" s="9">
        <f>[1]monsters!$P970</f>
        <v>0</v>
      </c>
      <c r="BV970" s="9">
        <f>[1]monsters!$Q970</f>
        <v>0</v>
      </c>
      <c r="BW970" s="9">
        <f>[1]monsters!$R970</f>
        <v>0</v>
      </c>
      <c r="BX970" s="9">
        <f>[1]monsters!$S970</f>
        <v>0</v>
      </c>
      <c r="BY970" s="9">
        <f>[1]monsters!$K970</f>
        <v>0</v>
      </c>
      <c r="BZ970" s="7">
        <f>[1]monsters!$D970</f>
        <v>0</v>
      </c>
      <c r="CA970" s="7" t="e">
        <f t="shared" si="245"/>
        <v>#N/A</v>
      </c>
      <c r="CB970" s="7" t="e">
        <f t="shared" si="246"/>
        <v>#N/A</v>
      </c>
      <c r="CC970" s="7" t="e">
        <f t="shared" si="247"/>
        <v>#N/A</v>
      </c>
      <c r="CN970" s="7"/>
      <c r="CO970" s="7"/>
      <c r="CP970" s="7"/>
      <c r="CR970" s="25"/>
      <c r="CS970" s="25"/>
      <c r="CT970" s="25"/>
      <c r="CU970" s="25"/>
      <c r="CV970" s="25"/>
      <c r="CW970" s="25"/>
      <c r="DP970" s="32"/>
      <c r="DQ970" s="32"/>
      <c r="DR970" s="36"/>
      <c r="DS970" s="36"/>
      <c r="DT970" s="36"/>
      <c r="DU970" s="36"/>
      <c r="DV970" s="32"/>
      <c r="DW970" s="32"/>
      <c r="DX970" s="32"/>
      <c r="DY970" s="32"/>
      <c r="DZ970" s="32"/>
      <c r="EA970" s="32"/>
    </row>
    <row r="971" spans="29:131" ht="13.5" customHeight="1">
      <c r="AC971" s="16" t="str">
        <f t="shared" si="244"/>
        <v/>
      </c>
      <c r="AD971" s="16" t="str">
        <f t="shared" si="243"/>
        <v/>
      </c>
      <c r="AE971" s="16" t="str">
        <f t="shared" si="243"/>
        <v/>
      </c>
      <c r="AF971" s="16" t="str">
        <f t="shared" si="243"/>
        <v/>
      </c>
      <c r="AG971" s="16" t="str">
        <f t="shared" si="243"/>
        <v/>
      </c>
      <c r="AH971" s="16" t="str">
        <f t="shared" si="243"/>
        <v/>
      </c>
      <c r="BR971" s="7">
        <v>5503094</v>
      </c>
      <c r="BS971" s="9">
        <f>[1]monsters!$N971</f>
        <v>0</v>
      </c>
      <c r="BT971" s="9">
        <f>[1]monsters!$O971</f>
        <v>0</v>
      </c>
      <c r="BU971" s="9">
        <f>[1]monsters!$P971</f>
        <v>0</v>
      </c>
      <c r="BV971" s="9">
        <f>[1]monsters!$Q971</f>
        <v>0</v>
      </c>
      <c r="BW971" s="9">
        <f>[1]monsters!$R971</f>
        <v>0</v>
      </c>
      <c r="BX971" s="9">
        <f>[1]monsters!$S971</f>
        <v>0</v>
      </c>
      <c r="BY971" s="9">
        <f>[1]monsters!$K971</f>
        <v>0</v>
      </c>
      <c r="BZ971" s="7">
        <f>[1]monsters!$D971</f>
        <v>0</v>
      </c>
      <c r="CA971" s="7" t="e">
        <f t="shared" si="245"/>
        <v>#N/A</v>
      </c>
      <c r="CB971" s="7" t="e">
        <f t="shared" si="246"/>
        <v>#N/A</v>
      </c>
      <c r="CC971" s="7" t="e">
        <f t="shared" si="247"/>
        <v>#N/A</v>
      </c>
      <c r="CN971" s="7"/>
      <c r="CO971" s="7"/>
      <c r="CP971" s="7"/>
      <c r="CR971" s="25"/>
      <c r="CS971" s="25"/>
      <c r="CT971" s="25"/>
      <c r="CU971" s="25"/>
      <c r="CV971" s="25"/>
      <c r="CW971" s="25"/>
      <c r="DP971" s="32"/>
      <c r="DQ971" s="32"/>
      <c r="DR971" s="32"/>
      <c r="DS971" s="32"/>
      <c r="DT971" s="36"/>
      <c r="DU971" s="36"/>
      <c r="DV971" s="32"/>
      <c r="DW971" s="32"/>
      <c r="DX971" s="32"/>
      <c r="DY971" s="32"/>
      <c r="DZ971" s="32"/>
      <c r="EA971" s="32"/>
    </row>
    <row r="972" spans="29:131" ht="13.5" customHeight="1">
      <c r="AC972" s="16" t="str">
        <f t="shared" si="244"/>
        <v/>
      </c>
      <c r="AD972" s="16" t="str">
        <f t="shared" si="243"/>
        <v/>
      </c>
      <c r="AE972" s="16" t="str">
        <f t="shared" si="243"/>
        <v/>
      </c>
      <c r="AF972" s="16" t="str">
        <f t="shared" si="243"/>
        <v/>
      </c>
      <c r="AG972" s="16" t="str">
        <f t="shared" si="243"/>
        <v/>
      </c>
      <c r="AH972" s="16" t="str">
        <f t="shared" si="243"/>
        <v/>
      </c>
      <c r="BR972" s="7">
        <v>5504094</v>
      </c>
      <c r="BS972" s="9">
        <f>[1]monsters!$N972</f>
        <v>0</v>
      </c>
      <c r="BT972" s="9">
        <f>[1]monsters!$O972</f>
        <v>0</v>
      </c>
      <c r="BU972" s="9">
        <f>[1]monsters!$P972</f>
        <v>0</v>
      </c>
      <c r="BV972" s="9">
        <f>[1]monsters!$Q972</f>
        <v>0</v>
      </c>
      <c r="BW972" s="9">
        <f>[1]monsters!$R972</f>
        <v>0</v>
      </c>
      <c r="BX972" s="9">
        <f>[1]monsters!$S972</f>
        <v>0</v>
      </c>
      <c r="BY972" s="9">
        <f>[1]monsters!$K972</f>
        <v>0</v>
      </c>
      <c r="BZ972" s="7">
        <f>[1]monsters!$D972</f>
        <v>0</v>
      </c>
      <c r="CA972" s="7" t="e">
        <f t="shared" si="245"/>
        <v>#N/A</v>
      </c>
      <c r="CB972" s="7" t="e">
        <f t="shared" si="246"/>
        <v>#N/A</v>
      </c>
      <c r="CC972" s="7" t="e">
        <f t="shared" si="247"/>
        <v>#N/A</v>
      </c>
      <c r="CN972" s="7"/>
      <c r="CO972" s="7"/>
      <c r="CP972" s="7"/>
      <c r="CR972" s="25"/>
      <c r="CS972" s="25"/>
      <c r="CT972" s="25"/>
      <c r="CU972" s="25"/>
      <c r="CV972" s="25"/>
      <c r="CW972" s="25"/>
      <c r="DP972" s="32"/>
      <c r="DQ972" s="32"/>
      <c r="DR972" s="32"/>
      <c r="DS972" s="36"/>
      <c r="DT972" s="36"/>
      <c r="DU972" s="36"/>
      <c r="DV972" s="32"/>
      <c r="DW972" s="32"/>
      <c r="DX972" s="32"/>
      <c r="DY972" s="32"/>
      <c r="DZ972" s="32"/>
      <c r="EA972" s="32"/>
    </row>
    <row r="973" spans="29:131" ht="13.5" customHeight="1">
      <c r="AC973" s="16" t="str">
        <f t="shared" si="244"/>
        <v/>
      </c>
      <c r="AD973" s="16" t="str">
        <f t="shared" si="243"/>
        <v/>
      </c>
      <c r="AE973" s="16" t="str">
        <f t="shared" si="243"/>
        <v/>
      </c>
      <c r="AF973" s="16" t="str">
        <f t="shared" si="243"/>
        <v/>
      </c>
      <c r="AG973" s="16" t="str">
        <f t="shared" si="243"/>
        <v/>
      </c>
      <c r="AH973" s="16" t="str">
        <f t="shared" si="243"/>
        <v/>
      </c>
      <c r="BR973" s="7">
        <v>5101094</v>
      </c>
      <c r="BS973" s="9">
        <f>[1]monsters!$N973</f>
        <v>0</v>
      </c>
      <c r="BT973" s="9">
        <f>[1]monsters!$O973</f>
        <v>0</v>
      </c>
      <c r="BU973" s="9">
        <f>[1]monsters!$P973</f>
        <v>0</v>
      </c>
      <c r="BV973" s="9">
        <f>[1]monsters!$Q973</f>
        <v>0</v>
      </c>
      <c r="BW973" s="9">
        <f>[1]monsters!$R973</f>
        <v>0</v>
      </c>
      <c r="BX973" s="9">
        <f>[1]monsters!$S973</f>
        <v>0</v>
      </c>
      <c r="BY973" s="9">
        <f>[1]monsters!$K973</f>
        <v>0</v>
      </c>
      <c r="BZ973" s="7">
        <f>[1]monsters!$D973</f>
        <v>0</v>
      </c>
      <c r="CA973" s="7" t="e">
        <f t="shared" si="245"/>
        <v>#N/A</v>
      </c>
      <c r="CB973" s="7" t="e">
        <f t="shared" si="246"/>
        <v>#N/A</v>
      </c>
      <c r="CC973" s="7" t="e">
        <f t="shared" si="247"/>
        <v>#N/A</v>
      </c>
      <c r="CN973" s="7"/>
      <c r="CO973" s="7"/>
      <c r="CP973" s="7"/>
      <c r="CR973" s="25"/>
      <c r="CS973" s="25"/>
      <c r="CT973" s="25"/>
      <c r="CU973" s="25"/>
      <c r="CV973" s="25"/>
      <c r="CW973" s="25"/>
      <c r="DP973" s="32"/>
      <c r="DQ973" s="32"/>
      <c r="DR973" s="32"/>
      <c r="DS973" s="36"/>
      <c r="DT973" s="36"/>
      <c r="DU973" s="36"/>
      <c r="DV973" s="32"/>
      <c r="DW973" s="32"/>
      <c r="DX973" s="32"/>
      <c r="DY973" s="32"/>
      <c r="DZ973" s="32"/>
      <c r="EA973" s="32"/>
    </row>
    <row r="974" spans="29:131" ht="13.5" customHeight="1">
      <c r="AC974" s="16" t="str">
        <f t="shared" si="244"/>
        <v/>
      </c>
      <c r="AD974" s="16" t="str">
        <f t="shared" si="243"/>
        <v/>
      </c>
      <c r="AE974" s="16" t="str">
        <f t="shared" si="243"/>
        <v/>
      </c>
      <c r="AF974" s="16" t="str">
        <f t="shared" si="243"/>
        <v/>
      </c>
      <c r="AG974" s="16" t="str">
        <f t="shared" si="243"/>
        <v/>
      </c>
      <c r="AH974" s="16" t="str">
        <f t="shared" si="243"/>
        <v/>
      </c>
      <c r="BR974" s="7">
        <v>5102094</v>
      </c>
      <c r="BS974" s="9">
        <f>[1]monsters!$N974</f>
        <v>0</v>
      </c>
      <c r="BT974" s="9">
        <f>[1]monsters!$O974</f>
        <v>0</v>
      </c>
      <c r="BU974" s="9">
        <f>[1]monsters!$P974</f>
        <v>0</v>
      </c>
      <c r="BV974" s="9">
        <f>[1]monsters!$Q974</f>
        <v>0</v>
      </c>
      <c r="BW974" s="9">
        <f>[1]monsters!$R974</f>
        <v>0</v>
      </c>
      <c r="BX974" s="9">
        <f>[1]monsters!$S974</f>
        <v>0</v>
      </c>
      <c r="BY974" s="9">
        <f>[1]monsters!$K974</f>
        <v>0</v>
      </c>
      <c r="BZ974" s="7">
        <f>[1]monsters!$D974</f>
        <v>0</v>
      </c>
      <c r="CA974" s="7" t="e">
        <f t="shared" si="245"/>
        <v>#N/A</v>
      </c>
      <c r="CB974" s="7" t="e">
        <f t="shared" si="246"/>
        <v>#N/A</v>
      </c>
      <c r="CC974" s="7" t="e">
        <f t="shared" si="247"/>
        <v>#N/A</v>
      </c>
      <c r="CN974" s="7"/>
      <c r="CO974" s="7"/>
      <c r="CP974" s="7"/>
      <c r="CR974" s="25"/>
      <c r="CS974" s="25"/>
      <c r="CT974" s="25"/>
      <c r="CU974" s="25"/>
      <c r="CV974" s="25"/>
      <c r="CW974" s="25"/>
      <c r="DP974" s="32"/>
      <c r="DQ974" s="32"/>
      <c r="DR974" s="32"/>
      <c r="DS974" s="36"/>
      <c r="DT974" s="36"/>
      <c r="DU974" s="36"/>
      <c r="DV974" s="32"/>
      <c r="DW974" s="32"/>
      <c r="DX974" s="32"/>
      <c r="DY974" s="32"/>
      <c r="DZ974" s="32"/>
      <c r="EA974" s="32"/>
    </row>
    <row r="975" spans="29:131" ht="13.5" customHeight="1">
      <c r="AC975" s="16" t="str">
        <f t="shared" si="244"/>
        <v/>
      </c>
      <c r="AD975" s="16" t="str">
        <f t="shared" si="243"/>
        <v/>
      </c>
      <c r="AE975" s="16" t="str">
        <f t="shared" si="243"/>
        <v/>
      </c>
      <c r="AF975" s="16" t="str">
        <f t="shared" si="243"/>
        <v/>
      </c>
      <c r="AG975" s="16" t="str">
        <f t="shared" si="243"/>
        <v/>
      </c>
      <c r="AH975" s="16" t="str">
        <f t="shared" si="243"/>
        <v/>
      </c>
      <c r="BR975" s="7">
        <v>5206095</v>
      </c>
      <c r="BS975" s="9">
        <f>[1]monsters!$N975</f>
        <v>0</v>
      </c>
      <c r="BT975" s="9">
        <f>[1]monsters!$O975</f>
        <v>0</v>
      </c>
      <c r="BU975" s="9">
        <f>[1]monsters!$P975</f>
        <v>0</v>
      </c>
      <c r="BV975" s="9">
        <f>[1]monsters!$Q975</f>
        <v>0</v>
      </c>
      <c r="BW975" s="9">
        <f>[1]monsters!$R975</f>
        <v>0</v>
      </c>
      <c r="BX975" s="9">
        <f>[1]monsters!$S975</f>
        <v>0</v>
      </c>
      <c r="BY975" s="9">
        <f>[1]monsters!$K975</f>
        <v>0</v>
      </c>
      <c r="BZ975" s="7">
        <f>[1]monsters!$D975</f>
        <v>0</v>
      </c>
      <c r="CA975" s="7" t="e">
        <f t="shared" si="245"/>
        <v>#N/A</v>
      </c>
      <c r="CB975" s="7" t="e">
        <f t="shared" si="246"/>
        <v>#N/A</v>
      </c>
      <c r="CC975" s="7" t="e">
        <f t="shared" si="247"/>
        <v>#N/A</v>
      </c>
      <c r="CN975" s="7"/>
      <c r="CO975" s="7"/>
      <c r="CP975" s="7"/>
      <c r="CR975" s="25"/>
      <c r="CS975" s="25"/>
      <c r="CT975" s="25"/>
      <c r="CU975" s="25"/>
      <c r="CV975" s="25"/>
      <c r="CW975" s="25"/>
      <c r="DP975" s="32"/>
      <c r="DQ975" s="32"/>
      <c r="DR975" s="32"/>
      <c r="DS975" s="36"/>
      <c r="DT975" s="36"/>
      <c r="DU975" s="36"/>
      <c r="DV975" s="32"/>
      <c r="DW975" s="32"/>
      <c r="DX975" s="32"/>
      <c r="DY975" s="32"/>
      <c r="DZ975" s="32"/>
      <c r="EA975" s="32"/>
    </row>
    <row r="976" spans="29:131" ht="13.5" customHeight="1">
      <c r="AC976" s="16" t="str">
        <f t="shared" si="244"/>
        <v/>
      </c>
      <c r="AD976" s="16" t="str">
        <f t="shared" si="243"/>
        <v/>
      </c>
      <c r="AE976" s="16" t="str">
        <f t="shared" si="243"/>
        <v/>
      </c>
      <c r="AF976" s="16" t="str">
        <f t="shared" si="243"/>
        <v/>
      </c>
      <c r="AG976" s="16" t="str">
        <f t="shared" si="243"/>
        <v/>
      </c>
      <c r="AH976" s="16" t="str">
        <f t="shared" si="243"/>
        <v/>
      </c>
      <c r="BR976" s="7">
        <v>5406095</v>
      </c>
      <c r="BS976" s="9">
        <f>[1]monsters!$N976</f>
        <v>0</v>
      </c>
      <c r="BT976" s="9">
        <f>[1]monsters!$O976</f>
        <v>0</v>
      </c>
      <c r="BU976" s="9">
        <f>[1]monsters!$P976</f>
        <v>0</v>
      </c>
      <c r="BV976" s="9">
        <f>[1]monsters!$Q976</f>
        <v>0</v>
      </c>
      <c r="BW976" s="9">
        <f>[1]monsters!$R976</f>
        <v>0</v>
      </c>
      <c r="BX976" s="9">
        <f>[1]monsters!$S976</f>
        <v>0</v>
      </c>
      <c r="BY976" s="9">
        <f>[1]monsters!$K976</f>
        <v>0</v>
      </c>
      <c r="BZ976" s="7">
        <f>[1]monsters!$D976</f>
        <v>0</v>
      </c>
      <c r="CA976" s="7" t="e">
        <f t="shared" si="245"/>
        <v>#N/A</v>
      </c>
      <c r="CB976" s="7" t="e">
        <f t="shared" si="246"/>
        <v>#N/A</v>
      </c>
      <c r="CC976" s="7" t="e">
        <f t="shared" si="247"/>
        <v>#N/A</v>
      </c>
      <c r="CN976" s="7"/>
      <c r="CO976" s="7"/>
      <c r="CP976" s="7"/>
      <c r="CR976" s="25"/>
      <c r="CS976" s="25"/>
      <c r="CT976" s="25"/>
      <c r="CU976" s="25"/>
      <c r="CV976" s="25"/>
      <c r="CW976" s="25"/>
      <c r="DP976" s="13"/>
      <c r="DQ976" s="13"/>
      <c r="DR976" s="13"/>
      <c r="DS976" s="32"/>
      <c r="DT976" s="32"/>
      <c r="DU976" s="32"/>
      <c r="DV976" s="32"/>
      <c r="DW976" s="32"/>
      <c r="DX976" s="32"/>
      <c r="DY976" s="32"/>
      <c r="DZ976" s="32"/>
      <c r="EA976" s="32"/>
    </row>
    <row r="977" spans="29:131" ht="13.5" customHeight="1">
      <c r="AC977" s="16" t="str">
        <f t="shared" si="244"/>
        <v/>
      </c>
      <c r="AD977" s="16" t="str">
        <f t="shared" si="243"/>
        <v/>
      </c>
      <c r="AE977" s="16" t="str">
        <f t="shared" si="243"/>
        <v/>
      </c>
      <c r="AF977" s="16" t="str">
        <f t="shared" si="243"/>
        <v/>
      </c>
      <c r="AG977" s="16" t="str">
        <f t="shared" si="243"/>
        <v/>
      </c>
      <c r="AH977" s="16" t="str">
        <f t="shared" si="243"/>
        <v/>
      </c>
      <c r="BR977" s="7">
        <v>5205095</v>
      </c>
      <c r="BS977" s="9">
        <f>[1]monsters!$N977</f>
        <v>0</v>
      </c>
      <c r="BT977" s="9">
        <f>[1]monsters!$O977</f>
        <v>0</v>
      </c>
      <c r="BU977" s="9">
        <f>[1]monsters!$P977</f>
        <v>0</v>
      </c>
      <c r="BV977" s="9">
        <f>[1]monsters!$Q977</f>
        <v>0</v>
      </c>
      <c r="BW977" s="9">
        <f>[1]monsters!$R977</f>
        <v>0</v>
      </c>
      <c r="BX977" s="9">
        <f>[1]monsters!$S977</f>
        <v>0</v>
      </c>
      <c r="BY977" s="9">
        <f>[1]monsters!$K977</f>
        <v>0</v>
      </c>
      <c r="BZ977" s="7">
        <f>[1]monsters!$D977</f>
        <v>0</v>
      </c>
      <c r="CA977" s="7" t="e">
        <f t="shared" si="245"/>
        <v>#N/A</v>
      </c>
      <c r="CB977" s="7" t="e">
        <f t="shared" si="246"/>
        <v>#N/A</v>
      </c>
      <c r="CC977" s="7" t="e">
        <f t="shared" si="247"/>
        <v>#N/A</v>
      </c>
      <c r="CN977" s="7"/>
      <c r="CO977" s="7"/>
      <c r="CP977" s="7"/>
      <c r="CR977" s="25"/>
      <c r="CS977" s="25"/>
      <c r="CT977" s="25"/>
      <c r="CU977" s="25"/>
      <c r="CV977" s="25"/>
      <c r="CW977" s="25"/>
      <c r="DP977" s="32"/>
      <c r="DQ977" s="32"/>
      <c r="DR977" s="36"/>
      <c r="DS977" s="36"/>
      <c r="DT977" s="32"/>
      <c r="DU977" s="32"/>
      <c r="DV977" s="32"/>
      <c r="DW977" s="32"/>
      <c r="DX977" s="32"/>
      <c r="DY977" s="32"/>
      <c r="DZ977" s="32"/>
      <c r="EA977" s="32"/>
    </row>
    <row r="978" spans="29:131" ht="13.5" customHeight="1">
      <c r="AC978" s="16" t="str">
        <f t="shared" si="244"/>
        <v/>
      </c>
      <c r="AD978" s="16" t="str">
        <f t="shared" si="243"/>
        <v/>
      </c>
      <c r="AE978" s="16" t="str">
        <f t="shared" si="243"/>
        <v/>
      </c>
      <c r="AF978" s="16" t="str">
        <f t="shared" si="243"/>
        <v/>
      </c>
      <c r="AG978" s="16" t="str">
        <f t="shared" si="243"/>
        <v/>
      </c>
      <c r="AH978" s="16" t="str">
        <f t="shared" si="243"/>
        <v/>
      </c>
      <c r="BR978" s="7">
        <v>5405095</v>
      </c>
      <c r="BS978" s="9">
        <f>[1]monsters!$N978</f>
        <v>0</v>
      </c>
      <c r="BT978" s="9">
        <f>[1]monsters!$O978</f>
        <v>0</v>
      </c>
      <c r="BU978" s="9">
        <f>[1]monsters!$P978</f>
        <v>0</v>
      </c>
      <c r="BV978" s="9">
        <f>[1]monsters!$Q978</f>
        <v>0</v>
      </c>
      <c r="BW978" s="9">
        <f>[1]monsters!$R978</f>
        <v>0</v>
      </c>
      <c r="BX978" s="9">
        <f>[1]monsters!$S978</f>
        <v>0</v>
      </c>
      <c r="BY978" s="9">
        <f>[1]monsters!$K978</f>
        <v>0</v>
      </c>
      <c r="BZ978" s="7">
        <f>[1]monsters!$D978</f>
        <v>0</v>
      </c>
      <c r="CA978" s="7" t="e">
        <f t="shared" si="245"/>
        <v>#N/A</v>
      </c>
      <c r="CB978" s="7" t="e">
        <f t="shared" si="246"/>
        <v>#N/A</v>
      </c>
      <c r="CC978" s="7" t="e">
        <f t="shared" si="247"/>
        <v>#N/A</v>
      </c>
      <c r="CN978" s="7"/>
      <c r="CO978" s="7"/>
      <c r="CP978" s="7"/>
      <c r="CR978" s="25"/>
      <c r="CS978" s="25"/>
      <c r="CT978" s="25"/>
      <c r="CU978" s="25"/>
      <c r="CV978" s="25"/>
      <c r="CW978" s="25"/>
      <c r="DP978" s="32"/>
      <c r="DQ978" s="32"/>
      <c r="DR978" s="32"/>
      <c r="DS978" s="14"/>
      <c r="DT978" s="14"/>
      <c r="DU978" s="14"/>
      <c r="DV978" s="32"/>
      <c r="DW978" s="32"/>
      <c r="DX978" s="32"/>
      <c r="DY978" s="32"/>
      <c r="DZ978" s="32"/>
      <c r="EA978" s="32"/>
    </row>
    <row r="979" spans="29:131" ht="13.5" customHeight="1">
      <c r="AC979" s="16" t="str">
        <f t="shared" si="244"/>
        <v/>
      </c>
      <c r="AD979" s="16" t="str">
        <f t="shared" si="243"/>
        <v/>
      </c>
      <c r="AE979" s="16" t="str">
        <f t="shared" si="243"/>
        <v/>
      </c>
      <c r="AF979" s="16" t="str">
        <f t="shared" si="243"/>
        <v/>
      </c>
      <c r="AG979" s="16" t="str">
        <f t="shared" si="243"/>
        <v/>
      </c>
      <c r="AH979" s="16" t="str">
        <f t="shared" si="243"/>
        <v/>
      </c>
      <c r="BR979" s="7">
        <v>5203095</v>
      </c>
      <c r="BS979" s="9">
        <f>[1]monsters!$N979</f>
        <v>0</v>
      </c>
      <c r="BT979" s="9">
        <f>[1]monsters!$O979</f>
        <v>0</v>
      </c>
      <c r="BU979" s="9">
        <f>[1]monsters!$P979</f>
        <v>0</v>
      </c>
      <c r="BV979" s="9">
        <f>[1]monsters!$Q979</f>
        <v>0</v>
      </c>
      <c r="BW979" s="9">
        <f>[1]monsters!$R979</f>
        <v>0</v>
      </c>
      <c r="BX979" s="9">
        <f>[1]monsters!$S979</f>
        <v>0</v>
      </c>
      <c r="BY979" s="9">
        <f>[1]monsters!$K979</f>
        <v>0</v>
      </c>
      <c r="BZ979" s="7">
        <f>[1]monsters!$D979</f>
        <v>0</v>
      </c>
      <c r="CA979" s="7" t="e">
        <f t="shared" si="245"/>
        <v>#N/A</v>
      </c>
      <c r="CB979" s="7" t="e">
        <f t="shared" si="246"/>
        <v>#N/A</v>
      </c>
      <c r="CC979" s="7" t="e">
        <f t="shared" si="247"/>
        <v>#N/A</v>
      </c>
      <c r="CN979" s="7"/>
      <c r="CO979" s="7"/>
      <c r="CP979" s="7"/>
      <c r="CR979" s="25"/>
      <c r="CS979" s="25"/>
      <c r="CT979" s="25"/>
      <c r="CU979" s="25"/>
      <c r="CV979" s="25"/>
      <c r="CW979" s="25"/>
      <c r="DP979" s="32"/>
      <c r="DQ979" s="32"/>
      <c r="DR979" s="36"/>
      <c r="DS979" s="36"/>
      <c r="DT979" s="32"/>
      <c r="DU979" s="32"/>
      <c r="DV979" s="32"/>
      <c r="DW979" s="32"/>
      <c r="DX979" s="32"/>
      <c r="DY979" s="32"/>
      <c r="DZ979" s="32"/>
      <c r="EA979" s="32"/>
    </row>
    <row r="980" spans="29:131" ht="13.5" customHeight="1">
      <c r="AC980" s="16" t="str">
        <f t="shared" si="244"/>
        <v/>
      </c>
      <c r="AD980" s="16" t="str">
        <f t="shared" si="243"/>
        <v/>
      </c>
      <c r="AE980" s="16" t="str">
        <f t="shared" si="243"/>
        <v/>
      </c>
      <c r="AF980" s="16" t="str">
        <f t="shared" si="243"/>
        <v/>
      </c>
      <c r="AG980" s="16" t="str">
        <f t="shared" si="243"/>
        <v/>
      </c>
      <c r="AH980" s="16" t="str">
        <f t="shared" si="243"/>
        <v/>
      </c>
      <c r="BR980" s="7">
        <v>5403095</v>
      </c>
      <c r="BS980" s="9">
        <f>[1]monsters!$N980</f>
        <v>0</v>
      </c>
      <c r="BT980" s="9">
        <f>[1]monsters!$O980</f>
        <v>0</v>
      </c>
      <c r="BU980" s="9">
        <f>[1]monsters!$P980</f>
        <v>0</v>
      </c>
      <c r="BV980" s="9">
        <f>[1]monsters!$Q980</f>
        <v>0</v>
      </c>
      <c r="BW980" s="9">
        <f>[1]monsters!$R980</f>
        <v>0</v>
      </c>
      <c r="BX980" s="9">
        <f>[1]monsters!$S980</f>
        <v>0</v>
      </c>
      <c r="BY980" s="9">
        <f>[1]monsters!$K980</f>
        <v>0</v>
      </c>
      <c r="BZ980" s="7">
        <f>[1]monsters!$D980</f>
        <v>0</v>
      </c>
      <c r="CA980" s="7" t="e">
        <f t="shared" si="245"/>
        <v>#N/A</v>
      </c>
      <c r="CB980" s="7" t="e">
        <f t="shared" si="246"/>
        <v>#N/A</v>
      </c>
      <c r="CC980" s="7" t="e">
        <f t="shared" si="247"/>
        <v>#N/A</v>
      </c>
      <c r="CN980" s="7"/>
      <c r="CO980" s="7"/>
      <c r="CP980" s="7"/>
      <c r="CR980" s="25"/>
      <c r="CS980" s="25"/>
      <c r="CT980" s="25"/>
      <c r="CU980" s="25"/>
      <c r="CV980" s="25"/>
      <c r="CW980" s="25"/>
      <c r="DP980" s="32"/>
      <c r="DQ980" s="32"/>
      <c r="DR980" s="36"/>
      <c r="DS980" s="36"/>
      <c r="DT980" s="36"/>
      <c r="DU980" s="36"/>
      <c r="DV980" s="32"/>
      <c r="DW980" s="32"/>
      <c r="DX980" s="32"/>
      <c r="DY980" s="32"/>
      <c r="DZ980" s="32"/>
      <c r="EA980" s="32"/>
    </row>
    <row r="981" spans="29:131" ht="13.5" customHeight="1">
      <c r="AC981" s="16" t="str">
        <f t="shared" si="244"/>
        <v/>
      </c>
      <c r="AD981" s="16" t="str">
        <f t="shared" si="243"/>
        <v/>
      </c>
      <c r="AE981" s="16" t="str">
        <f t="shared" si="243"/>
        <v/>
      </c>
      <c r="AF981" s="16" t="str">
        <f t="shared" si="243"/>
        <v/>
      </c>
      <c r="AG981" s="16" t="str">
        <f t="shared" si="243"/>
        <v/>
      </c>
      <c r="AH981" s="16" t="str">
        <f t="shared" si="243"/>
        <v/>
      </c>
      <c r="BR981" s="7">
        <v>5204095</v>
      </c>
      <c r="BS981" s="9">
        <f>[1]monsters!$N981</f>
        <v>0</v>
      </c>
      <c r="BT981" s="9">
        <f>[1]monsters!$O981</f>
        <v>0</v>
      </c>
      <c r="BU981" s="9">
        <f>[1]monsters!$P981</f>
        <v>0</v>
      </c>
      <c r="BV981" s="9">
        <f>[1]monsters!$Q981</f>
        <v>0</v>
      </c>
      <c r="BW981" s="9">
        <f>[1]monsters!$R981</f>
        <v>0</v>
      </c>
      <c r="BX981" s="9">
        <f>[1]monsters!$S981</f>
        <v>0</v>
      </c>
      <c r="BY981" s="9">
        <f>[1]monsters!$K981</f>
        <v>0</v>
      </c>
      <c r="BZ981" s="7">
        <f>[1]monsters!$D981</f>
        <v>0</v>
      </c>
      <c r="CA981" s="7" t="e">
        <f t="shared" si="245"/>
        <v>#N/A</v>
      </c>
      <c r="CB981" s="7" t="e">
        <f t="shared" si="246"/>
        <v>#N/A</v>
      </c>
      <c r="CC981" s="7" t="e">
        <f t="shared" si="247"/>
        <v>#N/A</v>
      </c>
      <c r="CN981" s="7"/>
      <c r="CO981" s="7"/>
      <c r="CP981" s="7"/>
      <c r="CR981" s="25"/>
      <c r="CS981" s="25"/>
      <c r="CT981" s="25"/>
      <c r="CU981" s="25"/>
      <c r="CV981" s="25"/>
      <c r="CW981" s="25"/>
      <c r="DP981" s="32"/>
      <c r="DQ981" s="36"/>
      <c r="DR981" s="32"/>
      <c r="DS981" s="36"/>
      <c r="DT981" s="36"/>
      <c r="DU981" s="14"/>
      <c r="DV981" s="32"/>
      <c r="DW981" s="32"/>
      <c r="DX981" s="32"/>
      <c r="DY981" s="32"/>
      <c r="DZ981" s="32"/>
      <c r="EA981" s="32"/>
    </row>
    <row r="982" spans="29:131" ht="13.5" customHeight="1">
      <c r="AC982" s="16" t="str">
        <f t="shared" si="244"/>
        <v/>
      </c>
      <c r="AD982" s="16" t="str">
        <f t="shared" si="243"/>
        <v/>
      </c>
      <c r="AE982" s="16" t="str">
        <f t="shared" si="243"/>
        <v/>
      </c>
      <c r="AF982" s="16" t="str">
        <f t="shared" si="243"/>
        <v/>
      </c>
      <c r="AG982" s="16" t="str">
        <f t="shared" si="243"/>
        <v/>
      </c>
      <c r="AH982" s="16" t="str">
        <f t="shared" si="243"/>
        <v/>
      </c>
      <c r="BR982" s="7">
        <v>5404095</v>
      </c>
      <c r="BS982" s="9">
        <f>[1]monsters!$N982</f>
        <v>0</v>
      </c>
      <c r="BT982" s="9">
        <f>[1]monsters!$O982</f>
        <v>0</v>
      </c>
      <c r="BU982" s="9">
        <f>[1]monsters!$P982</f>
        <v>0</v>
      </c>
      <c r="BV982" s="9">
        <f>[1]monsters!$Q982</f>
        <v>0</v>
      </c>
      <c r="BW982" s="9">
        <f>[1]monsters!$R982</f>
        <v>0</v>
      </c>
      <c r="BX982" s="9">
        <f>[1]monsters!$S982</f>
        <v>0</v>
      </c>
      <c r="BY982" s="9">
        <f>[1]monsters!$K982</f>
        <v>0</v>
      </c>
      <c r="BZ982" s="7">
        <f>[1]monsters!$D982</f>
        <v>0</v>
      </c>
      <c r="CA982" s="7" t="e">
        <f t="shared" si="245"/>
        <v>#N/A</v>
      </c>
      <c r="CB982" s="7" t="e">
        <f t="shared" si="246"/>
        <v>#N/A</v>
      </c>
      <c r="CC982" s="7" t="e">
        <f t="shared" si="247"/>
        <v>#N/A</v>
      </c>
      <c r="CN982" s="7"/>
      <c r="CO982" s="7"/>
      <c r="CP982" s="7"/>
      <c r="CR982" s="25"/>
      <c r="CS982" s="25"/>
      <c r="CT982" s="25"/>
      <c r="CU982" s="25"/>
      <c r="CV982" s="25"/>
      <c r="CW982" s="25"/>
      <c r="DP982" s="32"/>
      <c r="DQ982" s="32"/>
      <c r="DR982" s="32"/>
      <c r="DS982" s="36"/>
      <c r="DT982" s="36"/>
      <c r="DU982" s="36"/>
      <c r="DV982" s="32"/>
      <c r="DW982" s="32"/>
      <c r="DX982" s="32"/>
      <c r="DY982" s="32"/>
      <c r="DZ982" s="32"/>
      <c r="EA982" s="32"/>
    </row>
    <row r="983" spans="29:131" ht="13.5" customHeight="1">
      <c r="AC983" s="16" t="str">
        <f t="shared" si="244"/>
        <v/>
      </c>
      <c r="AD983" s="16" t="str">
        <f t="shared" si="243"/>
        <v/>
      </c>
      <c r="AE983" s="16" t="str">
        <f t="shared" si="243"/>
        <v/>
      </c>
      <c r="AF983" s="16" t="str">
        <f t="shared" si="243"/>
        <v/>
      </c>
      <c r="AG983" s="16" t="str">
        <f t="shared" si="243"/>
        <v/>
      </c>
      <c r="AH983" s="16" t="str">
        <f t="shared" si="243"/>
        <v/>
      </c>
      <c r="BR983" s="7">
        <v>5303095</v>
      </c>
      <c r="BS983" s="9">
        <f>[1]monsters!$N983</f>
        <v>0</v>
      </c>
      <c r="BT983" s="9">
        <f>[1]monsters!$O983</f>
        <v>0</v>
      </c>
      <c r="BU983" s="9">
        <f>[1]monsters!$P983</f>
        <v>0</v>
      </c>
      <c r="BV983" s="9">
        <f>[1]monsters!$Q983</f>
        <v>0</v>
      </c>
      <c r="BW983" s="9">
        <f>[1]monsters!$R983</f>
        <v>0</v>
      </c>
      <c r="BX983" s="9">
        <f>[1]monsters!$S983</f>
        <v>0</v>
      </c>
      <c r="BY983" s="9">
        <f>[1]monsters!$K983</f>
        <v>0</v>
      </c>
      <c r="BZ983" s="7">
        <f>[1]monsters!$D983</f>
        <v>0</v>
      </c>
      <c r="CA983" s="7" t="e">
        <f t="shared" si="245"/>
        <v>#N/A</v>
      </c>
      <c r="CB983" s="7" t="e">
        <f t="shared" si="246"/>
        <v>#N/A</v>
      </c>
      <c r="CC983" s="7" t="e">
        <f t="shared" si="247"/>
        <v>#N/A</v>
      </c>
      <c r="CN983" s="7"/>
      <c r="CO983" s="7"/>
      <c r="CP983" s="7"/>
      <c r="CR983" s="25"/>
      <c r="CS983" s="25"/>
      <c r="CT983" s="25"/>
      <c r="CU983" s="25"/>
      <c r="CV983" s="25"/>
      <c r="CW983" s="25"/>
      <c r="DP983" s="32"/>
      <c r="DQ983" s="32"/>
      <c r="DR983" s="32"/>
      <c r="DS983" s="32"/>
      <c r="DT983" s="32"/>
      <c r="DU983" s="32"/>
      <c r="DV983" s="32"/>
      <c r="DW983" s="32"/>
      <c r="DX983" s="32"/>
      <c r="DY983" s="32"/>
      <c r="DZ983" s="32"/>
      <c r="EA983" s="32"/>
    </row>
    <row r="984" spans="29:131" ht="13.5" customHeight="1">
      <c r="AC984" s="16" t="str">
        <f t="shared" si="244"/>
        <v/>
      </c>
      <c r="AD984" s="16" t="str">
        <f t="shared" si="243"/>
        <v/>
      </c>
      <c r="AE984" s="16" t="str">
        <f t="shared" si="243"/>
        <v/>
      </c>
      <c r="AF984" s="16" t="str">
        <f t="shared" si="243"/>
        <v/>
      </c>
      <c r="AG984" s="16" t="str">
        <f t="shared" si="243"/>
        <v/>
      </c>
      <c r="AH984" s="16" t="str">
        <f t="shared" si="243"/>
        <v/>
      </c>
      <c r="CR984" s="25"/>
      <c r="CS984" s="25"/>
      <c r="CT984" s="25"/>
      <c r="CU984" s="25"/>
      <c r="CV984" s="25"/>
      <c r="CW984" s="25"/>
      <c r="DP984" s="32"/>
      <c r="DQ984" s="32"/>
      <c r="DR984" s="32"/>
      <c r="DS984" s="32"/>
      <c r="DT984" s="32"/>
      <c r="DU984" s="32"/>
      <c r="DV984" s="32"/>
      <c r="DW984" s="32"/>
      <c r="DX984" s="32"/>
      <c r="DY984" s="32"/>
      <c r="DZ984" s="32"/>
      <c r="EA984" s="32"/>
    </row>
    <row r="985" spans="29:131" ht="13.5" customHeight="1">
      <c r="AC985" s="16" t="str">
        <f t="shared" si="244"/>
        <v/>
      </c>
      <c r="AD985" s="16" t="str">
        <f t="shared" si="243"/>
        <v/>
      </c>
      <c r="AE985" s="16" t="str">
        <f t="shared" si="243"/>
        <v/>
      </c>
      <c r="AF985" s="16" t="str">
        <f t="shared" si="243"/>
        <v/>
      </c>
      <c r="AG985" s="16" t="str">
        <f t="shared" si="243"/>
        <v/>
      </c>
      <c r="AH985" s="16" t="str">
        <f t="shared" si="243"/>
        <v/>
      </c>
      <c r="CR985" s="25"/>
      <c r="CS985" s="25"/>
      <c r="CT985" s="25"/>
      <c r="CU985" s="25"/>
      <c r="CV985" s="25"/>
      <c r="CW985" s="25"/>
      <c r="DP985" s="32"/>
      <c r="DQ985" s="32"/>
      <c r="DR985" s="32"/>
      <c r="DS985" s="32"/>
      <c r="DT985" s="32"/>
      <c r="DU985" s="32"/>
      <c r="DV985" s="32"/>
      <c r="DW985" s="32"/>
      <c r="DX985" s="32"/>
      <c r="DY985" s="32"/>
      <c r="DZ985" s="32"/>
      <c r="EA985" s="32"/>
    </row>
    <row r="986" spans="29:131" ht="13.5" customHeight="1">
      <c r="AC986" s="16" t="str">
        <f t="shared" si="244"/>
        <v/>
      </c>
      <c r="AD986" s="16" t="str">
        <f t="shared" si="243"/>
        <v/>
      </c>
      <c r="AE986" s="16" t="str">
        <f t="shared" si="243"/>
        <v/>
      </c>
      <c r="AF986" s="16" t="str">
        <f t="shared" si="243"/>
        <v/>
      </c>
      <c r="AG986" s="16" t="str">
        <f t="shared" si="243"/>
        <v/>
      </c>
      <c r="AH986" s="16" t="str">
        <f t="shared" si="243"/>
        <v/>
      </c>
      <c r="CR986" s="25"/>
      <c r="CS986" s="25"/>
      <c r="CT986" s="25"/>
      <c r="CU986" s="25"/>
      <c r="CV986" s="25"/>
      <c r="CW986" s="25"/>
      <c r="DP986" s="32"/>
      <c r="DQ986" s="32"/>
      <c r="DR986" s="32"/>
      <c r="DS986" s="32"/>
      <c r="DT986" s="32"/>
      <c r="DU986" s="32"/>
      <c r="DV986" s="32"/>
      <c r="DW986" s="32"/>
      <c r="DX986" s="32"/>
      <c r="DY986" s="32"/>
      <c r="DZ986" s="32"/>
      <c r="EA986" s="32"/>
    </row>
    <row r="987" spans="29:131" ht="13.5" customHeight="1">
      <c r="AC987" s="16" t="str">
        <f t="shared" si="244"/>
        <v/>
      </c>
      <c r="AD987" s="16" t="str">
        <f t="shared" si="243"/>
        <v/>
      </c>
      <c r="AE987" s="16" t="str">
        <f t="shared" si="243"/>
        <v/>
      </c>
      <c r="AF987" s="16" t="str">
        <f t="shared" si="243"/>
        <v/>
      </c>
      <c r="AG987" s="16" t="str">
        <f t="shared" si="243"/>
        <v/>
      </c>
      <c r="AH987" s="16" t="str">
        <f t="shared" si="243"/>
        <v/>
      </c>
      <c r="CR987" s="25"/>
      <c r="CS987" s="25"/>
      <c r="CT987" s="25"/>
      <c r="CU987" s="25"/>
      <c r="CV987" s="25"/>
      <c r="CW987" s="25"/>
      <c r="DP987" s="32"/>
      <c r="DQ987" s="32"/>
      <c r="DR987" s="32"/>
      <c r="DS987" s="32"/>
      <c r="DT987" s="32"/>
      <c r="DU987" s="32"/>
      <c r="DV987" s="32"/>
      <c r="DW987" s="32"/>
      <c r="DX987" s="32"/>
      <c r="DY987" s="32"/>
      <c r="DZ987" s="32"/>
      <c r="EA987" s="32"/>
    </row>
    <row r="988" spans="29:131" ht="13.5" customHeight="1">
      <c r="AC988" s="16" t="str">
        <f t="shared" si="244"/>
        <v/>
      </c>
      <c r="AD988" s="16" t="str">
        <f t="shared" si="243"/>
        <v/>
      </c>
      <c r="AE988" s="16" t="str">
        <f t="shared" si="243"/>
        <v/>
      </c>
      <c r="AF988" s="16" t="str">
        <f t="shared" si="243"/>
        <v/>
      </c>
      <c r="AG988" s="16" t="str">
        <f t="shared" si="243"/>
        <v/>
      </c>
      <c r="AH988" s="16" t="str">
        <f t="shared" si="243"/>
        <v/>
      </c>
      <c r="CR988" s="25"/>
      <c r="CS988" s="25"/>
      <c r="CT988" s="25"/>
      <c r="CU988" s="25"/>
      <c r="CV988" s="25"/>
      <c r="CW988" s="25"/>
      <c r="DP988" s="32"/>
      <c r="DQ988" s="32"/>
      <c r="DR988" s="32"/>
      <c r="DS988" s="32"/>
      <c r="DT988" s="32"/>
      <c r="DU988" s="32"/>
      <c r="DV988" s="32"/>
      <c r="DW988" s="32"/>
      <c r="DX988" s="32"/>
      <c r="DY988" s="32"/>
      <c r="DZ988" s="32"/>
      <c r="EA988" s="32"/>
    </row>
    <row r="989" spans="29:131" ht="13.5" customHeight="1">
      <c r="AC989" s="16" t="str">
        <f t="shared" si="244"/>
        <v/>
      </c>
      <c r="AD989" s="16" t="str">
        <f t="shared" si="243"/>
        <v/>
      </c>
      <c r="AE989" s="16" t="str">
        <f t="shared" si="243"/>
        <v/>
      </c>
      <c r="AF989" s="16" t="str">
        <f t="shared" si="243"/>
        <v/>
      </c>
      <c r="AG989" s="16" t="str">
        <f t="shared" si="243"/>
        <v/>
      </c>
      <c r="AH989" s="16" t="str">
        <f t="shared" si="243"/>
        <v/>
      </c>
      <c r="CR989" s="25"/>
      <c r="CS989" s="25"/>
      <c r="CT989" s="25"/>
      <c r="CU989" s="25"/>
      <c r="CV989" s="25"/>
      <c r="CW989" s="25"/>
      <c r="DP989" s="13"/>
      <c r="DQ989" s="13"/>
      <c r="DR989" s="13"/>
      <c r="DS989" s="13"/>
      <c r="DT989" s="13"/>
      <c r="DU989" s="13"/>
      <c r="DV989" s="32"/>
      <c r="DW989" s="32"/>
      <c r="DX989" s="32"/>
      <c r="DY989" s="32"/>
      <c r="DZ989" s="32"/>
      <c r="EA989" s="32"/>
    </row>
    <row r="990" spans="29:131" ht="13.5" customHeight="1">
      <c r="AC990" s="16" t="str">
        <f t="shared" si="244"/>
        <v/>
      </c>
      <c r="AD990" s="16" t="str">
        <f t="shared" si="243"/>
        <v/>
      </c>
      <c r="AE990" s="16" t="str">
        <f t="shared" si="243"/>
        <v/>
      </c>
      <c r="AF990" s="16" t="str">
        <f t="shared" si="243"/>
        <v/>
      </c>
      <c r="AG990" s="16" t="str">
        <f t="shared" si="243"/>
        <v/>
      </c>
      <c r="AH990" s="16" t="str">
        <f t="shared" si="243"/>
        <v/>
      </c>
      <c r="CR990" s="25"/>
      <c r="CS990" s="25"/>
      <c r="CT990" s="25"/>
      <c r="CU990" s="25"/>
      <c r="CV990" s="25"/>
      <c r="CW990" s="25"/>
      <c r="DP990" s="32"/>
      <c r="DQ990" s="32"/>
      <c r="DR990" s="32"/>
      <c r="DS990" s="32"/>
      <c r="DT990" s="32"/>
      <c r="DU990" s="32"/>
      <c r="DV990" s="32"/>
      <c r="DW990" s="32"/>
      <c r="DX990" s="32"/>
      <c r="DY990" s="32"/>
      <c r="DZ990" s="32"/>
      <c r="EA990" s="32"/>
    </row>
    <row r="991" spans="29:131" ht="13.5" customHeight="1">
      <c r="AC991" s="16" t="str">
        <f t="shared" si="244"/>
        <v/>
      </c>
      <c r="AD991" s="16" t="str">
        <f t="shared" si="243"/>
        <v/>
      </c>
      <c r="AE991" s="16" t="str">
        <f t="shared" si="243"/>
        <v/>
      </c>
      <c r="AF991" s="16" t="str">
        <f t="shared" si="243"/>
        <v/>
      </c>
      <c r="AG991" s="16" t="str">
        <f t="shared" si="243"/>
        <v/>
      </c>
      <c r="AH991" s="16" t="str">
        <f t="shared" si="243"/>
        <v/>
      </c>
      <c r="CR991" s="25"/>
      <c r="CS991" s="25"/>
      <c r="CT991" s="25"/>
      <c r="CU991" s="25"/>
      <c r="CV991" s="25"/>
      <c r="CW991" s="25"/>
      <c r="DP991" s="32"/>
      <c r="DQ991" s="32"/>
      <c r="DR991" s="32"/>
      <c r="DS991" s="32"/>
      <c r="DT991" s="32"/>
      <c r="DU991" s="32"/>
      <c r="DV991" s="32"/>
      <c r="DW991" s="32"/>
      <c r="DX991" s="32"/>
      <c r="DY991" s="32"/>
      <c r="DZ991" s="32"/>
      <c r="EA991" s="32"/>
    </row>
    <row r="992" spans="29:131" ht="13.5" customHeight="1">
      <c r="AC992" s="16" t="str">
        <f t="shared" si="244"/>
        <v/>
      </c>
      <c r="AD992" s="16" t="str">
        <f t="shared" si="243"/>
        <v/>
      </c>
      <c r="AE992" s="16" t="str">
        <f t="shared" si="243"/>
        <v/>
      </c>
      <c r="AF992" s="16" t="str">
        <f t="shared" si="243"/>
        <v/>
      </c>
      <c r="AG992" s="16" t="str">
        <f t="shared" si="243"/>
        <v/>
      </c>
      <c r="AH992" s="16" t="str">
        <f t="shared" si="243"/>
        <v/>
      </c>
      <c r="CR992" s="25"/>
      <c r="CS992" s="25"/>
      <c r="CT992" s="25"/>
      <c r="CU992" s="25"/>
      <c r="CV992" s="25"/>
      <c r="CW992" s="25"/>
      <c r="DP992" s="32"/>
      <c r="DQ992" s="32"/>
      <c r="DR992" s="32"/>
      <c r="DS992" s="32"/>
      <c r="DT992" s="32"/>
      <c r="DU992" s="32"/>
      <c r="DV992" s="32"/>
      <c r="DW992" s="32"/>
      <c r="DX992" s="32"/>
      <c r="DY992" s="32"/>
      <c r="DZ992" s="32"/>
      <c r="EA992" s="32"/>
    </row>
    <row r="993" spans="29:131" ht="13.5" customHeight="1">
      <c r="AC993" s="16" t="str">
        <f t="shared" si="244"/>
        <v/>
      </c>
      <c r="AD993" s="16" t="str">
        <f t="shared" si="243"/>
        <v/>
      </c>
      <c r="AE993" s="16" t="str">
        <f t="shared" si="243"/>
        <v/>
      </c>
      <c r="AF993" s="16" t="str">
        <f t="shared" si="243"/>
        <v/>
      </c>
      <c r="AG993" s="16" t="str">
        <f t="shared" si="243"/>
        <v/>
      </c>
      <c r="AH993" s="16" t="str">
        <f t="shared" si="243"/>
        <v/>
      </c>
      <c r="CR993" s="25"/>
      <c r="CS993" s="25"/>
      <c r="CT993" s="25"/>
      <c r="CU993" s="25"/>
      <c r="CV993" s="25"/>
      <c r="CW993" s="25"/>
      <c r="DP993" s="32"/>
      <c r="DQ993" s="32"/>
      <c r="DR993" s="32"/>
      <c r="DS993" s="32"/>
      <c r="DT993" s="32"/>
      <c r="DU993" s="32"/>
      <c r="DV993" s="32"/>
      <c r="DW993" s="32"/>
      <c r="DX993" s="32"/>
      <c r="DY993" s="32"/>
      <c r="DZ993" s="32"/>
      <c r="EA993" s="32"/>
    </row>
    <row r="994" spans="29:131" ht="13.5" customHeight="1">
      <c r="AC994" s="16" t="str">
        <f t="shared" si="244"/>
        <v/>
      </c>
      <c r="AD994" s="16" t="str">
        <f t="shared" si="243"/>
        <v/>
      </c>
      <c r="AE994" s="16" t="str">
        <f t="shared" si="243"/>
        <v/>
      </c>
      <c r="AF994" s="16" t="str">
        <f t="shared" si="243"/>
        <v/>
      </c>
      <c r="AG994" s="16" t="str">
        <f t="shared" si="243"/>
        <v/>
      </c>
      <c r="AH994" s="16" t="str">
        <f t="shared" si="243"/>
        <v/>
      </c>
      <c r="CR994" s="25"/>
      <c r="CS994" s="25"/>
      <c r="CT994" s="25"/>
      <c r="CU994" s="25"/>
      <c r="CV994" s="25"/>
      <c r="CW994" s="25"/>
      <c r="DP994" s="32"/>
      <c r="DQ994" s="32"/>
      <c r="DR994" s="32"/>
      <c r="DS994" s="32"/>
      <c r="DT994" s="32"/>
      <c r="DU994" s="32"/>
      <c r="DV994" s="32"/>
      <c r="DW994" s="32"/>
      <c r="DX994" s="32"/>
      <c r="DY994" s="32"/>
      <c r="DZ994" s="32"/>
      <c r="EA994" s="32"/>
    </row>
    <row r="995" spans="29:131" ht="13.5" customHeight="1">
      <c r="AC995" s="16" t="str">
        <f t="shared" si="244"/>
        <v/>
      </c>
      <c r="AD995" s="16" t="str">
        <f t="shared" si="243"/>
        <v/>
      </c>
      <c r="AE995" s="16" t="str">
        <f t="shared" si="243"/>
        <v/>
      </c>
      <c r="AF995" s="16" t="str">
        <f t="shared" si="243"/>
        <v/>
      </c>
      <c r="AG995" s="16" t="str">
        <f t="shared" si="243"/>
        <v/>
      </c>
      <c r="AH995" s="16" t="str">
        <f t="shared" si="243"/>
        <v/>
      </c>
      <c r="CR995" s="25"/>
      <c r="CS995" s="25"/>
      <c r="CT995" s="25"/>
      <c r="CU995" s="25"/>
      <c r="CV995" s="25"/>
      <c r="CW995" s="25"/>
      <c r="DP995" s="32"/>
      <c r="DQ995" s="32"/>
      <c r="DR995" s="32"/>
      <c r="DS995" s="32"/>
      <c r="DT995" s="32"/>
      <c r="DU995" s="32"/>
      <c r="DV995" s="32"/>
      <c r="DW995" s="32"/>
      <c r="DX995" s="32"/>
      <c r="DY995" s="32"/>
      <c r="DZ995" s="32"/>
      <c r="EA995" s="32"/>
    </row>
    <row r="996" spans="29:131" ht="13.5" customHeight="1">
      <c r="AC996" s="16" t="str">
        <f t="shared" si="244"/>
        <v/>
      </c>
      <c r="AD996" s="16" t="str">
        <f t="shared" si="243"/>
        <v/>
      </c>
      <c r="AE996" s="16" t="str">
        <f t="shared" si="243"/>
        <v/>
      </c>
      <c r="AF996" s="16" t="str">
        <f t="shared" si="243"/>
        <v/>
      </c>
      <c r="AG996" s="16" t="str">
        <f t="shared" si="243"/>
        <v/>
      </c>
      <c r="AH996" s="16" t="str">
        <f t="shared" si="243"/>
        <v/>
      </c>
      <c r="CR996" s="25"/>
      <c r="CS996" s="25"/>
      <c r="CT996" s="25"/>
      <c r="CU996" s="25"/>
      <c r="CV996" s="25"/>
      <c r="CW996" s="25"/>
      <c r="DP996" s="32"/>
      <c r="DQ996" s="32"/>
      <c r="DR996" s="32"/>
      <c r="DS996" s="32"/>
      <c r="DT996" s="32"/>
      <c r="DU996" s="32"/>
      <c r="DV996" s="32"/>
      <c r="DW996" s="32"/>
      <c r="DX996" s="32"/>
      <c r="DY996" s="32"/>
      <c r="DZ996" s="32"/>
      <c r="EA996" s="32"/>
    </row>
    <row r="997" spans="29:131" ht="13.5" customHeight="1">
      <c r="AC997" s="16" t="str">
        <f t="shared" si="244"/>
        <v/>
      </c>
      <c r="AD997" s="16" t="str">
        <f t="shared" si="243"/>
        <v/>
      </c>
      <c r="AE997" s="16" t="str">
        <f t="shared" si="243"/>
        <v/>
      </c>
      <c r="AF997" s="16" t="str">
        <f t="shared" si="243"/>
        <v/>
      </c>
      <c r="AG997" s="16" t="str">
        <f t="shared" si="243"/>
        <v/>
      </c>
      <c r="AH997" s="16" t="str">
        <f t="shared" si="243"/>
        <v/>
      </c>
      <c r="CR997" s="25"/>
      <c r="CS997" s="25"/>
      <c r="CT997" s="25"/>
      <c r="CU997" s="25"/>
      <c r="CV997" s="25"/>
      <c r="CW997" s="25"/>
      <c r="DP997" s="32"/>
      <c r="DQ997" s="32"/>
      <c r="DR997" s="32"/>
      <c r="DS997" s="32"/>
      <c r="DT997" s="32"/>
      <c r="DU997" s="32"/>
      <c r="DV997" s="32"/>
      <c r="DW997" s="32"/>
      <c r="DX997" s="32"/>
      <c r="DY997" s="32"/>
      <c r="DZ997" s="32"/>
      <c r="EA997" s="32"/>
    </row>
    <row r="998" spans="29:131" ht="13.5" customHeight="1">
      <c r="AC998" s="16" t="str">
        <f t="shared" si="244"/>
        <v/>
      </c>
      <c r="AD998" s="16" t="str">
        <f t="shared" si="243"/>
        <v/>
      </c>
      <c r="AE998" s="16" t="str">
        <f t="shared" si="243"/>
        <v/>
      </c>
      <c r="AF998" s="16" t="str">
        <f t="shared" si="243"/>
        <v/>
      </c>
      <c r="AG998" s="16" t="str">
        <f t="shared" si="243"/>
        <v/>
      </c>
      <c r="AH998" s="16" t="str">
        <f t="shared" si="243"/>
        <v/>
      </c>
      <c r="CR998" s="25"/>
      <c r="CS998" s="25"/>
      <c r="CT998" s="25"/>
      <c r="CU998" s="25"/>
      <c r="CV998" s="25"/>
      <c r="CW998" s="25"/>
      <c r="DP998" s="32"/>
      <c r="DQ998" s="32"/>
      <c r="DR998" s="32"/>
      <c r="DS998" s="32"/>
      <c r="DT998" s="32"/>
      <c r="DU998" s="32"/>
      <c r="DV998" s="32"/>
      <c r="DW998" s="32"/>
      <c r="DX998" s="32"/>
      <c r="DY998" s="32"/>
      <c r="DZ998" s="32"/>
      <c r="EA998" s="32"/>
    </row>
    <row r="999" spans="29:131" ht="13.5" customHeight="1">
      <c r="AC999" s="16" t="str">
        <f t="shared" si="244"/>
        <v/>
      </c>
      <c r="AD999" s="16" t="str">
        <f t="shared" si="243"/>
        <v/>
      </c>
      <c r="AE999" s="16" t="str">
        <f t="shared" si="243"/>
        <v/>
      </c>
      <c r="AF999" s="16" t="str">
        <f t="shared" si="243"/>
        <v/>
      </c>
      <c r="AG999" s="16" t="str">
        <f t="shared" si="243"/>
        <v/>
      </c>
      <c r="AH999" s="16" t="str">
        <f t="shared" si="243"/>
        <v/>
      </c>
      <c r="CR999" s="25"/>
      <c r="CS999" s="25"/>
      <c r="CT999" s="25"/>
      <c r="CU999" s="25"/>
      <c r="CV999" s="25"/>
      <c r="CW999" s="25"/>
      <c r="DP999" s="32"/>
      <c r="DQ999" s="32"/>
      <c r="DR999" s="32"/>
      <c r="DS999" s="32"/>
      <c r="DT999" s="32"/>
      <c r="DU999" s="32"/>
      <c r="DV999" s="32"/>
      <c r="DW999" s="32"/>
      <c r="DX999" s="32"/>
      <c r="DY999" s="32"/>
      <c r="DZ999" s="32"/>
      <c r="EA999" s="32"/>
    </row>
    <row r="1000" spans="29:131" ht="13.5" customHeight="1">
      <c r="AC1000" s="16" t="str">
        <f t="shared" si="244"/>
        <v/>
      </c>
      <c r="AD1000" s="16" t="str">
        <f t="shared" si="243"/>
        <v/>
      </c>
      <c r="AE1000" s="16" t="str">
        <f t="shared" si="243"/>
        <v/>
      </c>
      <c r="AF1000" s="16" t="str">
        <f t="shared" si="243"/>
        <v/>
      </c>
      <c r="AG1000" s="16" t="str">
        <f t="shared" si="243"/>
        <v/>
      </c>
      <c r="AH1000" s="16" t="str">
        <f t="shared" si="243"/>
        <v/>
      </c>
      <c r="CR1000" s="25"/>
      <c r="CS1000" s="25"/>
      <c r="CT1000" s="25"/>
      <c r="CU1000" s="25"/>
      <c r="CV1000" s="25"/>
      <c r="CW1000" s="25"/>
      <c r="DP1000" s="32"/>
      <c r="DQ1000" s="32"/>
      <c r="DR1000" s="32"/>
      <c r="DS1000" s="32"/>
      <c r="DT1000" s="32"/>
      <c r="DU1000" s="32"/>
      <c r="DV1000" s="32"/>
      <c r="DW1000" s="32"/>
      <c r="DX1000" s="32"/>
      <c r="DY1000" s="32"/>
      <c r="DZ1000" s="32"/>
      <c r="EA1000" s="32"/>
    </row>
    <row r="1001" spans="29:131" ht="13.5" customHeight="1">
      <c r="AC1001" s="16" t="str">
        <f t="shared" si="244"/>
        <v/>
      </c>
      <c r="AD1001" s="16" t="str">
        <f t="shared" si="243"/>
        <v/>
      </c>
      <c r="AE1001" s="16" t="str">
        <f t="shared" si="243"/>
        <v/>
      </c>
      <c r="AF1001" s="16" t="str">
        <f t="shared" si="243"/>
        <v/>
      </c>
      <c r="AG1001" s="16" t="str">
        <f t="shared" si="243"/>
        <v/>
      </c>
      <c r="AH1001" s="16" t="str">
        <f t="shared" si="243"/>
        <v/>
      </c>
      <c r="CR1001" s="25"/>
      <c r="CS1001" s="25"/>
      <c r="CT1001" s="25"/>
      <c r="CU1001" s="25"/>
      <c r="CV1001" s="25"/>
      <c r="CW1001" s="25"/>
      <c r="DP1001" s="32"/>
      <c r="DQ1001" s="32"/>
      <c r="DR1001" s="32"/>
      <c r="DS1001" s="32"/>
      <c r="DT1001" s="32"/>
      <c r="DU1001" s="32"/>
      <c r="DV1001" s="32"/>
      <c r="DW1001" s="32"/>
      <c r="DX1001" s="32"/>
      <c r="DY1001" s="32"/>
      <c r="DZ1001" s="32"/>
      <c r="EA1001" s="32"/>
    </row>
    <row r="1002" spans="29:131" ht="13.5" customHeight="1">
      <c r="AC1002" s="16" t="str">
        <f t="shared" si="244"/>
        <v/>
      </c>
      <c r="AD1002" s="16" t="str">
        <f t="shared" si="243"/>
        <v/>
      </c>
      <c r="AE1002" s="16" t="str">
        <f t="shared" si="243"/>
        <v/>
      </c>
      <c r="AF1002" s="16" t="str">
        <f t="shared" si="243"/>
        <v/>
      </c>
      <c r="AG1002" s="16" t="str">
        <f t="shared" si="243"/>
        <v/>
      </c>
      <c r="AH1002" s="16" t="str">
        <f t="shared" si="243"/>
        <v/>
      </c>
      <c r="CR1002" s="25"/>
      <c r="CS1002" s="25"/>
      <c r="CT1002" s="25"/>
      <c r="CU1002" s="25"/>
      <c r="CV1002" s="25"/>
      <c r="CW1002" s="25"/>
      <c r="DP1002" s="32"/>
      <c r="DQ1002" s="32"/>
      <c r="DR1002" s="32"/>
      <c r="DS1002" s="32"/>
      <c r="DT1002" s="32"/>
      <c r="DU1002" s="32"/>
      <c r="DV1002" s="32"/>
      <c r="DW1002" s="32"/>
      <c r="DX1002" s="32"/>
      <c r="DY1002" s="32"/>
      <c r="DZ1002" s="32"/>
      <c r="EA1002" s="32"/>
    </row>
  </sheetData>
  <autoFilter ref="A3:BE603" xr:uid="{00000000-0009-0000-0000-000000000000}"/>
  <phoneticPr fontId="8" type="noConversion"/>
  <conditionalFormatting sqref="EC101">
    <cfRule type="duplicateValues" dxfId="9" priority="8"/>
  </conditionalFormatting>
  <conditionalFormatting sqref="BR4:BR983">
    <cfRule type="duplicateValues" dxfId="8" priority="9"/>
  </conditionalFormatting>
  <conditionalFormatting sqref="EG1:EG36 EG70:EG175 EG369:EG1048576 EG202:EG335">
    <cfRule type="containsText" dxfId="7" priority="2" operator="containsText" text="沉默">
      <formula>NOT(ISERROR(SEARCH("沉默",EG1)))</formula>
    </cfRule>
    <cfRule type="containsText" dxfId="6" priority="3" operator="containsText" text="石化">
      <formula>NOT(ISERROR(SEARCH("石化",EG1)))</formula>
    </cfRule>
    <cfRule type="containsText" dxfId="5" priority="4" operator="containsText" text="沉默">
      <formula>NOT(ISERROR(SEARCH("沉默",EG1)))</formula>
    </cfRule>
    <cfRule type="containsText" dxfId="4" priority="5" operator="containsText" text="嘲讽">
      <formula>NOT(ISERROR(SEARCH("嘲讽",EG1)))</formula>
    </cfRule>
    <cfRule type="containsText" dxfId="3" priority="6" operator="containsText" text="冰冻">
      <formula>NOT(ISERROR(SEARCH("冰冻",EG1)))</formula>
    </cfRule>
    <cfRule type="containsText" dxfId="2" priority="7" operator="containsText" text="眩晕">
      <formula>NOT(ISERROR(SEARCH("眩晕",EG1)))</formula>
    </cfRule>
  </conditionalFormatting>
  <conditionalFormatting sqref="EC94:EC126">
    <cfRule type="duplicateValues" dxfId="1" priority="10"/>
  </conditionalFormatting>
  <conditionalFormatting sqref="EC4:EC88">
    <cfRule type="duplicateValues" dxfId="0" priority="1"/>
  </conditionalFormatting>
  <pageMargins left="0.7" right="0.7" top="0.75" bottom="0.75" header="0.3" footer="0.3"/>
  <pageSetup orientation="portrait" r:id="rId1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mythical_copy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2018-02-02T02:55:00Z</dcterms:created>
  <dcterms:modified xsi:type="dcterms:W3CDTF">2021-03-12T06:56:37Z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