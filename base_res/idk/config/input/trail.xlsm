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/>
  <workbookPr codeName="ThisWorkbook"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B74699F2-8145-4E77-A663-8A819FABE1CD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rail" sheetId="1" r:id="rId1"/>
  </sheets>
  <definedNames>
    <definedName name="_xlnm._FilterDatabase" localSheetId="0" hidden="1">trail!$A$3:$AE$521</definedName>
  </definedNames>
  <calcPr calcId="191029"/>
</workbook>
</file>

<file path=xl/calcChain.xml><?xml version="1.0" encoding="utf-8"?>
<calcChain xmlns="http://schemas.openxmlformats.org/spreadsheetml/2006/main">
  <c r="N12" i="1" l="1"/>
  <c r="T48" i="1" l="1"/>
  <c r="S48" i="1"/>
  <c r="T47" i="1"/>
  <c r="S47" i="1"/>
  <c r="T46" i="1"/>
  <c r="S46" i="1"/>
  <c r="T45" i="1"/>
  <c r="S45" i="1"/>
  <c r="T44" i="1"/>
  <c r="S44" i="1"/>
  <c r="T43" i="1"/>
  <c r="S43" i="1"/>
  <c r="T42" i="1"/>
  <c r="S42" i="1"/>
  <c r="T41" i="1"/>
  <c r="S41" i="1"/>
  <c r="T40" i="1"/>
  <c r="S40" i="1"/>
  <c r="T39" i="1"/>
  <c r="S39" i="1"/>
  <c r="T38" i="1"/>
  <c r="S38" i="1"/>
  <c r="T37" i="1"/>
  <c r="S37" i="1"/>
  <c r="T36" i="1"/>
  <c r="S36" i="1"/>
  <c r="T35" i="1"/>
  <c r="S35" i="1"/>
  <c r="T34" i="1"/>
  <c r="S34" i="1"/>
  <c r="T33" i="1"/>
  <c r="S33" i="1"/>
  <c r="T32" i="1"/>
  <c r="S32" i="1"/>
  <c r="T31" i="1"/>
  <c r="S31" i="1"/>
  <c r="T30" i="1"/>
  <c r="S30" i="1"/>
  <c r="T29" i="1"/>
  <c r="S29" i="1"/>
  <c r="T28" i="1"/>
  <c r="S28" i="1"/>
  <c r="T27" i="1"/>
  <c r="S27" i="1"/>
  <c r="T26" i="1"/>
  <c r="S26" i="1"/>
  <c r="T25" i="1"/>
  <c r="S25" i="1"/>
  <c r="T24" i="1"/>
  <c r="S24" i="1"/>
  <c r="T23" i="1"/>
  <c r="S23" i="1"/>
  <c r="T22" i="1"/>
  <c r="S22" i="1"/>
  <c r="T21" i="1"/>
  <c r="S21" i="1"/>
  <c r="T20" i="1"/>
  <c r="S20" i="1"/>
  <c r="T19" i="1"/>
  <c r="S19" i="1"/>
  <c r="T18" i="1"/>
  <c r="S18" i="1"/>
  <c r="T17" i="1"/>
  <c r="S17" i="1"/>
  <c r="T16" i="1"/>
  <c r="S16" i="1"/>
  <c r="T15" i="1"/>
  <c r="S15" i="1"/>
  <c r="T14" i="1"/>
  <c r="S14" i="1"/>
  <c r="T13" i="1"/>
  <c r="S13" i="1"/>
  <c r="T12" i="1"/>
  <c r="S12" i="1"/>
  <c r="T11" i="1"/>
  <c r="S11" i="1"/>
  <c r="T10" i="1"/>
  <c r="S10" i="1"/>
  <c r="T9" i="1"/>
  <c r="S9" i="1"/>
  <c r="T8" i="1"/>
  <c r="S8" i="1"/>
  <c r="T7" i="1"/>
  <c r="S7" i="1"/>
  <c r="T6" i="1"/>
  <c r="S6" i="1"/>
  <c r="T5" i="1"/>
  <c r="S5" i="1"/>
  <c r="T4" i="1"/>
  <c r="S4" i="1"/>
</calcChain>
</file>

<file path=xl/sharedStrings.xml><?xml version="1.0" encoding="utf-8"?>
<sst xmlns="http://schemas.openxmlformats.org/spreadsheetml/2006/main" count="253" uniqueCount="77">
  <si>
    <t>id</t>
  </si>
  <si>
    <t>type</t>
  </si>
  <si>
    <t>param</t>
  </si>
  <si>
    <t>difficult</t>
  </si>
  <si>
    <r>
      <rPr>
        <sz val="11"/>
        <color theme="1"/>
        <rFont val="宋体"/>
        <charset val="134"/>
        <scheme val="minor"/>
      </rPr>
      <t>a</t>
    </r>
    <r>
      <rPr>
        <sz val="11"/>
        <color indexed="8"/>
        <rFont val="宋体"/>
        <charset val="134"/>
      </rPr>
      <t>ward_type</t>
    </r>
  </si>
  <si>
    <t>award_param1</t>
  </si>
  <si>
    <t>award_param2</t>
  </si>
  <si>
    <t>award_param3</t>
  </si>
  <si>
    <t>award_num</t>
  </si>
  <si>
    <t>初级玩家3张20级英雄</t>
  </si>
  <si>
    <t>关卡顺序</t>
  </si>
  <si>
    <t>int32</t>
  </si>
  <si>
    <r>
      <rPr>
        <sz val="11"/>
        <color indexed="8"/>
        <rFont val="宋体"/>
        <charset val="134"/>
      </rPr>
      <t>l</t>
    </r>
    <r>
      <rPr>
        <sz val="11"/>
        <color indexed="8"/>
        <rFont val="宋体"/>
        <charset val="134"/>
      </rPr>
      <t>ist&lt;int32&gt;</t>
    </r>
  </si>
  <si>
    <t>list&lt;int32&gt;</t>
  </si>
  <si>
    <t>9BUFF、3助战</t>
  </si>
  <si>
    <t>ID</t>
  </si>
  <si>
    <t>关卡类型</t>
  </si>
  <si>
    <t>关卡类型参数</t>
  </si>
  <si>
    <t>试炼难度百分比</t>
  </si>
  <si>
    <t>奖励物品类型</t>
  </si>
  <si>
    <t>奖励物品参数</t>
  </si>
  <si>
    <t>奖励物品数量</t>
  </si>
  <si>
    <t>BUFF</t>
  </si>
  <si>
    <t>预期等级(buff后)</t>
  </si>
  <si>
    <t>怪等级</t>
  </si>
  <si>
    <t>预期百分比</t>
  </si>
  <si>
    <t>实际百分比</t>
  </si>
  <si>
    <t>普通关卡</t>
  </si>
  <si>
    <t>3,1,10,11,37</t>
  </si>
  <si>
    <t>0,0,0,0,0</t>
  </si>
  <si>
    <t>0,0,5,1,10</t>
  </si>
  <si>
    <t>奖励物品为通关掉落</t>
  </si>
  <si>
    <t>0,0,10,1,10</t>
  </si>
  <si>
    <t>BOSS关卡</t>
  </si>
  <si>
    <t>buff</t>
  </si>
  <si>
    <t>BUFF关卡</t>
  </si>
  <si>
    <t>0,0,15,1,10</t>
  </si>
  <si>
    <t>助战关卡</t>
  </si>
  <si>
    <t>0,0,20,1,10</t>
  </si>
  <si>
    <t>宝箱关卡</t>
  </si>
  <si>
    <t>奖励物品为直接获取</t>
  </si>
  <si>
    <t>0,0,25,1,10</t>
  </si>
  <si>
    <t>0,0,30,1,10</t>
  </si>
  <si>
    <t>0,0,35,1,10</t>
  </si>
  <si>
    <t>0,0,40,1,10</t>
  </si>
  <si>
    <t>助战</t>
  </si>
  <si>
    <t>0,0,45,1,10</t>
  </si>
  <si>
    <t>12,4,10,11</t>
  </si>
  <si>
    <t>0,0,0,0</t>
  </si>
  <si>
    <t>宝箱</t>
  </si>
  <si>
    <t>0,0,55,1,10</t>
  </si>
  <si>
    <t>0,0,60,1,10</t>
  </si>
  <si>
    <t>0,0,65,1,10</t>
  </si>
  <si>
    <t>0,0,70,1,10</t>
  </si>
  <si>
    <t>0,0,75,1,10</t>
  </si>
  <si>
    <t>0,0,80,1,10</t>
  </si>
  <si>
    <t>0,0,85,1,10</t>
  </si>
  <si>
    <t>0,0,90,1,10</t>
  </si>
  <si>
    <t>0,0,95,1,10</t>
  </si>
  <si>
    <t>0,0,105,1,10</t>
  </si>
  <si>
    <t>0,0,110,1,10</t>
  </si>
  <si>
    <t>0,0,115,1,10</t>
  </si>
  <si>
    <t>0,0,120,1,10</t>
  </si>
  <si>
    <t>0,0,125,1,10</t>
  </si>
  <si>
    <t>0,0,130,1,10</t>
  </si>
  <si>
    <t>0,0,135,1,10</t>
  </si>
  <si>
    <t>0,0,140,1,10</t>
  </si>
  <si>
    <t>0,0,145,1,10</t>
  </si>
  <si>
    <t>3,1,10,37</t>
  </si>
  <si>
    <t>0,0,150,10</t>
  </si>
  <si>
    <t>12,4,10</t>
  </si>
  <si>
    <t>0,0,0</t>
  </si>
  <si>
    <t>0,150,200</t>
  </si>
  <si>
    <t>0,0,50,4,10</t>
    <phoneticPr fontId="6" type="noConversion"/>
  </si>
  <si>
    <r>
      <t>0,50</t>
    </r>
    <r>
      <rPr>
        <sz val="11"/>
        <color theme="1"/>
        <rFont val="Microsoft JhengHei"/>
        <family val="2"/>
      </rPr>
      <t>,</t>
    </r>
    <r>
      <rPr>
        <sz val="11"/>
        <color theme="1"/>
        <rFont val="宋体"/>
        <charset val="134"/>
        <scheme val="minor"/>
      </rPr>
      <t>100,5</t>
    </r>
    <phoneticPr fontId="6" type="noConversion"/>
  </si>
  <si>
    <t>0,0,100,4,10</t>
    <phoneticPr fontId="6" type="noConversion"/>
  </si>
  <si>
    <r>
      <t>0,100</t>
    </r>
    <r>
      <rPr>
        <sz val="11"/>
        <color theme="1"/>
        <rFont val="Microsoft JhengHei"/>
        <family val="2"/>
      </rPr>
      <t>,</t>
    </r>
    <r>
      <rPr>
        <sz val="11"/>
        <color theme="1"/>
        <rFont val="宋体"/>
        <charset val="134"/>
        <scheme val="minor"/>
      </rPr>
      <t>150,5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</si>
</sst>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宋体"/>
      <charset val="134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Microsoft JhengHei"/>
      <family val="2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7375408185064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/>
    <xf numFmtId="0" fontId="0" fillId="0" borderId="0" xfId="0" applyFont="1" applyAlignment="1"/>
    <xf numFmtId="49" fontId="1" fillId="0" borderId="0" xfId="0" applyNumberFormat="1" applyFont="1" applyBorder="1">
      <alignment vertical="center"/>
    </xf>
    <xf numFmtId="49" fontId="0" fillId="0" borderId="0" xfId="0" applyNumberFormat="1" applyBorder="1" applyAlignment="1">
      <alignment horizontal="right" vertical="center"/>
    </xf>
    <xf numFmtId="0" fontId="0" fillId="0" borderId="0" xfId="0" applyFont="1">
      <alignment vertical="center"/>
    </xf>
    <xf numFmtId="0" fontId="0" fillId="0" borderId="0" xfId="0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49" fontId="0" fillId="0" borderId="0" xfId="0" applyNumberFormat="1" applyBorder="1">
      <alignment vertical="center"/>
    </xf>
    <xf numFmtId="0" fontId="0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Font="1" applyAlignment="1">
      <alignment horizontal="right" vertical="center"/>
    </xf>
    <xf numFmtId="9" fontId="0" fillId="0" borderId="0" xfId="0" applyNumberFormat="1">
      <alignment vertical="center"/>
    </xf>
    <xf numFmtId="0" fontId="3" fillId="0" borderId="0" xfId="0" applyFont="1">
      <alignment vertical="center"/>
    </xf>
    <xf numFmtId="0" fontId="1" fillId="0" borderId="0" xfId="0" applyNumberFormat="1" applyFont="1" applyFill="1" applyBorder="1" applyAlignment="1" applyProtection="1">
      <alignment vertical="center"/>
    </xf>
    <xf numFmtId="0" fontId="1" fillId="0" borderId="0" xfId="0" applyFont="1">
      <alignment vertical="center"/>
    </xf>
    <xf numFmtId="0" fontId="3" fillId="0" borderId="0" xfId="0" applyFont="1" applyAlignment="1"/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0" fontId="0" fillId="2" borderId="0" xfId="0" applyFill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>
      <alignment vertical="center"/>
    </xf>
    <xf numFmtId="0" fontId="0" fillId="0" borderId="0" xfId="0" applyFont="1" applyAlignment="1">
      <alignment horizontal="center" vertical="center"/>
    </xf>
    <xf numFmtId="0" fontId="0" fillId="2" borderId="0" xfId="0" applyFont="1" applyFill="1" applyAlignment="1">
      <alignment horizontal="right" vertical="center"/>
    </xf>
    <xf numFmtId="0" fontId="0" fillId="2" borderId="0" xfId="0" applyFont="1" applyFill="1" applyAlignment="1">
      <alignment horizontal="center" vertical="center"/>
    </xf>
    <xf numFmtId="0" fontId="7" fillId="0" borderId="0" xfId="0" applyFont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15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BV521"/>
  <sheetViews>
    <sheetView tabSelected="1" workbookViewId="0">
      <pane xSplit="1" ySplit="3" topLeftCell="B4" activePane="bottomRight" state="frozenSplit"/>
      <selection pane="topRight"/>
      <selection pane="bottomLeft"/>
      <selection pane="bottomRight" activeCell="I18" sqref="I18"/>
    </sheetView>
  </sheetViews>
  <sheetFormatPr defaultColWidth="9" defaultRowHeight="13.5" x14ac:dyDescent="0.15"/>
  <cols>
    <col min="1" max="1" width="12.75" customWidth="1"/>
    <col min="2" max="3" width="15" customWidth="1"/>
    <col min="4" max="4" width="17.125" customWidth="1"/>
    <col min="5" max="9" width="15" style="1" customWidth="1"/>
    <col min="10" max="10" width="15" customWidth="1"/>
    <col min="11" max="14" width="9" customWidth="1"/>
    <col min="15" max="15" width="20.875" customWidth="1"/>
    <col min="16" max="18" width="9" customWidth="1"/>
    <col min="19" max="20" width="13" customWidth="1"/>
    <col min="22" max="22" width="13.5" customWidth="1"/>
    <col min="24" max="24" width="14.625" customWidth="1"/>
    <col min="26" max="26" width="15.125" customWidth="1"/>
    <col min="30" max="30" width="11" customWidth="1"/>
    <col min="47" max="47" width="13.5" customWidth="1"/>
    <col min="48" max="49" width="21.75" customWidth="1"/>
    <col min="50" max="50" width="96.25" customWidth="1"/>
    <col min="51" max="51" width="41.125" customWidth="1"/>
    <col min="62" max="62" width="19.375" customWidth="1"/>
    <col min="63" max="64" width="11" customWidth="1"/>
    <col min="65" max="65" width="19.375" customWidth="1"/>
    <col min="70" max="70" width="25" customWidth="1"/>
    <col min="71" max="71" width="67.125" customWidth="1"/>
    <col min="73" max="73" width="26.125" customWidth="1"/>
  </cols>
  <sheetData>
    <row r="1" spans="1:73" x14ac:dyDescent="0.15">
      <c r="A1" s="2" t="s">
        <v>0</v>
      </c>
      <c r="B1" s="3" t="s">
        <v>1</v>
      </c>
      <c r="C1" s="3" t="s">
        <v>2</v>
      </c>
      <c r="D1" s="3" t="s">
        <v>3</v>
      </c>
      <c r="E1" t="s">
        <v>4</v>
      </c>
      <c r="F1" s="1" t="s">
        <v>5</v>
      </c>
      <c r="G1" s="1" t="s">
        <v>6</v>
      </c>
      <c r="H1" s="1" t="s">
        <v>7</v>
      </c>
      <c r="I1" s="1" t="s">
        <v>8</v>
      </c>
      <c r="P1" s="6" t="s">
        <v>9</v>
      </c>
      <c r="Q1" s="6"/>
      <c r="V1" s="6" t="s">
        <v>10</v>
      </c>
    </row>
    <row r="2" spans="1:73" x14ac:dyDescent="0.15">
      <c r="A2" s="2" t="s">
        <v>11</v>
      </c>
      <c r="B2" s="3" t="s">
        <v>11</v>
      </c>
      <c r="C2" s="3" t="s">
        <v>11</v>
      </c>
      <c r="D2" s="3" t="s">
        <v>11</v>
      </c>
      <c r="E2" s="4" t="s">
        <v>12</v>
      </c>
      <c r="F2" s="5" t="s">
        <v>13</v>
      </c>
      <c r="G2" s="5" t="s">
        <v>13</v>
      </c>
      <c r="H2" s="5" t="s">
        <v>13</v>
      </c>
      <c r="I2" s="5" t="s">
        <v>13</v>
      </c>
      <c r="J2" s="9"/>
      <c r="R2">
        <v>20</v>
      </c>
      <c r="V2" s="6" t="s">
        <v>14</v>
      </c>
      <c r="X2" s="6"/>
      <c r="Z2" s="6"/>
      <c r="AG2" s="13"/>
    </row>
    <row r="3" spans="1:73" x14ac:dyDescent="0.15">
      <c r="A3" s="2" t="s">
        <v>15</v>
      </c>
      <c r="B3" s="3" t="s">
        <v>16</v>
      </c>
      <c r="C3" s="3" t="s">
        <v>17</v>
      </c>
      <c r="D3" s="3" t="s">
        <v>18</v>
      </c>
      <c r="E3" t="s">
        <v>19</v>
      </c>
      <c r="F3" s="1" t="s">
        <v>20</v>
      </c>
      <c r="G3" s="1" t="s">
        <v>20</v>
      </c>
      <c r="H3" s="1" t="s">
        <v>20</v>
      </c>
      <c r="I3" s="1" t="s">
        <v>21</v>
      </c>
      <c r="K3" s="6"/>
      <c r="P3" s="6" t="s">
        <v>22</v>
      </c>
      <c r="Q3" s="6" t="s">
        <v>23</v>
      </c>
      <c r="R3" s="6" t="s">
        <v>24</v>
      </c>
      <c r="S3" s="6" t="s">
        <v>25</v>
      </c>
      <c r="T3" s="6" t="s">
        <v>26</v>
      </c>
      <c r="AV3" s="6"/>
      <c r="AW3" s="6"/>
      <c r="BJ3" s="14"/>
      <c r="BK3" s="14"/>
      <c r="BM3" s="17"/>
      <c r="BR3" s="14"/>
      <c r="BS3" s="14"/>
      <c r="BU3" s="17"/>
    </row>
    <row r="4" spans="1:73" hidden="1" x14ac:dyDescent="0.15">
      <c r="A4">
        <v>1</v>
      </c>
      <c r="B4">
        <v>4</v>
      </c>
      <c r="C4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L4" s="10"/>
      <c r="M4" s="6" t="s">
        <v>16</v>
      </c>
      <c r="N4" s="6"/>
      <c r="Q4">
        <v>20</v>
      </c>
      <c r="R4">
        <v>1</v>
      </c>
      <c r="S4">
        <f>R4/$Q4*100</f>
        <v>5</v>
      </c>
      <c r="T4">
        <f>R4/$R$2*100</f>
        <v>5</v>
      </c>
      <c r="U4">
        <v>1</v>
      </c>
      <c r="V4" s="10" t="s">
        <v>27</v>
      </c>
      <c r="W4">
        <v>5</v>
      </c>
      <c r="X4" s="10"/>
      <c r="Z4" s="10"/>
      <c r="BJ4" s="15"/>
      <c r="BK4" s="15"/>
      <c r="BM4" s="15"/>
      <c r="BQ4" s="3"/>
      <c r="BR4" s="16"/>
      <c r="BU4" s="16"/>
    </row>
    <row r="5" spans="1:73" x14ac:dyDescent="0.15">
      <c r="A5">
        <v>2</v>
      </c>
      <c r="B5">
        <v>1</v>
      </c>
      <c r="C5">
        <v>1</v>
      </c>
      <c r="D5" s="1">
        <v>5</v>
      </c>
      <c r="E5" s="6" t="s">
        <v>28</v>
      </c>
      <c r="F5" s="7" t="s">
        <v>29</v>
      </c>
      <c r="G5" s="7" t="s">
        <v>29</v>
      </c>
      <c r="H5" s="7" t="s">
        <v>29</v>
      </c>
      <c r="I5" s="7" t="s">
        <v>30</v>
      </c>
      <c r="L5" s="6"/>
      <c r="M5" s="11">
        <v>1</v>
      </c>
      <c r="N5" s="6" t="s">
        <v>27</v>
      </c>
      <c r="O5" s="28" t="s">
        <v>31</v>
      </c>
      <c r="Q5">
        <v>20</v>
      </c>
      <c r="R5">
        <v>1</v>
      </c>
      <c r="S5">
        <f t="shared" ref="S5:S48" si="0">R5/$Q5*100</f>
        <v>5</v>
      </c>
      <c r="T5">
        <f t="shared" ref="T5:T48" si="1">R5/$R$2*100</f>
        <v>5</v>
      </c>
      <c r="U5">
        <v>2</v>
      </c>
      <c r="V5" s="10" t="s">
        <v>27</v>
      </c>
      <c r="W5">
        <v>5</v>
      </c>
      <c r="X5" s="6"/>
      <c r="Z5" s="6"/>
      <c r="BJ5" s="15"/>
      <c r="BK5" s="15"/>
      <c r="BM5" s="15"/>
      <c r="BQ5" s="3"/>
      <c r="BR5" s="16"/>
      <c r="BU5" s="16"/>
    </row>
    <row r="6" spans="1:73" x14ac:dyDescent="0.15">
      <c r="A6">
        <v>3</v>
      </c>
      <c r="B6">
        <v>1</v>
      </c>
      <c r="C6">
        <v>2</v>
      </c>
      <c r="D6" s="1">
        <v>5</v>
      </c>
      <c r="E6" s="6" t="s">
        <v>28</v>
      </c>
      <c r="F6" s="7" t="s">
        <v>29</v>
      </c>
      <c r="G6" s="7" t="s">
        <v>29</v>
      </c>
      <c r="H6" s="7" t="s">
        <v>29</v>
      </c>
      <c r="I6" s="7" t="s">
        <v>32</v>
      </c>
      <c r="L6" s="10"/>
      <c r="M6" s="11">
        <v>2</v>
      </c>
      <c r="N6" s="6" t="s">
        <v>33</v>
      </c>
      <c r="O6" s="28"/>
      <c r="P6">
        <v>0.15</v>
      </c>
      <c r="Q6">
        <v>21</v>
      </c>
      <c r="S6">
        <f t="shared" si="0"/>
        <v>0</v>
      </c>
      <c r="T6">
        <f t="shared" si="1"/>
        <v>0</v>
      </c>
      <c r="V6" s="6" t="s">
        <v>34</v>
      </c>
      <c r="W6">
        <v>0</v>
      </c>
      <c r="X6" s="10"/>
      <c r="Z6" s="10"/>
      <c r="BJ6" s="15"/>
      <c r="BK6" s="15"/>
      <c r="BM6" s="15"/>
      <c r="BQ6" s="3"/>
      <c r="BR6" s="16"/>
      <c r="BU6" s="16"/>
    </row>
    <row r="7" spans="1:73" hidden="1" x14ac:dyDescent="0.15">
      <c r="A7">
        <v>4</v>
      </c>
      <c r="B7">
        <v>3</v>
      </c>
      <c r="C7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L7" s="10"/>
      <c r="M7" s="11">
        <v>3</v>
      </c>
      <c r="N7" s="6" t="s">
        <v>35</v>
      </c>
      <c r="Q7">
        <v>21</v>
      </c>
      <c r="R7">
        <v>2</v>
      </c>
      <c r="S7">
        <f t="shared" si="0"/>
        <v>9.5238095238095237</v>
      </c>
      <c r="T7">
        <f t="shared" si="1"/>
        <v>10</v>
      </c>
      <c r="U7">
        <v>3</v>
      </c>
      <c r="V7" s="10" t="s">
        <v>27</v>
      </c>
      <c r="W7">
        <v>9.5238095240000007</v>
      </c>
      <c r="X7" s="10"/>
      <c r="Z7" s="6"/>
      <c r="BJ7" s="15"/>
      <c r="BK7" s="15"/>
      <c r="BM7" s="15"/>
      <c r="BQ7" s="3"/>
      <c r="BR7" s="16"/>
      <c r="BU7" s="16"/>
    </row>
    <row r="8" spans="1:73" x14ac:dyDescent="0.15">
      <c r="A8">
        <v>5</v>
      </c>
      <c r="B8">
        <v>1</v>
      </c>
      <c r="C8">
        <v>3</v>
      </c>
      <c r="D8" s="1">
        <v>10</v>
      </c>
      <c r="E8" s="6" t="s">
        <v>28</v>
      </c>
      <c r="F8" s="7" t="s">
        <v>29</v>
      </c>
      <c r="G8" s="7" t="s">
        <v>29</v>
      </c>
      <c r="H8" s="7" t="s">
        <v>29</v>
      </c>
      <c r="I8" s="7" t="s">
        <v>36</v>
      </c>
      <c r="L8" s="6"/>
      <c r="M8" s="11">
        <v>4</v>
      </c>
      <c r="N8" s="6" t="s">
        <v>37</v>
      </c>
      <c r="Q8">
        <v>21</v>
      </c>
      <c r="R8">
        <v>2</v>
      </c>
      <c r="S8">
        <f t="shared" si="0"/>
        <v>9.5238095238095237</v>
      </c>
      <c r="T8">
        <f t="shared" si="1"/>
        <v>10</v>
      </c>
      <c r="U8">
        <v>4</v>
      </c>
      <c r="V8" s="10" t="s">
        <v>27</v>
      </c>
      <c r="W8">
        <v>9.5238095240000007</v>
      </c>
      <c r="X8" s="6"/>
      <c r="Z8" s="10"/>
      <c r="BJ8" s="15"/>
      <c r="BK8" s="15"/>
      <c r="BM8" s="15"/>
      <c r="BQ8" s="3"/>
      <c r="BR8" s="16"/>
      <c r="BU8" s="16"/>
    </row>
    <row r="9" spans="1:73" x14ac:dyDescent="0.15">
      <c r="A9">
        <v>6</v>
      </c>
      <c r="B9">
        <v>1</v>
      </c>
      <c r="C9">
        <v>4</v>
      </c>
      <c r="D9" s="1">
        <v>10</v>
      </c>
      <c r="E9" s="6" t="s">
        <v>28</v>
      </c>
      <c r="F9" s="7" t="s">
        <v>29</v>
      </c>
      <c r="G9" s="7" t="s">
        <v>29</v>
      </c>
      <c r="H9" s="7" t="s">
        <v>29</v>
      </c>
      <c r="I9" s="7" t="s">
        <v>38</v>
      </c>
      <c r="L9" s="10"/>
      <c r="M9" s="11">
        <v>5</v>
      </c>
      <c r="N9" t="s">
        <v>39</v>
      </c>
      <c r="O9" t="s">
        <v>40</v>
      </c>
      <c r="P9">
        <v>0.15</v>
      </c>
      <c r="Q9">
        <v>22</v>
      </c>
      <c r="S9">
        <f t="shared" si="0"/>
        <v>0</v>
      </c>
      <c r="T9">
        <f t="shared" si="1"/>
        <v>0</v>
      </c>
      <c r="V9" s="6" t="s">
        <v>34</v>
      </c>
      <c r="W9">
        <v>0</v>
      </c>
      <c r="X9" s="10"/>
      <c r="Z9" s="6"/>
      <c r="BJ9" s="15"/>
      <c r="BK9" s="15"/>
      <c r="BM9" s="15"/>
      <c r="BQ9" s="3"/>
      <c r="BR9" s="16"/>
      <c r="BU9" s="16"/>
    </row>
    <row r="10" spans="1:73" hidden="1" x14ac:dyDescent="0.15">
      <c r="A10">
        <v>7</v>
      </c>
      <c r="B10">
        <v>3</v>
      </c>
      <c r="C10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L10" s="6"/>
      <c r="Q10">
        <v>22</v>
      </c>
      <c r="R10">
        <v>3</v>
      </c>
      <c r="S10">
        <f t="shared" si="0"/>
        <v>13.636363636363635</v>
      </c>
      <c r="T10">
        <f t="shared" si="1"/>
        <v>15</v>
      </c>
      <c r="U10">
        <v>5</v>
      </c>
      <c r="V10" s="10" t="s">
        <v>33</v>
      </c>
      <c r="W10">
        <v>13.636363640000001</v>
      </c>
      <c r="X10" s="6"/>
      <c r="Z10" s="10"/>
      <c r="BJ10" s="15"/>
      <c r="BK10" s="15"/>
      <c r="BM10" s="15"/>
      <c r="BQ10" s="3"/>
      <c r="BR10" s="16"/>
      <c r="BU10" s="16"/>
    </row>
    <row r="11" spans="1:73" x14ac:dyDescent="0.15">
      <c r="A11">
        <v>8</v>
      </c>
      <c r="B11">
        <v>1</v>
      </c>
      <c r="C11">
        <v>5</v>
      </c>
      <c r="D11" s="1">
        <v>15</v>
      </c>
      <c r="E11" s="6" t="s">
        <v>28</v>
      </c>
      <c r="F11" s="7" t="s">
        <v>29</v>
      </c>
      <c r="G11" s="7" t="s">
        <v>29</v>
      </c>
      <c r="H11" s="7" t="s">
        <v>29</v>
      </c>
      <c r="I11" s="7" t="s">
        <v>41</v>
      </c>
      <c r="L11" s="10"/>
      <c r="N11">
        <v>27</v>
      </c>
      <c r="Q11">
        <v>22</v>
      </c>
      <c r="R11">
        <v>3</v>
      </c>
      <c r="S11">
        <f t="shared" si="0"/>
        <v>13.636363636363635</v>
      </c>
      <c r="T11">
        <f t="shared" si="1"/>
        <v>15</v>
      </c>
      <c r="U11">
        <v>6</v>
      </c>
      <c r="V11" s="10" t="s">
        <v>27</v>
      </c>
      <c r="W11">
        <v>13.636363640000001</v>
      </c>
      <c r="X11" s="10"/>
      <c r="Z11" s="6"/>
      <c r="BJ11" s="15"/>
      <c r="BK11" s="15"/>
      <c r="BM11" s="15"/>
      <c r="BQ11" s="3"/>
      <c r="BR11" s="16"/>
      <c r="BU11" s="16"/>
    </row>
    <row r="12" spans="1:73" x14ac:dyDescent="0.15">
      <c r="A12">
        <v>9</v>
      </c>
      <c r="B12">
        <v>1</v>
      </c>
      <c r="C12">
        <v>6</v>
      </c>
      <c r="D12" s="1">
        <v>15</v>
      </c>
      <c r="E12" s="6" t="s">
        <v>28</v>
      </c>
      <c r="F12" s="7" t="s">
        <v>29</v>
      </c>
      <c r="G12" s="7" t="s">
        <v>29</v>
      </c>
      <c r="H12" s="7" t="s">
        <v>29</v>
      </c>
      <c r="I12" s="7" t="s">
        <v>42</v>
      </c>
      <c r="L12" s="10"/>
      <c r="N12">
        <f>45-N11</f>
        <v>18</v>
      </c>
      <c r="O12">
        <v>4</v>
      </c>
      <c r="P12">
        <v>0.15</v>
      </c>
      <c r="Q12">
        <v>23</v>
      </c>
      <c r="S12">
        <f t="shared" si="0"/>
        <v>0</v>
      </c>
      <c r="T12">
        <f t="shared" si="1"/>
        <v>0</v>
      </c>
      <c r="V12" s="6" t="s">
        <v>34</v>
      </c>
      <c r="W12">
        <v>0</v>
      </c>
      <c r="X12" s="10"/>
      <c r="Z12" s="10"/>
      <c r="BJ12" s="15"/>
      <c r="BK12" s="15"/>
      <c r="BM12" s="15"/>
      <c r="BQ12" s="3"/>
      <c r="BU12" s="16"/>
    </row>
    <row r="13" spans="1:73" hidden="1" x14ac:dyDescent="0.15">
      <c r="A13">
        <v>10</v>
      </c>
      <c r="B13">
        <v>3</v>
      </c>
      <c r="C13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L13" s="10"/>
      <c r="Q13">
        <v>23</v>
      </c>
      <c r="R13">
        <v>4</v>
      </c>
      <c r="S13">
        <f t="shared" si="0"/>
        <v>17.391304347826086</v>
      </c>
      <c r="T13">
        <f t="shared" si="1"/>
        <v>20</v>
      </c>
      <c r="U13">
        <v>7</v>
      </c>
      <c r="V13" s="10" t="s">
        <v>27</v>
      </c>
      <c r="W13">
        <v>17.391304349999999</v>
      </c>
      <c r="X13" s="10"/>
      <c r="Z13" s="10"/>
      <c r="BJ13" s="15"/>
      <c r="BK13" s="15"/>
      <c r="BM13" s="15"/>
      <c r="BQ13" s="3"/>
      <c r="BR13" s="6"/>
      <c r="BU13" s="16"/>
    </row>
    <row r="14" spans="1:73" x14ac:dyDescent="0.15">
      <c r="A14">
        <v>11</v>
      </c>
      <c r="B14">
        <v>1</v>
      </c>
      <c r="C14">
        <v>7</v>
      </c>
      <c r="D14" s="1">
        <v>20</v>
      </c>
      <c r="E14" s="6" t="s">
        <v>28</v>
      </c>
      <c r="F14" s="7" t="s">
        <v>29</v>
      </c>
      <c r="G14" s="7" t="s">
        <v>29</v>
      </c>
      <c r="H14" s="7" t="s">
        <v>29</v>
      </c>
      <c r="I14" s="7" t="s">
        <v>43</v>
      </c>
      <c r="L14" s="6"/>
      <c r="N14" s="10"/>
      <c r="Q14">
        <v>23</v>
      </c>
      <c r="R14">
        <v>4</v>
      </c>
      <c r="S14">
        <f t="shared" si="0"/>
        <v>17.391304347826086</v>
      </c>
      <c r="T14">
        <f t="shared" si="1"/>
        <v>20</v>
      </c>
      <c r="U14">
        <v>8</v>
      </c>
      <c r="V14" s="10" t="s">
        <v>27</v>
      </c>
      <c r="W14">
        <v>17.391304349999999</v>
      </c>
      <c r="X14" s="6"/>
      <c r="Z14" s="10"/>
      <c r="BJ14" s="15"/>
      <c r="BK14" s="15"/>
      <c r="BM14" s="15"/>
      <c r="BQ14" s="3"/>
      <c r="BR14" s="18"/>
      <c r="BU14" s="16"/>
    </row>
    <row r="15" spans="1:73" x14ac:dyDescent="0.15">
      <c r="A15">
        <v>12</v>
      </c>
      <c r="B15">
        <v>1</v>
      </c>
      <c r="C15">
        <v>8</v>
      </c>
      <c r="D15" s="1">
        <v>20</v>
      </c>
      <c r="E15" s="6" t="s">
        <v>28</v>
      </c>
      <c r="F15" s="7" t="s">
        <v>29</v>
      </c>
      <c r="G15" s="7" t="s">
        <v>29</v>
      </c>
      <c r="H15" s="7" t="s">
        <v>29</v>
      </c>
      <c r="I15" s="7" t="s">
        <v>44</v>
      </c>
      <c r="L15" s="10"/>
      <c r="N15" s="10"/>
      <c r="Q15">
        <v>23</v>
      </c>
      <c r="S15">
        <f t="shared" si="0"/>
        <v>0</v>
      </c>
      <c r="T15">
        <f t="shared" si="1"/>
        <v>0</v>
      </c>
      <c r="V15" s="6" t="s">
        <v>45</v>
      </c>
      <c r="W15">
        <v>0</v>
      </c>
      <c r="X15" s="10"/>
      <c r="Z15" s="6"/>
      <c r="BJ15" s="15"/>
      <c r="BK15" s="15"/>
      <c r="BM15" s="15"/>
      <c r="BQ15" s="3"/>
      <c r="BU15" s="16"/>
    </row>
    <row r="16" spans="1:73" x14ac:dyDescent="0.15">
      <c r="A16">
        <v>13</v>
      </c>
      <c r="B16">
        <v>1</v>
      </c>
      <c r="C16">
        <v>9</v>
      </c>
      <c r="D16" s="1">
        <v>25</v>
      </c>
      <c r="E16" s="6" t="s">
        <v>28</v>
      </c>
      <c r="F16" s="7" t="s">
        <v>29</v>
      </c>
      <c r="G16" s="7" t="s">
        <v>29</v>
      </c>
      <c r="H16" s="7" t="s">
        <v>29</v>
      </c>
      <c r="I16" s="7" t="s">
        <v>46</v>
      </c>
      <c r="L16" s="10"/>
      <c r="N16" s="6"/>
      <c r="Q16">
        <v>23</v>
      </c>
      <c r="R16">
        <v>5</v>
      </c>
      <c r="S16">
        <f t="shared" si="0"/>
        <v>21.739130434782609</v>
      </c>
      <c r="T16">
        <f t="shared" si="1"/>
        <v>25</v>
      </c>
      <c r="U16">
        <v>9</v>
      </c>
      <c r="V16" s="10" t="s">
        <v>27</v>
      </c>
      <c r="W16">
        <v>21.739130429999999</v>
      </c>
      <c r="X16" s="10"/>
      <c r="Z16" s="10"/>
      <c r="BJ16" s="15"/>
      <c r="BK16" s="15"/>
      <c r="BM16" s="15"/>
      <c r="BQ16" s="3"/>
      <c r="BU16" s="16"/>
    </row>
    <row r="17" spans="1:73" x14ac:dyDescent="0.15">
      <c r="A17">
        <v>14</v>
      </c>
      <c r="B17">
        <v>2</v>
      </c>
      <c r="C17">
        <v>10</v>
      </c>
      <c r="D17" s="1">
        <v>50</v>
      </c>
      <c r="E17" s="6" t="s">
        <v>28</v>
      </c>
      <c r="F17" s="7" t="s">
        <v>29</v>
      </c>
      <c r="G17" s="7" t="s">
        <v>29</v>
      </c>
      <c r="H17" s="7" t="s">
        <v>29</v>
      </c>
      <c r="I17" s="26" t="s">
        <v>73</v>
      </c>
      <c r="L17" s="6"/>
      <c r="N17" s="10"/>
      <c r="Q17">
        <v>23</v>
      </c>
      <c r="R17">
        <v>10</v>
      </c>
      <c r="S17">
        <f t="shared" si="0"/>
        <v>43.478260869565219</v>
      </c>
      <c r="T17">
        <f t="shared" si="1"/>
        <v>50</v>
      </c>
      <c r="U17">
        <v>10</v>
      </c>
      <c r="V17" s="10" t="s">
        <v>33</v>
      </c>
      <c r="W17">
        <v>43.47826087</v>
      </c>
      <c r="X17" s="6"/>
      <c r="Z17" s="6"/>
      <c r="BJ17" s="15"/>
      <c r="BK17" s="15"/>
      <c r="BM17" s="15"/>
      <c r="BQ17" s="3"/>
      <c r="BU17" s="16"/>
    </row>
    <row r="18" spans="1:73" ht="15" x14ac:dyDescent="0.15">
      <c r="A18">
        <v>15</v>
      </c>
      <c r="B18">
        <v>5</v>
      </c>
      <c r="C18">
        <v>1</v>
      </c>
      <c r="D18" s="1">
        <v>0</v>
      </c>
      <c r="E18" s="7" t="s">
        <v>47</v>
      </c>
      <c r="F18" s="7" t="s">
        <v>48</v>
      </c>
      <c r="G18" s="7" t="s">
        <v>48</v>
      </c>
      <c r="H18" s="7" t="s">
        <v>48</v>
      </c>
      <c r="I18" s="27" t="s">
        <v>74</v>
      </c>
      <c r="L18" s="10"/>
      <c r="N18" s="10"/>
      <c r="Q18">
        <v>23</v>
      </c>
      <c r="S18">
        <f t="shared" si="0"/>
        <v>0</v>
      </c>
      <c r="T18">
        <f t="shared" si="1"/>
        <v>0</v>
      </c>
      <c r="V18" s="10" t="s">
        <v>49</v>
      </c>
      <c r="W18">
        <v>0</v>
      </c>
      <c r="X18" s="10"/>
      <c r="Z18" s="10"/>
      <c r="BJ18" s="15"/>
      <c r="BK18" s="15"/>
      <c r="BM18" s="16"/>
      <c r="BQ18" s="3"/>
      <c r="BU18" s="16"/>
    </row>
    <row r="19" spans="1:73" x14ac:dyDescent="0.15">
      <c r="A19">
        <v>16</v>
      </c>
      <c r="B19">
        <v>1</v>
      </c>
      <c r="C19">
        <v>11</v>
      </c>
      <c r="D19" s="1">
        <v>30</v>
      </c>
      <c r="E19" s="6" t="s">
        <v>28</v>
      </c>
      <c r="F19" s="7" t="s">
        <v>29</v>
      </c>
      <c r="G19" s="7" t="s">
        <v>29</v>
      </c>
      <c r="H19" s="7" t="s">
        <v>29</v>
      </c>
      <c r="I19" s="7" t="s">
        <v>50</v>
      </c>
      <c r="L19" s="6"/>
      <c r="N19" s="6"/>
      <c r="P19" s="6"/>
      <c r="Q19" s="6">
        <v>23</v>
      </c>
      <c r="R19" s="6">
        <v>6</v>
      </c>
      <c r="S19">
        <f t="shared" si="0"/>
        <v>26.086956521739129</v>
      </c>
      <c r="T19">
        <f t="shared" si="1"/>
        <v>30</v>
      </c>
      <c r="U19">
        <v>11</v>
      </c>
      <c r="V19" s="10" t="s">
        <v>27</v>
      </c>
      <c r="W19">
        <v>26.086956520000001</v>
      </c>
      <c r="X19" s="6"/>
      <c r="Z19" s="6"/>
      <c r="BJ19" s="16"/>
      <c r="BK19" s="16"/>
      <c r="BM19" s="16"/>
      <c r="BQ19" s="3"/>
      <c r="BU19" s="16"/>
    </row>
    <row r="20" spans="1:73" x14ac:dyDescent="0.15">
      <c r="A20">
        <v>17</v>
      </c>
      <c r="B20">
        <v>1</v>
      </c>
      <c r="C20">
        <v>12</v>
      </c>
      <c r="D20" s="1">
        <v>35</v>
      </c>
      <c r="E20" s="6" t="s">
        <v>28</v>
      </c>
      <c r="F20" s="7" t="s">
        <v>29</v>
      </c>
      <c r="G20" s="7" t="s">
        <v>29</v>
      </c>
      <c r="H20" s="7" t="s">
        <v>29</v>
      </c>
      <c r="I20" s="7" t="s">
        <v>51</v>
      </c>
      <c r="L20" s="10"/>
      <c r="N20" s="10"/>
      <c r="P20" s="6"/>
      <c r="Q20" s="6">
        <v>23</v>
      </c>
      <c r="R20" s="6">
        <v>7</v>
      </c>
      <c r="S20">
        <f t="shared" si="0"/>
        <v>30.434782608695656</v>
      </c>
      <c r="T20">
        <f t="shared" si="1"/>
        <v>35</v>
      </c>
      <c r="U20">
        <v>12</v>
      </c>
      <c r="V20" s="10" t="s">
        <v>27</v>
      </c>
      <c r="W20">
        <v>30.434782609999999</v>
      </c>
      <c r="X20" s="10"/>
      <c r="Z20" s="10"/>
      <c r="BJ20" s="16"/>
      <c r="BK20" s="16"/>
      <c r="BM20" s="16"/>
      <c r="BQ20" s="3"/>
      <c r="BU20" s="16"/>
    </row>
    <row r="21" spans="1:73" hidden="1" x14ac:dyDescent="0.15">
      <c r="A21">
        <v>18</v>
      </c>
      <c r="B21">
        <v>4</v>
      </c>
      <c r="C2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L21" s="10"/>
      <c r="N21" s="10"/>
      <c r="P21" s="6">
        <v>0.3</v>
      </c>
      <c r="Q21" s="6">
        <v>24</v>
      </c>
      <c r="R21" s="6"/>
      <c r="S21">
        <f t="shared" si="0"/>
        <v>0</v>
      </c>
      <c r="T21">
        <f t="shared" si="1"/>
        <v>0</v>
      </c>
      <c r="V21" s="6" t="s">
        <v>34</v>
      </c>
      <c r="W21">
        <v>0</v>
      </c>
      <c r="X21" s="10"/>
      <c r="Z21" s="6"/>
      <c r="BJ21" s="16"/>
      <c r="BK21" s="16"/>
      <c r="BM21" s="16"/>
      <c r="BQ21" s="3"/>
      <c r="BU21" s="16"/>
    </row>
    <row r="22" spans="1:73" x14ac:dyDescent="0.15">
      <c r="A22">
        <v>19</v>
      </c>
      <c r="B22">
        <v>1</v>
      </c>
      <c r="C22">
        <v>13</v>
      </c>
      <c r="D22" s="1">
        <v>40</v>
      </c>
      <c r="E22" s="6" t="s">
        <v>28</v>
      </c>
      <c r="F22" s="7" t="s">
        <v>29</v>
      </c>
      <c r="G22" s="7" t="s">
        <v>29</v>
      </c>
      <c r="H22" s="7" t="s">
        <v>29</v>
      </c>
      <c r="I22" s="7" t="s">
        <v>52</v>
      </c>
      <c r="L22" s="10"/>
      <c r="N22" s="10"/>
      <c r="P22" s="6"/>
      <c r="Q22" s="6">
        <v>24</v>
      </c>
      <c r="R22" s="6">
        <v>8</v>
      </c>
      <c r="S22">
        <f t="shared" si="0"/>
        <v>33.333333333333329</v>
      </c>
      <c r="T22">
        <f t="shared" si="1"/>
        <v>40</v>
      </c>
      <c r="U22">
        <v>13</v>
      </c>
      <c r="V22" s="10" t="s">
        <v>27</v>
      </c>
      <c r="W22">
        <v>33.333333330000002</v>
      </c>
      <c r="X22" s="10"/>
      <c r="Z22" s="10"/>
      <c r="BJ22" s="16"/>
      <c r="BK22" s="16"/>
      <c r="BM22" s="16"/>
      <c r="BQ22" s="3"/>
      <c r="BU22" s="16"/>
    </row>
    <row r="23" spans="1:73" x14ac:dyDescent="0.15">
      <c r="A23">
        <v>20</v>
      </c>
      <c r="B23">
        <v>1</v>
      </c>
      <c r="C23">
        <v>14</v>
      </c>
      <c r="D23" s="1">
        <v>45</v>
      </c>
      <c r="E23" s="6" t="s">
        <v>28</v>
      </c>
      <c r="F23" s="7" t="s">
        <v>29</v>
      </c>
      <c r="G23" s="7" t="s">
        <v>29</v>
      </c>
      <c r="H23" s="7" t="s">
        <v>29</v>
      </c>
      <c r="I23" s="7" t="s">
        <v>53</v>
      </c>
      <c r="L23" s="6"/>
      <c r="N23" s="10"/>
      <c r="P23" s="6"/>
      <c r="Q23" s="6">
        <v>24</v>
      </c>
      <c r="R23" s="6">
        <v>9</v>
      </c>
      <c r="S23">
        <f t="shared" si="0"/>
        <v>37.5</v>
      </c>
      <c r="T23">
        <f t="shared" si="1"/>
        <v>45</v>
      </c>
      <c r="U23">
        <v>14</v>
      </c>
      <c r="V23" s="10" t="s">
        <v>27</v>
      </c>
      <c r="W23">
        <v>37.5</v>
      </c>
      <c r="X23" s="6"/>
      <c r="Z23" s="10"/>
      <c r="BJ23" s="16"/>
      <c r="BK23" s="16"/>
      <c r="BM23" s="16"/>
      <c r="BQ23" s="3"/>
      <c r="BU23" s="16"/>
    </row>
    <row r="24" spans="1:73" hidden="1" x14ac:dyDescent="0.15">
      <c r="A24">
        <v>21</v>
      </c>
      <c r="B24">
        <v>3</v>
      </c>
      <c r="C24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L24" s="10"/>
      <c r="N24" s="6"/>
      <c r="P24" s="6">
        <v>0.3</v>
      </c>
      <c r="Q24" s="6">
        <v>25</v>
      </c>
      <c r="R24" s="6"/>
      <c r="S24">
        <f t="shared" si="0"/>
        <v>0</v>
      </c>
      <c r="T24">
        <f t="shared" si="1"/>
        <v>0</v>
      </c>
      <c r="V24" s="6" t="s">
        <v>34</v>
      </c>
      <c r="W24">
        <v>0</v>
      </c>
      <c r="X24" s="10"/>
      <c r="Z24" s="10"/>
      <c r="BJ24" s="16"/>
      <c r="BK24" s="16"/>
      <c r="BM24" s="16"/>
      <c r="BQ24" s="3"/>
      <c r="BU24" s="16"/>
    </row>
    <row r="25" spans="1:73" x14ac:dyDescent="0.15">
      <c r="A25">
        <v>22</v>
      </c>
      <c r="B25">
        <v>1</v>
      </c>
      <c r="C25">
        <v>15</v>
      </c>
      <c r="D25" s="1">
        <v>55</v>
      </c>
      <c r="E25" s="6" t="s">
        <v>28</v>
      </c>
      <c r="F25" s="7" t="s">
        <v>29</v>
      </c>
      <c r="G25" s="7" t="s">
        <v>29</v>
      </c>
      <c r="H25" s="7" t="s">
        <v>29</v>
      </c>
      <c r="I25" s="7" t="s">
        <v>54</v>
      </c>
      <c r="L25" s="10"/>
      <c r="N25" s="10"/>
      <c r="P25" s="6"/>
      <c r="Q25" s="6">
        <v>25</v>
      </c>
      <c r="R25" s="6">
        <v>11</v>
      </c>
      <c r="S25">
        <f t="shared" si="0"/>
        <v>44</v>
      </c>
      <c r="T25">
        <f t="shared" si="1"/>
        <v>55.000000000000007</v>
      </c>
      <c r="U25">
        <v>15</v>
      </c>
      <c r="V25" s="10" t="s">
        <v>33</v>
      </c>
      <c r="W25">
        <v>40</v>
      </c>
      <c r="X25" s="10"/>
      <c r="Z25" s="6"/>
      <c r="BJ25" s="16"/>
      <c r="BK25" s="16"/>
      <c r="BM25" s="16"/>
      <c r="BQ25" s="3"/>
      <c r="BU25" s="16"/>
    </row>
    <row r="26" spans="1:73" x14ac:dyDescent="0.15">
      <c r="A26">
        <v>23</v>
      </c>
      <c r="B26">
        <v>1</v>
      </c>
      <c r="C26">
        <v>16</v>
      </c>
      <c r="D26" s="1">
        <v>60</v>
      </c>
      <c r="E26" s="6" t="s">
        <v>28</v>
      </c>
      <c r="F26" s="7" t="s">
        <v>29</v>
      </c>
      <c r="G26" s="7" t="s">
        <v>29</v>
      </c>
      <c r="H26" s="7" t="s">
        <v>29</v>
      </c>
      <c r="I26" s="7" t="s">
        <v>55</v>
      </c>
      <c r="L26" s="6"/>
      <c r="N26" s="10"/>
      <c r="P26" s="6"/>
      <c r="Q26" s="6">
        <v>25</v>
      </c>
      <c r="R26" s="6">
        <v>12</v>
      </c>
      <c r="S26">
        <f t="shared" si="0"/>
        <v>48</v>
      </c>
      <c r="T26">
        <f t="shared" si="1"/>
        <v>60</v>
      </c>
      <c r="U26">
        <v>16</v>
      </c>
      <c r="V26" s="10" t="s">
        <v>27</v>
      </c>
      <c r="W26">
        <v>44</v>
      </c>
      <c r="X26" s="6"/>
      <c r="Z26" s="10"/>
      <c r="BJ26" s="16"/>
      <c r="BK26" s="16"/>
      <c r="BM26" s="16"/>
      <c r="BQ26" s="3"/>
      <c r="BU26" s="16"/>
    </row>
    <row r="27" spans="1:73" hidden="1" x14ac:dyDescent="0.15">
      <c r="A27">
        <v>24</v>
      </c>
      <c r="B27">
        <v>3</v>
      </c>
      <c r="C27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L27" s="10"/>
      <c r="N27" s="6"/>
      <c r="P27" s="6">
        <v>0.3</v>
      </c>
      <c r="Q27" s="6">
        <v>26</v>
      </c>
      <c r="R27" s="6"/>
      <c r="S27">
        <f t="shared" si="0"/>
        <v>0</v>
      </c>
      <c r="T27">
        <f t="shared" si="1"/>
        <v>0</v>
      </c>
      <c r="V27" s="6" t="s">
        <v>34</v>
      </c>
      <c r="W27">
        <v>0</v>
      </c>
      <c r="X27" s="10"/>
      <c r="Z27" s="6"/>
      <c r="BJ27" s="16"/>
      <c r="BK27" s="16"/>
      <c r="BM27" s="16"/>
      <c r="BQ27" s="3"/>
      <c r="BU27" s="16"/>
    </row>
    <row r="28" spans="1:73" x14ac:dyDescent="0.15">
      <c r="A28">
        <v>25</v>
      </c>
      <c r="B28">
        <v>1</v>
      </c>
      <c r="C28">
        <v>17</v>
      </c>
      <c r="D28" s="1">
        <v>70</v>
      </c>
      <c r="E28" s="6" t="s">
        <v>28</v>
      </c>
      <c r="F28" s="7" t="s">
        <v>29</v>
      </c>
      <c r="G28" s="7" t="s">
        <v>29</v>
      </c>
      <c r="H28" s="7" t="s">
        <v>29</v>
      </c>
      <c r="I28" s="7" t="s">
        <v>56</v>
      </c>
      <c r="L28" s="6"/>
      <c r="N28" s="10"/>
      <c r="P28" s="6"/>
      <c r="Q28" s="6">
        <v>26</v>
      </c>
      <c r="R28" s="6">
        <v>14</v>
      </c>
      <c r="S28">
        <f t="shared" si="0"/>
        <v>53.846153846153847</v>
      </c>
      <c r="T28">
        <f t="shared" si="1"/>
        <v>70</v>
      </c>
      <c r="U28">
        <v>17</v>
      </c>
      <c r="V28" s="10" t="s">
        <v>27</v>
      </c>
      <c r="W28">
        <v>50</v>
      </c>
      <c r="X28" s="6"/>
      <c r="Z28" s="10"/>
      <c r="BJ28" s="16"/>
      <c r="BK28" s="16"/>
      <c r="BM28" s="16"/>
      <c r="BQ28" s="3"/>
      <c r="BU28" s="16"/>
    </row>
    <row r="29" spans="1:73" x14ac:dyDescent="0.15">
      <c r="A29">
        <v>26</v>
      </c>
      <c r="B29">
        <v>1</v>
      </c>
      <c r="C29">
        <v>18</v>
      </c>
      <c r="D29" s="1">
        <v>75</v>
      </c>
      <c r="E29" s="6" t="s">
        <v>28</v>
      </c>
      <c r="F29" s="7" t="s">
        <v>29</v>
      </c>
      <c r="G29" s="7" t="s">
        <v>29</v>
      </c>
      <c r="H29" s="7" t="s">
        <v>29</v>
      </c>
      <c r="I29" s="7" t="s">
        <v>57</v>
      </c>
      <c r="L29" s="10"/>
      <c r="N29" s="10"/>
      <c r="P29" s="6"/>
      <c r="Q29" s="6">
        <v>26</v>
      </c>
      <c r="R29" s="6">
        <v>15</v>
      </c>
      <c r="S29">
        <f t="shared" si="0"/>
        <v>57.692307692307686</v>
      </c>
      <c r="T29">
        <f t="shared" si="1"/>
        <v>75</v>
      </c>
      <c r="U29">
        <v>18</v>
      </c>
      <c r="V29" s="10" t="s">
        <v>27</v>
      </c>
      <c r="W29">
        <v>69.230769230000007</v>
      </c>
      <c r="X29" s="10"/>
      <c r="Z29" s="6"/>
      <c r="BJ29" s="16"/>
      <c r="BK29" s="16"/>
      <c r="BM29" s="16"/>
      <c r="BQ29" s="3"/>
      <c r="BU29" s="16"/>
    </row>
    <row r="30" spans="1:73" hidden="1" x14ac:dyDescent="0.15">
      <c r="A30">
        <v>27</v>
      </c>
      <c r="B30">
        <v>3</v>
      </c>
      <c r="C30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L30" s="10"/>
      <c r="N30" s="10"/>
      <c r="P30" s="6"/>
      <c r="Q30" s="6">
        <v>26</v>
      </c>
      <c r="R30" s="6"/>
      <c r="S30">
        <f t="shared" si="0"/>
        <v>0</v>
      </c>
      <c r="T30">
        <f t="shared" si="1"/>
        <v>0</v>
      </c>
      <c r="V30" s="6" t="s">
        <v>45</v>
      </c>
      <c r="W30">
        <v>0</v>
      </c>
      <c r="X30" s="10"/>
      <c r="Z30" s="10"/>
      <c r="BJ30" s="16"/>
      <c r="BK30" s="16"/>
      <c r="BM30" s="16"/>
      <c r="BQ30" s="3"/>
      <c r="BU30" s="16"/>
    </row>
    <row r="31" spans="1:73" x14ac:dyDescent="0.15">
      <c r="A31">
        <v>28</v>
      </c>
      <c r="B31">
        <v>1</v>
      </c>
      <c r="C31">
        <v>19</v>
      </c>
      <c r="D31" s="1">
        <v>80</v>
      </c>
      <c r="E31" s="6" t="s">
        <v>28</v>
      </c>
      <c r="F31" s="7" t="s">
        <v>29</v>
      </c>
      <c r="G31" s="7" t="s">
        <v>29</v>
      </c>
      <c r="H31" s="7" t="s">
        <v>29</v>
      </c>
      <c r="I31" s="7" t="s">
        <v>58</v>
      </c>
      <c r="L31" s="10"/>
      <c r="N31" s="10"/>
      <c r="Q31" s="6">
        <v>26</v>
      </c>
      <c r="R31" s="6">
        <v>16</v>
      </c>
      <c r="S31">
        <f t="shared" si="0"/>
        <v>61.53846153846154</v>
      </c>
      <c r="T31">
        <f t="shared" si="1"/>
        <v>80</v>
      </c>
      <c r="U31">
        <v>19</v>
      </c>
      <c r="V31" s="10" t="s">
        <v>27</v>
      </c>
      <c r="W31">
        <v>53.84615385</v>
      </c>
      <c r="X31" s="10"/>
      <c r="Z31" s="6"/>
      <c r="BJ31" s="16"/>
      <c r="BK31" s="16"/>
      <c r="BM31" s="16"/>
      <c r="BQ31" s="3"/>
      <c r="BU31" s="16"/>
    </row>
    <row r="32" spans="1:73" x14ac:dyDescent="0.15">
      <c r="A32">
        <v>29</v>
      </c>
      <c r="B32">
        <v>2</v>
      </c>
      <c r="C32">
        <v>20</v>
      </c>
      <c r="D32" s="1">
        <v>100</v>
      </c>
      <c r="E32" s="6" t="s">
        <v>28</v>
      </c>
      <c r="F32" s="7" t="s">
        <v>29</v>
      </c>
      <c r="G32" s="7" t="s">
        <v>29</v>
      </c>
      <c r="H32" s="7" t="s">
        <v>29</v>
      </c>
      <c r="I32" s="26" t="s">
        <v>75</v>
      </c>
      <c r="L32" s="6"/>
      <c r="N32" s="6"/>
      <c r="Q32" s="6">
        <v>26</v>
      </c>
      <c r="R32" s="6">
        <v>20</v>
      </c>
      <c r="S32">
        <f t="shared" si="0"/>
        <v>76.923076923076934</v>
      </c>
      <c r="T32">
        <f t="shared" si="1"/>
        <v>100</v>
      </c>
      <c r="U32">
        <v>20</v>
      </c>
      <c r="V32" s="10" t="s">
        <v>33</v>
      </c>
      <c r="W32">
        <v>57.69230769</v>
      </c>
      <c r="X32" s="6"/>
      <c r="Z32" s="10"/>
      <c r="BJ32" s="16"/>
      <c r="BK32" s="16"/>
      <c r="BM32" s="16"/>
      <c r="BQ32" s="3"/>
      <c r="BU32" s="16"/>
    </row>
    <row r="33" spans="1:73" ht="15" x14ac:dyDescent="0.15">
      <c r="A33">
        <v>30</v>
      </c>
      <c r="B33">
        <v>5</v>
      </c>
      <c r="C33">
        <v>2</v>
      </c>
      <c r="D33" s="1">
        <v>0</v>
      </c>
      <c r="E33" s="7" t="s">
        <v>47</v>
      </c>
      <c r="F33" s="7" t="s">
        <v>48</v>
      </c>
      <c r="G33" s="7" t="s">
        <v>48</v>
      </c>
      <c r="H33" s="7" t="s">
        <v>48</v>
      </c>
      <c r="I33" s="27" t="s">
        <v>76</v>
      </c>
      <c r="L33" s="10"/>
      <c r="N33" s="10"/>
      <c r="Q33" s="6">
        <v>26</v>
      </c>
      <c r="S33">
        <f t="shared" si="0"/>
        <v>0</v>
      </c>
      <c r="T33">
        <f t="shared" si="1"/>
        <v>0</v>
      </c>
      <c r="V33" s="10" t="s">
        <v>49</v>
      </c>
      <c r="W33">
        <v>0</v>
      </c>
      <c r="X33" s="10"/>
      <c r="Z33" s="10"/>
      <c r="BJ33" s="16"/>
      <c r="BK33" s="16"/>
      <c r="BM33" s="16"/>
      <c r="BQ33" s="3"/>
      <c r="BU33" s="16"/>
    </row>
    <row r="34" spans="1:73" x14ac:dyDescent="0.15">
      <c r="A34">
        <v>31</v>
      </c>
      <c r="B34">
        <v>1</v>
      </c>
      <c r="C34">
        <v>21</v>
      </c>
      <c r="D34" s="1">
        <v>85</v>
      </c>
      <c r="E34" s="6" t="s">
        <v>28</v>
      </c>
      <c r="F34" s="7" t="s">
        <v>29</v>
      </c>
      <c r="G34" s="7" t="s">
        <v>29</v>
      </c>
      <c r="H34" s="7" t="s">
        <v>29</v>
      </c>
      <c r="I34" s="7" t="s">
        <v>59</v>
      </c>
      <c r="L34" s="10"/>
      <c r="N34" s="10"/>
      <c r="Q34" s="6">
        <v>26</v>
      </c>
      <c r="R34">
        <v>17</v>
      </c>
      <c r="S34">
        <f t="shared" si="0"/>
        <v>65.384615384615387</v>
      </c>
      <c r="T34">
        <f t="shared" si="1"/>
        <v>85</v>
      </c>
      <c r="U34">
        <v>21</v>
      </c>
      <c r="V34" s="10" t="s">
        <v>27</v>
      </c>
      <c r="W34">
        <v>61.53846154</v>
      </c>
      <c r="X34" s="10"/>
      <c r="Z34" s="10"/>
      <c r="BJ34" s="16"/>
      <c r="BK34" s="16"/>
      <c r="BM34" s="16"/>
      <c r="BQ34" s="3"/>
      <c r="BU34" s="16"/>
    </row>
    <row r="35" spans="1:73" x14ac:dyDescent="0.15">
      <c r="A35">
        <v>32</v>
      </c>
      <c r="B35">
        <v>1</v>
      </c>
      <c r="C35">
        <v>22</v>
      </c>
      <c r="D35" s="1">
        <v>90</v>
      </c>
      <c r="E35" s="6" t="s">
        <v>28</v>
      </c>
      <c r="F35" s="7" t="s">
        <v>29</v>
      </c>
      <c r="G35" s="7" t="s">
        <v>29</v>
      </c>
      <c r="H35" s="7" t="s">
        <v>29</v>
      </c>
      <c r="I35" s="7" t="s">
        <v>60</v>
      </c>
      <c r="L35" s="6"/>
      <c r="N35" s="6"/>
      <c r="Q35" s="6">
        <v>26</v>
      </c>
      <c r="R35">
        <v>18</v>
      </c>
      <c r="S35">
        <f t="shared" si="0"/>
        <v>69.230769230769226</v>
      </c>
      <c r="T35">
        <f t="shared" si="1"/>
        <v>90</v>
      </c>
      <c r="U35">
        <v>22</v>
      </c>
      <c r="V35" s="10" t="s">
        <v>27</v>
      </c>
      <c r="W35">
        <v>65.38461538</v>
      </c>
      <c r="X35" s="6"/>
      <c r="Z35" s="6"/>
      <c r="BJ35" s="16"/>
      <c r="BK35" s="16"/>
      <c r="BM35" s="16"/>
      <c r="BQ35" s="3"/>
      <c r="BU35" s="16"/>
    </row>
    <row r="36" spans="1:73" hidden="1" x14ac:dyDescent="0.15">
      <c r="A36">
        <v>33</v>
      </c>
      <c r="B36">
        <v>4</v>
      </c>
      <c r="C36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L36" s="10"/>
      <c r="N36" s="10"/>
      <c r="P36">
        <v>0.5</v>
      </c>
      <c r="Q36" s="6">
        <v>27</v>
      </c>
      <c r="S36">
        <f t="shared" si="0"/>
        <v>0</v>
      </c>
      <c r="T36">
        <f t="shared" si="1"/>
        <v>0</v>
      </c>
      <c r="V36" s="6" t="s">
        <v>34</v>
      </c>
      <c r="W36">
        <v>0</v>
      </c>
      <c r="X36" s="10"/>
      <c r="Z36" s="10"/>
      <c r="BJ36" s="16"/>
      <c r="BK36" s="16"/>
      <c r="BM36" s="16"/>
      <c r="BQ36" s="3"/>
      <c r="BU36" s="16"/>
    </row>
    <row r="37" spans="1:73" x14ac:dyDescent="0.15">
      <c r="A37">
        <v>34</v>
      </c>
      <c r="B37">
        <v>1</v>
      </c>
      <c r="C37">
        <v>23</v>
      </c>
      <c r="D37" s="1">
        <v>100</v>
      </c>
      <c r="E37" s="6" t="s">
        <v>28</v>
      </c>
      <c r="F37" s="7" t="s">
        <v>29</v>
      </c>
      <c r="G37" s="7" t="s">
        <v>29</v>
      </c>
      <c r="H37" s="7" t="s">
        <v>29</v>
      </c>
      <c r="I37" s="7" t="s">
        <v>61</v>
      </c>
      <c r="L37" s="6"/>
      <c r="N37" s="10"/>
      <c r="Q37" s="6">
        <v>27</v>
      </c>
      <c r="R37">
        <v>20</v>
      </c>
      <c r="S37">
        <f t="shared" si="0"/>
        <v>74.074074074074076</v>
      </c>
      <c r="T37">
        <f t="shared" si="1"/>
        <v>100</v>
      </c>
      <c r="U37">
        <v>23</v>
      </c>
      <c r="V37" s="10" t="s">
        <v>27</v>
      </c>
      <c r="W37">
        <v>70.370370370000003</v>
      </c>
      <c r="X37" s="6"/>
      <c r="Z37" s="6"/>
      <c r="BJ37" s="16"/>
      <c r="BK37" s="16"/>
      <c r="BM37" s="16"/>
      <c r="BQ37" s="3"/>
      <c r="BU37" s="16"/>
    </row>
    <row r="38" spans="1:73" x14ac:dyDescent="0.15">
      <c r="A38">
        <v>35</v>
      </c>
      <c r="B38">
        <v>1</v>
      </c>
      <c r="C38">
        <v>24</v>
      </c>
      <c r="D38" s="1">
        <v>105</v>
      </c>
      <c r="E38" s="6" t="s">
        <v>28</v>
      </c>
      <c r="F38" s="7" t="s">
        <v>29</v>
      </c>
      <c r="G38" s="7" t="s">
        <v>29</v>
      </c>
      <c r="H38" s="7" t="s">
        <v>29</v>
      </c>
      <c r="I38" s="7" t="s">
        <v>62</v>
      </c>
      <c r="L38" s="10"/>
      <c r="N38" s="10"/>
      <c r="Q38" s="6">
        <v>27</v>
      </c>
      <c r="R38">
        <v>21</v>
      </c>
      <c r="S38">
        <f t="shared" si="0"/>
        <v>77.777777777777786</v>
      </c>
      <c r="T38">
        <f t="shared" si="1"/>
        <v>105</v>
      </c>
      <c r="U38">
        <v>24</v>
      </c>
      <c r="V38" s="10" t="s">
        <v>27</v>
      </c>
      <c r="W38">
        <v>74.074074069999995</v>
      </c>
      <c r="X38" s="10"/>
      <c r="Z38" s="10"/>
      <c r="BJ38" s="16"/>
      <c r="BK38" s="16"/>
      <c r="BM38" s="16"/>
      <c r="BQ38" s="3"/>
      <c r="BU38" s="16"/>
    </row>
    <row r="39" spans="1:73" hidden="1" x14ac:dyDescent="0.15">
      <c r="A39">
        <v>36</v>
      </c>
      <c r="B39">
        <v>3</v>
      </c>
      <c r="C39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L39" s="10"/>
      <c r="N39" s="10"/>
      <c r="P39">
        <v>0.5</v>
      </c>
      <c r="Q39" s="6">
        <v>29</v>
      </c>
      <c r="S39">
        <f t="shared" si="0"/>
        <v>0</v>
      </c>
      <c r="T39">
        <f t="shared" si="1"/>
        <v>0</v>
      </c>
      <c r="V39" s="6" t="s">
        <v>34</v>
      </c>
      <c r="W39">
        <v>0</v>
      </c>
      <c r="X39" s="10"/>
      <c r="Z39" s="6"/>
      <c r="BJ39" s="16"/>
      <c r="BK39" s="16"/>
      <c r="BM39" s="16"/>
      <c r="BQ39" s="3"/>
      <c r="BU39" s="16"/>
    </row>
    <row r="40" spans="1:73" x14ac:dyDescent="0.15">
      <c r="A40">
        <v>37</v>
      </c>
      <c r="B40">
        <v>1</v>
      </c>
      <c r="C40">
        <v>25</v>
      </c>
      <c r="D40" s="1">
        <v>120</v>
      </c>
      <c r="E40" s="6" t="s">
        <v>28</v>
      </c>
      <c r="F40" s="7" t="s">
        <v>29</v>
      </c>
      <c r="G40" s="7" t="s">
        <v>29</v>
      </c>
      <c r="H40" s="7" t="s">
        <v>29</v>
      </c>
      <c r="I40" s="7" t="s">
        <v>63</v>
      </c>
      <c r="L40" s="10"/>
      <c r="N40" s="6"/>
      <c r="Q40" s="6">
        <v>29</v>
      </c>
      <c r="R40">
        <v>24</v>
      </c>
      <c r="S40">
        <f t="shared" si="0"/>
        <v>82.758620689655174</v>
      </c>
      <c r="T40">
        <f t="shared" si="1"/>
        <v>120</v>
      </c>
      <c r="U40">
        <v>25</v>
      </c>
      <c r="V40" s="10" t="s">
        <v>33</v>
      </c>
      <c r="W40">
        <v>78.571428569999995</v>
      </c>
      <c r="X40" s="10"/>
      <c r="Z40" s="10"/>
      <c r="BJ40" s="16"/>
      <c r="BK40" s="16"/>
      <c r="BM40" s="16"/>
      <c r="BQ40" s="3"/>
      <c r="BU40" s="16"/>
    </row>
    <row r="41" spans="1:73" x14ac:dyDescent="0.15">
      <c r="A41">
        <v>38</v>
      </c>
      <c r="B41">
        <v>1</v>
      </c>
      <c r="C41">
        <v>26</v>
      </c>
      <c r="D41" s="1">
        <v>125</v>
      </c>
      <c r="E41" s="6" t="s">
        <v>28</v>
      </c>
      <c r="F41" s="7" t="s">
        <v>29</v>
      </c>
      <c r="G41" s="7" t="s">
        <v>29</v>
      </c>
      <c r="H41" s="7" t="s">
        <v>29</v>
      </c>
      <c r="I41" s="7" t="s">
        <v>64</v>
      </c>
      <c r="L41" s="6"/>
      <c r="N41" s="10"/>
      <c r="Q41" s="6">
        <v>29</v>
      </c>
      <c r="R41">
        <v>25</v>
      </c>
      <c r="S41">
        <f t="shared" si="0"/>
        <v>86.206896551724128</v>
      </c>
      <c r="T41">
        <f t="shared" si="1"/>
        <v>125</v>
      </c>
      <c r="U41">
        <v>26</v>
      </c>
      <c r="V41" s="10" t="s">
        <v>27</v>
      </c>
      <c r="W41">
        <v>82.142857140000004</v>
      </c>
      <c r="X41" s="6"/>
      <c r="Z41" s="6"/>
      <c r="BJ41" s="16"/>
      <c r="BK41" s="16"/>
      <c r="BM41" s="16"/>
      <c r="BQ41" s="3"/>
      <c r="BU41" s="16"/>
    </row>
    <row r="42" spans="1:73" hidden="1" x14ac:dyDescent="0.15">
      <c r="A42">
        <v>39</v>
      </c>
      <c r="B42">
        <v>3</v>
      </c>
      <c r="C42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L42" s="10"/>
      <c r="N42" s="10"/>
      <c r="P42">
        <v>0.5</v>
      </c>
      <c r="Q42" s="6">
        <v>31</v>
      </c>
      <c r="S42">
        <f t="shared" si="0"/>
        <v>0</v>
      </c>
      <c r="T42">
        <f t="shared" si="1"/>
        <v>0</v>
      </c>
      <c r="V42" s="6" t="s">
        <v>34</v>
      </c>
      <c r="W42">
        <v>0</v>
      </c>
      <c r="X42" s="10"/>
      <c r="Z42" s="10"/>
      <c r="BJ42" s="16"/>
      <c r="BK42" s="16"/>
      <c r="BM42" s="16"/>
      <c r="BQ42" s="3"/>
      <c r="BU42" s="16"/>
    </row>
    <row r="43" spans="1:73" x14ac:dyDescent="0.15">
      <c r="A43">
        <v>40</v>
      </c>
      <c r="B43">
        <v>1</v>
      </c>
      <c r="C43">
        <v>27</v>
      </c>
      <c r="D43" s="1">
        <v>135</v>
      </c>
      <c r="E43" s="6" t="s">
        <v>28</v>
      </c>
      <c r="F43" s="7" t="s">
        <v>29</v>
      </c>
      <c r="G43" s="7" t="s">
        <v>29</v>
      </c>
      <c r="H43" s="7" t="s">
        <v>29</v>
      </c>
      <c r="I43" s="7" t="s">
        <v>65</v>
      </c>
      <c r="L43" s="10"/>
      <c r="N43" s="6"/>
      <c r="Q43" s="6">
        <v>31</v>
      </c>
      <c r="R43">
        <v>27</v>
      </c>
      <c r="S43">
        <f t="shared" si="0"/>
        <v>87.096774193548384</v>
      </c>
      <c r="T43">
        <f t="shared" si="1"/>
        <v>135</v>
      </c>
      <c r="U43">
        <v>27</v>
      </c>
      <c r="V43" s="10" t="s">
        <v>27</v>
      </c>
      <c r="W43">
        <v>86.206896549999996</v>
      </c>
      <c r="X43" s="10"/>
      <c r="Z43" s="10"/>
      <c r="BJ43" s="16"/>
      <c r="BK43" s="16"/>
      <c r="BM43" s="16"/>
      <c r="BQ43" s="3"/>
      <c r="BU43" s="16"/>
    </row>
    <row r="44" spans="1:73" x14ac:dyDescent="0.15">
      <c r="A44">
        <v>41</v>
      </c>
      <c r="B44">
        <v>1</v>
      </c>
      <c r="C44">
        <v>28</v>
      </c>
      <c r="D44" s="1">
        <v>140</v>
      </c>
      <c r="E44" s="6" t="s">
        <v>28</v>
      </c>
      <c r="F44" s="7" t="s">
        <v>29</v>
      </c>
      <c r="G44" s="7" t="s">
        <v>29</v>
      </c>
      <c r="H44" s="7" t="s">
        <v>29</v>
      </c>
      <c r="I44" s="7" t="s">
        <v>66</v>
      </c>
      <c r="L44" s="6"/>
      <c r="N44" s="10"/>
      <c r="Q44" s="6">
        <v>31</v>
      </c>
      <c r="R44">
        <v>28</v>
      </c>
      <c r="S44">
        <f t="shared" si="0"/>
        <v>90.322580645161281</v>
      </c>
      <c r="T44">
        <f t="shared" si="1"/>
        <v>140</v>
      </c>
      <c r="U44">
        <v>28</v>
      </c>
      <c r="V44" s="10" t="s">
        <v>27</v>
      </c>
      <c r="W44">
        <v>89.655172410000006</v>
      </c>
      <c r="X44" s="6"/>
      <c r="Z44" s="10"/>
      <c r="BJ44" s="16"/>
      <c r="BK44" s="16"/>
      <c r="BM44" s="16"/>
      <c r="BQ44" s="3"/>
      <c r="BU44" s="16"/>
    </row>
    <row r="45" spans="1:73" hidden="1" x14ac:dyDescent="0.15">
      <c r="A45">
        <v>42</v>
      </c>
      <c r="B45">
        <v>3</v>
      </c>
      <c r="C45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L45" s="10"/>
      <c r="N45" s="10"/>
      <c r="Q45" s="6">
        <v>31</v>
      </c>
      <c r="S45">
        <f t="shared" si="0"/>
        <v>0</v>
      </c>
      <c r="T45">
        <f t="shared" si="1"/>
        <v>0</v>
      </c>
      <c r="V45" s="6" t="s">
        <v>45</v>
      </c>
      <c r="W45">
        <v>0</v>
      </c>
      <c r="X45" s="10"/>
      <c r="Z45" s="6"/>
      <c r="BJ45" s="16"/>
      <c r="BK45" s="16"/>
      <c r="BM45" s="16"/>
      <c r="BQ45" s="3"/>
      <c r="BU45" s="16"/>
    </row>
    <row r="46" spans="1:73" x14ac:dyDescent="0.15">
      <c r="A46">
        <v>43</v>
      </c>
      <c r="B46">
        <v>1</v>
      </c>
      <c r="C46">
        <v>29</v>
      </c>
      <c r="D46" s="1">
        <v>150</v>
      </c>
      <c r="E46" s="6" t="s">
        <v>28</v>
      </c>
      <c r="F46" s="7" t="s">
        <v>29</v>
      </c>
      <c r="G46" s="7" t="s">
        <v>29</v>
      </c>
      <c r="H46" s="7" t="s">
        <v>29</v>
      </c>
      <c r="I46" s="7" t="s">
        <v>67</v>
      </c>
      <c r="L46" s="6"/>
      <c r="N46" s="10"/>
      <c r="Q46" s="6">
        <v>32</v>
      </c>
      <c r="R46">
        <v>30</v>
      </c>
      <c r="S46">
        <f t="shared" si="0"/>
        <v>93.75</v>
      </c>
      <c r="T46">
        <f t="shared" si="1"/>
        <v>150</v>
      </c>
      <c r="U46">
        <v>29</v>
      </c>
      <c r="V46" s="10" t="s">
        <v>27</v>
      </c>
      <c r="W46">
        <v>93.103448279999995</v>
      </c>
      <c r="X46" s="6"/>
      <c r="Z46" s="10"/>
      <c r="BJ46" s="16"/>
      <c r="BK46" s="16"/>
      <c r="BM46" s="16"/>
      <c r="BQ46" s="3"/>
      <c r="BU46" s="16"/>
    </row>
    <row r="47" spans="1:73" x14ac:dyDescent="0.15">
      <c r="A47">
        <v>44</v>
      </c>
      <c r="B47">
        <v>2</v>
      </c>
      <c r="C47">
        <v>30</v>
      </c>
      <c r="D47" s="1">
        <v>160</v>
      </c>
      <c r="E47" s="6" t="s">
        <v>68</v>
      </c>
      <c r="F47" s="7" t="s">
        <v>48</v>
      </c>
      <c r="G47" s="7" t="s">
        <v>48</v>
      </c>
      <c r="H47" s="7" t="s">
        <v>48</v>
      </c>
      <c r="I47" s="7" t="s">
        <v>69</v>
      </c>
      <c r="L47" s="10"/>
      <c r="N47" s="10"/>
      <c r="Q47" s="6">
        <v>32</v>
      </c>
      <c r="R47">
        <v>32</v>
      </c>
      <c r="S47">
        <f t="shared" si="0"/>
        <v>100</v>
      </c>
      <c r="T47">
        <f t="shared" si="1"/>
        <v>160</v>
      </c>
      <c r="U47">
        <v>30</v>
      </c>
      <c r="V47" s="10" t="s">
        <v>33</v>
      </c>
      <c r="W47">
        <v>100</v>
      </c>
      <c r="X47" s="10"/>
      <c r="Z47" s="6"/>
      <c r="BJ47" s="16"/>
      <c r="BK47" s="16"/>
      <c r="BM47" s="16"/>
      <c r="BQ47" s="3"/>
      <c r="BU47" s="16"/>
    </row>
    <row r="48" spans="1:73" x14ac:dyDescent="0.15">
      <c r="A48">
        <v>45</v>
      </c>
      <c r="B48">
        <v>5</v>
      </c>
      <c r="C48">
        <v>3</v>
      </c>
      <c r="D48" s="1">
        <v>0</v>
      </c>
      <c r="E48" s="8" t="s">
        <v>70</v>
      </c>
      <c r="F48" s="8" t="s">
        <v>71</v>
      </c>
      <c r="G48" s="8" t="s">
        <v>71</v>
      </c>
      <c r="H48" s="8" t="s">
        <v>71</v>
      </c>
      <c r="I48" s="12" t="s">
        <v>72</v>
      </c>
      <c r="L48" s="10"/>
      <c r="N48" s="6"/>
      <c r="Q48" s="6">
        <v>32</v>
      </c>
      <c r="S48">
        <f t="shared" si="0"/>
        <v>0</v>
      </c>
      <c r="T48">
        <f t="shared" si="1"/>
        <v>0</v>
      </c>
      <c r="V48" s="10" t="s">
        <v>49</v>
      </c>
      <c r="X48" s="10"/>
      <c r="Z48" s="10"/>
      <c r="BJ48" s="16"/>
      <c r="BK48" s="16"/>
      <c r="BM48" s="16"/>
      <c r="BQ48" s="3"/>
      <c r="BU48" s="16"/>
    </row>
    <row r="49" spans="4:73" x14ac:dyDescent="0.15">
      <c r="D49" s="1"/>
      <c r="L49" s="10"/>
      <c r="N49" s="10"/>
      <c r="V49" s="10"/>
      <c r="X49" s="10"/>
      <c r="Z49" s="6"/>
      <c r="BJ49" s="16"/>
      <c r="BK49" s="16"/>
      <c r="BM49" s="16"/>
      <c r="BQ49" s="3"/>
      <c r="BU49" s="16"/>
    </row>
    <row r="50" spans="4:73" x14ac:dyDescent="0.15">
      <c r="L50" s="6"/>
      <c r="N50" s="10"/>
      <c r="V50" s="10"/>
      <c r="X50" s="6"/>
      <c r="Z50" s="10"/>
      <c r="BJ50" s="16"/>
      <c r="BK50" s="16"/>
      <c r="BM50" s="16"/>
      <c r="BQ50" s="3"/>
      <c r="BU50" s="16"/>
    </row>
    <row r="51" spans="4:73" x14ac:dyDescent="0.15">
      <c r="D51" s="1"/>
      <c r="L51" s="10"/>
      <c r="N51" s="6"/>
      <c r="X51" s="10"/>
      <c r="Z51" s="6"/>
      <c r="BJ51" s="16"/>
      <c r="BK51" s="16"/>
      <c r="BM51" s="16"/>
      <c r="BQ51" s="3"/>
      <c r="BU51" s="16"/>
    </row>
    <row r="52" spans="4:73" x14ac:dyDescent="0.15">
      <c r="D52" s="1"/>
      <c r="L52" s="10"/>
      <c r="N52" s="10"/>
      <c r="X52" s="10"/>
      <c r="Z52" s="10"/>
      <c r="BJ52" s="16"/>
      <c r="BK52" s="16"/>
      <c r="BM52" s="16"/>
      <c r="BQ52" s="3"/>
      <c r="BU52" s="16"/>
    </row>
    <row r="53" spans="4:73" x14ac:dyDescent="0.15">
      <c r="D53" s="1"/>
      <c r="E53" s="7"/>
      <c r="F53" s="7"/>
      <c r="G53" s="7"/>
      <c r="H53" s="7"/>
      <c r="I53" s="12"/>
      <c r="L53" s="6"/>
      <c r="N53" s="10"/>
      <c r="X53" s="6"/>
      <c r="Z53" s="10"/>
      <c r="BJ53" s="16"/>
      <c r="BK53" s="16"/>
      <c r="BM53" s="16"/>
      <c r="BQ53" s="3"/>
      <c r="BU53" s="16"/>
    </row>
    <row r="54" spans="4:73" x14ac:dyDescent="0.15">
      <c r="D54" s="1"/>
      <c r="L54" s="10"/>
      <c r="N54" s="10"/>
      <c r="X54" s="10"/>
      <c r="Z54" s="10"/>
      <c r="BJ54" s="16"/>
      <c r="BK54" s="16"/>
      <c r="BM54" s="16"/>
      <c r="BQ54" s="3"/>
      <c r="BU54" s="16"/>
    </row>
    <row r="55" spans="4:73" x14ac:dyDescent="0.15">
      <c r="D55" s="1"/>
      <c r="L55" s="6"/>
      <c r="N55" s="10"/>
      <c r="X55" s="6"/>
      <c r="Z55" s="6"/>
      <c r="BJ55" s="16"/>
      <c r="BK55" s="16"/>
      <c r="BM55" s="16"/>
      <c r="BQ55" s="3"/>
      <c r="BU55" s="16"/>
    </row>
    <row r="56" spans="4:73" x14ac:dyDescent="0.15">
      <c r="D56" s="1"/>
      <c r="E56"/>
      <c r="L56" s="10"/>
      <c r="N56" s="6"/>
      <c r="X56" s="10"/>
      <c r="Z56" s="10"/>
      <c r="BJ56" s="16"/>
      <c r="BK56" s="16"/>
      <c r="BM56" s="16"/>
      <c r="BQ56" s="3"/>
      <c r="BU56" s="16"/>
    </row>
    <row r="57" spans="4:73" x14ac:dyDescent="0.15">
      <c r="D57" s="1"/>
      <c r="L57" s="10"/>
      <c r="N57" s="10"/>
      <c r="X57" s="10"/>
      <c r="Z57" s="6"/>
      <c r="BJ57" s="16"/>
      <c r="BK57" s="16"/>
      <c r="BM57" s="16"/>
      <c r="BQ57" s="3"/>
      <c r="BU57" s="16"/>
    </row>
    <row r="58" spans="4:73" x14ac:dyDescent="0.15">
      <c r="D58" s="1"/>
      <c r="E58"/>
      <c r="L58" s="10"/>
      <c r="N58" s="10"/>
      <c r="Z58" s="10"/>
      <c r="BJ58" s="16"/>
      <c r="BK58" s="16"/>
      <c r="BM58" s="16"/>
      <c r="BQ58" s="3"/>
      <c r="BU58" s="16"/>
    </row>
    <row r="59" spans="4:73" x14ac:dyDescent="0.15">
      <c r="D59" s="1"/>
      <c r="L59" s="6"/>
      <c r="N59" s="6"/>
      <c r="Z59" s="6"/>
      <c r="BJ59" s="16"/>
      <c r="BK59" s="16"/>
      <c r="BM59" s="16"/>
      <c r="BQ59" s="3"/>
      <c r="BU59" s="16"/>
    </row>
    <row r="60" spans="4:73" x14ac:dyDescent="0.15">
      <c r="D60" s="1"/>
      <c r="E60"/>
      <c r="L60" s="10"/>
      <c r="N60" s="10"/>
      <c r="Z60" s="10"/>
      <c r="BJ60" s="16"/>
      <c r="BK60" s="16"/>
      <c r="BM60" s="16"/>
      <c r="BQ60" s="3"/>
      <c r="BU60" s="16"/>
    </row>
    <row r="61" spans="4:73" x14ac:dyDescent="0.15">
      <c r="D61" s="1"/>
      <c r="L61" s="10"/>
      <c r="N61" s="10"/>
      <c r="Z61" s="6"/>
      <c r="BJ61" s="16"/>
      <c r="BK61" s="16"/>
      <c r="BM61" s="16"/>
      <c r="BQ61" s="3"/>
      <c r="BU61" s="16"/>
    </row>
    <row r="62" spans="4:73" x14ac:dyDescent="0.15">
      <c r="D62" s="1"/>
      <c r="E62"/>
      <c r="L62" s="6"/>
      <c r="Z62" s="10"/>
      <c r="BJ62" s="16"/>
      <c r="BK62" s="16"/>
      <c r="BM62" s="16"/>
      <c r="BQ62" s="3"/>
      <c r="BU62" s="16"/>
    </row>
    <row r="63" spans="4:73" x14ac:dyDescent="0.15">
      <c r="D63" s="1"/>
      <c r="E63" s="7"/>
      <c r="F63" s="7"/>
      <c r="G63" s="7"/>
      <c r="H63" s="7"/>
      <c r="I63" s="12"/>
      <c r="L63" s="10"/>
      <c r="Z63" s="10"/>
      <c r="BJ63" s="16"/>
      <c r="BK63" s="16"/>
      <c r="BM63" s="16"/>
      <c r="BQ63" s="3"/>
      <c r="BU63" s="16"/>
    </row>
    <row r="64" spans="4:73" x14ac:dyDescent="0.15">
      <c r="D64" s="1"/>
      <c r="E64"/>
      <c r="L64" s="6"/>
      <c r="BJ64" s="16"/>
      <c r="BK64" s="16"/>
      <c r="BM64" s="16"/>
      <c r="BQ64" s="3"/>
      <c r="BU64" s="16"/>
    </row>
    <row r="65" spans="4:73" x14ac:dyDescent="0.15">
      <c r="D65" s="1"/>
      <c r="E65"/>
      <c r="L65" s="10"/>
      <c r="BJ65" s="16"/>
      <c r="BK65" s="16"/>
      <c r="BM65" s="16"/>
      <c r="BQ65" s="3"/>
      <c r="BU65" s="16"/>
    </row>
    <row r="66" spans="4:73" x14ac:dyDescent="0.15">
      <c r="D66" s="1"/>
      <c r="E66"/>
      <c r="L66" s="10"/>
      <c r="BJ66" s="16"/>
      <c r="BK66" s="16"/>
      <c r="BM66" s="16"/>
      <c r="BQ66" s="3"/>
      <c r="BU66" s="16"/>
    </row>
    <row r="67" spans="4:73" x14ac:dyDescent="0.15">
      <c r="D67" s="1"/>
      <c r="E67"/>
      <c r="BJ67" s="16"/>
      <c r="BK67" s="16"/>
      <c r="BM67" s="16"/>
      <c r="BQ67" s="3"/>
      <c r="BU67" s="16"/>
    </row>
    <row r="68" spans="4:73" x14ac:dyDescent="0.15">
      <c r="D68" s="1"/>
      <c r="E68"/>
      <c r="BJ68" s="16"/>
      <c r="BK68" s="16"/>
      <c r="BM68" s="16"/>
      <c r="BQ68" s="3"/>
      <c r="BU68" s="16"/>
    </row>
    <row r="69" spans="4:73" x14ac:dyDescent="0.15">
      <c r="D69" s="1"/>
      <c r="E69"/>
      <c r="BJ69" s="16"/>
      <c r="BK69" s="16"/>
      <c r="BM69" s="16"/>
      <c r="BQ69" s="3"/>
      <c r="BU69" s="16"/>
    </row>
    <row r="70" spans="4:73" x14ac:dyDescent="0.15">
      <c r="D70" s="1"/>
      <c r="E70"/>
      <c r="BJ70" s="16"/>
      <c r="BK70" s="16"/>
      <c r="BM70" s="16"/>
      <c r="BQ70" s="3"/>
      <c r="BU70" s="16"/>
    </row>
    <row r="71" spans="4:73" x14ac:dyDescent="0.15">
      <c r="D71" s="1"/>
      <c r="E71"/>
      <c r="BJ71" s="16"/>
      <c r="BK71" s="16"/>
      <c r="BM71" s="16"/>
      <c r="BQ71" s="3"/>
      <c r="BU71" s="16"/>
    </row>
    <row r="72" spans="4:73" x14ac:dyDescent="0.15">
      <c r="D72" s="1"/>
      <c r="E72"/>
      <c r="BJ72" s="16"/>
      <c r="BK72" s="16"/>
      <c r="BM72" s="16"/>
      <c r="BQ72" s="3"/>
      <c r="BU72" s="16"/>
    </row>
    <row r="73" spans="4:73" x14ac:dyDescent="0.15">
      <c r="D73" s="1"/>
      <c r="E73"/>
      <c r="BJ73" s="16"/>
      <c r="BK73" s="16"/>
      <c r="BM73" s="16"/>
      <c r="BQ73" s="3"/>
      <c r="BU73" s="16"/>
    </row>
    <row r="74" spans="4:73" x14ac:dyDescent="0.15">
      <c r="D74" s="1"/>
      <c r="E74"/>
      <c r="BJ74" s="16"/>
      <c r="BK74" s="16"/>
      <c r="BM74" s="16"/>
      <c r="BQ74" s="3"/>
      <c r="BU74" s="16"/>
    </row>
    <row r="75" spans="4:73" x14ac:dyDescent="0.15">
      <c r="D75" s="1"/>
      <c r="E75"/>
      <c r="BJ75" s="16"/>
      <c r="BK75" s="16"/>
      <c r="BM75" s="16"/>
      <c r="BQ75" s="3"/>
      <c r="BU75" s="16"/>
    </row>
    <row r="76" spans="4:73" x14ac:dyDescent="0.15">
      <c r="D76" s="1"/>
      <c r="E76"/>
      <c r="BJ76" s="16"/>
      <c r="BK76" s="16"/>
      <c r="BM76" s="16"/>
      <c r="BQ76" s="3"/>
      <c r="BU76" s="16"/>
    </row>
    <row r="77" spans="4:73" x14ac:dyDescent="0.15">
      <c r="D77" s="1"/>
      <c r="E77"/>
      <c r="BJ77" s="16"/>
      <c r="BK77" s="16"/>
      <c r="BM77" s="16"/>
      <c r="BQ77" s="3"/>
      <c r="BU77" s="16"/>
    </row>
    <row r="78" spans="4:73" x14ac:dyDescent="0.15">
      <c r="D78" s="1"/>
      <c r="E78"/>
      <c r="BJ78" s="16"/>
      <c r="BK78" s="16"/>
      <c r="BM78" s="16"/>
      <c r="BQ78" s="3"/>
      <c r="BU78" s="16"/>
    </row>
    <row r="79" spans="4:73" x14ac:dyDescent="0.15">
      <c r="D79" s="1"/>
      <c r="E79"/>
      <c r="BJ79" s="16"/>
      <c r="BK79" s="16"/>
      <c r="BM79" s="16"/>
      <c r="BQ79" s="3"/>
      <c r="BU79" s="16"/>
    </row>
    <row r="80" spans="4:73" x14ac:dyDescent="0.15">
      <c r="D80" s="1"/>
      <c r="E80"/>
      <c r="L80" s="19"/>
      <c r="BJ80" s="16"/>
      <c r="BK80" s="16"/>
      <c r="BM80" s="16"/>
      <c r="BQ80" s="3"/>
      <c r="BU80" s="16"/>
    </row>
    <row r="81" spans="4:73" x14ac:dyDescent="0.15">
      <c r="D81" s="1"/>
      <c r="E81"/>
      <c r="BJ81" s="16"/>
      <c r="BK81" s="16"/>
      <c r="BM81" s="16"/>
      <c r="BQ81" s="3"/>
      <c r="BU81" s="16"/>
    </row>
    <row r="82" spans="4:73" x14ac:dyDescent="0.15">
      <c r="D82" s="1"/>
      <c r="E82"/>
      <c r="L82" s="19"/>
      <c r="BJ82" s="16"/>
      <c r="BK82" s="16"/>
      <c r="BM82" s="16"/>
      <c r="BQ82" s="3"/>
      <c r="BU82" s="16"/>
    </row>
    <row r="83" spans="4:73" x14ac:dyDescent="0.15">
      <c r="D83" s="1"/>
      <c r="E83"/>
      <c r="BJ83" s="16"/>
      <c r="BK83" s="16"/>
      <c r="BQ83" s="3"/>
      <c r="BU83" s="16"/>
    </row>
    <row r="84" spans="4:73" x14ac:dyDescent="0.15">
      <c r="D84" s="1"/>
      <c r="E84"/>
      <c r="BJ84" s="16"/>
      <c r="BK84" s="16"/>
      <c r="BM84" s="16"/>
      <c r="BQ84" s="3"/>
      <c r="BU84" s="16"/>
    </row>
    <row r="85" spans="4:73" x14ac:dyDescent="0.15">
      <c r="D85" s="1"/>
      <c r="E85"/>
      <c r="AV85" s="6"/>
      <c r="BJ85" s="16"/>
      <c r="BK85" s="16"/>
      <c r="BM85" s="15"/>
      <c r="BQ85" s="3"/>
      <c r="BU85" s="16"/>
    </row>
    <row r="86" spans="4:73" x14ac:dyDescent="0.15">
      <c r="D86" s="1"/>
      <c r="E86"/>
      <c r="AV86" s="6"/>
      <c r="BJ86" s="16"/>
      <c r="BK86" s="16"/>
      <c r="BM86" s="15"/>
      <c r="BQ86" s="3"/>
      <c r="BU86" s="16"/>
    </row>
    <row r="87" spans="4:73" x14ac:dyDescent="0.15">
      <c r="D87" s="1"/>
      <c r="E87"/>
      <c r="AV87" s="6"/>
      <c r="BJ87" s="16"/>
      <c r="BK87" s="16"/>
      <c r="BM87" s="15"/>
      <c r="BQ87" s="3"/>
      <c r="BU87" s="16"/>
    </row>
    <row r="88" spans="4:73" x14ac:dyDescent="0.15">
      <c r="D88" s="1"/>
      <c r="E88"/>
      <c r="AV88" s="6"/>
      <c r="BJ88" s="16"/>
      <c r="BK88" s="16"/>
      <c r="BM88" s="15"/>
      <c r="BQ88" s="3"/>
      <c r="BU88" s="16"/>
    </row>
    <row r="89" spans="4:73" x14ac:dyDescent="0.15">
      <c r="D89" s="1"/>
      <c r="E89"/>
      <c r="AV89" s="6"/>
      <c r="BJ89" s="16"/>
      <c r="BK89" s="16"/>
      <c r="BM89" s="15"/>
      <c r="BQ89" s="3"/>
      <c r="BU89" s="16"/>
    </row>
    <row r="90" spans="4:73" x14ac:dyDescent="0.15">
      <c r="D90" s="1"/>
      <c r="E90"/>
      <c r="AV90" s="6"/>
      <c r="BJ90" s="16"/>
      <c r="BK90" s="16"/>
      <c r="BM90" s="15"/>
      <c r="BQ90" s="3"/>
      <c r="BU90" s="16"/>
    </row>
    <row r="91" spans="4:73" x14ac:dyDescent="0.15">
      <c r="D91" s="1"/>
      <c r="E91"/>
      <c r="AV91" s="6"/>
      <c r="BJ91" s="16"/>
      <c r="BK91" s="16"/>
      <c r="BM91" s="15"/>
      <c r="BQ91" s="3"/>
      <c r="BR91" s="6"/>
      <c r="BU91" s="16"/>
    </row>
    <row r="92" spans="4:73" x14ac:dyDescent="0.15">
      <c r="D92" s="1"/>
      <c r="E92"/>
      <c r="AV92" s="6"/>
      <c r="BM92" s="15"/>
      <c r="BQ92" s="3"/>
      <c r="BR92" s="6"/>
      <c r="BU92" s="16"/>
    </row>
    <row r="93" spans="4:73" x14ac:dyDescent="0.15">
      <c r="D93" s="1"/>
      <c r="E93"/>
      <c r="AV93" s="6"/>
      <c r="BJ93" s="16"/>
      <c r="BK93" s="16"/>
      <c r="BM93" s="15"/>
      <c r="BQ93" s="3"/>
      <c r="BU93" s="16"/>
    </row>
    <row r="94" spans="4:73" x14ac:dyDescent="0.15">
      <c r="D94" s="1"/>
      <c r="E94"/>
      <c r="AV94" s="6"/>
      <c r="BJ94" s="15"/>
      <c r="BK94" s="15"/>
      <c r="BM94" s="15"/>
      <c r="BQ94" s="3"/>
      <c r="BU94" s="16"/>
    </row>
    <row r="95" spans="4:73" x14ac:dyDescent="0.15">
      <c r="D95" s="1"/>
      <c r="E95"/>
      <c r="AV95" s="6"/>
      <c r="BJ95" s="15"/>
      <c r="BK95" s="15"/>
      <c r="BM95" s="15"/>
      <c r="BQ95" s="3"/>
      <c r="BU95" s="16"/>
    </row>
    <row r="96" spans="4:73" x14ac:dyDescent="0.15">
      <c r="D96" s="1"/>
      <c r="E96"/>
      <c r="AV96" s="6"/>
      <c r="BJ96" s="15"/>
      <c r="BK96" s="15"/>
      <c r="BM96" s="15"/>
      <c r="BQ96" s="3"/>
      <c r="BU96" s="16"/>
    </row>
    <row r="97" spans="4:73" x14ac:dyDescent="0.15">
      <c r="D97" s="1"/>
      <c r="E97"/>
      <c r="AV97" s="6"/>
      <c r="BJ97" s="15"/>
      <c r="BK97" s="15"/>
      <c r="BM97" s="15"/>
      <c r="BQ97" s="3"/>
      <c r="BR97" s="6"/>
      <c r="BU97" s="16"/>
    </row>
    <row r="98" spans="4:73" x14ac:dyDescent="0.15">
      <c r="D98" s="1"/>
      <c r="E98"/>
      <c r="AV98" s="6"/>
      <c r="BJ98" s="15"/>
      <c r="BK98" s="15"/>
      <c r="BM98" s="15"/>
      <c r="BQ98" s="3"/>
      <c r="BU98" s="16"/>
    </row>
    <row r="99" spans="4:73" x14ac:dyDescent="0.15">
      <c r="D99" s="1"/>
      <c r="E99"/>
      <c r="AV99" s="6"/>
      <c r="BJ99" s="15"/>
      <c r="BK99" s="15"/>
      <c r="BM99" s="16"/>
      <c r="BQ99" s="3"/>
      <c r="BR99" s="6"/>
      <c r="BU99" s="16"/>
    </row>
    <row r="100" spans="4:73" x14ac:dyDescent="0.15">
      <c r="D100" s="1"/>
      <c r="E100"/>
      <c r="AV100" s="6"/>
      <c r="BJ100" s="15"/>
      <c r="BK100" s="15"/>
      <c r="BM100" s="16"/>
      <c r="BQ100" s="3"/>
    </row>
    <row r="101" spans="4:73" x14ac:dyDescent="0.15">
      <c r="D101" s="1"/>
      <c r="E101"/>
      <c r="AV101" s="6"/>
      <c r="BJ101" s="15"/>
      <c r="BK101" s="15"/>
      <c r="BM101" s="16"/>
      <c r="BQ101" s="3"/>
      <c r="BU101" s="16"/>
    </row>
    <row r="102" spans="4:73" x14ac:dyDescent="0.15">
      <c r="D102" s="1"/>
      <c r="E102"/>
      <c r="AV102" s="6"/>
      <c r="BJ102" s="15"/>
      <c r="BK102" s="15"/>
      <c r="BM102" s="16"/>
      <c r="BQ102" s="3"/>
      <c r="BU102" s="16"/>
    </row>
    <row r="103" spans="4:73" x14ac:dyDescent="0.15">
      <c r="D103" s="1"/>
      <c r="E103"/>
      <c r="AV103" s="6"/>
      <c r="BJ103" s="16"/>
      <c r="BK103" s="16"/>
      <c r="BM103" s="16"/>
      <c r="BQ103" s="3"/>
      <c r="BU103" s="16"/>
    </row>
    <row r="104" spans="4:73" x14ac:dyDescent="0.15">
      <c r="D104" s="1"/>
      <c r="E104"/>
      <c r="AV104" s="6"/>
      <c r="BJ104" s="16"/>
      <c r="BK104" s="16"/>
      <c r="BM104" s="16"/>
      <c r="BQ104" s="3"/>
      <c r="BU104" s="16"/>
    </row>
    <row r="105" spans="4:73" x14ac:dyDescent="0.15">
      <c r="D105" s="1"/>
      <c r="E105"/>
      <c r="AV105" s="6"/>
      <c r="BJ105" s="16"/>
      <c r="BK105" s="16"/>
      <c r="BM105" s="16"/>
      <c r="BQ105" s="3"/>
      <c r="BU105" s="16"/>
    </row>
    <row r="106" spans="4:73" x14ac:dyDescent="0.15">
      <c r="D106" s="1"/>
      <c r="E106"/>
      <c r="AV106" s="6"/>
      <c r="BJ106" s="16"/>
      <c r="BK106" s="16"/>
      <c r="BM106" s="16"/>
      <c r="BQ106" s="3"/>
      <c r="BU106" s="16"/>
    </row>
    <row r="107" spans="4:73" x14ac:dyDescent="0.15">
      <c r="D107" s="1"/>
      <c r="E107"/>
      <c r="AV107" s="6"/>
      <c r="BJ107" s="16"/>
      <c r="BK107" s="16"/>
      <c r="BM107" s="16"/>
      <c r="BQ107" s="3"/>
      <c r="BU107" s="16"/>
    </row>
    <row r="108" spans="4:73" x14ac:dyDescent="0.15">
      <c r="D108" s="1"/>
      <c r="E108"/>
      <c r="AV108" s="6"/>
      <c r="BJ108" s="16"/>
      <c r="BK108" s="16"/>
      <c r="BM108" s="16"/>
      <c r="BQ108" s="3"/>
      <c r="BU108" s="16"/>
    </row>
    <row r="109" spans="4:73" x14ac:dyDescent="0.15">
      <c r="D109" s="1"/>
      <c r="E109"/>
      <c r="AV109" s="6"/>
      <c r="BJ109" s="16"/>
      <c r="BK109" s="16"/>
      <c r="BM109" s="16"/>
      <c r="BQ109" s="3"/>
      <c r="BU109" s="16"/>
    </row>
    <row r="110" spans="4:73" x14ac:dyDescent="0.15">
      <c r="D110" s="1"/>
      <c r="E110"/>
      <c r="AV110" s="6"/>
      <c r="BJ110" s="16"/>
      <c r="BK110" s="16"/>
      <c r="BM110" s="16"/>
      <c r="BQ110" s="3"/>
      <c r="BU110" s="16"/>
    </row>
    <row r="111" spans="4:73" x14ac:dyDescent="0.15">
      <c r="D111" s="1"/>
      <c r="E111"/>
      <c r="AV111" s="6"/>
      <c r="BJ111" s="16"/>
      <c r="BK111" s="16"/>
      <c r="BM111" s="16"/>
      <c r="BQ111" s="3"/>
      <c r="BU111" s="16"/>
    </row>
    <row r="112" spans="4:73" x14ac:dyDescent="0.15">
      <c r="D112" s="1"/>
      <c r="E112"/>
      <c r="AV112" s="6"/>
      <c r="BJ112" s="16"/>
      <c r="BK112" s="16"/>
      <c r="BM112" s="16"/>
      <c r="BQ112" s="3"/>
      <c r="BU112" s="16"/>
    </row>
    <row r="113" spans="4:73" x14ac:dyDescent="0.15">
      <c r="D113" s="1"/>
      <c r="E113"/>
      <c r="AV113" s="6"/>
      <c r="BJ113" s="16"/>
      <c r="BK113" s="16"/>
      <c r="BM113" s="16"/>
      <c r="BQ113" s="3"/>
      <c r="BU113" s="16"/>
    </row>
    <row r="114" spans="4:73" x14ac:dyDescent="0.15">
      <c r="D114" s="1"/>
      <c r="E114"/>
      <c r="AV114" s="6"/>
      <c r="BJ114" s="16"/>
      <c r="BK114" s="16"/>
      <c r="BM114" s="16"/>
      <c r="BQ114" s="3"/>
      <c r="BU114" s="16"/>
    </row>
    <row r="115" spans="4:73" x14ac:dyDescent="0.15">
      <c r="D115" s="1"/>
      <c r="E115"/>
      <c r="AV115" s="6"/>
      <c r="BJ115" s="16"/>
      <c r="BK115" s="16"/>
      <c r="BM115" s="16"/>
      <c r="BQ115" s="3"/>
      <c r="BR115" s="6"/>
      <c r="BU115" s="16"/>
    </row>
    <row r="116" spans="4:73" x14ac:dyDescent="0.15">
      <c r="D116" s="1"/>
      <c r="E116"/>
      <c r="AV116" s="6"/>
      <c r="BJ116" s="16"/>
      <c r="BK116" s="16"/>
      <c r="BM116" s="16"/>
      <c r="BQ116" s="3"/>
      <c r="BU116" s="16"/>
    </row>
    <row r="117" spans="4:73" ht="14.25" customHeight="1" x14ac:dyDescent="0.15">
      <c r="I117" s="20"/>
      <c r="J117" s="21"/>
      <c r="K117" s="22"/>
      <c r="L117" s="22"/>
      <c r="AW117" s="6"/>
      <c r="BK117" s="15"/>
      <c r="BL117" s="15"/>
      <c r="BN117" s="15"/>
    </row>
    <row r="118" spans="4:73" x14ac:dyDescent="0.15">
      <c r="I118" s="20"/>
      <c r="J118" s="21"/>
      <c r="K118" s="22"/>
      <c r="L118" s="22"/>
      <c r="AW118" s="6"/>
      <c r="BK118" s="15"/>
      <c r="BL118" s="15"/>
      <c r="BN118" s="15"/>
    </row>
    <row r="119" spans="4:73" x14ac:dyDescent="0.15">
      <c r="I119" s="20"/>
      <c r="J119" s="21"/>
      <c r="K119" s="22"/>
      <c r="L119" s="22"/>
      <c r="AW119" s="6"/>
      <c r="BK119" s="15"/>
      <c r="BL119" s="15"/>
      <c r="BN119" s="16"/>
    </row>
    <row r="120" spans="4:73" x14ac:dyDescent="0.15">
      <c r="I120" s="20"/>
      <c r="J120" s="21"/>
      <c r="K120" s="22"/>
      <c r="L120" s="22"/>
      <c r="AW120" s="6"/>
      <c r="BK120" s="15"/>
      <c r="BL120" s="15"/>
      <c r="BN120" s="16"/>
    </row>
    <row r="121" spans="4:73" x14ac:dyDescent="0.15">
      <c r="I121" s="20"/>
      <c r="J121" s="21"/>
      <c r="K121" s="22"/>
      <c r="L121" s="22"/>
      <c r="AW121" s="6"/>
      <c r="BK121" s="15"/>
      <c r="BL121" s="15"/>
      <c r="BN121" s="16"/>
    </row>
    <row r="122" spans="4:73" x14ac:dyDescent="0.15">
      <c r="I122" s="20"/>
      <c r="J122" s="21"/>
      <c r="K122" s="22"/>
      <c r="L122" s="22"/>
      <c r="AW122" s="6"/>
      <c r="BK122" s="15"/>
      <c r="BL122" s="15"/>
      <c r="BN122" s="16"/>
    </row>
    <row r="123" spans="4:73" x14ac:dyDescent="0.15">
      <c r="I123" s="20"/>
      <c r="J123" s="21"/>
      <c r="K123" s="22"/>
      <c r="L123" s="22"/>
      <c r="AW123" s="6"/>
      <c r="BK123" s="15"/>
      <c r="BL123" s="15"/>
      <c r="BN123" s="16"/>
    </row>
    <row r="124" spans="4:73" x14ac:dyDescent="0.15">
      <c r="I124" s="20"/>
      <c r="J124" s="21"/>
      <c r="K124" s="22"/>
      <c r="L124" s="22"/>
      <c r="AW124" s="6"/>
      <c r="BK124" s="15"/>
      <c r="BL124" s="15"/>
      <c r="BN124" s="16"/>
    </row>
    <row r="125" spans="4:73" x14ac:dyDescent="0.15">
      <c r="I125" s="20"/>
      <c r="J125" s="21"/>
      <c r="K125" s="22"/>
      <c r="L125" s="22"/>
      <c r="AW125" s="6"/>
      <c r="BK125" s="15"/>
      <c r="BL125" s="15"/>
      <c r="BN125" s="16"/>
    </row>
    <row r="126" spans="4:73" x14ac:dyDescent="0.15">
      <c r="I126" s="20"/>
      <c r="J126" s="21"/>
      <c r="K126" s="22"/>
      <c r="L126" s="22"/>
      <c r="AW126" s="6"/>
      <c r="BK126" s="15"/>
      <c r="BL126" s="15"/>
      <c r="BN126" s="16"/>
    </row>
    <row r="127" spans="4:73" x14ac:dyDescent="0.15">
      <c r="I127" s="20"/>
      <c r="J127" s="21"/>
      <c r="K127" s="22"/>
      <c r="L127" s="22"/>
      <c r="AW127" s="6"/>
      <c r="BK127" s="15"/>
      <c r="BL127" s="15"/>
      <c r="BN127" s="16"/>
    </row>
    <row r="128" spans="4:73" x14ac:dyDescent="0.15">
      <c r="I128" s="20"/>
      <c r="J128" s="21"/>
      <c r="K128" s="22"/>
      <c r="L128" s="22"/>
      <c r="AW128" s="6"/>
      <c r="BK128" s="15"/>
      <c r="BL128" s="15"/>
      <c r="BN128" s="16"/>
    </row>
    <row r="129" spans="9:66" x14ac:dyDescent="0.15">
      <c r="I129" s="20"/>
      <c r="J129" s="21"/>
      <c r="K129" s="22"/>
      <c r="L129" s="22"/>
      <c r="AW129" s="6"/>
      <c r="BK129" s="15"/>
      <c r="BL129" s="15"/>
      <c r="BN129" s="16"/>
    </row>
    <row r="130" spans="9:66" x14ac:dyDescent="0.15">
      <c r="I130" s="20"/>
      <c r="J130" s="21"/>
      <c r="K130" s="22"/>
      <c r="L130" s="22"/>
      <c r="AW130" s="6"/>
      <c r="BK130" s="16"/>
      <c r="BL130" s="16"/>
      <c r="BN130" s="16"/>
    </row>
    <row r="131" spans="9:66" x14ac:dyDescent="0.15">
      <c r="I131" s="20"/>
      <c r="J131" s="21"/>
      <c r="K131" s="22"/>
      <c r="L131" s="22"/>
      <c r="AW131" s="6"/>
      <c r="BK131" s="16"/>
      <c r="BL131" s="16"/>
      <c r="BN131" s="16"/>
    </row>
    <row r="132" spans="9:66" x14ac:dyDescent="0.15">
      <c r="I132" s="20"/>
      <c r="J132" s="21"/>
      <c r="K132" s="22"/>
      <c r="L132" s="22"/>
      <c r="Z132" s="6"/>
      <c r="AW132" s="6"/>
      <c r="BK132" s="16"/>
      <c r="BL132" s="16"/>
      <c r="BN132" s="16"/>
    </row>
    <row r="133" spans="9:66" x14ac:dyDescent="0.15">
      <c r="I133" s="20"/>
      <c r="J133" s="21"/>
      <c r="K133" s="22"/>
      <c r="L133" s="22"/>
      <c r="AW133" s="6"/>
      <c r="BK133" s="16"/>
      <c r="BL133" s="16"/>
      <c r="BN133" s="16"/>
    </row>
    <row r="134" spans="9:66" x14ac:dyDescent="0.15">
      <c r="I134" s="20"/>
      <c r="J134" s="21"/>
      <c r="K134" s="22"/>
      <c r="L134" s="22"/>
      <c r="AW134" s="6"/>
      <c r="BK134" s="16"/>
      <c r="BL134" s="16"/>
      <c r="BN134" s="16"/>
    </row>
    <row r="135" spans="9:66" x14ac:dyDescent="0.15">
      <c r="I135" s="20"/>
      <c r="J135" s="21"/>
      <c r="K135" s="22"/>
      <c r="L135" s="22"/>
      <c r="AW135" s="6"/>
      <c r="BK135" s="16"/>
      <c r="BL135" s="16"/>
      <c r="BN135" s="16"/>
    </row>
    <row r="136" spans="9:66" x14ac:dyDescent="0.15">
      <c r="I136" s="20"/>
      <c r="J136" s="21"/>
      <c r="K136" s="22"/>
      <c r="L136" s="22"/>
      <c r="AW136" s="6"/>
      <c r="BK136" s="16"/>
      <c r="BL136" s="16"/>
      <c r="BN136" s="16"/>
    </row>
    <row r="137" spans="9:66" x14ac:dyDescent="0.15">
      <c r="I137" s="20"/>
      <c r="J137" s="21"/>
      <c r="K137" s="22"/>
      <c r="L137" s="22"/>
      <c r="AW137" s="6"/>
      <c r="BK137" s="16"/>
      <c r="BL137" s="16"/>
      <c r="BN137" s="16"/>
    </row>
    <row r="138" spans="9:66" x14ac:dyDescent="0.15">
      <c r="J138" s="11"/>
      <c r="M138" s="19"/>
      <c r="AW138" s="6"/>
      <c r="BK138" s="16"/>
      <c r="BL138" s="16"/>
      <c r="BN138" s="15"/>
    </row>
    <row r="139" spans="9:66" x14ac:dyDescent="0.15">
      <c r="J139" s="11"/>
      <c r="AW139" s="6"/>
      <c r="BK139" s="16"/>
      <c r="BL139" s="16"/>
      <c r="BN139" s="15"/>
    </row>
    <row r="140" spans="9:66" x14ac:dyDescent="0.15">
      <c r="J140" s="11"/>
      <c r="AW140" s="6"/>
      <c r="BK140" s="16"/>
      <c r="BL140" s="16"/>
      <c r="BN140" s="15"/>
    </row>
    <row r="141" spans="9:66" x14ac:dyDescent="0.15">
      <c r="J141" s="11"/>
      <c r="AW141" s="6"/>
      <c r="BK141" s="16"/>
      <c r="BL141" s="16"/>
      <c r="BN141" s="15"/>
    </row>
    <row r="142" spans="9:66" x14ac:dyDescent="0.15">
      <c r="J142" s="11"/>
      <c r="M142" s="19"/>
      <c r="AW142" s="6"/>
      <c r="BK142" s="16"/>
      <c r="BL142" s="16"/>
      <c r="BN142" s="15"/>
    </row>
    <row r="143" spans="9:66" x14ac:dyDescent="0.15">
      <c r="J143" s="11"/>
      <c r="AW143" s="6"/>
      <c r="BK143" s="16"/>
      <c r="BL143" s="16"/>
      <c r="BN143" s="15"/>
    </row>
    <row r="144" spans="9:66" x14ac:dyDescent="0.15">
      <c r="J144" s="11"/>
      <c r="AW144" s="6"/>
      <c r="BK144" s="16"/>
      <c r="BL144" s="16"/>
      <c r="BN144" s="15"/>
    </row>
    <row r="145" spans="10:66" x14ac:dyDescent="0.15">
      <c r="J145" s="11"/>
      <c r="AW145" s="6"/>
      <c r="BK145" s="16"/>
      <c r="BL145" s="16"/>
      <c r="BN145" s="15"/>
    </row>
    <row r="146" spans="10:66" x14ac:dyDescent="0.15">
      <c r="J146" s="11"/>
      <c r="AW146" s="6"/>
      <c r="BK146" s="16"/>
      <c r="BL146" s="16"/>
      <c r="BN146" s="15"/>
    </row>
    <row r="147" spans="10:66" x14ac:dyDescent="0.15">
      <c r="J147" s="11"/>
      <c r="M147" s="19"/>
      <c r="AW147" s="6"/>
      <c r="BK147" s="16"/>
      <c r="BL147" s="16"/>
      <c r="BN147" s="15"/>
    </row>
    <row r="148" spans="10:66" x14ac:dyDescent="0.15">
      <c r="J148" s="11"/>
      <c r="AW148" s="6"/>
      <c r="BK148" s="16"/>
      <c r="BL148" s="16"/>
      <c r="BN148" s="15"/>
    </row>
    <row r="149" spans="10:66" x14ac:dyDescent="0.15">
      <c r="J149" s="11"/>
      <c r="AW149" s="6"/>
      <c r="BK149" s="16"/>
      <c r="BL149" s="16"/>
      <c r="BN149" s="15"/>
    </row>
    <row r="150" spans="10:66" x14ac:dyDescent="0.15">
      <c r="J150" s="11"/>
      <c r="AW150" s="6"/>
      <c r="BK150" s="16"/>
      <c r="BL150" s="16"/>
      <c r="BN150" s="15"/>
    </row>
    <row r="151" spans="10:66" x14ac:dyDescent="0.15">
      <c r="J151" s="11"/>
      <c r="M151" s="19"/>
      <c r="AW151" s="6"/>
      <c r="BK151" s="16"/>
      <c r="BL151" s="16"/>
      <c r="BN151" s="15"/>
    </row>
    <row r="152" spans="10:66" x14ac:dyDescent="0.15">
      <c r="J152" s="11"/>
      <c r="M152" s="19"/>
      <c r="AW152" s="6"/>
      <c r="BK152" s="16"/>
      <c r="BL152" s="16"/>
      <c r="BN152" s="16"/>
    </row>
    <row r="153" spans="10:66" x14ac:dyDescent="0.15">
      <c r="J153" s="11"/>
      <c r="M153" s="19"/>
      <c r="AW153" s="6"/>
      <c r="BK153" s="16"/>
      <c r="BL153" s="16"/>
      <c r="BN153" s="16"/>
    </row>
    <row r="154" spans="10:66" x14ac:dyDescent="0.15">
      <c r="J154" s="11"/>
      <c r="M154" s="19"/>
      <c r="AW154" s="6"/>
      <c r="BK154" s="16"/>
      <c r="BL154" s="16"/>
      <c r="BN154" s="16"/>
    </row>
    <row r="155" spans="10:66" x14ac:dyDescent="0.15">
      <c r="J155" s="11"/>
      <c r="AW155" s="6"/>
      <c r="BK155" s="16"/>
      <c r="BL155" s="16"/>
      <c r="BN155" s="16"/>
    </row>
    <row r="156" spans="10:66" x14ac:dyDescent="0.15">
      <c r="J156" s="11"/>
      <c r="AW156" s="6"/>
      <c r="BK156" s="15"/>
      <c r="BL156" s="15"/>
      <c r="BN156" s="16"/>
    </row>
    <row r="157" spans="10:66" x14ac:dyDescent="0.15">
      <c r="J157" s="11"/>
      <c r="M157" s="19"/>
      <c r="AW157" s="6"/>
      <c r="BK157" s="16"/>
      <c r="BL157" s="16"/>
      <c r="BN157" s="16"/>
    </row>
    <row r="158" spans="10:66" x14ac:dyDescent="0.15">
      <c r="J158" s="11"/>
      <c r="AW158" s="6"/>
      <c r="BK158" s="16"/>
      <c r="BL158" s="16"/>
      <c r="BN158" s="16"/>
    </row>
    <row r="159" spans="10:66" x14ac:dyDescent="0.15">
      <c r="J159" s="11"/>
      <c r="AW159" s="6"/>
      <c r="BK159" s="16"/>
      <c r="BL159" s="16"/>
      <c r="BN159" s="16"/>
    </row>
    <row r="160" spans="10:66" x14ac:dyDescent="0.15">
      <c r="J160" s="11"/>
      <c r="AW160" s="6"/>
      <c r="BK160" s="16"/>
      <c r="BL160" s="16"/>
      <c r="BN160" s="16"/>
    </row>
    <row r="161" spans="10:66" x14ac:dyDescent="0.15">
      <c r="J161" s="11"/>
      <c r="M161" s="19"/>
      <c r="AW161" s="6"/>
      <c r="BK161" s="16"/>
      <c r="BL161" s="16"/>
      <c r="BN161" s="16"/>
    </row>
    <row r="162" spans="10:66" x14ac:dyDescent="0.15">
      <c r="J162" s="11"/>
      <c r="AW162" s="6"/>
      <c r="BK162" s="15"/>
      <c r="BL162" s="15"/>
      <c r="BN162" s="16"/>
    </row>
    <row r="163" spans="10:66" x14ac:dyDescent="0.15">
      <c r="J163" s="11"/>
      <c r="AW163" s="6"/>
      <c r="BK163" s="15"/>
      <c r="BL163" s="15"/>
      <c r="BN163" s="16"/>
    </row>
    <row r="164" spans="10:66" x14ac:dyDescent="0.15">
      <c r="J164" s="11"/>
      <c r="AW164" s="6"/>
      <c r="BK164" s="15"/>
      <c r="BL164" s="15"/>
      <c r="BN164" s="16"/>
    </row>
    <row r="165" spans="10:66" x14ac:dyDescent="0.15">
      <c r="J165" s="11"/>
      <c r="M165" s="19"/>
      <c r="AW165" s="6"/>
      <c r="BK165" s="15"/>
      <c r="BL165" s="15"/>
      <c r="BN165" s="16"/>
    </row>
    <row r="166" spans="10:66" x14ac:dyDescent="0.15">
      <c r="J166" s="11"/>
      <c r="M166" s="19"/>
      <c r="AW166" s="6"/>
      <c r="BK166" s="15"/>
      <c r="BL166" s="15"/>
      <c r="BN166" s="16"/>
    </row>
    <row r="167" spans="10:66" x14ac:dyDescent="0.15">
      <c r="J167" s="11"/>
      <c r="AW167" s="6"/>
      <c r="BK167" s="15"/>
      <c r="BL167" s="15"/>
      <c r="BN167" s="16"/>
    </row>
    <row r="168" spans="10:66" x14ac:dyDescent="0.15">
      <c r="J168" s="11"/>
      <c r="AW168" s="6"/>
      <c r="BK168" s="15"/>
      <c r="BL168" s="15"/>
      <c r="BN168" s="16"/>
    </row>
    <row r="169" spans="10:66" x14ac:dyDescent="0.15">
      <c r="J169" s="11"/>
      <c r="AW169" s="6"/>
      <c r="BK169" s="15"/>
      <c r="BL169" s="15"/>
      <c r="BN169" s="16"/>
    </row>
    <row r="170" spans="10:66" x14ac:dyDescent="0.15">
      <c r="J170" s="11"/>
      <c r="AW170" s="6"/>
      <c r="BK170" s="15"/>
      <c r="BL170" s="15"/>
      <c r="BN170" s="16"/>
    </row>
    <row r="171" spans="10:66" x14ac:dyDescent="0.15">
      <c r="J171" s="11"/>
      <c r="AW171" s="6"/>
      <c r="BK171" s="15"/>
      <c r="BL171" s="15"/>
      <c r="BN171" s="15"/>
    </row>
    <row r="172" spans="10:66" x14ac:dyDescent="0.15">
      <c r="J172" s="11"/>
      <c r="AW172" s="6"/>
      <c r="BK172" s="15"/>
      <c r="BL172" s="15"/>
      <c r="BN172" s="15"/>
    </row>
    <row r="173" spans="10:66" x14ac:dyDescent="0.15">
      <c r="J173" s="11"/>
      <c r="AW173" s="6"/>
      <c r="BK173" s="15"/>
      <c r="BL173" s="15"/>
      <c r="BN173" s="15"/>
    </row>
    <row r="174" spans="10:66" x14ac:dyDescent="0.15">
      <c r="J174" s="11"/>
      <c r="AW174" s="6"/>
      <c r="BK174" s="15"/>
      <c r="BL174" s="15"/>
      <c r="BN174" s="15"/>
    </row>
    <row r="175" spans="10:66" x14ac:dyDescent="0.15">
      <c r="J175" s="11"/>
      <c r="AW175" s="6"/>
      <c r="BK175" s="16"/>
      <c r="BL175" s="16"/>
      <c r="BN175" s="15"/>
    </row>
    <row r="176" spans="10:66" x14ac:dyDescent="0.15">
      <c r="J176" s="11"/>
      <c r="AW176" s="6"/>
      <c r="BK176" s="16"/>
      <c r="BL176" s="16"/>
      <c r="BN176" s="15"/>
    </row>
    <row r="177" spans="10:66" x14ac:dyDescent="0.15">
      <c r="J177" s="11"/>
      <c r="AW177" s="6"/>
      <c r="BK177" s="16"/>
      <c r="BL177" s="16"/>
      <c r="BN177" s="15"/>
    </row>
    <row r="178" spans="10:66" x14ac:dyDescent="0.15">
      <c r="J178" s="11"/>
      <c r="AW178" s="6"/>
      <c r="BK178" s="16"/>
      <c r="BL178" s="16"/>
      <c r="BN178" s="15"/>
    </row>
    <row r="179" spans="10:66" x14ac:dyDescent="0.15">
      <c r="J179" s="11"/>
      <c r="AW179" s="6"/>
      <c r="BK179" s="16"/>
      <c r="BL179" s="16"/>
      <c r="BN179" s="15"/>
    </row>
    <row r="180" spans="10:66" x14ac:dyDescent="0.15">
      <c r="J180" s="11"/>
      <c r="AW180" s="6"/>
      <c r="BK180" s="16"/>
      <c r="BL180" s="16"/>
      <c r="BN180" s="15"/>
    </row>
    <row r="181" spans="10:66" x14ac:dyDescent="0.15">
      <c r="J181" s="11"/>
      <c r="AW181" s="6"/>
      <c r="BK181" s="16"/>
      <c r="BL181" s="16"/>
      <c r="BN181" s="15"/>
    </row>
    <row r="182" spans="10:66" x14ac:dyDescent="0.15">
      <c r="J182" s="11"/>
      <c r="AW182" s="6"/>
      <c r="BK182" s="16"/>
      <c r="BL182" s="16"/>
      <c r="BN182" s="15"/>
    </row>
    <row r="183" spans="10:66" x14ac:dyDescent="0.15">
      <c r="J183" s="11"/>
      <c r="AW183" s="6"/>
      <c r="BK183" s="16"/>
      <c r="BL183" s="16"/>
      <c r="BN183" s="15"/>
    </row>
    <row r="184" spans="10:66" x14ac:dyDescent="0.15">
      <c r="J184" s="11"/>
      <c r="AW184" s="6"/>
      <c r="BK184" s="16"/>
      <c r="BL184" s="16"/>
      <c r="BN184" s="15"/>
    </row>
    <row r="185" spans="10:66" x14ac:dyDescent="0.15">
      <c r="J185" s="11"/>
      <c r="AW185" s="6"/>
      <c r="BK185" s="16"/>
      <c r="BL185" s="16"/>
      <c r="BN185" s="16"/>
    </row>
    <row r="186" spans="10:66" x14ac:dyDescent="0.15">
      <c r="J186" s="11"/>
      <c r="AW186" s="6"/>
      <c r="BK186" s="16"/>
      <c r="BL186" s="16"/>
      <c r="BN186" s="16"/>
    </row>
    <row r="187" spans="10:66" x14ac:dyDescent="0.15">
      <c r="J187" s="11"/>
      <c r="Y187" s="6"/>
      <c r="AW187" s="6"/>
      <c r="BK187" s="16"/>
      <c r="BL187" s="16"/>
      <c r="BN187" s="16"/>
    </row>
    <row r="188" spans="10:66" x14ac:dyDescent="0.15">
      <c r="J188" s="11"/>
      <c r="AW188" s="6"/>
      <c r="BK188" s="16"/>
      <c r="BL188" s="16"/>
      <c r="BN188" s="16"/>
    </row>
    <row r="189" spans="10:66" x14ac:dyDescent="0.15">
      <c r="J189" s="11"/>
      <c r="AW189" s="6"/>
      <c r="BK189" s="16"/>
      <c r="BL189" s="16"/>
      <c r="BN189" s="16"/>
    </row>
    <row r="190" spans="10:66" x14ac:dyDescent="0.15">
      <c r="J190" s="11"/>
      <c r="AW190" s="6"/>
      <c r="BK190" s="16"/>
      <c r="BL190" s="16"/>
      <c r="BN190" s="16"/>
    </row>
    <row r="191" spans="10:66" x14ac:dyDescent="0.15">
      <c r="J191" s="11"/>
      <c r="AW191" s="6"/>
      <c r="BK191" s="16"/>
      <c r="BL191" s="16"/>
      <c r="BN191" s="16"/>
    </row>
    <row r="192" spans="10:66" x14ac:dyDescent="0.15">
      <c r="J192" s="11"/>
      <c r="AW192" s="6"/>
      <c r="BK192" s="15"/>
      <c r="BL192" s="15"/>
      <c r="BN192" s="16"/>
    </row>
    <row r="193" spans="9:66" ht="13.9" customHeight="1" x14ac:dyDescent="0.15">
      <c r="J193" s="11"/>
      <c r="AW193" s="6"/>
      <c r="BK193" s="16"/>
      <c r="BL193" s="16"/>
      <c r="BN193" s="16"/>
    </row>
    <row r="194" spans="9:66" ht="18" customHeight="1" x14ac:dyDescent="0.15">
      <c r="J194" s="11"/>
      <c r="AW194" s="6"/>
      <c r="BK194" s="16"/>
      <c r="BL194" s="16"/>
      <c r="BN194" s="16"/>
    </row>
    <row r="195" spans="9:66" x14ac:dyDescent="0.15">
      <c r="J195" s="11"/>
      <c r="AW195" s="6"/>
      <c r="BK195" s="16"/>
      <c r="BL195" s="16"/>
      <c r="BN195" s="16"/>
    </row>
    <row r="196" spans="9:66" x14ac:dyDescent="0.15">
      <c r="J196" s="11"/>
      <c r="AW196" s="6"/>
      <c r="BK196" s="16"/>
      <c r="BL196" s="16"/>
      <c r="BN196" s="16"/>
    </row>
    <row r="197" spans="9:66" ht="30" customHeight="1" x14ac:dyDescent="0.15">
      <c r="J197" s="11"/>
      <c r="AW197" s="6"/>
      <c r="BK197" s="16"/>
      <c r="BL197" s="16"/>
      <c r="BN197" s="16"/>
    </row>
    <row r="198" spans="9:66" x14ac:dyDescent="0.15">
      <c r="J198" s="11"/>
      <c r="AW198" s="6"/>
      <c r="BK198" s="16"/>
      <c r="BL198" s="16"/>
      <c r="BN198" s="16"/>
    </row>
    <row r="199" spans="9:66" x14ac:dyDescent="0.15">
      <c r="J199" s="11"/>
      <c r="AW199" s="6"/>
      <c r="BK199" s="16"/>
      <c r="BL199" s="16"/>
      <c r="BN199" s="16"/>
    </row>
    <row r="200" spans="9:66" x14ac:dyDescent="0.15">
      <c r="J200" s="11"/>
      <c r="AW200" s="6"/>
      <c r="BK200" s="16"/>
      <c r="BL200" s="16"/>
      <c r="BN200" s="16"/>
    </row>
    <row r="201" spans="9:66" ht="30" customHeight="1" x14ac:dyDescent="0.15">
      <c r="J201" s="11"/>
      <c r="AW201" s="6"/>
      <c r="BK201" s="16"/>
      <c r="BL201" s="16"/>
      <c r="BN201" s="16"/>
    </row>
    <row r="202" spans="9:66" x14ac:dyDescent="0.15">
      <c r="J202" s="11"/>
      <c r="AW202" s="6"/>
      <c r="BK202" s="16"/>
      <c r="BL202" s="16"/>
      <c r="BN202" s="16"/>
    </row>
    <row r="203" spans="9:66" x14ac:dyDescent="0.15">
      <c r="J203" s="11"/>
      <c r="AW203" s="6"/>
      <c r="BK203" s="16"/>
      <c r="BL203" s="16"/>
      <c r="BN203" s="16"/>
    </row>
    <row r="204" spans="9:66" x14ac:dyDescent="0.15">
      <c r="I204" s="20"/>
      <c r="J204" s="21"/>
      <c r="K204" s="22"/>
      <c r="L204" s="22"/>
      <c r="AW204" s="6"/>
      <c r="BK204" s="16"/>
      <c r="BL204" s="16"/>
      <c r="BN204" s="15"/>
    </row>
    <row r="205" spans="9:66" x14ac:dyDescent="0.15">
      <c r="I205" s="20"/>
      <c r="J205" s="21"/>
      <c r="K205" s="22"/>
      <c r="L205" s="22"/>
      <c r="AW205" s="6"/>
      <c r="BK205" s="16"/>
      <c r="BL205" s="16"/>
      <c r="BN205" s="15"/>
    </row>
    <row r="206" spans="9:66" x14ac:dyDescent="0.15">
      <c r="I206" s="20"/>
      <c r="J206" s="21"/>
      <c r="K206" s="22"/>
      <c r="L206" s="22"/>
      <c r="AW206" s="6"/>
      <c r="BK206" s="16"/>
      <c r="BL206" s="16"/>
      <c r="BN206" s="15"/>
    </row>
    <row r="207" spans="9:66" x14ac:dyDescent="0.15">
      <c r="I207" s="20"/>
      <c r="J207" s="21"/>
      <c r="K207" s="22"/>
      <c r="L207" s="22"/>
      <c r="AW207" s="6"/>
      <c r="BK207" s="16"/>
      <c r="BL207" s="16"/>
      <c r="BN207" s="15"/>
    </row>
    <row r="208" spans="9:66" x14ac:dyDescent="0.15">
      <c r="I208" s="20"/>
      <c r="J208" s="21"/>
      <c r="K208" s="22"/>
      <c r="L208" s="22"/>
      <c r="AW208" s="6"/>
      <c r="BK208" s="16"/>
      <c r="BL208" s="16"/>
      <c r="BN208" s="15"/>
    </row>
    <row r="209" spans="9:66" x14ac:dyDescent="0.15">
      <c r="I209" s="20"/>
      <c r="J209" s="21"/>
      <c r="K209" s="22"/>
      <c r="L209" s="22"/>
      <c r="AW209" s="6"/>
      <c r="BK209" s="16"/>
      <c r="BL209" s="16"/>
      <c r="BN209" s="15"/>
    </row>
    <row r="210" spans="9:66" x14ac:dyDescent="0.15">
      <c r="I210" s="20"/>
      <c r="J210" s="21"/>
      <c r="K210" s="22"/>
      <c r="L210" s="22"/>
      <c r="AW210" s="6"/>
      <c r="BK210" s="16"/>
      <c r="BL210" s="16"/>
      <c r="BN210" s="15"/>
    </row>
    <row r="211" spans="9:66" x14ac:dyDescent="0.15">
      <c r="I211" s="20"/>
      <c r="J211" s="21"/>
      <c r="K211" s="22"/>
      <c r="L211" s="22"/>
      <c r="AW211" s="6"/>
      <c r="BK211" s="16"/>
      <c r="BL211" s="16"/>
      <c r="BN211" s="15"/>
    </row>
    <row r="212" spans="9:66" x14ac:dyDescent="0.15">
      <c r="I212" s="20"/>
      <c r="J212" s="21"/>
      <c r="K212" s="22"/>
      <c r="L212" s="22"/>
      <c r="AW212" s="6"/>
      <c r="BK212" s="16"/>
      <c r="BL212" s="16"/>
      <c r="BN212" s="15"/>
    </row>
    <row r="213" spans="9:66" x14ac:dyDescent="0.15">
      <c r="I213" s="20"/>
      <c r="J213" s="21"/>
      <c r="K213" s="22"/>
      <c r="L213" s="22"/>
      <c r="AW213" s="6"/>
      <c r="BK213" s="16"/>
      <c r="BL213" s="16"/>
      <c r="BN213" s="15"/>
    </row>
    <row r="214" spans="9:66" x14ac:dyDescent="0.15">
      <c r="I214" s="20"/>
      <c r="J214" s="21"/>
      <c r="K214" s="22"/>
      <c r="L214" s="22"/>
      <c r="AW214" s="6"/>
      <c r="BK214" s="16"/>
      <c r="BL214" s="16"/>
      <c r="BN214" s="15"/>
    </row>
    <row r="215" spans="9:66" x14ac:dyDescent="0.15">
      <c r="I215" s="20"/>
      <c r="J215" s="21"/>
      <c r="K215" s="22"/>
      <c r="L215" s="22"/>
      <c r="AW215" s="6"/>
      <c r="BK215" s="16"/>
      <c r="BL215" s="16"/>
      <c r="BN215" s="15"/>
    </row>
    <row r="216" spans="9:66" x14ac:dyDescent="0.15">
      <c r="I216" s="20"/>
      <c r="J216" s="21"/>
      <c r="K216" s="22"/>
      <c r="L216" s="22"/>
      <c r="AW216" s="6"/>
      <c r="BK216" s="16"/>
      <c r="BL216" s="16"/>
      <c r="BN216" s="15"/>
    </row>
    <row r="217" spans="9:66" x14ac:dyDescent="0.15">
      <c r="I217" s="20"/>
      <c r="J217" s="21"/>
      <c r="K217" s="22"/>
      <c r="L217" s="22"/>
      <c r="AW217" s="6"/>
      <c r="BK217" s="16"/>
      <c r="BL217" s="16"/>
      <c r="BN217" s="15"/>
    </row>
    <row r="218" spans="9:66" x14ac:dyDescent="0.15">
      <c r="I218" s="20"/>
      <c r="J218" s="21"/>
      <c r="K218" s="22"/>
      <c r="L218" s="22"/>
      <c r="AW218" s="6"/>
      <c r="BK218" s="16"/>
      <c r="BL218" s="16"/>
      <c r="BN218" s="16"/>
    </row>
    <row r="219" spans="9:66" x14ac:dyDescent="0.15">
      <c r="I219" s="20"/>
      <c r="J219" s="21"/>
      <c r="K219" s="22"/>
      <c r="L219" s="22"/>
      <c r="AW219" s="6"/>
      <c r="BK219" s="16"/>
      <c r="BL219" s="16"/>
      <c r="BN219" s="16"/>
    </row>
    <row r="220" spans="9:66" x14ac:dyDescent="0.15">
      <c r="I220" s="20"/>
      <c r="J220" s="21"/>
      <c r="K220" s="22"/>
      <c r="L220" s="22"/>
      <c r="AW220" s="6"/>
      <c r="BK220" s="16"/>
      <c r="BL220" s="16"/>
      <c r="BN220" s="16"/>
    </row>
    <row r="221" spans="9:66" x14ac:dyDescent="0.15">
      <c r="I221" s="20"/>
      <c r="J221" s="21"/>
      <c r="K221" s="22"/>
      <c r="L221" s="22"/>
      <c r="AW221" s="6"/>
      <c r="BK221" s="16"/>
      <c r="BL221" s="16"/>
      <c r="BN221" s="16"/>
    </row>
    <row r="222" spans="9:66" x14ac:dyDescent="0.15">
      <c r="I222" s="20"/>
      <c r="J222" s="21"/>
      <c r="K222" s="22"/>
      <c r="L222" s="22"/>
      <c r="AW222" s="6"/>
      <c r="BN222" s="16"/>
    </row>
    <row r="223" spans="9:66" x14ac:dyDescent="0.15">
      <c r="I223" s="20"/>
      <c r="J223" s="21"/>
      <c r="K223" s="22"/>
      <c r="L223" s="22"/>
      <c r="AW223" s="6"/>
      <c r="BN223" s="16"/>
    </row>
    <row r="224" spans="9:66" x14ac:dyDescent="0.15">
      <c r="I224" s="20"/>
      <c r="J224" s="21"/>
      <c r="K224" s="22"/>
      <c r="L224" s="22"/>
      <c r="AW224" s="6"/>
      <c r="BN224" s="16"/>
    </row>
    <row r="225" spans="9:66" x14ac:dyDescent="0.15">
      <c r="I225" s="20"/>
      <c r="J225" s="21"/>
      <c r="K225" s="22"/>
      <c r="L225" s="22"/>
      <c r="AW225" s="6"/>
      <c r="BN225" s="16"/>
    </row>
    <row r="226" spans="9:66" x14ac:dyDescent="0.15">
      <c r="I226" s="20"/>
      <c r="J226" s="21"/>
      <c r="K226" s="22"/>
      <c r="L226" s="22"/>
      <c r="AW226" s="6"/>
      <c r="BN226" s="16"/>
    </row>
    <row r="227" spans="9:66" x14ac:dyDescent="0.15">
      <c r="I227" s="20"/>
      <c r="J227" s="21"/>
      <c r="K227" s="22"/>
      <c r="L227" s="22"/>
      <c r="AW227" s="6"/>
      <c r="BN227" s="16"/>
    </row>
    <row r="228" spans="9:66" x14ac:dyDescent="0.15">
      <c r="I228" s="20"/>
      <c r="J228" s="21"/>
      <c r="K228" s="22"/>
      <c r="L228" s="22"/>
      <c r="AW228" s="6"/>
      <c r="BN228" s="16"/>
    </row>
    <row r="229" spans="9:66" x14ac:dyDescent="0.15">
      <c r="I229" s="20"/>
      <c r="J229" s="21"/>
      <c r="K229" s="22"/>
      <c r="L229" s="22"/>
      <c r="AW229" s="6"/>
      <c r="BN229" s="16"/>
    </row>
    <row r="230" spans="9:66" x14ac:dyDescent="0.15">
      <c r="I230" s="20"/>
      <c r="J230" s="21"/>
      <c r="K230" s="22"/>
      <c r="L230" s="22"/>
      <c r="AW230" s="6"/>
      <c r="BN230" s="16"/>
    </row>
    <row r="231" spans="9:66" x14ac:dyDescent="0.15">
      <c r="I231" s="20"/>
      <c r="J231" s="21"/>
      <c r="K231" s="22"/>
      <c r="L231" s="22"/>
      <c r="Z231" s="6"/>
      <c r="AW231" s="6"/>
      <c r="BN231" s="16"/>
    </row>
    <row r="232" spans="9:66" x14ac:dyDescent="0.15">
      <c r="I232" s="20"/>
      <c r="J232" s="21"/>
      <c r="K232" s="22"/>
      <c r="L232" s="22"/>
      <c r="AW232" s="6"/>
      <c r="BN232" s="16"/>
    </row>
    <row r="233" spans="9:66" x14ac:dyDescent="0.15">
      <c r="I233" s="20"/>
      <c r="J233" s="21"/>
      <c r="K233" s="22"/>
      <c r="L233" s="22"/>
      <c r="AW233" s="6"/>
      <c r="BN233" s="16"/>
    </row>
    <row r="234" spans="9:66" x14ac:dyDescent="0.15">
      <c r="I234" s="20"/>
      <c r="J234" s="21"/>
      <c r="K234" s="22"/>
      <c r="L234" s="22"/>
      <c r="AW234" s="6"/>
      <c r="BN234" s="16"/>
    </row>
    <row r="235" spans="9:66" x14ac:dyDescent="0.15">
      <c r="I235" s="20"/>
      <c r="J235" s="21"/>
      <c r="K235" s="22"/>
      <c r="L235" s="22"/>
      <c r="AW235" s="6"/>
      <c r="BN235" s="16"/>
    </row>
    <row r="236" spans="9:66" x14ac:dyDescent="0.15">
      <c r="I236" s="20"/>
      <c r="J236" s="21"/>
      <c r="K236" s="22"/>
      <c r="L236" s="22"/>
      <c r="AW236" s="6"/>
      <c r="BN236" s="16"/>
    </row>
    <row r="237" spans="9:66" x14ac:dyDescent="0.15">
      <c r="J237" s="11"/>
      <c r="M237" s="19"/>
      <c r="AW237" s="6"/>
      <c r="BN237" s="15"/>
    </row>
    <row r="238" spans="9:66" x14ac:dyDescent="0.15">
      <c r="J238" s="11"/>
      <c r="AW238" s="6"/>
      <c r="BN238" s="15"/>
    </row>
    <row r="239" spans="9:66" x14ac:dyDescent="0.15">
      <c r="J239" s="11"/>
      <c r="AW239" s="6"/>
      <c r="BN239" s="15"/>
    </row>
    <row r="240" spans="9:66" x14ac:dyDescent="0.15">
      <c r="J240" s="11"/>
      <c r="AW240" s="6"/>
      <c r="BN240" s="15"/>
    </row>
    <row r="241" spans="10:66" x14ac:dyDescent="0.15">
      <c r="J241" s="11"/>
      <c r="M241" s="19"/>
      <c r="AW241" s="6"/>
      <c r="BN241" s="15"/>
    </row>
    <row r="242" spans="10:66" x14ac:dyDescent="0.15">
      <c r="J242" s="11"/>
      <c r="AW242" s="6"/>
      <c r="BN242" s="15"/>
    </row>
    <row r="243" spans="10:66" x14ac:dyDescent="0.15">
      <c r="J243" s="11"/>
      <c r="AW243" s="6"/>
      <c r="BN243" s="15"/>
    </row>
    <row r="244" spans="10:66" x14ac:dyDescent="0.15">
      <c r="J244" s="11"/>
      <c r="AW244" s="6"/>
      <c r="BN244" s="15"/>
    </row>
    <row r="245" spans="10:66" x14ac:dyDescent="0.15">
      <c r="J245" s="11"/>
      <c r="AW245" s="6"/>
      <c r="BN245" s="15"/>
    </row>
    <row r="246" spans="10:66" x14ac:dyDescent="0.15">
      <c r="J246" s="11"/>
      <c r="M246" s="19"/>
      <c r="AW246" s="6"/>
      <c r="BN246" s="15"/>
    </row>
    <row r="247" spans="10:66" x14ac:dyDescent="0.15">
      <c r="J247" s="11"/>
      <c r="AW247" s="6"/>
      <c r="BN247" s="15"/>
    </row>
    <row r="248" spans="10:66" x14ac:dyDescent="0.15">
      <c r="J248" s="11"/>
      <c r="AW248" s="6"/>
      <c r="BN248" s="15"/>
    </row>
    <row r="249" spans="10:66" x14ac:dyDescent="0.15">
      <c r="J249" s="11"/>
      <c r="AW249" s="6"/>
      <c r="BN249" s="15"/>
    </row>
    <row r="250" spans="10:66" x14ac:dyDescent="0.15">
      <c r="J250" s="11"/>
      <c r="M250" s="19"/>
      <c r="AW250" s="6"/>
      <c r="BN250" s="15"/>
    </row>
    <row r="251" spans="10:66" x14ac:dyDescent="0.15">
      <c r="J251" s="11"/>
      <c r="M251" s="19"/>
      <c r="AW251" s="6"/>
      <c r="BN251" s="16"/>
    </row>
    <row r="252" spans="10:66" x14ac:dyDescent="0.15">
      <c r="J252" s="11"/>
      <c r="M252" s="19"/>
      <c r="AW252" s="6"/>
      <c r="BN252" s="16"/>
    </row>
    <row r="253" spans="10:66" x14ac:dyDescent="0.15">
      <c r="J253" s="11"/>
      <c r="M253" s="19"/>
      <c r="AW253" s="6"/>
      <c r="BN253" s="16"/>
    </row>
    <row r="254" spans="10:66" x14ac:dyDescent="0.15">
      <c r="J254" s="11"/>
      <c r="AW254" s="6"/>
      <c r="BN254" s="16"/>
    </row>
    <row r="255" spans="10:66" x14ac:dyDescent="0.15">
      <c r="J255" s="11"/>
      <c r="AW255" s="6"/>
      <c r="BN255" s="16"/>
    </row>
    <row r="256" spans="10:66" x14ac:dyDescent="0.15">
      <c r="J256" s="11"/>
      <c r="M256" s="19"/>
      <c r="AW256" s="6"/>
      <c r="BN256" s="16"/>
    </row>
    <row r="257" spans="10:66" x14ac:dyDescent="0.15">
      <c r="J257" s="11"/>
      <c r="AW257" s="6"/>
      <c r="BN257" s="16"/>
    </row>
    <row r="258" spans="10:66" x14ac:dyDescent="0.15">
      <c r="J258" s="11"/>
      <c r="AW258" s="6"/>
      <c r="BN258" s="16"/>
    </row>
    <row r="259" spans="10:66" x14ac:dyDescent="0.15">
      <c r="J259" s="11"/>
      <c r="AW259" s="6"/>
      <c r="BN259" s="16"/>
    </row>
    <row r="260" spans="10:66" x14ac:dyDescent="0.15">
      <c r="J260" s="11"/>
      <c r="M260" s="19"/>
      <c r="AW260" s="6"/>
      <c r="BN260" s="16"/>
    </row>
    <row r="261" spans="10:66" x14ac:dyDescent="0.15">
      <c r="J261" s="11"/>
      <c r="AW261" s="6"/>
      <c r="BN261" s="16"/>
    </row>
    <row r="262" spans="10:66" x14ac:dyDescent="0.15">
      <c r="J262" s="11"/>
      <c r="AW262" s="6"/>
      <c r="BN262" s="16"/>
    </row>
    <row r="263" spans="10:66" x14ac:dyDescent="0.15">
      <c r="J263" s="11"/>
      <c r="AW263" s="6"/>
      <c r="BN263" s="16"/>
    </row>
    <row r="264" spans="10:66" x14ac:dyDescent="0.15">
      <c r="J264" s="11"/>
      <c r="M264" s="19"/>
      <c r="AW264" s="6"/>
      <c r="BN264" s="16"/>
    </row>
    <row r="265" spans="10:66" x14ac:dyDescent="0.15">
      <c r="J265" s="11"/>
      <c r="M265" s="19"/>
      <c r="AW265" s="6"/>
      <c r="BN265" s="16"/>
    </row>
    <row r="266" spans="10:66" x14ac:dyDescent="0.15">
      <c r="J266" s="11"/>
      <c r="AW266" s="6"/>
      <c r="BN266" s="16"/>
    </row>
    <row r="267" spans="10:66" x14ac:dyDescent="0.15">
      <c r="J267" s="11"/>
      <c r="AW267" s="6"/>
      <c r="BN267" s="16"/>
    </row>
    <row r="268" spans="10:66" x14ac:dyDescent="0.15">
      <c r="J268" s="11"/>
      <c r="AW268" s="6"/>
      <c r="BN268" s="16"/>
    </row>
    <row r="269" spans="10:66" x14ac:dyDescent="0.15">
      <c r="J269" s="11"/>
      <c r="AW269" s="6"/>
      <c r="BN269" s="16"/>
    </row>
    <row r="270" spans="10:66" x14ac:dyDescent="0.15">
      <c r="J270" s="11"/>
      <c r="AW270" s="6"/>
      <c r="BN270" s="15"/>
    </row>
    <row r="271" spans="10:66" x14ac:dyDescent="0.15">
      <c r="J271" s="11"/>
      <c r="AW271" s="6"/>
      <c r="BN271" s="15"/>
    </row>
    <row r="272" spans="10:66" x14ac:dyDescent="0.15">
      <c r="J272" s="11"/>
      <c r="AW272" s="6"/>
      <c r="BN272" s="15"/>
    </row>
    <row r="273" spans="10:66" x14ac:dyDescent="0.15">
      <c r="J273" s="11"/>
      <c r="AW273" s="6"/>
      <c r="BN273" s="15"/>
    </row>
    <row r="274" spans="10:66" x14ac:dyDescent="0.15">
      <c r="J274" s="11"/>
      <c r="AW274" s="6"/>
      <c r="BN274" s="15"/>
    </row>
    <row r="275" spans="10:66" x14ac:dyDescent="0.15">
      <c r="J275" s="11"/>
      <c r="AW275" s="6"/>
      <c r="BN275" s="15"/>
    </row>
    <row r="276" spans="10:66" x14ac:dyDescent="0.15">
      <c r="J276" s="11"/>
      <c r="AW276" s="6"/>
      <c r="BN276" s="15"/>
    </row>
    <row r="277" spans="10:66" x14ac:dyDescent="0.15">
      <c r="J277" s="11"/>
      <c r="AW277" s="6"/>
      <c r="BN277" s="15"/>
    </row>
    <row r="278" spans="10:66" x14ac:dyDescent="0.15">
      <c r="J278" s="11"/>
      <c r="AW278" s="6"/>
      <c r="BN278" s="15"/>
    </row>
    <row r="279" spans="10:66" x14ac:dyDescent="0.15">
      <c r="J279" s="11"/>
      <c r="AW279" s="6"/>
      <c r="BN279" s="15"/>
    </row>
    <row r="280" spans="10:66" x14ac:dyDescent="0.15">
      <c r="J280" s="11"/>
      <c r="AW280" s="6"/>
      <c r="BN280" s="15"/>
    </row>
    <row r="281" spans="10:66" x14ac:dyDescent="0.15">
      <c r="J281" s="11"/>
      <c r="AW281" s="6"/>
      <c r="BN281" s="15"/>
    </row>
    <row r="282" spans="10:66" x14ac:dyDescent="0.15">
      <c r="J282" s="11"/>
      <c r="AW282" s="6"/>
      <c r="BN282" s="15"/>
    </row>
    <row r="283" spans="10:66" x14ac:dyDescent="0.15">
      <c r="J283" s="11"/>
      <c r="AW283" s="6"/>
      <c r="BN283" s="15"/>
    </row>
    <row r="284" spans="10:66" x14ac:dyDescent="0.15">
      <c r="J284" s="11"/>
      <c r="AW284" s="6"/>
      <c r="BN284" s="16"/>
    </row>
    <row r="285" spans="10:66" x14ac:dyDescent="0.15">
      <c r="J285" s="11"/>
      <c r="AW285" s="6"/>
      <c r="BN285" s="16"/>
    </row>
    <row r="286" spans="10:66" x14ac:dyDescent="0.15">
      <c r="J286" s="11"/>
      <c r="Y286" s="6"/>
      <c r="AW286" s="6"/>
      <c r="BN286" s="16"/>
    </row>
    <row r="287" spans="10:66" x14ac:dyDescent="0.15">
      <c r="J287" s="11"/>
      <c r="AW287" s="6"/>
      <c r="BN287" s="16"/>
    </row>
    <row r="288" spans="10:66" x14ac:dyDescent="0.15">
      <c r="J288" s="11"/>
      <c r="AW288" s="6"/>
      <c r="BN288" s="16"/>
    </row>
    <row r="289" spans="9:66" x14ac:dyDescent="0.15">
      <c r="J289" s="11"/>
      <c r="AW289" s="6"/>
      <c r="BN289" s="16"/>
    </row>
    <row r="290" spans="9:66" x14ac:dyDescent="0.15">
      <c r="J290" s="11"/>
      <c r="AW290" s="6"/>
      <c r="BN290" s="16"/>
    </row>
    <row r="291" spans="9:66" x14ac:dyDescent="0.15">
      <c r="J291" s="11"/>
      <c r="AW291" s="6"/>
      <c r="BN291" s="16"/>
    </row>
    <row r="292" spans="9:66" x14ac:dyDescent="0.15">
      <c r="J292" s="11"/>
      <c r="AW292" s="6"/>
      <c r="BN292" s="16"/>
    </row>
    <row r="293" spans="9:66" x14ac:dyDescent="0.15">
      <c r="J293" s="11"/>
      <c r="AW293" s="6"/>
      <c r="BN293" s="16"/>
    </row>
    <row r="294" spans="9:66" x14ac:dyDescent="0.15">
      <c r="J294" s="11"/>
      <c r="AW294" s="6"/>
      <c r="BK294" s="16"/>
      <c r="BL294" s="16"/>
      <c r="BN294" s="16"/>
    </row>
    <row r="295" spans="9:66" x14ac:dyDescent="0.15">
      <c r="J295" s="11"/>
      <c r="AW295" s="6"/>
      <c r="BK295" s="16"/>
      <c r="BL295" s="16"/>
      <c r="BN295" s="16"/>
    </row>
    <row r="296" spans="9:66" ht="30" customHeight="1" x14ac:dyDescent="0.15">
      <c r="J296" s="11"/>
      <c r="AW296" s="6"/>
      <c r="BK296" s="16"/>
      <c r="BL296" s="16"/>
      <c r="BN296" s="16"/>
    </row>
    <row r="297" spans="9:66" x14ac:dyDescent="0.15">
      <c r="J297" s="11"/>
      <c r="AW297" s="6"/>
      <c r="BK297" s="16"/>
      <c r="BL297" s="16"/>
      <c r="BN297" s="16"/>
    </row>
    <row r="298" spans="9:66" x14ac:dyDescent="0.15">
      <c r="J298" s="11"/>
      <c r="AW298" s="6"/>
      <c r="BK298" s="16"/>
      <c r="BL298" s="16"/>
      <c r="BN298" s="16"/>
    </row>
    <row r="299" spans="9:66" x14ac:dyDescent="0.15">
      <c r="J299" s="11"/>
      <c r="AW299" s="6"/>
      <c r="BK299" s="16"/>
      <c r="BL299" s="16"/>
      <c r="BN299" s="16"/>
    </row>
    <row r="300" spans="9:66" ht="30" customHeight="1" x14ac:dyDescent="0.15">
      <c r="J300" s="11"/>
      <c r="AW300" s="6"/>
      <c r="BK300" s="16"/>
      <c r="BL300" s="16"/>
      <c r="BN300" s="16"/>
    </row>
    <row r="301" spans="9:66" x14ac:dyDescent="0.15">
      <c r="J301" s="11"/>
      <c r="AW301" s="6"/>
      <c r="BK301" s="16"/>
      <c r="BL301" s="16"/>
      <c r="BN301" s="16"/>
    </row>
    <row r="302" spans="9:66" x14ac:dyDescent="0.15">
      <c r="J302" s="11"/>
      <c r="AW302" s="6"/>
      <c r="BK302" s="16"/>
      <c r="BL302" s="16"/>
      <c r="BN302" s="16"/>
    </row>
    <row r="303" spans="9:66" x14ac:dyDescent="0.15">
      <c r="I303" s="20"/>
      <c r="J303" s="21"/>
      <c r="K303" s="22"/>
      <c r="L303" s="22"/>
      <c r="AW303" s="6"/>
      <c r="BK303" s="16"/>
      <c r="BL303" s="16"/>
      <c r="BN303" s="15"/>
    </row>
    <row r="304" spans="9:66" x14ac:dyDescent="0.15">
      <c r="I304" s="20"/>
      <c r="J304" s="21"/>
      <c r="K304" s="22"/>
      <c r="L304" s="22"/>
      <c r="AW304" s="6"/>
      <c r="BK304" s="16"/>
      <c r="BL304" s="16"/>
      <c r="BN304" s="15"/>
    </row>
    <row r="305" spans="9:66" x14ac:dyDescent="0.15">
      <c r="I305" s="20"/>
      <c r="J305" s="21"/>
      <c r="K305" s="22"/>
      <c r="L305" s="22"/>
      <c r="AW305" s="6"/>
      <c r="BK305" s="16"/>
      <c r="BL305" s="16"/>
      <c r="BN305" s="15"/>
    </row>
    <row r="306" spans="9:66" x14ac:dyDescent="0.15">
      <c r="I306" s="20"/>
      <c r="J306" s="21"/>
      <c r="K306" s="22"/>
      <c r="L306" s="22"/>
      <c r="AW306" s="6"/>
      <c r="BK306" s="16"/>
      <c r="BL306" s="16"/>
      <c r="BN306" s="15"/>
    </row>
    <row r="307" spans="9:66" x14ac:dyDescent="0.15">
      <c r="I307" s="20"/>
      <c r="J307" s="21"/>
      <c r="K307" s="22"/>
      <c r="L307" s="22"/>
      <c r="AW307" s="6"/>
      <c r="BK307" s="16"/>
      <c r="BL307" s="16"/>
      <c r="BN307" s="15"/>
    </row>
    <row r="308" spans="9:66" x14ac:dyDescent="0.15">
      <c r="I308" s="20"/>
      <c r="J308" s="21"/>
      <c r="K308" s="22"/>
      <c r="L308" s="22"/>
      <c r="AW308" s="6"/>
      <c r="BK308" s="16"/>
      <c r="BL308" s="16"/>
      <c r="BN308" s="15"/>
    </row>
    <row r="309" spans="9:66" x14ac:dyDescent="0.15">
      <c r="I309" s="20"/>
      <c r="J309" s="21"/>
      <c r="K309" s="22"/>
      <c r="L309" s="22"/>
      <c r="AW309" s="6"/>
      <c r="BK309" s="16"/>
      <c r="BL309" s="16"/>
      <c r="BN309" s="15"/>
    </row>
    <row r="310" spans="9:66" x14ac:dyDescent="0.15">
      <c r="I310" s="20"/>
      <c r="J310" s="21"/>
      <c r="K310" s="22"/>
      <c r="L310" s="22"/>
      <c r="AW310" s="6"/>
      <c r="BK310" s="16"/>
      <c r="BL310" s="16"/>
      <c r="BN310" s="15"/>
    </row>
    <row r="311" spans="9:66" x14ac:dyDescent="0.15">
      <c r="I311" s="20"/>
      <c r="J311" s="21"/>
      <c r="K311" s="22"/>
      <c r="L311" s="22"/>
      <c r="AW311" s="6"/>
      <c r="BK311" s="16"/>
      <c r="BL311" s="16"/>
      <c r="BN311" s="15"/>
    </row>
    <row r="312" spans="9:66" x14ac:dyDescent="0.15">
      <c r="I312" s="20"/>
      <c r="J312" s="21"/>
      <c r="K312" s="22"/>
      <c r="L312" s="22"/>
      <c r="AW312" s="6"/>
      <c r="BK312" s="16"/>
      <c r="BL312" s="16"/>
      <c r="BN312" s="15"/>
    </row>
    <row r="313" spans="9:66" x14ac:dyDescent="0.15">
      <c r="I313" s="20"/>
      <c r="J313" s="21"/>
      <c r="K313" s="22"/>
      <c r="L313" s="22"/>
      <c r="AW313" s="6"/>
      <c r="BK313" s="16"/>
      <c r="BL313" s="16"/>
      <c r="BN313" s="15"/>
    </row>
    <row r="314" spans="9:66" x14ac:dyDescent="0.15">
      <c r="I314" s="20"/>
      <c r="J314" s="21"/>
      <c r="K314" s="22"/>
      <c r="L314" s="22"/>
      <c r="AW314" s="6"/>
      <c r="BK314" s="16"/>
      <c r="BL314" s="16"/>
      <c r="BN314" s="15"/>
    </row>
    <row r="315" spans="9:66" x14ac:dyDescent="0.15">
      <c r="I315" s="20"/>
      <c r="J315" s="21"/>
      <c r="K315" s="22"/>
      <c r="L315" s="22"/>
      <c r="AW315" s="6"/>
      <c r="BK315" s="16"/>
      <c r="BL315" s="16"/>
      <c r="BN315" s="15"/>
    </row>
    <row r="316" spans="9:66" x14ac:dyDescent="0.15">
      <c r="I316" s="20"/>
      <c r="J316" s="21"/>
      <c r="K316" s="22"/>
      <c r="L316" s="22"/>
      <c r="AW316" s="6"/>
      <c r="BK316" s="16"/>
      <c r="BL316" s="16"/>
      <c r="BN316" s="15"/>
    </row>
    <row r="317" spans="9:66" x14ac:dyDescent="0.15">
      <c r="I317" s="20"/>
      <c r="J317" s="21"/>
      <c r="K317" s="22"/>
      <c r="L317" s="22"/>
      <c r="AW317" s="6"/>
      <c r="BK317" s="16"/>
      <c r="BL317" s="16"/>
      <c r="BN317" s="16"/>
    </row>
    <row r="318" spans="9:66" x14ac:dyDescent="0.15">
      <c r="I318" s="20"/>
      <c r="J318" s="21"/>
      <c r="K318" s="22"/>
      <c r="L318" s="22"/>
      <c r="AW318" s="6"/>
      <c r="BK318" s="16"/>
      <c r="BL318" s="16"/>
      <c r="BN318" s="16"/>
    </row>
    <row r="319" spans="9:66" x14ac:dyDescent="0.15">
      <c r="I319" s="20"/>
      <c r="J319" s="21"/>
      <c r="K319" s="22"/>
      <c r="L319" s="22"/>
      <c r="AW319" s="6"/>
      <c r="BK319" s="16"/>
      <c r="BL319" s="16"/>
      <c r="BN319" s="16"/>
    </row>
    <row r="320" spans="9:66" x14ac:dyDescent="0.15">
      <c r="I320" s="20"/>
      <c r="J320" s="21"/>
      <c r="K320" s="22"/>
      <c r="L320" s="22"/>
      <c r="AW320" s="6"/>
      <c r="BK320" s="16"/>
      <c r="BL320" s="16"/>
      <c r="BN320" s="16"/>
    </row>
    <row r="321" spans="9:66" x14ac:dyDescent="0.15">
      <c r="I321" s="20"/>
      <c r="J321" s="21"/>
      <c r="K321" s="22"/>
      <c r="L321" s="22"/>
      <c r="AW321" s="6"/>
      <c r="BN321" s="16"/>
    </row>
    <row r="322" spans="9:66" x14ac:dyDescent="0.15">
      <c r="I322" s="20"/>
      <c r="J322" s="21"/>
      <c r="K322" s="22"/>
      <c r="L322" s="22"/>
      <c r="AW322" s="6"/>
      <c r="BN322" s="16"/>
    </row>
    <row r="323" spans="9:66" x14ac:dyDescent="0.15">
      <c r="I323" s="20"/>
      <c r="J323" s="21"/>
      <c r="K323" s="22"/>
      <c r="L323" s="22"/>
      <c r="AW323" s="6"/>
      <c r="BN323" s="16"/>
    </row>
    <row r="324" spans="9:66" x14ac:dyDescent="0.15">
      <c r="I324" s="20"/>
      <c r="J324" s="21"/>
      <c r="K324" s="22"/>
      <c r="L324" s="22"/>
      <c r="AW324" s="6"/>
      <c r="BN324" s="16"/>
    </row>
    <row r="325" spans="9:66" x14ac:dyDescent="0.15">
      <c r="I325" s="20"/>
      <c r="J325" s="21"/>
      <c r="K325" s="22"/>
      <c r="L325" s="22"/>
      <c r="AW325" s="6"/>
      <c r="BN325" s="16"/>
    </row>
    <row r="326" spans="9:66" x14ac:dyDescent="0.15">
      <c r="I326" s="20"/>
      <c r="J326" s="21"/>
      <c r="K326" s="22"/>
      <c r="L326" s="22"/>
      <c r="AW326" s="6"/>
      <c r="BN326" s="16"/>
    </row>
    <row r="327" spans="9:66" x14ac:dyDescent="0.15">
      <c r="I327" s="20"/>
      <c r="J327" s="21"/>
      <c r="K327" s="22"/>
      <c r="L327" s="22"/>
      <c r="AW327" s="6"/>
      <c r="BN327" s="16"/>
    </row>
    <row r="328" spans="9:66" x14ac:dyDescent="0.15">
      <c r="I328" s="20"/>
      <c r="J328" s="21"/>
      <c r="K328" s="22"/>
      <c r="L328" s="22"/>
      <c r="AW328" s="6"/>
      <c r="BN328" s="16"/>
    </row>
    <row r="329" spans="9:66" x14ac:dyDescent="0.15">
      <c r="I329" s="20"/>
      <c r="J329" s="21"/>
      <c r="K329" s="22"/>
      <c r="L329" s="22"/>
      <c r="AW329" s="6"/>
      <c r="BN329" s="16"/>
    </row>
    <row r="330" spans="9:66" x14ac:dyDescent="0.15">
      <c r="I330" s="20"/>
      <c r="J330" s="21"/>
      <c r="K330" s="22"/>
      <c r="L330" s="22"/>
      <c r="Z330" s="6"/>
      <c r="AW330" s="6"/>
      <c r="BN330" s="16"/>
    </row>
    <row r="331" spans="9:66" x14ac:dyDescent="0.15">
      <c r="I331" s="20"/>
      <c r="J331" s="21"/>
      <c r="K331" s="22"/>
      <c r="L331" s="22"/>
      <c r="AW331" s="6"/>
      <c r="BN331" s="16"/>
    </row>
    <row r="332" spans="9:66" x14ac:dyDescent="0.15">
      <c r="I332" s="20"/>
      <c r="J332" s="21"/>
      <c r="K332" s="22"/>
      <c r="L332" s="22"/>
      <c r="AW332" s="6"/>
      <c r="BN332" s="16"/>
    </row>
    <row r="333" spans="9:66" x14ac:dyDescent="0.15">
      <c r="I333" s="20"/>
      <c r="J333" s="21"/>
      <c r="K333" s="22"/>
      <c r="L333" s="22"/>
      <c r="AW333" s="6"/>
      <c r="BN333" s="16"/>
    </row>
    <row r="334" spans="9:66" x14ac:dyDescent="0.15">
      <c r="I334" s="20"/>
      <c r="J334" s="21"/>
      <c r="K334" s="22"/>
      <c r="L334" s="22"/>
      <c r="AW334" s="6"/>
      <c r="BN334" s="16"/>
    </row>
    <row r="335" spans="9:66" x14ac:dyDescent="0.15">
      <c r="I335" s="20"/>
      <c r="J335" s="21"/>
      <c r="K335" s="22"/>
      <c r="L335" s="22"/>
      <c r="AW335" s="6"/>
      <c r="BN335" s="16"/>
    </row>
    <row r="336" spans="9:66" x14ac:dyDescent="0.15">
      <c r="J336" s="11"/>
      <c r="M336" s="19"/>
      <c r="BN336" s="15"/>
    </row>
    <row r="337" spans="10:66" x14ac:dyDescent="0.15">
      <c r="J337" s="11"/>
      <c r="BN337" s="15"/>
    </row>
    <row r="338" spans="10:66" x14ac:dyDescent="0.15">
      <c r="J338" s="11"/>
      <c r="BN338" s="15"/>
    </row>
    <row r="339" spans="10:66" x14ac:dyDescent="0.15">
      <c r="J339" s="11"/>
      <c r="BN339" s="15"/>
    </row>
    <row r="340" spans="10:66" x14ac:dyDescent="0.15">
      <c r="J340" s="11"/>
      <c r="M340" s="19"/>
      <c r="BN340" s="15"/>
    </row>
    <row r="341" spans="10:66" x14ac:dyDescent="0.15">
      <c r="J341" s="11"/>
      <c r="BN341" s="15"/>
    </row>
    <row r="342" spans="10:66" x14ac:dyDescent="0.15">
      <c r="J342" s="11"/>
      <c r="BN342" s="15"/>
    </row>
    <row r="343" spans="10:66" x14ac:dyDescent="0.15">
      <c r="J343" s="11"/>
      <c r="BN343" s="15"/>
    </row>
    <row r="344" spans="10:66" x14ac:dyDescent="0.15">
      <c r="J344" s="11"/>
      <c r="BN344" s="15"/>
    </row>
    <row r="345" spans="10:66" x14ac:dyDescent="0.15">
      <c r="J345" s="11"/>
      <c r="M345" s="19"/>
      <c r="BN345" s="15"/>
    </row>
    <row r="346" spans="10:66" x14ac:dyDescent="0.15">
      <c r="J346" s="11"/>
      <c r="BN346" s="15"/>
    </row>
    <row r="347" spans="10:66" x14ac:dyDescent="0.15">
      <c r="J347" s="11"/>
      <c r="BN347" s="15"/>
    </row>
    <row r="348" spans="10:66" x14ac:dyDescent="0.15">
      <c r="J348" s="11"/>
      <c r="BN348" s="15"/>
    </row>
    <row r="349" spans="10:66" x14ac:dyDescent="0.15">
      <c r="J349" s="11"/>
      <c r="M349" s="19"/>
      <c r="BN349" s="15"/>
    </row>
    <row r="350" spans="10:66" x14ac:dyDescent="0.15">
      <c r="J350" s="11"/>
      <c r="M350" s="19"/>
      <c r="BN350" s="16"/>
    </row>
    <row r="351" spans="10:66" x14ac:dyDescent="0.15">
      <c r="J351" s="11"/>
      <c r="M351" s="19"/>
      <c r="BN351" s="16"/>
    </row>
    <row r="352" spans="10:66" x14ac:dyDescent="0.15">
      <c r="J352" s="11"/>
      <c r="M352" s="19"/>
      <c r="BN352" s="16"/>
    </row>
    <row r="353" spans="10:66" x14ac:dyDescent="0.15">
      <c r="J353" s="11"/>
      <c r="BN353" s="16"/>
    </row>
    <row r="354" spans="10:66" x14ac:dyDescent="0.15">
      <c r="J354" s="11"/>
      <c r="BN354" s="16"/>
    </row>
    <row r="355" spans="10:66" x14ac:dyDescent="0.15">
      <c r="J355" s="11"/>
      <c r="M355" s="19"/>
      <c r="BN355" s="16"/>
    </row>
    <row r="356" spans="10:66" x14ac:dyDescent="0.15">
      <c r="J356" s="11"/>
      <c r="BN356" s="16"/>
    </row>
    <row r="357" spans="10:66" x14ac:dyDescent="0.15">
      <c r="J357" s="11"/>
      <c r="BN357" s="16"/>
    </row>
    <row r="358" spans="10:66" x14ac:dyDescent="0.15">
      <c r="J358" s="11"/>
      <c r="BN358" s="16"/>
    </row>
    <row r="359" spans="10:66" x14ac:dyDescent="0.15">
      <c r="J359" s="11"/>
      <c r="M359" s="19"/>
      <c r="BN359" s="16"/>
    </row>
    <row r="360" spans="10:66" x14ac:dyDescent="0.15">
      <c r="J360" s="11"/>
      <c r="BN360" s="16"/>
    </row>
    <row r="361" spans="10:66" x14ac:dyDescent="0.15">
      <c r="J361" s="11"/>
      <c r="BN361" s="16"/>
    </row>
    <row r="362" spans="10:66" x14ac:dyDescent="0.15">
      <c r="J362" s="11"/>
      <c r="BN362" s="16"/>
    </row>
    <row r="363" spans="10:66" x14ac:dyDescent="0.15">
      <c r="J363" s="11"/>
      <c r="M363" s="19"/>
      <c r="BN363" s="16"/>
    </row>
    <row r="364" spans="10:66" x14ac:dyDescent="0.15">
      <c r="J364" s="11"/>
      <c r="M364" s="19"/>
      <c r="BN364" s="16"/>
    </row>
    <row r="365" spans="10:66" x14ac:dyDescent="0.15">
      <c r="J365" s="11"/>
      <c r="BN365" s="16"/>
    </row>
    <row r="366" spans="10:66" x14ac:dyDescent="0.15">
      <c r="J366" s="11"/>
      <c r="M366" s="19"/>
      <c r="BN366" s="16"/>
    </row>
    <row r="367" spans="10:66" x14ac:dyDescent="0.15">
      <c r="J367" s="11"/>
    </row>
    <row r="368" spans="10:66" x14ac:dyDescent="0.15">
      <c r="J368" s="11"/>
      <c r="BN368" s="16"/>
    </row>
    <row r="369" spans="10:66" x14ac:dyDescent="0.15">
      <c r="J369" s="11"/>
      <c r="AW369" s="6"/>
      <c r="BN369" s="16"/>
    </row>
    <row r="370" spans="10:66" x14ac:dyDescent="0.15">
      <c r="J370" s="11"/>
      <c r="AW370" s="6"/>
      <c r="BN370" s="15"/>
    </row>
    <row r="371" spans="10:66" x14ac:dyDescent="0.15">
      <c r="J371" s="11"/>
      <c r="AW371" s="6"/>
      <c r="BN371" s="16"/>
    </row>
    <row r="372" spans="10:66" x14ac:dyDescent="0.15">
      <c r="J372" s="11"/>
      <c r="AW372" s="6"/>
      <c r="BN372" s="15"/>
    </row>
    <row r="373" spans="10:66" x14ac:dyDescent="0.15">
      <c r="J373" s="11"/>
      <c r="Z373" s="6"/>
      <c r="AW373" s="6"/>
      <c r="BN373" s="16"/>
    </row>
    <row r="374" spans="10:66" x14ac:dyDescent="0.15">
      <c r="J374" s="11"/>
      <c r="AW374" s="6"/>
      <c r="BN374" s="16"/>
    </row>
    <row r="375" spans="10:66" x14ac:dyDescent="0.15">
      <c r="J375" s="11"/>
      <c r="AW375" s="6"/>
      <c r="BN375" s="16"/>
    </row>
    <row r="376" spans="10:66" x14ac:dyDescent="0.15">
      <c r="J376" s="11"/>
      <c r="AW376" s="6"/>
      <c r="BN376" s="15"/>
    </row>
    <row r="377" spans="10:66" x14ac:dyDescent="0.15">
      <c r="J377" s="11"/>
      <c r="L377" s="6"/>
      <c r="AW377" s="6"/>
      <c r="BN377" s="16"/>
    </row>
    <row r="378" spans="10:66" x14ac:dyDescent="0.15">
      <c r="J378" s="11"/>
      <c r="AW378" s="6"/>
      <c r="BN378" s="16"/>
    </row>
    <row r="379" spans="10:66" x14ac:dyDescent="0.15">
      <c r="J379" s="11"/>
      <c r="AW379" s="6"/>
      <c r="BN379" s="16"/>
    </row>
    <row r="380" spans="10:66" x14ac:dyDescent="0.15">
      <c r="J380" s="11"/>
      <c r="AW380" s="6"/>
      <c r="BN380" s="15"/>
    </row>
    <row r="381" spans="10:66" x14ac:dyDescent="0.15">
      <c r="J381" s="11"/>
      <c r="AW381" s="6"/>
      <c r="BN381" s="16"/>
    </row>
    <row r="382" spans="10:66" x14ac:dyDescent="0.15">
      <c r="J382" s="11"/>
      <c r="AW382" s="6"/>
      <c r="BN382" s="16"/>
    </row>
    <row r="383" spans="10:66" x14ac:dyDescent="0.15">
      <c r="J383" s="11"/>
      <c r="AW383" s="6"/>
      <c r="BN383" s="15"/>
    </row>
    <row r="384" spans="10:66" x14ac:dyDescent="0.15">
      <c r="J384" s="11"/>
      <c r="AW384" s="6"/>
      <c r="BN384" s="16"/>
    </row>
    <row r="385" spans="10:66" x14ac:dyDescent="0.15">
      <c r="J385" s="11"/>
      <c r="AW385" s="6"/>
      <c r="BN385" s="15"/>
    </row>
    <row r="386" spans="10:66" x14ac:dyDescent="0.15">
      <c r="J386" s="11"/>
      <c r="AW386" s="6"/>
      <c r="BN386" s="16"/>
    </row>
    <row r="387" spans="10:66" x14ac:dyDescent="0.15">
      <c r="J387" s="11"/>
      <c r="AW387" s="6"/>
      <c r="BN387" s="15"/>
    </row>
    <row r="388" spans="10:66" x14ac:dyDescent="0.15">
      <c r="J388" s="11"/>
      <c r="AW388" s="6"/>
      <c r="BN388" s="16"/>
    </row>
    <row r="389" spans="10:66" x14ac:dyDescent="0.15">
      <c r="J389" s="11"/>
      <c r="AW389" s="6"/>
      <c r="BN389" s="16"/>
    </row>
    <row r="390" spans="10:66" x14ac:dyDescent="0.15">
      <c r="J390" s="11"/>
      <c r="AW390" s="6"/>
      <c r="BN390" s="15"/>
    </row>
    <row r="391" spans="10:66" x14ac:dyDescent="0.15">
      <c r="J391" s="11"/>
      <c r="AW391" s="6"/>
      <c r="BN391" s="16"/>
    </row>
    <row r="392" spans="10:66" x14ac:dyDescent="0.15">
      <c r="J392" s="11"/>
      <c r="AW392" s="6"/>
      <c r="BN392" s="16"/>
    </row>
    <row r="393" spans="10:66" x14ac:dyDescent="0.15">
      <c r="J393" s="11"/>
      <c r="AW393" s="6"/>
      <c r="BK393" s="16"/>
      <c r="BL393" s="16"/>
      <c r="BN393" s="16"/>
    </row>
    <row r="394" spans="10:66" x14ac:dyDescent="0.15">
      <c r="J394" s="11"/>
      <c r="AW394" s="6"/>
      <c r="BK394" s="16"/>
      <c r="BL394" s="16"/>
      <c r="BN394" s="16"/>
    </row>
    <row r="395" spans="10:66" ht="30" customHeight="1" x14ac:dyDescent="0.15">
      <c r="J395" s="11"/>
      <c r="AW395" s="6"/>
      <c r="BK395" s="16"/>
      <c r="BL395" s="16"/>
      <c r="BN395" s="15"/>
    </row>
    <row r="396" spans="10:66" x14ac:dyDescent="0.15">
      <c r="J396" s="11"/>
      <c r="AW396" s="6"/>
      <c r="BK396" s="16"/>
      <c r="BL396" s="16"/>
      <c r="BN396" s="16"/>
    </row>
    <row r="397" spans="10:66" x14ac:dyDescent="0.15">
      <c r="J397" s="11"/>
      <c r="L397" s="6"/>
      <c r="AW397" s="6"/>
      <c r="BK397" s="16"/>
      <c r="BL397" s="16"/>
      <c r="BN397" s="15"/>
    </row>
    <row r="398" spans="10:66" x14ac:dyDescent="0.15">
      <c r="J398" s="11"/>
      <c r="L398" s="6"/>
      <c r="AW398" s="6"/>
      <c r="BK398" s="16"/>
      <c r="BL398" s="16"/>
      <c r="BN398" s="16"/>
    </row>
    <row r="399" spans="10:66" ht="30" customHeight="1" x14ac:dyDescent="0.15">
      <c r="J399" s="11"/>
      <c r="L399" s="6"/>
      <c r="AW399" s="6"/>
      <c r="BK399" s="16"/>
      <c r="BL399" s="16"/>
      <c r="BN399" s="16"/>
    </row>
    <row r="400" spans="10:66" x14ac:dyDescent="0.15">
      <c r="J400" s="11"/>
      <c r="L400" s="6"/>
      <c r="AW400" s="6"/>
      <c r="BK400" s="16"/>
      <c r="BL400" s="16"/>
      <c r="BN400" s="16"/>
    </row>
    <row r="401" spans="10:66" x14ac:dyDescent="0.15">
      <c r="J401" s="11"/>
      <c r="AW401" s="6"/>
      <c r="BK401" s="16"/>
      <c r="BL401" s="16"/>
      <c r="BN401" s="16"/>
    </row>
    <row r="402" spans="10:66" x14ac:dyDescent="0.15">
      <c r="J402" s="11"/>
      <c r="M402" s="19"/>
      <c r="BK402" s="16"/>
      <c r="BL402" s="16"/>
      <c r="BN402" s="15"/>
    </row>
    <row r="403" spans="10:66" x14ac:dyDescent="0.15">
      <c r="J403" s="11"/>
      <c r="BK403" s="16"/>
      <c r="BL403" s="16"/>
      <c r="BN403" s="15"/>
    </row>
    <row r="404" spans="10:66" x14ac:dyDescent="0.15">
      <c r="J404" s="11"/>
      <c r="BK404" s="16"/>
      <c r="BL404" s="16"/>
      <c r="BN404" s="15"/>
    </row>
    <row r="405" spans="10:66" x14ac:dyDescent="0.15">
      <c r="J405" s="11"/>
      <c r="BK405" s="16"/>
      <c r="BL405" s="16"/>
      <c r="BN405" s="15"/>
    </row>
    <row r="406" spans="10:66" x14ac:dyDescent="0.15">
      <c r="J406" s="11"/>
      <c r="M406" s="19"/>
      <c r="BK406" s="16"/>
      <c r="BL406" s="16"/>
      <c r="BN406" s="15"/>
    </row>
    <row r="407" spans="10:66" x14ac:dyDescent="0.15">
      <c r="J407" s="11"/>
      <c r="BK407" s="16"/>
      <c r="BL407" s="16"/>
      <c r="BN407" s="15"/>
    </row>
    <row r="408" spans="10:66" x14ac:dyDescent="0.15">
      <c r="J408" s="11"/>
      <c r="BK408" s="16"/>
      <c r="BL408" s="16"/>
      <c r="BN408" s="15"/>
    </row>
    <row r="409" spans="10:66" x14ac:dyDescent="0.15">
      <c r="J409" s="11"/>
      <c r="BK409" s="16"/>
      <c r="BL409" s="16"/>
      <c r="BN409" s="15"/>
    </row>
    <row r="410" spans="10:66" x14ac:dyDescent="0.15">
      <c r="J410" s="11"/>
      <c r="BK410" s="16"/>
      <c r="BL410" s="16"/>
      <c r="BN410" s="15"/>
    </row>
    <row r="411" spans="10:66" x14ac:dyDescent="0.15">
      <c r="J411" s="11"/>
      <c r="M411" s="19"/>
      <c r="BK411" s="16"/>
      <c r="BL411" s="16"/>
      <c r="BN411" s="15"/>
    </row>
    <row r="412" spans="10:66" x14ac:dyDescent="0.15">
      <c r="J412" s="11"/>
      <c r="BK412" s="16"/>
      <c r="BL412" s="16"/>
      <c r="BN412" s="15"/>
    </row>
    <row r="413" spans="10:66" x14ac:dyDescent="0.15">
      <c r="J413" s="11"/>
      <c r="BK413" s="16"/>
      <c r="BL413" s="16"/>
      <c r="BN413" s="15"/>
    </row>
    <row r="414" spans="10:66" x14ac:dyDescent="0.15">
      <c r="J414" s="11"/>
      <c r="BK414" s="16"/>
      <c r="BL414" s="16"/>
      <c r="BN414" s="15"/>
    </row>
    <row r="415" spans="10:66" x14ac:dyDescent="0.15">
      <c r="J415" s="11"/>
      <c r="M415" s="19"/>
      <c r="BK415" s="16"/>
      <c r="BL415" s="16"/>
      <c r="BN415" s="15"/>
    </row>
    <row r="416" spans="10:66" x14ac:dyDescent="0.15">
      <c r="J416" s="11"/>
      <c r="M416" s="19"/>
      <c r="BK416" s="16"/>
      <c r="BL416" s="16"/>
      <c r="BN416" s="16"/>
    </row>
    <row r="417" spans="10:66" x14ac:dyDescent="0.15">
      <c r="J417" s="11"/>
      <c r="M417" s="19"/>
      <c r="BK417" s="16"/>
      <c r="BL417" s="16"/>
      <c r="BN417" s="16"/>
    </row>
    <row r="418" spans="10:66" x14ac:dyDescent="0.15">
      <c r="J418" s="11"/>
      <c r="M418" s="19"/>
      <c r="BK418" s="16"/>
      <c r="BL418" s="16"/>
      <c r="BN418" s="16"/>
    </row>
    <row r="419" spans="10:66" x14ac:dyDescent="0.15">
      <c r="J419" s="11"/>
      <c r="BK419" s="16"/>
      <c r="BL419" s="16"/>
      <c r="BN419" s="16"/>
    </row>
    <row r="420" spans="10:66" x14ac:dyDescent="0.15">
      <c r="J420" s="11"/>
      <c r="BN420" s="16"/>
    </row>
    <row r="421" spans="10:66" x14ac:dyDescent="0.15">
      <c r="J421" s="11"/>
      <c r="M421" s="19"/>
      <c r="BN421" s="16"/>
    </row>
    <row r="422" spans="10:66" x14ac:dyDescent="0.15">
      <c r="J422" s="11"/>
      <c r="BN422" s="16"/>
    </row>
    <row r="423" spans="10:66" x14ac:dyDescent="0.15">
      <c r="J423" s="11"/>
      <c r="BN423" s="16"/>
    </row>
    <row r="424" spans="10:66" x14ac:dyDescent="0.15">
      <c r="J424" s="11"/>
      <c r="BN424" s="16"/>
    </row>
    <row r="425" spans="10:66" x14ac:dyDescent="0.15">
      <c r="J425" s="11"/>
      <c r="M425" s="19"/>
      <c r="BN425" s="16"/>
    </row>
    <row r="426" spans="10:66" x14ac:dyDescent="0.15">
      <c r="J426" s="11"/>
      <c r="BN426" s="16"/>
    </row>
    <row r="427" spans="10:66" x14ac:dyDescent="0.15">
      <c r="J427" s="11"/>
      <c r="BN427" s="16"/>
    </row>
    <row r="428" spans="10:66" x14ac:dyDescent="0.15">
      <c r="J428" s="11"/>
      <c r="BN428" s="16"/>
    </row>
    <row r="429" spans="10:66" x14ac:dyDescent="0.15">
      <c r="J429" s="11"/>
      <c r="M429" s="19"/>
      <c r="BN429" s="16"/>
    </row>
    <row r="430" spans="10:66" x14ac:dyDescent="0.15">
      <c r="J430" s="11"/>
      <c r="M430" s="19"/>
      <c r="BN430" s="16"/>
    </row>
    <row r="431" spans="10:66" x14ac:dyDescent="0.15">
      <c r="J431" s="11"/>
      <c r="BN431" s="16"/>
    </row>
    <row r="432" spans="10:66" x14ac:dyDescent="0.15">
      <c r="J432" s="11"/>
      <c r="M432" s="19"/>
      <c r="BN432" s="16"/>
    </row>
    <row r="433" spans="10:66" x14ac:dyDescent="0.15">
      <c r="J433" s="11"/>
    </row>
    <row r="434" spans="10:66" x14ac:dyDescent="0.15">
      <c r="J434" s="11"/>
      <c r="BN434" s="16"/>
    </row>
    <row r="435" spans="10:66" x14ac:dyDescent="0.15">
      <c r="J435" s="11"/>
      <c r="AW435" s="6"/>
      <c r="BN435" s="16"/>
    </row>
    <row r="436" spans="10:66" x14ac:dyDescent="0.15">
      <c r="J436" s="11"/>
      <c r="AW436" s="6"/>
      <c r="BN436" s="15"/>
    </row>
    <row r="437" spans="10:66" x14ac:dyDescent="0.15">
      <c r="J437" s="11"/>
      <c r="AW437" s="6"/>
      <c r="BN437" s="16"/>
    </row>
    <row r="438" spans="10:66" x14ac:dyDescent="0.15">
      <c r="J438" s="11"/>
      <c r="AW438" s="6"/>
      <c r="BN438" s="15"/>
    </row>
    <row r="439" spans="10:66" x14ac:dyDescent="0.15">
      <c r="J439" s="11"/>
      <c r="Z439" s="6"/>
      <c r="AW439" s="6"/>
      <c r="BN439" s="16"/>
    </row>
    <row r="440" spans="10:66" x14ac:dyDescent="0.15">
      <c r="J440" s="11"/>
      <c r="AW440" s="6"/>
      <c r="BN440" s="16"/>
    </row>
    <row r="441" spans="10:66" x14ac:dyDescent="0.15">
      <c r="J441" s="11"/>
      <c r="AW441" s="6"/>
      <c r="BN441" s="16"/>
    </row>
    <row r="442" spans="10:66" x14ac:dyDescent="0.15">
      <c r="J442" s="11"/>
      <c r="AW442" s="6"/>
      <c r="BN442" s="15"/>
    </row>
    <row r="443" spans="10:66" x14ac:dyDescent="0.15">
      <c r="J443" s="11"/>
      <c r="AW443" s="6"/>
      <c r="BN443" s="16"/>
    </row>
    <row r="444" spans="10:66" x14ac:dyDescent="0.15">
      <c r="J444" s="11"/>
      <c r="AW444" s="6"/>
      <c r="BN444" s="16"/>
    </row>
    <row r="445" spans="10:66" x14ac:dyDescent="0.15">
      <c r="J445" s="11"/>
      <c r="AW445" s="6"/>
      <c r="BN445" s="16"/>
    </row>
    <row r="446" spans="10:66" x14ac:dyDescent="0.15">
      <c r="J446" s="11"/>
      <c r="AW446" s="6"/>
      <c r="BN446" s="15"/>
    </row>
    <row r="447" spans="10:66" x14ac:dyDescent="0.15">
      <c r="J447" s="11"/>
      <c r="AW447" s="6"/>
      <c r="BN447" s="16"/>
    </row>
    <row r="448" spans="10:66" x14ac:dyDescent="0.15">
      <c r="J448" s="11"/>
      <c r="AW448" s="6"/>
      <c r="BN448" s="16"/>
    </row>
    <row r="449" spans="10:66" x14ac:dyDescent="0.15">
      <c r="J449" s="11"/>
      <c r="AW449" s="6"/>
      <c r="BN449" s="15"/>
    </row>
    <row r="450" spans="10:66" x14ac:dyDescent="0.15">
      <c r="J450" s="11"/>
      <c r="AW450" s="6"/>
      <c r="BN450" s="16"/>
    </row>
    <row r="451" spans="10:66" x14ac:dyDescent="0.15">
      <c r="J451" s="11"/>
      <c r="AW451" s="6"/>
      <c r="BN451" s="15"/>
    </row>
    <row r="452" spans="10:66" x14ac:dyDescent="0.15">
      <c r="J452" s="11"/>
      <c r="AW452" s="6"/>
      <c r="BN452" s="16"/>
    </row>
    <row r="453" spans="10:66" x14ac:dyDescent="0.15">
      <c r="J453" s="11"/>
      <c r="AW453" s="6"/>
      <c r="BN453" s="15"/>
    </row>
    <row r="454" spans="10:66" x14ac:dyDescent="0.15">
      <c r="J454" s="11"/>
      <c r="AW454" s="6"/>
      <c r="BN454" s="16"/>
    </row>
    <row r="455" spans="10:66" x14ac:dyDescent="0.15">
      <c r="J455" s="11"/>
      <c r="AW455" s="6"/>
      <c r="BN455" s="16"/>
    </row>
    <row r="456" spans="10:66" x14ac:dyDescent="0.15">
      <c r="J456" s="11"/>
      <c r="AW456" s="6"/>
      <c r="BN456" s="15"/>
    </row>
    <row r="457" spans="10:66" x14ac:dyDescent="0.15">
      <c r="J457" s="11"/>
      <c r="AW457" s="6"/>
      <c r="BN457" s="16"/>
    </row>
    <row r="458" spans="10:66" x14ac:dyDescent="0.15">
      <c r="J458" s="11"/>
      <c r="AW458" s="6"/>
      <c r="BN458" s="16"/>
    </row>
    <row r="459" spans="10:66" x14ac:dyDescent="0.15">
      <c r="J459" s="11"/>
      <c r="AW459" s="6"/>
      <c r="BK459" s="15"/>
      <c r="BL459" s="15"/>
      <c r="BN459" s="16"/>
    </row>
    <row r="460" spans="10:66" x14ac:dyDescent="0.15">
      <c r="J460" s="11"/>
      <c r="AW460" s="6"/>
      <c r="BK460" s="15"/>
      <c r="BL460" s="15"/>
      <c r="BN460" s="16"/>
    </row>
    <row r="461" spans="10:66" x14ac:dyDescent="0.15">
      <c r="J461" s="11"/>
      <c r="AW461" s="6"/>
      <c r="BK461" s="15"/>
      <c r="BL461" s="15"/>
      <c r="BN461" s="15"/>
    </row>
    <row r="462" spans="10:66" x14ac:dyDescent="0.15">
      <c r="J462" s="11"/>
      <c r="AW462" s="6"/>
      <c r="BK462" s="15"/>
      <c r="BL462" s="15"/>
      <c r="BN462" s="16"/>
    </row>
    <row r="463" spans="10:66" x14ac:dyDescent="0.15">
      <c r="J463" s="11"/>
      <c r="L463" s="6"/>
      <c r="AW463" s="6"/>
      <c r="BK463" s="15"/>
      <c r="BL463" s="15"/>
      <c r="BN463" s="15"/>
    </row>
    <row r="464" spans="10:66" x14ac:dyDescent="0.15">
      <c r="J464" s="11"/>
      <c r="L464" s="6"/>
      <c r="AW464" s="6"/>
      <c r="BK464" s="15"/>
      <c r="BL464" s="15"/>
      <c r="BN464" s="16"/>
    </row>
    <row r="465" spans="9:66" x14ac:dyDescent="0.15">
      <c r="J465" s="11"/>
      <c r="AW465" s="6"/>
      <c r="BK465" s="15"/>
      <c r="BL465" s="15"/>
      <c r="BN465" s="16"/>
    </row>
    <row r="466" spans="9:66" x14ac:dyDescent="0.15">
      <c r="J466" s="11"/>
      <c r="L466" s="6"/>
      <c r="AW466" s="6"/>
      <c r="BK466" s="15"/>
      <c r="BL466" s="15"/>
      <c r="BN466" s="16"/>
    </row>
    <row r="467" spans="9:66" x14ac:dyDescent="0.15">
      <c r="J467" s="11"/>
      <c r="AW467" s="6"/>
      <c r="BK467" s="15"/>
      <c r="BL467" s="15"/>
      <c r="BN467" s="16"/>
    </row>
    <row r="468" spans="9:66" x14ac:dyDescent="0.15">
      <c r="I468" s="7"/>
      <c r="J468" s="23"/>
      <c r="L468" s="6"/>
      <c r="M468" s="6"/>
      <c r="BK468" s="15"/>
      <c r="BL468" s="15"/>
      <c r="BN468" s="16"/>
    </row>
    <row r="469" spans="9:66" x14ac:dyDescent="0.15">
      <c r="I469" s="7"/>
      <c r="J469" s="23"/>
      <c r="L469" s="6"/>
      <c r="M469" s="6"/>
      <c r="BK469" s="15"/>
      <c r="BL469" s="15"/>
      <c r="BN469" s="16"/>
    </row>
    <row r="470" spans="9:66" x14ac:dyDescent="0.15">
      <c r="I470" s="7"/>
      <c r="J470" s="23"/>
      <c r="L470" s="6"/>
      <c r="M470" s="6"/>
      <c r="BK470" s="15"/>
      <c r="BL470" s="15"/>
      <c r="BN470" s="16"/>
    </row>
    <row r="471" spans="9:66" x14ac:dyDescent="0.15">
      <c r="I471" s="7"/>
      <c r="J471" s="23"/>
      <c r="L471" s="6"/>
      <c r="M471" s="6"/>
      <c r="BK471" s="15"/>
      <c r="BL471" s="15"/>
      <c r="BN471" s="16"/>
    </row>
    <row r="472" spans="9:66" x14ac:dyDescent="0.15">
      <c r="I472" s="7"/>
      <c r="J472" s="23"/>
      <c r="L472" s="6"/>
      <c r="M472" s="6"/>
      <c r="BK472" s="16"/>
      <c r="BL472" s="16"/>
      <c r="BN472" s="16"/>
    </row>
    <row r="473" spans="9:66" x14ac:dyDescent="0.15">
      <c r="I473" s="7"/>
      <c r="J473" s="23"/>
      <c r="L473" s="6"/>
      <c r="M473" s="6"/>
      <c r="BK473" s="16"/>
      <c r="BL473" s="16"/>
      <c r="BN473" s="16"/>
    </row>
    <row r="474" spans="9:66" x14ac:dyDescent="0.15">
      <c r="I474" s="7"/>
      <c r="J474" s="23"/>
      <c r="L474" s="6"/>
      <c r="M474" s="6"/>
      <c r="BK474" s="16"/>
      <c r="BL474" s="16"/>
      <c r="BN474" s="16"/>
    </row>
    <row r="475" spans="9:66" x14ac:dyDescent="0.15">
      <c r="I475" s="7"/>
      <c r="J475" s="23"/>
      <c r="L475" s="6"/>
      <c r="M475" s="6"/>
      <c r="BK475" s="16"/>
      <c r="BL475" s="16"/>
      <c r="BN475" s="16"/>
    </row>
    <row r="476" spans="9:66" x14ac:dyDescent="0.15">
      <c r="I476" s="7"/>
      <c r="J476" s="23"/>
      <c r="L476" s="6"/>
      <c r="M476" s="6"/>
      <c r="BK476" s="16"/>
      <c r="BL476" s="16"/>
      <c r="BN476" s="16"/>
    </row>
    <row r="477" spans="9:66" x14ac:dyDescent="0.15">
      <c r="I477" s="7"/>
      <c r="J477" s="23"/>
      <c r="L477" s="6"/>
      <c r="M477" s="6"/>
      <c r="BK477" s="16"/>
      <c r="BL477" s="16"/>
      <c r="BN477" s="16"/>
    </row>
    <row r="478" spans="9:66" x14ac:dyDescent="0.15">
      <c r="I478" s="7"/>
      <c r="J478" s="23"/>
      <c r="L478" s="6"/>
      <c r="M478" s="6"/>
      <c r="BK478" s="16"/>
      <c r="BL478" s="16"/>
      <c r="BN478" s="16"/>
    </row>
    <row r="479" spans="9:66" x14ac:dyDescent="0.15">
      <c r="I479" s="7"/>
      <c r="J479" s="23"/>
      <c r="L479" s="6"/>
      <c r="M479" s="6"/>
      <c r="BK479" s="16"/>
      <c r="BL479" s="16"/>
      <c r="BN479" s="16"/>
    </row>
    <row r="480" spans="9:66" x14ac:dyDescent="0.15">
      <c r="I480" s="7"/>
      <c r="J480" s="23"/>
      <c r="L480" s="6"/>
      <c r="M480" s="6"/>
      <c r="BK480" s="16"/>
      <c r="BL480" s="16"/>
      <c r="BN480" s="16"/>
    </row>
    <row r="481" spans="9:66" x14ac:dyDescent="0.15">
      <c r="I481" s="7"/>
      <c r="J481" s="23"/>
      <c r="L481" s="6"/>
      <c r="M481" s="6"/>
      <c r="BK481" s="16"/>
      <c r="BL481" s="16"/>
      <c r="BN481" s="16"/>
    </row>
    <row r="482" spans="9:66" x14ac:dyDescent="0.15">
      <c r="I482" s="7"/>
      <c r="J482" s="23"/>
      <c r="L482" s="6"/>
      <c r="M482" s="6"/>
      <c r="BK482" s="16"/>
      <c r="BL482" s="16"/>
      <c r="BN482" s="16"/>
    </row>
    <row r="483" spans="9:66" x14ac:dyDescent="0.15">
      <c r="J483" s="11"/>
      <c r="L483" s="6"/>
      <c r="M483" s="6"/>
      <c r="AW483" s="6"/>
      <c r="BK483" s="16"/>
      <c r="BL483" s="16"/>
      <c r="BN483" s="16"/>
    </row>
    <row r="484" spans="9:66" x14ac:dyDescent="0.15">
      <c r="J484" s="11"/>
      <c r="L484" s="6"/>
      <c r="M484" s="6"/>
      <c r="AW484" s="6"/>
      <c r="BK484" s="16"/>
      <c r="BL484" s="16"/>
      <c r="BN484" s="16"/>
    </row>
    <row r="485" spans="9:66" x14ac:dyDescent="0.15">
      <c r="J485" s="11"/>
      <c r="L485" s="6"/>
      <c r="M485" s="6"/>
      <c r="AW485" s="6"/>
      <c r="BK485" s="16"/>
      <c r="BL485" s="16"/>
      <c r="BN485" s="16"/>
    </row>
    <row r="486" spans="9:66" x14ac:dyDescent="0.15">
      <c r="J486" s="11"/>
      <c r="L486" s="6"/>
      <c r="M486" s="6"/>
      <c r="AW486" s="6"/>
      <c r="BK486" s="16"/>
      <c r="BL486" s="16"/>
      <c r="BN486" s="16"/>
    </row>
    <row r="487" spans="9:66" x14ac:dyDescent="0.15">
      <c r="J487" s="11"/>
      <c r="L487" s="6"/>
      <c r="M487" s="6"/>
      <c r="AW487" s="6"/>
      <c r="BK487" s="16"/>
      <c r="BL487" s="16"/>
      <c r="BN487" s="16"/>
    </row>
    <row r="488" spans="9:66" x14ac:dyDescent="0.15">
      <c r="J488" s="11"/>
      <c r="L488" s="6"/>
      <c r="M488" s="6"/>
      <c r="AW488" s="6"/>
      <c r="BK488" s="16"/>
      <c r="BL488" s="16"/>
      <c r="BN488" s="16"/>
    </row>
    <row r="489" spans="9:66" x14ac:dyDescent="0.15">
      <c r="J489" s="11"/>
      <c r="L489" s="6"/>
      <c r="M489" s="6"/>
      <c r="AW489" s="6"/>
      <c r="BK489" s="15"/>
      <c r="BL489" s="15"/>
      <c r="BN489" s="16"/>
    </row>
    <row r="490" spans="9:66" ht="13.9" customHeight="1" x14ac:dyDescent="0.15">
      <c r="J490" s="11"/>
      <c r="L490" s="6"/>
      <c r="M490" s="6"/>
      <c r="AW490" s="6"/>
      <c r="BK490" s="16"/>
      <c r="BL490" s="16"/>
      <c r="BN490" s="16"/>
    </row>
    <row r="491" spans="9:66" ht="18" customHeight="1" x14ac:dyDescent="0.15">
      <c r="J491" s="11"/>
      <c r="L491" s="6"/>
      <c r="M491" s="6"/>
      <c r="AW491" s="6"/>
      <c r="BK491" s="16"/>
      <c r="BL491" s="16"/>
      <c r="BN491" s="16"/>
    </row>
    <row r="492" spans="9:66" x14ac:dyDescent="0.15">
      <c r="J492" s="11"/>
      <c r="L492" s="6"/>
      <c r="M492" s="6"/>
      <c r="AW492" s="6"/>
      <c r="BK492" s="16"/>
      <c r="BL492" s="16"/>
      <c r="BN492" s="16"/>
    </row>
    <row r="493" spans="9:66" x14ac:dyDescent="0.15">
      <c r="J493" s="11"/>
      <c r="L493" s="6"/>
      <c r="M493" s="6"/>
      <c r="AW493" s="6"/>
      <c r="BK493" s="16"/>
      <c r="BL493" s="16"/>
      <c r="BN493" s="16"/>
    </row>
    <row r="494" spans="9:66" x14ac:dyDescent="0.15">
      <c r="J494" s="11"/>
      <c r="L494" s="6"/>
      <c r="M494" s="6"/>
      <c r="AW494" s="6"/>
      <c r="BK494" s="16"/>
      <c r="BL494" s="16"/>
      <c r="BN494" s="16"/>
    </row>
    <row r="495" spans="9:66" x14ac:dyDescent="0.15">
      <c r="J495" s="11"/>
      <c r="L495" s="6"/>
      <c r="M495" s="6"/>
      <c r="AW495" s="6"/>
      <c r="BK495" s="16"/>
      <c r="BL495" s="16"/>
      <c r="BN495" s="16"/>
    </row>
    <row r="496" spans="9:66" x14ac:dyDescent="0.15">
      <c r="J496" s="11"/>
      <c r="L496" s="6"/>
      <c r="M496" s="6"/>
      <c r="AW496" s="6"/>
      <c r="BK496" s="16"/>
      <c r="BL496" s="16"/>
      <c r="BN496" s="16"/>
    </row>
    <row r="497" spans="9:66" x14ac:dyDescent="0.15">
      <c r="I497" s="24"/>
      <c r="J497" s="25"/>
      <c r="K497" s="22"/>
      <c r="L497" s="6"/>
      <c r="M497" s="6"/>
      <c r="AW497" s="6"/>
      <c r="BK497" s="16"/>
      <c r="BL497" s="16"/>
      <c r="BN497" s="16"/>
    </row>
    <row r="498" spans="9:66" x14ac:dyDescent="0.15">
      <c r="I498" s="20"/>
      <c r="J498" s="21"/>
      <c r="K498" s="22"/>
      <c r="L498" s="6"/>
      <c r="M498" s="6"/>
      <c r="AW498" s="6"/>
      <c r="BK498" s="16"/>
      <c r="BL498" s="16"/>
      <c r="BN498" s="16"/>
    </row>
    <row r="499" spans="9:66" x14ac:dyDescent="0.15">
      <c r="I499" s="20"/>
      <c r="J499" s="21"/>
      <c r="K499" s="22"/>
      <c r="L499" s="6"/>
      <c r="M499" s="6"/>
      <c r="AW499" s="6"/>
      <c r="BK499" s="16"/>
      <c r="BL499" s="16"/>
      <c r="BN499" s="16"/>
    </row>
    <row r="500" spans="9:66" x14ac:dyDescent="0.15">
      <c r="I500" s="20"/>
      <c r="J500" s="21"/>
      <c r="K500" s="22"/>
      <c r="L500" s="6"/>
      <c r="M500" s="6"/>
      <c r="AW500" s="6"/>
      <c r="BK500" s="16"/>
      <c r="BL500" s="16"/>
      <c r="BN500" s="16"/>
    </row>
    <row r="501" spans="9:66" x14ac:dyDescent="0.15">
      <c r="I501" s="20"/>
      <c r="J501" s="21"/>
      <c r="K501" s="22"/>
      <c r="L501" s="6"/>
      <c r="M501" s="6"/>
      <c r="AW501" s="6"/>
      <c r="BK501" s="16"/>
      <c r="BL501" s="16"/>
      <c r="BN501" s="16"/>
    </row>
    <row r="502" spans="9:66" x14ac:dyDescent="0.15">
      <c r="I502" s="20"/>
      <c r="J502" s="21"/>
      <c r="K502" s="22"/>
      <c r="L502" s="6"/>
      <c r="M502" s="6"/>
      <c r="AW502" s="6"/>
      <c r="BK502" s="16"/>
      <c r="BL502" s="16"/>
      <c r="BN502" s="16"/>
    </row>
    <row r="503" spans="9:66" x14ac:dyDescent="0.15">
      <c r="I503" s="20"/>
      <c r="J503" s="21"/>
      <c r="K503" s="22"/>
      <c r="L503" s="6"/>
      <c r="M503" s="6"/>
      <c r="AW503" s="6"/>
      <c r="BK503" s="16"/>
      <c r="BL503" s="16"/>
      <c r="BN503" s="16"/>
    </row>
    <row r="504" spans="9:66" x14ac:dyDescent="0.15">
      <c r="I504" s="20"/>
      <c r="J504" s="21"/>
      <c r="K504" s="22"/>
      <c r="L504" s="6"/>
      <c r="M504" s="6"/>
      <c r="AW504" s="6"/>
      <c r="BK504" s="16"/>
      <c r="BL504" s="16"/>
      <c r="BN504" s="16"/>
    </row>
    <row r="505" spans="9:66" x14ac:dyDescent="0.15">
      <c r="I505" s="20"/>
      <c r="J505" s="21"/>
      <c r="K505" s="22"/>
      <c r="L505" s="6"/>
      <c r="M505" s="6"/>
      <c r="AW505" s="6"/>
      <c r="BK505" s="16"/>
      <c r="BL505" s="16"/>
      <c r="BN505" s="16"/>
    </row>
    <row r="506" spans="9:66" x14ac:dyDescent="0.15">
      <c r="I506" s="20"/>
      <c r="J506" s="21"/>
      <c r="K506" s="22"/>
      <c r="L506" s="6"/>
      <c r="M506" s="6"/>
      <c r="AW506" s="6"/>
      <c r="BK506" s="16"/>
      <c r="BL506" s="16"/>
      <c r="BN506" s="16"/>
    </row>
    <row r="507" spans="9:66" x14ac:dyDescent="0.15">
      <c r="I507" s="20"/>
      <c r="J507" s="21"/>
      <c r="K507" s="22"/>
      <c r="L507" s="6"/>
      <c r="M507" s="6"/>
      <c r="AW507" s="6"/>
      <c r="BK507" s="16"/>
      <c r="BL507" s="16"/>
      <c r="BN507" s="16"/>
    </row>
    <row r="508" spans="9:66" x14ac:dyDescent="0.15">
      <c r="I508" s="20"/>
      <c r="J508" s="21"/>
      <c r="K508" s="22"/>
      <c r="L508" s="6"/>
      <c r="M508" s="6"/>
      <c r="AW508" s="6"/>
      <c r="BK508" s="16"/>
      <c r="BL508" s="16"/>
      <c r="BN508" s="16"/>
    </row>
    <row r="509" spans="9:66" x14ac:dyDescent="0.15">
      <c r="I509" s="20"/>
      <c r="J509" s="21"/>
      <c r="K509" s="22"/>
      <c r="L509" s="6"/>
      <c r="M509" s="6"/>
      <c r="AW509" s="6"/>
      <c r="BK509" s="16"/>
      <c r="BL509" s="16"/>
      <c r="BN509" s="16"/>
    </row>
    <row r="510" spans="9:66" x14ac:dyDescent="0.15">
      <c r="I510" s="20"/>
      <c r="J510" s="21"/>
      <c r="K510" s="22"/>
      <c r="L510" s="6"/>
      <c r="M510" s="6"/>
      <c r="AW510" s="6"/>
      <c r="BK510" s="16"/>
      <c r="BL510" s="16"/>
      <c r="BN510" s="16"/>
    </row>
    <row r="511" spans="9:66" x14ac:dyDescent="0.15">
      <c r="J511" s="11"/>
      <c r="L511" s="6"/>
      <c r="M511" s="6"/>
      <c r="AW511" s="6"/>
      <c r="BK511" s="16"/>
      <c r="BL511" s="16"/>
      <c r="BN511" s="16"/>
    </row>
    <row r="512" spans="9:66" x14ac:dyDescent="0.15">
      <c r="J512" s="11"/>
      <c r="L512" s="6"/>
      <c r="M512" s="6"/>
      <c r="AW512" s="6"/>
      <c r="BK512" s="16"/>
      <c r="BL512" s="16"/>
      <c r="BN512" s="16"/>
    </row>
    <row r="513" spans="9:74" x14ac:dyDescent="0.15">
      <c r="I513" s="7"/>
      <c r="J513" s="23"/>
      <c r="L513" s="6"/>
      <c r="M513" s="6"/>
      <c r="BK513" s="15"/>
      <c r="BL513" s="15"/>
      <c r="BN513" s="16"/>
    </row>
    <row r="514" spans="9:74" x14ac:dyDescent="0.15">
      <c r="I514" s="7"/>
      <c r="J514" s="23"/>
      <c r="L514" s="6"/>
      <c r="M514" s="6"/>
      <c r="BK514" s="15"/>
      <c r="BL514" s="15"/>
      <c r="BN514" s="16"/>
    </row>
    <row r="515" spans="9:74" x14ac:dyDescent="0.15">
      <c r="I515" s="7"/>
      <c r="J515" s="23"/>
      <c r="L515" s="6"/>
      <c r="M515" s="6"/>
      <c r="BK515" s="15"/>
      <c r="BL515" s="15"/>
      <c r="BN515" s="16"/>
    </row>
    <row r="516" spans="9:74" x14ac:dyDescent="0.15">
      <c r="I516" s="20"/>
      <c r="J516" s="21"/>
      <c r="K516" s="22"/>
      <c r="L516" s="6"/>
      <c r="M516" s="6"/>
      <c r="AW516" s="6"/>
      <c r="BK516" s="16"/>
      <c r="BL516" s="16"/>
      <c r="BN516" s="16"/>
    </row>
    <row r="517" spans="9:74" x14ac:dyDescent="0.15">
      <c r="I517" s="20"/>
      <c r="J517" s="21"/>
      <c r="K517" s="22"/>
      <c r="L517" s="6"/>
      <c r="M517" s="6"/>
      <c r="AW517" s="6"/>
      <c r="BK517" s="16"/>
      <c r="BL517" s="16"/>
      <c r="BN517" s="16"/>
    </row>
    <row r="518" spans="9:74" x14ac:dyDescent="0.15">
      <c r="I518" s="20"/>
      <c r="J518" s="21"/>
      <c r="K518" s="22"/>
      <c r="L518" s="6"/>
      <c r="M518" s="6"/>
      <c r="AW518" s="6"/>
      <c r="BK518" s="16"/>
      <c r="BL518" s="16"/>
      <c r="BN518" s="16"/>
    </row>
    <row r="519" spans="9:74" x14ac:dyDescent="0.15">
      <c r="I519" s="20"/>
      <c r="J519" s="21"/>
      <c r="K519" s="22"/>
      <c r="L519" s="6"/>
      <c r="M519" s="6"/>
      <c r="AW519" s="6"/>
      <c r="BK519" s="16"/>
      <c r="BL519" s="16"/>
      <c r="BN519" s="15"/>
      <c r="BV519" s="16"/>
    </row>
    <row r="520" spans="9:74" x14ac:dyDescent="0.15">
      <c r="I520" s="20"/>
      <c r="J520" s="21"/>
      <c r="K520" s="22"/>
      <c r="L520" s="6"/>
      <c r="M520" s="6"/>
      <c r="AW520" s="6"/>
      <c r="BK520" s="16"/>
      <c r="BL520" s="16"/>
      <c r="BN520" s="15"/>
      <c r="BV520" s="16"/>
    </row>
    <row r="521" spans="9:74" x14ac:dyDescent="0.15">
      <c r="I521" s="20"/>
      <c r="J521" s="21"/>
      <c r="K521" s="22"/>
      <c r="L521" s="6"/>
      <c r="M521" s="6"/>
      <c r="AW521" s="6"/>
      <c r="BK521" s="16"/>
      <c r="BL521" s="16"/>
      <c r="BN521" s="15"/>
      <c r="BV521" s="16"/>
    </row>
  </sheetData>
  <autoFilter ref="A3:AE521" xr:uid="{00000000-0009-0000-0000-000000000000}">
    <filterColumn colId="1">
      <filters blank="1">
        <filter val="1"/>
        <filter val="2"/>
        <filter val="5"/>
      </filters>
    </filterColumn>
  </autoFilter>
  <mergeCells count="1">
    <mergeCell ref="O5:O6"/>
  </mergeCells>
  <phoneticPr fontId="6" type="noConversion"/>
  <conditionalFormatting sqref="BR14">
    <cfRule type="duplicateValues" dxfId="114" priority="168"/>
  </conditionalFormatting>
  <conditionalFormatting sqref="BK257:BL257">
    <cfRule type="duplicateValues" dxfId="113" priority="135"/>
  </conditionalFormatting>
  <conditionalFormatting sqref="BS257">
    <cfRule type="duplicateValues" dxfId="112" priority="136"/>
  </conditionalFormatting>
  <conditionalFormatting sqref="BK356:BL356">
    <cfRule type="duplicateValues" dxfId="111" priority="102"/>
  </conditionalFormatting>
  <conditionalFormatting sqref="BS356">
    <cfRule type="duplicateValues" dxfId="110" priority="103"/>
  </conditionalFormatting>
  <conditionalFormatting sqref="BK377:BL377">
    <cfRule type="duplicateValues" dxfId="109" priority="14"/>
  </conditionalFormatting>
  <conditionalFormatting sqref="BS377">
    <cfRule type="duplicateValues" dxfId="108" priority="15"/>
  </conditionalFormatting>
  <conditionalFormatting sqref="BN378">
    <cfRule type="duplicateValues" dxfId="107" priority="8"/>
    <cfRule type="duplicateValues" dxfId="106" priority="9"/>
    <cfRule type="duplicateValues" dxfId="105" priority="10"/>
  </conditionalFormatting>
  <conditionalFormatting sqref="BK439:BL439">
    <cfRule type="duplicateValues" dxfId="104" priority="2"/>
  </conditionalFormatting>
  <conditionalFormatting sqref="BS439">
    <cfRule type="duplicateValues" dxfId="103" priority="3"/>
  </conditionalFormatting>
  <conditionalFormatting sqref="BK443:BL443">
    <cfRule type="duplicateValues" dxfId="102" priority="4"/>
  </conditionalFormatting>
  <conditionalFormatting sqref="BS443">
    <cfRule type="duplicateValues" dxfId="101" priority="5"/>
  </conditionalFormatting>
  <conditionalFormatting sqref="BK452:BL452">
    <cfRule type="duplicateValues" dxfId="100" priority="6"/>
  </conditionalFormatting>
  <conditionalFormatting sqref="BS452">
    <cfRule type="duplicateValues" dxfId="99" priority="7"/>
  </conditionalFormatting>
  <conditionalFormatting sqref="BK455:BL455">
    <cfRule type="duplicateValues" dxfId="98" priority="95"/>
  </conditionalFormatting>
  <conditionalFormatting sqref="BS455">
    <cfRule type="duplicateValues" dxfId="97" priority="96"/>
  </conditionalFormatting>
  <conditionalFormatting sqref="BK513:BL513">
    <cfRule type="duplicateValues" dxfId="96" priority="61"/>
    <cfRule type="duplicateValues" dxfId="95" priority="62"/>
    <cfRule type="duplicateValues" dxfId="94" priority="63"/>
  </conditionalFormatting>
  <conditionalFormatting sqref="BS513">
    <cfRule type="duplicateValues" dxfId="93" priority="60"/>
  </conditionalFormatting>
  <conditionalFormatting sqref="BK514:BL514">
    <cfRule type="duplicateValues" dxfId="92" priority="57"/>
    <cfRule type="duplicateValues" dxfId="91" priority="58"/>
    <cfRule type="duplicateValues" dxfId="90" priority="59"/>
  </conditionalFormatting>
  <conditionalFormatting sqref="BS514">
    <cfRule type="duplicateValues" dxfId="89" priority="56"/>
  </conditionalFormatting>
  <conditionalFormatting sqref="BK515:BL515">
    <cfRule type="duplicateValues" dxfId="88" priority="53"/>
    <cfRule type="duplicateValues" dxfId="87" priority="54"/>
    <cfRule type="duplicateValues" dxfId="86" priority="55"/>
  </conditionalFormatting>
  <conditionalFormatting sqref="BS515">
    <cfRule type="duplicateValues" dxfId="85" priority="52"/>
  </conditionalFormatting>
  <conditionalFormatting sqref="BK516:BL516">
    <cfRule type="duplicateValues" dxfId="84" priority="50"/>
  </conditionalFormatting>
  <conditionalFormatting sqref="BN516">
    <cfRule type="duplicateValues" dxfId="83" priority="34"/>
    <cfRule type="duplicateValues" dxfId="82" priority="35"/>
    <cfRule type="duplicateValues" dxfId="81" priority="36"/>
  </conditionalFormatting>
  <conditionalFormatting sqref="BS516">
    <cfRule type="duplicateValues" dxfId="80" priority="51"/>
  </conditionalFormatting>
  <conditionalFormatting sqref="BK517:BL517">
    <cfRule type="duplicateValues" dxfId="79" priority="39"/>
  </conditionalFormatting>
  <conditionalFormatting sqref="BN517">
    <cfRule type="duplicateValues" dxfId="78" priority="31"/>
    <cfRule type="duplicateValues" dxfId="77" priority="32"/>
    <cfRule type="duplicateValues" dxfId="76" priority="33"/>
  </conditionalFormatting>
  <conditionalFormatting sqref="BS517">
    <cfRule type="duplicateValues" dxfId="75" priority="40"/>
  </conditionalFormatting>
  <conditionalFormatting sqref="BK518:BL518">
    <cfRule type="duplicateValues" dxfId="74" priority="37"/>
  </conditionalFormatting>
  <conditionalFormatting sqref="BN518">
    <cfRule type="duplicateValues" dxfId="73" priority="28"/>
    <cfRule type="duplicateValues" dxfId="72" priority="29"/>
    <cfRule type="duplicateValues" dxfId="71" priority="30"/>
  </conditionalFormatting>
  <conditionalFormatting sqref="BS518">
    <cfRule type="duplicateValues" dxfId="70" priority="38"/>
  </conditionalFormatting>
  <conditionalFormatting sqref="BK519:BL519">
    <cfRule type="duplicateValues" dxfId="69" priority="25"/>
    <cfRule type="duplicateValues" dxfId="68" priority="26"/>
    <cfRule type="duplicateValues" dxfId="67" priority="27"/>
  </conditionalFormatting>
  <conditionalFormatting sqref="BS519">
    <cfRule type="duplicateValues" dxfId="66" priority="24"/>
  </conditionalFormatting>
  <conditionalFormatting sqref="BK520:BL520">
    <cfRule type="duplicateValues" dxfId="65" priority="21"/>
    <cfRule type="duplicateValues" dxfId="64" priority="22"/>
    <cfRule type="duplicateValues" dxfId="63" priority="23"/>
  </conditionalFormatting>
  <conditionalFormatting sqref="BS520">
    <cfRule type="duplicateValues" dxfId="62" priority="20"/>
  </conditionalFormatting>
  <conditionalFormatting sqref="BK521:BL521">
    <cfRule type="duplicateValues" dxfId="61" priority="17"/>
    <cfRule type="duplicateValues" dxfId="60" priority="18"/>
    <cfRule type="duplicateValues" dxfId="59" priority="19"/>
  </conditionalFormatting>
  <conditionalFormatting sqref="BS521">
    <cfRule type="duplicateValues" dxfId="58" priority="16"/>
  </conditionalFormatting>
  <conditionalFormatting sqref="BN138:BN155">
    <cfRule type="duplicateValues" dxfId="57" priority="68"/>
  </conditionalFormatting>
  <conditionalFormatting sqref="BN237:BN254">
    <cfRule type="duplicateValues" dxfId="56" priority="67"/>
  </conditionalFormatting>
  <conditionalFormatting sqref="BS162:BS170">
    <cfRule type="duplicateValues" dxfId="55" priority="159"/>
  </conditionalFormatting>
  <conditionalFormatting sqref="BS171:BS179">
    <cfRule type="duplicateValues" dxfId="54" priority="155"/>
  </conditionalFormatting>
  <conditionalFormatting sqref="BS180:BS188">
    <cfRule type="duplicateValues" dxfId="53" priority="151"/>
  </conditionalFormatting>
  <conditionalFormatting sqref="BS189:BS194">
    <cfRule type="duplicateValues" dxfId="52" priority="357"/>
  </conditionalFormatting>
  <conditionalFormatting sqref="BS195:BS227">
    <cfRule type="duplicateValues" dxfId="51" priority="494"/>
  </conditionalFormatting>
  <conditionalFormatting sqref="BS261:BS293">
    <cfRule type="duplicateValues" dxfId="50" priority="946"/>
  </conditionalFormatting>
  <conditionalFormatting sqref="BS294:BS326">
    <cfRule type="duplicateValues" dxfId="49" priority="108"/>
  </conditionalFormatting>
  <conditionalFormatting sqref="BS393:BS425">
    <cfRule type="duplicateValues" dxfId="48" priority="101"/>
  </conditionalFormatting>
  <conditionalFormatting sqref="BS459:BS467">
    <cfRule type="duplicateValues" dxfId="47" priority="128"/>
  </conditionalFormatting>
  <conditionalFormatting sqref="BS468:BS476">
    <cfRule type="duplicateValues" dxfId="46" priority="124"/>
  </conditionalFormatting>
  <conditionalFormatting sqref="BS477:BS485">
    <cfRule type="duplicateValues" dxfId="45" priority="120"/>
  </conditionalFormatting>
  <conditionalFormatting sqref="BS486:BS491">
    <cfRule type="duplicateValues" dxfId="44" priority="133"/>
  </conditionalFormatting>
  <conditionalFormatting sqref="BS492:BS512">
    <cfRule type="duplicateValues" dxfId="43" priority="978"/>
  </conditionalFormatting>
  <conditionalFormatting sqref="BS522:BS531">
    <cfRule type="duplicateValues" dxfId="42" priority="979"/>
  </conditionalFormatting>
  <conditionalFormatting sqref="BK522:BL1048576 BL3 BJ4:BK116 BK117:BL160 BK1:BL2">
    <cfRule type="duplicateValues" dxfId="41" priority="172"/>
  </conditionalFormatting>
  <conditionalFormatting sqref="BR15:BR85 BS1:BS2 BR4:BR13 BR87:BR116 BS117:BS161 BS532:BS1048576">
    <cfRule type="duplicateValues" dxfId="40" priority="171"/>
  </conditionalFormatting>
  <conditionalFormatting sqref="BK522:BL1048576 BJ4:BK116 BK117:BL160">
    <cfRule type="duplicateValues" dxfId="39" priority="173"/>
  </conditionalFormatting>
  <conditionalFormatting sqref="BR4:BR11 BJ4:BK116 BK117:BL160 BK522:BL1048576">
    <cfRule type="duplicateValues" dxfId="38" priority="254"/>
  </conditionalFormatting>
  <conditionalFormatting sqref="BK162:BL170">
    <cfRule type="duplicateValues" dxfId="37" priority="160"/>
    <cfRule type="duplicateValues" dxfId="36" priority="161"/>
    <cfRule type="duplicateValues" dxfId="35" priority="162"/>
  </conditionalFormatting>
  <conditionalFormatting sqref="BK171:BL179">
    <cfRule type="duplicateValues" dxfId="34" priority="156"/>
    <cfRule type="duplicateValues" dxfId="33" priority="157"/>
    <cfRule type="duplicateValues" dxfId="32" priority="158"/>
  </conditionalFormatting>
  <conditionalFormatting sqref="BK180:BL188">
    <cfRule type="duplicateValues" dxfId="31" priority="152"/>
    <cfRule type="duplicateValues" dxfId="30" priority="153"/>
    <cfRule type="duplicateValues" dxfId="29" priority="154"/>
  </conditionalFormatting>
  <conditionalFormatting sqref="BK189:BL194">
    <cfRule type="duplicateValues" dxfId="28" priority="355"/>
  </conditionalFormatting>
  <conditionalFormatting sqref="BK189:BL192">
    <cfRule type="duplicateValues" dxfId="27" priority="359"/>
  </conditionalFormatting>
  <conditionalFormatting sqref="BK195:BL227">
    <cfRule type="duplicateValues" dxfId="26" priority="493"/>
  </conditionalFormatting>
  <conditionalFormatting sqref="BK222:BL227">
    <cfRule type="duplicateValues" dxfId="25" priority="492"/>
  </conditionalFormatting>
  <conditionalFormatting sqref="BK228:BL256 BK258:BL260">
    <cfRule type="duplicateValues" dxfId="24" priority="607"/>
  </conditionalFormatting>
  <conditionalFormatting sqref="BS228:BS256 BS258:BS260">
    <cfRule type="duplicateValues" dxfId="23" priority="609"/>
  </conditionalFormatting>
  <conditionalFormatting sqref="BK261:BL293">
    <cfRule type="duplicateValues" dxfId="22" priority="945"/>
  </conditionalFormatting>
  <conditionalFormatting sqref="BK294:BL326">
    <cfRule type="duplicateValues" dxfId="21" priority="107"/>
  </conditionalFormatting>
  <conditionalFormatting sqref="BK321:BL326">
    <cfRule type="duplicateValues" dxfId="20" priority="106"/>
  </conditionalFormatting>
  <conditionalFormatting sqref="BK327:BL355 BK357:BL359">
    <cfRule type="duplicateValues" dxfId="19" priority="104"/>
  </conditionalFormatting>
  <conditionalFormatting sqref="BS327:BS355 BS357:BS359">
    <cfRule type="duplicateValues" dxfId="18" priority="105"/>
  </conditionalFormatting>
  <conditionalFormatting sqref="BK360:BL376 BK378:BL392">
    <cfRule type="duplicateValues" dxfId="17" priority="110"/>
  </conditionalFormatting>
  <conditionalFormatting sqref="BS360:BS376 BS378:BS392">
    <cfRule type="duplicateValues" dxfId="16" priority="111"/>
  </conditionalFormatting>
  <conditionalFormatting sqref="BK393:BL425">
    <cfRule type="duplicateValues" dxfId="15" priority="100"/>
  </conditionalFormatting>
  <conditionalFormatting sqref="BK420:BL425">
    <cfRule type="duplicateValues" dxfId="14" priority="99"/>
  </conditionalFormatting>
  <conditionalFormatting sqref="BK426:BL438 BK456:BL458 BK453:BL454 BK444:BL451 BK440:BL442">
    <cfRule type="duplicateValues" dxfId="13" priority="97"/>
  </conditionalFormatting>
  <conditionalFormatting sqref="BS426:BS438 BS456:BS458 BS453:BS454 BS444:BS451 BS440:BS442">
    <cfRule type="duplicateValues" dxfId="12" priority="98"/>
  </conditionalFormatting>
  <conditionalFormatting sqref="BK459:BL467">
    <cfRule type="duplicateValues" dxfId="11" priority="129"/>
    <cfRule type="duplicateValues" dxfId="10" priority="130"/>
    <cfRule type="duplicateValues" dxfId="9" priority="131"/>
  </conditionalFormatting>
  <conditionalFormatting sqref="BK468:BL476">
    <cfRule type="duplicateValues" dxfId="8" priority="125"/>
    <cfRule type="duplicateValues" dxfId="7" priority="126"/>
    <cfRule type="duplicateValues" dxfId="6" priority="127"/>
  </conditionalFormatting>
  <conditionalFormatting sqref="BK477:BL485">
    <cfRule type="duplicateValues" dxfId="5" priority="121"/>
    <cfRule type="duplicateValues" dxfId="4" priority="122"/>
    <cfRule type="duplicateValues" dxfId="3" priority="123"/>
  </conditionalFormatting>
  <conditionalFormatting sqref="BK486:BL491">
    <cfRule type="duplicateValues" dxfId="2" priority="132"/>
  </conditionalFormatting>
  <conditionalFormatting sqref="BK486:BL489">
    <cfRule type="duplicateValues" dxfId="1" priority="134"/>
  </conditionalFormatting>
  <conditionalFormatting sqref="BK492:BL512">
    <cfRule type="duplicateValues" dxfId="0" priority="959"/>
  </conditionalFormatting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2017-06-13T02:34:00Z</dcterms:created>
  <dcterms:modified xsi:type="dcterms:W3CDTF">2020-12-09T07:53:13Z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2052-11.1.0.10132</vt:lpwstr>
  </property>
</Properties>
</file>