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AD1C77F6-5B91-49F2-BCCA-5FF42AA33B7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3" i="1" l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<sst xmlns="http://schemas.openxmlformats.org/spreadsheetml/2006/main" count="93" uniqueCount="71">
  <si>
    <t>id</t>
  </si>
  <si>
    <t>name</t>
  </si>
  <si>
    <t>image</t>
  </si>
  <si>
    <r>
      <rPr>
        <sz val="11"/>
        <color theme="1"/>
        <rFont val="宋体"/>
        <family val="3"/>
        <charset val="134"/>
        <scheme val="minor"/>
      </rPr>
      <t>p</t>
    </r>
    <r>
      <rPr>
        <sz val="11"/>
        <color theme="1"/>
        <rFont val="宋体"/>
        <family val="3"/>
        <charset val="134"/>
        <scheme val="minor"/>
      </rPr>
      <t>refab</t>
    </r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</si>
  <si>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tar</t>
    </r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</si>
  <si>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amp</t>
    </r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</si>
  <si>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kill_id</t>
    </r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</si>
  <si>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alent_id</t>
    </r>
  </si>
  <si>
    <t>unlock_exp</t>
  </si>
  <si>
    <t>starup_exp</t>
  </si>
  <si>
    <t>starup_money</t>
  </si>
  <si>
    <t>int32</t>
  </si>
  <si>
    <t>string</t>
  </si>
  <si>
    <t>list&lt;int32&gt;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</si>
  <si>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</si>
  <si>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ID</t>
  </si>
  <si>
    <t>宠物名称</t>
  </si>
  <si>
    <t>宠物图片</t>
  </si>
  <si>
    <t>宠物形象</t>
  </si>
  <si>
    <t>宠物星级</t>
  </si>
  <si>
    <t>宠物阵营</t>
  </si>
  <si>
    <t>宠物技能</t>
  </si>
  <si>
    <t>光环被动</t>
  </si>
  <si>
    <t>解锁经验需求</t>
  </si>
  <si>
    <t>升星经验需求</t>
  </si>
  <si>
    <t>升星金币需求</t>
  </si>
  <si>
    <t>pet1_1</t>
  </si>
  <si>
    <t>Pet1_1</t>
  </si>
  <si>
    <t>pet1_2</t>
  </si>
  <si>
    <t>Pet1_2</t>
  </si>
  <si>
    <t>pet1_3</t>
  </si>
  <si>
    <t>Pet1_3</t>
  </si>
  <si>
    <t>pet1_4</t>
  </si>
  <si>
    <t>Pet1_4</t>
  </si>
  <si>
    <t>pet2_1</t>
  </si>
  <si>
    <t>Pet2_1</t>
  </si>
  <si>
    <t>pet2_2</t>
  </si>
  <si>
    <t>Pet2_2</t>
  </si>
  <si>
    <t>pet2_3</t>
  </si>
  <si>
    <t>Pet2_3</t>
  </si>
  <si>
    <t>pet2_4</t>
  </si>
  <si>
    <t>Pet2_4</t>
  </si>
  <si>
    <t>pet3_1</t>
  </si>
  <si>
    <t>Pet3_1</t>
  </si>
  <si>
    <t>pet3_2</t>
  </si>
  <si>
    <t>Pet3_2</t>
  </si>
  <si>
    <t>pet3_3</t>
  </si>
  <si>
    <t>Pet3_3</t>
  </si>
  <si>
    <t>pet3_4</t>
  </si>
  <si>
    <t>Pet3_4</t>
  </si>
  <si>
    <t>pet4_1</t>
  </si>
  <si>
    <t>Pet4_1</t>
  </si>
  <si>
    <t>pet4_2</t>
  </si>
  <si>
    <t>Pet4_2</t>
  </si>
  <si>
    <t>pet4_3</t>
  </si>
  <si>
    <t>Pet4_3</t>
  </si>
  <si>
    <t>pet4_4</t>
  </si>
  <si>
    <t>Pet4_4</t>
  </si>
  <si>
    <t>pet5_1</t>
  </si>
  <si>
    <t>Pet5_1</t>
  </si>
  <si>
    <t>pet5_2</t>
  </si>
  <si>
    <t>Pet5_2</t>
  </si>
  <si>
    <t>pet5_3</t>
  </si>
  <si>
    <t>Pet5_3</t>
  </si>
  <si>
    <t>pet5_4</t>
  </si>
  <si>
    <t>Pet5_4</t>
  </si>
  <si>
    <t>DATA_Pet_Name1</t>
    <phoneticPr fontId="6" type="noConversion"/>
  </si>
  <si>
    <t>DATA_Pet_Name2</t>
  </si>
  <si>
    <t>DATA_Pet_Name3</t>
  </si>
  <si>
    <t>DATA_Pet_Name4</t>
  </si>
  <si>
    <t>DATA_Pet_Name5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</si>
</sst>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</font>
    <font>
      <sz val="9"/>
      <name val="DengXi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0" applyFont="1">
      <alignment vertical="center"/>
    </xf>
    <xf numFmtId="0" fontId="0" fillId="0" borderId="0" xfId="0" applyFont="1" applyAlignment="1"/>
    <xf numFmtId="0" fontId="0" fillId="0" borderId="0" xfId="0" applyAlignment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9"/>
  <sheetViews>
    <sheetView tabSelected="1" workbookViewId="0">
      <selection activeCell="B16" sqref="B16"/>
    </sheetView>
  </sheetViews>
  <sheetFormatPr defaultColWidth="9" defaultRowHeight="13.5"/>
  <cols>
    <col min="1" max="1" width="6.5" customWidth="1"/>
    <col min="2" max="2" width="9.5" customWidth="1"/>
    <col min="3" max="3" width="10.5" customWidth="1"/>
    <col min="4" max="4" width="16.125" customWidth="1"/>
    <col min="5" max="6" width="9.5" customWidth="1"/>
    <col min="7" max="7" width="13.875" customWidth="1"/>
    <col min="8" max="8" width="21.625" customWidth="1"/>
    <col min="9" max="9" width="17.25" customWidth="1"/>
    <col min="10" max="10" width="17.375" customWidth="1"/>
    <col min="11" max="11" width="23" customWidth="1"/>
    <col min="12" max="12" width="15.375" customWidth="1"/>
    <col min="13" max="13" width="11.625" customWidth="1"/>
    <col min="14" max="14" width="9.5" customWidth="1"/>
  </cols>
  <sheetData>
    <row r="1" spans="1:19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5" t="s">
        <v>8</v>
      </c>
      <c r="J1" s="5" t="s">
        <v>9</v>
      </c>
      <c r="K1" s="5" t="s">
        <v>10</v>
      </c>
      <c r="M1" s="4"/>
      <c r="N1" s="4"/>
      <c r="O1" s="4"/>
      <c r="P1" s="4"/>
      <c r="Q1" s="3"/>
      <c r="R1" s="4"/>
      <c r="S1" s="7"/>
    </row>
    <row r="2" spans="1:19">
      <c r="A2" t="s">
        <v>11</v>
      </c>
      <c r="B2" t="s">
        <v>12</v>
      </c>
      <c r="C2" t="s">
        <v>12</v>
      </c>
      <c r="D2" t="s">
        <v>12</v>
      </c>
      <c r="E2" t="s">
        <v>11</v>
      </c>
      <c r="F2" t="s">
        <v>11</v>
      </c>
      <c r="G2" t="s">
        <v>11</v>
      </c>
      <c r="H2" s="2" t="s">
        <v>13</v>
      </c>
      <c r="I2" s="3" t="s">
        <v>11</v>
      </c>
      <c r="J2" s="3" t="s">
        <v>14</v>
      </c>
      <c r="K2" s="3" t="s">
        <v>14</v>
      </c>
      <c r="O2" s="5"/>
      <c r="P2" s="5"/>
      <c r="Q2" s="5"/>
      <c r="R2" s="5"/>
      <c r="S2" s="5"/>
    </row>
    <row r="3" spans="1:19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s="3" t="s">
        <v>23</v>
      </c>
      <c r="J3" s="3" t="s">
        <v>24</v>
      </c>
      <c r="K3" s="3" t="s">
        <v>25</v>
      </c>
      <c r="P3" s="3"/>
      <c r="Q3" s="3"/>
      <c r="R3" s="4"/>
      <c r="S3" s="4"/>
    </row>
    <row r="4" spans="1:19" ht="14.25">
      <c r="A4">
        <v>100</v>
      </c>
      <c r="B4" s="8" t="s">
        <v>66</v>
      </c>
      <c r="C4" t="s">
        <v>26</v>
      </c>
      <c r="D4" t="s">
        <v>27</v>
      </c>
      <c r="E4">
        <v>0</v>
      </c>
      <c r="F4">
        <v>3</v>
      </c>
      <c r="G4">
        <v>1001</v>
      </c>
      <c r="H4" t="str">
        <f>M4&amp;","&amp;N4&amp;","&amp;O4&amp;","&amp;P4</f>
        <v>1011,1021,1031,1041</v>
      </c>
      <c r="I4" s="1">
        <v>100</v>
      </c>
      <c r="J4" s="1">
        <v>1000</v>
      </c>
      <c r="K4" s="1">
        <v>30000</v>
      </c>
      <c r="M4">
        <v>1011</v>
      </c>
      <c r="N4">
        <v>1021</v>
      </c>
      <c r="O4">
        <v>1031</v>
      </c>
      <c r="P4">
        <v>1041</v>
      </c>
    </row>
    <row r="5" spans="1:19" ht="14.25">
      <c r="A5">
        <v>101</v>
      </c>
      <c r="B5" s="8" t="s">
        <v>66</v>
      </c>
      <c r="C5" t="s">
        <v>28</v>
      </c>
      <c r="D5" t="s">
        <v>29</v>
      </c>
      <c r="E5">
        <v>1</v>
      </c>
      <c r="F5">
        <v>3</v>
      </c>
      <c r="G5">
        <v>1002</v>
      </c>
      <c r="H5" t="str">
        <f t="shared" ref="H5:H23" si="0">M5&amp;","&amp;N5&amp;","&amp;O5&amp;","&amp;P5</f>
        <v>1011,1021,1031,1041</v>
      </c>
      <c r="I5">
        <v>100</v>
      </c>
      <c r="J5" s="3">
        <v>5000</v>
      </c>
      <c r="K5" s="3">
        <v>150000</v>
      </c>
      <c r="M5">
        <v>1011</v>
      </c>
      <c r="N5">
        <v>1021</v>
      </c>
      <c r="O5">
        <v>1031</v>
      </c>
      <c r="P5">
        <v>1041</v>
      </c>
      <c r="Q5" s="3"/>
      <c r="R5" s="4"/>
      <c r="S5" s="4"/>
    </row>
    <row r="6" spans="1:19" ht="14.25">
      <c r="A6">
        <v>102</v>
      </c>
      <c r="B6" s="8" t="s">
        <v>66</v>
      </c>
      <c r="C6" t="s">
        <v>30</v>
      </c>
      <c r="D6" t="s">
        <v>31</v>
      </c>
      <c r="E6">
        <v>2</v>
      </c>
      <c r="F6">
        <v>3</v>
      </c>
      <c r="G6">
        <v>1003</v>
      </c>
      <c r="H6" t="str">
        <f t="shared" si="0"/>
        <v>1011,1021,1031,1041</v>
      </c>
      <c r="I6" s="1">
        <v>100</v>
      </c>
      <c r="J6" s="5">
        <v>10000</v>
      </c>
      <c r="K6" s="5">
        <v>300000</v>
      </c>
      <c r="M6">
        <v>1011</v>
      </c>
      <c r="N6">
        <v>1021</v>
      </c>
      <c r="O6">
        <v>1031</v>
      </c>
      <c r="P6">
        <v>1041</v>
      </c>
    </row>
    <row r="7" spans="1:19" ht="14.25">
      <c r="A7">
        <v>103</v>
      </c>
      <c r="B7" s="8" t="s">
        <v>66</v>
      </c>
      <c r="C7" t="s">
        <v>32</v>
      </c>
      <c r="D7" t="s">
        <v>33</v>
      </c>
      <c r="E7">
        <v>3</v>
      </c>
      <c r="F7">
        <v>3</v>
      </c>
      <c r="G7">
        <v>1004</v>
      </c>
      <c r="H7" t="str">
        <f t="shared" si="0"/>
        <v>1011,1021,1031,1041</v>
      </c>
      <c r="I7">
        <v>100</v>
      </c>
      <c r="J7" s="3">
        <v>0</v>
      </c>
      <c r="K7" s="3">
        <v>0</v>
      </c>
      <c r="M7">
        <v>1011</v>
      </c>
      <c r="N7">
        <v>1021</v>
      </c>
      <c r="O7">
        <v>1031</v>
      </c>
      <c r="P7">
        <v>1041</v>
      </c>
    </row>
    <row r="8" spans="1:19" ht="14.25">
      <c r="A8">
        <v>200</v>
      </c>
      <c r="B8" s="8" t="s">
        <v>67</v>
      </c>
      <c r="C8" t="s">
        <v>34</v>
      </c>
      <c r="D8" t="s">
        <v>35</v>
      </c>
      <c r="E8">
        <v>0</v>
      </c>
      <c r="F8">
        <v>1</v>
      </c>
      <c r="G8">
        <v>2001</v>
      </c>
      <c r="H8" t="str">
        <f t="shared" si="0"/>
        <v>2011,2021,2031,2041</v>
      </c>
      <c r="I8" s="1">
        <v>100</v>
      </c>
      <c r="J8" s="1">
        <v>1000</v>
      </c>
      <c r="K8" s="1">
        <v>30000</v>
      </c>
      <c r="L8" s="6"/>
      <c r="M8">
        <v>2011</v>
      </c>
      <c r="N8">
        <v>2021</v>
      </c>
      <c r="O8">
        <v>2031</v>
      </c>
      <c r="P8">
        <v>2041</v>
      </c>
    </row>
    <row r="9" spans="1:19" ht="14.25">
      <c r="A9">
        <v>201</v>
      </c>
      <c r="B9" s="8" t="s">
        <v>67</v>
      </c>
      <c r="C9" t="s">
        <v>36</v>
      </c>
      <c r="D9" t="s">
        <v>37</v>
      </c>
      <c r="E9">
        <v>1</v>
      </c>
      <c r="F9">
        <v>1</v>
      </c>
      <c r="G9">
        <v>2002</v>
      </c>
      <c r="H9" t="str">
        <f t="shared" si="0"/>
        <v>2011,2021,2031,2041</v>
      </c>
      <c r="I9">
        <v>100</v>
      </c>
      <c r="J9" s="3">
        <v>5000</v>
      </c>
      <c r="K9" s="3">
        <v>150000</v>
      </c>
      <c r="L9" s="6"/>
      <c r="M9">
        <v>2011</v>
      </c>
      <c r="N9">
        <v>2021</v>
      </c>
      <c r="O9">
        <v>2031</v>
      </c>
      <c r="P9">
        <v>2041</v>
      </c>
    </row>
    <row r="10" spans="1:19" ht="14.25">
      <c r="A10">
        <v>202</v>
      </c>
      <c r="B10" s="8" t="s">
        <v>67</v>
      </c>
      <c r="C10" t="s">
        <v>38</v>
      </c>
      <c r="D10" t="s">
        <v>39</v>
      </c>
      <c r="E10">
        <v>2</v>
      </c>
      <c r="F10">
        <v>1</v>
      </c>
      <c r="G10">
        <v>2003</v>
      </c>
      <c r="H10" t="str">
        <f t="shared" si="0"/>
        <v>2011,2021,2031,2041</v>
      </c>
      <c r="I10" s="1">
        <v>100</v>
      </c>
      <c r="J10" s="5">
        <v>10000</v>
      </c>
      <c r="K10" s="5">
        <v>300000</v>
      </c>
      <c r="L10" s="6"/>
      <c r="M10">
        <v>2011</v>
      </c>
      <c r="N10">
        <v>2021</v>
      </c>
      <c r="O10">
        <v>2031</v>
      </c>
      <c r="P10">
        <v>2041</v>
      </c>
    </row>
    <row r="11" spans="1:19" ht="14.25">
      <c r="A11">
        <v>203</v>
      </c>
      <c r="B11" s="8" t="s">
        <v>67</v>
      </c>
      <c r="C11" t="s">
        <v>40</v>
      </c>
      <c r="D11" t="s">
        <v>41</v>
      </c>
      <c r="E11">
        <v>3</v>
      </c>
      <c r="F11">
        <v>1</v>
      </c>
      <c r="G11">
        <v>2004</v>
      </c>
      <c r="H11" t="str">
        <f t="shared" si="0"/>
        <v>2011,2021,2031,2041</v>
      </c>
      <c r="I11">
        <v>100</v>
      </c>
      <c r="J11" s="3">
        <v>0</v>
      </c>
      <c r="K11" s="3">
        <v>0</v>
      </c>
      <c r="L11" s="6"/>
      <c r="M11">
        <v>2011</v>
      </c>
      <c r="N11">
        <v>2021</v>
      </c>
      <c r="O11">
        <v>2031</v>
      </c>
      <c r="P11">
        <v>2041</v>
      </c>
    </row>
    <row r="12" spans="1:19" ht="14.25">
      <c r="A12">
        <v>300</v>
      </c>
      <c r="B12" s="8" t="s">
        <v>68</v>
      </c>
      <c r="C12" t="s">
        <v>42</v>
      </c>
      <c r="D12" t="s">
        <v>43</v>
      </c>
      <c r="E12">
        <v>0</v>
      </c>
      <c r="F12">
        <v>5</v>
      </c>
      <c r="G12">
        <v>3001</v>
      </c>
      <c r="H12" t="str">
        <f t="shared" si="0"/>
        <v>3011,3021,3031,3041</v>
      </c>
      <c r="I12" s="1">
        <v>100</v>
      </c>
      <c r="J12" s="1">
        <v>1000</v>
      </c>
      <c r="K12" s="1">
        <v>30000</v>
      </c>
      <c r="L12" s="6"/>
      <c r="M12">
        <v>3011</v>
      </c>
      <c r="N12">
        <v>3021</v>
      </c>
      <c r="O12">
        <v>3031</v>
      </c>
      <c r="P12">
        <v>3041</v>
      </c>
    </row>
    <row r="13" spans="1:19" ht="14.25">
      <c r="A13">
        <v>301</v>
      </c>
      <c r="B13" s="8" t="s">
        <v>68</v>
      </c>
      <c r="C13" t="s">
        <v>44</v>
      </c>
      <c r="D13" t="s">
        <v>45</v>
      </c>
      <c r="E13">
        <v>1</v>
      </c>
      <c r="F13">
        <v>5</v>
      </c>
      <c r="G13">
        <v>3002</v>
      </c>
      <c r="H13" t="str">
        <f t="shared" si="0"/>
        <v>3011,3021,3031,3041</v>
      </c>
      <c r="I13">
        <v>100</v>
      </c>
      <c r="J13" s="3">
        <v>5000</v>
      </c>
      <c r="K13" s="3">
        <v>150000</v>
      </c>
      <c r="L13" s="6"/>
      <c r="M13">
        <v>3011</v>
      </c>
      <c r="N13">
        <v>3021</v>
      </c>
      <c r="O13">
        <v>3031</v>
      </c>
      <c r="P13">
        <v>3041</v>
      </c>
    </row>
    <row r="14" spans="1:19" ht="14.25">
      <c r="A14">
        <v>302</v>
      </c>
      <c r="B14" s="8" t="s">
        <v>68</v>
      </c>
      <c r="C14" t="s">
        <v>46</v>
      </c>
      <c r="D14" t="s">
        <v>47</v>
      </c>
      <c r="E14">
        <v>2</v>
      </c>
      <c r="F14">
        <v>5</v>
      </c>
      <c r="G14">
        <v>3003</v>
      </c>
      <c r="H14" t="str">
        <f t="shared" si="0"/>
        <v>3011,3021,3031,3041</v>
      </c>
      <c r="I14" s="1">
        <v>100</v>
      </c>
      <c r="J14" s="5">
        <v>10000</v>
      </c>
      <c r="K14" s="5">
        <v>300000</v>
      </c>
      <c r="L14" s="6"/>
      <c r="M14">
        <v>3011</v>
      </c>
      <c r="N14">
        <v>3021</v>
      </c>
      <c r="O14">
        <v>3031</v>
      </c>
      <c r="P14">
        <v>3041</v>
      </c>
    </row>
    <row r="15" spans="1:19" ht="14.25">
      <c r="A15">
        <v>303</v>
      </c>
      <c r="B15" s="8" t="s">
        <v>68</v>
      </c>
      <c r="C15" t="s">
        <v>48</v>
      </c>
      <c r="D15" t="s">
        <v>49</v>
      </c>
      <c r="E15">
        <v>3</v>
      </c>
      <c r="F15">
        <v>5</v>
      </c>
      <c r="G15">
        <v>3004</v>
      </c>
      <c r="H15" t="str">
        <f t="shared" si="0"/>
        <v>3011,3021,3031,3041</v>
      </c>
      <c r="I15">
        <v>100</v>
      </c>
      <c r="J15" s="3">
        <v>0</v>
      </c>
      <c r="K15" s="3">
        <v>0</v>
      </c>
      <c r="L15" s="6"/>
      <c r="M15">
        <v>3011</v>
      </c>
      <c r="N15">
        <v>3021</v>
      </c>
      <c r="O15">
        <v>3031</v>
      </c>
      <c r="P15">
        <v>3041</v>
      </c>
    </row>
    <row r="16" spans="1:19" ht="14.25">
      <c r="A16">
        <v>400</v>
      </c>
      <c r="B16" s="8" t="s">
        <v>69</v>
      </c>
      <c r="C16" t="s">
        <v>50</v>
      </c>
      <c r="D16" t="s">
        <v>51</v>
      </c>
      <c r="E16">
        <v>0</v>
      </c>
      <c r="F16">
        <v>2</v>
      </c>
      <c r="G16">
        <v>4001</v>
      </c>
      <c r="H16" t="str">
        <f t="shared" si="0"/>
        <v>4011,4021,4031,4041</v>
      </c>
      <c r="I16" s="1">
        <v>100</v>
      </c>
      <c r="J16" s="1">
        <v>1000</v>
      </c>
      <c r="K16" s="1">
        <v>30000</v>
      </c>
      <c r="L16" s="6"/>
      <c r="M16">
        <v>4011</v>
      </c>
      <c r="N16">
        <v>4021</v>
      </c>
      <c r="O16">
        <v>4031</v>
      </c>
      <c r="P16">
        <v>4041</v>
      </c>
    </row>
    <row r="17" spans="1:16" ht="14.25">
      <c r="A17">
        <v>401</v>
      </c>
      <c r="B17" s="8" t="s">
        <v>69</v>
      </c>
      <c r="C17" t="s">
        <v>52</v>
      </c>
      <c r="D17" t="s">
        <v>53</v>
      </c>
      <c r="E17">
        <v>1</v>
      </c>
      <c r="F17">
        <v>2</v>
      </c>
      <c r="G17">
        <v>4002</v>
      </c>
      <c r="H17" t="str">
        <f t="shared" si="0"/>
        <v>4011,4021,4031,4041</v>
      </c>
      <c r="I17">
        <v>100</v>
      </c>
      <c r="J17" s="3">
        <v>5000</v>
      </c>
      <c r="K17" s="3">
        <v>150000</v>
      </c>
      <c r="L17" s="6"/>
      <c r="M17">
        <v>4011</v>
      </c>
      <c r="N17">
        <v>4021</v>
      </c>
      <c r="O17">
        <v>4031</v>
      </c>
      <c r="P17">
        <v>4041</v>
      </c>
    </row>
    <row r="18" spans="1:16" ht="14.25">
      <c r="A18">
        <v>402</v>
      </c>
      <c r="B18" s="8" t="s">
        <v>69</v>
      </c>
      <c r="C18" t="s">
        <v>54</v>
      </c>
      <c r="D18" t="s">
        <v>55</v>
      </c>
      <c r="E18">
        <v>2</v>
      </c>
      <c r="F18">
        <v>2</v>
      </c>
      <c r="G18">
        <v>4003</v>
      </c>
      <c r="H18" t="str">
        <f t="shared" si="0"/>
        <v>4011,4021,4031,4041</v>
      </c>
      <c r="I18" s="1">
        <v>100</v>
      </c>
      <c r="J18" s="5">
        <v>10000</v>
      </c>
      <c r="K18" s="5">
        <v>300000</v>
      </c>
      <c r="L18" s="6"/>
      <c r="M18">
        <v>4011</v>
      </c>
      <c r="N18">
        <v>4021</v>
      </c>
      <c r="O18">
        <v>4031</v>
      </c>
      <c r="P18">
        <v>4041</v>
      </c>
    </row>
    <row r="19" spans="1:16" ht="14.25">
      <c r="A19">
        <v>403</v>
      </c>
      <c r="B19" s="8" t="s">
        <v>69</v>
      </c>
      <c r="C19" t="s">
        <v>56</v>
      </c>
      <c r="D19" t="s">
        <v>57</v>
      </c>
      <c r="E19">
        <v>3</v>
      </c>
      <c r="F19">
        <v>2</v>
      </c>
      <c r="G19">
        <v>4004</v>
      </c>
      <c r="H19" t="str">
        <f t="shared" si="0"/>
        <v>4011,4021,4031,4041</v>
      </c>
      <c r="I19">
        <v>100</v>
      </c>
      <c r="J19" s="3">
        <v>0</v>
      </c>
      <c r="K19" s="3">
        <v>0</v>
      </c>
      <c r="L19" s="6"/>
      <c r="M19">
        <v>4011</v>
      </c>
      <c r="N19">
        <v>4021</v>
      </c>
      <c r="O19">
        <v>4031</v>
      </c>
      <c r="P19">
        <v>4041</v>
      </c>
    </row>
    <row r="20" spans="1:16" ht="14.25">
      <c r="A20">
        <v>500</v>
      </c>
      <c r="B20" s="8" t="s">
        <v>70</v>
      </c>
      <c r="C20" t="s">
        <v>58</v>
      </c>
      <c r="D20" t="s">
        <v>59</v>
      </c>
      <c r="E20">
        <v>0</v>
      </c>
      <c r="F20">
        <v>4</v>
      </c>
      <c r="G20">
        <v>5001</v>
      </c>
      <c r="H20" t="str">
        <f t="shared" si="0"/>
        <v>5011,5021,5031,5041</v>
      </c>
      <c r="I20" s="1">
        <v>100</v>
      </c>
      <c r="J20" s="1">
        <v>1000</v>
      </c>
      <c r="K20" s="1">
        <v>30000</v>
      </c>
      <c r="L20" s="6"/>
      <c r="M20">
        <v>5011</v>
      </c>
      <c r="N20">
        <v>5021</v>
      </c>
      <c r="O20">
        <v>5031</v>
      </c>
      <c r="P20">
        <v>5041</v>
      </c>
    </row>
    <row r="21" spans="1:16" ht="14.25">
      <c r="A21">
        <v>501</v>
      </c>
      <c r="B21" s="8" t="s">
        <v>70</v>
      </c>
      <c r="C21" t="s">
        <v>60</v>
      </c>
      <c r="D21" t="s">
        <v>61</v>
      </c>
      <c r="E21">
        <v>1</v>
      </c>
      <c r="F21">
        <v>4</v>
      </c>
      <c r="G21">
        <v>5002</v>
      </c>
      <c r="H21" t="str">
        <f t="shared" si="0"/>
        <v>5011,5021,5031,5041</v>
      </c>
      <c r="I21">
        <v>100</v>
      </c>
      <c r="J21" s="3">
        <v>5000</v>
      </c>
      <c r="K21" s="3">
        <v>150000</v>
      </c>
      <c r="L21" s="6"/>
      <c r="M21">
        <v>5011</v>
      </c>
      <c r="N21">
        <v>5021</v>
      </c>
      <c r="O21">
        <v>5031</v>
      </c>
      <c r="P21">
        <v>5041</v>
      </c>
    </row>
    <row r="22" spans="1:16" ht="14.25">
      <c r="A22">
        <v>502</v>
      </c>
      <c r="B22" s="8" t="s">
        <v>70</v>
      </c>
      <c r="C22" t="s">
        <v>62</v>
      </c>
      <c r="D22" t="s">
        <v>63</v>
      </c>
      <c r="E22">
        <v>2</v>
      </c>
      <c r="F22">
        <v>4</v>
      </c>
      <c r="G22">
        <v>5003</v>
      </c>
      <c r="H22" t="str">
        <f t="shared" si="0"/>
        <v>5011,5021,5031,5041</v>
      </c>
      <c r="I22" s="1">
        <v>100</v>
      </c>
      <c r="J22" s="5">
        <v>10000</v>
      </c>
      <c r="K22" s="5">
        <v>300000</v>
      </c>
      <c r="L22" s="6"/>
      <c r="M22">
        <v>5011</v>
      </c>
      <c r="N22">
        <v>5021</v>
      </c>
      <c r="O22">
        <v>5031</v>
      </c>
      <c r="P22">
        <v>5041</v>
      </c>
    </row>
    <row r="23" spans="1:16" ht="14.25">
      <c r="A23">
        <v>503</v>
      </c>
      <c r="B23" s="8" t="s">
        <v>70</v>
      </c>
      <c r="C23" t="s">
        <v>64</v>
      </c>
      <c r="D23" t="s">
        <v>65</v>
      </c>
      <c r="E23">
        <v>3</v>
      </c>
      <c r="F23">
        <v>4</v>
      </c>
      <c r="G23">
        <v>5004</v>
      </c>
      <c r="H23" t="str">
        <f t="shared" si="0"/>
        <v>5011,5021,5031,5041</v>
      </c>
      <c r="I23">
        <v>100</v>
      </c>
      <c r="J23" s="3">
        <v>0</v>
      </c>
      <c r="K23" s="3">
        <v>0</v>
      </c>
      <c r="L23" s="6"/>
      <c r="M23">
        <v>5011</v>
      </c>
      <c r="N23">
        <v>5021</v>
      </c>
      <c r="O23">
        <v>5031</v>
      </c>
      <c r="P23">
        <v>5041</v>
      </c>
    </row>
    <row r="24" spans="1:16" ht="14.25">
      <c r="B24" s="3"/>
      <c r="K24" s="6"/>
      <c r="L24" s="6"/>
    </row>
    <row r="25" spans="1:16" ht="14.25">
      <c r="C25" s="3"/>
      <c r="D25" s="3"/>
      <c r="E25" s="3"/>
      <c r="F25" s="3"/>
      <c r="G25" s="3"/>
      <c r="H25" s="3"/>
      <c r="K25" s="6"/>
      <c r="L25" s="6"/>
    </row>
    <row r="26" spans="1:16" ht="14.25">
      <c r="C26" s="3"/>
      <c r="D26" s="3"/>
      <c r="E26" s="3"/>
      <c r="F26" s="3"/>
      <c r="G26" s="3"/>
      <c r="H26" s="3"/>
      <c r="K26" s="6"/>
      <c r="L26" s="6"/>
    </row>
    <row r="27" spans="1:16" ht="14.25">
      <c r="K27" s="6"/>
      <c r="L27" s="6"/>
    </row>
    <row r="28" spans="1:16" ht="14.25">
      <c r="B28" s="3"/>
      <c r="K28" s="6"/>
      <c r="L28" s="6"/>
    </row>
    <row r="29" spans="1:16" ht="14.25">
      <c r="B29" s="3"/>
      <c r="K29" s="6"/>
      <c r="L29" s="6"/>
    </row>
    <row r="30" spans="1:16" ht="14.25">
      <c r="C30" s="3"/>
      <c r="D30" s="3"/>
      <c r="E30" s="3"/>
      <c r="F30" s="3"/>
      <c r="G30" s="3"/>
      <c r="H30" s="3"/>
      <c r="K30" s="6"/>
      <c r="L30" s="6"/>
    </row>
    <row r="31" spans="1:16" ht="14.25">
      <c r="K31" s="6"/>
      <c r="L31" s="6"/>
    </row>
    <row r="32" spans="1:16" ht="14.25">
      <c r="K32" s="6"/>
      <c r="L32" s="6"/>
    </row>
    <row r="33" spans="1:13" ht="14.25">
      <c r="B33" s="3"/>
      <c r="C33" s="3"/>
      <c r="D33" s="3"/>
      <c r="E33" s="3"/>
      <c r="F33" s="3"/>
      <c r="G33" s="3"/>
      <c r="H33" s="3"/>
      <c r="K33" s="6"/>
      <c r="L33" s="6"/>
    </row>
    <row r="34" spans="1:13" ht="14.25">
      <c r="A34" s="4"/>
      <c r="C34" s="3"/>
      <c r="D34" s="3"/>
      <c r="E34" s="3"/>
      <c r="F34" s="3"/>
      <c r="G34" s="3"/>
      <c r="H34" s="3"/>
      <c r="K34" s="6"/>
      <c r="L34" s="6"/>
    </row>
    <row r="35" spans="1:13" ht="14.25">
      <c r="C35" s="3"/>
      <c r="D35" s="3"/>
      <c r="E35" s="3"/>
      <c r="F35" s="3"/>
      <c r="G35" s="3"/>
      <c r="H35" s="3"/>
      <c r="K35" s="6"/>
      <c r="L35" s="6"/>
    </row>
    <row r="36" spans="1:13" ht="14.25">
      <c r="K36" s="6"/>
      <c r="L36" s="6"/>
    </row>
    <row r="37" spans="1:13" ht="14.25">
      <c r="K37" s="6"/>
      <c r="L37" s="6"/>
    </row>
    <row r="38" spans="1:13" ht="14.25">
      <c r="L38" s="6"/>
    </row>
    <row r="39" spans="1:13" ht="14.25">
      <c r="M39" s="6"/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2020-06-16T06:53:01Z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