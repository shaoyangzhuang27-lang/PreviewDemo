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72DA497D-3F53-4A25-ABFF-2973F2FC6DB2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upgrade_exp" sheetId="1" r:id="rId1"/>
  </sheets>
  <calcPr calcId="181029"/>
</workbook>
</file>

<file path=xl/calcChain.xml><?xml version="1.0" encoding="utf-8"?>
<calcChain xmlns="http://schemas.openxmlformats.org/spreadsheetml/2006/main">
  <c r="Y303" i="1" l="1"/>
  <c r="U303" i="1"/>
  <c r="T303" i="1"/>
  <c r="S303" i="1"/>
  <c r="R303" i="1"/>
  <c r="N303" i="1"/>
  <c r="M303" i="1"/>
  <c r="V303" i="1" s="1"/>
  <c r="E303" i="1"/>
  <c r="Y302" i="1"/>
  <c r="U302" i="1"/>
  <c r="T302" i="1"/>
  <c r="S302" i="1"/>
  <c r="R302" i="1"/>
  <c r="N302" i="1"/>
  <c r="M302" i="1"/>
  <c r="V302" i="1" s="1"/>
  <c r="E302" i="1"/>
  <c r="Y301" i="1"/>
  <c r="U301" i="1"/>
  <c r="T301" i="1"/>
  <c r="S301" i="1"/>
  <c r="R301" i="1"/>
  <c r="N301" i="1"/>
  <c r="M301" i="1"/>
  <c r="V301" i="1" s="1"/>
  <c r="E301" i="1"/>
  <c r="Y300" i="1"/>
  <c r="U300" i="1"/>
  <c r="T300" i="1"/>
  <c r="S300" i="1"/>
  <c r="R300" i="1"/>
  <c r="N300" i="1"/>
  <c r="M300" i="1"/>
  <c r="V300" i="1" s="1"/>
  <c r="E300" i="1"/>
  <c r="Y299" i="1"/>
  <c r="U299" i="1"/>
  <c r="T299" i="1"/>
  <c r="S299" i="1"/>
  <c r="R299" i="1"/>
  <c r="N299" i="1"/>
  <c r="M299" i="1"/>
  <c r="V299" i="1" s="1"/>
  <c r="E299" i="1"/>
  <c r="Y298" i="1"/>
  <c r="U298" i="1"/>
  <c r="T298" i="1"/>
  <c r="S298" i="1"/>
  <c r="R298" i="1"/>
  <c r="N298" i="1"/>
  <c r="M298" i="1"/>
  <c r="V298" i="1" s="1"/>
  <c r="E298" i="1"/>
  <c r="Y297" i="1"/>
  <c r="U297" i="1"/>
  <c r="T297" i="1"/>
  <c r="S297" i="1"/>
  <c r="R297" i="1"/>
  <c r="N297" i="1"/>
  <c r="M297" i="1"/>
  <c r="V297" i="1" s="1"/>
  <c r="E297" i="1"/>
  <c r="Y296" i="1"/>
  <c r="U296" i="1"/>
  <c r="T296" i="1"/>
  <c r="S296" i="1"/>
  <c r="R296" i="1"/>
  <c r="N296" i="1"/>
  <c r="M296" i="1"/>
  <c r="V296" i="1" s="1"/>
  <c r="E296" i="1"/>
  <c r="Y295" i="1"/>
  <c r="U295" i="1"/>
  <c r="T295" i="1"/>
  <c r="S295" i="1"/>
  <c r="R295" i="1"/>
  <c r="N295" i="1"/>
  <c r="M295" i="1"/>
  <c r="V295" i="1" s="1"/>
  <c r="E295" i="1"/>
  <c r="Y294" i="1"/>
  <c r="U294" i="1"/>
  <c r="T294" i="1"/>
  <c r="S294" i="1"/>
  <c r="R294" i="1"/>
  <c r="N294" i="1"/>
  <c r="M294" i="1"/>
  <c r="V294" i="1" s="1"/>
  <c r="E294" i="1"/>
  <c r="Y293" i="1"/>
  <c r="U293" i="1"/>
  <c r="T293" i="1"/>
  <c r="S293" i="1"/>
  <c r="R293" i="1"/>
  <c r="N293" i="1"/>
  <c r="M293" i="1"/>
  <c r="V293" i="1" s="1"/>
  <c r="E293" i="1"/>
  <c r="Y292" i="1"/>
  <c r="U292" i="1"/>
  <c r="T292" i="1"/>
  <c r="S292" i="1"/>
  <c r="R292" i="1"/>
  <c r="N292" i="1"/>
  <c r="M292" i="1"/>
  <c r="V292" i="1" s="1"/>
  <c r="E292" i="1"/>
  <c r="Y291" i="1"/>
  <c r="U291" i="1"/>
  <c r="T291" i="1"/>
  <c r="S291" i="1"/>
  <c r="R291" i="1"/>
  <c r="N291" i="1"/>
  <c r="M291" i="1"/>
  <c r="V291" i="1" s="1"/>
  <c r="E291" i="1"/>
  <c r="Y290" i="1"/>
  <c r="U290" i="1"/>
  <c r="T290" i="1"/>
  <c r="S290" i="1"/>
  <c r="R290" i="1"/>
  <c r="N290" i="1"/>
  <c r="M290" i="1"/>
  <c r="V290" i="1" s="1"/>
  <c r="E290" i="1"/>
  <c r="Y289" i="1"/>
  <c r="U289" i="1"/>
  <c r="T289" i="1"/>
  <c r="S289" i="1"/>
  <c r="R289" i="1"/>
  <c r="N289" i="1"/>
  <c r="M289" i="1"/>
  <c r="V289" i="1" s="1"/>
  <c r="E289" i="1"/>
  <c r="Y288" i="1"/>
  <c r="U288" i="1"/>
  <c r="T288" i="1"/>
  <c r="S288" i="1"/>
  <c r="R288" i="1"/>
  <c r="N288" i="1"/>
  <c r="M288" i="1"/>
  <c r="V288" i="1" s="1"/>
  <c r="E288" i="1"/>
  <c r="Y287" i="1"/>
  <c r="U287" i="1"/>
  <c r="T287" i="1"/>
  <c r="S287" i="1"/>
  <c r="R287" i="1"/>
  <c r="N287" i="1"/>
  <c r="M287" i="1"/>
  <c r="V287" i="1" s="1"/>
  <c r="E287" i="1"/>
  <c r="Y286" i="1"/>
  <c r="U286" i="1"/>
  <c r="T286" i="1"/>
  <c r="S286" i="1"/>
  <c r="R286" i="1"/>
  <c r="N286" i="1"/>
  <c r="M286" i="1"/>
  <c r="V286" i="1" s="1"/>
  <c r="E286" i="1"/>
  <c r="Y285" i="1"/>
  <c r="U285" i="1"/>
  <c r="T285" i="1"/>
  <c r="S285" i="1"/>
  <c r="R285" i="1"/>
  <c r="N285" i="1"/>
  <c r="M285" i="1"/>
  <c r="V285" i="1" s="1"/>
  <c r="E285" i="1"/>
  <c r="Y284" i="1"/>
  <c r="U284" i="1"/>
  <c r="T284" i="1"/>
  <c r="S284" i="1"/>
  <c r="R284" i="1"/>
  <c r="N284" i="1"/>
  <c r="M284" i="1"/>
  <c r="V284" i="1" s="1"/>
  <c r="E284" i="1"/>
  <c r="Y283" i="1"/>
  <c r="U283" i="1"/>
  <c r="T283" i="1"/>
  <c r="S283" i="1"/>
  <c r="R283" i="1"/>
  <c r="N283" i="1"/>
  <c r="M283" i="1"/>
  <c r="V283" i="1" s="1"/>
  <c r="E283" i="1"/>
  <c r="Y282" i="1"/>
  <c r="U282" i="1"/>
  <c r="T282" i="1"/>
  <c r="S282" i="1"/>
  <c r="R282" i="1"/>
  <c r="N282" i="1"/>
  <c r="M282" i="1"/>
  <c r="V282" i="1" s="1"/>
  <c r="E282" i="1"/>
  <c r="Y281" i="1"/>
  <c r="U281" i="1"/>
  <c r="T281" i="1"/>
  <c r="S281" i="1"/>
  <c r="R281" i="1"/>
  <c r="N281" i="1"/>
  <c r="M281" i="1"/>
  <c r="V281" i="1" s="1"/>
  <c r="E281" i="1"/>
  <c r="Y280" i="1"/>
  <c r="U280" i="1"/>
  <c r="T280" i="1"/>
  <c r="S280" i="1"/>
  <c r="R280" i="1"/>
  <c r="N280" i="1"/>
  <c r="M280" i="1"/>
  <c r="V280" i="1" s="1"/>
  <c r="E280" i="1"/>
  <c r="Y279" i="1"/>
  <c r="U279" i="1"/>
  <c r="T279" i="1"/>
  <c r="S279" i="1"/>
  <c r="R279" i="1"/>
  <c r="N279" i="1"/>
  <c r="M279" i="1"/>
  <c r="V279" i="1" s="1"/>
  <c r="E279" i="1"/>
  <c r="Y278" i="1"/>
  <c r="U278" i="1"/>
  <c r="T278" i="1"/>
  <c r="S278" i="1"/>
  <c r="R278" i="1"/>
  <c r="N278" i="1"/>
  <c r="M278" i="1"/>
  <c r="V278" i="1" s="1"/>
  <c r="E278" i="1"/>
  <c r="Y277" i="1"/>
  <c r="U277" i="1"/>
  <c r="T277" i="1"/>
  <c r="S277" i="1"/>
  <c r="R277" i="1"/>
  <c r="N277" i="1"/>
  <c r="M277" i="1"/>
  <c r="V277" i="1" s="1"/>
  <c r="E277" i="1"/>
  <c r="Y276" i="1"/>
  <c r="U276" i="1"/>
  <c r="T276" i="1"/>
  <c r="S276" i="1"/>
  <c r="R276" i="1"/>
  <c r="N276" i="1"/>
  <c r="M276" i="1"/>
  <c r="V276" i="1" s="1"/>
  <c r="E276" i="1"/>
  <c r="Y275" i="1"/>
  <c r="U275" i="1"/>
  <c r="T275" i="1"/>
  <c r="S275" i="1"/>
  <c r="R275" i="1"/>
  <c r="N275" i="1"/>
  <c r="M275" i="1"/>
  <c r="V275" i="1" s="1"/>
  <c r="E275" i="1"/>
  <c r="Y274" i="1"/>
  <c r="U274" i="1"/>
  <c r="T274" i="1"/>
  <c r="S274" i="1"/>
  <c r="R274" i="1"/>
  <c r="N274" i="1"/>
  <c r="M274" i="1"/>
  <c r="V274" i="1" s="1"/>
  <c r="E274" i="1"/>
  <c r="Y273" i="1"/>
  <c r="U273" i="1"/>
  <c r="T273" i="1"/>
  <c r="S273" i="1"/>
  <c r="R273" i="1"/>
  <c r="N273" i="1"/>
  <c r="M273" i="1"/>
  <c r="V273" i="1" s="1"/>
  <c r="E273" i="1"/>
  <c r="Y272" i="1"/>
  <c r="U272" i="1"/>
  <c r="T272" i="1"/>
  <c r="S272" i="1"/>
  <c r="R272" i="1"/>
  <c r="N272" i="1"/>
  <c r="M272" i="1"/>
  <c r="V272" i="1" s="1"/>
  <c r="E272" i="1"/>
  <c r="Y271" i="1"/>
  <c r="U271" i="1"/>
  <c r="T271" i="1"/>
  <c r="S271" i="1"/>
  <c r="R271" i="1"/>
  <c r="N271" i="1"/>
  <c r="M271" i="1"/>
  <c r="V271" i="1" s="1"/>
  <c r="E271" i="1"/>
  <c r="Y270" i="1"/>
  <c r="U270" i="1"/>
  <c r="T270" i="1"/>
  <c r="S270" i="1"/>
  <c r="R270" i="1"/>
  <c r="N270" i="1"/>
  <c r="M270" i="1"/>
  <c r="V270" i="1" s="1"/>
  <c r="E270" i="1"/>
  <c r="Y269" i="1"/>
  <c r="U269" i="1"/>
  <c r="T269" i="1"/>
  <c r="S269" i="1"/>
  <c r="R269" i="1"/>
  <c r="N269" i="1"/>
  <c r="M269" i="1"/>
  <c r="V269" i="1" s="1"/>
  <c r="E269" i="1"/>
  <c r="Y268" i="1"/>
  <c r="U268" i="1"/>
  <c r="T268" i="1"/>
  <c r="S268" i="1"/>
  <c r="R268" i="1"/>
  <c r="N268" i="1"/>
  <c r="M268" i="1"/>
  <c r="V268" i="1" s="1"/>
  <c r="E268" i="1"/>
  <c r="Y267" i="1"/>
  <c r="V267" i="1"/>
  <c r="U267" i="1"/>
  <c r="T267" i="1"/>
  <c r="S267" i="1"/>
  <c r="R267" i="1"/>
  <c r="N267" i="1"/>
  <c r="M267" i="1"/>
  <c r="E267" i="1"/>
  <c r="Y266" i="1"/>
  <c r="U266" i="1"/>
  <c r="T266" i="1"/>
  <c r="S266" i="1"/>
  <c r="R266" i="1"/>
  <c r="N266" i="1"/>
  <c r="M266" i="1"/>
  <c r="V266" i="1" s="1"/>
  <c r="E266" i="1"/>
  <c r="Y265" i="1"/>
  <c r="V265" i="1"/>
  <c r="U265" i="1"/>
  <c r="T265" i="1"/>
  <c r="S265" i="1"/>
  <c r="R265" i="1"/>
  <c r="N265" i="1"/>
  <c r="M265" i="1"/>
  <c r="E265" i="1"/>
  <c r="Y264" i="1"/>
  <c r="V264" i="1"/>
  <c r="U264" i="1"/>
  <c r="T264" i="1"/>
  <c r="S264" i="1"/>
  <c r="R264" i="1"/>
  <c r="N264" i="1"/>
  <c r="M264" i="1"/>
  <c r="E264" i="1"/>
  <c r="Y263" i="1"/>
  <c r="U263" i="1"/>
  <c r="T263" i="1"/>
  <c r="S263" i="1"/>
  <c r="R263" i="1"/>
  <c r="N263" i="1"/>
  <c r="M263" i="1"/>
  <c r="V263" i="1" s="1"/>
  <c r="E263" i="1"/>
  <c r="Y262" i="1"/>
  <c r="U262" i="1"/>
  <c r="T262" i="1"/>
  <c r="S262" i="1"/>
  <c r="R262" i="1"/>
  <c r="N262" i="1"/>
  <c r="M262" i="1"/>
  <c r="V262" i="1" s="1"/>
  <c r="E262" i="1"/>
  <c r="Y261" i="1"/>
  <c r="V261" i="1"/>
  <c r="U261" i="1"/>
  <c r="T261" i="1"/>
  <c r="S261" i="1"/>
  <c r="R261" i="1"/>
  <c r="N261" i="1"/>
  <c r="M261" i="1"/>
  <c r="E261" i="1"/>
  <c r="Y260" i="1"/>
  <c r="U260" i="1"/>
  <c r="T260" i="1"/>
  <c r="S260" i="1"/>
  <c r="R260" i="1"/>
  <c r="N260" i="1"/>
  <c r="M260" i="1"/>
  <c r="V260" i="1" s="1"/>
  <c r="E260" i="1"/>
  <c r="Y259" i="1"/>
  <c r="V259" i="1"/>
  <c r="U259" i="1"/>
  <c r="T259" i="1"/>
  <c r="S259" i="1"/>
  <c r="R259" i="1"/>
  <c r="N259" i="1"/>
  <c r="M259" i="1"/>
  <c r="E259" i="1"/>
  <c r="Y258" i="1"/>
  <c r="V258" i="1"/>
  <c r="U258" i="1"/>
  <c r="T258" i="1"/>
  <c r="S258" i="1"/>
  <c r="R258" i="1"/>
  <c r="N258" i="1"/>
  <c r="M258" i="1"/>
  <c r="E258" i="1"/>
  <c r="Y257" i="1"/>
  <c r="U257" i="1"/>
  <c r="T257" i="1"/>
  <c r="S257" i="1"/>
  <c r="R257" i="1"/>
  <c r="N257" i="1"/>
  <c r="M257" i="1"/>
  <c r="V257" i="1" s="1"/>
  <c r="E257" i="1"/>
  <c r="Y256" i="1"/>
  <c r="V256" i="1"/>
  <c r="U256" i="1"/>
  <c r="T256" i="1"/>
  <c r="S256" i="1"/>
  <c r="R256" i="1"/>
  <c r="N256" i="1"/>
  <c r="M256" i="1"/>
  <c r="E256" i="1"/>
  <c r="Y255" i="1"/>
  <c r="V255" i="1"/>
  <c r="U255" i="1"/>
  <c r="T255" i="1"/>
  <c r="S255" i="1"/>
  <c r="R255" i="1"/>
  <c r="N255" i="1"/>
  <c r="M255" i="1"/>
  <c r="E255" i="1"/>
  <c r="Y254" i="1"/>
  <c r="U254" i="1"/>
  <c r="T254" i="1"/>
  <c r="S254" i="1"/>
  <c r="R254" i="1"/>
  <c r="N254" i="1"/>
  <c r="M254" i="1"/>
  <c r="V254" i="1" s="1"/>
  <c r="E254" i="1"/>
  <c r="Y253" i="1"/>
  <c r="U253" i="1"/>
  <c r="T253" i="1"/>
  <c r="S253" i="1"/>
  <c r="R253" i="1"/>
  <c r="N253" i="1"/>
  <c r="M253" i="1"/>
  <c r="V253" i="1" s="1"/>
  <c r="E253" i="1"/>
  <c r="Y252" i="1"/>
  <c r="V252" i="1"/>
  <c r="U252" i="1"/>
  <c r="T252" i="1"/>
  <c r="S252" i="1"/>
  <c r="R252" i="1"/>
  <c r="N252" i="1"/>
  <c r="M252" i="1"/>
  <c r="E252" i="1"/>
  <c r="Y251" i="1"/>
  <c r="U251" i="1"/>
  <c r="T251" i="1"/>
  <c r="S251" i="1"/>
  <c r="R251" i="1"/>
  <c r="N251" i="1"/>
  <c r="M251" i="1"/>
  <c r="V251" i="1" s="1"/>
  <c r="E251" i="1"/>
  <c r="Y250" i="1"/>
  <c r="V250" i="1"/>
  <c r="U250" i="1"/>
  <c r="T250" i="1"/>
  <c r="S250" i="1"/>
  <c r="R250" i="1"/>
  <c r="N250" i="1"/>
  <c r="M250" i="1"/>
  <c r="E250" i="1"/>
  <c r="Y249" i="1"/>
  <c r="V249" i="1"/>
  <c r="U249" i="1"/>
  <c r="T249" i="1"/>
  <c r="S249" i="1"/>
  <c r="R249" i="1"/>
  <c r="N249" i="1"/>
  <c r="M249" i="1"/>
  <c r="E249" i="1"/>
  <c r="Y248" i="1"/>
  <c r="U248" i="1"/>
  <c r="T248" i="1"/>
  <c r="S248" i="1"/>
  <c r="R248" i="1"/>
  <c r="N248" i="1"/>
  <c r="M248" i="1"/>
  <c r="V248" i="1" s="1"/>
  <c r="E248" i="1"/>
  <c r="Y247" i="1"/>
  <c r="V247" i="1"/>
  <c r="U247" i="1"/>
  <c r="T247" i="1"/>
  <c r="S247" i="1"/>
  <c r="R247" i="1"/>
  <c r="N247" i="1"/>
  <c r="M247" i="1"/>
  <c r="E247" i="1"/>
  <c r="Y246" i="1"/>
  <c r="V246" i="1"/>
  <c r="U246" i="1"/>
  <c r="T246" i="1"/>
  <c r="S246" i="1"/>
  <c r="R246" i="1"/>
  <c r="N246" i="1"/>
  <c r="M246" i="1"/>
  <c r="E246" i="1"/>
  <c r="Y245" i="1"/>
  <c r="U245" i="1"/>
  <c r="T245" i="1"/>
  <c r="S245" i="1"/>
  <c r="R245" i="1"/>
  <c r="N245" i="1"/>
  <c r="M245" i="1"/>
  <c r="V245" i="1" s="1"/>
  <c r="E245" i="1"/>
  <c r="Y244" i="1"/>
  <c r="V244" i="1"/>
  <c r="U244" i="1"/>
  <c r="T244" i="1"/>
  <c r="S244" i="1"/>
  <c r="R244" i="1"/>
  <c r="N244" i="1"/>
  <c r="M244" i="1"/>
  <c r="E244" i="1"/>
  <c r="Y243" i="1"/>
  <c r="V243" i="1"/>
  <c r="U243" i="1"/>
  <c r="T243" i="1"/>
  <c r="S243" i="1"/>
  <c r="R243" i="1"/>
  <c r="N243" i="1"/>
  <c r="M243" i="1"/>
  <c r="E243" i="1"/>
  <c r="Y242" i="1"/>
  <c r="U242" i="1"/>
  <c r="T242" i="1"/>
  <c r="S242" i="1"/>
  <c r="R242" i="1"/>
  <c r="N242" i="1"/>
  <c r="M242" i="1"/>
  <c r="V242" i="1" s="1"/>
  <c r="E242" i="1"/>
  <c r="Y241" i="1"/>
  <c r="U241" i="1"/>
  <c r="T241" i="1"/>
  <c r="S241" i="1"/>
  <c r="R241" i="1"/>
  <c r="N241" i="1"/>
  <c r="M241" i="1"/>
  <c r="V241" i="1" s="1"/>
  <c r="E241" i="1"/>
  <c r="Y240" i="1"/>
  <c r="V240" i="1"/>
  <c r="U240" i="1"/>
  <c r="T240" i="1"/>
  <c r="S240" i="1"/>
  <c r="R240" i="1"/>
  <c r="N240" i="1"/>
  <c r="M240" i="1"/>
  <c r="E240" i="1"/>
  <c r="Y239" i="1"/>
  <c r="U239" i="1"/>
  <c r="T239" i="1"/>
  <c r="S239" i="1"/>
  <c r="R239" i="1"/>
  <c r="N239" i="1"/>
  <c r="M239" i="1"/>
  <c r="V239" i="1" s="1"/>
  <c r="E239" i="1"/>
  <c r="Y238" i="1"/>
  <c r="V238" i="1"/>
  <c r="U238" i="1"/>
  <c r="T238" i="1"/>
  <c r="S238" i="1"/>
  <c r="R238" i="1"/>
  <c r="N238" i="1"/>
  <c r="M238" i="1"/>
  <c r="E238" i="1"/>
  <c r="Y237" i="1"/>
  <c r="V237" i="1"/>
  <c r="U237" i="1"/>
  <c r="T237" i="1"/>
  <c r="S237" i="1"/>
  <c r="R237" i="1"/>
  <c r="N237" i="1"/>
  <c r="M237" i="1"/>
  <c r="E237" i="1"/>
  <c r="Y236" i="1"/>
  <c r="U236" i="1"/>
  <c r="T236" i="1"/>
  <c r="S236" i="1"/>
  <c r="R236" i="1"/>
  <c r="N236" i="1"/>
  <c r="M236" i="1"/>
  <c r="V236" i="1" s="1"/>
  <c r="E236" i="1"/>
  <c r="Y235" i="1"/>
  <c r="V235" i="1"/>
  <c r="U235" i="1"/>
  <c r="T235" i="1"/>
  <c r="S235" i="1"/>
  <c r="R235" i="1"/>
  <c r="N235" i="1"/>
  <c r="M235" i="1"/>
  <c r="E235" i="1"/>
  <c r="Y234" i="1"/>
  <c r="V234" i="1"/>
  <c r="U234" i="1"/>
  <c r="T234" i="1"/>
  <c r="S234" i="1"/>
  <c r="R234" i="1"/>
  <c r="N234" i="1"/>
  <c r="M234" i="1"/>
  <c r="E234" i="1"/>
  <c r="Y233" i="1"/>
  <c r="U233" i="1"/>
  <c r="T233" i="1"/>
  <c r="S233" i="1"/>
  <c r="R233" i="1"/>
  <c r="N233" i="1"/>
  <c r="M233" i="1"/>
  <c r="V233" i="1" s="1"/>
  <c r="E233" i="1"/>
  <c r="Y232" i="1"/>
  <c r="V232" i="1"/>
  <c r="U232" i="1"/>
  <c r="T232" i="1"/>
  <c r="S232" i="1"/>
  <c r="R232" i="1"/>
  <c r="N232" i="1"/>
  <c r="M232" i="1"/>
  <c r="E232" i="1"/>
  <c r="Y231" i="1"/>
  <c r="V231" i="1"/>
  <c r="U231" i="1"/>
  <c r="T231" i="1"/>
  <c r="S231" i="1"/>
  <c r="R231" i="1"/>
  <c r="N231" i="1"/>
  <c r="M231" i="1"/>
  <c r="E231" i="1"/>
  <c r="Y230" i="1"/>
  <c r="U230" i="1"/>
  <c r="T230" i="1"/>
  <c r="S230" i="1"/>
  <c r="R230" i="1"/>
  <c r="N230" i="1"/>
  <c r="M230" i="1"/>
  <c r="V230" i="1" s="1"/>
  <c r="E230" i="1"/>
  <c r="Y229" i="1"/>
  <c r="U229" i="1"/>
  <c r="T229" i="1"/>
  <c r="S229" i="1"/>
  <c r="R229" i="1"/>
  <c r="N229" i="1"/>
  <c r="M229" i="1"/>
  <c r="V229" i="1" s="1"/>
  <c r="E229" i="1"/>
  <c r="Y228" i="1"/>
  <c r="V228" i="1"/>
  <c r="U228" i="1"/>
  <c r="T228" i="1"/>
  <c r="S228" i="1"/>
  <c r="R228" i="1"/>
  <c r="N228" i="1"/>
  <c r="M228" i="1"/>
  <c r="E228" i="1"/>
  <c r="Y227" i="1"/>
  <c r="U227" i="1"/>
  <c r="T227" i="1"/>
  <c r="S227" i="1"/>
  <c r="R227" i="1"/>
  <c r="N227" i="1"/>
  <c r="M227" i="1"/>
  <c r="V227" i="1" s="1"/>
  <c r="E227" i="1"/>
  <c r="Y226" i="1"/>
  <c r="V226" i="1"/>
  <c r="U226" i="1"/>
  <c r="T226" i="1"/>
  <c r="S226" i="1"/>
  <c r="R226" i="1"/>
  <c r="N226" i="1"/>
  <c r="M226" i="1"/>
  <c r="E226" i="1"/>
  <c r="Y225" i="1"/>
  <c r="V225" i="1"/>
  <c r="U225" i="1"/>
  <c r="T225" i="1"/>
  <c r="S225" i="1"/>
  <c r="R225" i="1"/>
  <c r="N225" i="1"/>
  <c r="M225" i="1"/>
  <c r="E225" i="1"/>
  <c r="Y224" i="1"/>
  <c r="U224" i="1"/>
  <c r="T224" i="1"/>
  <c r="S224" i="1"/>
  <c r="R224" i="1"/>
  <c r="N224" i="1"/>
  <c r="M224" i="1"/>
  <c r="V224" i="1" s="1"/>
  <c r="E224" i="1"/>
  <c r="Y223" i="1"/>
  <c r="V223" i="1"/>
  <c r="U223" i="1"/>
  <c r="T223" i="1"/>
  <c r="S223" i="1"/>
  <c r="R223" i="1"/>
  <c r="N223" i="1"/>
  <c r="M223" i="1"/>
  <c r="E223" i="1"/>
  <c r="Y222" i="1"/>
  <c r="V222" i="1"/>
  <c r="U222" i="1"/>
  <c r="T222" i="1"/>
  <c r="S222" i="1"/>
  <c r="R222" i="1"/>
  <c r="N222" i="1"/>
  <c r="M222" i="1"/>
  <c r="E222" i="1"/>
  <c r="Y221" i="1"/>
  <c r="U221" i="1"/>
  <c r="T221" i="1"/>
  <c r="S221" i="1"/>
  <c r="R221" i="1"/>
  <c r="N221" i="1"/>
  <c r="M221" i="1"/>
  <c r="V221" i="1" s="1"/>
  <c r="E221" i="1"/>
  <c r="Y220" i="1"/>
  <c r="V220" i="1"/>
  <c r="U220" i="1"/>
  <c r="T220" i="1"/>
  <c r="S220" i="1"/>
  <c r="R220" i="1"/>
  <c r="N220" i="1"/>
  <c r="M220" i="1"/>
  <c r="E220" i="1"/>
  <c r="Y219" i="1"/>
  <c r="V219" i="1"/>
  <c r="U219" i="1"/>
  <c r="T219" i="1"/>
  <c r="S219" i="1"/>
  <c r="R219" i="1"/>
  <c r="N219" i="1"/>
  <c r="M219" i="1"/>
  <c r="E219" i="1"/>
  <c r="Y218" i="1"/>
  <c r="V218" i="1"/>
  <c r="U218" i="1"/>
  <c r="T218" i="1"/>
  <c r="S218" i="1"/>
  <c r="R218" i="1"/>
  <c r="N218" i="1"/>
  <c r="M218" i="1"/>
  <c r="E218" i="1"/>
  <c r="Y217" i="1"/>
  <c r="V217" i="1"/>
  <c r="U217" i="1"/>
  <c r="T217" i="1"/>
  <c r="S217" i="1"/>
  <c r="R217" i="1"/>
  <c r="N217" i="1"/>
  <c r="M217" i="1"/>
  <c r="E217" i="1"/>
  <c r="Y216" i="1"/>
  <c r="V216" i="1"/>
  <c r="U216" i="1"/>
  <c r="T216" i="1"/>
  <c r="S216" i="1"/>
  <c r="R216" i="1"/>
  <c r="N216" i="1"/>
  <c r="M216" i="1"/>
  <c r="E216" i="1"/>
  <c r="Y215" i="1"/>
  <c r="V215" i="1"/>
  <c r="U215" i="1"/>
  <c r="T215" i="1"/>
  <c r="S215" i="1"/>
  <c r="R215" i="1"/>
  <c r="N215" i="1"/>
  <c r="M215" i="1"/>
  <c r="E215" i="1"/>
  <c r="Y214" i="1"/>
  <c r="V214" i="1"/>
  <c r="U214" i="1"/>
  <c r="T214" i="1"/>
  <c r="S214" i="1"/>
  <c r="R214" i="1"/>
  <c r="N214" i="1"/>
  <c r="M214" i="1"/>
  <c r="E214" i="1"/>
  <c r="Y213" i="1"/>
  <c r="V213" i="1"/>
  <c r="U213" i="1"/>
  <c r="T213" i="1"/>
  <c r="S213" i="1"/>
  <c r="R213" i="1"/>
  <c r="N213" i="1"/>
  <c r="M213" i="1"/>
  <c r="E213" i="1"/>
  <c r="Y212" i="1"/>
  <c r="V212" i="1"/>
  <c r="U212" i="1"/>
  <c r="T212" i="1"/>
  <c r="S212" i="1"/>
  <c r="R212" i="1"/>
  <c r="N212" i="1"/>
  <c r="M212" i="1"/>
  <c r="E212" i="1"/>
  <c r="Y211" i="1"/>
  <c r="V211" i="1"/>
  <c r="U211" i="1"/>
  <c r="T211" i="1"/>
  <c r="S211" i="1"/>
  <c r="R211" i="1"/>
  <c r="N211" i="1"/>
  <c r="M211" i="1"/>
  <c r="E211" i="1"/>
  <c r="Y210" i="1"/>
  <c r="U210" i="1"/>
  <c r="T210" i="1"/>
  <c r="S210" i="1"/>
  <c r="R210" i="1"/>
  <c r="N210" i="1"/>
  <c r="M210" i="1"/>
  <c r="V210" i="1" s="1"/>
  <c r="E210" i="1"/>
  <c r="Y209" i="1"/>
  <c r="V209" i="1"/>
  <c r="U209" i="1"/>
  <c r="T209" i="1"/>
  <c r="S209" i="1"/>
  <c r="R209" i="1"/>
  <c r="N209" i="1"/>
  <c r="M209" i="1"/>
  <c r="E209" i="1"/>
  <c r="Y208" i="1"/>
  <c r="V208" i="1"/>
  <c r="U208" i="1"/>
  <c r="T208" i="1"/>
  <c r="S208" i="1"/>
  <c r="R208" i="1"/>
  <c r="N208" i="1"/>
  <c r="M208" i="1"/>
  <c r="E208" i="1"/>
  <c r="Y207" i="1"/>
  <c r="U207" i="1"/>
  <c r="T207" i="1"/>
  <c r="S207" i="1"/>
  <c r="R207" i="1"/>
  <c r="N207" i="1"/>
  <c r="M207" i="1"/>
  <c r="V207" i="1" s="1"/>
  <c r="E207" i="1"/>
  <c r="Y206" i="1"/>
  <c r="V206" i="1"/>
  <c r="U206" i="1"/>
  <c r="T206" i="1"/>
  <c r="S206" i="1"/>
  <c r="R206" i="1"/>
  <c r="N206" i="1"/>
  <c r="M206" i="1"/>
  <c r="E206" i="1"/>
  <c r="Y205" i="1"/>
  <c r="U205" i="1"/>
  <c r="T205" i="1"/>
  <c r="S205" i="1"/>
  <c r="R205" i="1"/>
  <c r="N205" i="1"/>
  <c r="M205" i="1"/>
  <c r="V205" i="1" s="1"/>
  <c r="E205" i="1"/>
  <c r="Y204" i="1"/>
  <c r="U204" i="1"/>
  <c r="T204" i="1"/>
  <c r="S204" i="1"/>
  <c r="R204" i="1"/>
  <c r="N204" i="1"/>
  <c r="M204" i="1"/>
  <c r="V204" i="1" s="1"/>
  <c r="E204" i="1"/>
  <c r="Y203" i="1"/>
  <c r="V203" i="1"/>
  <c r="U203" i="1"/>
  <c r="T203" i="1"/>
  <c r="S203" i="1"/>
  <c r="R203" i="1"/>
  <c r="N203" i="1"/>
  <c r="M203" i="1"/>
  <c r="E203" i="1"/>
  <c r="Y202" i="1"/>
  <c r="V202" i="1"/>
  <c r="U202" i="1"/>
  <c r="T202" i="1"/>
  <c r="S202" i="1"/>
  <c r="R202" i="1"/>
  <c r="N202" i="1"/>
  <c r="M202" i="1"/>
  <c r="E202" i="1"/>
  <c r="Y201" i="1"/>
  <c r="U201" i="1"/>
  <c r="T201" i="1"/>
  <c r="S201" i="1"/>
  <c r="R201" i="1"/>
  <c r="N201" i="1"/>
  <c r="M201" i="1"/>
  <c r="V201" i="1" s="1"/>
  <c r="E201" i="1"/>
  <c r="Y200" i="1"/>
  <c r="U200" i="1"/>
  <c r="T200" i="1"/>
  <c r="R200" i="1"/>
  <c r="S200" i="1" s="1"/>
  <c r="N200" i="1"/>
  <c r="M200" i="1"/>
  <c r="V200" i="1" s="1"/>
  <c r="E200" i="1"/>
  <c r="Y199" i="1"/>
  <c r="U199" i="1"/>
  <c r="T199" i="1"/>
  <c r="R199" i="1"/>
  <c r="S199" i="1" s="1"/>
  <c r="N199" i="1"/>
  <c r="M199" i="1"/>
  <c r="V199" i="1" s="1"/>
  <c r="E199" i="1"/>
  <c r="Y198" i="1"/>
  <c r="V198" i="1"/>
  <c r="U198" i="1"/>
  <c r="T198" i="1"/>
  <c r="R198" i="1"/>
  <c r="S198" i="1" s="1"/>
  <c r="N198" i="1"/>
  <c r="M198" i="1"/>
  <c r="E198" i="1"/>
  <c r="Y197" i="1"/>
  <c r="V197" i="1"/>
  <c r="U197" i="1"/>
  <c r="T197" i="1"/>
  <c r="R197" i="1"/>
  <c r="S197" i="1" s="1"/>
  <c r="N197" i="1"/>
  <c r="M197" i="1"/>
  <c r="E197" i="1"/>
  <c r="Y196" i="1"/>
  <c r="U196" i="1"/>
  <c r="T196" i="1"/>
  <c r="R196" i="1"/>
  <c r="S196" i="1" s="1"/>
  <c r="N196" i="1"/>
  <c r="M196" i="1"/>
  <c r="V196" i="1" s="1"/>
  <c r="E196" i="1"/>
  <c r="Y195" i="1"/>
  <c r="U195" i="1"/>
  <c r="T195" i="1"/>
  <c r="R195" i="1"/>
  <c r="S195" i="1" s="1"/>
  <c r="N195" i="1"/>
  <c r="M195" i="1"/>
  <c r="V195" i="1" s="1"/>
  <c r="E195" i="1"/>
  <c r="Y194" i="1"/>
  <c r="V194" i="1"/>
  <c r="U194" i="1"/>
  <c r="T194" i="1"/>
  <c r="R194" i="1"/>
  <c r="S194" i="1" s="1"/>
  <c r="N194" i="1"/>
  <c r="M194" i="1"/>
  <c r="E194" i="1"/>
  <c r="Y193" i="1"/>
  <c r="V193" i="1"/>
  <c r="U193" i="1"/>
  <c r="T193" i="1"/>
  <c r="R193" i="1"/>
  <c r="S193" i="1" s="1"/>
  <c r="N193" i="1"/>
  <c r="M193" i="1"/>
  <c r="E193" i="1"/>
  <c r="Y192" i="1"/>
  <c r="U192" i="1"/>
  <c r="T192" i="1"/>
  <c r="R192" i="1"/>
  <c r="S192" i="1" s="1"/>
  <c r="N192" i="1"/>
  <c r="M192" i="1"/>
  <c r="V192" i="1" s="1"/>
  <c r="E192" i="1"/>
  <c r="Y191" i="1"/>
  <c r="U191" i="1"/>
  <c r="T191" i="1"/>
  <c r="R191" i="1"/>
  <c r="S191" i="1" s="1"/>
  <c r="N191" i="1"/>
  <c r="M191" i="1"/>
  <c r="V191" i="1" s="1"/>
  <c r="E191" i="1"/>
  <c r="Y190" i="1"/>
  <c r="V190" i="1"/>
  <c r="U190" i="1"/>
  <c r="T190" i="1"/>
  <c r="R190" i="1"/>
  <c r="S190" i="1" s="1"/>
  <c r="N190" i="1"/>
  <c r="M190" i="1"/>
  <c r="E190" i="1"/>
  <c r="Y189" i="1"/>
  <c r="V189" i="1"/>
  <c r="U189" i="1"/>
  <c r="T189" i="1"/>
  <c r="R189" i="1"/>
  <c r="S189" i="1" s="1"/>
  <c r="N189" i="1"/>
  <c r="M189" i="1"/>
  <c r="E189" i="1"/>
  <c r="Y188" i="1"/>
  <c r="U188" i="1"/>
  <c r="T188" i="1"/>
  <c r="R188" i="1"/>
  <c r="S188" i="1" s="1"/>
  <c r="N188" i="1"/>
  <c r="M188" i="1"/>
  <c r="V188" i="1" s="1"/>
  <c r="E188" i="1"/>
  <c r="Y187" i="1"/>
  <c r="V187" i="1"/>
  <c r="U187" i="1"/>
  <c r="T187" i="1"/>
  <c r="R187" i="1"/>
  <c r="S187" i="1" s="1"/>
  <c r="N187" i="1"/>
  <c r="M187" i="1"/>
  <c r="E187" i="1"/>
  <c r="Y186" i="1"/>
  <c r="U186" i="1"/>
  <c r="T186" i="1"/>
  <c r="R186" i="1"/>
  <c r="S186" i="1" s="1"/>
  <c r="N186" i="1"/>
  <c r="M186" i="1"/>
  <c r="V186" i="1" s="1"/>
  <c r="E186" i="1"/>
  <c r="Y185" i="1"/>
  <c r="U185" i="1"/>
  <c r="T185" i="1"/>
  <c r="R185" i="1"/>
  <c r="S185" i="1" s="1"/>
  <c r="N185" i="1"/>
  <c r="M185" i="1"/>
  <c r="V185" i="1" s="1"/>
  <c r="E185" i="1"/>
  <c r="Y184" i="1"/>
  <c r="U184" i="1"/>
  <c r="T184" i="1"/>
  <c r="S184" i="1"/>
  <c r="R184" i="1"/>
  <c r="N184" i="1"/>
  <c r="M184" i="1"/>
  <c r="V184" i="1" s="1"/>
  <c r="E184" i="1"/>
  <c r="Y183" i="1"/>
  <c r="V183" i="1"/>
  <c r="U183" i="1"/>
  <c r="T183" i="1"/>
  <c r="S183" i="1"/>
  <c r="R183" i="1"/>
  <c r="N183" i="1"/>
  <c r="M183" i="1"/>
  <c r="E183" i="1"/>
  <c r="Y182" i="1"/>
  <c r="U182" i="1"/>
  <c r="T182" i="1"/>
  <c r="R182" i="1"/>
  <c r="S182" i="1" s="1"/>
  <c r="N182" i="1"/>
  <c r="M182" i="1"/>
  <c r="V182" i="1" s="1"/>
  <c r="E182" i="1"/>
  <c r="Y181" i="1"/>
  <c r="V181" i="1"/>
  <c r="U181" i="1"/>
  <c r="T181" i="1"/>
  <c r="R181" i="1"/>
  <c r="S181" i="1" s="1"/>
  <c r="N181" i="1"/>
  <c r="M181" i="1"/>
  <c r="E181" i="1"/>
  <c r="Y180" i="1"/>
  <c r="V180" i="1"/>
  <c r="U180" i="1"/>
  <c r="T180" i="1"/>
  <c r="S180" i="1"/>
  <c r="R180" i="1"/>
  <c r="N180" i="1"/>
  <c r="M180" i="1"/>
  <c r="E180" i="1"/>
  <c r="Y179" i="1"/>
  <c r="U179" i="1"/>
  <c r="T179" i="1"/>
  <c r="R179" i="1"/>
  <c r="S179" i="1" s="1"/>
  <c r="N179" i="1"/>
  <c r="M179" i="1"/>
  <c r="V179" i="1" s="1"/>
  <c r="E179" i="1"/>
  <c r="Y178" i="1"/>
  <c r="V178" i="1"/>
  <c r="U178" i="1"/>
  <c r="T178" i="1"/>
  <c r="S178" i="1"/>
  <c r="R178" i="1"/>
  <c r="N178" i="1"/>
  <c r="M178" i="1"/>
  <c r="E178" i="1"/>
  <c r="Y177" i="1"/>
  <c r="V177" i="1"/>
  <c r="U177" i="1"/>
  <c r="T177" i="1"/>
  <c r="R177" i="1"/>
  <c r="S177" i="1" s="1"/>
  <c r="N177" i="1"/>
  <c r="M177" i="1"/>
  <c r="E177" i="1"/>
  <c r="Y176" i="1"/>
  <c r="U176" i="1"/>
  <c r="T176" i="1"/>
  <c r="R176" i="1"/>
  <c r="S176" i="1" s="1"/>
  <c r="N176" i="1"/>
  <c r="M176" i="1"/>
  <c r="V176" i="1" s="1"/>
  <c r="E176" i="1"/>
  <c r="Y175" i="1"/>
  <c r="U175" i="1"/>
  <c r="T175" i="1"/>
  <c r="S175" i="1"/>
  <c r="R175" i="1"/>
  <c r="N175" i="1"/>
  <c r="M175" i="1"/>
  <c r="V175" i="1" s="1"/>
  <c r="E175" i="1"/>
  <c r="Y174" i="1"/>
  <c r="V174" i="1"/>
  <c r="U174" i="1"/>
  <c r="T174" i="1"/>
  <c r="R174" i="1"/>
  <c r="S174" i="1" s="1"/>
  <c r="N174" i="1"/>
  <c r="M174" i="1"/>
  <c r="E174" i="1"/>
  <c r="Y173" i="1"/>
  <c r="U173" i="1"/>
  <c r="T173" i="1"/>
  <c r="R173" i="1"/>
  <c r="S173" i="1" s="1"/>
  <c r="N173" i="1"/>
  <c r="M173" i="1"/>
  <c r="V173" i="1" s="1"/>
  <c r="E173" i="1"/>
  <c r="Y172" i="1"/>
  <c r="U172" i="1"/>
  <c r="T172" i="1"/>
  <c r="S172" i="1"/>
  <c r="R172" i="1"/>
  <c r="N172" i="1"/>
  <c r="M172" i="1"/>
  <c r="V172" i="1" s="1"/>
  <c r="E172" i="1"/>
  <c r="Y171" i="1"/>
  <c r="V171" i="1"/>
  <c r="U171" i="1"/>
  <c r="T171" i="1"/>
  <c r="S171" i="1"/>
  <c r="R171" i="1"/>
  <c r="N171" i="1"/>
  <c r="M171" i="1"/>
  <c r="E171" i="1"/>
  <c r="Y170" i="1"/>
  <c r="U170" i="1"/>
  <c r="T170" i="1"/>
  <c r="R170" i="1"/>
  <c r="S170" i="1" s="1"/>
  <c r="N170" i="1"/>
  <c r="M170" i="1"/>
  <c r="V170" i="1" s="1"/>
  <c r="E170" i="1"/>
  <c r="Y169" i="1"/>
  <c r="V169" i="1"/>
  <c r="U169" i="1"/>
  <c r="T169" i="1"/>
  <c r="R169" i="1"/>
  <c r="S169" i="1" s="1"/>
  <c r="N169" i="1"/>
  <c r="M169" i="1"/>
  <c r="E169" i="1"/>
  <c r="Y168" i="1"/>
  <c r="V168" i="1"/>
  <c r="U168" i="1"/>
  <c r="T168" i="1"/>
  <c r="S168" i="1"/>
  <c r="R168" i="1"/>
  <c r="N168" i="1"/>
  <c r="M168" i="1"/>
  <c r="E168" i="1"/>
  <c r="Y167" i="1"/>
  <c r="U167" i="1"/>
  <c r="T167" i="1"/>
  <c r="R167" i="1"/>
  <c r="S167" i="1" s="1"/>
  <c r="N167" i="1"/>
  <c r="M167" i="1"/>
  <c r="V167" i="1" s="1"/>
  <c r="E167" i="1"/>
  <c r="Y166" i="1"/>
  <c r="V166" i="1"/>
  <c r="U166" i="1"/>
  <c r="T166" i="1"/>
  <c r="S166" i="1"/>
  <c r="R166" i="1"/>
  <c r="N166" i="1"/>
  <c r="M166" i="1"/>
  <c r="E166" i="1"/>
  <c r="Y165" i="1"/>
  <c r="V165" i="1"/>
  <c r="U165" i="1"/>
  <c r="T165" i="1"/>
  <c r="R165" i="1"/>
  <c r="S165" i="1" s="1"/>
  <c r="N165" i="1"/>
  <c r="M165" i="1"/>
  <c r="E165" i="1"/>
  <c r="Y164" i="1"/>
  <c r="U164" i="1"/>
  <c r="T164" i="1"/>
  <c r="R164" i="1"/>
  <c r="S164" i="1" s="1"/>
  <c r="N164" i="1"/>
  <c r="M164" i="1"/>
  <c r="V164" i="1" s="1"/>
  <c r="E164" i="1"/>
  <c r="Y163" i="1"/>
  <c r="U163" i="1"/>
  <c r="T163" i="1"/>
  <c r="S163" i="1"/>
  <c r="R163" i="1"/>
  <c r="N163" i="1"/>
  <c r="M163" i="1"/>
  <c r="V163" i="1" s="1"/>
  <c r="E163" i="1"/>
  <c r="Y162" i="1"/>
  <c r="V162" i="1"/>
  <c r="U162" i="1"/>
  <c r="T162" i="1"/>
  <c r="R162" i="1"/>
  <c r="S162" i="1" s="1"/>
  <c r="N162" i="1"/>
  <c r="M162" i="1"/>
  <c r="E162" i="1"/>
  <c r="Y161" i="1"/>
  <c r="U161" i="1"/>
  <c r="T161" i="1"/>
  <c r="R161" i="1"/>
  <c r="S161" i="1" s="1"/>
  <c r="N161" i="1"/>
  <c r="M161" i="1"/>
  <c r="V161" i="1" s="1"/>
  <c r="E161" i="1"/>
  <c r="Y160" i="1"/>
  <c r="U160" i="1"/>
  <c r="T160" i="1"/>
  <c r="S160" i="1"/>
  <c r="R160" i="1"/>
  <c r="N160" i="1"/>
  <c r="M160" i="1"/>
  <c r="V160" i="1" s="1"/>
  <c r="E160" i="1"/>
  <c r="Y159" i="1"/>
  <c r="V159" i="1"/>
  <c r="U159" i="1"/>
  <c r="T159" i="1"/>
  <c r="S159" i="1"/>
  <c r="R159" i="1"/>
  <c r="N159" i="1"/>
  <c r="M159" i="1"/>
  <c r="E159" i="1"/>
  <c r="Y158" i="1"/>
  <c r="U158" i="1"/>
  <c r="T158" i="1"/>
  <c r="R158" i="1"/>
  <c r="S158" i="1" s="1"/>
  <c r="N158" i="1"/>
  <c r="M158" i="1"/>
  <c r="V158" i="1" s="1"/>
  <c r="E158" i="1"/>
  <c r="Y157" i="1"/>
  <c r="V157" i="1"/>
  <c r="U157" i="1"/>
  <c r="T157" i="1"/>
  <c r="R157" i="1"/>
  <c r="S157" i="1" s="1"/>
  <c r="N157" i="1"/>
  <c r="M157" i="1"/>
  <c r="E157" i="1"/>
  <c r="Y156" i="1"/>
  <c r="V156" i="1"/>
  <c r="U156" i="1"/>
  <c r="T156" i="1"/>
  <c r="S156" i="1"/>
  <c r="R156" i="1"/>
  <c r="N156" i="1"/>
  <c r="M156" i="1"/>
  <c r="E156" i="1"/>
  <c r="Y155" i="1"/>
  <c r="U155" i="1"/>
  <c r="T155" i="1"/>
  <c r="R155" i="1"/>
  <c r="S155" i="1" s="1"/>
  <c r="N155" i="1"/>
  <c r="M155" i="1"/>
  <c r="V155" i="1" s="1"/>
  <c r="E155" i="1"/>
  <c r="Y154" i="1"/>
  <c r="U154" i="1"/>
  <c r="T154" i="1"/>
  <c r="S154" i="1"/>
  <c r="R154" i="1"/>
  <c r="N154" i="1"/>
  <c r="M154" i="1"/>
  <c r="V154" i="1" s="1"/>
  <c r="E154" i="1"/>
  <c r="Y153" i="1"/>
  <c r="V153" i="1"/>
  <c r="U153" i="1"/>
  <c r="T153" i="1"/>
  <c r="R153" i="1"/>
  <c r="S153" i="1" s="1"/>
  <c r="N153" i="1"/>
  <c r="M153" i="1"/>
  <c r="E153" i="1"/>
  <c r="Y152" i="1"/>
  <c r="U152" i="1"/>
  <c r="T152" i="1"/>
  <c r="R152" i="1"/>
  <c r="S152" i="1" s="1"/>
  <c r="N152" i="1"/>
  <c r="M152" i="1"/>
  <c r="V152" i="1" s="1"/>
  <c r="E152" i="1"/>
  <c r="Y151" i="1"/>
  <c r="U151" i="1"/>
  <c r="T151" i="1"/>
  <c r="S151" i="1"/>
  <c r="R151" i="1"/>
  <c r="N151" i="1"/>
  <c r="M151" i="1"/>
  <c r="V151" i="1" s="1"/>
  <c r="E151" i="1"/>
  <c r="Y150" i="1"/>
  <c r="V150" i="1"/>
  <c r="U150" i="1"/>
  <c r="T150" i="1"/>
  <c r="R150" i="1"/>
  <c r="S150" i="1" s="1"/>
  <c r="N150" i="1"/>
  <c r="M150" i="1"/>
  <c r="E150" i="1"/>
  <c r="Y149" i="1"/>
  <c r="U149" i="1"/>
  <c r="T149" i="1"/>
  <c r="R149" i="1"/>
  <c r="S149" i="1" s="1"/>
  <c r="N149" i="1"/>
  <c r="M149" i="1"/>
  <c r="V149" i="1" s="1"/>
  <c r="E149" i="1"/>
  <c r="Y148" i="1"/>
  <c r="U148" i="1"/>
  <c r="T148" i="1"/>
  <c r="S148" i="1"/>
  <c r="R148" i="1"/>
  <c r="N148" i="1"/>
  <c r="M148" i="1"/>
  <c r="V148" i="1" s="1"/>
  <c r="E148" i="1"/>
  <c r="Y147" i="1"/>
  <c r="V147" i="1"/>
  <c r="U147" i="1"/>
  <c r="T147" i="1"/>
  <c r="S147" i="1"/>
  <c r="R147" i="1"/>
  <c r="N147" i="1"/>
  <c r="M147" i="1"/>
  <c r="E147" i="1"/>
  <c r="Y146" i="1"/>
  <c r="U146" i="1"/>
  <c r="T146" i="1"/>
  <c r="R146" i="1"/>
  <c r="S146" i="1" s="1"/>
  <c r="N146" i="1"/>
  <c r="M146" i="1"/>
  <c r="V146" i="1" s="1"/>
  <c r="E146" i="1"/>
  <c r="Y145" i="1"/>
  <c r="V145" i="1"/>
  <c r="U145" i="1"/>
  <c r="T145" i="1"/>
  <c r="R145" i="1"/>
  <c r="S145" i="1" s="1"/>
  <c r="N145" i="1"/>
  <c r="M145" i="1"/>
  <c r="E145" i="1"/>
  <c r="Y144" i="1"/>
  <c r="V144" i="1"/>
  <c r="U144" i="1"/>
  <c r="T144" i="1"/>
  <c r="R144" i="1"/>
  <c r="S144" i="1" s="1"/>
  <c r="N144" i="1"/>
  <c r="M144" i="1"/>
  <c r="E144" i="1"/>
  <c r="Y143" i="1"/>
  <c r="V143" i="1"/>
  <c r="U143" i="1"/>
  <c r="T143" i="1"/>
  <c r="R143" i="1"/>
  <c r="S143" i="1" s="1"/>
  <c r="N143" i="1"/>
  <c r="M143" i="1"/>
  <c r="E143" i="1"/>
  <c r="Y142" i="1"/>
  <c r="V142" i="1"/>
  <c r="U142" i="1"/>
  <c r="T142" i="1"/>
  <c r="R142" i="1"/>
  <c r="S142" i="1" s="1"/>
  <c r="N142" i="1"/>
  <c r="M142" i="1"/>
  <c r="E142" i="1"/>
  <c r="Y141" i="1"/>
  <c r="V141" i="1"/>
  <c r="U141" i="1"/>
  <c r="T141" i="1"/>
  <c r="R141" i="1"/>
  <c r="S141" i="1" s="1"/>
  <c r="N141" i="1"/>
  <c r="M141" i="1"/>
  <c r="E141" i="1"/>
  <c r="Y140" i="1"/>
  <c r="V140" i="1"/>
  <c r="U140" i="1"/>
  <c r="T140" i="1"/>
  <c r="R140" i="1"/>
  <c r="S140" i="1" s="1"/>
  <c r="N140" i="1"/>
  <c r="M140" i="1"/>
  <c r="E140" i="1"/>
  <c r="Y139" i="1"/>
  <c r="V139" i="1"/>
  <c r="U139" i="1"/>
  <c r="T139" i="1"/>
  <c r="R139" i="1"/>
  <c r="S139" i="1" s="1"/>
  <c r="N139" i="1"/>
  <c r="M139" i="1"/>
  <c r="E139" i="1"/>
  <c r="Y138" i="1"/>
  <c r="V138" i="1"/>
  <c r="U138" i="1"/>
  <c r="T138" i="1"/>
  <c r="R138" i="1"/>
  <c r="S138" i="1" s="1"/>
  <c r="N138" i="1"/>
  <c r="M138" i="1"/>
  <c r="E138" i="1"/>
  <c r="Y137" i="1"/>
  <c r="V137" i="1"/>
  <c r="U137" i="1"/>
  <c r="T137" i="1"/>
  <c r="R137" i="1"/>
  <c r="S137" i="1" s="1"/>
  <c r="N137" i="1"/>
  <c r="M137" i="1"/>
  <c r="E137" i="1"/>
  <c r="Y136" i="1"/>
  <c r="V136" i="1"/>
  <c r="U136" i="1"/>
  <c r="T136" i="1"/>
  <c r="R136" i="1"/>
  <c r="S136" i="1" s="1"/>
  <c r="N136" i="1"/>
  <c r="M136" i="1"/>
  <c r="E136" i="1"/>
  <c r="Y135" i="1"/>
  <c r="V135" i="1"/>
  <c r="U135" i="1"/>
  <c r="T135" i="1"/>
  <c r="R135" i="1"/>
  <c r="S135" i="1" s="1"/>
  <c r="N135" i="1"/>
  <c r="M135" i="1"/>
  <c r="E135" i="1"/>
  <c r="Y134" i="1"/>
  <c r="V134" i="1"/>
  <c r="U134" i="1"/>
  <c r="T134" i="1"/>
  <c r="R134" i="1"/>
  <c r="S134" i="1" s="1"/>
  <c r="N134" i="1"/>
  <c r="M134" i="1"/>
  <c r="E134" i="1"/>
  <c r="Y133" i="1"/>
  <c r="V133" i="1"/>
  <c r="U133" i="1"/>
  <c r="T133" i="1"/>
  <c r="R133" i="1"/>
  <c r="S133" i="1" s="1"/>
  <c r="N133" i="1"/>
  <c r="M133" i="1"/>
  <c r="E133" i="1"/>
  <c r="Y132" i="1"/>
  <c r="V132" i="1"/>
  <c r="U132" i="1"/>
  <c r="T132" i="1"/>
  <c r="R132" i="1"/>
  <c r="S132" i="1" s="1"/>
  <c r="N132" i="1"/>
  <c r="M132" i="1"/>
  <c r="E132" i="1"/>
  <c r="Y131" i="1"/>
  <c r="V131" i="1"/>
  <c r="U131" i="1"/>
  <c r="T131" i="1"/>
  <c r="R131" i="1"/>
  <c r="S131" i="1" s="1"/>
  <c r="N131" i="1"/>
  <c r="M131" i="1"/>
  <c r="E131" i="1"/>
  <c r="Y130" i="1"/>
  <c r="V130" i="1"/>
  <c r="U130" i="1"/>
  <c r="T130" i="1"/>
  <c r="R130" i="1"/>
  <c r="S130" i="1" s="1"/>
  <c r="N130" i="1"/>
  <c r="M130" i="1"/>
  <c r="E130" i="1"/>
  <c r="Y129" i="1"/>
  <c r="V129" i="1"/>
  <c r="U129" i="1"/>
  <c r="T129" i="1"/>
  <c r="R129" i="1"/>
  <c r="S129" i="1" s="1"/>
  <c r="N129" i="1"/>
  <c r="M129" i="1"/>
  <c r="E129" i="1"/>
  <c r="Y128" i="1"/>
  <c r="V128" i="1"/>
  <c r="U128" i="1"/>
  <c r="T128" i="1"/>
  <c r="R128" i="1"/>
  <c r="S128" i="1" s="1"/>
  <c r="N128" i="1"/>
  <c r="M128" i="1"/>
  <c r="E128" i="1"/>
  <c r="Y127" i="1"/>
  <c r="V127" i="1"/>
  <c r="U127" i="1"/>
  <c r="T127" i="1"/>
  <c r="R127" i="1"/>
  <c r="S127" i="1" s="1"/>
  <c r="N127" i="1"/>
  <c r="M127" i="1"/>
  <c r="E127" i="1"/>
  <c r="Y126" i="1"/>
  <c r="V126" i="1"/>
  <c r="U126" i="1"/>
  <c r="T126" i="1"/>
  <c r="R126" i="1"/>
  <c r="S126" i="1" s="1"/>
  <c r="N126" i="1"/>
  <c r="M126" i="1"/>
  <c r="E126" i="1"/>
  <c r="Y125" i="1"/>
  <c r="V125" i="1"/>
  <c r="U125" i="1"/>
  <c r="T125" i="1"/>
  <c r="R125" i="1"/>
  <c r="S125" i="1" s="1"/>
  <c r="N125" i="1"/>
  <c r="M125" i="1"/>
  <c r="E125" i="1"/>
  <c r="Y124" i="1"/>
  <c r="V124" i="1"/>
  <c r="U124" i="1"/>
  <c r="T124" i="1"/>
  <c r="R124" i="1"/>
  <c r="S124" i="1" s="1"/>
  <c r="N124" i="1"/>
  <c r="M124" i="1"/>
  <c r="E124" i="1"/>
  <c r="Y123" i="1"/>
  <c r="V123" i="1"/>
  <c r="U123" i="1"/>
  <c r="T123" i="1"/>
  <c r="R123" i="1"/>
  <c r="S123" i="1" s="1"/>
  <c r="N123" i="1"/>
  <c r="M123" i="1"/>
  <c r="E123" i="1"/>
  <c r="Y122" i="1"/>
  <c r="V122" i="1"/>
  <c r="U122" i="1"/>
  <c r="T122" i="1"/>
  <c r="R122" i="1"/>
  <c r="S122" i="1" s="1"/>
  <c r="N122" i="1"/>
  <c r="M122" i="1"/>
  <c r="E122" i="1"/>
  <c r="Y121" i="1"/>
  <c r="V121" i="1"/>
  <c r="U121" i="1"/>
  <c r="T121" i="1"/>
  <c r="R121" i="1"/>
  <c r="S121" i="1" s="1"/>
  <c r="N121" i="1"/>
  <c r="M121" i="1"/>
  <c r="E121" i="1"/>
  <c r="Y120" i="1"/>
  <c r="V120" i="1"/>
  <c r="U120" i="1"/>
  <c r="T120" i="1"/>
  <c r="R120" i="1"/>
  <c r="S120" i="1" s="1"/>
  <c r="N120" i="1"/>
  <c r="M120" i="1"/>
  <c r="E120" i="1"/>
  <c r="Y119" i="1"/>
  <c r="V119" i="1"/>
  <c r="U119" i="1"/>
  <c r="T119" i="1"/>
  <c r="R119" i="1"/>
  <c r="S119" i="1" s="1"/>
  <c r="N119" i="1"/>
  <c r="M119" i="1"/>
  <c r="E119" i="1"/>
  <c r="Y118" i="1"/>
  <c r="V118" i="1"/>
  <c r="U118" i="1"/>
  <c r="T118" i="1"/>
  <c r="R118" i="1"/>
  <c r="S118" i="1" s="1"/>
  <c r="N118" i="1"/>
  <c r="M118" i="1"/>
  <c r="E118" i="1"/>
  <c r="Y117" i="1"/>
  <c r="V117" i="1"/>
  <c r="U117" i="1"/>
  <c r="T117" i="1"/>
  <c r="R117" i="1"/>
  <c r="S117" i="1" s="1"/>
  <c r="N117" i="1"/>
  <c r="M117" i="1"/>
  <c r="E117" i="1"/>
  <c r="Y116" i="1"/>
  <c r="V116" i="1"/>
  <c r="U116" i="1"/>
  <c r="T116" i="1"/>
  <c r="R116" i="1"/>
  <c r="S116" i="1" s="1"/>
  <c r="N116" i="1"/>
  <c r="M116" i="1"/>
  <c r="E116" i="1"/>
  <c r="Y115" i="1"/>
  <c r="V115" i="1"/>
  <c r="U115" i="1"/>
  <c r="T115" i="1"/>
  <c r="R115" i="1"/>
  <c r="S115" i="1" s="1"/>
  <c r="N115" i="1"/>
  <c r="M115" i="1"/>
  <c r="E115" i="1"/>
  <c r="Y114" i="1"/>
  <c r="V114" i="1"/>
  <c r="U114" i="1"/>
  <c r="T114" i="1"/>
  <c r="R114" i="1"/>
  <c r="S114" i="1" s="1"/>
  <c r="N114" i="1"/>
  <c r="M114" i="1"/>
  <c r="E114" i="1"/>
  <c r="Y113" i="1"/>
  <c r="V113" i="1"/>
  <c r="U113" i="1"/>
  <c r="T113" i="1"/>
  <c r="R113" i="1"/>
  <c r="S113" i="1" s="1"/>
  <c r="N113" i="1"/>
  <c r="M113" i="1"/>
  <c r="E113" i="1"/>
  <c r="Y112" i="1"/>
  <c r="V112" i="1"/>
  <c r="U112" i="1"/>
  <c r="T112" i="1"/>
  <c r="R112" i="1"/>
  <c r="S112" i="1" s="1"/>
  <c r="N112" i="1"/>
  <c r="M112" i="1"/>
  <c r="E112" i="1"/>
  <c r="Y111" i="1"/>
  <c r="V111" i="1"/>
  <c r="U111" i="1"/>
  <c r="T111" i="1"/>
  <c r="R111" i="1"/>
  <c r="S111" i="1" s="1"/>
  <c r="N111" i="1"/>
  <c r="M111" i="1"/>
  <c r="E111" i="1"/>
  <c r="Y110" i="1"/>
  <c r="V110" i="1"/>
  <c r="U110" i="1"/>
  <c r="T110" i="1"/>
  <c r="R110" i="1"/>
  <c r="S110" i="1" s="1"/>
  <c r="N110" i="1"/>
  <c r="M110" i="1"/>
  <c r="E110" i="1"/>
  <c r="V109" i="1"/>
  <c r="U109" i="1"/>
  <c r="T109" i="1"/>
  <c r="S109" i="1"/>
  <c r="R109" i="1"/>
  <c r="N109" i="1"/>
  <c r="M109" i="1"/>
  <c r="E109" i="1"/>
  <c r="V108" i="1"/>
  <c r="U108" i="1"/>
  <c r="T108" i="1"/>
  <c r="S108" i="1"/>
  <c r="R108" i="1"/>
  <c r="N108" i="1"/>
  <c r="M108" i="1"/>
  <c r="E108" i="1"/>
  <c r="V107" i="1"/>
  <c r="U107" i="1"/>
  <c r="T107" i="1"/>
  <c r="S107" i="1"/>
  <c r="R107" i="1"/>
  <c r="N107" i="1"/>
  <c r="M107" i="1"/>
  <c r="E107" i="1"/>
  <c r="V106" i="1"/>
  <c r="U106" i="1"/>
  <c r="T106" i="1"/>
  <c r="R106" i="1"/>
  <c r="S106" i="1" s="1"/>
  <c r="N106" i="1"/>
  <c r="M106" i="1"/>
  <c r="E106" i="1"/>
  <c r="V105" i="1"/>
  <c r="U105" i="1"/>
  <c r="T105" i="1"/>
  <c r="R105" i="1"/>
  <c r="S105" i="1" s="1"/>
  <c r="N105" i="1"/>
  <c r="M105" i="1"/>
  <c r="E105" i="1"/>
  <c r="U104" i="1"/>
  <c r="T104" i="1"/>
  <c r="S104" i="1"/>
  <c r="R104" i="1"/>
  <c r="N104" i="1"/>
  <c r="M104" i="1"/>
  <c r="V104" i="1" s="1"/>
  <c r="E104" i="1"/>
  <c r="U103" i="1"/>
  <c r="T103" i="1"/>
  <c r="R103" i="1"/>
  <c r="S103" i="1" s="1"/>
  <c r="N103" i="1"/>
  <c r="M103" i="1"/>
  <c r="V103" i="1" s="1"/>
  <c r="E103" i="1"/>
  <c r="U102" i="1"/>
  <c r="T102" i="1"/>
  <c r="R102" i="1"/>
  <c r="S102" i="1" s="1"/>
  <c r="N102" i="1"/>
  <c r="M102" i="1"/>
  <c r="V102" i="1" s="1"/>
  <c r="E102" i="1"/>
  <c r="U101" i="1"/>
  <c r="T101" i="1"/>
  <c r="S101" i="1"/>
  <c r="R101" i="1"/>
  <c r="N101" i="1"/>
  <c r="M101" i="1"/>
  <c r="V101" i="1" s="1"/>
  <c r="E101" i="1"/>
  <c r="V100" i="1"/>
  <c r="U100" i="1"/>
  <c r="T100" i="1"/>
  <c r="S100" i="1"/>
  <c r="R100" i="1"/>
  <c r="N100" i="1"/>
  <c r="M100" i="1"/>
  <c r="E100" i="1"/>
  <c r="V99" i="1"/>
  <c r="U99" i="1"/>
  <c r="T99" i="1"/>
  <c r="R99" i="1"/>
  <c r="S99" i="1" s="1"/>
  <c r="N99" i="1"/>
  <c r="M99" i="1"/>
  <c r="E99" i="1"/>
  <c r="V98" i="1"/>
  <c r="U98" i="1"/>
  <c r="T98" i="1"/>
  <c r="R98" i="1"/>
  <c r="S98" i="1" s="1"/>
  <c r="N98" i="1"/>
  <c r="M98" i="1"/>
  <c r="E98" i="1"/>
  <c r="V97" i="1"/>
  <c r="U97" i="1"/>
  <c r="T97" i="1"/>
  <c r="S97" i="1"/>
  <c r="R97" i="1"/>
  <c r="N97" i="1"/>
  <c r="M97" i="1"/>
  <c r="E97" i="1"/>
  <c r="V96" i="1"/>
  <c r="U96" i="1"/>
  <c r="T96" i="1"/>
  <c r="R96" i="1"/>
  <c r="S96" i="1" s="1"/>
  <c r="N96" i="1"/>
  <c r="M96" i="1"/>
  <c r="E96" i="1"/>
  <c r="V95" i="1"/>
  <c r="U95" i="1"/>
  <c r="T95" i="1"/>
  <c r="R95" i="1"/>
  <c r="S95" i="1" s="1"/>
  <c r="N95" i="1"/>
  <c r="M95" i="1"/>
  <c r="E95" i="1"/>
  <c r="V94" i="1"/>
  <c r="U94" i="1"/>
  <c r="T94" i="1"/>
  <c r="R94" i="1"/>
  <c r="S94" i="1" s="1"/>
  <c r="N94" i="1"/>
  <c r="M94" i="1"/>
  <c r="E94" i="1"/>
  <c r="V93" i="1"/>
  <c r="U93" i="1"/>
  <c r="T93" i="1"/>
  <c r="R93" i="1"/>
  <c r="S93" i="1" s="1"/>
  <c r="N93" i="1"/>
  <c r="M93" i="1"/>
  <c r="E93" i="1"/>
  <c r="U92" i="1"/>
  <c r="T92" i="1"/>
  <c r="S92" i="1"/>
  <c r="R92" i="1"/>
  <c r="N92" i="1"/>
  <c r="M92" i="1"/>
  <c r="V92" i="1" s="1"/>
  <c r="E92" i="1"/>
  <c r="U91" i="1"/>
  <c r="T91" i="1"/>
  <c r="R91" i="1"/>
  <c r="S91" i="1" s="1"/>
  <c r="N91" i="1"/>
  <c r="M91" i="1"/>
  <c r="V91" i="1" s="1"/>
  <c r="E91" i="1"/>
  <c r="U90" i="1"/>
  <c r="T90" i="1"/>
  <c r="R90" i="1"/>
  <c r="S90" i="1" s="1"/>
  <c r="N90" i="1"/>
  <c r="M90" i="1"/>
  <c r="V90" i="1" s="1"/>
  <c r="E90" i="1"/>
  <c r="U89" i="1"/>
  <c r="T89" i="1"/>
  <c r="S89" i="1"/>
  <c r="R89" i="1"/>
  <c r="N89" i="1"/>
  <c r="M89" i="1"/>
  <c r="V89" i="1" s="1"/>
  <c r="E89" i="1"/>
  <c r="V88" i="1"/>
  <c r="U88" i="1"/>
  <c r="T88" i="1"/>
  <c r="S88" i="1"/>
  <c r="R88" i="1"/>
  <c r="N88" i="1"/>
  <c r="M88" i="1"/>
  <c r="E88" i="1"/>
  <c r="U87" i="1"/>
  <c r="T87" i="1"/>
  <c r="R87" i="1"/>
  <c r="S87" i="1" s="1"/>
  <c r="N87" i="1"/>
  <c r="M87" i="1"/>
  <c r="V87" i="1" s="1"/>
  <c r="E87" i="1"/>
  <c r="U86" i="1"/>
  <c r="T86" i="1"/>
  <c r="R86" i="1"/>
  <c r="S86" i="1" s="1"/>
  <c r="N86" i="1"/>
  <c r="M86" i="1"/>
  <c r="V86" i="1" s="1"/>
  <c r="E86" i="1"/>
  <c r="V85" i="1"/>
  <c r="U85" i="1"/>
  <c r="T85" i="1"/>
  <c r="S85" i="1"/>
  <c r="R85" i="1"/>
  <c r="N85" i="1"/>
  <c r="M85" i="1"/>
  <c r="E85" i="1"/>
  <c r="V84" i="1"/>
  <c r="U84" i="1"/>
  <c r="T84" i="1"/>
  <c r="S84" i="1"/>
  <c r="R84" i="1"/>
  <c r="N84" i="1"/>
  <c r="M84" i="1"/>
  <c r="E84" i="1"/>
  <c r="U83" i="1"/>
  <c r="T83" i="1"/>
  <c r="S83" i="1"/>
  <c r="R83" i="1"/>
  <c r="N83" i="1"/>
  <c r="M83" i="1"/>
  <c r="V83" i="1" s="1"/>
  <c r="E83" i="1"/>
  <c r="V82" i="1"/>
  <c r="U82" i="1"/>
  <c r="T82" i="1"/>
  <c r="R82" i="1"/>
  <c r="S82" i="1" s="1"/>
  <c r="N82" i="1"/>
  <c r="M82" i="1"/>
  <c r="E82" i="1"/>
  <c r="V81" i="1"/>
  <c r="U81" i="1"/>
  <c r="T81" i="1"/>
  <c r="R81" i="1"/>
  <c r="S81" i="1" s="1"/>
  <c r="N81" i="1"/>
  <c r="M81" i="1"/>
  <c r="E81" i="1"/>
  <c r="U80" i="1"/>
  <c r="T80" i="1"/>
  <c r="S80" i="1"/>
  <c r="R80" i="1"/>
  <c r="N80" i="1"/>
  <c r="M80" i="1"/>
  <c r="V80" i="1" s="1"/>
  <c r="E80" i="1"/>
  <c r="U79" i="1"/>
  <c r="T79" i="1"/>
  <c r="S79" i="1"/>
  <c r="R79" i="1"/>
  <c r="N79" i="1"/>
  <c r="M79" i="1"/>
  <c r="V79" i="1" s="1"/>
  <c r="E79" i="1"/>
  <c r="U78" i="1"/>
  <c r="T78" i="1"/>
  <c r="R78" i="1"/>
  <c r="S78" i="1" s="1"/>
  <c r="N78" i="1"/>
  <c r="M78" i="1"/>
  <c r="V78" i="1" s="1"/>
  <c r="E78" i="1"/>
  <c r="U77" i="1"/>
  <c r="T77" i="1"/>
  <c r="R77" i="1"/>
  <c r="S77" i="1" s="1"/>
  <c r="N77" i="1"/>
  <c r="M77" i="1"/>
  <c r="V77" i="1" s="1"/>
  <c r="E77" i="1"/>
  <c r="V76" i="1"/>
  <c r="U76" i="1"/>
  <c r="T76" i="1"/>
  <c r="S76" i="1"/>
  <c r="R76" i="1"/>
  <c r="N76" i="1"/>
  <c r="M76" i="1"/>
  <c r="E76" i="1"/>
  <c r="V75" i="1"/>
  <c r="U75" i="1"/>
  <c r="T75" i="1"/>
  <c r="R75" i="1"/>
  <c r="S75" i="1" s="1"/>
  <c r="N75" i="1"/>
  <c r="M75" i="1"/>
  <c r="E75" i="1"/>
  <c r="V74" i="1"/>
  <c r="U74" i="1"/>
  <c r="T74" i="1"/>
  <c r="R74" i="1"/>
  <c r="S74" i="1" s="1"/>
  <c r="N74" i="1"/>
  <c r="M74" i="1"/>
  <c r="E74" i="1"/>
  <c r="V73" i="1"/>
  <c r="U73" i="1"/>
  <c r="T73" i="1"/>
  <c r="S73" i="1"/>
  <c r="R73" i="1"/>
  <c r="N73" i="1"/>
  <c r="M73" i="1"/>
  <c r="E73" i="1"/>
  <c r="V72" i="1"/>
  <c r="U72" i="1"/>
  <c r="T72" i="1"/>
  <c r="R72" i="1"/>
  <c r="S72" i="1" s="1"/>
  <c r="N72" i="1"/>
  <c r="M72" i="1"/>
  <c r="E72" i="1"/>
  <c r="U71" i="1"/>
  <c r="T71" i="1"/>
  <c r="R71" i="1"/>
  <c r="S71" i="1" s="1"/>
  <c r="N71" i="1"/>
  <c r="M71" i="1"/>
  <c r="V71" i="1" s="1"/>
  <c r="E71" i="1"/>
  <c r="V70" i="1"/>
  <c r="U70" i="1"/>
  <c r="T70" i="1"/>
  <c r="S70" i="1"/>
  <c r="R70" i="1"/>
  <c r="N70" i="1"/>
  <c r="M70" i="1"/>
  <c r="E70" i="1"/>
  <c r="V69" i="1"/>
  <c r="U69" i="1"/>
  <c r="T69" i="1"/>
  <c r="R69" i="1"/>
  <c r="S69" i="1" s="1"/>
  <c r="N69" i="1"/>
  <c r="M69" i="1"/>
  <c r="E69" i="1"/>
  <c r="U68" i="1"/>
  <c r="T68" i="1"/>
  <c r="S68" i="1"/>
  <c r="R68" i="1"/>
  <c r="N68" i="1"/>
  <c r="M68" i="1"/>
  <c r="V68" i="1" s="1"/>
  <c r="E68" i="1"/>
  <c r="U67" i="1"/>
  <c r="T67" i="1"/>
  <c r="R67" i="1"/>
  <c r="S67" i="1" s="1"/>
  <c r="N67" i="1"/>
  <c r="M67" i="1"/>
  <c r="V67" i="1" s="1"/>
  <c r="E67" i="1"/>
  <c r="U66" i="1"/>
  <c r="T66" i="1"/>
  <c r="R66" i="1"/>
  <c r="S66" i="1" s="1"/>
  <c r="N66" i="1"/>
  <c r="M66" i="1"/>
  <c r="V66" i="1" s="1"/>
  <c r="E66" i="1"/>
  <c r="U65" i="1"/>
  <c r="T65" i="1"/>
  <c r="R65" i="1"/>
  <c r="S65" i="1" s="1"/>
  <c r="N65" i="1"/>
  <c r="M65" i="1"/>
  <c r="V65" i="1" s="1"/>
  <c r="E65" i="1"/>
  <c r="V64" i="1"/>
  <c r="U64" i="1"/>
  <c r="T64" i="1"/>
  <c r="S64" i="1"/>
  <c r="R64" i="1"/>
  <c r="N64" i="1"/>
  <c r="M64" i="1"/>
  <c r="E64" i="1"/>
  <c r="Y63" i="1"/>
  <c r="V63" i="1"/>
  <c r="U63" i="1"/>
  <c r="T63" i="1"/>
  <c r="S63" i="1"/>
  <c r="R63" i="1"/>
  <c r="N63" i="1"/>
  <c r="M63" i="1"/>
  <c r="E63" i="1"/>
  <c r="Y62" i="1"/>
  <c r="V62" i="1"/>
  <c r="U62" i="1"/>
  <c r="T62" i="1"/>
  <c r="S62" i="1"/>
  <c r="R62" i="1"/>
  <c r="N62" i="1"/>
  <c r="M62" i="1"/>
  <c r="E62" i="1"/>
  <c r="Y61" i="1"/>
  <c r="V61" i="1"/>
  <c r="U61" i="1"/>
  <c r="T61" i="1"/>
  <c r="S61" i="1"/>
  <c r="R61" i="1"/>
  <c r="N61" i="1"/>
  <c r="M61" i="1"/>
  <c r="E61" i="1"/>
  <c r="V60" i="1"/>
  <c r="U60" i="1"/>
  <c r="T60" i="1"/>
  <c r="R60" i="1"/>
  <c r="S60" i="1" s="1"/>
  <c r="N60" i="1"/>
  <c r="M60" i="1"/>
  <c r="E60" i="1"/>
  <c r="U59" i="1"/>
  <c r="T59" i="1"/>
  <c r="R59" i="1"/>
  <c r="S59" i="1" s="1"/>
  <c r="N59" i="1"/>
  <c r="M59" i="1"/>
  <c r="V59" i="1" s="1"/>
  <c r="E59" i="1"/>
  <c r="U58" i="1"/>
  <c r="T58" i="1"/>
  <c r="S58" i="1"/>
  <c r="R58" i="1"/>
  <c r="N58" i="1"/>
  <c r="M58" i="1"/>
  <c r="V58" i="1" s="1"/>
  <c r="E58" i="1"/>
  <c r="U57" i="1"/>
  <c r="T57" i="1"/>
  <c r="R57" i="1"/>
  <c r="S57" i="1" s="1"/>
  <c r="N57" i="1"/>
  <c r="M57" i="1"/>
  <c r="V57" i="1" s="1"/>
  <c r="E57" i="1"/>
  <c r="U56" i="1"/>
  <c r="T56" i="1"/>
  <c r="S56" i="1"/>
  <c r="R56" i="1"/>
  <c r="N56" i="1"/>
  <c r="M56" i="1"/>
  <c r="V56" i="1" s="1"/>
  <c r="E56" i="1"/>
  <c r="Y55" i="1"/>
  <c r="U55" i="1"/>
  <c r="T55" i="1"/>
  <c r="R55" i="1"/>
  <c r="S55" i="1" s="1"/>
  <c r="N55" i="1"/>
  <c r="M55" i="1"/>
  <c r="V55" i="1" s="1"/>
  <c r="E55" i="1"/>
  <c r="Y54" i="1"/>
  <c r="U54" i="1"/>
  <c r="T54" i="1"/>
  <c r="S54" i="1"/>
  <c r="R54" i="1"/>
  <c r="N54" i="1"/>
  <c r="M54" i="1"/>
  <c r="V54" i="1" s="1"/>
  <c r="E54" i="1"/>
  <c r="Y53" i="1"/>
  <c r="U53" i="1"/>
  <c r="T53" i="1"/>
  <c r="S53" i="1"/>
  <c r="R53" i="1"/>
  <c r="N53" i="1"/>
  <c r="M53" i="1"/>
  <c r="V53" i="1" s="1"/>
  <c r="E53" i="1"/>
  <c r="Y52" i="1"/>
  <c r="V52" i="1"/>
  <c r="U52" i="1"/>
  <c r="T52" i="1"/>
  <c r="S52" i="1"/>
  <c r="R52" i="1"/>
  <c r="N52" i="1"/>
  <c r="M52" i="1"/>
  <c r="E52" i="1"/>
  <c r="Y51" i="1"/>
  <c r="V51" i="1"/>
  <c r="U51" i="1"/>
  <c r="T51" i="1"/>
  <c r="R51" i="1"/>
  <c r="S51" i="1" s="1"/>
  <c r="N51" i="1"/>
  <c r="M51" i="1"/>
  <c r="E51" i="1"/>
  <c r="Y50" i="1"/>
  <c r="V50" i="1"/>
  <c r="U50" i="1"/>
  <c r="T50" i="1"/>
  <c r="R50" i="1"/>
  <c r="S50" i="1" s="1"/>
  <c r="N50" i="1"/>
  <c r="M50" i="1"/>
  <c r="E50" i="1"/>
  <c r="Y49" i="1"/>
  <c r="V49" i="1"/>
  <c r="U49" i="1"/>
  <c r="T49" i="1"/>
  <c r="S49" i="1"/>
  <c r="R49" i="1"/>
  <c r="N49" i="1"/>
  <c r="M49" i="1"/>
  <c r="E49" i="1"/>
  <c r="Y48" i="1"/>
  <c r="V48" i="1"/>
  <c r="U48" i="1"/>
  <c r="T48" i="1"/>
  <c r="S48" i="1"/>
  <c r="R48" i="1"/>
  <c r="N48" i="1"/>
  <c r="M48" i="1"/>
  <c r="E48" i="1"/>
  <c r="Y47" i="1"/>
  <c r="V47" i="1"/>
  <c r="U47" i="1"/>
  <c r="T47" i="1"/>
  <c r="S47" i="1"/>
  <c r="R47" i="1"/>
  <c r="N47" i="1"/>
  <c r="M47" i="1"/>
  <c r="E47" i="1"/>
  <c r="Y46" i="1"/>
  <c r="V46" i="1"/>
  <c r="U46" i="1"/>
  <c r="T46" i="1"/>
  <c r="S46" i="1"/>
  <c r="R46" i="1"/>
  <c r="N46" i="1"/>
  <c r="M46" i="1"/>
  <c r="E46" i="1"/>
  <c r="Y45" i="1"/>
  <c r="V45" i="1"/>
  <c r="U45" i="1"/>
  <c r="T45" i="1"/>
  <c r="S45" i="1"/>
  <c r="R45" i="1"/>
  <c r="N45" i="1"/>
  <c r="M45" i="1"/>
  <c r="E45" i="1"/>
  <c r="Y44" i="1"/>
  <c r="V44" i="1"/>
  <c r="U44" i="1"/>
  <c r="T44" i="1"/>
  <c r="S44" i="1"/>
  <c r="R44" i="1"/>
  <c r="N44" i="1"/>
  <c r="M44" i="1"/>
  <c r="E44" i="1"/>
  <c r="Y43" i="1"/>
  <c r="V43" i="1"/>
  <c r="U43" i="1"/>
  <c r="T43" i="1"/>
  <c r="S43" i="1"/>
  <c r="R43" i="1"/>
  <c r="N43" i="1"/>
  <c r="M43" i="1"/>
  <c r="E43" i="1"/>
  <c r="Y42" i="1"/>
  <c r="V42" i="1"/>
  <c r="U42" i="1"/>
  <c r="T42" i="1"/>
  <c r="S42" i="1"/>
  <c r="R42" i="1"/>
  <c r="N42" i="1"/>
  <c r="M42" i="1"/>
  <c r="E42" i="1"/>
  <c r="Y41" i="1"/>
  <c r="V41" i="1"/>
  <c r="U41" i="1"/>
  <c r="T41" i="1"/>
  <c r="S41" i="1"/>
  <c r="R41" i="1"/>
  <c r="N41" i="1"/>
  <c r="M41" i="1"/>
  <c r="E41" i="1"/>
  <c r="Y40" i="1"/>
  <c r="V40" i="1"/>
  <c r="U40" i="1"/>
  <c r="T40" i="1"/>
  <c r="S40" i="1"/>
  <c r="R40" i="1"/>
  <c r="N40" i="1"/>
  <c r="M40" i="1"/>
  <c r="E40" i="1"/>
  <c r="Y39" i="1"/>
  <c r="V39" i="1"/>
  <c r="U39" i="1"/>
  <c r="T39" i="1"/>
  <c r="S39" i="1"/>
  <c r="R39" i="1"/>
  <c r="N39" i="1"/>
  <c r="M39" i="1"/>
  <c r="E39" i="1"/>
  <c r="Y38" i="1"/>
  <c r="V38" i="1"/>
  <c r="U38" i="1"/>
  <c r="T38" i="1"/>
  <c r="S38" i="1"/>
  <c r="R38" i="1"/>
  <c r="N38" i="1"/>
  <c r="M38" i="1"/>
  <c r="E38" i="1"/>
  <c r="Y37" i="1"/>
  <c r="V37" i="1"/>
  <c r="U37" i="1"/>
  <c r="T37" i="1"/>
  <c r="S37" i="1"/>
  <c r="R37" i="1"/>
  <c r="N37" i="1"/>
  <c r="M37" i="1"/>
  <c r="E37" i="1"/>
  <c r="Y36" i="1"/>
  <c r="V36" i="1"/>
  <c r="U36" i="1"/>
  <c r="T36" i="1"/>
  <c r="S36" i="1"/>
  <c r="R36" i="1"/>
  <c r="N36" i="1"/>
  <c r="M36" i="1"/>
  <c r="E36" i="1"/>
  <c r="Y35" i="1"/>
  <c r="V35" i="1"/>
  <c r="U35" i="1"/>
  <c r="T35" i="1"/>
  <c r="S35" i="1"/>
  <c r="R35" i="1"/>
  <c r="N35" i="1"/>
  <c r="M35" i="1"/>
  <c r="E35" i="1"/>
  <c r="Y34" i="1"/>
  <c r="V34" i="1"/>
  <c r="U34" i="1"/>
  <c r="T34" i="1"/>
  <c r="S34" i="1"/>
  <c r="R34" i="1"/>
  <c r="N34" i="1"/>
  <c r="M34" i="1"/>
  <c r="E34" i="1"/>
  <c r="Y33" i="1"/>
  <c r="V33" i="1"/>
  <c r="U33" i="1"/>
  <c r="T33" i="1"/>
  <c r="S33" i="1"/>
  <c r="R33" i="1"/>
  <c r="N33" i="1"/>
  <c r="M33" i="1"/>
  <c r="E33" i="1"/>
  <c r="Y32" i="1"/>
  <c r="V32" i="1"/>
  <c r="U32" i="1"/>
  <c r="T32" i="1"/>
  <c r="S32" i="1"/>
  <c r="R32" i="1"/>
  <c r="N32" i="1"/>
  <c r="M32" i="1"/>
  <c r="E32" i="1"/>
  <c r="Y31" i="1"/>
  <c r="V31" i="1"/>
  <c r="U31" i="1"/>
  <c r="T31" i="1"/>
  <c r="S31" i="1"/>
  <c r="R31" i="1"/>
  <c r="N31" i="1"/>
  <c r="M31" i="1"/>
  <c r="E31" i="1"/>
  <c r="Y30" i="1"/>
  <c r="V30" i="1"/>
  <c r="U30" i="1"/>
  <c r="T30" i="1"/>
  <c r="S30" i="1"/>
  <c r="R30" i="1"/>
  <c r="N30" i="1"/>
  <c r="M30" i="1"/>
  <c r="E30" i="1"/>
  <c r="Y29" i="1"/>
  <c r="V29" i="1"/>
  <c r="U29" i="1"/>
  <c r="T29" i="1"/>
  <c r="S29" i="1"/>
  <c r="R29" i="1"/>
  <c r="N29" i="1"/>
  <c r="M29" i="1"/>
  <c r="E29" i="1"/>
  <c r="Y28" i="1"/>
  <c r="V28" i="1"/>
  <c r="U28" i="1"/>
  <c r="T28" i="1"/>
  <c r="S28" i="1"/>
  <c r="R28" i="1"/>
  <c r="N28" i="1"/>
  <c r="M28" i="1"/>
  <c r="E28" i="1"/>
  <c r="Y27" i="1"/>
  <c r="V27" i="1"/>
  <c r="U27" i="1"/>
  <c r="T27" i="1"/>
  <c r="S27" i="1"/>
  <c r="R27" i="1"/>
  <c r="N27" i="1"/>
  <c r="M27" i="1"/>
  <c r="E27" i="1"/>
  <c r="Y26" i="1"/>
  <c r="V26" i="1"/>
  <c r="U26" i="1"/>
  <c r="T26" i="1"/>
  <c r="S26" i="1"/>
  <c r="R26" i="1"/>
  <c r="N26" i="1"/>
  <c r="M26" i="1"/>
  <c r="E26" i="1"/>
  <c r="Y25" i="1"/>
  <c r="V25" i="1"/>
  <c r="U25" i="1"/>
  <c r="T25" i="1"/>
  <c r="S25" i="1"/>
  <c r="R25" i="1"/>
  <c r="N25" i="1"/>
  <c r="M25" i="1"/>
  <c r="E25" i="1"/>
  <c r="Y24" i="1"/>
  <c r="V24" i="1"/>
  <c r="U24" i="1"/>
  <c r="T24" i="1"/>
  <c r="S24" i="1"/>
  <c r="R24" i="1"/>
  <c r="N24" i="1"/>
  <c r="M24" i="1"/>
  <c r="E24" i="1"/>
  <c r="U23" i="1"/>
  <c r="T23" i="1"/>
  <c r="S23" i="1"/>
  <c r="R23" i="1"/>
  <c r="N23" i="1"/>
  <c r="M23" i="1"/>
  <c r="V23" i="1" s="1"/>
  <c r="E23" i="1"/>
  <c r="U22" i="1"/>
  <c r="T22" i="1"/>
  <c r="R22" i="1"/>
  <c r="S22" i="1" s="1"/>
  <c r="N22" i="1"/>
  <c r="M22" i="1"/>
  <c r="V22" i="1" s="1"/>
  <c r="E22" i="1"/>
  <c r="U21" i="1"/>
  <c r="T21" i="1"/>
  <c r="R21" i="1"/>
  <c r="S21" i="1" s="1"/>
  <c r="N21" i="1"/>
  <c r="M21" i="1"/>
  <c r="V21" i="1" s="1"/>
  <c r="E21" i="1"/>
  <c r="V20" i="1"/>
  <c r="U20" i="1"/>
  <c r="T20" i="1"/>
  <c r="R20" i="1"/>
  <c r="S20" i="1" s="1"/>
  <c r="N20" i="1"/>
  <c r="M20" i="1"/>
  <c r="E20" i="1"/>
  <c r="U19" i="1"/>
  <c r="T19" i="1"/>
  <c r="S19" i="1"/>
  <c r="R19" i="1"/>
  <c r="N19" i="1"/>
  <c r="M19" i="1"/>
  <c r="V19" i="1" s="1"/>
  <c r="E19" i="1"/>
  <c r="U18" i="1"/>
  <c r="T18" i="1"/>
  <c r="R18" i="1"/>
  <c r="S18" i="1" s="1"/>
  <c r="N18" i="1"/>
  <c r="M18" i="1"/>
  <c r="V18" i="1" s="1"/>
  <c r="E18" i="1"/>
  <c r="U17" i="1"/>
  <c r="T17" i="1"/>
  <c r="S17" i="1"/>
  <c r="R17" i="1"/>
  <c r="N17" i="1"/>
  <c r="M17" i="1"/>
  <c r="V17" i="1" s="1"/>
  <c r="E17" i="1"/>
  <c r="U16" i="1"/>
  <c r="T16" i="1"/>
  <c r="S16" i="1"/>
  <c r="R16" i="1"/>
  <c r="N16" i="1"/>
  <c r="M16" i="1"/>
  <c r="V16" i="1" s="1"/>
  <c r="E16" i="1"/>
  <c r="V15" i="1"/>
  <c r="U15" i="1"/>
  <c r="T15" i="1"/>
  <c r="S15" i="1"/>
  <c r="R15" i="1"/>
  <c r="N15" i="1"/>
  <c r="M15" i="1"/>
  <c r="E15" i="1"/>
  <c r="V14" i="1"/>
  <c r="U14" i="1"/>
  <c r="T14" i="1"/>
  <c r="R14" i="1"/>
  <c r="S14" i="1" s="1"/>
  <c r="N14" i="1"/>
  <c r="M14" i="1"/>
  <c r="E14" i="1"/>
  <c r="V13" i="1"/>
  <c r="U13" i="1"/>
  <c r="T13" i="1"/>
  <c r="R13" i="1"/>
  <c r="S13" i="1" s="1"/>
  <c r="N13" i="1"/>
  <c r="M13" i="1"/>
  <c r="E13" i="1"/>
  <c r="V12" i="1"/>
  <c r="U12" i="1"/>
  <c r="T12" i="1"/>
  <c r="S12" i="1"/>
  <c r="R12" i="1"/>
  <c r="N12" i="1"/>
  <c r="M12" i="1"/>
  <c r="E12" i="1"/>
  <c r="U11" i="1"/>
  <c r="T11" i="1"/>
  <c r="S11" i="1"/>
  <c r="R11" i="1"/>
  <c r="N11" i="1"/>
  <c r="M11" i="1"/>
  <c r="V11" i="1" s="1"/>
  <c r="E11" i="1"/>
  <c r="U10" i="1"/>
  <c r="T10" i="1"/>
  <c r="R10" i="1"/>
  <c r="S10" i="1" s="1"/>
  <c r="N10" i="1"/>
  <c r="M10" i="1"/>
  <c r="V10" i="1" s="1"/>
  <c r="E10" i="1"/>
  <c r="U9" i="1"/>
  <c r="T9" i="1"/>
  <c r="R9" i="1"/>
  <c r="S9" i="1" s="1"/>
  <c r="N9" i="1"/>
  <c r="M9" i="1"/>
  <c r="V9" i="1" s="1"/>
  <c r="E9" i="1"/>
  <c r="V8" i="1"/>
  <c r="U8" i="1"/>
  <c r="T8" i="1"/>
  <c r="R8" i="1"/>
  <c r="S8" i="1" s="1"/>
  <c r="O8" i="1"/>
  <c r="O9" i="1" s="1"/>
  <c r="N8" i="1"/>
  <c r="M8" i="1"/>
  <c r="E8" i="1"/>
  <c r="W7" i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U7" i="1"/>
  <c r="T7" i="1"/>
  <c r="S7" i="1"/>
  <c r="R7" i="1"/>
  <c r="O7" i="1"/>
  <c r="P7" i="1" s="1"/>
  <c r="N7" i="1"/>
  <c r="M7" i="1"/>
  <c r="V7" i="1" s="1"/>
  <c r="E7" i="1"/>
  <c r="W6" i="1"/>
  <c r="U6" i="1"/>
  <c r="T6" i="1"/>
  <c r="R6" i="1"/>
  <c r="S6" i="1" s="1"/>
  <c r="O6" i="1"/>
  <c r="P6" i="1" s="1"/>
  <c r="N6" i="1"/>
  <c r="M6" i="1"/>
  <c r="V6" i="1" s="1"/>
  <c r="E6" i="1"/>
  <c r="W5" i="1"/>
  <c r="U5" i="1"/>
  <c r="T5" i="1"/>
  <c r="S5" i="1"/>
  <c r="R5" i="1"/>
  <c r="P5" i="1"/>
  <c r="O5" i="1"/>
  <c r="M5" i="1"/>
  <c r="V5" i="1" s="1"/>
  <c r="E5" i="1"/>
  <c r="S4" i="1"/>
  <c r="R4" i="1"/>
  <c r="P4" i="1"/>
  <c r="O10" i="1" l="1"/>
  <c r="P9" i="1"/>
  <c r="P8" i="1"/>
  <c r="P10" i="1" l="1"/>
  <c r="O11" i="1"/>
  <c r="P11" i="1" l="1"/>
  <c r="O12" i="1"/>
  <c r="P12" i="1" l="1"/>
  <c r="O13" i="1"/>
  <c r="P13" i="1" l="1"/>
  <c r="O14" i="1"/>
  <c r="P14" i="1" l="1"/>
  <c r="O15" i="1"/>
  <c r="P15" i="1" l="1"/>
  <c r="O16" i="1"/>
  <c r="P16" i="1" l="1"/>
  <c r="O17" i="1"/>
  <c r="P17" i="1" l="1"/>
  <c r="O18" i="1"/>
  <c r="P18" i="1" l="1"/>
  <c r="O19" i="1"/>
  <c r="O20" i="1" l="1"/>
  <c r="P19" i="1"/>
  <c r="O21" i="1" l="1"/>
  <c r="P20" i="1"/>
  <c r="P21" i="1" l="1"/>
  <c r="O22" i="1"/>
  <c r="P22" i="1" l="1"/>
  <c r="O23" i="1"/>
  <c r="P23" i="1" l="1"/>
  <c r="O24" i="1"/>
  <c r="P24" i="1" l="1"/>
  <c r="O25" i="1"/>
  <c r="P25" i="1" l="1"/>
  <c r="O26" i="1"/>
  <c r="O27" i="1" l="1"/>
  <c r="P26" i="1"/>
  <c r="P27" i="1" l="1"/>
  <c r="O28" i="1"/>
  <c r="O29" i="1" l="1"/>
  <c r="P28" i="1"/>
  <c r="P29" i="1" l="1"/>
  <c r="O30" i="1"/>
  <c r="P30" i="1" l="1"/>
  <c r="O31" i="1"/>
  <c r="P31" i="1" l="1"/>
  <c r="O32" i="1"/>
  <c r="P32" i="1" l="1"/>
  <c r="O33" i="1"/>
  <c r="P33" i="1" l="1"/>
  <c r="O34" i="1"/>
  <c r="O35" i="1" l="1"/>
  <c r="P34" i="1"/>
  <c r="P35" i="1" l="1"/>
  <c r="O36" i="1"/>
  <c r="P36" i="1" l="1"/>
  <c r="O37" i="1"/>
  <c r="P37" i="1" l="1"/>
  <c r="O38" i="1"/>
  <c r="P38" i="1" l="1"/>
  <c r="O39" i="1"/>
  <c r="P39" i="1" l="1"/>
  <c r="O40" i="1"/>
  <c r="O41" i="1" l="1"/>
  <c r="P40" i="1"/>
  <c r="P41" i="1" l="1"/>
  <c r="O42" i="1"/>
  <c r="P42" i="1" l="1"/>
  <c r="O43" i="1"/>
  <c r="P43" i="1" l="1"/>
  <c r="O44" i="1"/>
  <c r="P44" i="1" l="1"/>
  <c r="O45" i="1"/>
  <c r="P45" i="1" l="1"/>
  <c r="O46" i="1"/>
  <c r="O47" i="1" l="1"/>
  <c r="P46" i="1"/>
  <c r="P47" i="1" l="1"/>
  <c r="O48" i="1"/>
  <c r="P48" i="1" l="1"/>
  <c r="O49" i="1"/>
  <c r="O50" i="1" l="1"/>
  <c r="P49" i="1"/>
  <c r="O51" i="1" l="1"/>
  <c r="P50" i="1"/>
  <c r="O52" i="1" l="1"/>
  <c r="P51" i="1"/>
  <c r="O53" i="1" l="1"/>
  <c r="P52" i="1"/>
  <c r="O54" i="1" l="1"/>
  <c r="P53" i="1"/>
  <c r="O55" i="1" l="1"/>
  <c r="P54" i="1"/>
  <c r="O56" i="1" l="1"/>
  <c r="P55" i="1"/>
  <c r="O57" i="1" l="1"/>
  <c r="P56" i="1"/>
  <c r="P57" i="1" l="1"/>
  <c r="O58" i="1"/>
  <c r="P58" i="1" l="1"/>
  <c r="O59" i="1"/>
  <c r="P59" i="1" l="1"/>
  <c r="O60" i="1"/>
  <c r="P60" i="1" l="1"/>
  <c r="O61" i="1"/>
  <c r="P61" i="1" l="1"/>
  <c r="O62" i="1"/>
  <c r="P62" i="1" l="1"/>
  <c r="O63" i="1"/>
  <c r="P63" i="1" l="1"/>
  <c r="O64" i="1"/>
  <c r="P64" i="1" l="1"/>
  <c r="O65" i="1"/>
  <c r="P65" i="1" l="1"/>
  <c r="O66" i="1"/>
  <c r="O67" i="1" l="1"/>
  <c r="P66" i="1"/>
  <c r="P67" i="1" l="1"/>
  <c r="O68" i="1"/>
  <c r="P68" i="1" l="1"/>
  <c r="O69" i="1"/>
  <c r="P69" i="1" l="1"/>
  <c r="O70" i="1"/>
  <c r="O71" i="1" l="1"/>
  <c r="P70" i="1"/>
  <c r="O72" i="1" l="1"/>
  <c r="P71" i="1"/>
  <c r="P72" i="1" l="1"/>
  <c r="O73" i="1"/>
  <c r="P73" i="1" l="1"/>
  <c r="O74" i="1"/>
  <c r="O75" i="1" l="1"/>
  <c r="P74" i="1"/>
  <c r="P75" i="1" l="1"/>
  <c r="O76" i="1"/>
  <c r="P76" i="1" l="1"/>
  <c r="O77" i="1"/>
  <c r="O78" i="1" l="1"/>
  <c r="P77" i="1"/>
  <c r="O79" i="1" l="1"/>
  <c r="P78" i="1"/>
  <c r="P79" i="1" l="1"/>
  <c r="O80" i="1"/>
  <c r="P80" i="1" l="1"/>
  <c r="O81" i="1"/>
  <c r="P81" i="1" l="1"/>
  <c r="O82" i="1"/>
  <c r="O83" i="1" l="1"/>
  <c r="P82" i="1"/>
  <c r="O84" i="1" l="1"/>
  <c r="P83" i="1"/>
  <c r="P84" i="1" l="1"/>
  <c r="O85" i="1"/>
  <c r="P85" i="1" l="1"/>
  <c r="O86" i="1"/>
  <c r="O87" i="1" l="1"/>
  <c r="P86" i="1"/>
  <c r="P87" i="1" l="1"/>
  <c r="O88" i="1"/>
  <c r="P88" i="1" l="1"/>
  <c r="O89" i="1"/>
  <c r="P89" i="1" l="1"/>
  <c r="O90" i="1"/>
  <c r="O91" i="1" l="1"/>
  <c r="P90" i="1"/>
  <c r="P91" i="1" l="1"/>
  <c r="O92" i="1"/>
  <c r="P92" i="1" l="1"/>
  <c r="O93" i="1"/>
  <c r="O94" i="1" l="1"/>
  <c r="P93" i="1"/>
  <c r="O95" i="1" l="1"/>
  <c r="P94" i="1"/>
  <c r="O96" i="1" l="1"/>
  <c r="P95" i="1"/>
  <c r="P96" i="1" l="1"/>
  <c r="O97" i="1"/>
  <c r="P97" i="1" l="1"/>
  <c r="O98" i="1"/>
  <c r="P98" i="1" l="1"/>
  <c r="O99" i="1"/>
  <c r="P99" i="1" l="1"/>
  <c r="O100" i="1"/>
  <c r="P100" i="1" l="1"/>
  <c r="O101" i="1"/>
  <c r="P101" i="1" l="1"/>
  <c r="O102" i="1"/>
  <c r="O103" i="1" l="1"/>
  <c r="P102" i="1"/>
  <c r="P103" i="1" l="1"/>
  <c r="O104" i="1"/>
  <c r="P104" i="1" l="1"/>
  <c r="O105" i="1"/>
  <c r="O106" i="1" l="1"/>
  <c r="P105" i="1"/>
  <c r="O107" i="1" l="1"/>
  <c r="P106" i="1"/>
  <c r="O108" i="1" l="1"/>
  <c r="P107" i="1"/>
  <c r="P108" i="1" l="1"/>
  <c r="O109" i="1"/>
  <c r="P109" i="1" l="1"/>
  <c r="O110" i="1"/>
  <c r="P110" i="1" l="1"/>
  <c r="O111" i="1"/>
  <c r="P111" i="1" l="1"/>
  <c r="O112" i="1"/>
  <c r="P112" i="1" l="1"/>
  <c r="O113" i="1"/>
  <c r="P113" i="1" l="1"/>
  <c r="O114" i="1"/>
  <c r="P114" i="1" l="1"/>
  <c r="O115" i="1"/>
  <c r="P115" i="1" l="1"/>
  <c r="O116" i="1"/>
  <c r="P116" i="1" l="1"/>
  <c r="O117" i="1"/>
  <c r="P117" i="1" l="1"/>
  <c r="O118" i="1"/>
  <c r="P118" i="1" l="1"/>
  <c r="O119" i="1"/>
  <c r="P119" i="1" l="1"/>
  <c r="O120" i="1"/>
  <c r="P120" i="1" l="1"/>
  <c r="O121" i="1"/>
  <c r="P121" i="1" l="1"/>
  <c r="O122" i="1"/>
  <c r="P122" i="1" l="1"/>
  <c r="O123" i="1"/>
  <c r="P123" i="1" l="1"/>
  <c r="O124" i="1"/>
  <c r="P124" i="1" l="1"/>
  <c r="O125" i="1"/>
  <c r="P125" i="1" l="1"/>
  <c r="O126" i="1"/>
  <c r="P126" i="1" l="1"/>
  <c r="O127" i="1"/>
  <c r="P127" i="1" l="1"/>
  <c r="O128" i="1"/>
  <c r="P128" i="1" l="1"/>
  <c r="O129" i="1"/>
  <c r="P129" i="1" l="1"/>
  <c r="O130" i="1"/>
  <c r="P130" i="1" l="1"/>
  <c r="O131" i="1"/>
  <c r="P131" i="1" l="1"/>
  <c r="O132" i="1"/>
  <c r="P132" i="1" l="1"/>
  <c r="O133" i="1"/>
  <c r="P133" i="1" l="1"/>
  <c r="O134" i="1"/>
  <c r="P134" i="1" l="1"/>
  <c r="O135" i="1"/>
  <c r="P135" i="1" l="1"/>
  <c r="O136" i="1"/>
  <c r="P136" i="1" l="1"/>
  <c r="O137" i="1"/>
  <c r="P137" i="1" l="1"/>
  <c r="O138" i="1"/>
  <c r="P138" i="1" l="1"/>
  <c r="O139" i="1"/>
  <c r="P139" i="1" l="1"/>
  <c r="O140" i="1"/>
  <c r="P140" i="1" l="1"/>
  <c r="O141" i="1"/>
  <c r="P141" i="1" l="1"/>
  <c r="O142" i="1"/>
  <c r="P142" i="1" l="1"/>
  <c r="O143" i="1"/>
  <c r="P143" i="1" l="1"/>
  <c r="O144" i="1"/>
  <c r="P144" i="1" l="1"/>
  <c r="O145" i="1"/>
  <c r="P145" i="1" l="1"/>
  <c r="O146" i="1"/>
  <c r="P146" i="1" l="1"/>
  <c r="O147" i="1"/>
  <c r="P147" i="1" l="1"/>
  <c r="O148" i="1"/>
  <c r="P148" i="1" l="1"/>
  <c r="O149" i="1"/>
  <c r="P149" i="1" l="1"/>
  <c r="O150" i="1"/>
  <c r="P150" i="1" l="1"/>
  <c r="O151" i="1"/>
  <c r="P151" i="1" l="1"/>
  <c r="O152" i="1"/>
  <c r="P152" i="1" l="1"/>
  <c r="O153" i="1"/>
  <c r="O154" i="1" l="1"/>
  <c r="P153" i="1"/>
  <c r="O155" i="1" l="1"/>
  <c r="P154" i="1"/>
  <c r="P155" i="1" l="1"/>
  <c r="O156" i="1"/>
  <c r="P156" i="1" l="1"/>
  <c r="O157" i="1"/>
  <c r="P157" i="1" l="1"/>
  <c r="O158" i="1"/>
  <c r="P158" i="1" l="1"/>
  <c r="O159" i="1"/>
  <c r="P159" i="1" l="1"/>
  <c r="O160" i="1"/>
  <c r="P160" i="1" l="1"/>
  <c r="O161" i="1"/>
  <c r="P161" i="1" l="1"/>
  <c r="O162" i="1"/>
  <c r="P162" i="1" l="1"/>
  <c r="O163" i="1"/>
  <c r="P163" i="1" l="1"/>
  <c r="O164" i="1"/>
  <c r="P164" i="1" l="1"/>
  <c r="O165" i="1"/>
  <c r="O166" i="1" l="1"/>
  <c r="P165" i="1"/>
  <c r="O167" i="1" l="1"/>
  <c r="P166" i="1"/>
  <c r="P167" i="1" l="1"/>
  <c r="O168" i="1"/>
  <c r="P168" i="1" l="1"/>
  <c r="O169" i="1"/>
  <c r="P169" i="1" l="1"/>
  <c r="O170" i="1"/>
  <c r="P170" i="1" l="1"/>
  <c r="O171" i="1"/>
  <c r="P171" i="1" l="1"/>
  <c r="O172" i="1"/>
  <c r="P172" i="1" l="1"/>
  <c r="O173" i="1"/>
  <c r="P173" i="1" l="1"/>
  <c r="O174" i="1"/>
  <c r="P174" i="1" l="1"/>
  <c r="O175" i="1"/>
  <c r="P175" i="1" l="1"/>
  <c r="O176" i="1"/>
  <c r="P176" i="1" l="1"/>
  <c r="O177" i="1"/>
  <c r="O178" i="1" l="1"/>
  <c r="P177" i="1"/>
  <c r="O179" i="1" l="1"/>
  <c r="P178" i="1"/>
  <c r="P179" i="1" l="1"/>
  <c r="O180" i="1"/>
  <c r="P180" i="1" l="1"/>
  <c r="O181" i="1"/>
  <c r="P181" i="1" l="1"/>
  <c r="O182" i="1"/>
  <c r="P182" i="1" l="1"/>
  <c r="O183" i="1"/>
  <c r="P183" i="1" l="1"/>
  <c r="O184" i="1"/>
  <c r="P184" i="1" l="1"/>
  <c r="O185" i="1"/>
  <c r="P185" i="1" l="1"/>
  <c r="O186" i="1"/>
  <c r="P186" i="1" l="1"/>
  <c r="O187" i="1"/>
  <c r="O188" i="1" l="1"/>
  <c r="P187" i="1"/>
  <c r="O189" i="1" l="1"/>
  <c r="P188" i="1"/>
  <c r="P189" i="1" l="1"/>
  <c r="O190" i="1"/>
  <c r="P190" i="1" l="1"/>
  <c r="O191" i="1"/>
  <c r="P191" i="1" l="1"/>
  <c r="O192" i="1"/>
  <c r="P192" i="1" l="1"/>
  <c r="O193" i="1"/>
  <c r="P193" i="1" l="1"/>
  <c r="O194" i="1"/>
  <c r="P194" i="1" l="1"/>
  <c r="O195" i="1"/>
  <c r="P195" i="1" l="1"/>
  <c r="O196" i="1"/>
  <c r="P196" i="1" l="1"/>
  <c r="O197" i="1"/>
  <c r="P197" i="1" l="1"/>
  <c r="O198" i="1"/>
  <c r="P198" i="1" l="1"/>
  <c r="O199" i="1"/>
  <c r="P199" i="1" l="1"/>
  <c r="O200" i="1"/>
  <c r="P200" i="1" l="1"/>
  <c r="O201" i="1"/>
  <c r="P201" i="1" l="1"/>
  <c r="O202" i="1"/>
  <c r="P202" i="1" l="1"/>
  <c r="O203" i="1"/>
  <c r="P203" i="1" l="1"/>
  <c r="O204" i="1"/>
  <c r="P204" i="1" l="1"/>
  <c r="O205" i="1"/>
  <c r="P205" i="1" l="1"/>
  <c r="O206" i="1"/>
  <c r="P206" i="1" l="1"/>
  <c r="O207" i="1"/>
  <c r="P207" i="1" l="1"/>
  <c r="O208" i="1"/>
  <c r="P208" i="1" l="1"/>
  <c r="O209" i="1"/>
  <c r="P209" i="1" l="1"/>
  <c r="O210" i="1"/>
  <c r="P210" i="1" l="1"/>
  <c r="O211" i="1"/>
  <c r="P211" i="1" l="1"/>
  <c r="O212" i="1"/>
  <c r="P212" i="1" l="1"/>
  <c r="O213" i="1"/>
  <c r="P213" i="1" l="1"/>
  <c r="O214" i="1"/>
  <c r="P214" i="1" l="1"/>
  <c r="O215" i="1"/>
  <c r="P215" i="1" l="1"/>
  <c r="O216" i="1"/>
  <c r="P216" i="1" l="1"/>
  <c r="O217" i="1"/>
  <c r="P217" i="1" l="1"/>
  <c r="O218" i="1"/>
  <c r="P218" i="1" l="1"/>
  <c r="O219" i="1"/>
  <c r="P219" i="1" l="1"/>
  <c r="O220" i="1"/>
  <c r="O221" i="1" l="1"/>
  <c r="P220" i="1"/>
  <c r="O222" i="1" l="1"/>
  <c r="P221" i="1"/>
  <c r="O223" i="1" l="1"/>
  <c r="P222" i="1"/>
  <c r="P223" i="1" l="1"/>
  <c r="O224" i="1"/>
  <c r="P224" i="1" l="1"/>
  <c r="O225" i="1"/>
  <c r="P225" i="1" l="1"/>
  <c r="O226" i="1"/>
  <c r="P226" i="1" l="1"/>
  <c r="O227" i="1"/>
  <c r="P227" i="1" l="1"/>
  <c r="O228" i="1"/>
  <c r="P228" i="1" l="1"/>
  <c r="O229" i="1"/>
  <c r="P229" i="1" l="1"/>
  <c r="O230" i="1"/>
  <c r="O231" i="1" l="1"/>
  <c r="P230" i="1"/>
  <c r="P231" i="1" l="1"/>
  <c r="O232" i="1"/>
  <c r="O233" i="1" l="1"/>
  <c r="P232" i="1"/>
  <c r="O234" i="1" l="1"/>
  <c r="P233" i="1"/>
  <c r="O235" i="1" l="1"/>
  <c r="P234" i="1"/>
  <c r="P235" i="1" l="1"/>
  <c r="O236" i="1"/>
  <c r="P236" i="1" l="1"/>
  <c r="O237" i="1"/>
  <c r="P237" i="1" l="1"/>
  <c r="O238" i="1"/>
  <c r="P238" i="1" l="1"/>
  <c r="O239" i="1"/>
  <c r="P239" i="1" l="1"/>
  <c r="O240" i="1"/>
  <c r="P240" i="1" l="1"/>
  <c r="O241" i="1"/>
  <c r="P241" i="1" l="1"/>
  <c r="O242" i="1"/>
  <c r="O243" i="1" l="1"/>
  <c r="P242" i="1"/>
  <c r="P243" i="1" l="1"/>
  <c r="O244" i="1"/>
  <c r="O245" i="1" l="1"/>
  <c r="P244" i="1"/>
  <c r="O246" i="1" l="1"/>
  <c r="P245" i="1"/>
  <c r="O247" i="1" l="1"/>
  <c r="P246" i="1"/>
  <c r="P247" i="1" l="1"/>
  <c r="O248" i="1"/>
  <c r="P248" i="1" l="1"/>
  <c r="O249" i="1"/>
  <c r="P249" i="1" l="1"/>
  <c r="O250" i="1"/>
  <c r="P250" i="1" l="1"/>
  <c r="O251" i="1"/>
  <c r="P251" i="1" l="1"/>
  <c r="O252" i="1"/>
  <c r="P252" i="1" l="1"/>
  <c r="O253" i="1"/>
  <c r="P253" i="1" l="1"/>
  <c r="O254" i="1"/>
  <c r="O255" i="1" l="1"/>
  <c r="P254" i="1"/>
  <c r="P255" i="1" l="1"/>
  <c r="O256" i="1"/>
  <c r="O257" i="1" l="1"/>
  <c r="P256" i="1"/>
  <c r="O258" i="1" l="1"/>
  <c r="P257" i="1"/>
  <c r="O259" i="1" l="1"/>
  <c r="P258" i="1"/>
  <c r="O260" i="1" l="1"/>
  <c r="P259" i="1"/>
  <c r="O261" i="1" l="1"/>
  <c r="P260" i="1"/>
  <c r="O262" i="1" l="1"/>
  <c r="P261" i="1"/>
  <c r="O263" i="1" l="1"/>
  <c r="P262" i="1"/>
  <c r="O264" i="1" l="1"/>
  <c r="P263" i="1"/>
  <c r="O265" i="1" l="1"/>
  <c r="P264" i="1"/>
  <c r="O266" i="1" l="1"/>
  <c r="P265" i="1"/>
  <c r="O267" i="1" l="1"/>
  <c r="P266" i="1"/>
  <c r="O268" i="1" l="1"/>
  <c r="P267" i="1"/>
  <c r="O269" i="1" l="1"/>
  <c r="P268" i="1"/>
  <c r="O270" i="1" l="1"/>
  <c r="P269" i="1"/>
  <c r="O271" i="1" l="1"/>
  <c r="P270" i="1"/>
  <c r="O272" i="1" l="1"/>
  <c r="P271" i="1"/>
  <c r="O273" i="1" l="1"/>
  <c r="P272" i="1"/>
  <c r="O274" i="1" l="1"/>
  <c r="P273" i="1"/>
  <c r="O275" i="1" l="1"/>
  <c r="P274" i="1"/>
  <c r="O276" i="1" l="1"/>
  <c r="P275" i="1"/>
  <c r="O277" i="1" l="1"/>
  <c r="P276" i="1"/>
  <c r="O278" i="1" l="1"/>
  <c r="P277" i="1"/>
  <c r="O279" i="1" l="1"/>
  <c r="P278" i="1"/>
  <c r="O280" i="1" l="1"/>
  <c r="P279" i="1"/>
  <c r="O281" i="1" l="1"/>
  <c r="P280" i="1"/>
  <c r="O282" i="1" l="1"/>
  <c r="P281" i="1"/>
  <c r="O283" i="1" l="1"/>
  <c r="P282" i="1"/>
  <c r="O284" i="1" l="1"/>
  <c r="P283" i="1"/>
  <c r="O285" i="1" l="1"/>
  <c r="P284" i="1"/>
  <c r="O286" i="1" l="1"/>
  <c r="P285" i="1"/>
  <c r="O287" i="1" l="1"/>
  <c r="P286" i="1"/>
  <c r="O288" i="1" l="1"/>
  <c r="P287" i="1"/>
  <c r="O289" i="1" l="1"/>
  <c r="P288" i="1"/>
  <c r="O290" i="1" l="1"/>
  <c r="P289" i="1"/>
  <c r="O291" i="1" l="1"/>
  <c r="P290" i="1"/>
  <c r="O292" i="1" l="1"/>
  <c r="P291" i="1"/>
  <c r="O293" i="1" l="1"/>
  <c r="P292" i="1"/>
  <c r="O294" i="1" l="1"/>
  <c r="P293" i="1"/>
  <c r="O295" i="1" l="1"/>
  <c r="P294" i="1"/>
  <c r="O296" i="1" l="1"/>
  <c r="P295" i="1"/>
  <c r="O297" i="1" l="1"/>
  <c r="P296" i="1"/>
  <c r="O298" i="1" l="1"/>
  <c r="P297" i="1"/>
  <c r="O299" i="1" l="1"/>
  <c r="P298" i="1"/>
  <c r="O300" i="1" l="1"/>
  <c r="P299" i="1"/>
  <c r="O301" i="1" l="1"/>
  <c r="P300" i="1"/>
  <c r="O302" i="1" l="1"/>
  <c r="P301" i="1"/>
  <c r="O303" i="1" l="1"/>
  <c r="P303" i="1" s="1"/>
  <c r="P302" i="1"/>
</calcChain>
</file>

<file path=xl/sharedStrings.xml><?xml version="1.0" encoding="utf-8"?>
<sst xmlns="http://schemas.openxmlformats.org/spreadsheetml/2006/main" count="38" uniqueCount="31">
  <si>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</si>
  <si>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layer_exp</t>
    </r>
  </si>
  <si>
    <r>
      <rPr>
        <sz val="11"/>
        <color theme="1"/>
        <rFont val="宋体"/>
        <family val="3"/>
        <charset val="134"/>
        <scheme val="minor"/>
      </rPr>
      <t>h</t>
    </r>
    <r>
      <rPr>
        <sz val="11"/>
        <color theme="1"/>
        <rFont val="宋体"/>
        <family val="3"/>
        <charset val="134"/>
        <scheme val="minor"/>
      </rPr>
      <t>ero_exp</t>
    </r>
  </si>
  <si>
    <t>hero_money</t>
  </si>
  <si>
    <t>hero_decompose_exp</t>
  </si>
  <si>
    <t>pet_exp</t>
  </si>
  <si>
    <t>pet_money</t>
  </si>
  <si>
    <t>pet_skill_exp</t>
  </si>
  <si>
    <t>pet_skill_money</t>
  </si>
  <si>
    <t>返还经验系数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</si>
  <si>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</si>
  <si>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int32</t>
  </si>
  <si>
    <t>等级</t>
  </si>
  <si>
    <t>升级所需经验</t>
  </si>
  <si>
    <t>随从升级所需经验</t>
  </si>
  <si>
    <t>随从升级所需金币</t>
  </si>
  <si>
    <t>分解返还经验</t>
  </si>
  <si>
    <t>宠物升级经验</t>
  </si>
  <si>
    <t>宠物升级金币</t>
  </si>
  <si>
    <t>宠物光环升级经验</t>
  </si>
  <si>
    <t>宠物光环升级金币</t>
  </si>
  <si>
    <t>进阶翻倍系数</t>
  </si>
  <si>
    <t>进阶经验增长提升</t>
  </si>
  <si>
    <t>主角经验原</t>
  </si>
  <si>
    <t>主角经验改版</t>
  </si>
  <si>
    <t>随从经验（原）</t>
  </si>
  <si>
    <t>随从金币（原）</t>
  </si>
  <si>
    <t>随从经验（改）</t>
  </si>
  <si>
    <t>随从金币（改）</t>
  </si>
  <si>
    <t>随从经验（改2）</t>
  </si>
  <si>
    <t>随从经验测试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</si>
</sst>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3"/>
  <sheetViews>
    <sheetView tabSelected="1" workbookViewId="0"/>
  </sheetViews>
  <sheetFormatPr defaultColWidth="9" defaultRowHeight="13.5" x14ac:dyDescent="0.15"/>
  <cols>
    <col min="1" max="1" width="6.5" customWidth="1"/>
    <col min="2" max="2" width="12.75" customWidth="1"/>
    <col min="3" max="3" width="17.25" customWidth="1"/>
    <col min="4" max="4" width="21.5" customWidth="1"/>
    <col min="5" max="9" width="20.875" customWidth="1"/>
    <col min="10" max="10" width="20.75" customWidth="1"/>
    <col min="11" max="11" width="16.125" customWidth="1"/>
    <col min="12" max="13" width="17.25" customWidth="1"/>
    <col min="14" max="14" width="16.125" customWidth="1"/>
    <col min="15" max="15" width="13" customWidth="1"/>
    <col min="18" max="22" width="15.125" customWidth="1"/>
    <col min="23" max="23" width="13" customWidth="1"/>
    <col min="24" max="24" width="15.125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 s="1" t="s">
        <v>9</v>
      </c>
    </row>
    <row r="2" spans="1:25" x14ac:dyDescent="0.15">
      <c r="A2" s="1" t="s">
        <v>10</v>
      </c>
      <c r="B2" s="1" t="s">
        <v>10</v>
      </c>
      <c r="C2" s="1" t="s">
        <v>10</v>
      </c>
      <c r="D2" s="1" t="s">
        <v>11</v>
      </c>
      <c r="E2" s="1" t="s">
        <v>11</v>
      </c>
      <c r="F2" s="2" t="s">
        <v>11</v>
      </c>
      <c r="G2" s="2" t="s">
        <v>11</v>
      </c>
      <c r="H2" s="2" t="s">
        <v>11</v>
      </c>
      <c r="I2" s="2" t="s">
        <v>11</v>
      </c>
      <c r="K2">
        <v>1</v>
      </c>
    </row>
    <row r="3" spans="1:25" x14ac:dyDescent="0.15">
      <c r="A3" s="3" t="s">
        <v>12</v>
      </c>
      <c r="B3" s="4" t="s">
        <v>13</v>
      </c>
      <c r="C3" s="1" t="s">
        <v>14</v>
      </c>
      <c r="D3" s="3" t="s">
        <v>15</v>
      </c>
      <c r="E3" s="3" t="s">
        <v>16</v>
      </c>
      <c r="F3" s="2" t="s">
        <v>17</v>
      </c>
      <c r="G3" s="2" t="s">
        <v>18</v>
      </c>
      <c r="H3" s="2" t="s">
        <v>19</v>
      </c>
      <c r="I3" s="2" t="s">
        <v>20</v>
      </c>
      <c r="K3" s="3"/>
      <c r="L3" s="3" t="s">
        <v>21</v>
      </c>
      <c r="M3" s="3" t="s">
        <v>22</v>
      </c>
      <c r="N3" s="3" t="s">
        <v>23</v>
      </c>
      <c r="O3" s="3" t="s">
        <v>24</v>
      </c>
      <c r="P3" s="3"/>
      <c r="Q3" s="3"/>
      <c r="R3" s="1" t="s">
        <v>25</v>
      </c>
      <c r="S3" s="1" t="s">
        <v>26</v>
      </c>
      <c r="T3" s="3" t="s">
        <v>27</v>
      </c>
      <c r="U3" s="3" t="s">
        <v>28</v>
      </c>
      <c r="V3" s="3" t="s">
        <v>29</v>
      </c>
      <c r="W3" s="3" t="s">
        <v>30</v>
      </c>
    </row>
    <row r="4" spans="1:25" x14ac:dyDescent="0.15">
      <c r="A4" s="4">
        <v>1</v>
      </c>
      <c r="B4" s="1">
        <v>88</v>
      </c>
      <c r="C4">
        <v>44</v>
      </c>
      <c r="D4" s="3">
        <v>88</v>
      </c>
      <c r="E4" s="3">
        <v>0</v>
      </c>
      <c r="F4" s="3">
        <v>11</v>
      </c>
      <c r="G4">
        <v>440</v>
      </c>
      <c r="H4" s="3">
        <v>22</v>
      </c>
      <c r="I4">
        <v>880</v>
      </c>
      <c r="J4" s="3"/>
      <c r="K4" s="3"/>
      <c r="N4" s="4">
        <v>200</v>
      </c>
      <c r="O4" s="3">
        <v>100</v>
      </c>
      <c r="P4" s="4">
        <f t="shared" ref="P4:P67" si="0">O4-N4</f>
        <v>-100</v>
      </c>
      <c r="Q4" s="4"/>
      <c r="R4">
        <f t="shared" ref="R4:R12" si="1">A4*50</f>
        <v>50</v>
      </c>
      <c r="S4" s="3">
        <f>R4</f>
        <v>50</v>
      </c>
      <c r="T4" s="3">
        <v>50</v>
      </c>
      <c r="U4">
        <v>100</v>
      </c>
      <c r="V4" s="3">
        <v>50</v>
      </c>
      <c r="W4" s="3">
        <v>20</v>
      </c>
      <c r="X4" s="3">
        <v>1</v>
      </c>
    </row>
    <row r="5" spans="1:25" x14ac:dyDescent="0.15">
      <c r="A5" s="4">
        <v>2</v>
      </c>
      <c r="B5" s="1">
        <v>91</v>
      </c>
      <c r="C5" s="3">
        <v>46</v>
      </c>
      <c r="D5">
        <v>93</v>
      </c>
      <c r="E5" s="3">
        <f>INT(SUM(C$4:C4)*$K$2)</f>
        <v>44</v>
      </c>
      <c r="F5" s="3">
        <v>27</v>
      </c>
      <c r="G5">
        <v>1140</v>
      </c>
      <c r="H5" s="3">
        <v>38</v>
      </c>
      <c r="I5">
        <v>1580</v>
      </c>
      <c r="J5" s="3"/>
      <c r="K5" s="3"/>
      <c r="L5">
        <v>1</v>
      </c>
      <c r="M5">
        <f t="shared" ref="M5:M68" si="2">(FLOOR(A5/20,1)+1)*L5</f>
        <v>1</v>
      </c>
      <c r="N5" s="4">
        <v>400</v>
      </c>
      <c r="O5" s="3">
        <f>O4+POWER($A5+2,2)+POWER($A4+1,2)</f>
        <v>120</v>
      </c>
      <c r="P5" s="4">
        <f t="shared" si="0"/>
        <v>-280</v>
      </c>
      <c r="Q5" s="4"/>
      <c r="R5">
        <f t="shared" si="1"/>
        <v>100</v>
      </c>
      <c r="S5" s="3">
        <f t="shared" ref="S5:S68" si="3">R5</f>
        <v>100</v>
      </c>
      <c r="T5" s="3">
        <f t="shared" ref="T5:T68" si="4">$T$4*POWER(ROUNDUP($A5/8,0),2)+($A5+$A4)*$A5</f>
        <v>56</v>
      </c>
      <c r="U5">
        <f t="shared" ref="U5:U68" si="5">$U$4*POWER(ROUNDUP($A5/8,0),2)+($A5+$A4)*($A5+INT($A5/5))</f>
        <v>106</v>
      </c>
      <c r="V5" s="3">
        <f>FLOOR($V$4*POWER(FLOOR($A5/20,1)+1,2)+($A5+$A4)*$A5*M5,1)</f>
        <v>56</v>
      </c>
      <c r="W5">
        <f>FLOOR(W4+Y5,1)</f>
        <v>25</v>
      </c>
      <c r="X5">
        <v>2</v>
      </c>
      <c r="Y5">
        <v>5</v>
      </c>
    </row>
    <row r="6" spans="1:25" x14ac:dyDescent="0.15">
      <c r="A6" s="4">
        <v>3</v>
      </c>
      <c r="B6" s="1">
        <v>103</v>
      </c>
      <c r="C6" s="3">
        <v>54</v>
      </c>
      <c r="D6">
        <v>109</v>
      </c>
      <c r="E6" s="3">
        <f>INT(SUM(C$4:C5)*$K$2)</f>
        <v>90</v>
      </c>
      <c r="F6" s="3">
        <v>44</v>
      </c>
      <c r="G6">
        <v>3280</v>
      </c>
      <c r="H6" s="3">
        <v>55</v>
      </c>
      <c r="I6">
        <v>3720</v>
      </c>
      <c r="J6" s="3"/>
      <c r="K6" s="3"/>
      <c r="L6">
        <v>1</v>
      </c>
      <c r="M6">
        <f t="shared" si="2"/>
        <v>1</v>
      </c>
      <c r="N6" s="4">
        <f t="shared" ref="N6:N69" si="6">A6*A5*100+A4*99</f>
        <v>699</v>
      </c>
      <c r="O6" s="3">
        <f t="shared" ref="O6:O69" si="7">O5+POWER($A6+2,2)+POWER($A5+1,2)</f>
        <v>154</v>
      </c>
      <c r="P6" s="4">
        <f t="shared" si="0"/>
        <v>-545</v>
      </c>
      <c r="Q6" s="4"/>
      <c r="R6">
        <f t="shared" si="1"/>
        <v>150</v>
      </c>
      <c r="S6" s="3">
        <f t="shared" si="3"/>
        <v>150</v>
      </c>
      <c r="T6" s="3">
        <f t="shared" si="4"/>
        <v>65</v>
      </c>
      <c r="U6">
        <f t="shared" si="5"/>
        <v>115</v>
      </c>
      <c r="V6" s="3">
        <f t="shared" ref="V6:V69" si="8">FLOOR($V$4*POWER(FLOOR($A6/20,1)+1,2)+($A6+$A5)*$A6*M6,1)</f>
        <v>65</v>
      </c>
      <c r="W6">
        <f t="shared" ref="W6:W69" si="9">FLOOR(W5+Y6,1)</f>
        <v>30</v>
      </c>
      <c r="X6" s="3">
        <v>3</v>
      </c>
      <c r="Y6">
        <v>5</v>
      </c>
    </row>
    <row r="7" spans="1:25" x14ac:dyDescent="0.15">
      <c r="A7" s="4">
        <v>4</v>
      </c>
      <c r="B7" s="1">
        <v>123</v>
      </c>
      <c r="C7" s="3">
        <v>67</v>
      </c>
      <c r="D7">
        <v>135</v>
      </c>
      <c r="E7" s="3">
        <f>INT(SUM(C$4:C6)*$K$2)</f>
        <v>144</v>
      </c>
      <c r="F7" s="3">
        <v>61</v>
      </c>
      <c r="G7">
        <v>6840</v>
      </c>
      <c r="H7" s="3">
        <v>71</v>
      </c>
      <c r="I7">
        <v>7280</v>
      </c>
      <c r="J7" s="3"/>
      <c r="K7" s="3"/>
      <c r="L7">
        <v>1</v>
      </c>
      <c r="M7">
        <f t="shared" si="2"/>
        <v>1</v>
      </c>
      <c r="N7" s="4">
        <f t="shared" si="6"/>
        <v>1398</v>
      </c>
      <c r="O7" s="3">
        <f t="shared" si="7"/>
        <v>206</v>
      </c>
      <c r="P7" s="4">
        <f t="shared" si="0"/>
        <v>-1192</v>
      </c>
      <c r="Q7" s="4"/>
      <c r="R7">
        <f t="shared" si="1"/>
        <v>200</v>
      </c>
      <c r="S7" s="3">
        <f t="shared" si="3"/>
        <v>200</v>
      </c>
      <c r="T7" s="3">
        <f t="shared" si="4"/>
        <v>78</v>
      </c>
      <c r="U7">
        <f t="shared" si="5"/>
        <v>128</v>
      </c>
      <c r="V7" s="3">
        <f t="shared" si="8"/>
        <v>78</v>
      </c>
      <c r="W7">
        <f t="shared" si="9"/>
        <v>35</v>
      </c>
      <c r="X7">
        <v>4</v>
      </c>
      <c r="Y7">
        <v>5</v>
      </c>
    </row>
    <row r="8" spans="1:25" x14ac:dyDescent="0.15">
      <c r="A8" s="4">
        <v>5</v>
      </c>
      <c r="B8" s="1">
        <v>150</v>
      </c>
      <c r="C8" s="3">
        <v>86</v>
      </c>
      <c r="D8">
        <v>173</v>
      </c>
      <c r="E8" s="3">
        <f>INT(SUM(C$4:C7)*$K$2)</f>
        <v>211</v>
      </c>
      <c r="F8" s="3">
        <v>78</v>
      </c>
      <c r="G8">
        <v>11840</v>
      </c>
      <c r="H8" s="3">
        <v>88</v>
      </c>
      <c r="I8">
        <v>12260</v>
      </c>
      <c r="J8" s="3"/>
      <c r="K8" s="3"/>
      <c r="L8">
        <v>1</v>
      </c>
      <c r="M8">
        <f t="shared" si="2"/>
        <v>1</v>
      </c>
      <c r="N8" s="4">
        <f t="shared" si="6"/>
        <v>2297</v>
      </c>
      <c r="O8" s="3">
        <f t="shared" si="7"/>
        <v>280</v>
      </c>
      <c r="P8" s="4">
        <f t="shared" si="0"/>
        <v>-2017</v>
      </c>
      <c r="Q8" s="4"/>
      <c r="R8">
        <f t="shared" si="1"/>
        <v>250</v>
      </c>
      <c r="S8" s="3">
        <f t="shared" si="3"/>
        <v>250</v>
      </c>
      <c r="T8" s="3">
        <f t="shared" si="4"/>
        <v>95</v>
      </c>
      <c r="U8">
        <f t="shared" si="5"/>
        <v>154</v>
      </c>
      <c r="V8" s="3">
        <f t="shared" si="8"/>
        <v>95</v>
      </c>
      <c r="W8">
        <f t="shared" si="9"/>
        <v>40</v>
      </c>
      <c r="X8" s="3">
        <v>5</v>
      </c>
      <c r="Y8">
        <v>5</v>
      </c>
    </row>
    <row r="9" spans="1:25" x14ac:dyDescent="0.15">
      <c r="A9" s="4">
        <v>6</v>
      </c>
      <c r="B9" s="1">
        <v>186</v>
      </c>
      <c r="C9" s="3">
        <v>110</v>
      </c>
      <c r="D9">
        <v>220</v>
      </c>
      <c r="E9" s="3">
        <f>INT(SUM(C$4:C8)*$K$2)</f>
        <v>297</v>
      </c>
      <c r="F9" s="3">
        <v>95</v>
      </c>
      <c r="G9">
        <v>18260</v>
      </c>
      <c r="H9" s="3">
        <v>104</v>
      </c>
      <c r="I9">
        <v>18680</v>
      </c>
      <c r="J9" s="3"/>
      <c r="K9" s="3"/>
      <c r="L9">
        <v>1</v>
      </c>
      <c r="M9">
        <f t="shared" si="2"/>
        <v>1</v>
      </c>
      <c r="N9" s="4">
        <f t="shared" si="6"/>
        <v>3396</v>
      </c>
      <c r="O9" s="3">
        <f t="shared" si="7"/>
        <v>380</v>
      </c>
      <c r="P9" s="4">
        <f t="shared" si="0"/>
        <v>-3016</v>
      </c>
      <c r="Q9" s="4"/>
      <c r="R9">
        <f t="shared" si="1"/>
        <v>300</v>
      </c>
      <c r="S9" s="3">
        <f t="shared" si="3"/>
        <v>300</v>
      </c>
      <c r="T9" s="3">
        <f t="shared" si="4"/>
        <v>116</v>
      </c>
      <c r="U9">
        <f t="shared" si="5"/>
        <v>177</v>
      </c>
      <c r="V9" s="3">
        <f t="shared" si="8"/>
        <v>116</v>
      </c>
      <c r="W9">
        <f t="shared" si="9"/>
        <v>45</v>
      </c>
      <c r="X9">
        <v>6</v>
      </c>
      <c r="Y9">
        <v>5</v>
      </c>
    </row>
    <row r="10" spans="1:25" x14ac:dyDescent="0.15">
      <c r="A10" s="4">
        <v>7</v>
      </c>
      <c r="B10" s="1">
        <v>229</v>
      </c>
      <c r="C10" s="3">
        <v>139</v>
      </c>
      <c r="D10">
        <v>279</v>
      </c>
      <c r="E10" s="3">
        <f>INT(SUM(C$4:C9)*$K$2)</f>
        <v>407</v>
      </c>
      <c r="F10" s="3">
        <v>112</v>
      </c>
      <c r="G10">
        <v>26100</v>
      </c>
      <c r="H10" s="3">
        <v>121</v>
      </c>
      <c r="I10">
        <v>26520</v>
      </c>
      <c r="J10" s="3"/>
      <c r="K10" s="3"/>
      <c r="L10">
        <v>1</v>
      </c>
      <c r="M10">
        <f t="shared" si="2"/>
        <v>1</v>
      </c>
      <c r="N10" s="4">
        <f t="shared" si="6"/>
        <v>4695</v>
      </c>
      <c r="O10" s="3">
        <f t="shared" si="7"/>
        <v>510</v>
      </c>
      <c r="P10" s="4">
        <f t="shared" si="0"/>
        <v>-4185</v>
      </c>
      <c r="Q10" s="4"/>
      <c r="R10">
        <f t="shared" si="1"/>
        <v>350</v>
      </c>
      <c r="S10" s="3">
        <f t="shared" si="3"/>
        <v>350</v>
      </c>
      <c r="T10" s="3">
        <f t="shared" si="4"/>
        <v>141</v>
      </c>
      <c r="U10">
        <f t="shared" si="5"/>
        <v>204</v>
      </c>
      <c r="V10" s="3">
        <f t="shared" si="8"/>
        <v>141</v>
      </c>
      <c r="W10">
        <f t="shared" si="9"/>
        <v>50</v>
      </c>
      <c r="X10" s="3">
        <v>7</v>
      </c>
      <c r="Y10">
        <v>5</v>
      </c>
    </row>
    <row r="11" spans="1:25" x14ac:dyDescent="0.15">
      <c r="A11" s="4">
        <v>8</v>
      </c>
      <c r="B11" s="1">
        <v>280</v>
      </c>
      <c r="C11" s="3">
        <v>174</v>
      </c>
      <c r="D11">
        <v>348</v>
      </c>
      <c r="E11" s="3">
        <f>INT(SUM(C$4:C10)*$K$2)</f>
        <v>546</v>
      </c>
      <c r="F11" s="3">
        <v>129</v>
      </c>
      <c r="G11">
        <v>35360</v>
      </c>
      <c r="H11" s="3">
        <v>137</v>
      </c>
      <c r="I11">
        <v>35780</v>
      </c>
      <c r="J11" s="3"/>
      <c r="K11" s="3"/>
      <c r="L11">
        <v>1</v>
      </c>
      <c r="M11">
        <f t="shared" si="2"/>
        <v>1</v>
      </c>
      <c r="N11" s="4">
        <f t="shared" si="6"/>
        <v>6194</v>
      </c>
      <c r="O11" s="3">
        <f t="shared" si="7"/>
        <v>674</v>
      </c>
      <c r="P11" s="4">
        <f t="shared" si="0"/>
        <v>-5520</v>
      </c>
      <c r="Q11" s="4"/>
      <c r="R11">
        <f t="shared" si="1"/>
        <v>400</v>
      </c>
      <c r="S11" s="3">
        <f t="shared" si="3"/>
        <v>400</v>
      </c>
      <c r="T11" s="3">
        <f t="shared" si="4"/>
        <v>170</v>
      </c>
      <c r="U11">
        <f t="shared" si="5"/>
        <v>235</v>
      </c>
      <c r="V11" s="3">
        <f t="shared" si="8"/>
        <v>170</v>
      </c>
      <c r="W11">
        <f t="shared" si="9"/>
        <v>55</v>
      </c>
      <c r="X11">
        <v>8</v>
      </c>
      <c r="Y11">
        <v>5</v>
      </c>
    </row>
    <row r="12" spans="1:25" x14ac:dyDescent="0.15">
      <c r="A12" s="4">
        <v>9</v>
      </c>
      <c r="B12" s="1">
        <v>339</v>
      </c>
      <c r="C12" s="3">
        <v>214</v>
      </c>
      <c r="D12">
        <v>428</v>
      </c>
      <c r="E12" s="3">
        <f>INT(SUM(C$4:C11)*$K$2)</f>
        <v>720</v>
      </c>
      <c r="F12" s="3">
        <v>146</v>
      </c>
      <c r="G12">
        <v>46060</v>
      </c>
      <c r="H12" s="3">
        <v>154</v>
      </c>
      <c r="I12">
        <v>46460</v>
      </c>
      <c r="J12" s="3"/>
      <c r="K12" s="3"/>
      <c r="L12">
        <v>1</v>
      </c>
      <c r="M12">
        <f t="shared" si="2"/>
        <v>1</v>
      </c>
      <c r="N12" s="4">
        <f t="shared" si="6"/>
        <v>7893</v>
      </c>
      <c r="O12" s="3">
        <f t="shared" si="7"/>
        <v>876</v>
      </c>
      <c r="P12" s="4">
        <f t="shared" si="0"/>
        <v>-7017</v>
      </c>
      <c r="Q12" s="4"/>
      <c r="R12">
        <f t="shared" si="1"/>
        <v>450</v>
      </c>
      <c r="S12" s="3">
        <f t="shared" si="3"/>
        <v>450</v>
      </c>
      <c r="T12" s="3">
        <f t="shared" si="4"/>
        <v>353</v>
      </c>
      <c r="U12">
        <f t="shared" si="5"/>
        <v>570</v>
      </c>
      <c r="V12" s="3">
        <f t="shared" si="8"/>
        <v>203</v>
      </c>
      <c r="W12">
        <f t="shared" si="9"/>
        <v>60</v>
      </c>
      <c r="X12" s="3">
        <v>9</v>
      </c>
      <c r="Y12">
        <v>5</v>
      </c>
    </row>
    <row r="13" spans="1:25" x14ac:dyDescent="0.15">
      <c r="A13" s="4">
        <v>10</v>
      </c>
      <c r="B13" s="1">
        <v>406</v>
      </c>
      <c r="C13" s="3">
        <v>259</v>
      </c>
      <c r="D13">
        <v>518</v>
      </c>
      <c r="E13" s="3">
        <f>INT(SUM(C$4:C12)*$K$2)</f>
        <v>934</v>
      </c>
      <c r="F13" s="3">
        <v>163</v>
      </c>
      <c r="G13">
        <v>58180</v>
      </c>
      <c r="H13" s="3">
        <v>170</v>
      </c>
      <c r="I13">
        <v>58580</v>
      </c>
      <c r="J13" s="3"/>
      <c r="K13" s="3"/>
      <c r="L13">
        <v>1.05</v>
      </c>
      <c r="M13">
        <f t="shared" si="2"/>
        <v>1.05</v>
      </c>
      <c r="N13" s="4">
        <f t="shared" si="6"/>
        <v>9792</v>
      </c>
      <c r="O13" s="3">
        <f t="shared" si="7"/>
        <v>1120</v>
      </c>
      <c r="P13" s="4">
        <f t="shared" si="0"/>
        <v>-8672</v>
      </c>
      <c r="Q13" s="4"/>
      <c r="R13">
        <f t="shared" ref="R13:R22" si="10">A13*100</f>
        <v>1000</v>
      </c>
      <c r="S13" s="3">
        <f t="shared" si="3"/>
        <v>1000</v>
      </c>
      <c r="T13" s="3">
        <f t="shared" si="4"/>
        <v>390</v>
      </c>
      <c r="U13">
        <f t="shared" si="5"/>
        <v>628</v>
      </c>
      <c r="V13" s="3">
        <f t="shared" si="8"/>
        <v>249</v>
      </c>
      <c r="W13">
        <f t="shared" si="9"/>
        <v>72</v>
      </c>
      <c r="X13">
        <v>10</v>
      </c>
      <c r="Y13">
        <v>12</v>
      </c>
    </row>
    <row r="14" spans="1:25" x14ac:dyDescent="0.15">
      <c r="A14" s="4">
        <v>11</v>
      </c>
      <c r="B14" s="1">
        <v>481</v>
      </c>
      <c r="C14" s="3">
        <v>309</v>
      </c>
      <c r="D14">
        <v>619</v>
      </c>
      <c r="E14" s="3">
        <f>INT(SUM(C$4:C13)*$K$2)</f>
        <v>1193</v>
      </c>
      <c r="F14" s="3">
        <v>179</v>
      </c>
      <c r="G14">
        <v>71720</v>
      </c>
      <c r="H14" s="3">
        <v>187</v>
      </c>
      <c r="I14">
        <v>72120</v>
      </c>
      <c r="J14" s="3"/>
      <c r="K14" s="3"/>
      <c r="L14">
        <v>1.05</v>
      </c>
      <c r="M14">
        <f t="shared" si="2"/>
        <v>1.05</v>
      </c>
      <c r="N14" s="4">
        <f t="shared" si="6"/>
        <v>11891</v>
      </c>
      <c r="O14" s="3">
        <f t="shared" si="7"/>
        <v>1410</v>
      </c>
      <c r="P14" s="4">
        <f t="shared" si="0"/>
        <v>-10481</v>
      </c>
      <c r="Q14" s="4"/>
      <c r="R14">
        <f t="shared" si="10"/>
        <v>1100</v>
      </c>
      <c r="S14" s="3">
        <f t="shared" si="3"/>
        <v>1100</v>
      </c>
      <c r="T14" s="3">
        <f t="shared" si="4"/>
        <v>431</v>
      </c>
      <c r="U14">
        <f t="shared" si="5"/>
        <v>673</v>
      </c>
      <c r="V14" s="3">
        <f t="shared" si="8"/>
        <v>292</v>
      </c>
      <c r="W14">
        <f t="shared" si="9"/>
        <v>122</v>
      </c>
      <c r="X14" s="3">
        <v>11</v>
      </c>
      <c r="Y14">
        <v>50</v>
      </c>
    </row>
    <row r="15" spans="1:25" x14ac:dyDescent="0.15">
      <c r="A15" s="4">
        <v>12</v>
      </c>
      <c r="B15" s="1">
        <v>563</v>
      </c>
      <c r="C15" s="3">
        <v>365</v>
      </c>
      <c r="D15">
        <v>731</v>
      </c>
      <c r="E15" s="3">
        <f>INT(SUM(C$4:C14)*$K$2)</f>
        <v>1502</v>
      </c>
      <c r="F15" s="3">
        <v>196</v>
      </c>
      <c r="G15">
        <v>86700</v>
      </c>
      <c r="H15" s="3">
        <v>204</v>
      </c>
      <c r="I15">
        <v>87080</v>
      </c>
      <c r="J15" s="3"/>
      <c r="K15" s="3"/>
      <c r="L15">
        <v>1.05</v>
      </c>
      <c r="M15">
        <f t="shared" si="2"/>
        <v>1.05</v>
      </c>
      <c r="N15" s="4">
        <f t="shared" si="6"/>
        <v>14190</v>
      </c>
      <c r="O15" s="3">
        <f t="shared" si="7"/>
        <v>1750</v>
      </c>
      <c r="P15" s="4">
        <f t="shared" si="0"/>
        <v>-12440</v>
      </c>
      <c r="Q15" s="4"/>
      <c r="R15">
        <f t="shared" si="10"/>
        <v>1200</v>
      </c>
      <c r="S15" s="3">
        <f t="shared" si="3"/>
        <v>1200</v>
      </c>
      <c r="T15" s="3">
        <f t="shared" si="4"/>
        <v>476</v>
      </c>
      <c r="U15">
        <f t="shared" si="5"/>
        <v>722</v>
      </c>
      <c r="V15" s="3">
        <f t="shared" si="8"/>
        <v>339</v>
      </c>
      <c r="W15">
        <f t="shared" si="9"/>
        <v>137</v>
      </c>
      <c r="X15">
        <v>12</v>
      </c>
      <c r="Y15">
        <v>15</v>
      </c>
    </row>
    <row r="16" spans="1:25" x14ac:dyDescent="0.15">
      <c r="A16" s="4">
        <v>13</v>
      </c>
      <c r="B16" s="1">
        <v>654</v>
      </c>
      <c r="C16" s="3">
        <v>426</v>
      </c>
      <c r="D16">
        <v>853</v>
      </c>
      <c r="E16" s="3">
        <f>INT(SUM(C$4:C15)*$K$2)</f>
        <v>1867</v>
      </c>
      <c r="F16" s="3">
        <v>213</v>
      </c>
      <c r="G16">
        <v>103100</v>
      </c>
      <c r="H16" s="3">
        <v>220</v>
      </c>
      <c r="I16">
        <v>103460</v>
      </c>
      <c r="J16" s="3"/>
      <c r="K16" s="3"/>
      <c r="L16">
        <v>1.05</v>
      </c>
      <c r="M16">
        <f t="shared" si="2"/>
        <v>1.05</v>
      </c>
      <c r="N16" s="4">
        <f t="shared" si="6"/>
        <v>16689</v>
      </c>
      <c r="O16" s="3">
        <f t="shared" si="7"/>
        <v>2144</v>
      </c>
      <c r="P16" s="4">
        <f t="shared" si="0"/>
        <v>-14545</v>
      </c>
      <c r="Q16" s="4"/>
      <c r="R16">
        <f t="shared" si="10"/>
        <v>1300</v>
      </c>
      <c r="S16" s="3">
        <f t="shared" si="3"/>
        <v>1300</v>
      </c>
      <c r="T16" s="3">
        <f t="shared" si="4"/>
        <v>525</v>
      </c>
      <c r="U16">
        <f t="shared" si="5"/>
        <v>775</v>
      </c>
      <c r="V16" s="3">
        <f t="shared" si="8"/>
        <v>391</v>
      </c>
      <c r="W16">
        <f t="shared" si="9"/>
        <v>151</v>
      </c>
      <c r="X16" s="3">
        <v>13</v>
      </c>
      <c r="Y16">
        <v>14</v>
      </c>
    </row>
    <row r="17" spans="1:25" x14ac:dyDescent="0.15">
      <c r="A17" s="4">
        <v>14</v>
      </c>
      <c r="B17" s="1">
        <v>752</v>
      </c>
      <c r="C17" s="3">
        <v>493</v>
      </c>
      <c r="D17">
        <v>986</v>
      </c>
      <c r="E17" s="3">
        <f>INT(SUM(C$4:C16)*$K$2)</f>
        <v>2293</v>
      </c>
      <c r="F17" s="3">
        <v>230</v>
      </c>
      <c r="G17">
        <v>120920</v>
      </c>
      <c r="H17" s="3">
        <v>237</v>
      </c>
      <c r="I17">
        <v>121280</v>
      </c>
      <c r="J17" s="3"/>
      <c r="K17" s="3"/>
      <c r="L17">
        <v>1.05</v>
      </c>
      <c r="M17">
        <f t="shared" si="2"/>
        <v>1.05</v>
      </c>
      <c r="N17" s="4">
        <f t="shared" si="6"/>
        <v>19388</v>
      </c>
      <c r="O17" s="3">
        <f t="shared" si="7"/>
        <v>2596</v>
      </c>
      <c r="P17" s="4">
        <f t="shared" si="0"/>
        <v>-16792</v>
      </c>
      <c r="Q17" s="4"/>
      <c r="R17">
        <f t="shared" si="10"/>
        <v>1400</v>
      </c>
      <c r="S17" s="3">
        <f t="shared" si="3"/>
        <v>1400</v>
      </c>
      <c r="T17" s="3">
        <f t="shared" si="4"/>
        <v>578</v>
      </c>
      <c r="U17">
        <f t="shared" si="5"/>
        <v>832</v>
      </c>
      <c r="V17" s="3">
        <f t="shared" si="8"/>
        <v>446</v>
      </c>
      <c r="W17">
        <f t="shared" si="9"/>
        <v>166</v>
      </c>
      <c r="X17">
        <v>14</v>
      </c>
      <c r="Y17">
        <v>15</v>
      </c>
    </row>
    <row r="18" spans="1:25" x14ac:dyDescent="0.15">
      <c r="A18" s="4">
        <v>15</v>
      </c>
      <c r="B18" s="1">
        <v>858</v>
      </c>
      <c r="C18" s="3">
        <v>565</v>
      </c>
      <c r="D18">
        <v>1130</v>
      </c>
      <c r="E18" s="3">
        <f>INT(SUM(C$4:C17)*$K$2)</f>
        <v>2786</v>
      </c>
      <c r="F18" s="3">
        <v>247</v>
      </c>
      <c r="G18">
        <v>140180</v>
      </c>
      <c r="H18" s="3">
        <v>253</v>
      </c>
      <c r="I18">
        <v>140520</v>
      </c>
      <c r="J18" s="3"/>
      <c r="K18" s="3"/>
      <c r="L18">
        <v>1.05</v>
      </c>
      <c r="M18">
        <f t="shared" si="2"/>
        <v>1.05</v>
      </c>
      <c r="N18" s="4">
        <f t="shared" si="6"/>
        <v>22287</v>
      </c>
      <c r="O18" s="3">
        <f t="shared" si="7"/>
        <v>3110</v>
      </c>
      <c r="P18" s="4">
        <f t="shared" si="0"/>
        <v>-19177</v>
      </c>
      <c r="Q18" s="4"/>
      <c r="R18">
        <f t="shared" si="10"/>
        <v>1500</v>
      </c>
      <c r="S18" s="3">
        <f t="shared" si="3"/>
        <v>1500</v>
      </c>
      <c r="T18" s="3">
        <f t="shared" si="4"/>
        <v>635</v>
      </c>
      <c r="U18">
        <f t="shared" si="5"/>
        <v>922</v>
      </c>
      <c r="V18" s="3">
        <f t="shared" si="8"/>
        <v>506</v>
      </c>
      <c r="W18">
        <f t="shared" si="9"/>
        <v>180</v>
      </c>
      <c r="X18" s="3">
        <v>15</v>
      </c>
      <c r="Y18">
        <v>14</v>
      </c>
    </row>
    <row r="19" spans="1:25" x14ac:dyDescent="0.15">
      <c r="A19" s="4">
        <v>16</v>
      </c>
      <c r="B19" s="1">
        <v>973</v>
      </c>
      <c r="C19" s="3">
        <v>642</v>
      </c>
      <c r="D19">
        <v>1284</v>
      </c>
      <c r="E19" s="3">
        <f>INT(SUM(C$4:C18)*$K$2)</f>
        <v>3351</v>
      </c>
      <c r="F19" s="3">
        <v>264</v>
      </c>
      <c r="G19">
        <v>160840</v>
      </c>
      <c r="H19" s="3">
        <v>270</v>
      </c>
      <c r="I19">
        <v>161180</v>
      </c>
      <c r="J19" s="3"/>
      <c r="K19" s="3"/>
      <c r="L19">
        <v>1.05</v>
      </c>
      <c r="M19">
        <f t="shared" si="2"/>
        <v>1.05</v>
      </c>
      <c r="N19" s="4">
        <f t="shared" si="6"/>
        <v>25386</v>
      </c>
      <c r="O19" s="3">
        <f t="shared" si="7"/>
        <v>3690</v>
      </c>
      <c r="P19" s="4">
        <f t="shared" si="0"/>
        <v>-21696</v>
      </c>
      <c r="Q19" s="4"/>
      <c r="R19">
        <f t="shared" si="10"/>
        <v>1600</v>
      </c>
      <c r="S19" s="3">
        <f t="shared" si="3"/>
        <v>1600</v>
      </c>
      <c r="T19" s="3">
        <f t="shared" si="4"/>
        <v>696</v>
      </c>
      <c r="U19">
        <f t="shared" si="5"/>
        <v>989</v>
      </c>
      <c r="V19" s="3">
        <f t="shared" si="8"/>
        <v>570</v>
      </c>
      <c r="W19">
        <f t="shared" si="9"/>
        <v>259</v>
      </c>
      <c r="X19">
        <v>16</v>
      </c>
      <c r="Y19">
        <v>79</v>
      </c>
    </row>
    <row r="20" spans="1:25" x14ac:dyDescent="0.15">
      <c r="A20" s="4">
        <v>17</v>
      </c>
      <c r="B20" s="1">
        <v>1094</v>
      </c>
      <c r="C20" s="3">
        <v>724</v>
      </c>
      <c r="D20">
        <v>1449</v>
      </c>
      <c r="E20" s="3">
        <f>INT(SUM(C$4:C19)*$K$2)</f>
        <v>3993</v>
      </c>
      <c r="F20" s="3">
        <v>281</v>
      </c>
      <c r="G20">
        <v>182940</v>
      </c>
      <c r="H20" s="3">
        <v>286</v>
      </c>
      <c r="I20">
        <v>183260</v>
      </c>
      <c r="J20" s="3"/>
      <c r="K20" s="3"/>
      <c r="L20">
        <v>1.05</v>
      </c>
      <c r="M20">
        <f t="shared" si="2"/>
        <v>1.05</v>
      </c>
      <c r="N20" s="4">
        <f t="shared" si="6"/>
        <v>28685</v>
      </c>
      <c r="O20" s="3">
        <f t="shared" si="7"/>
        <v>4340</v>
      </c>
      <c r="P20" s="4">
        <f t="shared" si="0"/>
        <v>-24345</v>
      </c>
      <c r="Q20" s="4"/>
      <c r="R20">
        <f t="shared" si="10"/>
        <v>1700</v>
      </c>
      <c r="S20" s="3">
        <f t="shared" si="3"/>
        <v>1700</v>
      </c>
      <c r="T20" s="3">
        <f t="shared" si="4"/>
        <v>1011</v>
      </c>
      <c r="U20">
        <f t="shared" si="5"/>
        <v>1560</v>
      </c>
      <c r="V20" s="3">
        <f t="shared" si="8"/>
        <v>639</v>
      </c>
      <c r="W20">
        <f t="shared" si="9"/>
        <v>278</v>
      </c>
      <c r="X20" s="3">
        <v>17</v>
      </c>
      <c r="Y20">
        <v>19</v>
      </c>
    </row>
    <row r="21" spans="1:25" x14ac:dyDescent="0.15">
      <c r="A21" s="4">
        <v>18</v>
      </c>
      <c r="B21" s="1">
        <v>1224</v>
      </c>
      <c r="C21" s="3">
        <v>812</v>
      </c>
      <c r="D21">
        <v>1625</v>
      </c>
      <c r="E21" s="3">
        <f>INT(SUM(C$4:C20)*$K$2)</f>
        <v>4717</v>
      </c>
      <c r="F21" s="3">
        <v>298</v>
      </c>
      <c r="G21">
        <v>206480</v>
      </c>
      <c r="H21" s="3">
        <v>303</v>
      </c>
      <c r="I21">
        <v>206780</v>
      </c>
      <c r="J21" s="3"/>
      <c r="K21" s="3"/>
      <c r="L21">
        <v>1.05</v>
      </c>
      <c r="M21">
        <f t="shared" si="2"/>
        <v>1.05</v>
      </c>
      <c r="N21" s="4">
        <f t="shared" si="6"/>
        <v>32184</v>
      </c>
      <c r="O21" s="3">
        <f t="shared" si="7"/>
        <v>5064</v>
      </c>
      <c r="P21" s="4">
        <f t="shared" si="0"/>
        <v>-27120</v>
      </c>
      <c r="Q21" s="4"/>
      <c r="R21">
        <f t="shared" si="10"/>
        <v>1800</v>
      </c>
      <c r="S21" s="3">
        <f t="shared" si="3"/>
        <v>1800</v>
      </c>
      <c r="T21" s="3">
        <f t="shared" si="4"/>
        <v>1080</v>
      </c>
      <c r="U21">
        <f t="shared" si="5"/>
        <v>1635</v>
      </c>
      <c r="V21" s="3">
        <f t="shared" si="8"/>
        <v>711</v>
      </c>
      <c r="W21">
        <f t="shared" si="9"/>
        <v>298</v>
      </c>
      <c r="X21">
        <v>18</v>
      </c>
      <c r="Y21">
        <v>20</v>
      </c>
    </row>
    <row r="22" spans="1:25" x14ac:dyDescent="0.15">
      <c r="A22" s="4">
        <v>19</v>
      </c>
      <c r="B22" s="1">
        <v>1362</v>
      </c>
      <c r="C22" s="3">
        <v>905</v>
      </c>
      <c r="D22">
        <v>1811</v>
      </c>
      <c r="E22" s="3">
        <f>INT(SUM(C$4:C21)*$K$2)</f>
        <v>5529</v>
      </c>
      <c r="F22" s="3">
        <v>315</v>
      </c>
      <c r="G22">
        <v>231420</v>
      </c>
      <c r="H22" s="3">
        <v>319</v>
      </c>
      <c r="I22">
        <v>231720</v>
      </c>
      <c r="J22" s="3"/>
      <c r="K22" s="3"/>
      <c r="L22">
        <v>1.05</v>
      </c>
      <c r="M22">
        <f t="shared" si="2"/>
        <v>1.05</v>
      </c>
      <c r="N22" s="4">
        <f t="shared" si="6"/>
        <v>35883</v>
      </c>
      <c r="O22" s="3">
        <f t="shared" si="7"/>
        <v>5866</v>
      </c>
      <c r="P22" s="4">
        <f t="shared" si="0"/>
        <v>-30017</v>
      </c>
      <c r="Q22" s="4"/>
      <c r="R22">
        <f t="shared" si="10"/>
        <v>1900</v>
      </c>
      <c r="S22" s="3">
        <f t="shared" si="3"/>
        <v>1900</v>
      </c>
      <c r="T22" s="3">
        <f t="shared" si="4"/>
        <v>1153</v>
      </c>
      <c r="U22">
        <f t="shared" si="5"/>
        <v>1714</v>
      </c>
      <c r="V22" s="3">
        <f t="shared" si="8"/>
        <v>788</v>
      </c>
      <c r="W22">
        <f t="shared" si="9"/>
        <v>317</v>
      </c>
      <c r="X22" s="3">
        <v>19</v>
      </c>
      <c r="Y22">
        <v>19</v>
      </c>
    </row>
    <row r="23" spans="1:25" x14ac:dyDescent="0.15">
      <c r="A23" s="4">
        <v>20</v>
      </c>
      <c r="B23" s="1">
        <v>1508</v>
      </c>
      <c r="C23" s="3">
        <v>1004</v>
      </c>
      <c r="D23">
        <v>2008</v>
      </c>
      <c r="E23" s="3">
        <f>INT(SUM(C$4:C22)*$K$2)</f>
        <v>6434</v>
      </c>
      <c r="F23" s="3">
        <v>332</v>
      </c>
      <c r="G23">
        <v>257800</v>
      </c>
      <c r="H23" s="3">
        <v>336</v>
      </c>
      <c r="I23">
        <v>258080</v>
      </c>
      <c r="J23" s="3"/>
      <c r="K23" s="3"/>
      <c r="L23">
        <v>0.6</v>
      </c>
      <c r="M23">
        <f t="shared" si="2"/>
        <v>1.2</v>
      </c>
      <c r="N23" s="4">
        <f t="shared" si="6"/>
        <v>39782</v>
      </c>
      <c r="O23" s="3">
        <f t="shared" si="7"/>
        <v>6750</v>
      </c>
      <c r="P23" s="4">
        <f t="shared" si="0"/>
        <v>-33032</v>
      </c>
      <c r="Q23" s="4"/>
      <c r="R23">
        <f t="shared" ref="R23:R32" si="11">A23*150</f>
        <v>3000</v>
      </c>
      <c r="S23" s="3">
        <f t="shared" si="3"/>
        <v>3000</v>
      </c>
      <c r="T23" s="3">
        <f t="shared" si="4"/>
        <v>1230</v>
      </c>
      <c r="U23">
        <f t="shared" si="5"/>
        <v>1836</v>
      </c>
      <c r="V23" s="3">
        <f t="shared" si="8"/>
        <v>1136</v>
      </c>
      <c r="W23">
        <f t="shared" si="9"/>
        <v>336</v>
      </c>
      <c r="X23">
        <v>20</v>
      </c>
      <c r="Y23">
        <v>19</v>
      </c>
    </row>
    <row r="24" spans="1:25" x14ac:dyDescent="0.15">
      <c r="A24" s="4">
        <v>21</v>
      </c>
      <c r="B24" s="1">
        <v>1658</v>
      </c>
      <c r="C24" s="3">
        <v>1104</v>
      </c>
      <c r="D24">
        <v>2208</v>
      </c>
      <c r="E24" s="3">
        <f>INT(SUM(C$4:C23)*$K$2)</f>
        <v>7438</v>
      </c>
      <c r="F24" s="3">
        <v>348</v>
      </c>
      <c r="G24">
        <v>285620</v>
      </c>
      <c r="H24" s="3">
        <v>353</v>
      </c>
      <c r="I24">
        <v>285860</v>
      </c>
      <c r="J24" s="3"/>
      <c r="K24" s="3"/>
      <c r="L24">
        <v>0.6</v>
      </c>
      <c r="M24">
        <f t="shared" si="2"/>
        <v>1.2</v>
      </c>
      <c r="N24" s="4">
        <f t="shared" si="6"/>
        <v>43881</v>
      </c>
      <c r="O24" s="3">
        <f t="shared" si="7"/>
        <v>7720</v>
      </c>
      <c r="P24" s="4">
        <f t="shared" si="0"/>
        <v>-36161</v>
      </c>
      <c r="Q24" s="4"/>
      <c r="R24">
        <f t="shared" si="11"/>
        <v>3150</v>
      </c>
      <c r="S24" s="3">
        <f t="shared" si="3"/>
        <v>3150</v>
      </c>
      <c r="T24" s="3">
        <f t="shared" si="4"/>
        <v>1311</v>
      </c>
      <c r="U24">
        <f t="shared" si="5"/>
        <v>1925</v>
      </c>
      <c r="V24" s="3">
        <f t="shared" si="8"/>
        <v>1233</v>
      </c>
      <c r="W24">
        <f t="shared" si="9"/>
        <v>576</v>
      </c>
      <c r="X24" s="3">
        <v>21</v>
      </c>
      <c r="Y24">
        <f>240+FLOOR((A24-21)/5,1)*144</f>
        <v>240</v>
      </c>
    </row>
    <row r="25" spans="1:25" x14ac:dyDescent="0.15">
      <c r="A25" s="4">
        <v>22</v>
      </c>
      <c r="B25" s="1">
        <v>1687</v>
      </c>
      <c r="C25" s="3">
        <v>1115</v>
      </c>
      <c r="D25">
        <v>2225</v>
      </c>
      <c r="E25" s="3">
        <f>INT(SUM(C$4:C24)*$K$2)</f>
        <v>8542</v>
      </c>
      <c r="F25" s="3">
        <v>365</v>
      </c>
      <c r="G25">
        <v>314840</v>
      </c>
      <c r="H25" s="3">
        <v>369</v>
      </c>
      <c r="I25">
        <v>315080</v>
      </c>
      <c r="J25" s="3"/>
      <c r="K25" s="3"/>
      <c r="L25">
        <v>0.6</v>
      </c>
      <c r="M25">
        <f t="shared" si="2"/>
        <v>1.2</v>
      </c>
      <c r="N25" s="4">
        <f t="shared" si="6"/>
        <v>48180</v>
      </c>
      <c r="O25" s="3">
        <f t="shared" si="7"/>
        <v>8780</v>
      </c>
      <c r="P25" s="4">
        <f t="shared" si="0"/>
        <v>-39400</v>
      </c>
      <c r="Q25" s="4"/>
      <c r="R25">
        <f t="shared" si="11"/>
        <v>3300</v>
      </c>
      <c r="S25" s="3">
        <f t="shared" si="3"/>
        <v>3300</v>
      </c>
      <c r="T25" s="3">
        <f t="shared" si="4"/>
        <v>1396</v>
      </c>
      <c r="U25">
        <f t="shared" si="5"/>
        <v>2018</v>
      </c>
      <c r="V25" s="3">
        <f t="shared" si="8"/>
        <v>1335</v>
      </c>
      <c r="W25">
        <f t="shared" si="9"/>
        <v>648</v>
      </c>
      <c r="X25">
        <v>22</v>
      </c>
      <c r="Y25">
        <f>72+FLOOR((A25-21)/5,1)*24</f>
        <v>72</v>
      </c>
    </row>
    <row r="26" spans="1:25" x14ac:dyDescent="0.15">
      <c r="A26" s="4">
        <v>23</v>
      </c>
      <c r="B26" s="1">
        <v>1775</v>
      </c>
      <c r="C26" s="3">
        <v>1148</v>
      </c>
      <c r="D26">
        <v>2275</v>
      </c>
      <c r="E26" s="3">
        <f>INT(SUM(C$4:C25)*$K$2)</f>
        <v>9657</v>
      </c>
      <c r="F26" s="3">
        <v>382</v>
      </c>
      <c r="G26">
        <v>345500</v>
      </c>
      <c r="H26" s="3">
        <v>386</v>
      </c>
      <c r="I26">
        <v>345720</v>
      </c>
      <c r="J26" s="3"/>
      <c r="K26" s="3"/>
      <c r="L26">
        <v>0.6</v>
      </c>
      <c r="M26">
        <f t="shared" si="2"/>
        <v>1.2</v>
      </c>
      <c r="N26" s="4">
        <f t="shared" si="6"/>
        <v>52679</v>
      </c>
      <c r="O26" s="3">
        <f t="shared" si="7"/>
        <v>9934</v>
      </c>
      <c r="P26" s="4">
        <f t="shared" si="0"/>
        <v>-42745</v>
      </c>
      <c r="Q26" s="4"/>
      <c r="R26">
        <f t="shared" si="11"/>
        <v>3450</v>
      </c>
      <c r="S26" s="3">
        <f t="shared" si="3"/>
        <v>3450</v>
      </c>
      <c r="T26" s="3">
        <f t="shared" si="4"/>
        <v>1485</v>
      </c>
      <c r="U26">
        <f t="shared" si="5"/>
        <v>2115</v>
      </c>
      <c r="V26" s="3">
        <f t="shared" si="8"/>
        <v>1442</v>
      </c>
      <c r="W26">
        <f t="shared" si="9"/>
        <v>720</v>
      </c>
      <c r="X26" s="3">
        <v>23</v>
      </c>
      <c r="Y26">
        <f t="shared" ref="Y26:Y28" si="12">72+FLOOR((A26-21)/5,1)*24</f>
        <v>72</v>
      </c>
    </row>
    <row r="27" spans="1:25" x14ac:dyDescent="0.15">
      <c r="A27" s="4">
        <v>24</v>
      </c>
      <c r="B27" s="1">
        <v>1920</v>
      </c>
      <c r="C27" s="3">
        <v>1204</v>
      </c>
      <c r="D27">
        <v>2358</v>
      </c>
      <c r="E27" s="3">
        <f>INT(SUM(C$4:C26)*$K$2)</f>
        <v>10805</v>
      </c>
      <c r="F27" s="3">
        <v>399</v>
      </c>
      <c r="G27">
        <v>377580</v>
      </c>
      <c r="H27" s="3">
        <v>402</v>
      </c>
      <c r="I27">
        <v>377780</v>
      </c>
      <c r="J27" s="3"/>
      <c r="K27" s="3"/>
      <c r="L27">
        <v>0.6</v>
      </c>
      <c r="M27">
        <f t="shared" si="2"/>
        <v>1.2</v>
      </c>
      <c r="N27" s="4">
        <f t="shared" si="6"/>
        <v>57378</v>
      </c>
      <c r="O27" s="3">
        <f t="shared" si="7"/>
        <v>11186</v>
      </c>
      <c r="P27" s="4">
        <f t="shared" si="0"/>
        <v>-46192</v>
      </c>
      <c r="Q27" s="4"/>
      <c r="R27">
        <f t="shared" si="11"/>
        <v>3600</v>
      </c>
      <c r="S27" s="3">
        <f t="shared" si="3"/>
        <v>3600</v>
      </c>
      <c r="T27" s="3">
        <f t="shared" si="4"/>
        <v>1578</v>
      </c>
      <c r="U27">
        <f t="shared" si="5"/>
        <v>2216</v>
      </c>
      <c r="V27" s="3">
        <f t="shared" si="8"/>
        <v>1553</v>
      </c>
      <c r="W27">
        <f t="shared" si="9"/>
        <v>792</v>
      </c>
      <c r="X27">
        <v>24</v>
      </c>
      <c r="Y27">
        <f t="shared" si="12"/>
        <v>72</v>
      </c>
    </row>
    <row r="28" spans="1:25" x14ac:dyDescent="0.15">
      <c r="A28" s="4">
        <v>25</v>
      </c>
      <c r="B28" s="1">
        <v>2123</v>
      </c>
      <c r="C28" s="3">
        <v>1281</v>
      </c>
      <c r="D28">
        <v>2474</v>
      </c>
      <c r="E28" s="3">
        <f>INT(SUM(C$4:C27)*$K$2)</f>
        <v>12009</v>
      </c>
      <c r="F28" s="3">
        <v>416</v>
      </c>
      <c r="G28">
        <v>411100</v>
      </c>
      <c r="H28" s="3">
        <v>419</v>
      </c>
      <c r="I28">
        <v>411260</v>
      </c>
      <c r="J28" s="3"/>
      <c r="K28" s="3"/>
      <c r="L28">
        <v>0.6</v>
      </c>
      <c r="M28">
        <f t="shared" si="2"/>
        <v>1.2</v>
      </c>
      <c r="N28" s="4">
        <f t="shared" si="6"/>
        <v>62277</v>
      </c>
      <c r="O28" s="3">
        <f t="shared" si="7"/>
        <v>12540</v>
      </c>
      <c r="P28" s="4">
        <f t="shared" si="0"/>
        <v>-49737</v>
      </c>
      <c r="Q28" s="4"/>
      <c r="R28">
        <f t="shared" si="11"/>
        <v>3750</v>
      </c>
      <c r="S28" s="3">
        <f t="shared" si="3"/>
        <v>3750</v>
      </c>
      <c r="T28" s="3">
        <f t="shared" si="4"/>
        <v>2025</v>
      </c>
      <c r="U28">
        <f t="shared" si="5"/>
        <v>3070</v>
      </c>
      <c r="V28" s="3">
        <f t="shared" si="8"/>
        <v>1670</v>
      </c>
      <c r="W28">
        <f t="shared" si="9"/>
        <v>864</v>
      </c>
      <c r="X28" s="3">
        <v>25</v>
      </c>
      <c r="Y28">
        <f t="shared" si="12"/>
        <v>72</v>
      </c>
    </row>
    <row r="29" spans="1:25" x14ac:dyDescent="0.15">
      <c r="A29" s="4">
        <v>26</v>
      </c>
      <c r="B29" s="1">
        <v>2385</v>
      </c>
      <c r="C29" s="3">
        <v>1381</v>
      </c>
      <c r="D29">
        <v>2623</v>
      </c>
      <c r="E29" s="3">
        <f>INT(SUM(C$4:C28)*$K$2)</f>
        <v>13290</v>
      </c>
      <c r="F29" s="3">
        <v>433</v>
      </c>
      <c r="G29">
        <v>446040</v>
      </c>
      <c r="H29" s="3">
        <v>435</v>
      </c>
      <c r="I29">
        <v>446180</v>
      </c>
      <c r="J29" s="3"/>
      <c r="K29" s="3"/>
      <c r="L29">
        <v>0.6</v>
      </c>
      <c r="M29">
        <f t="shared" si="2"/>
        <v>1.2</v>
      </c>
      <c r="N29" s="4">
        <f t="shared" si="6"/>
        <v>67376</v>
      </c>
      <c r="O29" s="3">
        <f t="shared" si="7"/>
        <v>14000</v>
      </c>
      <c r="P29" s="4">
        <f t="shared" si="0"/>
        <v>-53376</v>
      </c>
      <c r="R29">
        <f t="shared" si="11"/>
        <v>3900</v>
      </c>
      <c r="S29" s="3">
        <f t="shared" si="3"/>
        <v>3900</v>
      </c>
      <c r="T29" s="3">
        <f t="shared" si="4"/>
        <v>2126</v>
      </c>
      <c r="U29">
        <f t="shared" si="5"/>
        <v>3181</v>
      </c>
      <c r="V29" s="3">
        <f t="shared" si="8"/>
        <v>1791</v>
      </c>
      <c r="W29">
        <f t="shared" si="9"/>
        <v>1248</v>
      </c>
      <c r="X29">
        <v>26</v>
      </c>
      <c r="Y29">
        <f>240+FLOOR((A29-21)/5,1)*144</f>
        <v>384</v>
      </c>
    </row>
    <row r="30" spans="1:25" x14ac:dyDescent="0.15">
      <c r="A30" s="4">
        <v>27</v>
      </c>
      <c r="B30" s="1">
        <v>2705</v>
      </c>
      <c r="C30" s="3">
        <v>1502</v>
      </c>
      <c r="D30">
        <v>2806</v>
      </c>
      <c r="E30" s="3">
        <f>INT(SUM(C$4:C29)*$K$2)</f>
        <v>14671</v>
      </c>
      <c r="F30" s="3">
        <v>450</v>
      </c>
      <c r="G30">
        <v>482400</v>
      </c>
      <c r="H30" s="3">
        <v>452</v>
      </c>
      <c r="I30">
        <v>482500</v>
      </c>
      <c r="J30" s="3"/>
      <c r="K30" s="3"/>
      <c r="L30">
        <v>0.6</v>
      </c>
      <c r="M30">
        <f t="shared" si="2"/>
        <v>1.2</v>
      </c>
      <c r="N30" s="4">
        <f t="shared" si="6"/>
        <v>72675</v>
      </c>
      <c r="O30" s="3">
        <f t="shared" si="7"/>
        <v>15570</v>
      </c>
      <c r="P30" s="4">
        <f t="shared" si="0"/>
        <v>-57105</v>
      </c>
      <c r="R30">
        <f t="shared" si="11"/>
        <v>4050</v>
      </c>
      <c r="S30" s="3">
        <f t="shared" si="3"/>
        <v>4050</v>
      </c>
      <c r="T30" s="3">
        <f t="shared" si="4"/>
        <v>2231</v>
      </c>
      <c r="U30">
        <f t="shared" si="5"/>
        <v>3296</v>
      </c>
      <c r="V30" s="3">
        <f t="shared" si="8"/>
        <v>1917</v>
      </c>
      <c r="W30">
        <f t="shared" si="9"/>
        <v>1344</v>
      </c>
      <c r="X30" s="3">
        <v>27</v>
      </c>
      <c r="Y30">
        <f>72+FLOOR((A30-21)/5,1)*24</f>
        <v>96</v>
      </c>
    </row>
    <row r="31" spans="1:25" x14ac:dyDescent="0.15">
      <c r="A31" s="4">
        <v>28</v>
      </c>
      <c r="B31" s="1">
        <v>3082</v>
      </c>
      <c r="C31" s="3">
        <v>1646</v>
      </c>
      <c r="D31">
        <v>3022</v>
      </c>
      <c r="E31" s="3">
        <f>INT(SUM(C$4:C30)*$K$2)</f>
        <v>16173</v>
      </c>
      <c r="F31" s="3">
        <v>467</v>
      </c>
      <c r="G31">
        <v>520180</v>
      </c>
      <c r="H31" s="3">
        <v>468</v>
      </c>
      <c r="I31">
        <v>520280</v>
      </c>
      <c r="J31" s="3"/>
      <c r="K31" s="3"/>
      <c r="L31">
        <v>0.6</v>
      </c>
      <c r="M31">
        <f t="shared" si="2"/>
        <v>1.2</v>
      </c>
      <c r="N31" s="4">
        <f t="shared" si="6"/>
        <v>78174</v>
      </c>
      <c r="O31" s="3">
        <f t="shared" si="7"/>
        <v>17254</v>
      </c>
      <c r="P31" s="4">
        <f t="shared" si="0"/>
        <v>-60920</v>
      </c>
      <c r="R31">
        <f t="shared" si="11"/>
        <v>4200</v>
      </c>
      <c r="S31" s="3">
        <f t="shared" si="3"/>
        <v>4200</v>
      </c>
      <c r="T31" s="3">
        <f t="shared" si="4"/>
        <v>2340</v>
      </c>
      <c r="U31">
        <f t="shared" si="5"/>
        <v>3415</v>
      </c>
      <c r="V31" s="3">
        <f t="shared" si="8"/>
        <v>2048</v>
      </c>
      <c r="W31">
        <f t="shared" si="9"/>
        <v>1440</v>
      </c>
      <c r="X31">
        <v>28</v>
      </c>
      <c r="Y31">
        <f t="shared" ref="Y31:Y33" si="13">72+FLOOR((A31-21)/5,1)*24</f>
        <v>96</v>
      </c>
    </row>
    <row r="32" spans="1:25" x14ac:dyDescent="0.15">
      <c r="A32" s="4">
        <v>29</v>
      </c>
      <c r="B32" s="1">
        <v>3518</v>
      </c>
      <c r="C32" s="3">
        <v>1812</v>
      </c>
      <c r="D32">
        <v>3271</v>
      </c>
      <c r="E32" s="3">
        <f>INT(SUM(C$4:C31)*$K$2)</f>
        <v>17819</v>
      </c>
      <c r="F32" s="3">
        <v>484</v>
      </c>
      <c r="G32">
        <v>559400</v>
      </c>
      <c r="H32" s="3">
        <v>485</v>
      </c>
      <c r="I32">
        <v>559460</v>
      </c>
      <c r="J32" s="3"/>
      <c r="K32" s="3"/>
      <c r="L32">
        <v>0.6</v>
      </c>
      <c r="M32">
        <f t="shared" si="2"/>
        <v>1.2</v>
      </c>
      <c r="N32" s="4">
        <f t="shared" si="6"/>
        <v>83873</v>
      </c>
      <c r="O32" s="3">
        <f t="shared" si="7"/>
        <v>19056</v>
      </c>
      <c r="P32" s="4">
        <f t="shared" si="0"/>
        <v>-64817</v>
      </c>
      <c r="R32">
        <f t="shared" si="11"/>
        <v>4350</v>
      </c>
      <c r="S32" s="3">
        <f t="shared" si="3"/>
        <v>4350</v>
      </c>
      <c r="T32" s="3">
        <f t="shared" si="4"/>
        <v>2453</v>
      </c>
      <c r="U32">
        <f t="shared" si="5"/>
        <v>3538</v>
      </c>
      <c r="V32" s="3">
        <f t="shared" si="8"/>
        <v>2183</v>
      </c>
      <c r="W32">
        <f t="shared" si="9"/>
        <v>1536</v>
      </c>
      <c r="X32" s="3">
        <v>29</v>
      </c>
      <c r="Y32">
        <f t="shared" si="13"/>
        <v>96</v>
      </c>
    </row>
    <row r="33" spans="1:25" x14ac:dyDescent="0.15">
      <c r="A33" s="4">
        <v>30</v>
      </c>
      <c r="B33" s="1">
        <v>4012</v>
      </c>
      <c r="C33" s="3">
        <v>2001</v>
      </c>
      <c r="D33">
        <v>3553</v>
      </c>
      <c r="E33" s="3">
        <f>INT(SUM(C$4:C32)*$K$2)</f>
        <v>19631</v>
      </c>
      <c r="F33" s="3">
        <v>501</v>
      </c>
      <c r="G33">
        <v>600040</v>
      </c>
      <c r="H33" s="3">
        <v>0</v>
      </c>
      <c r="I33">
        <v>0</v>
      </c>
      <c r="J33" s="3"/>
      <c r="K33" s="3"/>
      <c r="L33">
        <v>1</v>
      </c>
      <c r="M33">
        <f t="shared" si="2"/>
        <v>2</v>
      </c>
      <c r="N33" s="4">
        <f t="shared" si="6"/>
        <v>89772</v>
      </c>
      <c r="O33" s="3">
        <f t="shared" si="7"/>
        <v>20980</v>
      </c>
      <c r="P33" s="4">
        <f t="shared" si="0"/>
        <v>-68792</v>
      </c>
      <c r="R33">
        <f t="shared" ref="R33:R42" si="14">A33*200</f>
        <v>6000</v>
      </c>
      <c r="S33" s="3">
        <f t="shared" si="3"/>
        <v>6000</v>
      </c>
      <c r="T33" s="3">
        <f t="shared" si="4"/>
        <v>2570</v>
      </c>
      <c r="U33">
        <f t="shared" si="5"/>
        <v>3724</v>
      </c>
      <c r="V33" s="3">
        <f t="shared" si="8"/>
        <v>3740</v>
      </c>
      <c r="W33">
        <f t="shared" si="9"/>
        <v>1632</v>
      </c>
      <c r="X33">
        <v>30</v>
      </c>
      <c r="Y33">
        <f t="shared" si="13"/>
        <v>96</v>
      </c>
    </row>
    <row r="34" spans="1:25" x14ac:dyDescent="0.15">
      <c r="A34" s="4">
        <v>31</v>
      </c>
      <c r="B34" s="1">
        <v>4565</v>
      </c>
      <c r="C34" s="3">
        <v>2211</v>
      </c>
      <c r="D34">
        <v>3868</v>
      </c>
      <c r="E34" s="3">
        <f>INT(SUM(C$4:C33)*$K$2)</f>
        <v>21632</v>
      </c>
      <c r="F34" s="3">
        <v>551</v>
      </c>
      <c r="G34">
        <v>660040</v>
      </c>
      <c r="H34" s="3">
        <v>552</v>
      </c>
      <c r="I34">
        <v>660080</v>
      </c>
      <c r="J34" s="3"/>
      <c r="K34" s="3"/>
      <c r="L34">
        <v>1</v>
      </c>
      <c r="M34">
        <f t="shared" si="2"/>
        <v>2</v>
      </c>
      <c r="N34" s="4">
        <f t="shared" si="6"/>
        <v>95871</v>
      </c>
      <c r="O34" s="3">
        <f t="shared" si="7"/>
        <v>23030</v>
      </c>
      <c r="P34" s="4">
        <f t="shared" si="0"/>
        <v>-72841</v>
      </c>
      <c r="R34">
        <f t="shared" si="14"/>
        <v>6200</v>
      </c>
      <c r="S34" s="3">
        <f t="shared" si="3"/>
        <v>6200</v>
      </c>
      <c r="T34" s="3">
        <f t="shared" si="4"/>
        <v>2691</v>
      </c>
      <c r="U34">
        <f t="shared" si="5"/>
        <v>3857</v>
      </c>
      <c r="V34" s="3">
        <f t="shared" si="8"/>
        <v>3982</v>
      </c>
      <c r="W34">
        <f t="shared" si="9"/>
        <v>2160</v>
      </c>
      <c r="X34" s="3">
        <v>31</v>
      </c>
      <c r="Y34">
        <f>240+FLOOR((A34-21)/5,1)*144</f>
        <v>528</v>
      </c>
    </row>
    <row r="35" spans="1:25" x14ac:dyDescent="0.15">
      <c r="A35" s="4">
        <v>32</v>
      </c>
      <c r="B35" s="1">
        <v>5175</v>
      </c>
      <c r="C35" s="3">
        <v>2443</v>
      </c>
      <c r="D35">
        <v>4217</v>
      </c>
      <c r="E35" s="3">
        <f>INT(SUM(C$4:C34)*$K$2)</f>
        <v>23843</v>
      </c>
      <c r="F35" s="3">
        <v>568</v>
      </c>
      <c r="G35">
        <v>660740</v>
      </c>
      <c r="H35" s="3">
        <v>569</v>
      </c>
      <c r="I35">
        <v>660800</v>
      </c>
      <c r="J35" s="3"/>
      <c r="K35" s="3"/>
      <c r="L35">
        <v>1</v>
      </c>
      <c r="M35">
        <f t="shared" si="2"/>
        <v>2</v>
      </c>
      <c r="N35" s="4">
        <f t="shared" si="6"/>
        <v>102170</v>
      </c>
      <c r="O35" s="3">
        <f t="shared" si="7"/>
        <v>25210</v>
      </c>
      <c r="P35" s="4">
        <f t="shared" si="0"/>
        <v>-76960</v>
      </c>
      <c r="R35">
        <f t="shared" si="14"/>
        <v>6400</v>
      </c>
      <c r="S35" s="3">
        <f t="shared" si="3"/>
        <v>6400</v>
      </c>
      <c r="T35" s="3">
        <f t="shared" si="4"/>
        <v>2816</v>
      </c>
      <c r="U35">
        <f t="shared" si="5"/>
        <v>3994</v>
      </c>
      <c r="V35" s="3">
        <f t="shared" si="8"/>
        <v>4232</v>
      </c>
      <c r="W35">
        <f t="shared" si="9"/>
        <v>2280</v>
      </c>
      <c r="X35">
        <v>32</v>
      </c>
      <c r="Y35">
        <f>72+FLOOR((A35-21)/5,1)*24</f>
        <v>120</v>
      </c>
    </row>
    <row r="36" spans="1:25" x14ac:dyDescent="0.15">
      <c r="A36" s="4">
        <v>33</v>
      </c>
      <c r="B36" s="1">
        <v>5843</v>
      </c>
      <c r="C36" s="3">
        <v>2698</v>
      </c>
      <c r="D36">
        <v>4598</v>
      </c>
      <c r="E36" s="3">
        <f>INT(SUM(C$4:C35)*$K$2)</f>
        <v>26286</v>
      </c>
      <c r="F36" s="3">
        <v>585</v>
      </c>
      <c r="G36">
        <v>662880</v>
      </c>
      <c r="H36" s="3">
        <v>586</v>
      </c>
      <c r="I36">
        <v>662940</v>
      </c>
      <c r="J36" s="3"/>
      <c r="K36" s="3"/>
      <c r="L36">
        <v>1</v>
      </c>
      <c r="M36">
        <f t="shared" si="2"/>
        <v>2</v>
      </c>
      <c r="N36" s="4">
        <f t="shared" si="6"/>
        <v>108669</v>
      </c>
      <c r="O36" s="3">
        <f t="shared" si="7"/>
        <v>27524</v>
      </c>
      <c r="P36" s="4">
        <f t="shared" si="0"/>
        <v>-81145</v>
      </c>
      <c r="R36">
        <f t="shared" si="14"/>
        <v>6600</v>
      </c>
      <c r="S36" s="3">
        <f t="shared" si="3"/>
        <v>6600</v>
      </c>
      <c r="T36" s="3">
        <f t="shared" si="4"/>
        <v>3395</v>
      </c>
      <c r="U36">
        <f t="shared" si="5"/>
        <v>5035</v>
      </c>
      <c r="V36" s="3">
        <f t="shared" si="8"/>
        <v>4490</v>
      </c>
      <c r="W36">
        <f t="shared" si="9"/>
        <v>2400</v>
      </c>
      <c r="X36" s="3">
        <v>33</v>
      </c>
      <c r="Y36">
        <f t="shared" ref="Y36:Y38" si="15">72+FLOOR((A36-21)/5,1)*24</f>
        <v>120</v>
      </c>
    </row>
    <row r="37" spans="1:25" x14ac:dyDescent="0.15">
      <c r="A37" s="4">
        <v>34</v>
      </c>
      <c r="B37" s="1">
        <v>6570</v>
      </c>
      <c r="C37" s="3">
        <v>2975</v>
      </c>
      <c r="D37">
        <v>5013</v>
      </c>
      <c r="E37" s="3">
        <f>INT(SUM(C$4:C36)*$K$2)</f>
        <v>28984</v>
      </c>
      <c r="F37" s="3">
        <v>602</v>
      </c>
      <c r="G37">
        <v>666460</v>
      </c>
      <c r="H37" s="3">
        <v>603</v>
      </c>
      <c r="I37">
        <v>666500</v>
      </c>
      <c r="J37" s="3"/>
      <c r="K37" s="3"/>
      <c r="L37">
        <v>1</v>
      </c>
      <c r="M37">
        <f t="shared" si="2"/>
        <v>2</v>
      </c>
      <c r="N37" s="4">
        <f t="shared" si="6"/>
        <v>115368</v>
      </c>
      <c r="O37" s="3">
        <f t="shared" si="7"/>
        <v>29976</v>
      </c>
      <c r="P37" s="4">
        <f t="shared" si="0"/>
        <v>-85392</v>
      </c>
      <c r="R37">
        <f t="shared" si="14"/>
        <v>6800</v>
      </c>
      <c r="S37" s="3">
        <f t="shared" si="3"/>
        <v>6800</v>
      </c>
      <c r="T37" s="3">
        <f t="shared" si="4"/>
        <v>3528</v>
      </c>
      <c r="U37">
        <f t="shared" si="5"/>
        <v>5180</v>
      </c>
      <c r="V37" s="3">
        <f t="shared" si="8"/>
        <v>4756</v>
      </c>
      <c r="W37">
        <f t="shared" si="9"/>
        <v>2520</v>
      </c>
      <c r="X37">
        <v>34</v>
      </c>
      <c r="Y37">
        <f t="shared" si="15"/>
        <v>120</v>
      </c>
    </row>
    <row r="38" spans="1:25" x14ac:dyDescent="0.15">
      <c r="A38" s="4">
        <v>35</v>
      </c>
      <c r="B38" s="1">
        <v>7355</v>
      </c>
      <c r="C38" s="3">
        <v>3273</v>
      </c>
      <c r="D38">
        <v>5462</v>
      </c>
      <c r="E38" s="3">
        <f>INT(SUM(C$4:C37)*$K$2)</f>
        <v>31959</v>
      </c>
      <c r="F38" s="3">
        <v>619</v>
      </c>
      <c r="G38">
        <v>671440</v>
      </c>
      <c r="H38" s="3">
        <v>620</v>
      </c>
      <c r="I38">
        <v>671500</v>
      </c>
      <c r="J38" s="3"/>
      <c r="K38" s="3"/>
      <c r="L38">
        <v>1</v>
      </c>
      <c r="M38">
        <f t="shared" si="2"/>
        <v>2</v>
      </c>
      <c r="N38" s="4">
        <f t="shared" si="6"/>
        <v>122267</v>
      </c>
      <c r="O38" s="3">
        <f t="shared" si="7"/>
        <v>32570</v>
      </c>
      <c r="P38" s="4">
        <f t="shared" si="0"/>
        <v>-89697</v>
      </c>
      <c r="R38">
        <f t="shared" si="14"/>
        <v>7000</v>
      </c>
      <c r="S38" s="3">
        <f t="shared" si="3"/>
        <v>7000</v>
      </c>
      <c r="T38" s="3">
        <f t="shared" si="4"/>
        <v>3665</v>
      </c>
      <c r="U38">
        <f t="shared" si="5"/>
        <v>5398</v>
      </c>
      <c r="V38" s="3">
        <f t="shared" si="8"/>
        <v>5030</v>
      </c>
      <c r="W38">
        <f t="shared" si="9"/>
        <v>2640</v>
      </c>
      <c r="X38" s="3">
        <v>35</v>
      </c>
      <c r="Y38">
        <f t="shared" si="15"/>
        <v>120</v>
      </c>
    </row>
    <row r="39" spans="1:25" x14ac:dyDescent="0.15">
      <c r="A39" s="4">
        <v>36</v>
      </c>
      <c r="B39" s="1">
        <v>8198</v>
      </c>
      <c r="C39" s="3">
        <v>3594</v>
      </c>
      <c r="D39">
        <v>5943</v>
      </c>
      <c r="E39" s="3">
        <f>INT(SUM(C$4:C38)*$K$2)</f>
        <v>35232</v>
      </c>
      <c r="F39" s="3">
        <v>637</v>
      </c>
      <c r="G39">
        <v>677860</v>
      </c>
      <c r="H39" s="3">
        <v>638</v>
      </c>
      <c r="I39">
        <v>677920</v>
      </c>
      <c r="J39" s="3"/>
      <c r="K39" s="3"/>
      <c r="L39">
        <v>1</v>
      </c>
      <c r="M39">
        <f t="shared" si="2"/>
        <v>2</v>
      </c>
      <c r="N39" s="4">
        <f t="shared" si="6"/>
        <v>129366</v>
      </c>
      <c r="O39" s="3">
        <f t="shared" si="7"/>
        <v>35310</v>
      </c>
      <c r="P39" s="4">
        <f t="shared" si="0"/>
        <v>-94056</v>
      </c>
      <c r="R39">
        <f t="shared" si="14"/>
        <v>7200</v>
      </c>
      <c r="S39" s="3">
        <f t="shared" si="3"/>
        <v>7200</v>
      </c>
      <c r="T39" s="3">
        <f t="shared" si="4"/>
        <v>3806</v>
      </c>
      <c r="U39">
        <f t="shared" si="5"/>
        <v>5553</v>
      </c>
      <c r="V39" s="3">
        <f t="shared" si="8"/>
        <v>5312</v>
      </c>
      <c r="W39">
        <f t="shared" si="9"/>
        <v>3312</v>
      </c>
      <c r="X39">
        <v>36</v>
      </c>
      <c r="Y39">
        <f>240+FLOOR((A39-21)/5,1)*144</f>
        <v>672</v>
      </c>
    </row>
    <row r="40" spans="1:25" x14ac:dyDescent="0.15">
      <c r="A40" s="4">
        <v>37</v>
      </c>
      <c r="B40" s="1">
        <v>9099</v>
      </c>
      <c r="C40" s="3">
        <v>3938</v>
      </c>
      <c r="D40">
        <v>6457</v>
      </c>
      <c r="E40" s="3">
        <f>INT(SUM(C$4:C39)*$K$2)</f>
        <v>38826</v>
      </c>
      <c r="F40" s="3">
        <v>654</v>
      </c>
      <c r="G40">
        <v>685720</v>
      </c>
      <c r="H40" s="3">
        <v>655</v>
      </c>
      <c r="I40">
        <v>685760</v>
      </c>
      <c r="J40" s="3"/>
      <c r="K40" s="3"/>
      <c r="L40">
        <v>1</v>
      </c>
      <c r="M40">
        <f t="shared" si="2"/>
        <v>2</v>
      </c>
      <c r="N40" s="4">
        <f t="shared" si="6"/>
        <v>136665</v>
      </c>
      <c r="O40" s="3">
        <f t="shared" si="7"/>
        <v>38200</v>
      </c>
      <c r="P40" s="4">
        <f t="shared" si="0"/>
        <v>-98465</v>
      </c>
      <c r="R40">
        <f t="shared" si="14"/>
        <v>7400</v>
      </c>
      <c r="S40" s="3">
        <f t="shared" si="3"/>
        <v>7400</v>
      </c>
      <c r="T40" s="3">
        <f t="shared" si="4"/>
        <v>3951</v>
      </c>
      <c r="U40">
        <f t="shared" si="5"/>
        <v>5712</v>
      </c>
      <c r="V40" s="3">
        <f t="shared" si="8"/>
        <v>5602</v>
      </c>
      <c r="W40">
        <f t="shared" si="9"/>
        <v>3456</v>
      </c>
      <c r="X40" s="3">
        <v>37</v>
      </c>
      <c r="Y40">
        <f>72+FLOOR((A40-21)/5,1)*24</f>
        <v>144</v>
      </c>
    </row>
    <row r="41" spans="1:25" x14ac:dyDescent="0.15">
      <c r="A41" s="4">
        <v>38</v>
      </c>
      <c r="B41" s="1">
        <v>10058</v>
      </c>
      <c r="C41" s="3">
        <v>4303</v>
      </c>
      <c r="D41">
        <v>7005</v>
      </c>
      <c r="E41" s="3">
        <f>INT(SUM(C$4:C40)*$K$2)</f>
        <v>42764</v>
      </c>
      <c r="F41" s="3">
        <v>671</v>
      </c>
      <c r="G41">
        <v>695000</v>
      </c>
      <c r="H41" s="3">
        <v>672</v>
      </c>
      <c r="I41">
        <v>695040</v>
      </c>
      <c r="J41" s="3"/>
      <c r="K41" s="3"/>
      <c r="L41">
        <v>1</v>
      </c>
      <c r="M41">
        <f t="shared" si="2"/>
        <v>2</v>
      </c>
      <c r="N41" s="4">
        <f t="shared" si="6"/>
        <v>144164</v>
      </c>
      <c r="O41" s="3">
        <f t="shared" si="7"/>
        <v>41244</v>
      </c>
      <c r="P41" s="4">
        <f t="shared" si="0"/>
        <v>-102920</v>
      </c>
      <c r="R41">
        <f t="shared" si="14"/>
        <v>7600</v>
      </c>
      <c r="S41" s="3">
        <f t="shared" si="3"/>
        <v>7600</v>
      </c>
      <c r="T41" s="3">
        <f t="shared" si="4"/>
        <v>4100</v>
      </c>
      <c r="U41">
        <f t="shared" si="5"/>
        <v>5875</v>
      </c>
      <c r="V41" s="3">
        <f t="shared" si="8"/>
        <v>5900</v>
      </c>
      <c r="W41">
        <f t="shared" si="9"/>
        <v>3600</v>
      </c>
      <c r="X41">
        <v>38</v>
      </c>
      <c r="Y41">
        <f t="shared" ref="Y41:Y43" si="16">72+FLOOR((A41-21)/5,1)*24</f>
        <v>144</v>
      </c>
    </row>
    <row r="42" spans="1:25" x14ac:dyDescent="0.15">
      <c r="A42" s="4">
        <v>39</v>
      </c>
      <c r="B42" s="1">
        <v>11075</v>
      </c>
      <c r="C42" s="3">
        <v>4690</v>
      </c>
      <c r="D42">
        <v>7586</v>
      </c>
      <c r="E42" s="3">
        <f>INT(SUM(C$4:C41)*$K$2)</f>
        <v>47067</v>
      </c>
      <c r="F42" s="3">
        <v>688</v>
      </c>
      <c r="G42">
        <v>705700</v>
      </c>
      <c r="H42" s="3">
        <v>689</v>
      </c>
      <c r="I42">
        <v>705740</v>
      </c>
      <c r="J42" s="3"/>
      <c r="K42" s="3"/>
      <c r="L42">
        <v>1</v>
      </c>
      <c r="M42">
        <f t="shared" si="2"/>
        <v>2</v>
      </c>
      <c r="N42" s="4">
        <f t="shared" si="6"/>
        <v>151863</v>
      </c>
      <c r="O42" s="3">
        <f t="shared" si="7"/>
        <v>44446</v>
      </c>
      <c r="P42" s="4">
        <f t="shared" si="0"/>
        <v>-107417</v>
      </c>
      <c r="R42">
        <f t="shared" si="14"/>
        <v>7800</v>
      </c>
      <c r="S42" s="3">
        <f t="shared" si="3"/>
        <v>7800</v>
      </c>
      <c r="T42" s="3">
        <f t="shared" si="4"/>
        <v>4253</v>
      </c>
      <c r="U42">
        <f t="shared" si="5"/>
        <v>6042</v>
      </c>
      <c r="V42" s="3">
        <f t="shared" si="8"/>
        <v>6206</v>
      </c>
      <c r="W42">
        <f t="shared" si="9"/>
        <v>3744</v>
      </c>
      <c r="X42" s="3">
        <v>39</v>
      </c>
      <c r="Y42">
        <f t="shared" si="16"/>
        <v>144</v>
      </c>
    </row>
    <row r="43" spans="1:25" x14ac:dyDescent="0.15">
      <c r="A43" s="4">
        <v>40</v>
      </c>
      <c r="B43" s="1">
        <v>12150</v>
      </c>
      <c r="C43" s="3">
        <v>5100</v>
      </c>
      <c r="D43">
        <v>8200</v>
      </c>
      <c r="E43" s="3">
        <f>INT(SUM(C$4:C42)*$K$2)</f>
        <v>51757</v>
      </c>
      <c r="F43" s="3">
        <v>705</v>
      </c>
      <c r="G43">
        <v>717820</v>
      </c>
      <c r="H43" s="3">
        <v>706</v>
      </c>
      <c r="I43">
        <v>717860</v>
      </c>
      <c r="J43" s="3"/>
      <c r="K43" s="3"/>
      <c r="L43">
        <v>1</v>
      </c>
      <c r="M43">
        <f t="shared" si="2"/>
        <v>3</v>
      </c>
      <c r="N43" s="4">
        <f t="shared" si="6"/>
        <v>159762</v>
      </c>
      <c r="O43" s="3">
        <f t="shared" si="7"/>
        <v>47810</v>
      </c>
      <c r="P43" s="4">
        <f t="shared" si="0"/>
        <v>-111952</v>
      </c>
      <c r="R43">
        <f t="shared" ref="R43:R52" si="17">A43*300</f>
        <v>12000</v>
      </c>
      <c r="S43" s="3">
        <f t="shared" si="3"/>
        <v>12000</v>
      </c>
      <c r="T43" s="3">
        <f t="shared" si="4"/>
        <v>4410</v>
      </c>
      <c r="U43">
        <f t="shared" si="5"/>
        <v>6292</v>
      </c>
      <c r="V43" s="3">
        <f t="shared" si="8"/>
        <v>9930</v>
      </c>
      <c r="W43">
        <f t="shared" si="9"/>
        <v>3888</v>
      </c>
      <c r="X43">
        <v>40</v>
      </c>
      <c r="Y43">
        <f t="shared" si="16"/>
        <v>144</v>
      </c>
    </row>
    <row r="44" spans="1:25" x14ac:dyDescent="0.15">
      <c r="A44" s="4">
        <v>41</v>
      </c>
      <c r="B44" s="1">
        <v>13365</v>
      </c>
      <c r="C44" s="3">
        <v>5610</v>
      </c>
      <c r="D44">
        <v>9020</v>
      </c>
      <c r="E44" s="3">
        <f>INT(SUM(C$4:C43)*$K$2)</f>
        <v>56857</v>
      </c>
      <c r="F44" s="3">
        <v>723</v>
      </c>
      <c r="G44">
        <v>731380</v>
      </c>
      <c r="H44" s="3">
        <v>723</v>
      </c>
      <c r="I44">
        <v>731420</v>
      </c>
      <c r="J44" s="3"/>
      <c r="K44" s="3"/>
      <c r="L44">
        <v>1</v>
      </c>
      <c r="M44">
        <f t="shared" si="2"/>
        <v>3</v>
      </c>
      <c r="N44" s="4">
        <f t="shared" si="6"/>
        <v>167861</v>
      </c>
      <c r="O44" s="3">
        <f t="shared" si="7"/>
        <v>51340</v>
      </c>
      <c r="P44" s="4">
        <f t="shared" si="0"/>
        <v>-116521</v>
      </c>
      <c r="R44">
        <f t="shared" si="17"/>
        <v>12300</v>
      </c>
      <c r="S44" s="3">
        <f t="shared" si="3"/>
        <v>12300</v>
      </c>
      <c r="T44" s="3">
        <f t="shared" si="4"/>
        <v>5121</v>
      </c>
      <c r="U44">
        <f t="shared" si="5"/>
        <v>7569</v>
      </c>
      <c r="V44" s="3">
        <f t="shared" si="8"/>
        <v>10413</v>
      </c>
      <c r="W44">
        <f t="shared" si="9"/>
        <v>4704</v>
      </c>
      <c r="X44" s="3">
        <v>41</v>
      </c>
      <c r="Y44">
        <f t="shared" ref="Y44" si="18">240+FLOOR((A44-21)/5,1)*144</f>
        <v>816</v>
      </c>
    </row>
    <row r="45" spans="1:25" x14ac:dyDescent="0.15">
      <c r="A45" s="4">
        <v>42</v>
      </c>
      <c r="B45" s="1">
        <v>13530</v>
      </c>
      <c r="C45" s="3">
        <v>5651</v>
      </c>
      <c r="D45">
        <v>9085</v>
      </c>
      <c r="E45" s="3">
        <f>INT(SUM(C$4:C44)*$K$2)</f>
        <v>62467</v>
      </c>
      <c r="F45" s="3">
        <v>740</v>
      </c>
      <c r="G45">
        <v>746360</v>
      </c>
      <c r="H45" s="3">
        <v>741</v>
      </c>
      <c r="I45">
        <v>746400</v>
      </c>
      <c r="J45" s="3"/>
      <c r="K45" s="3"/>
      <c r="L45">
        <v>1</v>
      </c>
      <c r="M45">
        <f t="shared" si="2"/>
        <v>3</v>
      </c>
      <c r="N45" s="4">
        <f t="shared" si="6"/>
        <v>176160</v>
      </c>
      <c r="O45" s="3">
        <f t="shared" si="7"/>
        <v>55040</v>
      </c>
      <c r="P45" s="4">
        <f t="shared" si="0"/>
        <v>-121120</v>
      </c>
      <c r="R45">
        <f t="shared" si="17"/>
        <v>12600</v>
      </c>
      <c r="S45" s="3">
        <f t="shared" si="3"/>
        <v>12600</v>
      </c>
      <c r="T45" s="3">
        <f t="shared" si="4"/>
        <v>5286</v>
      </c>
      <c r="U45">
        <f t="shared" si="5"/>
        <v>7750</v>
      </c>
      <c r="V45" s="3">
        <f t="shared" si="8"/>
        <v>10908</v>
      </c>
      <c r="W45">
        <f t="shared" si="9"/>
        <v>4872</v>
      </c>
      <c r="X45">
        <v>42</v>
      </c>
      <c r="Y45">
        <f t="shared" ref="Y45:Y48" si="19">72+FLOOR((A45-21)/5,1)*24</f>
        <v>168</v>
      </c>
    </row>
    <row r="46" spans="1:25" x14ac:dyDescent="0.15">
      <c r="A46" s="4">
        <v>43</v>
      </c>
      <c r="B46" s="1">
        <v>14028</v>
      </c>
      <c r="C46" s="3">
        <v>5775</v>
      </c>
      <c r="D46">
        <v>9283</v>
      </c>
      <c r="E46" s="3">
        <f>INT(SUM(C$4:C45)*$K$2)</f>
        <v>68118</v>
      </c>
      <c r="F46" s="3">
        <v>757</v>
      </c>
      <c r="G46">
        <v>762760</v>
      </c>
      <c r="H46" s="3">
        <v>758</v>
      </c>
      <c r="I46">
        <v>762800</v>
      </c>
      <c r="J46" s="3"/>
      <c r="K46" s="3"/>
      <c r="L46">
        <v>1</v>
      </c>
      <c r="M46">
        <f t="shared" si="2"/>
        <v>3</v>
      </c>
      <c r="N46" s="4">
        <f t="shared" si="6"/>
        <v>184659</v>
      </c>
      <c r="O46" s="3">
        <f t="shared" si="7"/>
        <v>58914</v>
      </c>
      <c r="P46" s="4">
        <f t="shared" si="0"/>
        <v>-125745</v>
      </c>
      <c r="R46">
        <f t="shared" si="17"/>
        <v>12900</v>
      </c>
      <c r="S46" s="3">
        <f t="shared" si="3"/>
        <v>12900</v>
      </c>
      <c r="T46" s="3">
        <f t="shared" si="4"/>
        <v>5455</v>
      </c>
      <c r="U46">
        <f t="shared" si="5"/>
        <v>7935</v>
      </c>
      <c r="V46" s="3">
        <f t="shared" si="8"/>
        <v>11415</v>
      </c>
      <c r="W46">
        <f t="shared" si="9"/>
        <v>5040</v>
      </c>
      <c r="X46" s="3">
        <v>43</v>
      </c>
      <c r="Y46">
        <f t="shared" si="19"/>
        <v>168</v>
      </c>
    </row>
    <row r="47" spans="1:25" x14ac:dyDescent="0.15">
      <c r="A47" s="4">
        <v>44</v>
      </c>
      <c r="B47" s="1">
        <v>14857</v>
      </c>
      <c r="C47" s="3">
        <v>5981</v>
      </c>
      <c r="D47">
        <v>9613</v>
      </c>
      <c r="E47" s="3">
        <f>INT(SUM(C$4:C46)*$K$2)</f>
        <v>73893</v>
      </c>
      <c r="F47" s="3">
        <v>774</v>
      </c>
      <c r="G47">
        <v>780600</v>
      </c>
      <c r="H47" s="3">
        <v>775</v>
      </c>
      <c r="I47">
        <v>780640</v>
      </c>
      <c r="J47" s="3"/>
      <c r="K47" s="3"/>
      <c r="L47">
        <v>1</v>
      </c>
      <c r="M47">
        <f t="shared" si="2"/>
        <v>3</v>
      </c>
      <c r="N47" s="4">
        <f t="shared" si="6"/>
        <v>193358</v>
      </c>
      <c r="O47" s="3">
        <f t="shared" si="7"/>
        <v>62966</v>
      </c>
      <c r="P47" s="4">
        <f t="shared" si="0"/>
        <v>-130392</v>
      </c>
      <c r="R47">
        <f t="shared" si="17"/>
        <v>13200</v>
      </c>
      <c r="S47" s="3">
        <f t="shared" si="3"/>
        <v>13200</v>
      </c>
      <c r="T47" s="3">
        <f t="shared" si="4"/>
        <v>5628</v>
      </c>
      <c r="U47">
        <f t="shared" si="5"/>
        <v>8124</v>
      </c>
      <c r="V47" s="3">
        <f t="shared" si="8"/>
        <v>11934</v>
      </c>
      <c r="W47">
        <f t="shared" si="9"/>
        <v>5208</v>
      </c>
      <c r="X47">
        <v>44</v>
      </c>
      <c r="Y47">
        <f t="shared" si="19"/>
        <v>168</v>
      </c>
    </row>
    <row r="48" spans="1:25" x14ac:dyDescent="0.15">
      <c r="A48" s="4">
        <v>45</v>
      </c>
      <c r="B48" s="1">
        <v>16017</v>
      </c>
      <c r="C48" s="3">
        <v>6270</v>
      </c>
      <c r="D48">
        <v>10074</v>
      </c>
      <c r="E48" s="3">
        <f>INT(SUM(C$4:C47)*$K$2)</f>
        <v>79874</v>
      </c>
      <c r="F48" s="3">
        <v>791</v>
      </c>
      <c r="G48">
        <v>799860</v>
      </c>
      <c r="H48" s="3">
        <v>792</v>
      </c>
      <c r="I48">
        <v>799900</v>
      </c>
      <c r="J48" s="3"/>
      <c r="K48" s="3"/>
      <c r="L48">
        <v>1</v>
      </c>
      <c r="M48">
        <f t="shared" si="2"/>
        <v>3</v>
      </c>
      <c r="N48" s="4">
        <f t="shared" si="6"/>
        <v>202257</v>
      </c>
      <c r="O48" s="3">
        <f t="shared" si="7"/>
        <v>67200</v>
      </c>
      <c r="P48" s="4">
        <f t="shared" si="0"/>
        <v>-135057</v>
      </c>
      <c r="R48">
        <f t="shared" si="17"/>
        <v>13500</v>
      </c>
      <c r="S48" s="3">
        <f t="shared" si="3"/>
        <v>13500</v>
      </c>
      <c r="T48" s="3">
        <f t="shared" si="4"/>
        <v>5805</v>
      </c>
      <c r="U48">
        <f t="shared" si="5"/>
        <v>8406</v>
      </c>
      <c r="V48" s="3">
        <f t="shared" si="8"/>
        <v>12465</v>
      </c>
      <c r="W48">
        <f t="shared" si="9"/>
        <v>5376</v>
      </c>
      <c r="X48" s="3">
        <v>45</v>
      </c>
      <c r="Y48">
        <f t="shared" si="19"/>
        <v>168</v>
      </c>
    </row>
    <row r="49" spans="1:25" x14ac:dyDescent="0.15">
      <c r="A49" s="4">
        <v>46</v>
      </c>
      <c r="B49" s="1">
        <v>17509</v>
      </c>
      <c r="C49" s="3">
        <v>6641</v>
      </c>
      <c r="D49">
        <v>10668</v>
      </c>
      <c r="E49" s="3">
        <f>INT(SUM(C$4:C48)*$K$2)</f>
        <v>86144</v>
      </c>
      <c r="F49" s="3">
        <v>809</v>
      </c>
      <c r="G49">
        <v>820540</v>
      </c>
      <c r="H49" s="3">
        <v>809</v>
      </c>
      <c r="I49">
        <v>820580</v>
      </c>
      <c r="J49" s="3"/>
      <c r="K49" s="3"/>
      <c r="L49">
        <v>1</v>
      </c>
      <c r="M49">
        <f t="shared" si="2"/>
        <v>3</v>
      </c>
      <c r="N49" s="4">
        <f t="shared" si="6"/>
        <v>211356</v>
      </c>
      <c r="O49" s="3">
        <f t="shared" si="7"/>
        <v>71620</v>
      </c>
      <c r="P49" s="4">
        <f t="shared" si="0"/>
        <v>-139736</v>
      </c>
      <c r="R49">
        <f t="shared" si="17"/>
        <v>13800</v>
      </c>
      <c r="S49" s="3">
        <f t="shared" si="3"/>
        <v>13800</v>
      </c>
      <c r="T49" s="3">
        <f t="shared" si="4"/>
        <v>5986</v>
      </c>
      <c r="U49">
        <f t="shared" si="5"/>
        <v>8605</v>
      </c>
      <c r="V49" s="3">
        <f t="shared" si="8"/>
        <v>13008</v>
      </c>
      <c r="W49">
        <f t="shared" si="9"/>
        <v>6336</v>
      </c>
      <c r="X49">
        <v>46</v>
      </c>
      <c r="Y49">
        <f t="shared" ref="Y49" si="20">240+FLOOR((A49-21)/5,1)*144</f>
        <v>960</v>
      </c>
    </row>
    <row r="50" spans="1:25" x14ac:dyDescent="0.15">
      <c r="A50" s="4">
        <v>47</v>
      </c>
      <c r="B50" s="1">
        <v>19333</v>
      </c>
      <c r="C50" s="3">
        <v>7095</v>
      </c>
      <c r="D50">
        <v>11393</v>
      </c>
      <c r="E50" s="3">
        <f>INT(SUM(C$4:C49)*$K$2)</f>
        <v>92785</v>
      </c>
      <c r="F50" s="3">
        <v>826</v>
      </c>
      <c r="G50">
        <v>842660</v>
      </c>
      <c r="H50" s="3">
        <v>826</v>
      </c>
      <c r="I50">
        <v>842700</v>
      </c>
      <c r="J50" s="3"/>
      <c r="K50" s="3"/>
      <c r="L50">
        <v>1</v>
      </c>
      <c r="M50">
        <f t="shared" si="2"/>
        <v>3</v>
      </c>
      <c r="N50" s="4">
        <f t="shared" si="6"/>
        <v>220655</v>
      </c>
      <c r="O50" s="3">
        <f t="shared" si="7"/>
        <v>76230</v>
      </c>
      <c r="P50" s="4">
        <f t="shared" si="0"/>
        <v>-144425</v>
      </c>
      <c r="R50">
        <f t="shared" si="17"/>
        <v>14100</v>
      </c>
      <c r="S50" s="3">
        <f t="shared" si="3"/>
        <v>14100</v>
      </c>
      <c r="T50" s="3">
        <f t="shared" si="4"/>
        <v>6171</v>
      </c>
      <c r="U50">
        <f t="shared" si="5"/>
        <v>8808</v>
      </c>
      <c r="V50" s="3">
        <f t="shared" si="8"/>
        <v>13563</v>
      </c>
      <c r="W50">
        <f t="shared" si="9"/>
        <v>6528</v>
      </c>
      <c r="X50" s="3">
        <v>47</v>
      </c>
      <c r="Y50">
        <f t="shared" ref="Y50:Y113" si="21">72+FLOOR((A50-21)/5,1)*24</f>
        <v>192</v>
      </c>
    </row>
    <row r="51" spans="1:25" x14ac:dyDescent="0.15">
      <c r="A51" s="4">
        <v>48</v>
      </c>
      <c r="B51" s="1">
        <v>21488</v>
      </c>
      <c r="C51" s="3">
        <v>7632</v>
      </c>
      <c r="D51">
        <v>12250</v>
      </c>
      <c r="E51" s="3">
        <f>INT(SUM(C$4:C50)*$K$2)</f>
        <v>99880</v>
      </c>
      <c r="F51" s="3">
        <v>843</v>
      </c>
      <c r="G51">
        <v>866200</v>
      </c>
      <c r="H51" s="3">
        <v>844</v>
      </c>
      <c r="I51">
        <v>866240</v>
      </c>
      <c r="J51" s="3"/>
      <c r="K51" s="3"/>
      <c r="L51">
        <v>1</v>
      </c>
      <c r="M51">
        <f t="shared" si="2"/>
        <v>3</v>
      </c>
      <c r="N51" s="4">
        <f t="shared" si="6"/>
        <v>230154</v>
      </c>
      <c r="O51" s="3">
        <f t="shared" si="7"/>
        <v>81034</v>
      </c>
      <c r="P51" s="4">
        <f t="shared" si="0"/>
        <v>-149120</v>
      </c>
      <c r="R51">
        <f t="shared" si="17"/>
        <v>14400</v>
      </c>
      <c r="S51" s="3">
        <f t="shared" si="3"/>
        <v>14400</v>
      </c>
      <c r="T51" s="3">
        <f t="shared" si="4"/>
        <v>6360</v>
      </c>
      <c r="U51">
        <f t="shared" si="5"/>
        <v>9015</v>
      </c>
      <c r="V51" s="3">
        <f t="shared" si="8"/>
        <v>14130</v>
      </c>
      <c r="W51">
        <f t="shared" si="9"/>
        <v>6720</v>
      </c>
      <c r="X51">
        <v>48</v>
      </c>
      <c r="Y51">
        <f t="shared" si="21"/>
        <v>192</v>
      </c>
    </row>
    <row r="52" spans="1:25" x14ac:dyDescent="0.15">
      <c r="A52" s="4">
        <v>49</v>
      </c>
      <c r="B52" s="1">
        <v>23975</v>
      </c>
      <c r="C52" s="3">
        <v>8251</v>
      </c>
      <c r="D52">
        <v>13239</v>
      </c>
      <c r="E52" s="3">
        <f>INT(SUM(C$4:C51)*$K$2)</f>
        <v>107512</v>
      </c>
      <c r="F52" s="3">
        <v>860</v>
      </c>
      <c r="G52">
        <v>891180</v>
      </c>
      <c r="H52" s="3">
        <v>861</v>
      </c>
      <c r="I52">
        <v>891200</v>
      </c>
      <c r="J52" s="3"/>
      <c r="K52" s="3"/>
      <c r="L52">
        <v>1</v>
      </c>
      <c r="M52">
        <f t="shared" si="2"/>
        <v>3</v>
      </c>
      <c r="N52" s="4">
        <f t="shared" si="6"/>
        <v>239853</v>
      </c>
      <c r="O52" s="3">
        <f t="shared" si="7"/>
        <v>86036</v>
      </c>
      <c r="P52" s="4">
        <f t="shared" si="0"/>
        <v>-153817</v>
      </c>
      <c r="R52">
        <f t="shared" si="17"/>
        <v>14700</v>
      </c>
      <c r="S52" s="3">
        <f t="shared" si="3"/>
        <v>14700</v>
      </c>
      <c r="T52" s="3">
        <f t="shared" si="4"/>
        <v>7203</v>
      </c>
      <c r="U52">
        <f t="shared" si="5"/>
        <v>10526</v>
      </c>
      <c r="V52" s="3">
        <f t="shared" si="8"/>
        <v>14709</v>
      </c>
      <c r="W52">
        <f t="shared" si="9"/>
        <v>6912</v>
      </c>
      <c r="X52" s="3">
        <v>49</v>
      </c>
      <c r="Y52">
        <f t="shared" si="21"/>
        <v>192</v>
      </c>
    </row>
    <row r="53" spans="1:25" x14ac:dyDescent="0.15">
      <c r="A53" s="4">
        <v>50</v>
      </c>
      <c r="B53" s="1">
        <v>26793</v>
      </c>
      <c r="C53" s="3">
        <v>8953</v>
      </c>
      <c r="D53">
        <v>14360</v>
      </c>
      <c r="E53" s="3">
        <f>INT(SUM(C$4:C52)*$K$2)</f>
        <v>115763</v>
      </c>
      <c r="F53" s="3">
        <v>878</v>
      </c>
      <c r="G53">
        <v>917560</v>
      </c>
      <c r="H53" s="3">
        <v>878</v>
      </c>
      <c r="I53">
        <v>917600</v>
      </c>
      <c r="J53" s="3"/>
      <c r="K53" s="3"/>
      <c r="L53">
        <v>1.2</v>
      </c>
      <c r="M53">
        <f t="shared" si="2"/>
        <v>3.5999999999999996</v>
      </c>
      <c r="N53" s="4">
        <f t="shared" si="6"/>
        <v>249752</v>
      </c>
      <c r="O53" s="3">
        <f t="shared" si="7"/>
        <v>91240</v>
      </c>
      <c r="P53" s="4">
        <f t="shared" si="0"/>
        <v>-158512</v>
      </c>
      <c r="R53">
        <f t="shared" ref="R53:R62" si="22">A53*400</f>
        <v>20000</v>
      </c>
      <c r="S53" s="3">
        <f t="shared" si="3"/>
        <v>20000</v>
      </c>
      <c r="T53" s="3">
        <f t="shared" si="4"/>
        <v>7400</v>
      </c>
      <c r="U53">
        <f t="shared" si="5"/>
        <v>10840</v>
      </c>
      <c r="V53" s="3">
        <f t="shared" si="8"/>
        <v>18270</v>
      </c>
      <c r="W53">
        <f t="shared" si="9"/>
        <v>7296</v>
      </c>
      <c r="X53">
        <v>50</v>
      </c>
      <c r="Y53">
        <f>(72+FLOOR((A53-21)/5,1)*24)*2</f>
        <v>384</v>
      </c>
    </row>
    <row r="54" spans="1:25" x14ac:dyDescent="0.15">
      <c r="A54" s="4">
        <v>51</v>
      </c>
      <c r="B54" s="1">
        <v>29943</v>
      </c>
      <c r="C54" s="3">
        <v>9737</v>
      </c>
      <c r="D54">
        <v>15612</v>
      </c>
      <c r="E54" s="3">
        <f>INT(SUM(C$4:C53)*$K$2)</f>
        <v>124716</v>
      </c>
      <c r="F54" s="3">
        <v>895</v>
      </c>
      <c r="G54">
        <v>945380</v>
      </c>
      <c r="H54" s="3">
        <v>895</v>
      </c>
      <c r="I54">
        <v>945420</v>
      </c>
      <c r="J54" s="3"/>
      <c r="K54" s="3"/>
      <c r="L54">
        <v>1.2</v>
      </c>
      <c r="M54">
        <f t="shared" si="2"/>
        <v>3.5999999999999996</v>
      </c>
      <c r="N54" s="4">
        <f t="shared" si="6"/>
        <v>259851</v>
      </c>
      <c r="O54" s="3">
        <f t="shared" si="7"/>
        <v>96650</v>
      </c>
      <c r="P54" s="4">
        <f t="shared" si="0"/>
        <v>-163201</v>
      </c>
      <c r="R54">
        <f t="shared" si="22"/>
        <v>20400</v>
      </c>
      <c r="S54" s="3">
        <f t="shared" si="3"/>
        <v>20400</v>
      </c>
      <c r="T54" s="3">
        <f t="shared" si="4"/>
        <v>7601</v>
      </c>
      <c r="U54">
        <f t="shared" si="5"/>
        <v>11061</v>
      </c>
      <c r="V54" s="3">
        <f t="shared" si="8"/>
        <v>18993</v>
      </c>
      <c r="W54">
        <f t="shared" si="9"/>
        <v>8640</v>
      </c>
      <c r="X54" s="3">
        <v>51</v>
      </c>
      <c r="Y54">
        <f>240*2+FLOOR((A54-21)/5,1)*144</f>
        <v>1344</v>
      </c>
    </row>
    <row r="55" spans="1:25" x14ac:dyDescent="0.15">
      <c r="A55" s="4">
        <v>52</v>
      </c>
      <c r="B55" s="1">
        <v>33425</v>
      </c>
      <c r="C55" s="3">
        <v>10604</v>
      </c>
      <c r="D55">
        <v>16997</v>
      </c>
      <c r="E55" s="3">
        <f>INT(SUM(C$4:C54)*$K$2)</f>
        <v>134453</v>
      </c>
      <c r="F55" s="3">
        <v>912</v>
      </c>
      <c r="G55">
        <v>974640</v>
      </c>
      <c r="H55" s="3">
        <v>912</v>
      </c>
      <c r="I55">
        <v>974660</v>
      </c>
      <c r="J55" s="3"/>
      <c r="K55" s="3"/>
      <c r="L55">
        <v>1.2</v>
      </c>
      <c r="M55">
        <f t="shared" si="2"/>
        <v>3.5999999999999996</v>
      </c>
      <c r="N55" s="4">
        <f t="shared" si="6"/>
        <v>270150</v>
      </c>
      <c r="O55" s="3">
        <f t="shared" si="7"/>
        <v>102270</v>
      </c>
      <c r="P55" s="4">
        <f t="shared" si="0"/>
        <v>-167880</v>
      </c>
      <c r="R55">
        <f t="shared" si="22"/>
        <v>20800</v>
      </c>
      <c r="S55" s="3">
        <f t="shared" si="3"/>
        <v>20800</v>
      </c>
      <c r="T55" s="3">
        <f t="shared" si="4"/>
        <v>7806</v>
      </c>
      <c r="U55">
        <f t="shared" si="5"/>
        <v>11286</v>
      </c>
      <c r="V55" s="3">
        <f t="shared" si="8"/>
        <v>19731</v>
      </c>
      <c r="W55">
        <f t="shared" si="9"/>
        <v>9072</v>
      </c>
      <c r="X55">
        <v>52</v>
      </c>
      <c r="Y55">
        <f>(72+FLOOR((A55-21)/5,1)*24)*2</f>
        <v>432</v>
      </c>
    </row>
    <row r="56" spans="1:25" x14ac:dyDescent="0.15">
      <c r="A56" s="4">
        <v>53</v>
      </c>
      <c r="B56" s="1">
        <v>37238</v>
      </c>
      <c r="C56" s="3">
        <v>11553</v>
      </c>
      <c r="D56">
        <v>18513</v>
      </c>
      <c r="E56" s="3">
        <f>INT(SUM(C$4:C55)*$K$2)</f>
        <v>145057</v>
      </c>
      <c r="F56" s="3">
        <v>929</v>
      </c>
      <c r="G56">
        <v>1005320</v>
      </c>
      <c r="H56" s="3">
        <v>929</v>
      </c>
      <c r="I56">
        <v>1005340</v>
      </c>
      <c r="J56" s="3"/>
      <c r="K56" s="3"/>
      <c r="L56">
        <v>1.2</v>
      </c>
      <c r="M56">
        <f t="shared" si="2"/>
        <v>3.5999999999999996</v>
      </c>
      <c r="N56" s="4">
        <f t="shared" si="6"/>
        <v>280649</v>
      </c>
      <c r="O56" s="3">
        <f t="shared" si="7"/>
        <v>108104</v>
      </c>
      <c r="P56" s="4">
        <f t="shared" si="0"/>
        <v>-172545</v>
      </c>
      <c r="R56">
        <f t="shared" si="22"/>
        <v>21200</v>
      </c>
      <c r="S56" s="3">
        <f t="shared" si="3"/>
        <v>21200</v>
      </c>
      <c r="T56" s="3">
        <f t="shared" si="4"/>
        <v>8015</v>
      </c>
      <c r="U56">
        <f t="shared" si="5"/>
        <v>11515</v>
      </c>
      <c r="V56" s="3">
        <f t="shared" si="8"/>
        <v>20484</v>
      </c>
      <c r="W56">
        <f t="shared" si="9"/>
        <v>10560</v>
      </c>
      <c r="X56" s="3">
        <v>53</v>
      </c>
      <c r="Y56">
        <v>1488</v>
      </c>
    </row>
    <row r="57" spans="1:25" x14ac:dyDescent="0.15">
      <c r="A57" s="4">
        <v>54</v>
      </c>
      <c r="B57" s="1">
        <v>41383</v>
      </c>
      <c r="C57" s="3">
        <v>12585</v>
      </c>
      <c r="D57">
        <v>20161</v>
      </c>
      <c r="E57" s="3">
        <f>INT(SUM(C$4:C56)*$K$2)</f>
        <v>156610</v>
      </c>
      <c r="F57" s="3">
        <v>946</v>
      </c>
      <c r="G57">
        <v>1037420</v>
      </c>
      <c r="H57" s="3">
        <v>947</v>
      </c>
      <c r="I57">
        <v>1037440</v>
      </c>
      <c r="J57" s="3"/>
      <c r="K57" s="3"/>
      <c r="L57">
        <v>1.2</v>
      </c>
      <c r="M57">
        <f t="shared" si="2"/>
        <v>3.5999999999999996</v>
      </c>
      <c r="N57" s="4">
        <f t="shared" si="6"/>
        <v>291348</v>
      </c>
      <c r="O57" s="3">
        <f t="shared" si="7"/>
        <v>114156</v>
      </c>
      <c r="P57" s="4">
        <f t="shared" si="0"/>
        <v>-177192</v>
      </c>
      <c r="R57">
        <f t="shared" si="22"/>
        <v>21600</v>
      </c>
      <c r="S57" s="3">
        <f t="shared" si="3"/>
        <v>21600</v>
      </c>
      <c r="T57" s="3">
        <f t="shared" si="4"/>
        <v>8228</v>
      </c>
      <c r="U57">
        <f t="shared" si="5"/>
        <v>11748</v>
      </c>
      <c r="V57" s="3">
        <f t="shared" si="8"/>
        <v>21250</v>
      </c>
      <c r="W57">
        <f t="shared" si="9"/>
        <v>11040</v>
      </c>
      <c r="X57">
        <v>54</v>
      </c>
      <c r="Y57">
        <v>480</v>
      </c>
    </row>
    <row r="58" spans="1:25" x14ac:dyDescent="0.15">
      <c r="A58" s="4">
        <v>55</v>
      </c>
      <c r="B58" s="1">
        <v>45859</v>
      </c>
      <c r="C58" s="3">
        <v>13699</v>
      </c>
      <c r="D58">
        <v>21941</v>
      </c>
      <c r="E58" s="3">
        <f>INT(SUM(C$4:C57)*$K$2)</f>
        <v>169195</v>
      </c>
      <c r="F58" s="3">
        <v>964</v>
      </c>
      <c r="G58">
        <v>1070940</v>
      </c>
      <c r="H58" s="3">
        <v>964</v>
      </c>
      <c r="I58">
        <v>1070960</v>
      </c>
      <c r="J58" s="3"/>
      <c r="K58" s="3"/>
      <c r="L58">
        <v>1.2</v>
      </c>
      <c r="M58">
        <f t="shared" si="2"/>
        <v>3.5999999999999996</v>
      </c>
      <c r="N58" s="4">
        <f t="shared" si="6"/>
        <v>302247</v>
      </c>
      <c r="O58" s="3">
        <f t="shared" si="7"/>
        <v>120430</v>
      </c>
      <c r="P58" s="4">
        <f t="shared" si="0"/>
        <v>-181817</v>
      </c>
      <c r="R58">
        <f t="shared" si="22"/>
        <v>22000</v>
      </c>
      <c r="S58" s="3">
        <f t="shared" si="3"/>
        <v>22000</v>
      </c>
      <c r="T58" s="3">
        <f t="shared" si="4"/>
        <v>8445</v>
      </c>
      <c r="U58">
        <f t="shared" si="5"/>
        <v>12094</v>
      </c>
      <c r="V58" s="3">
        <f t="shared" si="8"/>
        <v>22032</v>
      </c>
      <c r="W58">
        <f t="shared" si="9"/>
        <v>11520</v>
      </c>
      <c r="X58" s="3">
        <v>55</v>
      </c>
      <c r="Y58">
        <v>480</v>
      </c>
    </row>
    <row r="59" spans="1:25" x14ac:dyDescent="0.15">
      <c r="A59" s="4">
        <v>56</v>
      </c>
      <c r="B59" s="1">
        <v>50667</v>
      </c>
      <c r="C59" s="3">
        <v>14896</v>
      </c>
      <c r="D59">
        <v>23853</v>
      </c>
      <c r="E59" s="3">
        <f>INT(SUM(C$4:C58)*$K$2)</f>
        <v>182894</v>
      </c>
      <c r="F59" s="3">
        <v>981</v>
      </c>
      <c r="G59">
        <v>1105900</v>
      </c>
      <c r="H59" s="3">
        <v>981</v>
      </c>
      <c r="I59">
        <v>1105920</v>
      </c>
      <c r="J59" s="3"/>
      <c r="K59" s="3"/>
      <c r="L59">
        <v>1.2</v>
      </c>
      <c r="M59">
        <f t="shared" si="2"/>
        <v>3.5999999999999996</v>
      </c>
      <c r="N59" s="4">
        <f t="shared" si="6"/>
        <v>313346</v>
      </c>
      <c r="O59" s="3">
        <f t="shared" si="7"/>
        <v>126930</v>
      </c>
      <c r="P59" s="4">
        <f t="shared" si="0"/>
        <v>-186416</v>
      </c>
      <c r="R59">
        <f t="shared" si="22"/>
        <v>22400</v>
      </c>
      <c r="S59" s="3">
        <f t="shared" si="3"/>
        <v>22400</v>
      </c>
      <c r="T59" s="3">
        <f t="shared" si="4"/>
        <v>8666</v>
      </c>
      <c r="U59">
        <f t="shared" si="5"/>
        <v>12337</v>
      </c>
      <c r="V59" s="3">
        <f t="shared" si="8"/>
        <v>22827</v>
      </c>
      <c r="W59">
        <f t="shared" si="9"/>
        <v>12000</v>
      </c>
      <c r="X59">
        <v>56</v>
      </c>
      <c r="Y59">
        <v>480</v>
      </c>
    </row>
    <row r="60" spans="1:25" x14ac:dyDescent="0.15">
      <c r="A60" s="4">
        <v>57</v>
      </c>
      <c r="B60" s="1">
        <v>55807</v>
      </c>
      <c r="C60" s="3">
        <v>16176</v>
      </c>
      <c r="D60">
        <v>25897</v>
      </c>
      <c r="E60" s="3">
        <f>INT(SUM(C$4:C59)*$K$2)</f>
        <v>197790</v>
      </c>
      <c r="F60" s="3">
        <v>998</v>
      </c>
      <c r="G60">
        <v>1142280</v>
      </c>
      <c r="H60" s="3">
        <v>998</v>
      </c>
      <c r="I60">
        <v>1142300</v>
      </c>
      <c r="J60" s="3"/>
      <c r="K60" s="3"/>
      <c r="L60">
        <v>1.2</v>
      </c>
      <c r="M60">
        <f t="shared" si="2"/>
        <v>3.5999999999999996</v>
      </c>
      <c r="N60" s="4">
        <f t="shared" si="6"/>
        <v>324645</v>
      </c>
      <c r="O60" s="3">
        <f t="shared" si="7"/>
        <v>133660</v>
      </c>
      <c r="P60" s="4">
        <f t="shared" si="0"/>
        <v>-190985</v>
      </c>
      <c r="R60">
        <f t="shared" si="22"/>
        <v>22800</v>
      </c>
      <c r="S60" s="3">
        <f t="shared" si="3"/>
        <v>22800</v>
      </c>
      <c r="T60" s="3">
        <f t="shared" si="4"/>
        <v>9641</v>
      </c>
      <c r="U60">
        <f t="shared" si="5"/>
        <v>14084</v>
      </c>
      <c r="V60" s="3">
        <f t="shared" si="8"/>
        <v>23637</v>
      </c>
      <c r="W60">
        <f t="shared" si="9"/>
        <v>12480</v>
      </c>
      <c r="X60" s="3">
        <v>57</v>
      </c>
      <c r="Y60">
        <v>480</v>
      </c>
    </row>
    <row r="61" spans="1:25" x14ac:dyDescent="0.15">
      <c r="A61" s="4">
        <v>58</v>
      </c>
      <c r="B61" s="1">
        <v>61278</v>
      </c>
      <c r="C61" s="3">
        <v>17538</v>
      </c>
      <c r="D61">
        <v>28073</v>
      </c>
      <c r="E61" s="3">
        <f>INT(SUM(C$4:C60)*$K$2)</f>
        <v>213966</v>
      </c>
      <c r="F61" s="3">
        <v>1015</v>
      </c>
      <c r="G61">
        <v>1180100</v>
      </c>
      <c r="H61" s="3">
        <v>1015</v>
      </c>
      <c r="I61">
        <v>1180100</v>
      </c>
      <c r="J61" s="3"/>
      <c r="K61" s="3"/>
      <c r="L61">
        <v>1.2</v>
      </c>
      <c r="M61">
        <f t="shared" si="2"/>
        <v>3.5999999999999996</v>
      </c>
      <c r="N61" s="4">
        <f t="shared" si="6"/>
        <v>336144</v>
      </c>
      <c r="O61" s="3">
        <f t="shared" si="7"/>
        <v>140624</v>
      </c>
      <c r="P61" s="4">
        <f t="shared" si="0"/>
        <v>-195520</v>
      </c>
      <c r="R61">
        <f t="shared" si="22"/>
        <v>23200</v>
      </c>
      <c r="S61" s="3">
        <f t="shared" si="3"/>
        <v>23200</v>
      </c>
      <c r="T61" s="3">
        <f t="shared" si="4"/>
        <v>9870</v>
      </c>
      <c r="U61">
        <f t="shared" si="5"/>
        <v>14335</v>
      </c>
      <c r="V61" s="3">
        <f t="shared" si="8"/>
        <v>24462</v>
      </c>
      <c r="W61">
        <f t="shared" si="9"/>
        <v>14256</v>
      </c>
      <c r="X61">
        <v>58</v>
      </c>
      <c r="Y61">
        <f>1488+FLOOR((A61-51)/5,1)*288</f>
        <v>1776</v>
      </c>
    </row>
    <row r="62" spans="1:25" x14ac:dyDescent="0.15">
      <c r="A62" s="4">
        <v>59</v>
      </c>
      <c r="B62" s="1">
        <v>67080</v>
      </c>
      <c r="C62" s="3">
        <v>18982</v>
      </c>
      <c r="D62">
        <v>30380</v>
      </c>
      <c r="E62" s="3">
        <f>INT(SUM(C$4:C61)*$K$2)</f>
        <v>231504</v>
      </c>
      <c r="F62" s="3">
        <v>1032</v>
      </c>
      <c r="G62">
        <v>1219340</v>
      </c>
      <c r="H62" s="3">
        <v>1033</v>
      </c>
      <c r="I62">
        <v>1219340</v>
      </c>
      <c r="J62" s="3"/>
      <c r="K62" s="3"/>
      <c r="L62">
        <v>1.2</v>
      </c>
      <c r="M62">
        <f t="shared" si="2"/>
        <v>3.5999999999999996</v>
      </c>
      <c r="N62" s="4">
        <f t="shared" si="6"/>
        <v>347843</v>
      </c>
      <c r="O62" s="3">
        <f t="shared" si="7"/>
        <v>147826</v>
      </c>
      <c r="P62" s="4">
        <f t="shared" si="0"/>
        <v>-200017</v>
      </c>
      <c r="R62">
        <f t="shared" si="22"/>
        <v>23600</v>
      </c>
      <c r="S62" s="3">
        <f t="shared" si="3"/>
        <v>23600</v>
      </c>
      <c r="T62" s="3">
        <f t="shared" si="4"/>
        <v>10103</v>
      </c>
      <c r="U62">
        <f t="shared" si="5"/>
        <v>14590</v>
      </c>
      <c r="V62" s="3">
        <f t="shared" si="8"/>
        <v>25300</v>
      </c>
      <c r="W62">
        <f t="shared" si="9"/>
        <v>14784</v>
      </c>
      <c r="X62" s="3">
        <v>59</v>
      </c>
      <c r="Y62">
        <f>480+FLOOR((A62-51)/5,1)*48</f>
        <v>528</v>
      </c>
    </row>
    <row r="63" spans="1:25" x14ac:dyDescent="0.15">
      <c r="A63" s="4">
        <v>60</v>
      </c>
      <c r="B63" s="1">
        <v>73215</v>
      </c>
      <c r="C63" s="3">
        <v>20510</v>
      </c>
      <c r="D63">
        <v>32820</v>
      </c>
      <c r="E63" s="3">
        <f>INT(SUM(C$4:C62)*$K$2)</f>
        <v>250486</v>
      </c>
      <c r="F63" s="3">
        <v>1050</v>
      </c>
      <c r="G63">
        <v>1260000</v>
      </c>
      <c r="H63" s="3">
        <v>0</v>
      </c>
      <c r="I63">
        <v>0</v>
      </c>
      <c r="J63" s="3"/>
      <c r="K63" s="3"/>
      <c r="L63">
        <v>1</v>
      </c>
      <c r="M63">
        <f t="shared" si="2"/>
        <v>4</v>
      </c>
      <c r="N63" s="4">
        <f t="shared" si="6"/>
        <v>359742</v>
      </c>
      <c r="O63" s="3">
        <f t="shared" si="7"/>
        <v>155270</v>
      </c>
      <c r="P63" s="4">
        <f t="shared" si="0"/>
        <v>-204472</v>
      </c>
      <c r="R63">
        <f t="shared" ref="R63:R72" si="23">A63*500</f>
        <v>30000</v>
      </c>
      <c r="S63" s="3">
        <f t="shared" si="3"/>
        <v>30000</v>
      </c>
      <c r="T63" s="3">
        <f t="shared" si="4"/>
        <v>10340</v>
      </c>
      <c r="U63">
        <f t="shared" si="5"/>
        <v>14968</v>
      </c>
      <c r="V63" s="3">
        <f t="shared" si="8"/>
        <v>29360</v>
      </c>
      <c r="W63">
        <f t="shared" si="9"/>
        <v>15312</v>
      </c>
      <c r="X63">
        <v>60</v>
      </c>
      <c r="Y63">
        <f t="shared" ref="Y63" si="24">480+FLOOR((A63-51)/5,1)*48</f>
        <v>528</v>
      </c>
    </row>
    <row r="64" spans="1:25" x14ac:dyDescent="0.15">
      <c r="A64" s="4">
        <v>61</v>
      </c>
      <c r="B64" s="1">
        <v>80536</v>
      </c>
      <c r="C64" s="3">
        <v>22561</v>
      </c>
      <c r="D64">
        <v>36102</v>
      </c>
      <c r="E64" s="3">
        <f>INT(SUM(C$4:C63)*$K$2)</f>
        <v>270996</v>
      </c>
      <c r="F64" s="3">
        <v>1155</v>
      </c>
      <c r="G64">
        <v>1386000</v>
      </c>
      <c r="H64" s="3">
        <v>1155</v>
      </c>
      <c r="I64">
        <v>1386000</v>
      </c>
      <c r="J64" s="3"/>
      <c r="K64" s="3"/>
      <c r="L64">
        <v>1</v>
      </c>
      <c r="M64">
        <f t="shared" si="2"/>
        <v>4</v>
      </c>
      <c r="N64" s="4">
        <f t="shared" si="6"/>
        <v>371841</v>
      </c>
      <c r="O64" s="3">
        <f t="shared" si="7"/>
        <v>162960</v>
      </c>
      <c r="P64" s="4">
        <f t="shared" si="0"/>
        <v>-208881</v>
      </c>
      <c r="R64">
        <f t="shared" si="23"/>
        <v>30500</v>
      </c>
      <c r="S64" s="3">
        <f t="shared" si="3"/>
        <v>30500</v>
      </c>
      <c r="T64" s="3">
        <f t="shared" si="4"/>
        <v>10581</v>
      </c>
      <c r="U64">
        <f t="shared" si="5"/>
        <v>15233</v>
      </c>
      <c r="V64" s="3">
        <f t="shared" si="8"/>
        <v>30324</v>
      </c>
      <c r="W64">
        <f t="shared" si="9"/>
        <v>16104</v>
      </c>
      <c r="X64" s="3">
        <v>61</v>
      </c>
      <c r="Y64">
        <v>792</v>
      </c>
    </row>
    <row r="65" spans="1:25" x14ac:dyDescent="0.15">
      <c r="A65" s="4">
        <v>62</v>
      </c>
      <c r="B65" s="1">
        <v>81131</v>
      </c>
      <c r="C65" s="3">
        <v>22670</v>
      </c>
      <c r="D65">
        <v>36277</v>
      </c>
      <c r="E65" s="3">
        <f>INT(SUM(C$4:C64)*$K$2)</f>
        <v>293557</v>
      </c>
      <c r="F65" s="3">
        <v>1187</v>
      </c>
      <c r="G65">
        <v>1387340</v>
      </c>
      <c r="H65" s="3">
        <v>1187</v>
      </c>
      <c r="I65">
        <v>1387340</v>
      </c>
      <c r="J65" s="3"/>
      <c r="K65" s="3"/>
      <c r="L65">
        <v>1</v>
      </c>
      <c r="M65">
        <f t="shared" si="2"/>
        <v>4</v>
      </c>
      <c r="N65" s="4">
        <f t="shared" si="6"/>
        <v>384140</v>
      </c>
      <c r="O65" s="3">
        <f t="shared" si="7"/>
        <v>170900</v>
      </c>
      <c r="P65" s="4">
        <f t="shared" si="0"/>
        <v>-213240</v>
      </c>
      <c r="R65">
        <f t="shared" si="23"/>
        <v>31000</v>
      </c>
      <c r="S65" s="3">
        <f t="shared" si="3"/>
        <v>31000</v>
      </c>
      <c r="T65" s="3">
        <f t="shared" si="4"/>
        <v>10826</v>
      </c>
      <c r="U65">
        <f t="shared" si="5"/>
        <v>15502</v>
      </c>
      <c r="V65" s="3">
        <f t="shared" si="8"/>
        <v>31304</v>
      </c>
      <c r="W65">
        <f t="shared" si="9"/>
        <v>16896</v>
      </c>
      <c r="X65">
        <v>62</v>
      </c>
      <c r="Y65">
        <v>792</v>
      </c>
    </row>
    <row r="66" spans="1:25" x14ac:dyDescent="0.15">
      <c r="A66" s="4">
        <v>63</v>
      </c>
      <c r="B66" s="1">
        <v>82916</v>
      </c>
      <c r="C66" s="3">
        <v>22998</v>
      </c>
      <c r="D66">
        <v>36802</v>
      </c>
      <c r="E66" s="3">
        <f>INT(SUM(C$4:C65)*$K$2)</f>
        <v>316227</v>
      </c>
      <c r="F66" s="3">
        <v>1220</v>
      </c>
      <c r="G66">
        <v>1391420</v>
      </c>
      <c r="H66" s="3">
        <v>1220</v>
      </c>
      <c r="I66">
        <v>1391420</v>
      </c>
      <c r="J66" s="3"/>
      <c r="K66" s="3"/>
      <c r="L66">
        <v>1</v>
      </c>
      <c r="M66">
        <f t="shared" si="2"/>
        <v>4</v>
      </c>
      <c r="N66" s="4">
        <f t="shared" si="6"/>
        <v>396639</v>
      </c>
      <c r="O66" s="3">
        <f t="shared" si="7"/>
        <v>179094</v>
      </c>
      <c r="P66" s="4">
        <f t="shared" si="0"/>
        <v>-217545</v>
      </c>
      <c r="R66">
        <f t="shared" si="23"/>
        <v>31500</v>
      </c>
      <c r="S66" s="3">
        <f t="shared" si="3"/>
        <v>31500</v>
      </c>
      <c r="T66" s="3">
        <f t="shared" si="4"/>
        <v>11075</v>
      </c>
      <c r="U66">
        <f t="shared" si="5"/>
        <v>15775</v>
      </c>
      <c r="V66" s="3">
        <f t="shared" si="8"/>
        <v>32300</v>
      </c>
      <c r="W66">
        <f t="shared" si="9"/>
        <v>19296</v>
      </c>
      <c r="X66" s="3">
        <v>63</v>
      </c>
      <c r="Y66">
        <v>2400</v>
      </c>
    </row>
    <row r="67" spans="1:25" x14ac:dyDescent="0.15">
      <c r="A67" s="4">
        <v>64</v>
      </c>
      <c r="B67" s="1">
        <v>85891</v>
      </c>
      <c r="C67" s="3">
        <v>23545</v>
      </c>
      <c r="D67">
        <v>37677</v>
      </c>
      <c r="E67" s="3">
        <f>INT(SUM(C$4:C66)*$K$2)</f>
        <v>339225</v>
      </c>
      <c r="F67" s="3">
        <v>1253</v>
      </c>
      <c r="G67">
        <v>1398180</v>
      </c>
      <c r="H67" s="3">
        <v>1253</v>
      </c>
      <c r="I67">
        <v>1398180</v>
      </c>
      <c r="J67" s="3"/>
      <c r="K67" s="3"/>
      <c r="L67">
        <v>1</v>
      </c>
      <c r="M67">
        <f t="shared" si="2"/>
        <v>4</v>
      </c>
      <c r="N67" s="4">
        <f t="shared" si="6"/>
        <v>409338</v>
      </c>
      <c r="O67" s="3">
        <f t="shared" si="7"/>
        <v>187546</v>
      </c>
      <c r="P67" s="4">
        <f t="shared" si="0"/>
        <v>-221792</v>
      </c>
      <c r="R67">
        <f t="shared" si="23"/>
        <v>32000</v>
      </c>
      <c r="S67" s="3">
        <f t="shared" si="3"/>
        <v>32000</v>
      </c>
      <c r="T67" s="3">
        <f t="shared" si="4"/>
        <v>11328</v>
      </c>
      <c r="U67">
        <f t="shared" si="5"/>
        <v>16052</v>
      </c>
      <c r="V67" s="3">
        <f t="shared" si="8"/>
        <v>33312</v>
      </c>
      <c r="W67">
        <f t="shared" si="9"/>
        <v>20160</v>
      </c>
      <c r="X67">
        <v>64</v>
      </c>
      <c r="Y67">
        <v>864</v>
      </c>
    </row>
    <row r="68" spans="1:25" x14ac:dyDescent="0.15">
      <c r="A68" s="4">
        <v>65</v>
      </c>
      <c r="B68" s="1">
        <v>90056</v>
      </c>
      <c r="C68" s="3">
        <v>24311</v>
      </c>
      <c r="D68">
        <v>38902</v>
      </c>
      <c r="E68" s="3">
        <f>INT(SUM(C$4:C67)*$K$2)</f>
        <v>362770</v>
      </c>
      <c r="F68" s="3">
        <v>1286</v>
      </c>
      <c r="G68">
        <v>1407680</v>
      </c>
      <c r="H68" s="3">
        <v>1286</v>
      </c>
      <c r="I68">
        <v>1407680</v>
      </c>
      <c r="J68" s="3"/>
      <c r="K68" s="3"/>
      <c r="L68">
        <v>1</v>
      </c>
      <c r="M68">
        <f t="shared" si="2"/>
        <v>4</v>
      </c>
      <c r="N68" s="4">
        <f t="shared" si="6"/>
        <v>422237</v>
      </c>
      <c r="O68" s="3">
        <f t="shared" si="7"/>
        <v>196260</v>
      </c>
      <c r="P68" s="4">
        <f t="shared" ref="P68:P131" si="25">O68-N68</f>
        <v>-225977</v>
      </c>
      <c r="R68">
        <f t="shared" si="23"/>
        <v>32500</v>
      </c>
      <c r="S68" s="3">
        <f t="shared" si="3"/>
        <v>32500</v>
      </c>
      <c r="T68" s="3">
        <f t="shared" si="4"/>
        <v>12435</v>
      </c>
      <c r="U68">
        <f t="shared" si="5"/>
        <v>18162</v>
      </c>
      <c r="V68" s="3">
        <f t="shared" si="8"/>
        <v>34340</v>
      </c>
      <c r="W68">
        <f t="shared" si="9"/>
        <v>21024</v>
      </c>
      <c r="X68" s="3">
        <v>65</v>
      </c>
      <c r="Y68">
        <v>864</v>
      </c>
    </row>
    <row r="69" spans="1:25" x14ac:dyDescent="0.15">
      <c r="A69" s="4">
        <v>66</v>
      </c>
      <c r="B69" s="1">
        <v>95410</v>
      </c>
      <c r="C69" s="3">
        <v>25295</v>
      </c>
      <c r="D69">
        <v>40477</v>
      </c>
      <c r="E69" s="3">
        <f>INT(SUM(C$4:C68)*$K$2)</f>
        <v>387081</v>
      </c>
      <c r="F69" s="3">
        <v>1318</v>
      </c>
      <c r="G69">
        <v>1419880</v>
      </c>
      <c r="H69" s="3">
        <v>1318</v>
      </c>
      <c r="I69">
        <v>1419880</v>
      </c>
      <c r="J69" s="3"/>
      <c r="K69" s="3"/>
      <c r="L69">
        <v>1</v>
      </c>
      <c r="M69">
        <f t="shared" ref="M69:M132" si="26">(FLOOR(A69/20,1)+1)*L69</f>
        <v>4</v>
      </c>
      <c r="N69" s="4">
        <f t="shared" si="6"/>
        <v>435336</v>
      </c>
      <c r="O69" s="3">
        <f t="shared" si="7"/>
        <v>205240</v>
      </c>
      <c r="P69" s="4">
        <f t="shared" si="25"/>
        <v>-230096</v>
      </c>
      <c r="R69">
        <f t="shared" si="23"/>
        <v>33000</v>
      </c>
      <c r="S69" s="3">
        <f t="shared" ref="S69:S132" si="27">R69</f>
        <v>33000</v>
      </c>
      <c r="T69" s="3">
        <f t="shared" ref="T69:T132" si="28">$T$4*POWER(ROUNDUP($A69/8,0),2)+($A69+$A68)*$A69</f>
        <v>12696</v>
      </c>
      <c r="U69">
        <f t="shared" ref="U69:U132" si="29">$U$4*POWER(ROUNDUP($A69/8,0),2)+($A69+$A68)*($A69+INT($A69/5))</f>
        <v>18449</v>
      </c>
      <c r="V69" s="3">
        <f t="shared" si="8"/>
        <v>35384</v>
      </c>
      <c r="W69">
        <f t="shared" si="9"/>
        <v>23712</v>
      </c>
      <c r="X69">
        <v>66</v>
      </c>
      <c r="Y69">
        <v>2688</v>
      </c>
    </row>
    <row r="70" spans="1:25" x14ac:dyDescent="0.15">
      <c r="A70" s="4">
        <v>67</v>
      </c>
      <c r="B70" s="1">
        <v>101955</v>
      </c>
      <c r="C70" s="3">
        <v>26499</v>
      </c>
      <c r="D70">
        <v>42402</v>
      </c>
      <c r="E70" s="3">
        <f>INT(SUM(C$4:C69)*$K$2)</f>
        <v>412376</v>
      </c>
      <c r="F70" s="3">
        <v>1351</v>
      </c>
      <c r="G70">
        <v>1434780</v>
      </c>
      <c r="H70" s="3">
        <v>1351</v>
      </c>
      <c r="I70">
        <v>1434780</v>
      </c>
      <c r="J70" s="3"/>
      <c r="K70" s="3"/>
      <c r="L70">
        <v>1</v>
      </c>
      <c r="M70">
        <f t="shared" si="26"/>
        <v>4</v>
      </c>
      <c r="N70" s="4">
        <f t="shared" ref="N70:N133" si="30">A70*A69*100+A68*99</f>
        <v>448635</v>
      </c>
      <c r="O70" s="3">
        <f t="shared" ref="O70:O133" si="31">O69+POWER($A70+2,2)+POWER($A69+1,2)</f>
        <v>214490</v>
      </c>
      <c r="P70" s="4">
        <f t="shared" si="25"/>
        <v>-234145</v>
      </c>
      <c r="R70">
        <f t="shared" si="23"/>
        <v>33500</v>
      </c>
      <c r="S70" s="3">
        <f t="shared" si="27"/>
        <v>33500</v>
      </c>
      <c r="T70" s="3">
        <f t="shared" si="28"/>
        <v>12961</v>
      </c>
      <c r="U70">
        <f t="shared" si="29"/>
        <v>18740</v>
      </c>
      <c r="V70" s="3">
        <f t="shared" ref="V70:V133" si="32">FLOOR($V$4*POWER(FLOOR($A70/20,1)+1,2)+($A70+$A69)*$A70*M70,1)</f>
        <v>36444</v>
      </c>
      <c r="W70">
        <f t="shared" ref="W70:W133" si="33">FLOOR(W69+Y70,1)</f>
        <v>24648</v>
      </c>
      <c r="X70" s="3">
        <v>67</v>
      </c>
      <c r="Y70">
        <v>936</v>
      </c>
    </row>
    <row r="71" spans="1:25" x14ac:dyDescent="0.15">
      <c r="A71" s="4">
        <v>68</v>
      </c>
      <c r="B71" s="1">
        <v>109690</v>
      </c>
      <c r="C71" s="3">
        <v>27921</v>
      </c>
      <c r="D71">
        <v>44677</v>
      </c>
      <c r="E71" s="3">
        <f>INT(SUM(C$4:C70)*$K$2)</f>
        <v>438875</v>
      </c>
      <c r="F71" s="3">
        <v>1384</v>
      </c>
      <c r="G71">
        <v>1452420</v>
      </c>
      <c r="H71" s="3">
        <v>1384</v>
      </c>
      <c r="I71">
        <v>1452420</v>
      </c>
      <c r="J71" s="3"/>
      <c r="K71" s="3"/>
      <c r="L71">
        <v>1</v>
      </c>
      <c r="M71">
        <f t="shared" si="26"/>
        <v>4</v>
      </c>
      <c r="N71" s="4">
        <f t="shared" si="30"/>
        <v>462134</v>
      </c>
      <c r="O71" s="3">
        <f t="shared" si="31"/>
        <v>224014</v>
      </c>
      <c r="P71" s="4">
        <f t="shared" si="25"/>
        <v>-238120</v>
      </c>
      <c r="R71">
        <f t="shared" si="23"/>
        <v>34000</v>
      </c>
      <c r="S71" s="3">
        <f t="shared" si="27"/>
        <v>34000</v>
      </c>
      <c r="T71" s="3">
        <f t="shared" si="28"/>
        <v>13230</v>
      </c>
      <c r="U71">
        <f t="shared" si="29"/>
        <v>19035</v>
      </c>
      <c r="V71" s="3">
        <f t="shared" si="32"/>
        <v>37520</v>
      </c>
      <c r="W71">
        <f t="shared" si="33"/>
        <v>27552</v>
      </c>
      <c r="X71">
        <v>68</v>
      </c>
      <c r="Y71">
        <v>2904</v>
      </c>
    </row>
    <row r="72" spans="1:25" x14ac:dyDescent="0.15">
      <c r="A72" s="4">
        <v>69</v>
      </c>
      <c r="B72" s="1">
        <v>118614</v>
      </c>
      <c r="C72" s="3">
        <v>29561</v>
      </c>
      <c r="D72">
        <v>47302</v>
      </c>
      <c r="E72" s="3">
        <f>INT(SUM(C$4:C71)*$K$2)</f>
        <v>466796</v>
      </c>
      <c r="F72" s="3">
        <v>1417</v>
      </c>
      <c r="G72">
        <v>1472740</v>
      </c>
      <c r="H72" s="3">
        <v>1417</v>
      </c>
      <c r="I72">
        <v>1472740</v>
      </c>
      <c r="J72" s="3"/>
      <c r="K72" s="3"/>
      <c r="L72">
        <v>1</v>
      </c>
      <c r="M72">
        <f t="shared" si="26"/>
        <v>4</v>
      </c>
      <c r="N72" s="4">
        <f t="shared" si="30"/>
        <v>475833</v>
      </c>
      <c r="O72" s="3">
        <f t="shared" si="31"/>
        <v>233816</v>
      </c>
      <c r="P72" s="4">
        <f t="shared" si="25"/>
        <v>-242017</v>
      </c>
      <c r="R72">
        <f t="shared" si="23"/>
        <v>34500</v>
      </c>
      <c r="S72" s="3">
        <f t="shared" si="27"/>
        <v>34500</v>
      </c>
      <c r="T72" s="3">
        <f t="shared" si="28"/>
        <v>13503</v>
      </c>
      <c r="U72">
        <f t="shared" si="29"/>
        <v>19334</v>
      </c>
      <c r="V72" s="3">
        <f t="shared" si="32"/>
        <v>38612</v>
      </c>
      <c r="W72">
        <f t="shared" si="33"/>
        <v>28560</v>
      </c>
      <c r="X72" s="3">
        <v>69</v>
      </c>
      <c r="Y72">
        <v>1008</v>
      </c>
    </row>
    <row r="73" spans="1:25" x14ac:dyDescent="0.15">
      <c r="A73" s="4">
        <v>70</v>
      </c>
      <c r="B73" s="1">
        <v>128729</v>
      </c>
      <c r="C73" s="3">
        <v>31421</v>
      </c>
      <c r="D73">
        <v>50278</v>
      </c>
      <c r="E73" s="3">
        <f>INT(SUM(C$4:C72)*$K$2)</f>
        <v>496357</v>
      </c>
      <c r="F73" s="3">
        <v>1449</v>
      </c>
      <c r="G73">
        <v>1495780</v>
      </c>
      <c r="H73" s="3">
        <v>1449</v>
      </c>
      <c r="I73">
        <v>1495780</v>
      </c>
      <c r="J73" s="3"/>
      <c r="K73" s="3"/>
      <c r="L73">
        <v>1</v>
      </c>
      <c r="M73">
        <f t="shared" si="26"/>
        <v>4</v>
      </c>
      <c r="N73" s="4">
        <f t="shared" si="30"/>
        <v>489732</v>
      </c>
      <c r="O73" s="3">
        <f t="shared" si="31"/>
        <v>243900</v>
      </c>
      <c r="P73" s="4">
        <f t="shared" si="25"/>
        <v>-245832</v>
      </c>
      <c r="R73">
        <f t="shared" ref="R73:R82" si="34">A73*600</f>
        <v>42000</v>
      </c>
      <c r="S73" s="3">
        <f t="shared" si="27"/>
        <v>42000</v>
      </c>
      <c r="T73" s="3">
        <f t="shared" si="28"/>
        <v>13780</v>
      </c>
      <c r="U73">
        <f t="shared" si="29"/>
        <v>19776</v>
      </c>
      <c r="V73" s="3">
        <f t="shared" si="32"/>
        <v>39720</v>
      </c>
      <c r="W73">
        <f t="shared" si="33"/>
        <v>29568</v>
      </c>
      <c r="X73">
        <v>70</v>
      </c>
      <c r="Y73">
        <v>1008</v>
      </c>
    </row>
    <row r="74" spans="1:25" x14ac:dyDescent="0.15">
      <c r="A74" s="4">
        <v>71</v>
      </c>
      <c r="B74" s="1">
        <v>140033</v>
      </c>
      <c r="C74" s="3">
        <v>33500</v>
      </c>
      <c r="D74">
        <v>53603</v>
      </c>
      <c r="E74" s="3">
        <f>INT(SUM(C$4:C73)*$K$2)</f>
        <v>527778</v>
      </c>
      <c r="F74" s="3">
        <v>1482</v>
      </c>
      <c r="G74">
        <v>1521540</v>
      </c>
      <c r="H74" s="3">
        <v>1482</v>
      </c>
      <c r="I74">
        <v>1521540</v>
      </c>
      <c r="J74" s="3"/>
      <c r="K74" s="3"/>
      <c r="L74">
        <v>1</v>
      </c>
      <c r="M74">
        <f t="shared" si="26"/>
        <v>4</v>
      </c>
      <c r="N74" s="4">
        <f t="shared" si="30"/>
        <v>503831</v>
      </c>
      <c r="O74" s="3">
        <f t="shared" si="31"/>
        <v>254270</v>
      </c>
      <c r="P74" s="4">
        <f t="shared" si="25"/>
        <v>-249561</v>
      </c>
      <c r="R74">
        <f t="shared" si="34"/>
        <v>42600</v>
      </c>
      <c r="S74" s="3">
        <f t="shared" si="27"/>
        <v>42600</v>
      </c>
      <c r="T74" s="3">
        <f t="shared" si="28"/>
        <v>14061</v>
      </c>
      <c r="U74">
        <f t="shared" si="29"/>
        <v>20085</v>
      </c>
      <c r="V74" s="3">
        <f t="shared" si="32"/>
        <v>40844</v>
      </c>
      <c r="W74">
        <f t="shared" si="33"/>
        <v>30912</v>
      </c>
      <c r="X74" s="3">
        <v>71</v>
      </c>
      <c r="Y74">
        <v>1344</v>
      </c>
    </row>
    <row r="75" spans="1:25" x14ac:dyDescent="0.15">
      <c r="A75" s="4">
        <v>72</v>
      </c>
      <c r="B75" s="1">
        <v>152528</v>
      </c>
      <c r="C75" s="3">
        <v>35797</v>
      </c>
      <c r="D75">
        <v>57278</v>
      </c>
      <c r="E75" s="3">
        <f>INT(SUM(C$4:C74)*$K$2)</f>
        <v>561278</v>
      </c>
      <c r="F75" s="3">
        <v>1515</v>
      </c>
      <c r="G75">
        <v>1550000</v>
      </c>
      <c r="H75" s="3">
        <v>1515</v>
      </c>
      <c r="I75">
        <v>1550000</v>
      </c>
      <c r="J75" s="3"/>
      <c r="K75" s="3"/>
      <c r="L75">
        <v>1</v>
      </c>
      <c r="M75">
        <f t="shared" si="26"/>
        <v>4</v>
      </c>
      <c r="N75" s="4">
        <f t="shared" si="30"/>
        <v>518130</v>
      </c>
      <c r="O75" s="3">
        <f t="shared" si="31"/>
        <v>264930</v>
      </c>
      <c r="P75" s="4">
        <f t="shared" si="25"/>
        <v>-253200</v>
      </c>
      <c r="R75">
        <f t="shared" si="34"/>
        <v>43200</v>
      </c>
      <c r="S75" s="3">
        <f t="shared" si="27"/>
        <v>43200</v>
      </c>
      <c r="T75" s="3">
        <f t="shared" si="28"/>
        <v>14346</v>
      </c>
      <c r="U75">
        <f t="shared" si="29"/>
        <v>20398</v>
      </c>
      <c r="V75" s="3">
        <f t="shared" si="32"/>
        <v>41984</v>
      </c>
      <c r="W75">
        <f t="shared" si="33"/>
        <v>32256</v>
      </c>
      <c r="X75">
        <v>72</v>
      </c>
      <c r="Y75">
        <v>1344</v>
      </c>
    </row>
    <row r="76" spans="1:25" x14ac:dyDescent="0.15">
      <c r="A76" s="4">
        <v>73</v>
      </c>
      <c r="B76" s="1">
        <v>166212</v>
      </c>
      <c r="C76" s="3">
        <v>38313</v>
      </c>
      <c r="D76">
        <v>61303</v>
      </c>
      <c r="E76" s="3">
        <f>INT(SUM(C$4:C75)*$K$2)</f>
        <v>597075</v>
      </c>
      <c r="F76" s="3">
        <v>1548</v>
      </c>
      <c r="G76">
        <v>1581180</v>
      </c>
      <c r="H76" s="3">
        <v>1548</v>
      </c>
      <c r="I76">
        <v>1581180</v>
      </c>
      <c r="J76" s="3"/>
      <c r="K76" s="3"/>
      <c r="L76">
        <v>1</v>
      </c>
      <c r="M76">
        <f t="shared" si="26"/>
        <v>4</v>
      </c>
      <c r="N76" s="4">
        <f t="shared" si="30"/>
        <v>532629</v>
      </c>
      <c r="O76" s="3">
        <f t="shared" si="31"/>
        <v>275884</v>
      </c>
      <c r="P76" s="4">
        <f t="shared" si="25"/>
        <v>-256745</v>
      </c>
      <c r="R76">
        <f t="shared" si="34"/>
        <v>43800</v>
      </c>
      <c r="S76" s="3">
        <f t="shared" si="27"/>
        <v>43800</v>
      </c>
      <c r="T76" s="3">
        <f t="shared" si="28"/>
        <v>15585</v>
      </c>
      <c r="U76">
        <f t="shared" si="29"/>
        <v>22615</v>
      </c>
      <c r="V76" s="3">
        <f t="shared" si="32"/>
        <v>43140</v>
      </c>
      <c r="W76">
        <f t="shared" si="33"/>
        <v>36000</v>
      </c>
      <c r="X76" s="3">
        <v>73</v>
      </c>
      <c r="Y76">
        <v>3744</v>
      </c>
    </row>
    <row r="77" spans="1:25" x14ac:dyDescent="0.15">
      <c r="A77" s="4">
        <v>74</v>
      </c>
      <c r="B77" s="1">
        <v>181086</v>
      </c>
      <c r="C77" s="3">
        <v>41048</v>
      </c>
      <c r="D77">
        <v>65679</v>
      </c>
      <c r="E77" s="3">
        <f>INT(SUM(C$4:C76)*$K$2)</f>
        <v>635388</v>
      </c>
      <c r="F77" s="3">
        <v>1580</v>
      </c>
      <c r="G77">
        <v>1615080</v>
      </c>
      <c r="H77" s="3">
        <v>1580</v>
      </c>
      <c r="I77">
        <v>1615080</v>
      </c>
      <c r="J77" s="3"/>
      <c r="K77" s="3"/>
      <c r="L77">
        <v>1</v>
      </c>
      <c r="M77">
        <f t="shared" si="26"/>
        <v>4</v>
      </c>
      <c r="N77" s="4">
        <f t="shared" si="30"/>
        <v>547328</v>
      </c>
      <c r="O77" s="3">
        <f t="shared" si="31"/>
        <v>287136</v>
      </c>
      <c r="P77" s="4">
        <f t="shared" si="25"/>
        <v>-260192</v>
      </c>
      <c r="R77">
        <f t="shared" si="34"/>
        <v>44400</v>
      </c>
      <c r="S77" s="3">
        <f t="shared" si="27"/>
        <v>44400</v>
      </c>
      <c r="T77" s="3">
        <f t="shared" si="28"/>
        <v>15878</v>
      </c>
      <c r="U77">
        <f t="shared" si="29"/>
        <v>22936</v>
      </c>
      <c r="V77" s="3">
        <f t="shared" si="32"/>
        <v>44312</v>
      </c>
      <c r="W77">
        <f t="shared" si="33"/>
        <v>37440</v>
      </c>
      <c r="X77">
        <v>74</v>
      </c>
      <c r="Y77">
        <v>1440</v>
      </c>
    </row>
    <row r="78" spans="1:25" x14ac:dyDescent="0.15">
      <c r="A78" s="4">
        <v>75</v>
      </c>
      <c r="B78" s="1">
        <v>197151</v>
      </c>
      <c r="C78" s="3">
        <v>44001</v>
      </c>
      <c r="D78">
        <v>70404</v>
      </c>
      <c r="E78" s="3">
        <f>INT(SUM(C$4:C77)*$K$2)</f>
        <v>676436</v>
      </c>
      <c r="F78" s="3">
        <v>1613</v>
      </c>
      <c r="G78">
        <v>1651680</v>
      </c>
      <c r="H78" s="3">
        <v>1613</v>
      </c>
      <c r="I78">
        <v>1651680</v>
      </c>
      <c r="J78" s="3"/>
      <c r="K78" s="3"/>
      <c r="L78">
        <v>1</v>
      </c>
      <c r="M78">
        <f t="shared" si="26"/>
        <v>4</v>
      </c>
      <c r="N78" s="4">
        <f t="shared" si="30"/>
        <v>562227</v>
      </c>
      <c r="O78" s="3">
        <f t="shared" si="31"/>
        <v>298690</v>
      </c>
      <c r="P78" s="4">
        <f t="shared" si="25"/>
        <v>-263537</v>
      </c>
      <c r="R78">
        <f t="shared" si="34"/>
        <v>45000</v>
      </c>
      <c r="S78" s="3">
        <f t="shared" si="27"/>
        <v>45000</v>
      </c>
      <c r="T78" s="3">
        <f t="shared" si="28"/>
        <v>16175</v>
      </c>
      <c r="U78">
        <f t="shared" si="29"/>
        <v>23410</v>
      </c>
      <c r="V78" s="3">
        <f t="shared" si="32"/>
        <v>45500</v>
      </c>
      <c r="W78">
        <f t="shared" si="33"/>
        <v>38880</v>
      </c>
      <c r="X78" s="3">
        <v>75</v>
      </c>
      <c r="Y78">
        <v>1440</v>
      </c>
    </row>
    <row r="79" spans="1:25" x14ac:dyDescent="0.15">
      <c r="A79" s="4">
        <v>76</v>
      </c>
      <c r="B79" s="1">
        <v>214405</v>
      </c>
      <c r="C79" s="3">
        <v>47173</v>
      </c>
      <c r="D79">
        <v>75480</v>
      </c>
      <c r="E79" s="3">
        <f>INT(SUM(C$4:C78)*$K$2)</f>
        <v>720437</v>
      </c>
      <c r="F79" s="3">
        <v>1646</v>
      </c>
      <c r="G79">
        <v>1690980</v>
      </c>
      <c r="H79" s="3">
        <v>1646</v>
      </c>
      <c r="I79">
        <v>1690980</v>
      </c>
      <c r="J79" s="3"/>
      <c r="K79" s="3"/>
      <c r="L79">
        <v>1</v>
      </c>
      <c r="M79">
        <f t="shared" si="26"/>
        <v>4</v>
      </c>
      <c r="N79" s="4">
        <f t="shared" si="30"/>
        <v>577326</v>
      </c>
      <c r="O79" s="3">
        <f t="shared" si="31"/>
        <v>310550</v>
      </c>
      <c r="P79" s="4">
        <f t="shared" si="25"/>
        <v>-266776</v>
      </c>
      <c r="R79">
        <f t="shared" si="34"/>
        <v>45600</v>
      </c>
      <c r="S79" s="3">
        <f t="shared" si="27"/>
        <v>45600</v>
      </c>
      <c r="T79" s="3">
        <f t="shared" si="28"/>
        <v>16476</v>
      </c>
      <c r="U79">
        <f t="shared" si="29"/>
        <v>23741</v>
      </c>
      <c r="V79" s="3">
        <f t="shared" si="32"/>
        <v>46704</v>
      </c>
      <c r="W79">
        <f t="shared" si="33"/>
        <v>40320</v>
      </c>
      <c r="X79">
        <v>76</v>
      </c>
      <c r="Y79">
        <v>1440</v>
      </c>
    </row>
    <row r="80" spans="1:25" x14ac:dyDescent="0.15">
      <c r="A80" s="4">
        <v>77</v>
      </c>
      <c r="B80" s="1">
        <v>232849</v>
      </c>
      <c r="C80" s="3">
        <v>50564</v>
      </c>
      <c r="D80">
        <v>80905</v>
      </c>
      <c r="E80" s="3">
        <f>INT(SUM(C$4:C79)*$K$2)</f>
        <v>767610</v>
      </c>
      <c r="F80" s="3">
        <v>1679</v>
      </c>
      <c r="G80">
        <v>1733000</v>
      </c>
      <c r="H80" s="3">
        <v>1679</v>
      </c>
      <c r="I80">
        <v>1733000</v>
      </c>
      <c r="J80" s="3"/>
      <c r="K80" s="3"/>
      <c r="L80">
        <v>1</v>
      </c>
      <c r="M80">
        <f t="shared" si="26"/>
        <v>4</v>
      </c>
      <c r="N80" s="4">
        <f t="shared" si="30"/>
        <v>592625</v>
      </c>
      <c r="O80" s="3">
        <f t="shared" si="31"/>
        <v>322720</v>
      </c>
      <c r="P80" s="4">
        <f t="shared" si="25"/>
        <v>-269905</v>
      </c>
      <c r="R80">
        <f t="shared" si="34"/>
        <v>46200</v>
      </c>
      <c r="S80" s="3">
        <f t="shared" si="27"/>
        <v>46200</v>
      </c>
      <c r="T80" s="3">
        <f t="shared" si="28"/>
        <v>16781</v>
      </c>
      <c r="U80">
        <f t="shared" si="29"/>
        <v>24076</v>
      </c>
      <c r="V80" s="3">
        <f t="shared" si="32"/>
        <v>47924</v>
      </c>
      <c r="W80">
        <f t="shared" si="33"/>
        <v>41760</v>
      </c>
      <c r="X80" s="3">
        <v>77</v>
      </c>
      <c r="Y80">
        <v>1440</v>
      </c>
    </row>
    <row r="81" spans="1:25" x14ac:dyDescent="0.15">
      <c r="A81" s="4">
        <v>78</v>
      </c>
      <c r="B81" s="1">
        <v>252483</v>
      </c>
      <c r="C81" s="3">
        <v>54174</v>
      </c>
      <c r="D81">
        <v>86681</v>
      </c>
      <c r="E81" s="3">
        <f>INT(SUM(C$4:C80)*$K$2)</f>
        <v>818174</v>
      </c>
      <c r="F81" s="3">
        <v>1711</v>
      </c>
      <c r="G81">
        <v>1777740</v>
      </c>
      <c r="H81" s="3">
        <v>1711</v>
      </c>
      <c r="I81">
        <v>1777740</v>
      </c>
      <c r="J81" s="3"/>
      <c r="K81" s="3"/>
      <c r="L81">
        <v>1</v>
      </c>
      <c r="M81">
        <f t="shared" si="26"/>
        <v>4</v>
      </c>
      <c r="N81" s="4">
        <f t="shared" si="30"/>
        <v>608124</v>
      </c>
      <c r="O81" s="3">
        <f t="shared" si="31"/>
        <v>335204</v>
      </c>
      <c r="P81" s="4">
        <f t="shared" si="25"/>
        <v>-272920</v>
      </c>
      <c r="R81">
        <f t="shared" si="34"/>
        <v>46800</v>
      </c>
      <c r="S81" s="3">
        <f t="shared" si="27"/>
        <v>46800</v>
      </c>
      <c r="T81" s="3">
        <f t="shared" si="28"/>
        <v>17090</v>
      </c>
      <c r="U81">
        <f t="shared" si="29"/>
        <v>24415</v>
      </c>
      <c r="V81" s="3">
        <f t="shared" si="32"/>
        <v>49160</v>
      </c>
      <c r="W81">
        <f t="shared" si="33"/>
        <v>46080</v>
      </c>
      <c r="X81">
        <v>78</v>
      </c>
      <c r="Y81">
        <v>4320</v>
      </c>
    </row>
    <row r="82" spans="1:25" x14ac:dyDescent="0.15">
      <c r="A82" s="4">
        <v>79</v>
      </c>
      <c r="B82" s="1">
        <v>273307</v>
      </c>
      <c r="C82" s="3">
        <v>58003</v>
      </c>
      <c r="D82">
        <v>92806</v>
      </c>
      <c r="E82" s="3">
        <f>INT(SUM(C$4:C81)*$K$2)</f>
        <v>872348</v>
      </c>
      <c r="F82" s="3">
        <v>1744</v>
      </c>
      <c r="G82">
        <v>1825180</v>
      </c>
      <c r="H82" s="3">
        <v>1744</v>
      </c>
      <c r="I82">
        <v>1825180</v>
      </c>
      <c r="J82" s="3"/>
      <c r="K82" s="3"/>
      <c r="L82">
        <v>1</v>
      </c>
      <c r="M82">
        <f t="shared" si="26"/>
        <v>4</v>
      </c>
      <c r="N82" s="4">
        <f t="shared" si="30"/>
        <v>623823</v>
      </c>
      <c r="O82" s="3">
        <f t="shared" si="31"/>
        <v>348006</v>
      </c>
      <c r="P82" s="4">
        <f t="shared" si="25"/>
        <v>-275817</v>
      </c>
      <c r="R82">
        <f t="shared" si="34"/>
        <v>47400</v>
      </c>
      <c r="S82" s="3">
        <f t="shared" si="27"/>
        <v>47400</v>
      </c>
      <c r="T82" s="3">
        <f t="shared" si="28"/>
        <v>17403</v>
      </c>
      <c r="U82">
        <f t="shared" si="29"/>
        <v>24758</v>
      </c>
      <c r="V82" s="3">
        <f t="shared" si="32"/>
        <v>50412</v>
      </c>
      <c r="W82">
        <f t="shared" si="33"/>
        <v>47616</v>
      </c>
      <c r="X82" s="3">
        <v>79</v>
      </c>
      <c r="Y82">
        <v>1536</v>
      </c>
    </row>
    <row r="83" spans="1:25" x14ac:dyDescent="0.15">
      <c r="A83" s="4">
        <v>80</v>
      </c>
      <c r="B83" s="1">
        <v>295321</v>
      </c>
      <c r="C83" s="3">
        <v>62051</v>
      </c>
      <c r="D83">
        <v>99282</v>
      </c>
      <c r="E83" s="3">
        <f>INT(SUM(C$4:C82)*$K$2)</f>
        <v>930351</v>
      </c>
      <c r="F83" s="3">
        <v>1777</v>
      </c>
      <c r="G83">
        <v>1875340</v>
      </c>
      <c r="H83" s="3">
        <v>1777</v>
      </c>
      <c r="I83">
        <v>1875340</v>
      </c>
      <c r="J83" s="3"/>
      <c r="K83" s="3"/>
      <c r="L83">
        <v>1.1000000000000001</v>
      </c>
      <c r="M83">
        <f t="shared" si="26"/>
        <v>5.5</v>
      </c>
      <c r="N83" s="4">
        <f t="shared" si="30"/>
        <v>639722</v>
      </c>
      <c r="O83" s="3">
        <f t="shared" si="31"/>
        <v>361130</v>
      </c>
      <c r="P83" s="4">
        <f t="shared" si="25"/>
        <v>-278592</v>
      </c>
      <c r="R83">
        <f t="shared" ref="R83:R92" si="35">A83*800</f>
        <v>64000</v>
      </c>
      <c r="S83" s="3">
        <f t="shared" si="27"/>
        <v>64000</v>
      </c>
      <c r="T83" s="3">
        <f t="shared" si="28"/>
        <v>17720</v>
      </c>
      <c r="U83">
        <f t="shared" si="29"/>
        <v>25264</v>
      </c>
      <c r="V83" s="3">
        <f t="shared" si="32"/>
        <v>71210</v>
      </c>
      <c r="W83">
        <f t="shared" si="33"/>
        <v>49152</v>
      </c>
      <c r="X83">
        <v>80</v>
      </c>
      <c r="Y83">
        <v>1536</v>
      </c>
    </row>
    <row r="84" spans="1:25" x14ac:dyDescent="0.15">
      <c r="A84" s="4">
        <v>81</v>
      </c>
      <c r="B84" s="1">
        <v>324853</v>
      </c>
      <c r="C84" s="3">
        <v>68256</v>
      </c>
      <c r="D84">
        <v>109210</v>
      </c>
      <c r="E84" s="3">
        <f>INT(SUM(C$4:C83)*$K$2)</f>
        <v>992402</v>
      </c>
      <c r="F84" s="3">
        <v>1810</v>
      </c>
      <c r="G84">
        <v>1928200</v>
      </c>
      <c r="H84" s="3">
        <v>1810</v>
      </c>
      <c r="I84">
        <v>1928200</v>
      </c>
      <c r="J84" s="3"/>
      <c r="K84" s="3"/>
      <c r="L84">
        <v>1.1000000000000001</v>
      </c>
      <c r="M84">
        <f t="shared" si="26"/>
        <v>5.5</v>
      </c>
      <c r="N84" s="4">
        <f t="shared" si="30"/>
        <v>655821</v>
      </c>
      <c r="O84" s="3">
        <f t="shared" si="31"/>
        <v>374580</v>
      </c>
      <c r="P84" s="4">
        <f t="shared" si="25"/>
        <v>-281241</v>
      </c>
      <c r="R84">
        <f t="shared" si="35"/>
        <v>64800</v>
      </c>
      <c r="S84" s="3">
        <f t="shared" si="27"/>
        <v>64800</v>
      </c>
      <c r="T84" s="3">
        <f t="shared" si="28"/>
        <v>19091</v>
      </c>
      <c r="U84">
        <f t="shared" si="29"/>
        <v>27717</v>
      </c>
      <c r="V84" s="3">
        <f t="shared" si="32"/>
        <v>72975</v>
      </c>
      <c r="W84">
        <f t="shared" si="33"/>
        <v>54264</v>
      </c>
      <c r="X84" s="3">
        <v>81</v>
      </c>
      <c r="Y84">
        <v>5112</v>
      </c>
    </row>
    <row r="85" spans="1:25" x14ac:dyDescent="0.15">
      <c r="A85" s="4">
        <v>82</v>
      </c>
      <c r="B85" s="1">
        <v>326428</v>
      </c>
      <c r="C85" s="3">
        <v>68416</v>
      </c>
      <c r="D85">
        <v>109467</v>
      </c>
      <c r="E85" s="3">
        <f>INT(SUM(C$4:C84)*$K$2)</f>
        <v>1060658</v>
      </c>
      <c r="F85" s="3">
        <v>1842</v>
      </c>
      <c r="G85">
        <v>1983780</v>
      </c>
      <c r="H85" s="3">
        <v>1842</v>
      </c>
      <c r="I85">
        <v>1983780</v>
      </c>
      <c r="J85" s="3"/>
      <c r="K85" s="3"/>
      <c r="L85">
        <v>1.1000000000000001</v>
      </c>
      <c r="M85">
        <f t="shared" si="26"/>
        <v>5.5</v>
      </c>
      <c r="N85" s="4">
        <f t="shared" si="30"/>
        <v>672120</v>
      </c>
      <c r="O85" s="3">
        <f t="shared" si="31"/>
        <v>388360</v>
      </c>
      <c r="P85" s="4">
        <f t="shared" si="25"/>
        <v>-283760</v>
      </c>
      <c r="R85">
        <f t="shared" si="35"/>
        <v>65600</v>
      </c>
      <c r="S85" s="3">
        <f t="shared" si="27"/>
        <v>65600</v>
      </c>
      <c r="T85" s="3">
        <f t="shared" si="28"/>
        <v>19416</v>
      </c>
      <c r="U85">
        <f t="shared" si="29"/>
        <v>28074</v>
      </c>
      <c r="V85" s="3">
        <f t="shared" si="32"/>
        <v>74763</v>
      </c>
      <c r="W85">
        <f t="shared" si="33"/>
        <v>56304</v>
      </c>
      <c r="X85">
        <v>82</v>
      </c>
      <c r="Y85">
        <v>2040</v>
      </c>
    </row>
    <row r="86" spans="1:25" x14ac:dyDescent="0.15">
      <c r="A86" s="4">
        <v>83</v>
      </c>
      <c r="B86" s="1">
        <v>331154</v>
      </c>
      <c r="C86" s="3">
        <v>68898</v>
      </c>
      <c r="D86">
        <v>110237</v>
      </c>
      <c r="E86" s="3">
        <f>INT(SUM(C$4:C85)*$K$2)</f>
        <v>1129074</v>
      </c>
      <c r="F86" s="3">
        <v>1875</v>
      </c>
      <c r="G86">
        <v>2042060</v>
      </c>
      <c r="H86" s="3">
        <v>1875</v>
      </c>
      <c r="I86">
        <v>2042060</v>
      </c>
      <c r="J86" s="3"/>
      <c r="K86" s="3"/>
      <c r="L86">
        <v>1.1000000000000001</v>
      </c>
      <c r="M86">
        <f t="shared" si="26"/>
        <v>5.5</v>
      </c>
      <c r="N86" s="4">
        <f t="shared" si="30"/>
        <v>688619</v>
      </c>
      <c r="O86" s="3">
        <f t="shared" si="31"/>
        <v>402474</v>
      </c>
      <c r="P86" s="4">
        <f t="shared" si="25"/>
        <v>-286145</v>
      </c>
      <c r="R86">
        <f t="shared" si="35"/>
        <v>66400</v>
      </c>
      <c r="S86" s="3">
        <f t="shared" si="27"/>
        <v>66400</v>
      </c>
      <c r="T86" s="3">
        <f t="shared" si="28"/>
        <v>19745</v>
      </c>
      <c r="U86">
        <f t="shared" si="29"/>
        <v>28435</v>
      </c>
      <c r="V86" s="3">
        <f t="shared" si="32"/>
        <v>76572</v>
      </c>
      <c r="W86">
        <f t="shared" si="33"/>
        <v>61776</v>
      </c>
      <c r="X86" s="3">
        <v>83</v>
      </c>
      <c r="Y86">
        <v>5472</v>
      </c>
    </row>
    <row r="87" spans="1:25" x14ac:dyDescent="0.15">
      <c r="A87" s="4">
        <v>84</v>
      </c>
      <c r="B87" s="1">
        <v>339030</v>
      </c>
      <c r="C87" s="3">
        <v>69700</v>
      </c>
      <c r="D87">
        <v>111521</v>
      </c>
      <c r="E87" s="3">
        <f>INT(SUM(C$4:C86)*$K$2)</f>
        <v>1197972</v>
      </c>
      <c r="F87" s="3">
        <v>1908</v>
      </c>
      <c r="G87">
        <v>2103060</v>
      </c>
      <c r="H87" s="3">
        <v>1908</v>
      </c>
      <c r="I87">
        <v>2103060</v>
      </c>
      <c r="J87" s="3"/>
      <c r="K87" s="3"/>
      <c r="L87">
        <v>1.1000000000000001</v>
      </c>
      <c r="M87">
        <f t="shared" si="26"/>
        <v>5.5</v>
      </c>
      <c r="N87" s="4">
        <f t="shared" si="30"/>
        <v>705318</v>
      </c>
      <c r="O87" s="3">
        <f t="shared" si="31"/>
        <v>416926</v>
      </c>
      <c r="P87" s="4">
        <f t="shared" si="25"/>
        <v>-288392</v>
      </c>
      <c r="R87">
        <f t="shared" si="35"/>
        <v>67200</v>
      </c>
      <c r="S87" s="3">
        <f t="shared" si="27"/>
        <v>67200</v>
      </c>
      <c r="T87" s="3">
        <f t="shared" si="28"/>
        <v>20078</v>
      </c>
      <c r="U87">
        <f t="shared" si="29"/>
        <v>28800</v>
      </c>
      <c r="V87" s="3">
        <f t="shared" si="32"/>
        <v>78404</v>
      </c>
      <c r="W87">
        <f t="shared" si="33"/>
        <v>63936</v>
      </c>
      <c r="X87">
        <v>84</v>
      </c>
      <c r="Y87">
        <v>2160</v>
      </c>
    </row>
    <row r="88" spans="1:25" x14ac:dyDescent="0.15">
      <c r="A88" s="4">
        <v>85</v>
      </c>
      <c r="B88" s="1">
        <v>350057</v>
      </c>
      <c r="C88" s="3">
        <v>70824</v>
      </c>
      <c r="D88">
        <v>113319</v>
      </c>
      <c r="E88" s="3">
        <f>INT(SUM(C$4:C87)*$K$2)</f>
        <v>1267672</v>
      </c>
      <c r="F88" s="3">
        <v>1941</v>
      </c>
      <c r="G88">
        <v>2166780</v>
      </c>
      <c r="H88" s="3">
        <v>1941</v>
      </c>
      <c r="I88">
        <v>2166780</v>
      </c>
      <c r="J88" s="3"/>
      <c r="K88" s="3"/>
      <c r="L88">
        <v>1.1000000000000001</v>
      </c>
      <c r="M88">
        <f t="shared" si="26"/>
        <v>5.5</v>
      </c>
      <c r="N88" s="4">
        <f t="shared" si="30"/>
        <v>722217</v>
      </c>
      <c r="O88" s="3">
        <f t="shared" si="31"/>
        <v>431720</v>
      </c>
      <c r="P88" s="4">
        <f t="shared" si="25"/>
        <v>-290497</v>
      </c>
      <c r="R88">
        <f t="shared" si="35"/>
        <v>68000</v>
      </c>
      <c r="S88" s="3">
        <f t="shared" si="27"/>
        <v>68000</v>
      </c>
      <c r="T88" s="3">
        <f t="shared" si="28"/>
        <v>20415</v>
      </c>
      <c r="U88">
        <f t="shared" si="29"/>
        <v>29338</v>
      </c>
      <c r="V88" s="3">
        <f t="shared" si="32"/>
        <v>80257</v>
      </c>
      <c r="W88">
        <f t="shared" si="33"/>
        <v>66096</v>
      </c>
      <c r="X88" s="3">
        <v>85</v>
      </c>
      <c r="Y88">
        <v>2160</v>
      </c>
    </row>
    <row r="89" spans="1:25" x14ac:dyDescent="0.15">
      <c r="A89" s="4">
        <v>86</v>
      </c>
      <c r="B89" s="1">
        <v>364235</v>
      </c>
      <c r="C89" s="3">
        <v>72269</v>
      </c>
      <c r="D89">
        <v>115631</v>
      </c>
      <c r="E89" s="3">
        <f>INT(SUM(C$4:C88)*$K$2)</f>
        <v>1338496</v>
      </c>
      <c r="F89" s="3">
        <v>1973</v>
      </c>
      <c r="G89">
        <v>2233200</v>
      </c>
      <c r="H89" s="3">
        <v>1973</v>
      </c>
      <c r="I89">
        <v>2233200</v>
      </c>
      <c r="J89" s="3"/>
      <c r="K89" s="3"/>
      <c r="L89">
        <v>1.1000000000000001</v>
      </c>
      <c r="M89">
        <f t="shared" si="26"/>
        <v>5.5</v>
      </c>
      <c r="N89" s="4">
        <f t="shared" si="30"/>
        <v>739316</v>
      </c>
      <c r="O89" s="3">
        <f t="shared" si="31"/>
        <v>446860</v>
      </c>
      <c r="P89" s="4">
        <f t="shared" si="25"/>
        <v>-292456</v>
      </c>
      <c r="R89">
        <f t="shared" si="35"/>
        <v>68800</v>
      </c>
      <c r="S89" s="3">
        <f t="shared" si="27"/>
        <v>68800</v>
      </c>
      <c r="T89" s="3">
        <f t="shared" si="28"/>
        <v>20756</v>
      </c>
      <c r="U89">
        <f t="shared" si="29"/>
        <v>29713</v>
      </c>
      <c r="V89" s="3">
        <f t="shared" si="32"/>
        <v>82133</v>
      </c>
      <c r="W89">
        <f t="shared" si="33"/>
        <v>72048</v>
      </c>
      <c r="X89">
        <v>86</v>
      </c>
      <c r="Y89">
        <v>5952</v>
      </c>
    </row>
    <row r="90" spans="1:25" x14ac:dyDescent="0.15">
      <c r="A90" s="4">
        <v>87</v>
      </c>
      <c r="B90" s="1">
        <v>381563</v>
      </c>
      <c r="C90" s="3">
        <v>74034</v>
      </c>
      <c r="D90">
        <v>118456</v>
      </c>
      <c r="E90" s="3">
        <f>INT(SUM(C$4:C89)*$K$2)</f>
        <v>1410765</v>
      </c>
      <c r="F90" s="3">
        <v>2006</v>
      </c>
      <c r="G90">
        <v>2302320</v>
      </c>
      <c r="H90" s="3">
        <v>2006</v>
      </c>
      <c r="I90">
        <v>2302320</v>
      </c>
      <c r="J90" s="3"/>
      <c r="K90" s="3"/>
      <c r="L90">
        <v>1.1000000000000001</v>
      </c>
      <c r="M90">
        <f t="shared" si="26"/>
        <v>5.5</v>
      </c>
      <c r="N90" s="4">
        <f t="shared" si="30"/>
        <v>756615</v>
      </c>
      <c r="O90" s="3">
        <f t="shared" si="31"/>
        <v>462350</v>
      </c>
      <c r="P90" s="4">
        <f t="shared" si="25"/>
        <v>-294265</v>
      </c>
      <c r="R90">
        <f t="shared" si="35"/>
        <v>69600</v>
      </c>
      <c r="S90" s="3">
        <f t="shared" si="27"/>
        <v>69600</v>
      </c>
      <c r="T90" s="3">
        <f t="shared" si="28"/>
        <v>21101</v>
      </c>
      <c r="U90">
        <f t="shared" si="29"/>
        <v>30092</v>
      </c>
      <c r="V90" s="3">
        <f t="shared" si="32"/>
        <v>84030</v>
      </c>
      <c r="W90">
        <f t="shared" si="33"/>
        <v>74328</v>
      </c>
      <c r="X90" s="3">
        <v>87</v>
      </c>
      <c r="Y90">
        <v>2280</v>
      </c>
    </row>
    <row r="91" spans="1:25" x14ac:dyDescent="0.15">
      <c r="A91" s="4">
        <v>88</v>
      </c>
      <c r="B91" s="1">
        <v>402042</v>
      </c>
      <c r="C91" s="3">
        <v>76121</v>
      </c>
      <c r="D91">
        <v>121795</v>
      </c>
      <c r="E91" s="3">
        <f>INT(SUM(C$4:C90)*$K$2)</f>
        <v>1484799</v>
      </c>
      <c r="F91" s="3">
        <v>2039</v>
      </c>
      <c r="G91">
        <v>2374180</v>
      </c>
      <c r="H91" s="3">
        <v>2039</v>
      </c>
      <c r="I91">
        <v>2374180</v>
      </c>
      <c r="J91" s="3"/>
      <c r="K91" s="3"/>
      <c r="L91">
        <v>1.1000000000000001</v>
      </c>
      <c r="M91">
        <f t="shared" si="26"/>
        <v>5.5</v>
      </c>
      <c r="N91" s="4">
        <f t="shared" si="30"/>
        <v>774114</v>
      </c>
      <c r="O91" s="3">
        <f t="shared" si="31"/>
        <v>478194</v>
      </c>
      <c r="P91" s="4">
        <f t="shared" si="25"/>
        <v>-295920</v>
      </c>
      <c r="R91">
        <f t="shared" si="35"/>
        <v>70400</v>
      </c>
      <c r="S91" s="3">
        <f t="shared" si="27"/>
        <v>70400</v>
      </c>
      <c r="T91" s="3">
        <f t="shared" si="28"/>
        <v>21450</v>
      </c>
      <c r="U91">
        <f t="shared" si="29"/>
        <v>30475</v>
      </c>
      <c r="V91" s="3">
        <f t="shared" si="32"/>
        <v>85950</v>
      </c>
      <c r="W91">
        <f t="shared" si="33"/>
        <v>80640</v>
      </c>
      <c r="X91">
        <v>88</v>
      </c>
      <c r="Y91">
        <v>6312</v>
      </c>
    </row>
    <row r="92" spans="1:25" x14ac:dyDescent="0.15">
      <c r="A92" s="4">
        <v>89</v>
      </c>
      <c r="B92" s="1">
        <v>425671</v>
      </c>
      <c r="C92" s="3">
        <v>78529</v>
      </c>
      <c r="D92">
        <v>125647</v>
      </c>
      <c r="E92" s="3">
        <f>INT(SUM(C$4:C91)*$K$2)</f>
        <v>1560920</v>
      </c>
      <c r="F92" s="3">
        <v>2072</v>
      </c>
      <c r="G92">
        <v>2448720</v>
      </c>
      <c r="H92" s="3">
        <v>2072</v>
      </c>
      <c r="I92">
        <v>2448720</v>
      </c>
      <c r="J92" s="3"/>
      <c r="K92" s="3"/>
      <c r="L92">
        <v>1.1000000000000001</v>
      </c>
      <c r="M92">
        <f t="shared" si="26"/>
        <v>5.5</v>
      </c>
      <c r="N92" s="4">
        <f t="shared" si="30"/>
        <v>791813</v>
      </c>
      <c r="O92" s="3">
        <f t="shared" si="31"/>
        <v>494396</v>
      </c>
      <c r="P92" s="4">
        <f t="shared" si="25"/>
        <v>-297417</v>
      </c>
      <c r="R92">
        <f t="shared" si="35"/>
        <v>71200</v>
      </c>
      <c r="S92" s="3">
        <f t="shared" si="27"/>
        <v>71200</v>
      </c>
      <c r="T92" s="3">
        <f t="shared" si="28"/>
        <v>22953</v>
      </c>
      <c r="U92">
        <f t="shared" si="29"/>
        <v>33162</v>
      </c>
      <c r="V92" s="3">
        <f t="shared" si="32"/>
        <v>87891</v>
      </c>
      <c r="W92">
        <f t="shared" si="33"/>
        <v>83040</v>
      </c>
      <c r="X92" s="3">
        <v>89</v>
      </c>
      <c r="Y92">
        <v>2400</v>
      </c>
    </row>
    <row r="93" spans="1:25" x14ac:dyDescent="0.15">
      <c r="A93" s="4">
        <v>90</v>
      </c>
      <c r="B93" s="1">
        <v>452451</v>
      </c>
      <c r="C93" s="3">
        <v>81258</v>
      </c>
      <c r="D93">
        <v>130013</v>
      </c>
      <c r="E93" s="3">
        <f>INT(SUM(C$4:C92)*$K$2)</f>
        <v>1639449</v>
      </c>
      <c r="F93" s="3">
        <v>2105</v>
      </c>
      <c r="G93">
        <v>2526000</v>
      </c>
      <c r="H93" s="3">
        <v>2105</v>
      </c>
      <c r="I93">
        <v>2526000</v>
      </c>
      <c r="J93" s="3"/>
      <c r="K93" s="3"/>
      <c r="L93">
        <v>1.1000000000000001</v>
      </c>
      <c r="M93">
        <f t="shared" si="26"/>
        <v>5.5</v>
      </c>
      <c r="N93" s="4">
        <f t="shared" si="30"/>
        <v>809712</v>
      </c>
      <c r="O93" s="3">
        <f t="shared" si="31"/>
        <v>510960</v>
      </c>
      <c r="P93" s="4">
        <f t="shared" si="25"/>
        <v>-298752</v>
      </c>
      <c r="R93">
        <f t="shared" ref="R93:R156" si="36">A93*1000</f>
        <v>90000</v>
      </c>
      <c r="S93" s="3">
        <f t="shared" si="27"/>
        <v>90000</v>
      </c>
      <c r="T93" s="3">
        <f t="shared" si="28"/>
        <v>23310</v>
      </c>
      <c r="U93">
        <f t="shared" si="29"/>
        <v>33732</v>
      </c>
      <c r="V93" s="3">
        <f t="shared" si="32"/>
        <v>89855</v>
      </c>
      <c r="W93">
        <f t="shared" si="33"/>
        <v>85440</v>
      </c>
      <c r="X93">
        <v>90</v>
      </c>
      <c r="Y93">
        <v>2400</v>
      </c>
    </row>
    <row r="94" spans="1:25" x14ac:dyDescent="0.15">
      <c r="A94" s="4">
        <v>91</v>
      </c>
      <c r="B94" s="1">
        <v>482381</v>
      </c>
      <c r="C94" s="3">
        <v>84308</v>
      </c>
      <c r="D94">
        <v>134893</v>
      </c>
      <c r="E94" s="3">
        <f>INT(SUM(C$4:C93)*$K$2)</f>
        <v>1720707</v>
      </c>
      <c r="F94" s="3">
        <v>2315</v>
      </c>
      <c r="G94">
        <v>2778600</v>
      </c>
      <c r="H94" s="3">
        <v>0</v>
      </c>
      <c r="I94">
        <v>0</v>
      </c>
      <c r="J94" s="3"/>
      <c r="K94" s="3"/>
      <c r="L94">
        <v>1.1000000000000001</v>
      </c>
      <c r="M94">
        <f t="shared" si="26"/>
        <v>5.5</v>
      </c>
      <c r="N94" s="4">
        <f t="shared" si="30"/>
        <v>827811</v>
      </c>
      <c r="O94" s="3">
        <f t="shared" si="31"/>
        <v>527890</v>
      </c>
      <c r="P94" s="4">
        <f t="shared" si="25"/>
        <v>-299921</v>
      </c>
      <c r="R94">
        <f t="shared" si="36"/>
        <v>91000</v>
      </c>
      <c r="S94" s="3">
        <f t="shared" si="27"/>
        <v>91000</v>
      </c>
      <c r="T94" s="3">
        <f t="shared" si="28"/>
        <v>23671</v>
      </c>
      <c r="U94">
        <f t="shared" si="29"/>
        <v>34129</v>
      </c>
      <c r="V94" s="3">
        <f t="shared" si="32"/>
        <v>91840</v>
      </c>
      <c r="W94">
        <f t="shared" si="33"/>
        <v>92736</v>
      </c>
      <c r="X94" s="3">
        <v>91</v>
      </c>
      <c r="Y94">
        <v>7296</v>
      </c>
    </row>
    <row r="95" spans="1:25" x14ac:dyDescent="0.15">
      <c r="A95" s="4">
        <v>92</v>
      </c>
      <c r="B95" s="1">
        <v>515462</v>
      </c>
      <c r="C95" s="3">
        <v>87679</v>
      </c>
      <c r="D95">
        <v>140287</v>
      </c>
      <c r="E95" s="3">
        <f>INT(SUM(C$4:C94)*$K$2)</f>
        <v>1805015</v>
      </c>
      <c r="F95" s="3">
        <v>2380</v>
      </c>
      <c r="G95">
        <v>2781300</v>
      </c>
      <c r="H95" s="3">
        <v>2380</v>
      </c>
      <c r="I95">
        <v>2781300</v>
      </c>
      <c r="J95" s="3"/>
      <c r="K95" s="3"/>
      <c r="L95">
        <v>1.1000000000000001</v>
      </c>
      <c r="M95">
        <f t="shared" si="26"/>
        <v>5.5</v>
      </c>
      <c r="N95" s="4">
        <f t="shared" si="30"/>
        <v>846110</v>
      </c>
      <c r="O95" s="3">
        <f t="shared" si="31"/>
        <v>545190</v>
      </c>
      <c r="P95" s="4">
        <f t="shared" si="25"/>
        <v>-300920</v>
      </c>
      <c r="R95">
        <f t="shared" si="36"/>
        <v>92000</v>
      </c>
      <c r="S95" s="3">
        <f t="shared" si="27"/>
        <v>92000</v>
      </c>
      <c r="T95" s="3">
        <f t="shared" si="28"/>
        <v>24036</v>
      </c>
      <c r="U95">
        <f t="shared" si="29"/>
        <v>34530</v>
      </c>
      <c r="V95" s="3">
        <f t="shared" si="32"/>
        <v>93848</v>
      </c>
      <c r="W95">
        <f t="shared" si="33"/>
        <v>95760</v>
      </c>
      <c r="X95">
        <v>92</v>
      </c>
      <c r="Y95">
        <v>3024</v>
      </c>
    </row>
    <row r="96" spans="1:25" x14ac:dyDescent="0.15">
      <c r="A96" s="4">
        <v>93</v>
      </c>
      <c r="B96" s="1">
        <v>551694</v>
      </c>
      <c r="C96" s="3">
        <v>91371</v>
      </c>
      <c r="D96">
        <v>146194</v>
      </c>
      <c r="E96" s="3">
        <f>INT(SUM(C$4:C95)*$K$2)</f>
        <v>1892694</v>
      </c>
      <c r="F96" s="3">
        <v>2446</v>
      </c>
      <c r="G96">
        <v>2789400</v>
      </c>
      <c r="H96" s="3">
        <v>2446</v>
      </c>
      <c r="I96">
        <v>2789400</v>
      </c>
      <c r="J96" s="3"/>
      <c r="K96" s="3"/>
      <c r="L96">
        <v>1.1000000000000001</v>
      </c>
      <c r="M96">
        <f t="shared" si="26"/>
        <v>5.5</v>
      </c>
      <c r="N96" s="4">
        <f t="shared" si="30"/>
        <v>864609</v>
      </c>
      <c r="O96" s="3">
        <f t="shared" si="31"/>
        <v>562864</v>
      </c>
      <c r="P96" s="4">
        <f t="shared" si="25"/>
        <v>-301745</v>
      </c>
      <c r="R96">
        <f t="shared" si="36"/>
        <v>93000</v>
      </c>
      <c r="S96" s="3">
        <f t="shared" si="27"/>
        <v>93000</v>
      </c>
      <c r="T96" s="3">
        <f t="shared" si="28"/>
        <v>24405</v>
      </c>
      <c r="U96">
        <f t="shared" si="29"/>
        <v>34935</v>
      </c>
      <c r="V96" s="3">
        <f t="shared" si="32"/>
        <v>95877</v>
      </c>
      <c r="W96">
        <f t="shared" si="33"/>
        <v>104000</v>
      </c>
      <c r="X96" s="3">
        <v>93</v>
      </c>
      <c r="Y96">
        <v>8240</v>
      </c>
    </row>
    <row r="97" spans="1:25" x14ac:dyDescent="0.15">
      <c r="A97" s="4">
        <v>94</v>
      </c>
      <c r="B97" s="1">
        <v>591076</v>
      </c>
      <c r="C97" s="3">
        <v>95384</v>
      </c>
      <c r="D97">
        <v>152615</v>
      </c>
      <c r="E97" s="3">
        <f>INT(SUM(C$4:C96)*$K$2)</f>
        <v>1984065</v>
      </c>
      <c r="F97" s="3">
        <v>2511</v>
      </c>
      <c r="G97">
        <v>2802920</v>
      </c>
      <c r="H97" s="3">
        <v>2511</v>
      </c>
      <c r="I97">
        <v>2802920</v>
      </c>
      <c r="J97" s="3"/>
      <c r="K97" s="3"/>
      <c r="L97">
        <v>1.1000000000000001</v>
      </c>
      <c r="M97">
        <f t="shared" si="26"/>
        <v>5.5</v>
      </c>
      <c r="N97" s="4">
        <f t="shared" si="30"/>
        <v>883308</v>
      </c>
      <c r="O97" s="3">
        <f t="shared" si="31"/>
        <v>580916</v>
      </c>
      <c r="P97" s="4">
        <f t="shared" si="25"/>
        <v>-302392</v>
      </c>
      <c r="R97">
        <f t="shared" si="36"/>
        <v>94000</v>
      </c>
      <c r="S97" s="3">
        <f t="shared" si="27"/>
        <v>94000</v>
      </c>
      <c r="T97" s="3">
        <f t="shared" si="28"/>
        <v>24778</v>
      </c>
      <c r="U97">
        <f t="shared" si="29"/>
        <v>35344</v>
      </c>
      <c r="V97" s="3">
        <f t="shared" si="32"/>
        <v>97929</v>
      </c>
      <c r="W97">
        <f t="shared" si="33"/>
        <v>107000</v>
      </c>
      <c r="X97">
        <v>94</v>
      </c>
      <c r="Y97">
        <v>3000</v>
      </c>
    </row>
    <row r="98" spans="1:25" x14ac:dyDescent="0.15">
      <c r="A98" s="4">
        <v>95</v>
      </c>
      <c r="B98" s="1">
        <v>633609</v>
      </c>
      <c r="C98" s="3">
        <v>99718</v>
      </c>
      <c r="D98">
        <v>159550</v>
      </c>
      <c r="E98" s="3">
        <f>INT(SUM(C$4:C97)*$K$2)</f>
        <v>2079449</v>
      </c>
      <c r="F98" s="3">
        <v>2576</v>
      </c>
      <c r="G98">
        <v>2821860</v>
      </c>
      <c r="H98" s="3">
        <v>2576</v>
      </c>
      <c r="I98">
        <v>2821860</v>
      </c>
      <c r="J98" s="3"/>
      <c r="K98" s="3"/>
      <c r="L98">
        <v>1.1499999999999999</v>
      </c>
      <c r="M98">
        <f t="shared" si="26"/>
        <v>5.75</v>
      </c>
      <c r="N98" s="4">
        <f t="shared" si="30"/>
        <v>902207</v>
      </c>
      <c r="O98" s="3">
        <f t="shared" si="31"/>
        <v>599350</v>
      </c>
      <c r="P98" s="4">
        <f t="shared" si="25"/>
        <v>-302857</v>
      </c>
      <c r="R98">
        <f t="shared" si="36"/>
        <v>95000</v>
      </c>
      <c r="S98" s="3">
        <f t="shared" si="27"/>
        <v>95000</v>
      </c>
      <c r="T98" s="3">
        <f t="shared" si="28"/>
        <v>25155</v>
      </c>
      <c r="U98">
        <f t="shared" si="29"/>
        <v>35946</v>
      </c>
      <c r="V98" s="3">
        <f t="shared" si="32"/>
        <v>104491</v>
      </c>
      <c r="W98">
        <f t="shared" si="33"/>
        <v>110000</v>
      </c>
      <c r="X98" s="3">
        <v>95</v>
      </c>
      <c r="Y98">
        <v>3000</v>
      </c>
    </row>
    <row r="99" spans="1:25" x14ac:dyDescent="0.15">
      <c r="A99" s="4">
        <v>96</v>
      </c>
      <c r="B99" s="1">
        <v>679292</v>
      </c>
      <c r="C99" s="3">
        <v>104373</v>
      </c>
      <c r="D99">
        <v>166998</v>
      </c>
      <c r="E99" s="3">
        <f>INT(SUM(C$4:C98)*$K$2)</f>
        <v>2179167</v>
      </c>
      <c r="F99" s="3">
        <v>2642</v>
      </c>
      <c r="G99">
        <v>2846180</v>
      </c>
      <c r="H99" s="3">
        <v>2642</v>
      </c>
      <c r="I99">
        <v>2846180</v>
      </c>
      <c r="J99" s="3"/>
      <c r="K99" s="3"/>
      <c r="L99">
        <v>1.1499999999999999</v>
      </c>
      <c r="M99">
        <f t="shared" si="26"/>
        <v>5.75</v>
      </c>
      <c r="N99" s="4">
        <f t="shared" si="30"/>
        <v>921306</v>
      </c>
      <c r="O99" s="3">
        <f t="shared" si="31"/>
        <v>618170</v>
      </c>
      <c r="P99" s="4">
        <f t="shared" si="25"/>
        <v>-303136</v>
      </c>
      <c r="R99">
        <f t="shared" si="36"/>
        <v>96000</v>
      </c>
      <c r="S99" s="3">
        <f t="shared" si="27"/>
        <v>96000</v>
      </c>
      <c r="T99" s="3">
        <f t="shared" si="28"/>
        <v>25536</v>
      </c>
      <c r="U99">
        <f t="shared" si="29"/>
        <v>36365</v>
      </c>
      <c r="V99" s="3">
        <f t="shared" si="32"/>
        <v>106682</v>
      </c>
      <c r="W99">
        <f t="shared" si="33"/>
        <v>119000</v>
      </c>
      <c r="X99">
        <v>96</v>
      </c>
      <c r="Y99">
        <v>9000</v>
      </c>
    </row>
    <row r="100" spans="1:25" x14ac:dyDescent="0.15">
      <c r="A100" s="4">
        <v>97</v>
      </c>
      <c r="B100" s="1">
        <v>728126</v>
      </c>
      <c r="C100" s="3">
        <v>109350</v>
      </c>
      <c r="D100">
        <v>174960</v>
      </c>
      <c r="E100" s="3">
        <f>INT(SUM(C$4:C99)*$K$2)</f>
        <v>2283540</v>
      </c>
      <c r="F100" s="3">
        <v>2707</v>
      </c>
      <c r="G100">
        <v>2875940</v>
      </c>
      <c r="H100" s="3">
        <v>2707</v>
      </c>
      <c r="I100">
        <v>2875940</v>
      </c>
      <c r="J100" s="3"/>
      <c r="K100" s="3"/>
      <c r="L100">
        <v>1.1499999999999999</v>
      </c>
      <c r="M100">
        <f t="shared" si="26"/>
        <v>5.75</v>
      </c>
      <c r="N100" s="4">
        <f t="shared" si="30"/>
        <v>940605</v>
      </c>
      <c r="O100" s="3">
        <f t="shared" si="31"/>
        <v>637380</v>
      </c>
      <c r="P100" s="4">
        <f t="shared" si="25"/>
        <v>-303225</v>
      </c>
      <c r="R100">
        <f t="shared" si="36"/>
        <v>97000</v>
      </c>
      <c r="S100" s="3">
        <f t="shared" si="27"/>
        <v>97000</v>
      </c>
      <c r="T100" s="3">
        <f t="shared" si="28"/>
        <v>27171</v>
      </c>
      <c r="U100">
        <f t="shared" si="29"/>
        <v>39288</v>
      </c>
      <c r="V100" s="3">
        <f t="shared" si="32"/>
        <v>108895</v>
      </c>
      <c r="W100">
        <f t="shared" si="33"/>
        <v>122000</v>
      </c>
      <c r="X100" s="3">
        <v>97</v>
      </c>
      <c r="Y100">
        <v>3000</v>
      </c>
    </row>
    <row r="101" spans="1:25" x14ac:dyDescent="0.15">
      <c r="A101" s="4">
        <v>98</v>
      </c>
      <c r="B101" s="1">
        <v>780111</v>
      </c>
      <c r="C101" s="3">
        <v>114647</v>
      </c>
      <c r="D101">
        <v>183435</v>
      </c>
      <c r="E101" s="3">
        <f>INT(SUM(C$4:C100)*$K$2)</f>
        <v>2392890</v>
      </c>
      <c r="F101" s="3">
        <v>2772</v>
      </c>
      <c r="G101">
        <v>2911080</v>
      </c>
      <c r="H101" s="3">
        <v>2772</v>
      </c>
      <c r="I101">
        <v>2911080</v>
      </c>
      <c r="J101" s="3"/>
      <c r="K101" s="3"/>
      <c r="L101">
        <v>1.1499999999999999</v>
      </c>
      <c r="M101">
        <f t="shared" si="26"/>
        <v>5.75</v>
      </c>
      <c r="N101" s="4">
        <f t="shared" si="30"/>
        <v>960104</v>
      </c>
      <c r="O101" s="3">
        <f t="shared" si="31"/>
        <v>656984</v>
      </c>
      <c r="P101" s="4">
        <f t="shared" si="25"/>
        <v>-303120</v>
      </c>
      <c r="R101">
        <f t="shared" si="36"/>
        <v>98000</v>
      </c>
      <c r="S101" s="3">
        <f t="shared" si="27"/>
        <v>98000</v>
      </c>
      <c r="T101" s="3">
        <f t="shared" si="28"/>
        <v>27560</v>
      </c>
      <c r="U101">
        <f t="shared" si="29"/>
        <v>39715</v>
      </c>
      <c r="V101" s="3">
        <f t="shared" si="32"/>
        <v>111132</v>
      </c>
      <c r="W101">
        <f t="shared" si="33"/>
        <v>131000</v>
      </c>
      <c r="X101">
        <v>98</v>
      </c>
      <c r="Y101">
        <v>9000</v>
      </c>
    </row>
    <row r="102" spans="1:25" x14ac:dyDescent="0.15">
      <c r="A102" s="4">
        <v>99</v>
      </c>
      <c r="B102" s="1">
        <v>835246</v>
      </c>
      <c r="C102" s="3">
        <v>120265</v>
      </c>
      <c r="D102">
        <v>192425</v>
      </c>
      <c r="E102" s="3">
        <f>INT(SUM(C$4:C101)*$K$2)</f>
        <v>2507537</v>
      </c>
      <c r="F102" s="3">
        <v>2838</v>
      </c>
      <c r="G102">
        <v>2951640</v>
      </c>
      <c r="H102" s="3">
        <v>2838</v>
      </c>
      <c r="I102">
        <v>2951640</v>
      </c>
      <c r="J102" s="3"/>
      <c r="K102" s="3"/>
      <c r="L102">
        <v>1.1499999999999999</v>
      </c>
      <c r="M102">
        <f t="shared" si="26"/>
        <v>5.75</v>
      </c>
      <c r="N102" s="4">
        <f t="shared" si="30"/>
        <v>979803</v>
      </c>
      <c r="O102" s="3">
        <f t="shared" si="31"/>
        <v>676986</v>
      </c>
      <c r="P102" s="4">
        <f t="shared" si="25"/>
        <v>-302817</v>
      </c>
      <c r="R102">
        <f t="shared" si="36"/>
        <v>99000</v>
      </c>
      <c r="S102" s="3">
        <f t="shared" si="27"/>
        <v>99000</v>
      </c>
      <c r="T102" s="3">
        <f t="shared" si="28"/>
        <v>27953</v>
      </c>
      <c r="U102">
        <f t="shared" si="29"/>
        <v>40146</v>
      </c>
      <c r="V102" s="3">
        <f t="shared" si="32"/>
        <v>113392</v>
      </c>
      <c r="W102">
        <f t="shared" si="33"/>
        <v>134000</v>
      </c>
      <c r="X102" s="3">
        <v>99</v>
      </c>
      <c r="Y102">
        <v>3000</v>
      </c>
    </row>
    <row r="103" spans="1:25" x14ac:dyDescent="0.15">
      <c r="A103" s="4">
        <v>100</v>
      </c>
      <c r="B103" s="1">
        <v>893532</v>
      </c>
      <c r="C103" s="3">
        <v>126205</v>
      </c>
      <c r="D103">
        <v>201928</v>
      </c>
      <c r="E103" s="3">
        <f>INT(SUM(C$4:C102)*$K$2)</f>
        <v>2627802</v>
      </c>
      <c r="F103" s="3">
        <v>2903</v>
      </c>
      <c r="G103">
        <v>2997600</v>
      </c>
      <c r="H103" s="3">
        <v>2903</v>
      </c>
      <c r="I103">
        <v>2997600</v>
      </c>
      <c r="J103" s="3"/>
      <c r="K103" s="3"/>
      <c r="L103">
        <v>1.1499999999999999</v>
      </c>
      <c r="M103">
        <f t="shared" si="26"/>
        <v>6.8999999999999995</v>
      </c>
      <c r="N103" s="4">
        <f t="shared" si="30"/>
        <v>999702</v>
      </c>
      <c r="O103" s="3">
        <f t="shared" si="31"/>
        <v>697390</v>
      </c>
      <c r="P103" s="4">
        <f t="shared" si="25"/>
        <v>-302312</v>
      </c>
      <c r="R103">
        <f t="shared" si="36"/>
        <v>100000</v>
      </c>
      <c r="S103" s="3">
        <f t="shared" si="27"/>
        <v>100000</v>
      </c>
      <c r="T103" s="3">
        <f t="shared" si="28"/>
        <v>28350</v>
      </c>
      <c r="U103">
        <f t="shared" si="29"/>
        <v>40780</v>
      </c>
      <c r="V103" s="3">
        <f t="shared" si="32"/>
        <v>139110</v>
      </c>
      <c r="W103">
        <f t="shared" si="33"/>
        <v>138000</v>
      </c>
      <c r="X103">
        <v>100</v>
      </c>
      <c r="Y103">
        <v>4000</v>
      </c>
    </row>
    <row r="104" spans="1:25" x14ac:dyDescent="0.15">
      <c r="A104" s="4">
        <v>101</v>
      </c>
      <c r="B104" s="1">
        <v>965014</v>
      </c>
      <c r="C104" s="3">
        <v>136301</v>
      </c>
      <c r="D104">
        <v>218082</v>
      </c>
      <c r="E104" s="3">
        <f>INT(SUM(C$4:C103)*$K$2)</f>
        <v>2754007</v>
      </c>
      <c r="F104" s="3">
        <v>2968</v>
      </c>
      <c r="G104">
        <v>3048980</v>
      </c>
      <c r="H104" s="3">
        <v>2968</v>
      </c>
      <c r="I104">
        <v>3048980</v>
      </c>
      <c r="J104" s="3"/>
      <c r="K104" s="3"/>
      <c r="L104">
        <v>1.1499999999999999</v>
      </c>
      <c r="M104">
        <f t="shared" si="26"/>
        <v>6.8999999999999995</v>
      </c>
      <c r="N104" s="4">
        <f t="shared" si="30"/>
        <v>1019801</v>
      </c>
      <c r="O104" s="3">
        <f t="shared" si="31"/>
        <v>718200</v>
      </c>
      <c r="P104" s="4">
        <f t="shared" si="25"/>
        <v>-301601</v>
      </c>
      <c r="R104">
        <f t="shared" si="36"/>
        <v>101000</v>
      </c>
      <c r="S104" s="3">
        <f t="shared" si="27"/>
        <v>101000</v>
      </c>
      <c r="T104" s="3">
        <f t="shared" si="28"/>
        <v>28751</v>
      </c>
      <c r="U104">
        <f t="shared" si="29"/>
        <v>41221</v>
      </c>
      <c r="V104" s="3">
        <f t="shared" si="32"/>
        <v>141876</v>
      </c>
      <c r="W104">
        <f t="shared" si="33"/>
        <v>149000</v>
      </c>
      <c r="X104">
        <v>101</v>
      </c>
      <c r="Y104">
        <v>11000</v>
      </c>
    </row>
    <row r="105" spans="1:25" x14ac:dyDescent="0.15">
      <c r="A105" s="4">
        <v>102</v>
      </c>
      <c r="B105" s="1">
        <v>967326</v>
      </c>
      <c r="C105" s="3">
        <v>136450</v>
      </c>
      <c r="D105">
        <v>218214</v>
      </c>
      <c r="E105" s="3">
        <f>INT(SUM(C$4:C104)*$K$2)</f>
        <v>2890308</v>
      </c>
      <c r="F105" s="3">
        <v>3034</v>
      </c>
      <c r="G105">
        <v>3105760</v>
      </c>
      <c r="H105" s="3">
        <v>3034</v>
      </c>
      <c r="I105">
        <v>3105760</v>
      </c>
      <c r="J105" s="3"/>
      <c r="K105" s="3"/>
      <c r="L105">
        <v>1.1499999999999999</v>
      </c>
      <c r="M105">
        <f t="shared" si="26"/>
        <v>6.8999999999999995</v>
      </c>
      <c r="N105" s="4">
        <f t="shared" si="30"/>
        <v>1040100</v>
      </c>
      <c r="O105" s="3">
        <f t="shared" si="31"/>
        <v>739420</v>
      </c>
      <c r="P105" s="4">
        <f t="shared" si="25"/>
        <v>-300680</v>
      </c>
      <c r="R105">
        <f t="shared" si="36"/>
        <v>102000</v>
      </c>
      <c r="S105" s="3">
        <f t="shared" si="27"/>
        <v>102000</v>
      </c>
      <c r="T105" s="3">
        <f t="shared" si="28"/>
        <v>29156</v>
      </c>
      <c r="U105">
        <f t="shared" si="29"/>
        <v>41666</v>
      </c>
      <c r="V105" s="3">
        <f t="shared" si="32"/>
        <v>144671</v>
      </c>
      <c r="W105">
        <f t="shared" si="33"/>
        <v>155000</v>
      </c>
      <c r="X105">
        <v>102</v>
      </c>
      <c r="Y105">
        <v>6000</v>
      </c>
    </row>
    <row r="106" spans="1:25" x14ac:dyDescent="0.15">
      <c r="A106" s="4">
        <v>103</v>
      </c>
      <c r="B106" s="1">
        <v>974260</v>
      </c>
      <c r="C106" s="3">
        <v>136897</v>
      </c>
      <c r="D106">
        <v>218610</v>
      </c>
      <c r="E106" s="3">
        <f>INT(SUM(C$4:C105)*$K$2)</f>
        <v>3026758</v>
      </c>
      <c r="F106" s="3">
        <v>3099</v>
      </c>
      <c r="G106">
        <v>3167960</v>
      </c>
      <c r="H106" s="3">
        <v>3099</v>
      </c>
      <c r="I106">
        <v>3167960</v>
      </c>
      <c r="J106" s="3"/>
      <c r="K106" s="3"/>
      <c r="L106">
        <v>1.1499999999999999</v>
      </c>
      <c r="M106">
        <f t="shared" si="26"/>
        <v>6.8999999999999995</v>
      </c>
      <c r="N106" s="4">
        <f t="shared" si="30"/>
        <v>1060599</v>
      </c>
      <c r="O106" s="3">
        <f t="shared" si="31"/>
        <v>761054</v>
      </c>
      <c r="P106" s="4">
        <f t="shared" si="25"/>
        <v>-299545</v>
      </c>
      <c r="R106">
        <f t="shared" si="36"/>
        <v>103000</v>
      </c>
      <c r="S106" s="3">
        <f t="shared" si="27"/>
        <v>103000</v>
      </c>
      <c r="T106" s="3">
        <f t="shared" si="28"/>
        <v>29565</v>
      </c>
      <c r="U106">
        <f t="shared" si="29"/>
        <v>42115</v>
      </c>
      <c r="V106" s="3">
        <f t="shared" si="32"/>
        <v>147493</v>
      </c>
      <c r="W106">
        <f t="shared" si="33"/>
        <v>167000</v>
      </c>
      <c r="X106">
        <v>103</v>
      </c>
      <c r="Y106">
        <v>12000</v>
      </c>
    </row>
    <row r="107" spans="1:25" x14ac:dyDescent="0.15">
      <c r="A107" s="4">
        <v>104</v>
      </c>
      <c r="B107" s="1">
        <v>985818</v>
      </c>
      <c r="C107" s="3">
        <v>137642</v>
      </c>
      <c r="D107">
        <v>219270</v>
      </c>
      <c r="E107" s="3">
        <f>INT(SUM(C$4:C106)*$K$2)</f>
        <v>3163655</v>
      </c>
      <c r="F107" s="3">
        <v>3164</v>
      </c>
      <c r="G107">
        <v>3235560</v>
      </c>
      <c r="H107" s="3">
        <v>3164</v>
      </c>
      <c r="I107">
        <v>3235560</v>
      </c>
      <c r="J107" s="3"/>
      <c r="K107" s="3"/>
      <c r="L107">
        <v>1.1499999999999999</v>
      </c>
      <c r="M107">
        <f t="shared" si="26"/>
        <v>6.8999999999999995</v>
      </c>
      <c r="N107" s="4">
        <f t="shared" si="30"/>
        <v>1081298</v>
      </c>
      <c r="O107" s="3">
        <f t="shared" si="31"/>
        <v>783106</v>
      </c>
      <c r="P107" s="4">
        <f t="shared" si="25"/>
        <v>-298192</v>
      </c>
      <c r="R107">
        <f t="shared" si="36"/>
        <v>104000</v>
      </c>
      <c r="S107" s="3">
        <f t="shared" si="27"/>
        <v>104000</v>
      </c>
      <c r="T107" s="3">
        <f t="shared" si="28"/>
        <v>29978</v>
      </c>
      <c r="U107">
        <f t="shared" si="29"/>
        <v>42568</v>
      </c>
      <c r="V107" s="3">
        <f t="shared" si="32"/>
        <v>150343</v>
      </c>
      <c r="W107">
        <f t="shared" si="33"/>
        <v>173000</v>
      </c>
      <c r="X107">
        <v>104</v>
      </c>
      <c r="Y107">
        <v>6000</v>
      </c>
    </row>
    <row r="108" spans="1:25" x14ac:dyDescent="0.15">
      <c r="A108" s="4">
        <v>105</v>
      </c>
      <c r="B108" s="1">
        <v>1001999</v>
      </c>
      <c r="C108" s="3">
        <v>138685</v>
      </c>
      <c r="D108">
        <v>220195</v>
      </c>
      <c r="E108" s="3">
        <f>INT(SUM(C$4:C107)*$K$2)</f>
        <v>3301297</v>
      </c>
      <c r="F108" s="3">
        <v>3230</v>
      </c>
      <c r="G108">
        <v>3308560</v>
      </c>
      <c r="H108" s="3">
        <v>3230</v>
      </c>
      <c r="I108">
        <v>3308560</v>
      </c>
      <c r="J108" s="3"/>
      <c r="K108" s="3"/>
      <c r="L108">
        <v>1.2</v>
      </c>
      <c r="M108">
        <f t="shared" si="26"/>
        <v>7.1999999999999993</v>
      </c>
      <c r="N108" s="4">
        <f t="shared" si="30"/>
        <v>1102197</v>
      </c>
      <c r="O108" s="3">
        <f t="shared" si="31"/>
        <v>805580</v>
      </c>
      <c r="P108" s="4">
        <f t="shared" si="25"/>
        <v>-296617</v>
      </c>
      <c r="R108">
        <f t="shared" si="36"/>
        <v>105000</v>
      </c>
      <c r="S108" s="3">
        <f t="shared" si="27"/>
        <v>105000</v>
      </c>
      <c r="T108" s="3">
        <f t="shared" si="28"/>
        <v>31745</v>
      </c>
      <c r="U108">
        <f t="shared" si="29"/>
        <v>45934</v>
      </c>
      <c r="V108" s="3">
        <f t="shared" si="32"/>
        <v>159804</v>
      </c>
      <c r="W108">
        <f t="shared" si="33"/>
        <v>178000</v>
      </c>
      <c r="X108">
        <v>105</v>
      </c>
      <c r="Y108">
        <v>5000</v>
      </c>
    </row>
    <row r="109" spans="1:25" x14ac:dyDescent="0.15">
      <c r="A109" s="4">
        <v>106</v>
      </c>
      <c r="B109" s="1">
        <v>1022803</v>
      </c>
      <c r="C109" s="3">
        <v>140026</v>
      </c>
      <c r="D109">
        <v>221383</v>
      </c>
      <c r="E109" s="3">
        <f>INT(SUM(C$4:C108)*$K$2)</f>
        <v>3439982</v>
      </c>
      <c r="F109" s="3">
        <v>3295</v>
      </c>
      <c r="G109">
        <v>3386980</v>
      </c>
      <c r="H109" s="3">
        <v>3295</v>
      </c>
      <c r="I109">
        <v>3386980</v>
      </c>
      <c r="J109" s="3"/>
      <c r="K109" s="3"/>
      <c r="L109">
        <v>1.2</v>
      </c>
      <c r="M109">
        <f t="shared" si="26"/>
        <v>7.1999999999999993</v>
      </c>
      <c r="N109" s="4">
        <f t="shared" si="30"/>
        <v>1123296</v>
      </c>
      <c r="O109" s="3">
        <f t="shared" si="31"/>
        <v>828480</v>
      </c>
      <c r="P109" s="4">
        <f t="shared" si="25"/>
        <v>-294816</v>
      </c>
      <c r="R109">
        <f t="shared" si="36"/>
        <v>106000</v>
      </c>
      <c r="S109" s="3">
        <f t="shared" si="27"/>
        <v>106000</v>
      </c>
      <c r="T109" s="3">
        <f t="shared" si="28"/>
        <v>32166</v>
      </c>
      <c r="U109">
        <f t="shared" si="29"/>
        <v>46397</v>
      </c>
      <c r="V109" s="3">
        <f t="shared" si="32"/>
        <v>162835</v>
      </c>
      <c r="W109">
        <f t="shared" si="33"/>
        <v>192000</v>
      </c>
      <c r="X109">
        <v>106</v>
      </c>
      <c r="Y109">
        <v>14000</v>
      </c>
    </row>
    <row r="110" spans="1:25" x14ac:dyDescent="0.15">
      <c r="A110" s="4">
        <v>107</v>
      </c>
      <c r="B110" s="1">
        <v>1048230</v>
      </c>
      <c r="C110" s="3">
        <v>141665</v>
      </c>
      <c r="D110">
        <v>222836</v>
      </c>
      <c r="E110" s="3">
        <f>INT(SUM(C$4:C109)*$K$2)</f>
        <v>3580008</v>
      </c>
      <c r="F110" s="3">
        <v>3361</v>
      </c>
      <c r="G110">
        <v>3470800</v>
      </c>
      <c r="H110" s="3">
        <v>3361</v>
      </c>
      <c r="I110">
        <v>3470800</v>
      </c>
      <c r="J110" s="3"/>
      <c r="K110" s="3"/>
      <c r="L110">
        <v>1.2</v>
      </c>
      <c r="M110">
        <f t="shared" si="26"/>
        <v>7.1999999999999993</v>
      </c>
      <c r="N110" s="4">
        <f t="shared" si="30"/>
        <v>1144595</v>
      </c>
      <c r="O110" s="3">
        <f t="shared" si="31"/>
        <v>851810</v>
      </c>
      <c r="P110" s="4">
        <f t="shared" si="25"/>
        <v>-292785</v>
      </c>
      <c r="R110">
        <f t="shared" si="36"/>
        <v>107000</v>
      </c>
      <c r="S110" s="3">
        <f t="shared" si="27"/>
        <v>107000</v>
      </c>
      <c r="T110" s="3">
        <f t="shared" si="28"/>
        <v>32591</v>
      </c>
      <c r="U110">
        <f t="shared" si="29"/>
        <v>46864</v>
      </c>
      <c r="V110" s="3">
        <f t="shared" si="32"/>
        <v>165895</v>
      </c>
      <c r="W110">
        <f t="shared" si="33"/>
        <v>192480</v>
      </c>
      <c r="X110">
        <v>107</v>
      </c>
      <c r="Y110">
        <f t="shared" ref="Y110" si="37">72+FLOOR((A110-21)/5,1)*24</f>
        <v>480</v>
      </c>
    </row>
    <row r="111" spans="1:25" x14ac:dyDescent="0.15">
      <c r="A111" s="4">
        <v>108</v>
      </c>
      <c r="B111" s="1">
        <v>1078280</v>
      </c>
      <c r="C111" s="3">
        <v>143603</v>
      </c>
      <c r="D111">
        <v>224552</v>
      </c>
      <c r="E111" s="3">
        <f>INT(SUM(C$4:C110)*$K$2)</f>
        <v>3721673</v>
      </c>
      <c r="F111" s="3">
        <v>3426</v>
      </c>
      <c r="G111">
        <v>3560020</v>
      </c>
      <c r="H111" s="3">
        <v>3426</v>
      </c>
      <c r="I111">
        <v>3560020</v>
      </c>
      <c r="J111" s="3"/>
      <c r="K111" s="3"/>
      <c r="L111">
        <v>1.2</v>
      </c>
      <c r="M111">
        <f t="shared" si="26"/>
        <v>7.1999999999999993</v>
      </c>
      <c r="N111" s="4">
        <f t="shared" si="30"/>
        <v>1166094</v>
      </c>
      <c r="O111" s="3">
        <f t="shared" si="31"/>
        <v>875574</v>
      </c>
      <c r="P111" s="4">
        <f t="shared" si="25"/>
        <v>-290520</v>
      </c>
      <c r="R111">
        <f t="shared" si="36"/>
        <v>108000</v>
      </c>
      <c r="S111" s="3">
        <f t="shared" si="27"/>
        <v>108000</v>
      </c>
      <c r="T111" s="3">
        <f t="shared" si="28"/>
        <v>33020</v>
      </c>
      <c r="U111">
        <f t="shared" si="29"/>
        <v>47335</v>
      </c>
      <c r="V111" s="3">
        <f t="shared" si="32"/>
        <v>168984</v>
      </c>
      <c r="W111">
        <f t="shared" si="33"/>
        <v>192960</v>
      </c>
      <c r="X111">
        <v>108</v>
      </c>
      <c r="Y111">
        <f t="shared" si="21"/>
        <v>480</v>
      </c>
    </row>
    <row r="112" spans="1:25" x14ac:dyDescent="0.15">
      <c r="A112" s="4">
        <v>109</v>
      </c>
      <c r="B112" s="1">
        <v>1112953</v>
      </c>
      <c r="C112" s="3">
        <v>145838</v>
      </c>
      <c r="D112">
        <v>226533</v>
      </c>
      <c r="E112" s="3">
        <f>INT(SUM(C$4:C111)*$K$2)</f>
        <v>3865276</v>
      </c>
      <c r="F112" s="3">
        <v>3491</v>
      </c>
      <c r="G112">
        <v>3654660</v>
      </c>
      <c r="H112" s="3">
        <v>3491</v>
      </c>
      <c r="I112">
        <v>3654660</v>
      </c>
      <c r="J112" s="3"/>
      <c r="K112" s="3"/>
      <c r="L112">
        <v>1.2</v>
      </c>
      <c r="M112">
        <f t="shared" si="26"/>
        <v>7.1999999999999993</v>
      </c>
      <c r="N112" s="4">
        <f t="shared" si="30"/>
        <v>1187793</v>
      </c>
      <c r="O112" s="3">
        <f t="shared" si="31"/>
        <v>899776</v>
      </c>
      <c r="P112" s="4">
        <f t="shared" si="25"/>
        <v>-288017</v>
      </c>
      <c r="R112">
        <f t="shared" si="36"/>
        <v>109000</v>
      </c>
      <c r="S112" s="3">
        <f t="shared" si="27"/>
        <v>109000</v>
      </c>
      <c r="T112" s="3">
        <f t="shared" si="28"/>
        <v>33453</v>
      </c>
      <c r="U112">
        <f t="shared" si="29"/>
        <v>47810</v>
      </c>
      <c r="V112" s="3">
        <f t="shared" si="32"/>
        <v>172101</v>
      </c>
      <c r="W112">
        <f t="shared" si="33"/>
        <v>193440</v>
      </c>
      <c r="X112">
        <v>109</v>
      </c>
      <c r="Y112">
        <f t="shared" si="21"/>
        <v>480</v>
      </c>
    </row>
    <row r="113" spans="1:25" x14ac:dyDescent="0.15">
      <c r="A113" s="4">
        <v>110</v>
      </c>
      <c r="B113" s="1">
        <v>1152249</v>
      </c>
      <c r="C113" s="3">
        <v>148371</v>
      </c>
      <c r="D113">
        <v>228778</v>
      </c>
      <c r="E113" s="3">
        <f>INT(SUM(C$4:C112)*$K$2)</f>
        <v>4011114</v>
      </c>
      <c r="F113" s="3">
        <v>3557</v>
      </c>
      <c r="G113">
        <v>3754700</v>
      </c>
      <c r="H113" s="3">
        <v>3557</v>
      </c>
      <c r="I113">
        <v>3754700</v>
      </c>
      <c r="J113" s="3"/>
      <c r="K113" s="3"/>
      <c r="L113">
        <v>1.2</v>
      </c>
      <c r="M113">
        <f t="shared" si="26"/>
        <v>7.1999999999999993</v>
      </c>
      <c r="N113" s="4">
        <f t="shared" si="30"/>
        <v>1209692</v>
      </c>
      <c r="O113" s="3">
        <f t="shared" si="31"/>
        <v>924420</v>
      </c>
      <c r="P113" s="4">
        <f t="shared" si="25"/>
        <v>-285272</v>
      </c>
      <c r="R113">
        <f t="shared" si="36"/>
        <v>110000</v>
      </c>
      <c r="S113" s="3">
        <f t="shared" si="27"/>
        <v>110000</v>
      </c>
      <c r="T113" s="3">
        <f t="shared" si="28"/>
        <v>33890</v>
      </c>
      <c r="U113">
        <f t="shared" si="29"/>
        <v>48508</v>
      </c>
      <c r="V113" s="3">
        <f t="shared" si="32"/>
        <v>175248</v>
      </c>
      <c r="W113">
        <f t="shared" si="33"/>
        <v>193920</v>
      </c>
      <c r="X113">
        <v>110</v>
      </c>
      <c r="Y113">
        <f t="shared" si="21"/>
        <v>480</v>
      </c>
    </row>
    <row r="114" spans="1:25" x14ac:dyDescent="0.15">
      <c r="A114" s="4">
        <v>111</v>
      </c>
      <c r="B114" s="1">
        <v>1196169</v>
      </c>
      <c r="C114" s="3">
        <v>151203</v>
      </c>
      <c r="D114">
        <v>231287</v>
      </c>
      <c r="E114" s="3">
        <f>INT(SUM(C$4:C113)*$K$2)</f>
        <v>4159485</v>
      </c>
      <c r="F114" s="3">
        <v>3622</v>
      </c>
      <c r="G114">
        <v>3860160</v>
      </c>
      <c r="H114" s="3">
        <v>3622</v>
      </c>
      <c r="I114">
        <v>3860160</v>
      </c>
      <c r="J114" s="3"/>
      <c r="K114" s="3"/>
      <c r="L114">
        <v>1.2</v>
      </c>
      <c r="M114">
        <f t="shared" si="26"/>
        <v>7.1999999999999993</v>
      </c>
      <c r="N114" s="4">
        <f t="shared" si="30"/>
        <v>1231791</v>
      </c>
      <c r="O114" s="3">
        <f t="shared" si="31"/>
        <v>949510</v>
      </c>
      <c r="P114" s="4">
        <f t="shared" si="25"/>
        <v>-282281</v>
      </c>
      <c r="R114">
        <f t="shared" si="36"/>
        <v>111000</v>
      </c>
      <c r="S114" s="3">
        <f t="shared" si="27"/>
        <v>111000</v>
      </c>
      <c r="T114" s="3">
        <f t="shared" si="28"/>
        <v>34331</v>
      </c>
      <c r="U114">
        <f t="shared" si="29"/>
        <v>48993</v>
      </c>
      <c r="V114" s="3">
        <f t="shared" si="32"/>
        <v>178423</v>
      </c>
      <c r="W114">
        <f t="shared" si="33"/>
        <v>196752</v>
      </c>
      <c r="X114">
        <v>111</v>
      </c>
      <c r="Y114">
        <f t="shared" ref="Y114" si="38">240+FLOOR((A114-21)/5,1)*144</f>
        <v>2832</v>
      </c>
    </row>
    <row r="115" spans="1:25" x14ac:dyDescent="0.15">
      <c r="A115" s="4">
        <v>112</v>
      </c>
      <c r="B115" s="1">
        <v>1244711</v>
      </c>
      <c r="C115" s="3">
        <v>154332</v>
      </c>
      <c r="D115">
        <v>234060</v>
      </c>
      <c r="E115" s="3">
        <f>INT(SUM(C$4:C114)*$K$2)</f>
        <v>4310688</v>
      </c>
      <c r="F115" s="3">
        <v>3687</v>
      </c>
      <c r="G115">
        <v>3971020</v>
      </c>
      <c r="H115" s="3">
        <v>3687</v>
      </c>
      <c r="I115">
        <v>3971020</v>
      </c>
      <c r="J115" s="3"/>
      <c r="K115" s="3"/>
      <c r="L115">
        <v>1.2</v>
      </c>
      <c r="M115">
        <f t="shared" si="26"/>
        <v>7.1999999999999993</v>
      </c>
      <c r="N115" s="4">
        <f t="shared" si="30"/>
        <v>1254090</v>
      </c>
      <c r="O115" s="3">
        <f t="shared" si="31"/>
        <v>975050</v>
      </c>
      <c r="P115" s="4">
        <f t="shared" si="25"/>
        <v>-279040</v>
      </c>
      <c r="R115">
        <f t="shared" si="36"/>
        <v>112000</v>
      </c>
      <c r="S115" s="3">
        <f t="shared" si="27"/>
        <v>112000</v>
      </c>
      <c r="T115" s="3">
        <f t="shared" si="28"/>
        <v>34776</v>
      </c>
      <c r="U115">
        <f t="shared" si="29"/>
        <v>49482</v>
      </c>
      <c r="V115" s="3">
        <f t="shared" si="32"/>
        <v>181627</v>
      </c>
      <c r="W115">
        <f t="shared" si="33"/>
        <v>197256</v>
      </c>
      <c r="X115">
        <v>112</v>
      </c>
      <c r="Y115">
        <f t="shared" ref="Y115" si="39">72+FLOOR((A115-21)/5,1)*24</f>
        <v>504</v>
      </c>
    </row>
    <row r="116" spans="1:25" x14ac:dyDescent="0.15">
      <c r="A116" s="4">
        <v>113</v>
      </c>
      <c r="B116" s="1">
        <v>1297877</v>
      </c>
      <c r="C116" s="3">
        <v>157759</v>
      </c>
      <c r="D116">
        <v>237098</v>
      </c>
      <c r="E116" s="3">
        <f>INT(SUM(C$4:C115)*$K$2)</f>
        <v>4465020</v>
      </c>
      <c r="F116" s="3">
        <v>3753</v>
      </c>
      <c r="G116">
        <v>4087280</v>
      </c>
      <c r="H116" s="3">
        <v>3753</v>
      </c>
      <c r="I116">
        <v>4087280</v>
      </c>
      <c r="J116" s="3"/>
      <c r="K116" s="3"/>
      <c r="L116">
        <v>1.2</v>
      </c>
      <c r="M116">
        <f t="shared" si="26"/>
        <v>7.1999999999999993</v>
      </c>
      <c r="N116" s="4">
        <f t="shared" si="30"/>
        <v>1276589</v>
      </c>
      <c r="O116" s="3">
        <f t="shared" si="31"/>
        <v>1001044</v>
      </c>
      <c r="P116" s="4">
        <f t="shared" si="25"/>
        <v>-275545</v>
      </c>
      <c r="R116">
        <f t="shared" si="36"/>
        <v>113000</v>
      </c>
      <c r="S116" s="3">
        <f t="shared" si="27"/>
        <v>113000</v>
      </c>
      <c r="T116" s="3">
        <f t="shared" si="28"/>
        <v>36675</v>
      </c>
      <c r="U116">
        <f t="shared" si="29"/>
        <v>52875</v>
      </c>
      <c r="V116" s="3">
        <f t="shared" si="32"/>
        <v>184860</v>
      </c>
      <c r="W116">
        <f t="shared" si="33"/>
        <v>197760</v>
      </c>
      <c r="X116">
        <v>113</v>
      </c>
      <c r="Y116">
        <f t="shared" ref="Y116:Y118" si="40">72+FLOOR((A116-21)/5,1)*24</f>
        <v>504</v>
      </c>
    </row>
    <row r="117" spans="1:25" x14ac:dyDescent="0.15">
      <c r="A117" s="4">
        <v>114</v>
      </c>
      <c r="B117" s="1">
        <v>1355665</v>
      </c>
      <c r="C117" s="3">
        <v>161485</v>
      </c>
      <c r="D117">
        <v>240399</v>
      </c>
      <c r="E117" s="3">
        <f>INT(SUM(C$4:C116)*$K$2)</f>
        <v>4622779</v>
      </c>
      <c r="F117" s="3">
        <v>3818</v>
      </c>
      <c r="G117">
        <v>4208960</v>
      </c>
      <c r="H117" s="3">
        <v>3818</v>
      </c>
      <c r="I117">
        <v>4208960</v>
      </c>
      <c r="J117" s="3"/>
      <c r="K117" s="3"/>
      <c r="L117">
        <v>1.2</v>
      </c>
      <c r="M117">
        <f t="shared" si="26"/>
        <v>7.1999999999999993</v>
      </c>
      <c r="N117" s="4">
        <f t="shared" si="30"/>
        <v>1299288</v>
      </c>
      <c r="O117" s="3">
        <f t="shared" si="31"/>
        <v>1027496</v>
      </c>
      <c r="P117" s="4">
        <f t="shared" si="25"/>
        <v>-271792</v>
      </c>
      <c r="R117">
        <f t="shared" si="36"/>
        <v>114000</v>
      </c>
      <c r="S117" s="3">
        <f t="shared" si="27"/>
        <v>114000</v>
      </c>
      <c r="T117" s="3">
        <f t="shared" si="28"/>
        <v>37128</v>
      </c>
      <c r="U117">
        <f t="shared" si="29"/>
        <v>53372</v>
      </c>
      <c r="V117" s="3">
        <f t="shared" si="32"/>
        <v>188121</v>
      </c>
      <c r="W117">
        <f t="shared" si="33"/>
        <v>198264</v>
      </c>
      <c r="X117">
        <v>114</v>
      </c>
      <c r="Y117">
        <f t="shared" si="40"/>
        <v>504</v>
      </c>
    </row>
    <row r="118" spans="1:25" x14ac:dyDescent="0.15">
      <c r="A118" s="4">
        <v>115</v>
      </c>
      <c r="B118" s="1">
        <v>1418077</v>
      </c>
      <c r="C118" s="3">
        <v>165508</v>
      </c>
      <c r="D118">
        <v>243965</v>
      </c>
      <c r="E118" s="3">
        <f>INT(SUM(C$4:C117)*$K$2)</f>
        <v>4784264</v>
      </c>
      <c r="F118" s="3">
        <v>3883</v>
      </c>
      <c r="G118">
        <v>4336060</v>
      </c>
      <c r="H118" s="3">
        <v>3883</v>
      </c>
      <c r="I118">
        <v>4336060</v>
      </c>
      <c r="J118" s="3"/>
      <c r="K118" s="3"/>
      <c r="L118">
        <v>1.25</v>
      </c>
      <c r="M118">
        <f t="shared" si="26"/>
        <v>7.5</v>
      </c>
      <c r="N118" s="4">
        <f t="shared" si="30"/>
        <v>1322187</v>
      </c>
      <c r="O118" s="3">
        <f t="shared" si="31"/>
        <v>1054410</v>
      </c>
      <c r="P118" s="4">
        <f t="shared" si="25"/>
        <v>-267777</v>
      </c>
      <c r="R118">
        <f t="shared" si="36"/>
        <v>115000</v>
      </c>
      <c r="S118" s="3">
        <f t="shared" si="27"/>
        <v>115000</v>
      </c>
      <c r="T118" s="3">
        <f t="shared" si="28"/>
        <v>37585</v>
      </c>
      <c r="U118">
        <f t="shared" si="29"/>
        <v>54102</v>
      </c>
      <c r="V118" s="3">
        <f t="shared" si="32"/>
        <v>199312</v>
      </c>
      <c r="W118">
        <f t="shared" si="33"/>
        <v>198768</v>
      </c>
      <c r="X118">
        <v>115</v>
      </c>
      <c r="Y118">
        <f t="shared" si="40"/>
        <v>504</v>
      </c>
    </row>
    <row r="119" spans="1:25" x14ac:dyDescent="0.15">
      <c r="A119" s="4">
        <v>116</v>
      </c>
      <c r="B119" s="1">
        <v>1485112</v>
      </c>
      <c r="C119" s="3">
        <v>169830</v>
      </c>
      <c r="D119">
        <v>247794</v>
      </c>
      <c r="E119" s="3">
        <f>INT(SUM(C$4:C118)*$K$2)</f>
        <v>4949772</v>
      </c>
      <c r="F119" s="3">
        <v>3949</v>
      </c>
      <c r="G119">
        <v>4468540</v>
      </c>
      <c r="H119" s="3">
        <v>3949</v>
      </c>
      <c r="I119">
        <v>4468540</v>
      </c>
      <c r="J119" s="3"/>
      <c r="K119" s="3"/>
      <c r="L119">
        <v>1.25</v>
      </c>
      <c r="M119">
        <f t="shared" si="26"/>
        <v>7.5</v>
      </c>
      <c r="N119" s="4">
        <f t="shared" si="30"/>
        <v>1345286</v>
      </c>
      <c r="O119" s="3">
        <f t="shared" si="31"/>
        <v>1081790</v>
      </c>
      <c r="P119" s="4">
        <f t="shared" si="25"/>
        <v>-263496</v>
      </c>
      <c r="R119">
        <f t="shared" si="36"/>
        <v>116000</v>
      </c>
      <c r="S119" s="3">
        <f t="shared" si="27"/>
        <v>116000</v>
      </c>
      <c r="T119" s="3">
        <f t="shared" si="28"/>
        <v>38046</v>
      </c>
      <c r="U119">
        <f t="shared" si="29"/>
        <v>54609</v>
      </c>
      <c r="V119" s="3">
        <f t="shared" si="32"/>
        <v>202770</v>
      </c>
      <c r="W119">
        <f t="shared" si="33"/>
        <v>201744</v>
      </c>
      <c r="X119">
        <v>116</v>
      </c>
      <c r="Y119">
        <f t="shared" ref="Y119" si="41">240+FLOOR((A119-21)/5,1)*144</f>
        <v>2976</v>
      </c>
    </row>
    <row r="120" spans="1:25" x14ac:dyDescent="0.15">
      <c r="A120" s="4">
        <v>117</v>
      </c>
      <c r="B120" s="1">
        <v>1556770</v>
      </c>
      <c r="C120" s="3">
        <v>174449</v>
      </c>
      <c r="D120">
        <v>251888</v>
      </c>
      <c r="E120" s="3">
        <f>INT(SUM(C$4:C119)*$K$2)</f>
        <v>5119602</v>
      </c>
      <c r="F120" s="3">
        <v>4014</v>
      </c>
      <c r="G120">
        <v>4606440</v>
      </c>
      <c r="H120" s="3">
        <v>4014</v>
      </c>
      <c r="I120">
        <v>4606440</v>
      </c>
      <c r="J120" s="3"/>
      <c r="K120" s="3"/>
      <c r="L120">
        <v>1.25</v>
      </c>
      <c r="M120">
        <f t="shared" si="26"/>
        <v>7.5</v>
      </c>
      <c r="N120" s="4">
        <f t="shared" si="30"/>
        <v>1368585</v>
      </c>
      <c r="O120" s="3">
        <f t="shared" si="31"/>
        <v>1109640</v>
      </c>
      <c r="P120" s="4">
        <f t="shared" si="25"/>
        <v>-258945</v>
      </c>
      <c r="R120">
        <f t="shared" si="36"/>
        <v>117000</v>
      </c>
      <c r="S120" s="3">
        <f t="shared" si="27"/>
        <v>117000</v>
      </c>
      <c r="T120" s="3">
        <f t="shared" si="28"/>
        <v>38511</v>
      </c>
      <c r="U120">
        <f t="shared" si="29"/>
        <v>55120</v>
      </c>
      <c r="V120" s="3">
        <f t="shared" si="32"/>
        <v>206257</v>
      </c>
      <c r="W120">
        <f t="shared" si="33"/>
        <v>202272</v>
      </c>
      <c r="X120">
        <v>117</v>
      </c>
      <c r="Y120">
        <f t="shared" ref="Y120" si="42">72+FLOOR((A120-21)/5,1)*24</f>
        <v>528</v>
      </c>
    </row>
    <row r="121" spans="1:25" x14ac:dyDescent="0.15">
      <c r="A121" s="4">
        <v>118</v>
      </c>
      <c r="B121" s="1">
        <v>1633051</v>
      </c>
      <c r="C121" s="3">
        <v>179367</v>
      </c>
      <c r="D121">
        <v>256246</v>
      </c>
      <c r="E121" s="3">
        <f>INT(SUM(C$4:C120)*$K$2)</f>
        <v>5294051</v>
      </c>
      <c r="F121" s="3">
        <v>4079</v>
      </c>
      <c r="G121">
        <v>4749760</v>
      </c>
      <c r="H121" s="3">
        <v>4079</v>
      </c>
      <c r="I121">
        <v>4749760</v>
      </c>
      <c r="J121" s="3"/>
      <c r="K121" s="3"/>
      <c r="L121">
        <v>1.25</v>
      </c>
      <c r="M121">
        <f t="shared" si="26"/>
        <v>7.5</v>
      </c>
      <c r="N121" s="4">
        <f t="shared" si="30"/>
        <v>1392084</v>
      </c>
      <c r="O121" s="3">
        <f t="shared" si="31"/>
        <v>1137964</v>
      </c>
      <c r="P121" s="4">
        <f t="shared" si="25"/>
        <v>-254120</v>
      </c>
      <c r="R121">
        <f t="shared" si="36"/>
        <v>118000</v>
      </c>
      <c r="S121" s="3">
        <f t="shared" si="27"/>
        <v>118000</v>
      </c>
      <c r="T121" s="3">
        <f t="shared" si="28"/>
        <v>38980</v>
      </c>
      <c r="U121">
        <f t="shared" si="29"/>
        <v>55635</v>
      </c>
      <c r="V121" s="3">
        <f t="shared" si="32"/>
        <v>209775</v>
      </c>
      <c r="W121">
        <f t="shared" si="33"/>
        <v>202800</v>
      </c>
      <c r="X121">
        <v>118</v>
      </c>
      <c r="Y121">
        <f t="shared" ref="Y121:Y123" si="43">72+FLOOR((A121-21)/5,1)*24</f>
        <v>528</v>
      </c>
    </row>
    <row r="122" spans="1:25" x14ac:dyDescent="0.15">
      <c r="A122" s="4">
        <v>119</v>
      </c>
      <c r="B122" s="1">
        <v>1713955</v>
      </c>
      <c r="C122" s="3">
        <v>184582</v>
      </c>
      <c r="D122">
        <v>260868</v>
      </c>
      <c r="E122" s="3">
        <f>INT(SUM(C$4:C121)*$K$2)</f>
        <v>5473418</v>
      </c>
      <c r="F122" s="3">
        <v>4145</v>
      </c>
      <c r="G122">
        <v>4898460</v>
      </c>
      <c r="H122" s="3">
        <v>4145</v>
      </c>
      <c r="I122">
        <v>4898460</v>
      </c>
      <c r="J122" s="3"/>
      <c r="K122" s="3"/>
      <c r="L122">
        <v>1.25</v>
      </c>
      <c r="M122">
        <f t="shared" si="26"/>
        <v>7.5</v>
      </c>
      <c r="N122" s="4">
        <f t="shared" si="30"/>
        <v>1415783</v>
      </c>
      <c r="O122" s="3">
        <f t="shared" si="31"/>
        <v>1166766</v>
      </c>
      <c r="P122" s="4">
        <f t="shared" si="25"/>
        <v>-249017</v>
      </c>
      <c r="R122">
        <f t="shared" si="36"/>
        <v>119000</v>
      </c>
      <c r="S122" s="3">
        <f t="shared" si="27"/>
        <v>119000</v>
      </c>
      <c r="T122" s="3">
        <f t="shared" si="28"/>
        <v>39453</v>
      </c>
      <c r="U122">
        <f t="shared" si="29"/>
        <v>56154</v>
      </c>
      <c r="V122" s="3">
        <f t="shared" si="32"/>
        <v>213322</v>
      </c>
      <c r="W122">
        <f t="shared" si="33"/>
        <v>203328</v>
      </c>
      <c r="X122">
        <v>119</v>
      </c>
      <c r="Y122">
        <f t="shared" si="43"/>
        <v>528</v>
      </c>
    </row>
    <row r="123" spans="1:25" x14ac:dyDescent="0.15">
      <c r="A123" s="4">
        <v>120</v>
      </c>
      <c r="B123" s="1">
        <v>1799482</v>
      </c>
      <c r="C123" s="3">
        <v>190096</v>
      </c>
      <c r="D123">
        <v>265754</v>
      </c>
      <c r="E123" s="3">
        <f>INT(SUM(C$4:C122)*$K$2)</f>
        <v>5658000</v>
      </c>
      <c r="F123" s="3">
        <v>4210</v>
      </c>
      <c r="G123">
        <v>5052600</v>
      </c>
      <c r="H123" s="3">
        <v>0</v>
      </c>
      <c r="I123">
        <v>0</v>
      </c>
      <c r="J123" s="3"/>
      <c r="K123" s="3"/>
      <c r="L123">
        <v>1.25</v>
      </c>
      <c r="M123">
        <f t="shared" si="26"/>
        <v>8.75</v>
      </c>
      <c r="N123" s="4">
        <f t="shared" si="30"/>
        <v>1439682</v>
      </c>
      <c r="O123" s="3">
        <f t="shared" si="31"/>
        <v>1196050</v>
      </c>
      <c r="P123" s="4">
        <f t="shared" si="25"/>
        <v>-243632</v>
      </c>
      <c r="R123">
        <f t="shared" si="36"/>
        <v>120000</v>
      </c>
      <c r="S123" s="3">
        <f t="shared" si="27"/>
        <v>120000</v>
      </c>
      <c r="T123" s="3">
        <f t="shared" si="28"/>
        <v>39930</v>
      </c>
      <c r="U123">
        <f t="shared" si="29"/>
        <v>56916</v>
      </c>
      <c r="V123" s="3">
        <f t="shared" si="32"/>
        <v>253400</v>
      </c>
      <c r="W123">
        <f t="shared" si="33"/>
        <v>203856</v>
      </c>
      <c r="X123">
        <v>120</v>
      </c>
      <c r="Y123">
        <f t="shared" si="43"/>
        <v>528</v>
      </c>
    </row>
    <row r="124" spans="1:25" x14ac:dyDescent="0.15">
      <c r="A124" s="4">
        <v>121</v>
      </c>
      <c r="B124" s="1">
        <v>1943440</v>
      </c>
      <c r="C124" s="3">
        <v>205303</v>
      </c>
      <c r="D124">
        <v>287014</v>
      </c>
      <c r="E124" s="3">
        <f>INT(SUM(C$4:C123)*$K$2)</f>
        <v>5848096</v>
      </c>
      <c r="F124" s="3">
        <v>0</v>
      </c>
      <c r="G124" s="3">
        <v>0</v>
      </c>
      <c r="H124" s="3">
        <v>0</v>
      </c>
      <c r="I124" s="3">
        <v>0</v>
      </c>
      <c r="J124" s="3"/>
      <c r="K124" s="3"/>
      <c r="L124">
        <v>1.25</v>
      </c>
      <c r="M124">
        <f t="shared" si="26"/>
        <v>8.75</v>
      </c>
      <c r="N124" s="4">
        <f t="shared" si="30"/>
        <v>1463781</v>
      </c>
      <c r="O124" s="3">
        <f t="shared" si="31"/>
        <v>1225820</v>
      </c>
      <c r="P124" s="4">
        <f t="shared" si="25"/>
        <v>-237961</v>
      </c>
      <c r="R124">
        <f t="shared" si="36"/>
        <v>121000</v>
      </c>
      <c r="S124" s="3">
        <f t="shared" si="27"/>
        <v>121000</v>
      </c>
      <c r="T124" s="3">
        <f t="shared" si="28"/>
        <v>41961</v>
      </c>
      <c r="U124">
        <f t="shared" si="29"/>
        <v>60545</v>
      </c>
      <c r="V124" s="3">
        <f t="shared" si="32"/>
        <v>257608</v>
      </c>
      <c r="W124">
        <f t="shared" si="33"/>
        <v>206976</v>
      </c>
      <c r="Y124">
        <f t="shared" ref="Y124" si="44">240+FLOOR((A124-21)/5,1)*144</f>
        <v>3120</v>
      </c>
    </row>
    <row r="125" spans="1:25" x14ac:dyDescent="0.15">
      <c r="A125" s="4">
        <v>122</v>
      </c>
      <c r="B125" s="1">
        <v>1945635</v>
      </c>
      <c r="C125" s="3">
        <v>205525</v>
      </c>
      <c r="D125">
        <v>287176</v>
      </c>
      <c r="E125" s="3">
        <f>INT(SUM(C$4:C124)*$K$2)</f>
        <v>6053399</v>
      </c>
      <c r="F125" s="3">
        <v>0</v>
      </c>
      <c r="G125" s="3">
        <v>0</v>
      </c>
      <c r="H125" s="3">
        <v>0</v>
      </c>
      <c r="I125" s="3">
        <v>0</v>
      </c>
      <c r="J125" s="3"/>
      <c r="K125" s="3"/>
      <c r="L125">
        <v>1.25</v>
      </c>
      <c r="M125">
        <f t="shared" si="26"/>
        <v>8.75</v>
      </c>
      <c r="N125" s="4">
        <f t="shared" si="30"/>
        <v>1488080</v>
      </c>
      <c r="O125" s="3">
        <f t="shared" si="31"/>
        <v>1256080</v>
      </c>
      <c r="P125" s="4">
        <f t="shared" si="25"/>
        <v>-232000</v>
      </c>
      <c r="R125">
        <f t="shared" si="36"/>
        <v>122000</v>
      </c>
      <c r="S125" s="3">
        <f t="shared" si="27"/>
        <v>122000</v>
      </c>
      <c r="T125" s="3">
        <f t="shared" si="28"/>
        <v>42446</v>
      </c>
      <c r="U125">
        <f t="shared" si="29"/>
        <v>61078</v>
      </c>
      <c r="V125" s="3">
        <f t="shared" si="32"/>
        <v>261852</v>
      </c>
      <c r="W125">
        <f t="shared" si="33"/>
        <v>207528</v>
      </c>
      <c r="Y125">
        <f t="shared" ref="Y125:Y188" si="45">72+FLOOR((A125-21)/5,1)*24</f>
        <v>552</v>
      </c>
    </row>
    <row r="126" spans="1:25" x14ac:dyDescent="0.15">
      <c r="A126" s="4">
        <v>123</v>
      </c>
      <c r="B126" s="1">
        <v>1952221</v>
      </c>
      <c r="C126" s="3">
        <v>206189</v>
      </c>
      <c r="D126">
        <v>287665</v>
      </c>
      <c r="E126" s="3">
        <f>INT(SUM(C$4:C125)*$K$2)</f>
        <v>6258924</v>
      </c>
      <c r="F126" s="3">
        <v>0</v>
      </c>
      <c r="G126" s="3">
        <v>0</v>
      </c>
      <c r="H126" s="3">
        <v>0</v>
      </c>
      <c r="I126" s="3">
        <v>0</v>
      </c>
      <c r="J126" s="3"/>
      <c r="K126" s="3"/>
      <c r="L126">
        <v>1.25</v>
      </c>
      <c r="M126">
        <f t="shared" si="26"/>
        <v>8.75</v>
      </c>
      <c r="N126" s="4">
        <f t="shared" si="30"/>
        <v>1512579</v>
      </c>
      <c r="O126" s="3">
        <f t="shared" si="31"/>
        <v>1286834</v>
      </c>
      <c r="P126" s="4">
        <f t="shared" si="25"/>
        <v>-225745</v>
      </c>
      <c r="R126">
        <f t="shared" si="36"/>
        <v>123000</v>
      </c>
      <c r="S126" s="3">
        <f t="shared" si="27"/>
        <v>123000</v>
      </c>
      <c r="T126" s="3">
        <f t="shared" si="28"/>
        <v>42935</v>
      </c>
      <c r="U126">
        <f t="shared" si="29"/>
        <v>61615</v>
      </c>
      <c r="V126" s="3">
        <f t="shared" si="32"/>
        <v>266131</v>
      </c>
      <c r="W126">
        <f t="shared" si="33"/>
        <v>208080</v>
      </c>
      <c r="Y126">
        <f t="shared" si="45"/>
        <v>552</v>
      </c>
    </row>
    <row r="127" spans="1:25" x14ac:dyDescent="0.15">
      <c r="A127" s="4">
        <v>124</v>
      </c>
      <c r="B127" s="1">
        <v>1963198</v>
      </c>
      <c r="C127" s="3">
        <v>207295</v>
      </c>
      <c r="D127">
        <v>288478</v>
      </c>
      <c r="E127" s="3">
        <f>INT(SUM(C$4:C126)*$K$2)</f>
        <v>6465113</v>
      </c>
      <c r="F127" s="3">
        <v>0</v>
      </c>
      <c r="G127" s="3">
        <v>0</v>
      </c>
      <c r="H127" s="3">
        <v>0</v>
      </c>
      <c r="I127" s="3">
        <v>0</v>
      </c>
      <c r="J127" s="3"/>
      <c r="K127" s="3"/>
      <c r="L127">
        <v>1.25</v>
      </c>
      <c r="M127">
        <f t="shared" si="26"/>
        <v>8.75</v>
      </c>
      <c r="N127" s="4">
        <f t="shared" si="30"/>
        <v>1537278</v>
      </c>
      <c r="O127" s="3">
        <f t="shared" si="31"/>
        <v>1318086</v>
      </c>
      <c r="P127" s="4">
        <f t="shared" si="25"/>
        <v>-219192</v>
      </c>
      <c r="R127">
        <f t="shared" si="36"/>
        <v>124000</v>
      </c>
      <c r="S127" s="3">
        <f t="shared" si="27"/>
        <v>124000</v>
      </c>
      <c r="T127" s="3">
        <f t="shared" si="28"/>
        <v>43428</v>
      </c>
      <c r="U127">
        <f t="shared" si="29"/>
        <v>62156</v>
      </c>
      <c r="V127" s="3">
        <f t="shared" si="32"/>
        <v>270445</v>
      </c>
      <c r="W127">
        <f t="shared" si="33"/>
        <v>208632</v>
      </c>
      <c r="Y127">
        <f t="shared" si="45"/>
        <v>552</v>
      </c>
    </row>
    <row r="128" spans="1:25" x14ac:dyDescent="0.15">
      <c r="A128" s="4">
        <v>125</v>
      </c>
      <c r="B128" s="1">
        <v>1978566</v>
      </c>
      <c r="C128" s="3">
        <v>208845</v>
      </c>
      <c r="D128">
        <v>289617</v>
      </c>
      <c r="E128" s="3">
        <f>INT(SUM(C$4:C127)*$K$2)</f>
        <v>6672408</v>
      </c>
      <c r="F128" s="3">
        <v>0</v>
      </c>
      <c r="G128" s="3">
        <v>0</v>
      </c>
      <c r="H128" s="3">
        <v>0</v>
      </c>
      <c r="I128" s="3">
        <v>0</v>
      </c>
      <c r="J128" s="3"/>
      <c r="K128" s="3"/>
      <c r="L128">
        <v>1.3</v>
      </c>
      <c r="M128">
        <f t="shared" si="26"/>
        <v>9.1</v>
      </c>
      <c r="N128" s="4">
        <f t="shared" si="30"/>
        <v>1562177</v>
      </c>
      <c r="O128" s="3">
        <f t="shared" si="31"/>
        <v>1349840</v>
      </c>
      <c r="P128" s="4">
        <f t="shared" si="25"/>
        <v>-212337</v>
      </c>
      <c r="R128">
        <f t="shared" si="36"/>
        <v>125000</v>
      </c>
      <c r="S128" s="3">
        <f t="shared" si="27"/>
        <v>125000</v>
      </c>
      <c r="T128" s="3">
        <f t="shared" si="28"/>
        <v>43925</v>
      </c>
      <c r="U128">
        <f t="shared" si="29"/>
        <v>62950</v>
      </c>
      <c r="V128" s="3">
        <f t="shared" si="32"/>
        <v>285687</v>
      </c>
      <c r="W128">
        <f t="shared" si="33"/>
        <v>209184</v>
      </c>
      <c r="Y128">
        <f t="shared" si="45"/>
        <v>552</v>
      </c>
    </row>
    <row r="129" spans="1:25" x14ac:dyDescent="0.15">
      <c r="A129" s="4">
        <v>126</v>
      </c>
      <c r="B129" s="1">
        <v>1998324</v>
      </c>
      <c r="C129" s="3">
        <v>210837</v>
      </c>
      <c r="D129">
        <v>291081</v>
      </c>
      <c r="E129" s="3">
        <f>INT(SUM(C$4:C128)*$K$2)</f>
        <v>6881253</v>
      </c>
      <c r="F129" s="3">
        <v>0</v>
      </c>
      <c r="G129" s="3">
        <v>0</v>
      </c>
      <c r="H129" s="3">
        <v>0</v>
      </c>
      <c r="I129" s="3">
        <v>0</v>
      </c>
      <c r="J129" s="3"/>
      <c r="K129" s="3"/>
      <c r="L129">
        <v>1.3</v>
      </c>
      <c r="M129">
        <f t="shared" si="26"/>
        <v>9.1</v>
      </c>
      <c r="N129" s="4">
        <f t="shared" si="30"/>
        <v>1587276</v>
      </c>
      <c r="O129" s="3">
        <f t="shared" si="31"/>
        <v>1382100</v>
      </c>
      <c r="P129" s="4">
        <f t="shared" si="25"/>
        <v>-205176</v>
      </c>
      <c r="R129">
        <f t="shared" si="36"/>
        <v>126000</v>
      </c>
      <c r="S129" s="3">
        <f t="shared" si="27"/>
        <v>126000</v>
      </c>
      <c r="T129" s="3">
        <f t="shared" si="28"/>
        <v>44426</v>
      </c>
      <c r="U129">
        <f t="shared" si="29"/>
        <v>63501</v>
      </c>
      <c r="V129" s="3">
        <f t="shared" si="32"/>
        <v>290246</v>
      </c>
      <c r="W129">
        <f t="shared" si="33"/>
        <v>212448</v>
      </c>
      <c r="Y129">
        <f t="shared" ref="Y129" si="46">240+FLOOR((A129-21)/5,1)*144</f>
        <v>3264</v>
      </c>
    </row>
    <row r="130" spans="1:25" x14ac:dyDescent="0.15">
      <c r="A130" s="4">
        <v>127</v>
      </c>
      <c r="B130" s="1">
        <v>2022472</v>
      </c>
      <c r="C130" s="3">
        <v>213271</v>
      </c>
      <c r="D130">
        <v>292870</v>
      </c>
      <c r="E130" s="3">
        <f>INT(SUM(C$4:C129)*$K$2)</f>
        <v>7092090</v>
      </c>
      <c r="F130" s="3">
        <v>0</v>
      </c>
      <c r="G130" s="3">
        <v>0</v>
      </c>
      <c r="H130" s="3">
        <v>0</v>
      </c>
      <c r="I130" s="3">
        <v>0</v>
      </c>
      <c r="J130" s="3"/>
      <c r="K130" s="3"/>
      <c r="L130">
        <v>1.3</v>
      </c>
      <c r="M130">
        <f t="shared" si="26"/>
        <v>9.1</v>
      </c>
      <c r="N130" s="4">
        <f t="shared" si="30"/>
        <v>1612575</v>
      </c>
      <c r="O130" s="3">
        <f t="shared" si="31"/>
        <v>1414870</v>
      </c>
      <c r="P130" s="4">
        <f t="shared" si="25"/>
        <v>-197705</v>
      </c>
      <c r="R130">
        <f t="shared" si="36"/>
        <v>127000</v>
      </c>
      <c r="S130" s="3">
        <f t="shared" si="27"/>
        <v>127000</v>
      </c>
      <c r="T130" s="3">
        <f t="shared" si="28"/>
        <v>44931</v>
      </c>
      <c r="U130">
        <f t="shared" si="29"/>
        <v>64056</v>
      </c>
      <c r="V130" s="3">
        <f t="shared" si="32"/>
        <v>294842</v>
      </c>
      <c r="W130">
        <f t="shared" si="33"/>
        <v>213024</v>
      </c>
      <c r="Y130">
        <f t="shared" ref="Y130:Y193" si="47">72+FLOOR((A130-21)/5,1)*24</f>
        <v>576</v>
      </c>
    </row>
    <row r="131" spans="1:25" x14ac:dyDescent="0.15">
      <c r="A131" s="4">
        <v>128</v>
      </c>
      <c r="B131" s="1">
        <v>2051012</v>
      </c>
      <c r="C131" s="3">
        <v>216149</v>
      </c>
      <c r="D131">
        <v>294985</v>
      </c>
      <c r="E131" s="3">
        <f>INT(SUM(C$4:C130)*$K$2)</f>
        <v>7305361</v>
      </c>
      <c r="F131" s="3">
        <v>0</v>
      </c>
      <c r="G131" s="3">
        <v>0</v>
      </c>
      <c r="H131" s="3">
        <v>0</v>
      </c>
      <c r="I131" s="3">
        <v>0</v>
      </c>
      <c r="J131" s="3"/>
      <c r="K131" s="3"/>
      <c r="L131">
        <v>1.3</v>
      </c>
      <c r="M131">
        <f t="shared" si="26"/>
        <v>9.1</v>
      </c>
      <c r="N131" s="4">
        <f t="shared" si="30"/>
        <v>1638074</v>
      </c>
      <c r="O131" s="3">
        <f t="shared" si="31"/>
        <v>1448154</v>
      </c>
      <c r="P131" s="4">
        <f t="shared" si="25"/>
        <v>-189920</v>
      </c>
      <c r="R131">
        <f t="shared" si="36"/>
        <v>128000</v>
      </c>
      <c r="S131" s="3">
        <f t="shared" si="27"/>
        <v>128000</v>
      </c>
      <c r="T131" s="3">
        <f t="shared" si="28"/>
        <v>45440</v>
      </c>
      <c r="U131">
        <f t="shared" si="29"/>
        <v>64615</v>
      </c>
      <c r="V131" s="3">
        <f t="shared" si="32"/>
        <v>299474</v>
      </c>
      <c r="W131">
        <f t="shared" si="33"/>
        <v>213600</v>
      </c>
      <c r="Y131">
        <f t="shared" si="47"/>
        <v>576</v>
      </c>
    </row>
    <row r="132" spans="1:25" x14ac:dyDescent="0.15">
      <c r="A132" s="4">
        <v>129</v>
      </c>
      <c r="B132" s="1">
        <v>2083942</v>
      </c>
      <c r="C132" s="3">
        <v>219469</v>
      </c>
      <c r="D132">
        <v>297425</v>
      </c>
      <c r="E132" s="3">
        <f>INT(SUM(C$4:C131)*$K$2)</f>
        <v>7521510</v>
      </c>
      <c r="F132" s="3">
        <v>0</v>
      </c>
      <c r="G132" s="3">
        <v>0</v>
      </c>
      <c r="H132" s="3">
        <v>0</v>
      </c>
      <c r="I132" s="3">
        <v>0</v>
      </c>
      <c r="J132" s="3"/>
      <c r="K132" s="3"/>
      <c r="L132">
        <v>1.3</v>
      </c>
      <c r="M132">
        <f t="shared" si="26"/>
        <v>9.1</v>
      </c>
      <c r="N132" s="4">
        <f t="shared" si="30"/>
        <v>1663773</v>
      </c>
      <c r="O132" s="3">
        <f t="shared" si="31"/>
        <v>1481956</v>
      </c>
      <c r="P132" s="4">
        <f t="shared" ref="P132:P195" si="48">O132-N132</f>
        <v>-181817</v>
      </c>
      <c r="R132">
        <f t="shared" si="36"/>
        <v>129000</v>
      </c>
      <c r="S132" s="3">
        <f t="shared" si="27"/>
        <v>129000</v>
      </c>
      <c r="T132" s="3">
        <f t="shared" si="28"/>
        <v>47603</v>
      </c>
      <c r="U132">
        <f t="shared" si="29"/>
        <v>68478</v>
      </c>
      <c r="V132" s="3">
        <f t="shared" si="32"/>
        <v>304142</v>
      </c>
      <c r="W132">
        <f t="shared" si="33"/>
        <v>214176</v>
      </c>
      <c r="Y132">
        <f t="shared" si="47"/>
        <v>576</v>
      </c>
    </row>
    <row r="133" spans="1:25" x14ac:dyDescent="0.15">
      <c r="A133" s="4">
        <v>130</v>
      </c>
      <c r="B133" s="1">
        <v>2121263</v>
      </c>
      <c r="C133" s="3">
        <v>223232</v>
      </c>
      <c r="D133">
        <v>300191</v>
      </c>
      <c r="E133" s="3">
        <f>INT(SUM(C$4:C132)*$K$2)</f>
        <v>7740979</v>
      </c>
      <c r="F133" s="3">
        <v>0</v>
      </c>
      <c r="G133" s="3">
        <v>0</v>
      </c>
      <c r="H133" s="3">
        <v>0</v>
      </c>
      <c r="I133" s="3">
        <v>0</v>
      </c>
      <c r="J133" s="3"/>
      <c r="K133" s="3"/>
      <c r="L133">
        <v>1.3</v>
      </c>
      <c r="M133">
        <f t="shared" ref="M133:M196" si="49">(FLOOR(A133/20,1)+1)*L133</f>
        <v>9.1</v>
      </c>
      <c r="N133" s="4">
        <f t="shared" si="30"/>
        <v>1689672</v>
      </c>
      <c r="O133" s="3">
        <f t="shared" si="31"/>
        <v>1516280</v>
      </c>
      <c r="P133" s="4">
        <f t="shared" si="48"/>
        <v>-173392</v>
      </c>
      <c r="R133">
        <f t="shared" si="36"/>
        <v>130000</v>
      </c>
      <c r="S133" s="3">
        <f t="shared" ref="S133:S196" si="50">R133</f>
        <v>130000</v>
      </c>
      <c r="T133" s="3">
        <f t="shared" ref="T133:T196" si="51">$T$4*POWER(ROUNDUP($A133/8,0),2)+($A133+$A132)*$A133</f>
        <v>48120</v>
      </c>
      <c r="U133">
        <f t="shared" ref="U133:U196" si="52">$U$4*POWER(ROUNDUP($A133/8,0),2)+($A133+$A132)*($A133+INT($A133/5))</f>
        <v>69304</v>
      </c>
      <c r="V133" s="3">
        <f t="shared" si="32"/>
        <v>308847</v>
      </c>
      <c r="W133">
        <f t="shared" si="33"/>
        <v>214752</v>
      </c>
      <c r="Y133">
        <f t="shared" si="47"/>
        <v>576</v>
      </c>
    </row>
    <row r="134" spans="1:25" x14ac:dyDescent="0.15">
      <c r="A134" s="4">
        <v>131</v>
      </c>
      <c r="B134" s="1">
        <v>2162974</v>
      </c>
      <c r="C134" s="3">
        <v>227437</v>
      </c>
      <c r="D134">
        <v>303281</v>
      </c>
      <c r="E134" s="3">
        <f>INT(SUM(C$4:C133)*$K$2)</f>
        <v>7964211</v>
      </c>
      <c r="F134" s="3">
        <v>0</v>
      </c>
      <c r="G134" s="3">
        <v>0</v>
      </c>
      <c r="H134" s="3">
        <v>0</v>
      </c>
      <c r="I134" s="3">
        <v>0</v>
      </c>
      <c r="J134" s="3"/>
      <c r="K134" s="3"/>
      <c r="L134">
        <v>1.3</v>
      </c>
      <c r="M134">
        <f t="shared" si="49"/>
        <v>9.1</v>
      </c>
      <c r="N134" s="4">
        <f t="shared" ref="N134:N197" si="53">A134*A133*100+A132*99</f>
        <v>1715771</v>
      </c>
      <c r="O134" s="3">
        <f t="shared" ref="O134:O197" si="54">O133+POWER($A134+2,2)+POWER($A133+1,2)</f>
        <v>1551130</v>
      </c>
      <c r="P134" s="4">
        <f t="shared" si="48"/>
        <v>-164641</v>
      </c>
      <c r="R134">
        <f t="shared" si="36"/>
        <v>131000</v>
      </c>
      <c r="S134" s="3">
        <f t="shared" si="50"/>
        <v>131000</v>
      </c>
      <c r="T134" s="3">
        <f t="shared" si="51"/>
        <v>48641</v>
      </c>
      <c r="U134">
        <f t="shared" si="52"/>
        <v>69877</v>
      </c>
      <c r="V134" s="3">
        <f t="shared" ref="V134:V197" si="55">FLOOR($V$4*POWER(FLOOR($A134/20,1)+1,2)+($A134+$A133)*$A134*M134,1)</f>
        <v>313588</v>
      </c>
      <c r="W134">
        <f t="shared" ref="W134:W197" si="56">FLOOR(W133+Y134,1)</f>
        <v>218160</v>
      </c>
      <c r="Y134">
        <f t="shared" ref="Y134" si="57">240+FLOOR((A134-21)/5,1)*144</f>
        <v>3408</v>
      </c>
    </row>
    <row r="135" spans="1:25" x14ac:dyDescent="0.15">
      <c r="A135" s="4">
        <v>132</v>
      </c>
      <c r="B135" s="1">
        <v>2209076</v>
      </c>
      <c r="C135" s="3">
        <v>232085</v>
      </c>
      <c r="D135">
        <v>306698</v>
      </c>
      <c r="E135" s="3">
        <f>INT(SUM(C$4:C134)*$K$2)</f>
        <v>8191648</v>
      </c>
      <c r="F135" s="3">
        <v>0</v>
      </c>
      <c r="G135" s="3">
        <v>0</v>
      </c>
      <c r="H135" s="3">
        <v>0</v>
      </c>
      <c r="I135" s="3">
        <v>0</v>
      </c>
      <c r="J135" s="3"/>
      <c r="K135" s="3"/>
      <c r="L135">
        <v>1.3</v>
      </c>
      <c r="M135">
        <f t="shared" si="49"/>
        <v>9.1</v>
      </c>
      <c r="N135" s="4">
        <f t="shared" si="53"/>
        <v>1742070</v>
      </c>
      <c r="O135" s="3">
        <f t="shared" si="54"/>
        <v>1586510</v>
      </c>
      <c r="P135" s="4">
        <f t="shared" si="48"/>
        <v>-155560</v>
      </c>
      <c r="R135">
        <f t="shared" si="36"/>
        <v>132000</v>
      </c>
      <c r="S135" s="3">
        <f t="shared" si="50"/>
        <v>132000</v>
      </c>
      <c r="T135" s="3">
        <f t="shared" si="51"/>
        <v>49166</v>
      </c>
      <c r="U135">
        <f t="shared" si="52"/>
        <v>70454</v>
      </c>
      <c r="V135" s="3">
        <f t="shared" si="55"/>
        <v>318365</v>
      </c>
      <c r="W135">
        <f t="shared" si="56"/>
        <v>218760</v>
      </c>
      <c r="Y135">
        <f t="shared" ref="Y135:Y198" si="58">72+FLOOR((A135-21)/5,1)*24</f>
        <v>600</v>
      </c>
    </row>
    <row r="136" spans="1:25" x14ac:dyDescent="0.15">
      <c r="A136" s="4">
        <v>133</v>
      </c>
      <c r="B136" s="1">
        <v>2259569</v>
      </c>
      <c r="C136" s="3">
        <v>237176</v>
      </c>
      <c r="D136">
        <v>310439</v>
      </c>
      <c r="E136" s="3">
        <f>INT(SUM(C$4:C135)*$K$2)</f>
        <v>8423733</v>
      </c>
      <c r="F136" s="3">
        <v>0</v>
      </c>
      <c r="G136" s="3">
        <v>0</v>
      </c>
      <c r="H136" s="3">
        <v>0</v>
      </c>
      <c r="I136" s="3">
        <v>0</v>
      </c>
      <c r="J136" s="3"/>
      <c r="K136" s="3"/>
      <c r="L136">
        <v>1.3</v>
      </c>
      <c r="M136">
        <f t="shared" si="49"/>
        <v>9.1</v>
      </c>
      <c r="N136" s="4">
        <f t="shared" si="53"/>
        <v>1768569</v>
      </c>
      <c r="O136" s="3">
        <f t="shared" si="54"/>
        <v>1622424</v>
      </c>
      <c r="P136" s="4">
        <f t="shared" si="48"/>
        <v>-146145</v>
      </c>
      <c r="R136">
        <f t="shared" si="36"/>
        <v>133000</v>
      </c>
      <c r="S136" s="3">
        <f t="shared" si="50"/>
        <v>133000</v>
      </c>
      <c r="T136" s="3">
        <f t="shared" si="51"/>
        <v>49695</v>
      </c>
      <c r="U136">
        <f t="shared" si="52"/>
        <v>71035</v>
      </c>
      <c r="V136" s="3">
        <f t="shared" si="55"/>
        <v>323179</v>
      </c>
      <c r="W136">
        <f t="shared" si="56"/>
        <v>219360</v>
      </c>
      <c r="Y136">
        <f t="shared" si="58"/>
        <v>600</v>
      </c>
    </row>
    <row r="137" spans="1:25" x14ac:dyDescent="0.15">
      <c r="A137" s="4">
        <v>134</v>
      </c>
      <c r="B137" s="1">
        <v>2314453</v>
      </c>
      <c r="C137" s="3">
        <v>242710</v>
      </c>
      <c r="D137">
        <v>314506</v>
      </c>
      <c r="E137" s="3">
        <f>INT(SUM(C$4:C136)*$K$2)</f>
        <v>8660909</v>
      </c>
      <c r="F137" s="3">
        <v>0</v>
      </c>
      <c r="G137" s="3">
        <v>0</v>
      </c>
      <c r="H137" s="3">
        <v>0</v>
      </c>
      <c r="I137" s="3">
        <v>0</v>
      </c>
      <c r="J137" s="3"/>
      <c r="K137" s="3"/>
      <c r="L137">
        <v>1.3</v>
      </c>
      <c r="M137">
        <f t="shared" si="49"/>
        <v>9.1</v>
      </c>
      <c r="N137" s="4">
        <f t="shared" si="53"/>
        <v>1795268</v>
      </c>
      <c r="O137" s="3">
        <f t="shared" si="54"/>
        <v>1658876</v>
      </c>
      <c r="P137" s="4">
        <f t="shared" si="48"/>
        <v>-136392</v>
      </c>
      <c r="R137">
        <f t="shared" si="36"/>
        <v>134000</v>
      </c>
      <c r="S137" s="3">
        <f t="shared" si="50"/>
        <v>134000</v>
      </c>
      <c r="T137" s="3">
        <f t="shared" si="51"/>
        <v>50228</v>
      </c>
      <c r="U137">
        <f t="shared" si="52"/>
        <v>71620</v>
      </c>
      <c r="V137" s="3">
        <f t="shared" si="55"/>
        <v>328029</v>
      </c>
      <c r="W137">
        <f t="shared" si="56"/>
        <v>219960</v>
      </c>
      <c r="Y137">
        <f t="shared" si="58"/>
        <v>600</v>
      </c>
    </row>
    <row r="138" spans="1:25" x14ac:dyDescent="0.15">
      <c r="A138" s="4">
        <v>135</v>
      </c>
      <c r="B138" s="1">
        <v>2373727</v>
      </c>
      <c r="C138" s="3">
        <v>248686</v>
      </c>
      <c r="D138">
        <v>318898</v>
      </c>
      <c r="E138" s="3">
        <f>INT(SUM(C$4:C137)*$K$2)</f>
        <v>8903619</v>
      </c>
      <c r="F138" s="3">
        <v>0</v>
      </c>
      <c r="G138" s="3">
        <v>0</v>
      </c>
      <c r="H138" s="3">
        <v>0</v>
      </c>
      <c r="I138" s="3">
        <v>0</v>
      </c>
      <c r="J138" s="3"/>
      <c r="K138" s="3"/>
      <c r="L138">
        <v>1.4</v>
      </c>
      <c r="M138">
        <f t="shared" si="49"/>
        <v>9.7999999999999989</v>
      </c>
      <c r="N138" s="4">
        <f t="shared" si="53"/>
        <v>1822167</v>
      </c>
      <c r="O138" s="3">
        <f t="shared" si="54"/>
        <v>1695870</v>
      </c>
      <c r="P138" s="4">
        <f t="shared" si="48"/>
        <v>-126297</v>
      </c>
      <c r="R138">
        <f t="shared" si="36"/>
        <v>135000</v>
      </c>
      <c r="S138" s="3">
        <f t="shared" si="50"/>
        <v>135000</v>
      </c>
      <c r="T138" s="3">
        <f t="shared" si="51"/>
        <v>50765</v>
      </c>
      <c r="U138">
        <f t="shared" si="52"/>
        <v>72478</v>
      </c>
      <c r="V138" s="3">
        <f t="shared" si="55"/>
        <v>358337</v>
      </c>
      <c r="W138">
        <f t="shared" si="56"/>
        <v>220560</v>
      </c>
      <c r="Y138">
        <f t="shared" si="58"/>
        <v>600</v>
      </c>
    </row>
    <row r="139" spans="1:25" x14ac:dyDescent="0.15">
      <c r="A139" s="4">
        <v>136</v>
      </c>
      <c r="B139" s="1">
        <v>2437392</v>
      </c>
      <c r="C139" s="3">
        <v>255105</v>
      </c>
      <c r="D139">
        <v>323616</v>
      </c>
      <c r="E139" s="3">
        <f>INT(SUM(C$4:C138)*$K$2)</f>
        <v>9152305</v>
      </c>
      <c r="F139" s="3">
        <v>0</v>
      </c>
      <c r="G139" s="3">
        <v>0</v>
      </c>
      <c r="H139" s="3">
        <v>0</v>
      </c>
      <c r="I139" s="3">
        <v>0</v>
      </c>
      <c r="J139" s="3"/>
      <c r="K139" s="3"/>
      <c r="L139">
        <v>1.4</v>
      </c>
      <c r="M139">
        <f t="shared" si="49"/>
        <v>9.7999999999999989</v>
      </c>
      <c r="N139" s="4">
        <f t="shared" si="53"/>
        <v>1849266</v>
      </c>
      <c r="O139" s="3">
        <f t="shared" si="54"/>
        <v>1733410</v>
      </c>
      <c r="P139" s="4">
        <f t="shared" si="48"/>
        <v>-115856</v>
      </c>
      <c r="R139">
        <f t="shared" si="36"/>
        <v>136000</v>
      </c>
      <c r="S139" s="3">
        <f t="shared" si="50"/>
        <v>136000</v>
      </c>
      <c r="T139" s="3">
        <f t="shared" si="51"/>
        <v>51306</v>
      </c>
      <c r="U139">
        <f t="shared" si="52"/>
        <v>73073</v>
      </c>
      <c r="V139" s="3">
        <f t="shared" si="55"/>
        <v>363638</v>
      </c>
      <c r="W139">
        <f t="shared" si="56"/>
        <v>224112</v>
      </c>
      <c r="Y139">
        <f t="shared" ref="Y139" si="59">240+FLOOR((A139-21)/5,1)*144</f>
        <v>3552</v>
      </c>
    </row>
    <row r="140" spans="1:25" x14ac:dyDescent="0.15">
      <c r="A140" s="4">
        <v>137</v>
      </c>
      <c r="B140" s="1">
        <v>2505447</v>
      </c>
      <c r="C140" s="3">
        <v>261966</v>
      </c>
      <c r="D140">
        <v>328659</v>
      </c>
      <c r="E140" s="3">
        <f>INT(SUM(C$4:C139)*$K$2)</f>
        <v>9407410</v>
      </c>
      <c r="F140" s="3">
        <v>0</v>
      </c>
      <c r="G140" s="3">
        <v>0</v>
      </c>
      <c r="H140" s="3">
        <v>0</v>
      </c>
      <c r="I140" s="3">
        <v>0</v>
      </c>
      <c r="J140" s="3"/>
      <c r="K140" s="3"/>
      <c r="L140">
        <v>1.4</v>
      </c>
      <c r="M140">
        <f t="shared" si="49"/>
        <v>9.7999999999999989</v>
      </c>
      <c r="N140" s="4">
        <f t="shared" si="53"/>
        <v>1876565</v>
      </c>
      <c r="O140" s="3">
        <f t="shared" si="54"/>
        <v>1771500</v>
      </c>
      <c r="P140" s="4">
        <f t="shared" si="48"/>
        <v>-105065</v>
      </c>
      <c r="R140">
        <f t="shared" si="36"/>
        <v>137000</v>
      </c>
      <c r="S140" s="3">
        <f t="shared" si="50"/>
        <v>137000</v>
      </c>
      <c r="T140" s="3">
        <f t="shared" si="51"/>
        <v>53601</v>
      </c>
      <c r="U140">
        <f t="shared" si="52"/>
        <v>77172</v>
      </c>
      <c r="V140" s="3">
        <f t="shared" si="55"/>
        <v>368979</v>
      </c>
      <c r="W140">
        <f t="shared" si="56"/>
        <v>224736</v>
      </c>
      <c r="Y140">
        <f t="shared" ref="Y140:Y203" si="60">72+FLOOR((A140-21)/5,1)*24</f>
        <v>624</v>
      </c>
    </row>
    <row r="141" spans="1:25" x14ac:dyDescent="0.15">
      <c r="A141" s="4">
        <v>138</v>
      </c>
      <c r="B141" s="1">
        <v>2577894</v>
      </c>
      <c r="C141" s="3">
        <v>269271</v>
      </c>
      <c r="D141">
        <v>334027</v>
      </c>
      <c r="E141" s="3">
        <f>INT(SUM(C$4:C140)*$K$2)</f>
        <v>9669376</v>
      </c>
      <c r="F141" s="3">
        <v>0</v>
      </c>
      <c r="G141" s="3">
        <v>0</v>
      </c>
      <c r="H141" s="3">
        <v>0</v>
      </c>
      <c r="I141" s="3">
        <v>0</v>
      </c>
      <c r="J141" s="3"/>
      <c r="K141" s="3"/>
      <c r="L141">
        <v>1.4</v>
      </c>
      <c r="M141">
        <f t="shared" si="49"/>
        <v>9.7999999999999989</v>
      </c>
      <c r="N141" s="4">
        <f t="shared" si="53"/>
        <v>1904064</v>
      </c>
      <c r="O141" s="3">
        <f t="shared" si="54"/>
        <v>1810144</v>
      </c>
      <c r="P141" s="4">
        <f t="shared" si="48"/>
        <v>-93920</v>
      </c>
      <c r="R141">
        <f t="shared" si="36"/>
        <v>138000</v>
      </c>
      <c r="S141" s="3">
        <f t="shared" si="50"/>
        <v>138000</v>
      </c>
      <c r="T141" s="3">
        <f t="shared" si="51"/>
        <v>54150</v>
      </c>
      <c r="U141">
        <f t="shared" si="52"/>
        <v>77775</v>
      </c>
      <c r="V141" s="3">
        <f t="shared" si="55"/>
        <v>374360</v>
      </c>
      <c r="W141">
        <f t="shared" si="56"/>
        <v>225360</v>
      </c>
      <c r="Y141">
        <f t="shared" si="60"/>
        <v>624</v>
      </c>
    </row>
    <row r="142" spans="1:25" x14ac:dyDescent="0.15">
      <c r="A142" s="4">
        <v>139</v>
      </c>
      <c r="B142" s="1">
        <v>2654730</v>
      </c>
      <c r="C142" s="3">
        <v>277018</v>
      </c>
      <c r="D142">
        <v>339721</v>
      </c>
      <c r="E142" s="3">
        <f>INT(SUM(C$4:C141)*$K$2)</f>
        <v>9938647</v>
      </c>
      <c r="F142" s="3">
        <v>0</v>
      </c>
      <c r="G142" s="3">
        <v>0</v>
      </c>
      <c r="H142" s="3">
        <v>0</v>
      </c>
      <c r="I142" s="3">
        <v>0</v>
      </c>
      <c r="J142" s="3"/>
      <c r="K142" s="3"/>
      <c r="L142">
        <v>1.4</v>
      </c>
      <c r="M142">
        <f t="shared" si="49"/>
        <v>9.7999999999999989</v>
      </c>
      <c r="N142" s="4">
        <f t="shared" si="53"/>
        <v>1931763</v>
      </c>
      <c r="O142" s="3">
        <f t="shared" si="54"/>
        <v>1849346</v>
      </c>
      <c r="P142" s="4">
        <f t="shared" si="48"/>
        <v>-82417</v>
      </c>
      <c r="R142">
        <f t="shared" si="36"/>
        <v>139000</v>
      </c>
      <c r="S142" s="3">
        <f t="shared" si="50"/>
        <v>139000</v>
      </c>
      <c r="T142" s="3">
        <f t="shared" si="51"/>
        <v>54703</v>
      </c>
      <c r="U142">
        <f t="shared" si="52"/>
        <v>78382</v>
      </c>
      <c r="V142" s="3">
        <f t="shared" si="55"/>
        <v>379779</v>
      </c>
      <c r="W142">
        <f t="shared" si="56"/>
        <v>225984</v>
      </c>
      <c r="Y142">
        <f t="shared" si="60"/>
        <v>624</v>
      </c>
    </row>
    <row r="143" spans="1:25" x14ac:dyDescent="0.15">
      <c r="A143" s="4">
        <v>140</v>
      </c>
      <c r="B143" s="1">
        <v>2735958</v>
      </c>
      <c r="C143" s="3">
        <v>285207</v>
      </c>
      <c r="D143">
        <v>345740</v>
      </c>
      <c r="E143" s="3">
        <f>INT(SUM(C$4:C142)*$K$2)</f>
        <v>10215665</v>
      </c>
      <c r="F143" s="3">
        <v>0</v>
      </c>
      <c r="G143" s="3">
        <v>0</v>
      </c>
      <c r="H143" s="3">
        <v>0</v>
      </c>
      <c r="I143" s="3">
        <v>0</v>
      </c>
      <c r="J143" s="3"/>
      <c r="K143" s="3"/>
      <c r="L143">
        <v>1.4</v>
      </c>
      <c r="M143">
        <f t="shared" si="49"/>
        <v>11.2</v>
      </c>
      <c r="N143" s="4">
        <f t="shared" si="53"/>
        <v>1959662</v>
      </c>
      <c r="O143" s="3">
        <f t="shared" si="54"/>
        <v>1889110</v>
      </c>
      <c r="P143" s="4">
        <f t="shared" si="48"/>
        <v>-70552</v>
      </c>
      <c r="R143">
        <f t="shared" si="36"/>
        <v>140000</v>
      </c>
      <c r="S143" s="3">
        <f t="shared" si="50"/>
        <v>140000</v>
      </c>
      <c r="T143" s="3">
        <f t="shared" si="51"/>
        <v>55260</v>
      </c>
      <c r="U143">
        <f t="shared" si="52"/>
        <v>79272</v>
      </c>
      <c r="V143" s="3">
        <f t="shared" si="55"/>
        <v>440672</v>
      </c>
      <c r="W143">
        <f t="shared" si="56"/>
        <v>226608</v>
      </c>
      <c r="Y143">
        <f t="shared" si="60"/>
        <v>624</v>
      </c>
    </row>
    <row r="144" spans="1:25" x14ac:dyDescent="0.15">
      <c r="A144" s="4">
        <v>141</v>
      </c>
      <c r="B144" s="1">
        <v>2954834</v>
      </c>
      <c r="C144" s="3">
        <v>308023</v>
      </c>
      <c r="D144">
        <v>373399</v>
      </c>
      <c r="E144" s="3">
        <f>INT(SUM(C$4:C143)*$K$2)</f>
        <v>10500872</v>
      </c>
      <c r="F144" s="3">
        <v>0</v>
      </c>
      <c r="G144" s="3">
        <v>0</v>
      </c>
      <c r="H144" s="3">
        <v>0</v>
      </c>
      <c r="I144" s="3">
        <v>0</v>
      </c>
      <c r="J144" s="3"/>
      <c r="K144" s="3"/>
      <c r="L144">
        <v>1.4</v>
      </c>
      <c r="M144">
        <f t="shared" si="49"/>
        <v>11.2</v>
      </c>
      <c r="N144" s="4">
        <f t="shared" si="53"/>
        <v>1987761</v>
      </c>
      <c r="O144" s="3">
        <f t="shared" si="54"/>
        <v>1929440</v>
      </c>
      <c r="P144" s="4">
        <f t="shared" si="48"/>
        <v>-58321</v>
      </c>
      <c r="R144">
        <f t="shared" si="36"/>
        <v>141000</v>
      </c>
      <c r="S144" s="3">
        <f t="shared" si="50"/>
        <v>141000</v>
      </c>
      <c r="T144" s="3">
        <f t="shared" si="51"/>
        <v>55821</v>
      </c>
      <c r="U144">
        <f t="shared" si="52"/>
        <v>79889</v>
      </c>
      <c r="V144" s="3">
        <f t="shared" si="55"/>
        <v>446955</v>
      </c>
      <c r="W144">
        <f t="shared" si="56"/>
        <v>230304</v>
      </c>
      <c r="Y144">
        <f t="shared" ref="Y144" si="61">240+FLOOR((A144-21)/5,1)*144</f>
        <v>3696</v>
      </c>
    </row>
    <row r="145" spans="1:25" x14ac:dyDescent="0.15">
      <c r="A145" s="4">
        <v>142</v>
      </c>
      <c r="B145" s="1">
        <v>2958025</v>
      </c>
      <c r="C145" s="3">
        <v>308355</v>
      </c>
      <c r="D145">
        <v>373609</v>
      </c>
      <c r="E145" s="3">
        <f>INT(SUM(C$4:C144)*$K$2)</f>
        <v>10808895</v>
      </c>
      <c r="F145" s="3">
        <v>0</v>
      </c>
      <c r="G145" s="3">
        <v>0</v>
      </c>
      <c r="H145" s="3">
        <v>0</v>
      </c>
      <c r="I145" s="3">
        <v>0</v>
      </c>
      <c r="J145" s="3"/>
      <c r="K145" s="3"/>
      <c r="L145">
        <v>1.4</v>
      </c>
      <c r="M145">
        <f t="shared" si="49"/>
        <v>11.2</v>
      </c>
      <c r="N145" s="4">
        <f t="shared" si="53"/>
        <v>2016060</v>
      </c>
      <c r="O145" s="3">
        <f t="shared" si="54"/>
        <v>1970340</v>
      </c>
      <c r="P145" s="4">
        <f t="shared" si="48"/>
        <v>-45720</v>
      </c>
      <c r="R145">
        <f t="shared" si="36"/>
        <v>142000</v>
      </c>
      <c r="S145" s="3">
        <f t="shared" si="50"/>
        <v>142000</v>
      </c>
      <c r="T145" s="3">
        <f t="shared" si="51"/>
        <v>56386</v>
      </c>
      <c r="U145">
        <f t="shared" si="52"/>
        <v>80510</v>
      </c>
      <c r="V145" s="3">
        <f t="shared" si="55"/>
        <v>453283</v>
      </c>
      <c r="W145">
        <f t="shared" si="56"/>
        <v>230952</v>
      </c>
      <c r="Y145">
        <f t="shared" ref="Y145" si="62">72+FLOOR((A145-21)/5,1)*24</f>
        <v>648</v>
      </c>
    </row>
    <row r="146" spans="1:25" x14ac:dyDescent="0.15">
      <c r="A146" s="4">
        <v>143</v>
      </c>
      <c r="B146" s="1">
        <v>2967599</v>
      </c>
      <c r="C146" s="3">
        <v>309350</v>
      </c>
      <c r="D146">
        <v>374242</v>
      </c>
      <c r="E146" s="3">
        <f>INT(SUM(C$4:C145)*$K$2)</f>
        <v>11117250</v>
      </c>
      <c r="F146" s="3">
        <v>0</v>
      </c>
      <c r="G146" s="3">
        <v>0</v>
      </c>
      <c r="H146" s="3">
        <v>0</v>
      </c>
      <c r="I146" s="3">
        <v>0</v>
      </c>
      <c r="J146" s="3"/>
      <c r="K146" s="3"/>
      <c r="L146">
        <v>1.4</v>
      </c>
      <c r="M146">
        <f t="shared" si="49"/>
        <v>11.2</v>
      </c>
      <c r="N146" s="4">
        <f t="shared" si="53"/>
        <v>2044559</v>
      </c>
      <c r="O146" s="3">
        <f t="shared" si="54"/>
        <v>2011814</v>
      </c>
      <c r="P146" s="4">
        <f t="shared" si="48"/>
        <v>-32745</v>
      </c>
      <c r="R146">
        <f t="shared" si="36"/>
        <v>143000</v>
      </c>
      <c r="S146" s="3">
        <f t="shared" si="50"/>
        <v>143000</v>
      </c>
      <c r="T146" s="3">
        <f t="shared" si="51"/>
        <v>56955</v>
      </c>
      <c r="U146">
        <f t="shared" si="52"/>
        <v>81135</v>
      </c>
      <c r="V146" s="3">
        <f t="shared" si="55"/>
        <v>459656</v>
      </c>
      <c r="W146">
        <f t="shared" si="56"/>
        <v>231600</v>
      </c>
      <c r="Y146">
        <f t="shared" si="45"/>
        <v>648</v>
      </c>
    </row>
    <row r="147" spans="1:25" x14ac:dyDescent="0.15">
      <c r="A147" s="4">
        <v>144</v>
      </c>
      <c r="B147" s="1">
        <v>2983555</v>
      </c>
      <c r="C147" s="3">
        <v>311010</v>
      </c>
      <c r="D147">
        <v>375296</v>
      </c>
      <c r="E147" s="3">
        <f>INT(SUM(C$4:C146)*$K$2)</f>
        <v>11426600</v>
      </c>
      <c r="F147" s="3">
        <v>0</v>
      </c>
      <c r="G147" s="3">
        <v>0</v>
      </c>
      <c r="H147" s="3">
        <v>0</v>
      </c>
      <c r="I147" s="3">
        <v>0</v>
      </c>
      <c r="J147" s="3"/>
      <c r="K147" s="3"/>
      <c r="L147">
        <v>1.4</v>
      </c>
      <c r="M147">
        <f t="shared" si="49"/>
        <v>11.2</v>
      </c>
      <c r="N147" s="4">
        <f t="shared" si="53"/>
        <v>2073258</v>
      </c>
      <c r="O147" s="3">
        <f t="shared" si="54"/>
        <v>2053866</v>
      </c>
      <c r="P147" s="4">
        <f t="shared" si="48"/>
        <v>-19392</v>
      </c>
      <c r="R147">
        <f t="shared" si="36"/>
        <v>144000</v>
      </c>
      <c r="S147" s="3">
        <f t="shared" si="50"/>
        <v>144000</v>
      </c>
      <c r="T147" s="3">
        <f t="shared" si="51"/>
        <v>57528</v>
      </c>
      <c r="U147">
        <f t="shared" si="52"/>
        <v>81764</v>
      </c>
      <c r="V147" s="3">
        <f t="shared" si="55"/>
        <v>466073</v>
      </c>
      <c r="W147">
        <f t="shared" si="56"/>
        <v>232248</v>
      </c>
      <c r="Y147">
        <f t="shared" si="45"/>
        <v>648</v>
      </c>
    </row>
    <row r="148" spans="1:25" x14ac:dyDescent="0.15">
      <c r="A148" s="4">
        <v>145</v>
      </c>
      <c r="B148" s="1">
        <v>3005894</v>
      </c>
      <c r="C148" s="3">
        <v>313332</v>
      </c>
      <c r="D148">
        <v>376771</v>
      </c>
      <c r="E148" s="3">
        <f>INT(SUM(C$4:C147)*$K$2)</f>
        <v>11737610</v>
      </c>
      <c r="F148" s="3">
        <v>0</v>
      </c>
      <c r="G148" s="3">
        <v>0</v>
      </c>
      <c r="H148" s="3">
        <v>0</v>
      </c>
      <c r="I148" s="3">
        <v>0</v>
      </c>
      <c r="J148" s="3"/>
      <c r="K148" s="3"/>
      <c r="L148">
        <v>1.5</v>
      </c>
      <c r="M148">
        <f t="shared" si="49"/>
        <v>12</v>
      </c>
      <c r="N148" s="4">
        <f t="shared" si="53"/>
        <v>2102157</v>
      </c>
      <c r="O148" s="3">
        <f t="shared" si="54"/>
        <v>2096500</v>
      </c>
      <c r="P148" s="4">
        <f t="shared" si="48"/>
        <v>-5657</v>
      </c>
      <c r="R148">
        <f t="shared" si="36"/>
        <v>145000</v>
      </c>
      <c r="S148" s="3">
        <f t="shared" si="50"/>
        <v>145000</v>
      </c>
      <c r="T148" s="3">
        <f t="shared" si="51"/>
        <v>59955</v>
      </c>
      <c r="U148">
        <f t="shared" si="52"/>
        <v>86386</v>
      </c>
      <c r="V148" s="3">
        <f t="shared" si="55"/>
        <v>506060</v>
      </c>
      <c r="W148">
        <f t="shared" si="56"/>
        <v>232896</v>
      </c>
      <c r="Y148">
        <f t="shared" si="45"/>
        <v>648</v>
      </c>
    </row>
    <row r="149" spans="1:25" x14ac:dyDescent="0.15">
      <c r="A149" s="4">
        <v>146</v>
      </c>
      <c r="B149" s="1">
        <v>3034615</v>
      </c>
      <c r="C149" s="3">
        <v>316319</v>
      </c>
      <c r="D149">
        <v>378668</v>
      </c>
      <c r="E149" s="3">
        <f>INT(SUM(C$4:C148)*$K$2)</f>
        <v>12050942</v>
      </c>
      <c r="F149" s="3">
        <v>0</v>
      </c>
      <c r="G149" s="3">
        <v>0</v>
      </c>
      <c r="H149" s="3">
        <v>0</v>
      </c>
      <c r="I149" s="3">
        <v>0</v>
      </c>
      <c r="J149" s="3"/>
      <c r="K149" s="3"/>
      <c r="L149">
        <v>1.5</v>
      </c>
      <c r="M149">
        <f t="shared" si="49"/>
        <v>12</v>
      </c>
      <c r="N149" s="4">
        <f t="shared" si="53"/>
        <v>2131256</v>
      </c>
      <c r="O149" s="3">
        <f t="shared" si="54"/>
        <v>2139720</v>
      </c>
      <c r="P149" s="4">
        <f t="shared" si="48"/>
        <v>8464</v>
      </c>
      <c r="R149">
        <f t="shared" si="36"/>
        <v>146000</v>
      </c>
      <c r="S149" s="3">
        <f t="shared" si="50"/>
        <v>146000</v>
      </c>
      <c r="T149" s="3">
        <f t="shared" si="51"/>
        <v>60536</v>
      </c>
      <c r="U149">
        <f t="shared" si="52"/>
        <v>87025</v>
      </c>
      <c r="V149" s="3">
        <f t="shared" si="55"/>
        <v>513032</v>
      </c>
      <c r="W149">
        <f t="shared" si="56"/>
        <v>236736</v>
      </c>
      <c r="Y149">
        <f t="shared" ref="Y149" si="63">240+FLOOR((A149-21)/5,1)*144</f>
        <v>3840</v>
      </c>
    </row>
    <row r="150" spans="1:25" x14ac:dyDescent="0.15">
      <c r="A150" s="4">
        <v>147</v>
      </c>
      <c r="B150" s="1">
        <v>3069719</v>
      </c>
      <c r="C150" s="3">
        <v>319969</v>
      </c>
      <c r="D150">
        <v>380986</v>
      </c>
      <c r="E150" s="3">
        <f>INT(SUM(C$4:C149)*$K$2)</f>
        <v>12367261</v>
      </c>
      <c r="F150" s="3">
        <v>0</v>
      </c>
      <c r="G150" s="3">
        <v>0</v>
      </c>
      <c r="H150" s="3">
        <v>0</v>
      </c>
      <c r="I150" s="3">
        <v>0</v>
      </c>
      <c r="J150" s="3"/>
      <c r="K150" s="3"/>
      <c r="L150">
        <v>1.5</v>
      </c>
      <c r="M150">
        <f t="shared" si="49"/>
        <v>12</v>
      </c>
      <c r="N150" s="4">
        <f t="shared" si="53"/>
        <v>2160555</v>
      </c>
      <c r="O150" s="3">
        <f t="shared" si="54"/>
        <v>2183530</v>
      </c>
      <c r="P150" s="4">
        <f t="shared" si="48"/>
        <v>22975</v>
      </c>
      <c r="R150">
        <f t="shared" si="36"/>
        <v>147000</v>
      </c>
      <c r="S150" s="3">
        <f t="shared" si="50"/>
        <v>147000</v>
      </c>
      <c r="T150" s="3">
        <f t="shared" si="51"/>
        <v>61121</v>
      </c>
      <c r="U150">
        <f t="shared" si="52"/>
        <v>87668</v>
      </c>
      <c r="V150" s="3">
        <f t="shared" si="55"/>
        <v>520052</v>
      </c>
      <c r="W150">
        <f t="shared" si="56"/>
        <v>237408</v>
      </c>
      <c r="Y150">
        <f t="shared" ref="Y150" si="64">72+FLOOR((A150-21)/5,1)*24</f>
        <v>672</v>
      </c>
    </row>
    <row r="151" spans="1:25" x14ac:dyDescent="0.15">
      <c r="A151" s="4">
        <v>148</v>
      </c>
      <c r="B151" s="1">
        <v>3111205</v>
      </c>
      <c r="C151" s="3">
        <v>324283</v>
      </c>
      <c r="D151">
        <v>383726</v>
      </c>
      <c r="E151" s="3">
        <f>INT(SUM(C$4:C150)*$K$2)</f>
        <v>12687230</v>
      </c>
      <c r="F151" s="3">
        <v>0</v>
      </c>
      <c r="G151" s="3">
        <v>0</v>
      </c>
      <c r="H151" s="3">
        <v>0</v>
      </c>
      <c r="I151" s="3">
        <v>0</v>
      </c>
      <c r="J151" s="3"/>
      <c r="K151" s="3"/>
      <c r="L151">
        <v>1.5</v>
      </c>
      <c r="M151">
        <f t="shared" si="49"/>
        <v>12</v>
      </c>
      <c r="N151" s="4">
        <f t="shared" si="53"/>
        <v>2190054</v>
      </c>
      <c r="O151" s="3">
        <f t="shared" si="54"/>
        <v>2227934</v>
      </c>
      <c r="P151" s="4">
        <f t="shared" si="48"/>
        <v>37880</v>
      </c>
      <c r="R151">
        <f t="shared" si="36"/>
        <v>148000</v>
      </c>
      <c r="S151" s="3">
        <f t="shared" si="50"/>
        <v>148000</v>
      </c>
      <c r="T151" s="3">
        <f t="shared" si="51"/>
        <v>61710</v>
      </c>
      <c r="U151">
        <f t="shared" si="52"/>
        <v>88315</v>
      </c>
      <c r="V151" s="3">
        <f t="shared" si="55"/>
        <v>527120</v>
      </c>
      <c r="W151">
        <f t="shared" si="56"/>
        <v>238080</v>
      </c>
      <c r="Y151">
        <f t="shared" si="47"/>
        <v>672</v>
      </c>
    </row>
    <row r="152" spans="1:25" x14ac:dyDescent="0.15">
      <c r="A152" s="4">
        <v>149</v>
      </c>
      <c r="B152" s="1">
        <v>3159074</v>
      </c>
      <c r="C152" s="3">
        <v>329261</v>
      </c>
      <c r="D152">
        <v>386887</v>
      </c>
      <c r="E152" s="3">
        <f>INT(SUM(C$4:C151)*$K$2)</f>
        <v>13011513</v>
      </c>
      <c r="F152" s="3">
        <v>0</v>
      </c>
      <c r="G152" s="3">
        <v>0</v>
      </c>
      <c r="H152" s="3">
        <v>0</v>
      </c>
      <c r="I152" s="3">
        <v>0</v>
      </c>
      <c r="J152" s="3"/>
      <c r="K152" s="3"/>
      <c r="L152">
        <v>1.5</v>
      </c>
      <c r="M152">
        <f t="shared" si="49"/>
        <v>12</v>
      </c>
      <c r="N152" s="4">
        <f t="shared" si="53"/>
        <v>2219753</v>
      </c>
      <c r="O152" s="3">
        <f t="shared" si="54"/>
        <v>2272936</v>
      </c>
      <c r="P152" s="4">
        <f t="shared" si="48"/>
        <v>53183</v>
      </c>
      <c r="R152">
        <f t="shared" si="36"/>
        <v>149000</v>
      </c>
      <c r="S152" s="3">
        <f t="shared" si="50"/>
        <v>149000</v>
      </c>
      <c r="T152" s="3">
        <f t="shared" si="51"/>
        <v>62303</v>
      </c>
      <c r="U152">
        <f t="shared" si="52"/>
        <v>88966</v>
      </c>
      <c r="V152" s="3">
        <f t="shared" si="55"/>
        <v>534236</v>
      </c>
      <c r="W152">
        <f t="shared" si="56"/>
        <v>238752</v>
      </c>
      <c r="Y152">
        <f t="shared" si="47"/>
        <v>672</v>
      </c>
    </row>
    <row r="153" spans="1:25" x14ac:dyDescent="0.15">
      <c r="A153" s="4">
        <v>150</v>
      </c>
      <c r="B153" s="1">
        <v>3213326</v>
      </c>
      <c r="C153" s="3">
        <v>334902</v>
      </c>
      <c r="D153">
        <v>390470</v>
      </c>
      <c r="E153" s="3">
        <f>INT(SUM(C$4:C152)*$K$2)</f>
        <v>13340774</v>
      </c>
      <c r="F153" s="3">
        <v>0</v>
      </c>
      <c r="G153" s="3">
        <v>0</v>
      </c>
      <c r="H153" s="3">
        <v>0</v>
      </c>
      <c r="I153" s="3">
        <v>0</v>
      </c>
      <c r="J153" s="3"/>
      <c r="K153" s="3"/>
      <c r="L153">
        <v>1.5</v>
      </c>
      <c r="M153">
        <f t="shared" si="49"/>
        <v>12</v>
      </c>
      <c r="N153" s="4">
        <f t="shared" si="53"/>
        <v>2249652</v>
      </c>
      <c r="O153" s="3">
        <f t="shared" si="54"/>
        <v>2318540</v>
      </c>
      <c r="P153" s="4">
        <f t="shared" si="48"/>
        <v>68888</v>
      </c>
      <c r="R153">
        <f t="shared" si="36"/>
        <v>150000</v>
      </c>
      <c r="S153" s="3">
        <f t="shared" si="50"/>
        <v>150000</v>
      </c>
      <c r="T153" s="3">
        <f t="shared" si="51"/>
        <v>62900</v>
      </c>
      <c r="U153">
        <f t="shared" si="52"/>
        <v>89920</v>
      </c>
      <c r="V153" s="3">
        <f t="shared" si="55"/>
        <v>541400</v>
      </c>
      <c r="W153">
        <f t="shared" si="56"/>
        <v>239424</v>
      </c>
      <c r="Y153">
        <f t="shared" si="47"/>
        <v>672</v>
      </c>
    </row>
    <row r="154" spans="1:25" x14ac:dyDescent="0.15">
      <c r="A154" s="4">
        <v>151</v>
      </c>
      <c r="B154" s="1">
        <v>3273959</v>
      </c>
      <c r="C154" s="3">
        <v>341207</v>
      </c>
      <c r="D154">
        <v>394475</v>
      </c>
      <c r="E154" s="3">
        <f>INT(SUM(C$4:C153)*$K$2)</f>
        <v>13675676</v>
      </c>
      <c r="F154" s="3">
        <v>0</v>
      </c>
      <c r="G154" s="3">
        <v>0</v>
      </c>
      <c r="H154" s="3">
        <v>0</v>
      </c>
      <c r="I154" s="3">
        <v>0</v>
      </c>
      <c r="J154" s="3"/>
      <c r="K154" s="3"/>
      <c r="L154">
        <v>1.5</v>
      </c>
      <c r="M154">
        <f t="shared" si="49"/>
        <v>12</v>
      </c>
      <c r="N154" s="4">
        <f t="shared" si="53"/>
        <v>2279751</v>
      </c>
      <c r="O154" s="3">
        <f t="shared" si="54"/>
        <v>2364750</v>
      </c>
      <c r="P154" s="4">
        <f t="shared" si="48"/>
        <v>84999</v>
      </c>
      <c r="R154">
        <f t="shared" si="36"/>
        <v>151000</v>
      </c>
      <c r="S154" s="3">
        <f t="shared" si="50"/>
        <v>151000</v>
      </c>
      <c r="T154" s="3">
        <f t="shared" si="51"/>
        <v>63501</v>
      </c>
      <c r="U154">
        <f t="shared" si="52"/>
        <v>90581</v>
      </c>
      <c r="V154" s="3">
        <f t="shared" si="55"/>
        <v>548612</v>
      </c>
      <c r="W154">
        <f t="shared" si="56"/>
        <v>243408</v>
      </c>
      <c r="Y154">
        <f t="shared" ref="Y154" si="65">240+FLOOR((A154-21)/5,1)*144</f>
        <v>3984</v>
      </c>
    </row>
    <row r="155" spans="1:25" x14ac:dyDescent="0.15">
      <c r="A155" s="4">
        <v>152</v>
      </c>
      <c r="B155" s="1">
        <v>3340976</v>
      </c>
      <c r="C155" s="3">
        <v>348175</v>
      </c>
      <c r="D155">
        <v>398901</v>
      </c>
      <c r="E155" s="3">
        <f>INT(SUM(C$4:C154)*$K$2)</f>
        <v>14016883</v>
      </c>
      <c r="F155" s="3">
        <v>0</v>
      </c>
      <c r="G155" s="3">
        <v>0</v>
      </c>
      <c r="H155" s="3">
        <v>0</v>
      </c>
      <c r="I155" s="3">
        <v>0</v>
      </c>
      <c r="J155" s="3"/>
      <c r="K155" s="3"/>
      <c r="L155">
        <v>1.5</v>
      </c>
      <c r="M155">
        <f t="shared" si="49"/>
        <v>12</v>
      </c>
      <c r="N155" s="4">
        <f t="shared" si="53"/>
        <v>2310050</v>
      </c>
      <c r="O155" s="3">
        <f t="shared" si="54"/>
        <v>2411570</v>
      </c>
      <c r="P155" s="4">
        <f t="shared" si="48"/>
        <v>101520</v>
      </c>
      <c r="R155">
        <f t="shared" si="36"/>
        <v>152000</v>
      </c>
      <c r="S155" s="3">
        <f t="shared" si="50"/>
        <v>152000</v>
      </c>
      <c r="T155" s="3">
        <f t="shared" si="51"/>
        <v>64106</v>
      </c>
      <c r="U155">
        <f t="shared" si="52"/>
        <v>91246</v>
      </c>
      <c r="V155" s="3">
        <f t="shared" si="55"/>
        <v>555872</v>
      </c>
      <c r="W155">
        <f t="shared" si="56"/>
        <v>244104</v>
      </c>
      <c r="Y155">
        <f t="shared" ref="Y155" si="66">72+FLOOR((A155-21)/5,1)*24</f>
        <v>696</v>
      </c>
    </row>
    <row r="156" spans="1:25" x14ac:dyDescent="0.15">
      <c r="A156" s="4">
        <v>153</v>
      </c>
      <c r="B156" s="1">
        <v>3414374</v>
      </c>
      <c r="C156" s="3">
        <v>355808</v>
      </c>
      <c r="D156">
        <v>403748</v>
      </c>
      <c r="E156" s="3">
        <f>INT(SUM(C$4:C155)*$K$2)</f>
        <v>14365058</v>
      </c>
      <c r="F156" s="3">
        <v>0</v>
      </c>
      <c r="G156" s="3">
        <v>0</v>
      </c>
      <c r="H156" s="3">
        <v>0</v>
      </c>
      <c r="I156" s="3">
        <v>0</v>
      </c>
      <c r="J156" s="3"/>
      <c r="K156" s="3"/>
      <c r="L156">
        <v>1.5</v>
      </c>
      <c r="M156">
        <f t="shared" si="49"/>
        <v>12</v>
      </c>
      <c r="N156" s="4">
        <f t="shared" si="53"/>
        <v>2340549</v>
      </c>
      <c r="O156" s="3">
        <f t="shared" si="54"/>
        <v>2459004</v>
      </c>
      <c r="P156" s="4">
        <f t="shared" si="48"/>
        <v>118455</v>
      </c>
      <c r="R156">
        <f t="shared" si="36"/>
        <v>153000</v>
      </c>
      <c r="S156" s="3">
        <f t="shared" si="50"/>
        <v>153000</v>
      </c>
      <c r="T156" s="3">
        <f t="shared" si="51"/>
        <v>66665</v>
      </c>
      <c r="U156">
        <f t="shared" si="52"/>
        <v>95815</v>
      </c>
      <c r="V156" s="3">
        <f t="shared" si="55"/>
        <v>563180</v>
      </c>
      <c r="W156">
        <f t="shared" si="56"/>
        <v>244800</v>
      </c>
      <c r="Y156">
        <f t="shared" si="58"/>
        <v>696</v>
      </c>
    </row>
    <row r="157" spans="1:25" x14ac:dyDescent="0.15">
      <c r="A157" s="4">
        <v>154</v>
      </c>
      <c r="B157" s="1">
        <v>3494156</v>
      </c>
      <c r="C157" s="3">
        <v>364103</v>
      </c>
      <c r="D157">
        <v>409017</v>
      </c>
      <c r="E157" s="3">
        <f>INT(SUM(C$4:C156)*$K$2)</f>
        <v>14720866</v>
      </c>
      <c r="F157" s="3">
        <v>0</v>
      </c>
      <c r="G157" s="3">
        <v>0</v>
      </c>
      <c r="H157" s="3">
        <v>0</v>
      </c>
      <c r="I157" s="3">
        <v>0</v>
      </c>
      <c r="J157" s="3"/>
      <c r="K157" s="3"/>
      <c r="L157">
        <v>1.5</v>
      </c>
      <c r="M157">
        <f t="shared" si="49"/>
        <v>12</v>
      </c>
      <c r="N157" s="4">
        <f t="shared" si="53"/>
        <v>2371248</v>
      </c>
      <c r="O157" s="3">
        <f t="shared" si="54"/>
        <v>2507056</v>
      </c>
      <c r="P157" s="4">
        <f t="shared" si="48"/>
        <v>135808</v>
      </c>
      <c r="R157">
        <f t="shared" ref="R157:R220" si="67">A157*1000</f>
        <v>154000</v>
      </c>
      <c r="S157" s="3">
        <f t="shared" si="50"/>
        <v>154000</v>
      </c>
      <c r="T157" s="3">
        <f t="shared" si="51"/>
        <v>67278</v>
      </c>
      <c r="U157">
        <f t="shared" si="52"/>
        <v>96488</v>
      </c>
      <c r="V157" s="3">
        <f t="shared" si="55"/>
        <v>570536</v>
      </c>
      <c r="W157">
        <f t="shared" si="56"/>
        <v>245496</v>
      </c>
      <c r="Y157">
        <f t="shared" si="58"/>
        <v>696</v>
      </c>
    </row>
    <row r="158" spans="1:25" x14ac:dyDescent="0.15">
      <c r="A158" s="4">
        <v>155</v>
      </c>
      <c r="B158" s="1">
        <v>3580320</v>
      </c>
      <c r="C158" s="3">
        <v>373063</v>
      </c>
      <c r="D158">
        <v>414707</v>
      </c>
      <c r="E158" s="3">
        <f>INT(SUM(C$4:C157)*$K$2)</f>
        <v>15084969</v>
      </c>
      <c r="F158" s="3">
        <v>0</v>
      </c>
      <c r="G158" s="3">
        <v>0</v>
      </c>
      <c r="H158" s="3">
        <v>0</v>
      </c>
      <c r="I158" s="3">
        <v>0</v>
      </c>
      <c r="J158" s="3"/>
      <c r="K158" s="3"/>
      <c r="L158">
        <v>1.5</v>
      </c>
      <c r="M158">
        <f t="shared" si="49"/>
        <v>12</v>
      </c>
      <c r="N158" s="4">
        <f t="shared" si="53"/>
        <v>2402147</v>
      </c>
      <c r="O158" s="3">
        <f t="shared" si="54"/>
        <v>2555730</v>
      </c>
      <c r="P158" s="4">
        <f t="shared" si="48"/>
        <v>153583</v>
      </c>
      <c r="R158">
        <f t="shared" si="67"/>
        <v>155000</v>
      </c>
      <c r="S158" s="3">
        <f t="shared" si="50"/>
        <v>155000</v>
      </c>
      <c r="T158" s="3">
        <f t="shared" si="51"/>
        <v>67895</v>
      </c>
      <c r="U158">
        <f t="shared" si="52"/>
        <v>97474</v>
      </c>
      <c r="V158" s="3">
        <f t="shared" si="55"/>
        <v>577940</v>
      </c>
      <c r="W158">
        <f t="shared" si="56"/>
        <v>246192</v>
      </c>
      <c r="Y158">
        <f t="shared" si="58"/>
        <v>696</v>
      </c>
    </row>
    <row r="159" spans="1:25" x14ac:dyDescent="0.15">
      <c r="A159" s="4">
        <v>156</v>
      </c>
      <c r="B159" s="1">
        <v>3672866</v>
      </c>
      <c r="C159" s="3">
        <v>382686</v>
      </c>
      <c r="D159">
        <v>420819</v>
      </c>
      <c r="E159" s="3">
        <f>INT(SUM(C$4:C158)*$K$2)</f>
        <v>15458032</v>
      </c>
      <c r="F159" s="3">
        <v>0</v>
      </c>
      <c r="G159" s="3">
        <v>0</v>
      </c>
      <c r="H159" s="3">
        <v>0</v>
      </c>
      <c r="I159" s="3">
        <v>0</v>
      </c>
      <c r="J159" s="3"/>
      <c r="K159" s="3"/>
      <c r="L159">
        <v>1.6</v>
      </c>
      <c r="M159">
        <f t="shared" si="49"/>
        <v>12.8</v>
      </c>
      <c r="N159" s="4">
        <f t="shared" si="53"/>
        <v>2433246</v>
      </c>
      <c r="O159" s="3">
        <f t="shared" si="54"/>
        <v>2605030</v>
      </c>
      <c r="P159" s="4">
        <f t="shared" si="48"/>
        <v>171784</v>
      </c>
      <c r="R159">
        <f t="shared" si="67"/>
        <v>156000</v>
      </c>
      <c r="S159" s="3">
        <f t="shared" si="50"/>
        <v>156000</v>
      </c>
      <c r="T159" s="3">
        <f t="shared" si="51"/>
        <v>68516</v>
      </c>
      <c r="U159">
        <f t="shared" si="52"/>
        <v>98157</v>
      </c>
      <c r="V159" s="3">
        <f t="shared" si="55"/>
        <v>624204</v>
      </c>
      <c r="W159">
        <f t="shared" si="56"/>
        <v>250320</v>
      </c>
      <c r="Y159">
        <f t="shared" ref="Y159" si="68">240+FLOOR((A159-21)/5,1)*144</f>
        <v>4128</v>
      </c>
    </row>
    <row r="160" spans="1:25" x14ac:dyDescent="0.15">
      <c r="A160" s="4">
        <v>157</v>
      </c>
      <c r="B160" s="1">
        <v>3771795</v>
      </c>
      <c r="C160" s="3">
        <v>392973</v>
      </c>
      <c r="D160">
        <v>427353</v>
      </c>
      <c r="E160" s="3">
        <f>INT(SUM(C$4:C159)*$K$2)</f>
        <v>15840718</v>
      </c>
      <c r="F160" s="3">
        <v>0</v>
      </c>
      <c r="G160" s="3">
        <v>0</v>
      </c>
      <c r="H160" s="3">
        <v>0</v>
      </c>
      <c r="I160" s="3">
        <v>0</v>
      </c>
      <c r="J160" s="3"/>
      <c r="K160" s="3"/>
      <c r="L160">
        <v>1.6</v>
      </c>
      <c r="M160">
        <f t="shared" si="49"/>
        <v>12.8</v>
      </c>
      <c r="N160" s="4">
        <f t="shared" si="53"/>
        <v>2464545</v>
      </c>
      <c r="O160" s="3">
        <f t="shared" si="54"/>
        <v>2654960</v>
      </c>
      <c r="P160" s="4">
        <f t="shared" si="48"/>
        <v>190415</v>
      </c>
      <c r="R160">
        <f t="shared" si="67"/>
        <v>157000</v>
      </c>
      <c r="S160" s="3">
        <f t="shared" si="50"/>
        <v>157000</v>
      </c>
      <c r="T160" s="3">
        <f t="shared" si="51"/>
        <v>69141</v>
      </c>
      <c r="U160">
        <f t="shared" si="52"/>
        <v>98844</v>
      </c>
      <c r="V160" s="3">
        <f t="shared" si="55"/>
        <v>632204</v>
      </c>
      <c r="W160">
        <f t="shared" si="56"/>
        <v>251040</v>
      </c>
      <c r="Y160">
        <f t="shared" ref="Y160" si="69">72+FLOOR((A160-21)/5,1)*24</f>
        <v>720</v>
      </c>
    </row>
    <row r="161" spans="1:25" x14ac:dyDescent="0.15">
      <c r="A161" s="4">
        <v>158</v>
      </c>
      <c r="B161" s="1">
        <v>3877106</v>
      </c>
      <c r="C161" s="3">
        <v>403924</v>
      </c>
      <c r="D161">
        <v>434308</v>
      </c>
      <c r="E161" s="3">
        <f>INT(SUM(C$4:C160)*$K$2)</f>
        <v>16233691</v>
      </c>
      <c r="F161" s="3">
        <v>0</v>
      </c>
      <c r="G161" s="3">
        <v>0</v>
      </c>
      <c r="H161" s="3">
        <v>0</v>
      </c>
      <c r="I161" s="3">
        <v>0</v>
      </c>
      <c r="J161" s="3"/>
      <c r="K161" s="3"/>
      <c r="L161">
        <v>1.6</v>
      </c>
      <c r="M161">
        <f t="shared" si="49"/>
        <v>12.8</v>
      </c>
      <c r="N161" s="4">
        <f t="shared" si="53"/>
        <v>2496044</v>
      </c>
      <c r="O161" s="3">
        <f t="shared" si="54"/>
        <v>2705524</v>
      </c>
      <c r="P161" s="4">
        <f t="shared" si="48"/>
        <v>209480</v>
      </c>
      <c r="R161">
        <f t="shared" si="67"/>
        <v>158000</v>
      </c>
      <c r="S161" s="3">
        <f t="shared" si="50"/>
        <v>158000</v>
      </c>
      <c r="T161" s="3">
        <f t="shared" si="51"/>
        <v>69770</v>
      </c>
      <c r="U161">
        <f t="shared" si="52"/>
        <v>99535</v>
      </c>
      <c r="V161" s="3">
        <f t="shared" si="55"/>
        <v>640256</v>
      </c>
      <c r="W161">
        <f t="shared" si="56"/>
        <v>251760</v>
      </c>
      <c r="Y161">
        <f t="shared" si="60"/>
        <v>720</v>
      </c>
    </row>
    <row r="162" spans="1:25" x14ac:dyDescent="0.15">
      <c r="A162" s="4">
        <v>159</v>
      </c>
      <c r="B162" s="1">
        <v>3988800</v>
      </c>
      <c r="C162" s="3">
        <v>415538</v>
      </c>
      <c r="D162">
        <v>441685</v>
      </c>
      <c r="E162" s="3">
        <f>INT(SUM(C$4:C161)*$K$2)</f>
        <v>16637615</v>
      </c>
      <c r="F162" s="3">
        <v>0</v>
      </c>
      <c r="G162" s="3">
        <v>0</v>
      </c>
      <c r="H162" s="3">
        <v>0</v>
      </c>
      <c r="I162" s="3">
        <v>0</v>
      </c>
      <c r="J162" s="3"/>
      <c r="K162" s="3"/>
      <c r="L162">
        <v>1.6</v>
      </c>
      <c r="M162">
        <f t="shared" si="49"/>
        <v>12.8</v>
      </c>
      <c r="N162" s="4">
        <f t="shared" si="53"/>
        <v>2527743</v>
      </c>
      <c r="O162" s="3">
        <f t="shared" si="54"/>
        <v>2756726</v>
      </c>
      <c r="P162" s="4">
        <f t="shared" si="48"/>
        <v>228983</v>
      </c>
      <c r="R162">
        <f t="shared" si="67"/>
        <v>159000</v>
      </c>
      <c r="S162" s="3">
        <f t="shared" si="50"/>
        <v>159000</v>
      </c>
      <c r="T162" s="3">
        <f t="shared" si="51"/>
        <v>70403</v>
      </c>
      <c r="U162">
        <f t="shared" si="52"/>
        <v>100230</v>
      </c>
      <c r="V162" s="3">
        <f t="shared" si="55"/>
        <v>648358</v>
      </c>
      <c r="W162">
        <f t="shared" si="56"/>
        <v>252480</v>
      </c>
      <c r="Y162">
        <f t="shared" si="60"/>
        <v>720</v>
      </c>
    </row>
    <row r="163" spans="1:25" x14ac:dyDescent="0.15">
      <c r="A163" s="4">
        <v>160</v>
      </c>
      <c r="B163" s="1">
        <v>4106876</v>
      </c>
      <c r="C163" s="3">
        <v>427816</v>
      </c>
      <c r="D163">
        <v>449483</v>
      </c>
      <c r="E163" s="3">
        <f>INT(SUM(C$4:C162)*$K$2)</f>
        <v>17053153</v>
      </c>
      <c r="F163" s="3">
        <v>0</v>
      </c>
      <c r="G163" s="3">
        <v>0</v>
      </c>
      <c r="H163" s="3">
        <v>0</v>
      </c>
      <c r="I163" s="3">
        <v>0</v>
      </c>
      <c r="J163" s="3"/>
      <c r="K163" s="3"/>
      <c r="L163">
        <v>1.6</v>
      </c>
      <c r="M163">
        <f t="shared" si="49"/>
        <v>14.4</v>
      </c>
      <c r="N163" s="4">
        <f t="shared" si="53"/>
        <v>2559642</v>
      </c>
      <c r="O163" s="3">
        <f t="shared" si="54"/>
        <v>2808570</v>
      </c>
      <c r="P163" s="4">
        <f t="shared" si="48"/>
        <v>248928</v>
      </c>
      <c r="R163">
        <f t="shared" si="67"/>
        <v>160000</v>
      </c>
      <c r="S163" s="3">
        <f t="shared" si="50"/>
        <v>160000</v>
      </c>
      <c r="T163" s="3">
        <f t="shared" si="51"/>
        <v>71040</v>
      </c>
      <c r="U163">
        <f t="shared" si="52"/>
        <v>101248</v>
      </c>
      <c r="V163" s="3">
        <f t="shared" si="55"/>
        <v>739026</v>
      </c>
      <c r="W163">
        <f t="shared" si="56"/>
        <v>253200</v>
      </c>
      <c r="Y163">
        <f t="shared" si="60"/>
        <v>720</v>
      </c>
    </row>
    <row r="164" spans="1:25" x14ac:dyDescent="0.15">
      <c r="A164" s="4">
        <v>161</v>
      </c>
      <c r="B164" s="1">
        <v>4435426</v>
      </c>
      <c r="C164" s="3">
        <v>462041</v>
      </c>
      <c r="D164">
        <v>485441</v>
      </c>
      <c r="E164" s="3">
        <f>INT(SUM(C$4:C163)*$K$2)</f>
        <v>17480969</v>
      </c>
      <c r="F164" s="3">
        <v>0</v>
      </c>
      <c r="G164" s="3">
        <v>0</v>
      </c>
      <c r="H164" s="3">
        <v>0</v>
      </c>
      <c r="I164" s="3">
        <v>0</v>
      </c>
      <c r="J164" s="3"/>
      <c r="K164" s="3"/>
      <c r="L164">
        <v>1.6</v>
      </c>
      <c r="M164">
        <f t="shared" si="49"/>
        <v>14.4</v>
      </c>
      <c r="N164" s="4">
        <f t="shared" si="53"/>
        <v>2591741</v>
      </c>
      <c r="O164" s="3">
        <f t="shared" si="54"/>
        <v>2861060</v>
      </c>
      <c r="P164" s="4">
        <f t="shared" si="48"/>
        <v>269319</v>
      </c>
      <c r="R164">
        <f t="shared" si="67"/>
        <v>161000</v>
      </c>
      <c r="S164" s="3">
        <f t="shared" si="50"/>
        <v>161000</v>
      </c>
      <c r="T164" s="3">
        <f t="shared" si="51"/>
        <v>73731</v>
      </c>
      <c r="U164">
        <f t="shared" si="52"/>
        <v>106053</v>
      </c>
      <c r="V164" s="3">
        <f t="shared" si="55"/>
        <v>748256</v>
      </c>
      <c r="W164">
        <f t="shared" si="56"/>
        <v>257472</v>
      </c>
      <c r="Y164">
        <f t="shared" ref="Y164" si="70">240+FLOOR((A164-21)/5,1)*144</f>
        <v>4272</v>
      </c>
    </row>
    <row r="165" spans="1:25" x14ac:dyDescent="0.15">
      <c r="A165" s="4">
        <v>162</v>
      </c>
      <c r="B165" s="1">
        <v>4440204</v>
      </c>
      <c r="C165" s="3">
        <v>462539</v>
      </c>
      <c r="D165">
        <v>485715</v>
      </c>
      <c r="E165" s="3">
        <f>INT(SUM(C$4:C164)*$K$2)</f>
        <v>17943010</v>
      </c>
      <c r="F165" s="3">
        <v>0</v>
      </c>
      <c r="G165" s="3">
        <v>0</v>
      </c>
      <c r="H165" s="3">
        <v>0</v>
      </c>
      <c r="I165" s="3">
        <v>0</v>
      </c>
      <c r="J165" s="3"/>
      <c r="K165" s="3"/>
      <c r="L165">
        <v>1.6</v>
      </c>
      <c r="M165">
        <f t="shared" si="49"/>
        <v>14.4</v>
      </c>
      <c r="N165" s="4">
        <f t="shared" si="53"/>
        <v>2624040</v>
      </c>
      <c r="O165" s="3">
        <f t="shared" si="54"/>
        <v>2914200</v>
      </c>
      <c r="P165" s="4">
        <f t="shared" si="48"/>
        <v>290160</v>
      </c>
      <c r="R165">
        <f t="shared" si="67"/>
        <v>162000</v>
      </c>
      <c r="S165" s="3">
        <f t="shared" si="50"/>
        <v>162000</v>
      </c>
      <c r="T165" s="3">
        <f t="shared" si="51"/>
        <v>74376</v>
      </c>
      <c r="U165">
        <f t="shared" si="52"/>
        <v>106762</v>
      </c>
      <c r="V165" s="3">
        <f t="shared" si="55"/>
        <v>757544</v>
      </c>
      <c r="W165">
        <f t="shared" si="56"/>
        <v>258216</v>
      </c>
      <c r="Y165">
        <f t="shared" ref="Y165" si="71">72+FLOOR((A165-21)/5,1)*24</f>
        <v>744</v>
      </c>
    </row>
    <row r="166" spans="1:25" x14ac:dyDescent="0.15">
      <c r="A166" s="4">
        <v>163</v>
      </c>
      <c r="B166" s="1">
        <v>4454541</v>
      </c>
      <c r="C166" s="3">
        <v>464032</v>
      </c>
      <c r="D166">
        <v>486537</v>
      </c>
      <c r="E166" s="3">
        <f>INT(SUM(C$4:C165)*$K$2)</f>
        <v>18405549</v>
      </c>
      <c r="F166" s="3">
        <v>0</v>
      </c>
      <c r="G166" s="3">
        <v>0</v>
      </c>
      <c r="H166" s="3">
        <v>0</v>
      </c>
      <c r="I166" s="3">
        <v>0</v>
      </c>
      <c r="J166" s="3"/>
      <c r="K166" s="3"/>
      <c r="L166">
        <v>1.6</v>
      </c>
      <c r="M166">
        <f t="shared" si="49"/>
        <v>14.4</v>
      </c>
      <c r="N166" s="4">
        <f t="shared" si="53"/>
        <v>2656539</v>
      </c>
      <c r="O166" s="3">
        <f t="shared" si="54"/>
        <v>2967994</v>
      </c>
      <c r="P166" s="4">
        <f t="shared" si="48"/>
        <v>311455</v>
      </c>
      <c r="R166">
        <f t="shared" si="67"/>
        <v>163000</v>
      </c>
      <c r="S166" s="3">
        <f t="shared" si="50"/>
        <v>163000</v>
      </c>
      <c r="T166" s="3">
        <f t="shared" si="51"/>
        <v>75025</v>
      </c>
      <c r="U166">
        <f t="shared" si="52"/>
        <v>107475</v>
      </c>
      <c r="V166" s="3">
        <f t="shared" si="55"/>
        <v>766890</v>
      </c>
      <c r="W166">
        <f t="shared" si="56"/>
        <v>258960</v>
      </c>
      <c r="Y166">
        <f t="shared" si="45"/>
        <v>744</v>
      </c>
    </row>
    <row r="167" spans="1:25" x14ac:dyDescent="0.15">
      <c r="A167" s="4">
        <v>164</v>
      </c>
      <c r="B167" s="1">
        <v>4478434</v>
      </c>
      <c r="C167" s="3">
        <v>466520</v>
      </c>
      <c r="D167">
        <v>487906</v>
      </c>
      <c r="E167" s="3">
        <f>INT(SUM(C$4:C166)*$K$2)</f>
        <v>18869581</v>
      </c>
      <c r="F167" s="3">
        <v>0</v>
      </c>
      <c r="G167" s="3">
        <v>0</v>
      </c>
      <c r="H167" s="3">
        <v>0</v>
      </c>
      <c r="I167" s="3">
        <v>0</v>
      </c>
      <c r="J167" s="3"/>
      <c r="K167" s="3"/>
      <c r="L167">
        <v>1.6</v>
      </c>
      <c r="M167">
        <f t="shared" si="49"/>
        <v>14.4</v>
      </c>
      <c r="N167" s="4">
        <f t="shared" si="53"/>
        <v>2689238</v>
      </c>
      <c r="O167" s="3">
        <f t="shared" si="54"/>
        <v>3022446</v>
      </c>
      <c r="P167" s="4">
        <f t="shared" si="48"/>
        <v>333208</v>
      </c>
      <c r="R167">
        <f t="shared" si="67"/>
        <v>164000</v>
      </c>
      <c r="S167" s="3">
        <f t="shared" si="50"/>
        <v>164000</v>
      </c>
      <c r="T167" s="3">
        <f t="shared" si="51"/>
        <v>75678</v>
      </c>
      <c r="U167">
        <f t="shared" si="52"/>
        <v>108192</v>
      </c>
      <c r="V167" s="3">
        <f t="shared" si="55"/>
        <v>776293</v>
      </c>
      <c r="W167">
        <f t="shared" si="56"/>
        <v>259704</v>
      </c>
      <c r="Y167">
        <f t="shared" si="45"/>
        <v>744</v>
      </c>
    </row>
    <row r="168" spans="1:25" x14ac:dyDescent="0.15">
      <c r="A168" s="4">
        <v>165</v>
      </c>
      <c r="B168" s="1">
        <v>4511885</v>
      </c>
      <c r="C168" s="3">
        <v>470005</v>
      </c>
      <c r="D168">
        <v>489824</v>
      </c>
      <c r="E168" s="3">
        <f>INT(SUM(C$4:C167)*$K$2)</f>
        <v>19336101</v>
      </c>
      <c r="F168" s="3">
        <v>0</v>
      </c>
      <c r="G168" s="3">
        <v>0</v>
      </c>
      <c r="H168" s="3">
        <v>0</v>
      </c>
      <c r="I168" s="3">
        <v>0</v>
      </c>
      <c r="J168" s="3"/>
      <c r="K168" s="3"/>
      <c r="L168">
        <v>1.8</v>
      </c>
      <c r="M168">
        <f t="shared" si="49"/>
        <v>16.2</v>
      </c>
      <c r="N168" s="4">
        <f t="shared" si="53"/>
        <v>2722137</v>
      </c>
      <c r="O168" s="3">
        <f t="shared" si="54"/>
        <v>3077560</v>
      </c>
      <c r="P168" s="4">
        <f t="shared" si="48"/>
        <v>355423</v>
      </c>
      <c r="R168">
        <f t="shared" si="67"/>
        <v>165000</v>
      </c>
      <c r="S168" s="3">
        <f t="shared" si="50"/>
        <v>165000</v>
      </c>
      <c r="T168" s="3">
        <f t="shared" si="51"/>
        <v>76335</v>
      </c>
      <c r="U168">
        <f t="shared" si="52"/>
        <v>109242</v>
      </c>
      <c r="V168" s="3">
        <f t="shared" si="55"/>
        <v>883467</v>
      </c>
      <c r="W168">
        <f t="shared" si="56"/>
        <v>260448</v>
      </c>
      <c r="Y168">
        <f t="shared" si="45"/>
        <v>744</v>
      </c>
    </row>
    <row r="169" spans="1:25" x14ac:dyDescent="0.15">
      <c r="A169" s="4">
        <v>166</v>
      </c>
      <c r="B169" s="1">
        <v>4554894</v>
      </c>
      <c r="C169" s="3">
        <v>474484</v>
      </c>
      <c r="D169">
        <v>492289</v>
      </c>
      <c r="E169" s="3">
        <f>INT(SUM(C$4:C168)*$K$2)</f>
        <v>19806106</v>
      </c>
      <c r="F169" s="3">
        <v>0</v>
      </c>
      <c r="G169" s="3">
        <v>0</v>
      </c>
      <c r="H169" s="3">
        <v>0</v>
      </c>
      <c r="I169" s="3">
        <v>0</v>
      </c>
      <c r="J169" s="3"/>
      <c r="K169" s="3"/>
      <c r="L169">
        <v>1.8</v>
      </c>
      <c r="M169">
        <f t="shared" si="49"/>
        <v>16.2</v>
      </c>
      <c r="N169" s="4">
        <f t="shared" si="53"/>
        <v>2755236</v>
      </c>
      <c r="O169" s="3">
        <f t="shared" si="54"/>
        <v>3133340</v>
      </c>
      <c r="P169" s="4">
        <f t="shared" si="48"/>
        <v>378104</v>
      </c>
      <c r="R169">
        <f t="shared" si="67"/>
        <v>166000</v>
      </c>
      <c r="S169" s="3">
        <f t="shared" si="50"/>
        <v>166000</v>
      </c>
      <c r="T169" s="3">
        <f t="shared" si="51"/>
        <v>76996</v>
      </c>
      <c r="U169">
        <f t="shared" si="52"/>
        <v>109969</v>
      </c>
      <c r="V169" s="3">
        <f t="shared" si="55"/>
        <v>894175</v>
      </c>
      <c r="W169">
        <f t="shared" si="56"/>
        <v>264864</v>
      </c>
      <c r="Y169">
        <f t="shared" ref="Y169" si="72">240+FLOOR((A169-21)/5,1)*144</f>
        <v>4416</v>
      </c>
    </row>
    <row r="170" spans="1:25" x14ac:dyDescent="0.15">
      <c r="A170" s="4">
        <v>167</v>
      </c>
      <c r="B170" s="1">
        <v>4607460</v>
      </c>
      <c r="C170" s="3">
        <v>479959</v>
      </c>
      <c r="D170">
        <v>495303</v>
      </c>
      <c r="E170" s="3">
        <f>INT(SUM(C$4:C169)*$K$2)</f>
        <v>20280590</v>
      </c>
      <c r="F170" s="3">
        <v>0</v>
      </c>
      <c r="G170" s="3">
        <v>0</v>
      </c>
      <c r="H170" s="3">
        <v>0</v>
      </c>
      <c r="I170" s="3">
        <v>0</v>
      </c>
      <c r="J170" s="3"/>
      <c r="K170" s="3"/>
      <c r="L170">
        <v>1.8</v>
      </c>
      <c r="M170">
        <f t="shared" si="49"/>
        <v>16.2</v>
      </c>
      <c r="N170" s="4">
        <f t="shared" si="53"/>
        <v>2788535</v>
      </c>
      <c r="O170" s="3">
        <f t="shared" si="54"/>
        <v>3189790</v>
      </c>
      <c r="P170" s="4">
        <f t="shared" si="48"/>
        <v>401255</v>
      </c>
      <c r="R170">
        <f t="shared" si="67"/>
        <v>167000</v>
      </c>
      <c r="S170" s="3">
        <f t="shared" si="50"/>
        <v>167000</v>
      </c>
      <c r="T170" s="3">
        <f t="shared" si="51"/>
        <v>77661</v>
      </c>
      <c r="U170">
        <f t="shared" si="52"/>
        <v>110700</v>
      </c>
      <c r="V170" s="3">
        <f t="shared" si="55"/>
        <v>904948</v>
      </c>
      <c r="W170">
        <f t="shared" si="56"/>
        <v>265632</v>
      </c>
      <c r="Y170">
        <f t="shared" ref="Y170" si="73">72+FLOOR((A170-21)/5,1)*24</f>
        <v>768</v>
      </c>
    </row>
    <row r="171" spans="1:25" x14ac:dyDescent="0.15">
      <c r="A171" s="4">
        <v>168</v>
      </c>
      <c r="B171" s="1">
        <v>4669584</v>
      </c>
      <c r="C171" s="3">
        <v>486430</v>
      </c>
      <c r="D171">
        <v>498864</v>
      </c>
      <c r="E171" s="3">
        <f>INT(SUM(C$4:C170)*$K$2)</f>
        <v>20760549</v>
      </c>
      <c r="F171" s="3">
        <v>0</v>
      </c>
      <c r="G171" s="3">
        <v>0</v>
      </c>
      <c r="H171" s="3">
        <v>0</v>
      </c>
      <c r="I171" s="3">
        <v>0</v>
      </c>
      <c r="J171" s="3"/>
      <c r="K171" s="3"/>
      <c r="L171">
        <v>1.8</v>
      </c>
      <c r="M171">
        <f t="shared" si="49"/>
        <v>16.2</v>
      </c>
      <c r="N171" s="4">
        <f t="shared" si="53"/>
        <v>2822034</v>
      </c>
      <c r="O171" s="3">
        <f t="shared" si="54"/>
        <v>3246914</v>
      </c>
      <c r="P171" s="4">
        <f t="shared" si="48"/>
        <v>424880</v>
      </c>
      <c r="R171">
        <f t="shared" si="67"/>
        <v>168000</v>
      </c>
      <c r="S171" s="3">
        <f t="shared" si="50"/>
        <v>168000</v>
      </c>
      <c r="T171" s="3">
        <f t="shared" si="51"/>
        <v>78330</v>
      </c>
      <c r="U171">
        <f t="shared" si="52"/>
        <v>111435</v>
      </c>
      <c r="V171" s="3">
        <f t="shared" si="55"/>
        <v>915786</v>
      </c>
      <c r="W171">
        <f t="shared" si="56"/>
        <v>266400</v>
      </c>
      <c r="Y171">
        <f t="shared" si="47"/>
        <v>768</v>
      </c>
    </row>
    <row r="172" spans="1:25" x14ac:dyDescent="0.15">
      <c r="A172" s="4">
        <v>169</v>
      </c>
      <c r="B172" s="1">
        <v>4741265</v>
      </c>
      <c r="C172" s="3">
        <v>493896</v>
      </c>
      <c r="D172">
        <v>502973</v>
      </c>
      <c r="E172" s="3">
        <f>INT(SUM(C$4:C171)*$K$2)</f>
        <v>21246979</v>
      </c>
      <c r="F172" s="3">
        <v>0</v>
      </c>
      <c r="G172" s="3">
        <v>0</v>
      </c>
      <c r="H172" s="3">
        <v>0</v>
      </c>
      <c r="I172" s="3">
        <v>0</v>
      </c>
      <c r="J172" s="3"/>
      <c r="K172" s="3"/>
      <c r="L172">
        <v>1.8</v>
      </c>
      <c r="M172">
        <f t="shared" si="49"/>
        <v>16.2</v>
      </c>
      <c r="N172" s="4">
        <f t="shared" si="53"/>
        <v>2855733</v>
      </c>
      <c r="O172" s="3">
        <f t="shared" si="54"/>
        <v>3304716</v>
      </c>
      <c r="P172" s="4">
        <f t="shared" si="48"/>
        <v>448983</v>
      </c>
      <c r="R172">
        <f t="shared" si="67"/>
        <v>169000</v>
      </c>
      <c r="S172" s="3">
        <f t="shared" si="50"/>
        <v>169000</v>
      </c>
      <c r="T172" s="3">
        <f t="shared" si="51"/>
        <v>81153</v>
      </c>
      <c r="U172">
        <f t="shared" si="52"/>
        <v>116474</v>
      </c>
      <c r="V172" s="3">
        <f t="shared" si="55"/>
        <v>926688</v>
      </c>
      <c r="W172">
        <f t="shared" si="56"/>
        <v>267168</v>
      </c>
      <c r="Y172">
        <f t="shared" si="47"/>
        <v>768</v>
      </c>
    </row>
    <row r="173" spans="1:25" x14ac:dyDescent="0.15">
      <c r="A173" s="4">
        <v>170</v>
      </c>
      <c r="B173" s="1">
        <v>4822503</v>
      </c>
      <c r="C173" s="3">
        <v>502358</v>
      </c>
      <c r="D173">
        <v>507629</v>
      </c>
      <c r="E173" s="3">
        <f>INT(SUM(C$4:C172)*$K$2)</f>
        <v>21740875</v>
      </c>
      <c r="F173" s="3">
        <v>0</v>
      </c>
      <c r="G173" s="3">
        <v>0</v>
      </c>
      <c r="H173" s="3">
        <v>0</v>
      </c>
      <c r="I173" s="3">
        <v>0</v>
      </c>
      <c r="J173" s="3"/>
      <c r="K173" s="3"/>
      <c r="L173">
        <v>1.8</v>
      </c>
      <c r="M173">
        <f t="shared" si="49"/>
        <v>16.2</v>
      </c>
      <c r="N173" s="4">
        <f t="shared" si="53"/>
        <v>2889632</v>
      </c>
      <c r="O173" s="3">
        <f t="shared" si="54"/>
        <v>3363200</v>
      </c>
      <c r="P173" s="4">
        <f t="shared" si="48"/>
        <v>473568</v>
      </c>
      <c r="R173">
        <f t="shared" si="67"/>
        <v>170000</v>
      </c>
      <c r="S173" s="3">
        <f t="shared" si="50"/>
        <v>170000</v>
      </c>
      <c r="T173" s="3">
        <f t="shared" si="51"/>
        <v>81830</v>
      </c>
      <c r="U173">
        <f t="shared" si="52"/>
        <v>117556</v>
      </c>
      <c r="V173" s="3">
        <f t="shared" si="55"/>
        <v>937656</v>
      </c>
      <c r="W173">
        <f t="shared" si="56"/>
        <v>267936</v>
      </c>
      <c r="Y173">
        <f t="shared" si="47"/>
        <v>768</v>
      </c>
    </row>
    <row r="174" spans="1:25" x14ac:dyDescent="0.15">
      <c r="A174" s="4">
        <v>171</v>
      </c>
      <c r="B174" s="1">
        <v>4913299</v>
      </c>
      <c r="C174" s="3">
        <v>511815</v>
      </c>
      <c r="D174">
        <v>512834</v>
      </c>
      <c r="E174" s="3">
        <f>INT(SUM(C$4:C173)*$K$2)</f>
        <v>22243233</v>
      </c>
      <c r="F174" s="3">
        <v>0</v>
      </c>
      <c r="G174" s="3">
        <v>0</v>
      </c>
      <c r="H174" s="3">
        <v>0</v>
      </c>
      <c r="I174" s="3">
        <v>0</v>
      </c>
      <c r="J174" s="3"/>
      <c r="K174" s="3"/>
      <c r="L174">
        <v>1.8</v>
      </c>
      <c r="M174">
        <f t="shared" si="49"/>
        <v>16.2</v>
      </c>
      <c r="N174" s="4">
        <f t="shared" si="53"/>
        <v>2923731</v>
      </c>
      <c r="O174" s="3">
        <f t="shared" si="54"/>
        <v>3422370</v>
      </c>
      <c r="P174" s="4">
        <f t="shared" si="48"/>
        <v>498639</v>
      </c>
      <c r="R174">
        <f t="shared" si="67"/>
        <v>171000</v>
      </c>
      <c r="S174" s="3">
        <f t="shared" si="50"/>
        <v>171000</v>
      </c>
      <c r="T174" s="3">
        <f t="shared" si="51"/>
        <v>82511</v>
      </c>
      <c r="U174">
        <f t="shared" si="52"/>
        <v>118305</v>
      </c>
      <c r="V174" s="3">
        <f t="shared" si="55"/>
        <v>948688</v>
      </c>
      <c r="W174">
        <f t="shared" si="56"/>
        <v>272496</v>
      </c>
      <c r="Y174">
        <f t="shared" ref="Y174" si="74">240+FLOOR((A174-21)/5,1)*144</f>
        <v>4560</v>
      </c>
    </row>
    <row r="175" spans="1:25" x14ac:dyDescent="0.15">
      <c r="A175" s="4">
        <v>172</v>
      </c>
      <c r="B175" s="1">
        <v>5013653</v>
      </c>
      <c r="C175" s="3">
        <v>522267</v>
      </c>
      <c r="D175">
        <v>518586</v>
      </c>
      <c r="E175" s="3">
        <f>INT(SUM(C$4:C174)*$K$2)</f>
        <v>22755048</v>
      </c>
      <c r="F175" s="3">
        <v>0</v>
      </c>
      <c r="G175" s="3">
        <v>0</v>
      </c>
      <c r="H175" s="3">
        <v>0</v>
      </c>
      <c r="I175" s="3">
        <v>0</v>
      </c>
      <c r="J175" s="3"/>
      <c r="K175" s="3"/>
      <c r="L175">
        <v>1.8</v>
      </c>
      <c r="M175">
        <f t="shared" si="49"/>
        <v>16.2</v>
      </c>
      <c r="N175" s="4">
        <f t="shared" si="53"/>
        <v>2958030</v>
      </c>
      <c r="O175" s="3">
        <f t="shared" si="54"/>
        <v>3482230</v>
      </c>
      <c r="P175" s="4">
        <f t="shared" si="48"/>
        <v>524200</v>
      </c>
      <c r="R175">
        <f t="shared" si="67"/>
        <v>172000</v>
      </c>
      <c r="S175" s="3">
        <f t="shared" si="50"/>
        <v>172000</v>
      </c>
      <c r="T175" s="3">
        <f t="shared" si="51"/>
        <v>83196</v>
      </c>
      <c r="U175">
        <f t="shared" si="52"/>
        <v>119058</v>
      </c>
      <c r="V175" s="3">
        <f t="shared" si="55"/>
        <v>959785</v>
      </c>
      <c r="W175">
        <f t="shared" si="56"/>
        <v>273288</v>
      </c>
      <c r="Y175">
        <f t="shared" ref="Y175" si="75">72+FLOOR((A175-21)/5,1)*24</f>
        <v>792</v>
      </c>
    </row>
    <row r="176" spans="1:25" x14ac:dyDescent="0.15">
      <c r="A176" s="4">
        <v>173</v>
      </c>
      <c r="B176" s="1">
        <v>5123564</v>
      </c>
      <c r="C176" s="3">
        <v>533715</v>
      </c>
      <c r="D176">
        <v>524887</v>
      </c>
      <c r="E176" s="3">
        <f>INT(SUM(C$4:C175)*$K$2)</f>
        <v>23277315</v>
      </c>
      <c r="F176" s="3">
        <v>0</v>
      </c>
      <c r="G176" s="3">
        <v>0</v>
      </c>
      <c r="H176" s="3">
        <v>0</v>
      </c>
      <c r="I176" s="3">
        <v>0</v>
      </c>
      <c r="J176" s="3"/>
      <c r="K176" s="3"/>
      <c r="L176">
        <v>1.8</v>
      </c>
      <c r="M176">
        <f t="shared" si="49"/>
        <v>16.2</v>
      </c>
      <c r="N176" s="4">
        <f t="shared" si="53"/>
        <v>2992529</v>
      </c>
      <c r="O176" s="3">
        <f t="shared" si="54"/>
        <v>3542784</v>
      </c>
      <c r="P176" s="4">
        <f t="shared" si="48"/>
        <v>550255</v>
      </c>
      <c r="R176">
        <f t="shared" si="67"/>
        <v>173000</v>
      </c>
      <c r="S176" s="3">
        <f t="shared" si="50"/>
        <v>173000</v>
      </c>
      <c r="T176" s="3">
        <f t="shared" si="51"/>
        <v>83885</v>
      </c>
      <c r="U176">
        <f t="shared" si="52"/>
        <v>119815</v>
      </c>
      <c r="V176" s="3">
        <f t="shared" si="55"/>
        <v>970947</v>
      </c>
      <c r="W176">
        <f t="shared" si="56"/>
        <v>274080</v>
      </c>
      <c r="Y176">
        <f t="shared" si="58"/>
        <v>792</v>
      </c>
    </row>
    <row r="177" spans="1:25" x14ac:dyDescent="0.15">
      <c r="A177" s="4">
        <v>174</v>
      </c>
      <c r="B177" s="1">
        <v>5243032</v>
      </c>
      <c r="C177" s="3">
        <v>546159</v>
      </c>
      <c r="D177">
        <v>531735</v>
      </c>
      <c r="E177" s="3">
        <f>INT(SUM(C$4:C176)*$K$2)</f>
        <v>23811030</v>
      </c>
      <c r="F177" s="3">
        <v>0</v>
      </c>
      <c r="G177" s="3">
        <v>0</v>
      </c>
      <c r="H177" s="3">
        <v>0</v>
      </c>
      <c r="I177" s="3">
        <v>0</v>
      </c>
      <c r="J177" s="3"/>
      <c r="K177" s="3"/>
      <c r="L177">
        <v>1.8</v>
      </c>
      <c r="M177">
        <f t="shared" si="49"/>
        <v>16.2</v>
      </c>
      <c r="N177" s="4">
        <f t="shared" si="53"/>
        <v>3027228</v>
      </c>
      <c r="O177" s="3">
        <f t="shared" si="54"/>
        <v>3604036</v>
      </c>
      <c r="P177" s="4">
        <f t="shared" si="48"/>
        <v>576808</v>
      </c>
      <c r="R177">
        <f t="shared" si="67"/>
        <v>174000</v>
      </c>
      <c r="S177" s="3">
        <f t="shared" si="50"/>
        <v>174000</v>
      </c>
      <c r="T177" s="3">
        <f t="shared" si="51"/>
        <v>84578</v>
      </c>
      <c r="U177">
        <f t="shared" si="52"/>
        <v>120576</v>
      </c>
      <c r="V177" s="3">
        <f t="shared" si="55"/>
        <v>982173</v>
      </c>
      <c r="W177">
        <f t="shared" si="56"/>
        <v>274872</v>
      </c>
      <c r="Y177">
        <f t="shared" si="58"/>
        <v>792</v>
      </c>
    </row>
    <row r="178" spans="1:25" x14ac:dyDescent="0.15">
      <c r="A178" s="4">
        <v>175</v>
      </c>
      <c r="B178" s="1">
        <v>5372058</v>
      </c>
      <c r="C178" s="3">
        <v>559598</v>
      </c>
      <c r="D178">
        <v>539131</v>
      </c>
      <c r="E178" s="3">
        <f>INT(SUM(C$4:C177)*$K$2)</f>
        <v>24357189</v>
      </c>
      <c r="F178" s="3">
        <v>0</v>
      </c>
      <c r="G178" s="3">
        <v>0</v>
      </c>
      <c r="H178" s="3">
        <v>0</v>
      </c>
      <c r="I178" s="3">
        <v>0</v>
      </c>
      <c r="J178" s="3"/>
      <c r="K178" s="3"/>
      <c r="L178">
        <v>2</v>
      </c>
      <c r="M178">
        <f t="shared" si="49"/>
        <v>18</v>
      </c>
      <c r="N178" s="4">
        <f t="shared" si="53"/>
        <v>3062127</v>
      </c>
      <c r="O178" s="3">
        <f t="shared" si="54"/>
        <v>3665990</v>
      </c>
      <c r="P178" s="4">
        <f t="shared" si="48"/>
        <v>603863</v>
      </c>
      <c r="R178">
        <f t="shared" si="67"/>
        <v>175000</v>
      </c>
      <c r="S178" s="3">
        <f t="shared" si="50"/>
        <v>175000</v>
      </c>
      <c r="T178" s="3">
        <f t="shared" si="51"/>
        <v>85275</v>
      </c>
      <c r="U178">
        <f t="shared" si="52"/>
        <v>121690</v>
      </c>
      <c r="V178" s="3">
        <f t="shared" si="55"/>
        <v>1103400</v>
      </c>
      <c r="W178">
        <f t="shared" si="56"/>
        <v>275664</v>
      </c>
      <c r="Y178">
        <f t="shared" si="58"/>
        <v>792</v>
      </c>
    </row>
    <row r="179" spans="1:25" x14ac:dyDescent="0.15">
      <c r="A179" s="4">
        <v>176</v>
      </c>
      <c r="B179" s="1">
        <v>5510641</v>
      </c>
      <c r="C179" s="3">
        <v>574032</v>
      </c>
      <c r="D179">
        <v>547075</v>
      </c>
      <c r="E179" s="3">
        <f>INT(SUM(C$4:C178)*$K$2)</f>
        <v>24916787</v>
      </c>
      <c r="F179" s="3">
        <v>0</v>
      </c>
      <c r="G179" s="3">
        <v>0</v>
      </c>
      <c r="H179" s="3">
        <v>0</v>
      </c>
      <c r="I179" s="3">
        <v>0</v>
      </c>
      <c r="J179" s="3"/>
      <c r="K179" s="3"/>
      <c r="L179">
        <v>2</v>
      </c>
      <c r="M179">
        <f t="shared" si="49"/>
        <v>18</v>
      </c>
      <c r="N179" s="4">
        <f t="shared" si="53"/>
        <v>3097226</v>
      </c>
      <c r="O179" s="3">
        <f t="shared" si="54"/>
        <v>3728650</v>
      </c>
      <c r="P179" s="4">
        <f t="shared" si="48"/>
        <v>631424</v>
      </c>
      <c r="R179">
        <f t="shared" si="67"/>
        <v>176000</v>
      </c>
      <c r="S179" s="3">
        <f t="shared" si="50"/>
        <v>176000</v>
      </c>
      <c r="T179" s="3">
        <f t="shared" si="51"/>
        <v>85976</v>
      </c>
      <c r="U179">
        <f t="shared" si="52"/>
        <v>122461</v>
      </c>
      <c r="V179" s="3">
        <f t="shared" si="55"/>
        <v>1116018</v>
      </c>
      <c r="W179">
        <f t="shared" si="56"/>
        <v>280368</v>
      </c>
      <c r="Y179">
        <f t="shared" ref="Y179" si="76">240+FLOOR((A179-21)/5,1)*144</f>
        <v>4704</v>
      </c>
    </row>
    <row r="180" spans="1:25" x14ac:dyDescent="0.15">
      <c r="A180" s="4">
        <v>177</v>
      </c>
      <c r="B180" s="1">
        <v>5658782</v>
      </c>
      <c r="C180" s="3">
        <v>589462</v>
      </c>
      <c r="D180">
        <v>555567</v>
      </c>
      <c r="E180" s="3">
        <f>INT(SUM(C$4:C179)*$K$2)</f>
        <v>25490819</v>
      </c>
      <c r="F180" s="3">
        <v>0</v>
      </c>
      <c r="G180" s="3">
        <v>0</v>
      </c>
      <c r="H180" s="3">
        <v>0</v>
      </c>
      <c r="I180" s="3">
        <v>0</v>
      </c>
      <c r="J180" s="3"/>
      <c r="K180" s="3"/>
      <c r="L180">
        <v>2</v>
      </c>
      <c r="M180">
        <f t="shared" si="49"/>
        <v>18</v>
      </c>
      <c r="N180" s="4">
        <f t="shared" si="53"/>
        <v>3132525</v>
      </c>
      <c r="O180" s="3">
        <f t="shared" si="54"/>
        <v>3792020</v>
      </c>
      <c r="P180" s="4">
        <f t="shared" si="48"/>
        <v>659495</v>
      </c>
      <c r="R180">
        <f t="shared" si="67"/>
        <v>177000</v>
      </c>
      <c r="S180" s="3">
        <f t="shared" si="50"/>
        <v>177000</v>
      </c>
      <c r="T180" s="3">
        <f t="shared" si="51"/>
        <v>88931</v>
      </c>
      <c r="U180">
        <f t="shared" si="52"/>
        <v>127736</v>
      </c>
      <c r="V180" s="3">
        <f t="shared" si="55"/>
        <v>1128708</v>
      </c>
      <c r="W180">
        <f t="shared" si="56"/>
        <v>281184</v>
      </c>
      <c r="Y180">
        <f t="shared" ref="Y180" si="77">72+FLOOR((A180-21)/5,1)*24</f>
        <v>816</v>
      </c>
    </row>
    <row r="181" spans="1:25" x14ac:dyDescent="0.15">
      <c r="A181" s="4">
        <v>178</v>
      </c>
      <c r="B181" s="1">
        <v>5816481</v>
      </c>
      <c r="C181" s="3">
        <v>605888</v>
      </c>
      <c r="D181">
        <v>564606</v>
      </c>
      <c r="E181" s="3">
        <f>INT(SUM(C$4:C180)*$K$2)</f>
        <v>26080281</v>
      </c>
      <c r="F181" s="3">
        <v>0</v>
      </c>
      <c r="G181" s="3">
        <v>0</v>
      </c>
      <c r="H181" s="3">
        <v>0</v>
      </c>
      <c r="I181" s="3">
        <v>0</v>
      </c>
      <c r="J181" s="3"/>
      <c r="K181" s="3"/>
      <c r="L181">
        <v>2</v>
      </c>
      <c r="M181">
        <f t="shared" si="49"/>
        <v>18</v>
      </c>
      <c r="N181" s="4">
        <f t="shared" si="53"/>
        <v>3168024</v>
      </c>
      <c r="O181" s="3">
        <f t="shared" si="54"/>
        <v>3856104</v>
      </c>
      <c r="P181" s="4">
        <f t="shared" si="48"/>
        <v>688080</v>
      </c>
      <c r="R181">
        <f t="shared" si="67"/>
        <v>178000</v>
      </c>
      <c r="S181" s="3">
        <f t="shared" si="50"/>
        <v>178000</v>
      </c>
      <c r="T181" s="3">
        <f t="shared" si="51"/>
        <v>89640</v>
      </c>
      <c r="U181">
        <f t="shared" si="52"/>
        <v>128515</v>
      </c>
      <c r="V181" s="3">
        <f t="shared" si="55"/>
        <v>1141470</v>
      </c>
      <c r="W181">
        <f t="shared" si="56"/>
        <v>282000</v>
      </c>
      <c r="Y181">
        <f t="shared" si="60"/>
        <v>816</v>
      </c>
    </row>
    <row r="182" spans="1:25" x14ac:dyDescent="0.15">
      <c r="A182" s="4">
        <v>179</v>
      </c>
      <c r="B182" s="1">
        <v>5983736</v>
      </c>
      <c r="C182" s="3">
        <v>623308</v>
      </c>
      <c r="D182">
        <v>574194</v>
      </c>
      <c r="E182" s="3">
        <f>INT(SUM(C$4:C181)*$K$2)</f>
        <v>26686169</v>
      </c>
      <c r="F182" s="3">
        <v>0</v>
      </c>
      <c r="G182" s="3">
        <v>0</v>
      </c>
      <c r="H182" s="3">
        <v>0</v>
      </c>
      <c r="I182" s="3">
        <v>0</v>
      </c>
      <c r="J182" s="3"/>
      <c r="K182" s="3"/>
      <c r="L182">
        <v>2</v>
      </c>
      <c r="M182">
        <f t="shared" si="49"/>
        <v>18</v>
      </c>
      <c r="N182" s="4">
        <f t="shared" si="53"/>
        <v>3203723</v>
      </c>
      <c r="O182" s="3">
        <f t="shared" si="54"/>
        <v>3920906</v>
      </c>
      <c r="P182" s="4">
        <f t="shared" si="48"/>
        <v>717183</v>
      </c>
      <c r="R182">
        <f t="shared" si="67"/>
        <v>179000</v>
      </c>
      <c r="S182" s="3">
        <f t="shared" si="50"/>
        <v>179000</v>
      </c>
      <c r="T182" s="3">
        <f t="shared" si="51"/>
        <v>90353</v>
      </c>
      <c r="U182">
        <f t="shared" si="52"/>
        <v>129298</v>
      </c>
      <c r="V182" s="3">
        <f t="shared" si="55"/>
        <v>1154304</v>
      </c>
      <c r="W182">
        <f t="shared" si="56"/>
        <v>282816</v>
      </c>
      <c r="Y182">
        <f t="shared" si="60"/>
        <v>816</v>
      </c>
    </row>
    <row r="183" spans="1:25" x14ac:dyDescent="0.15">
      <c r="A183" s="4">
        <v>180</v>
      </c>
      <c r="B183" s="1">
        <v>6160550</v>
      </c>
      <c r="C183" s="3">
        <v>641725</v>
      </c>
      <c r="D183">
        <v>584329</v>
      </c>
      <c r="E183" s="3">
        <f>INT(SUM(C$4:C182)*$K$2)</f>
        <v>27309477</v>
      </c>
      <c r="F183" s="3">
        <v>0</v>
      </c>
      <c r="G183" s="3">
        <v>0</v>
      </c>
      <c r="H183" s="3">
        <v>0</v>
      </c>
      <c r="I183" s="3">
        <v>0</v>
      </c>
      <c r="J183" s="3"/>
      <c r="K183" s="3"/>
      <c r="L183">
        <v>2</v>
      </c>
      <c r="M183">
        <f t="shared" si="49"/>
        <v>20</v>
      </c>
      <c r="N183" s="4">
        <f t="shared" si="53"/>
        <v>3239622</v>
      </c>
      <c r="O183" s="3">
        <f t="shared" si="54"/>
        <v>3986430</v>
      </c>
      <c r="P183" s="4">
        <f t="shared" si="48"/>
        <v>746808</v>
      </c>
      <c r="R183">
        <f t="shared" si="67"/>
        <v>180000</v>
      </c>
      <c r="S183" s="3">
        <f t="shared" si="50"/>
        <v>180000</v>
      </c>
      <c r="T183" s="3">
        <f t="shared" si="51"/>
        <v>91070</v>
      </c>
      <c r="U183">
        <f t="shared" si="52"/>
        <v>130444</v>
      </c>
      <c r="V183" s="3">
        <f t="shared" si="55"/>
        <v>1297400</v>
      </c>
      <c r="W183">
        <f t="shared" si="56"/>
        <v>283632</v>
      </c>
      <c r="Y183">
        <f t="shared" si="60"/>
        <v>816</v>
      </c>
    </row>
    <row r="184" spans="1:25" x14ac:dyDescent="0.15">
      <c r="A184" s="4">
        <v>181</v>
      </c>
      <c r="B184" s="1">
        <v>6653394</v>
      </c>
      <c r="C184" s="3">
        <v>693063</v>
      </c>
      <c r="D184">
        <v>631075</v>
      </c>
      <c r="E184" s="3">
        <f>INT(SUM(C$4:C183)*$K$2)</f>
        <v>27951202</v>
      </c>
      <c r="F184" s="3">
        <v>0</v>
      </c>
      <c r="G184" s="3">
        <v>0</v>
      </c>
      <c r="H184" s="3">
        <v>0</v>
      </c>
      <c r="I184" s="3">
        <v>0</v>
      </c>
      <c r="J184" s="3"/>
      <c r="K184" s="3"/>
      <c r="L184">
        <v>2</v>
      </c>
      <c r="M184">
        <f t="shared" si="49"/>
        <v>20</v>
      </c>
      <c r="N184" s="4">
        <f t="shared" si="53"/>
        <v>3275721</v>
      </c>
      <c r="O184" s="3">
        <f t="shared" si="54"/>
        <v>4052680</v>
      </c>
      <c r="P184" s="4">
        <f t="shared" si="48"/>
        <v>776959</v>
      </c>
      <c r="R184">
        <f t="shared" si="67"/>
        <v>181000</v>
      </c>
      <c r="S184" s="3">
        <f t="shared" si="50"/>
        <v>181000</v>
      </c>
      <c r="T184" s="3">
        <f t="shared" si="51"/>
        <v>91791</v>
      </c>
      <c r="U184">
        <f t="shared" si="52"/>
        <v>131237</v>
      </c>
      <c r="V184" s="3">
        <f t="shared" si="55"/>
        <v>1311820</v>
      </c>
      <c r="W184">
        <f t="shared" si="56"/>
        <v>288480</v>
      </c>
      <c r="Y184">
        <f t="shared" ref="Y184" si="78">240+FLOOR((A184-21)/5,1)*144</f>
        <v>4848</v>
      </c>
    </row>
    <row r="185" spans="1:25" x14ac:dyDescent="0.15">
      <c r="A185" s="4">
        <v>182</v>
      </c>
      <c r="B185" s="1">
        <v>6658945</v>
      </c>
      <c r="C185" s="3">
        <v>693809</v>
      </c>
      <c r="D185">
        <v>631431</v>
      </c>
      <c r="E185" s="3">
        <f>INT(SUM(C$4:C184)*$K$2)</f>
        <v>28644265</v>
      </c>
      <c r="F185" s="3">
        <v>0</v>
      </c>
      <c r="G185" s="3">
        <v>0</v>
      </c>
      <c r="H185" s="3">
        <v>0</v>
      </c>
      <c r="I185" s="3">
        <v>0</v>
      </c>
      <c r="J185" s="3"/>
      <c r="K185" s="3"/>
      <c r="L185">
        <v>2</v>
      </c>
      <c r="M185">
        <f t="shared" si="49"/>
        <v>20</v>
      </c>
      <c r="N185" s="4">
        <f t="shared" si="53"/>
        <v>3312020</v>
      </c>
      <c r="O185" s="3">
        <f t="shared" si="54"/>
        <v>4119660</v>
      </c>
      <c r="P185" s="4">
        <f t="shared" si="48"/>
        <v>807640</v>
      </c>
      <c r="R185">
        <f t="shared" si="67"/>
        <v>182000</v>
      </c>
      <c r="S185" s="3">
        <f t="shared" si="50"/>
        <v>182000</v>
      </c>
      <c r="T185" s="3">
        <f t="shared" si="51"/>
        <v>92516</v>
      </c>
      <c r="U185">
        <f t="shared" si="52"/>
        <v>132034</v>
      </c>
      <c r="V185" s="3">
        <f t="shared" si="55"/>
        <v>1326320</v>
      </c>
      <c r="W185">
        <f t="shared" si="56"/>
        <v>289320</v>
      </c>
      <c r="Y185">
        <f t="shared" ref="Y185" si="79">72+FLOOR((A185-21)/5,1)*24</f>
        <v>840</v>
      </c>
    </row>
    <row r="186" spans="1:25" x14ac:dyDescent="0.15">
      <c r="A186" s="4">
        <v>183</v>
      </c>
      <c r="B186" s="1">
        <v>6675601</v>
      </c>
      <c r="C186" s="3">
        <v>696049</v>
      </c>
      <c r="D186">
        <v>632499</v>
      </c>
      <c r="E186" s="3">
        <f>INT(SUM(C$4:C185)*$K$2)</f>
        <v>29338074</v>
      </c>
      <c r="F186" s="3">
        <v>0</v>
      </c>
      <c r="G186" s="3">
        <v>0</v>
      </c>
      <c r="H186" s="3">
        <v>0</v>
      </c>
      <c r="I186" s="3">
        <v>0</v>
      </c>
      <c r="J186" s="3"/>
      <c r="K186" s="3"/>
      <c r="L186">
        <v>2</v>
      </c>
      <c r="M186">
        <f t="shared" si="49"/>
        <v>20</v>
      </c>
      <c r="N186" s="4">
        <f t="shared" si="53"/>
        <v>3348519</v>
      </c>
      <c r="O186" s="3">
        <f t="shared" si="54"/>
        <v>4187374</v>
      </c>
      <c r="P186" s="4">
        <f t="shared" si="48"/>
        <v>838855</v>
      </c>
      <c r="R186">
        <f t="shared" si="67"/>
        <v>183000</v>
      </c>
      <c r="S186" s="3">
        <f t="shared" si="50"/>
        <v>183000</v>
      </c>
      <c r="T186" s="3">
        <f t="shared" si="51"/>
        <v>93245</v>
      </c>
      <c r="U186">
        <f t="shared" si="52"/>
        <v>132835</v>
      </c>
      <c r="V186" s="3">
        <f t="shared" si="55"/>
        <v>1340900</v>
      </c>
      <c r="W186">
        <f t="shared" si="56"/>
        <v>290160</v>
      </c>
      <c r="Y186">
        <f t="shared" si="45"/>
        <v>840</v>
      </c>
    </row>
    <row r="187" spans="1:25" x14ac:dyDescent="0.15">
      <c r="A187" s="4">
        <v>184</v>
      </c>
      <c r="B187" s="1">
        <v>6703361</v>
      </c>
      <c r="C187" s="3">
        <v>699782</v>
      </c>
      <c r="D187">
        <v>634280</v>
      </c>
      <c r="E187" s="3">
        <f>INT(SUM(C$4:C186)*$K$2)</f>
        <v>30034123</v>
      </c>
      <c r="F187" s="3">
        <v>0</v>
      </c>
      <c r="G187" s="3">
        <v>0</v>
      </c>
      <c r="H187" s="3">
        <v>0</v>
      </c>
      <c r="I187" s="3">
        <v>0</v>
      </c>
      <c r="J187" s="3"/>
      <c r="K187" s="3"/>
      <c r="L187">
        <v>2</v>
      </c>
      <c r="M187">
        <f t="shared" si="49"/>
        <v>20</v>
      </c>
      <c r="N187" s="4">
        <f t="shared" si="53"/>
        <v>3385218</v>
      </c>
      <c r="O187" s="3">
        <f t="shared" si="54"/>
        <v>4255826</v>
      </c>
      <c r="P187" s="4">
        <f t="shared" si="48"/>
        <v>870608</v>
      </c>
      <c r="R187">
        <f t="shared" si="67"/>
        <v>184000</v>
      </c>
      <c r="S187" s="3">
        <f t="shared" si="50"/>
        <v>184000</v>
      </c>
      <c r="T187" s="3">
        <f t="shared" si="51"/>
        <v>93978</v>
      </c>
      <c r="U187">
        <f t="shared" si="52"/>
        <v>133640</v>
      </c>
      <c r="V187" s="3">
        <f t="shared" si="55"/>
        <v>1355560</v>
      </c>
      <c r="W187">
        <f t="shared" si="56"/>
        <v>291000</v>
      </c>
      <c r="Y187">
        <f t="shared" si="45"/>
        <v>840</v>
      </c>
    </row>
    <row r="188" spans="1:25" x14ac:dyDescent="0.15">
      <c r="A188" s="4">
        <v>185</v>
      </c>
      <c r="B188" s="1">
        <v>6742225</v>
      </c>
      <c r="C188" s="3">
        <v>705008</v>
      </c>
      <c r="D188">
        <v>636772</v>
      </c>
      <c r="E188" s="3">
        <f>INT(SUM(C$4:C187)*$K$2)</f>
        <v>30733905</v>
      </c>
      <c r="F188" s="3">
        <v>0</v>
      </c>
      <c r="G188" s="3">
        <v>0</v>
      </c>
      <c r="H188" s="3">
        <v>0</v>
      </c>
      <c r="I188" s="3">
        <v>0</v>
      </c>
      <c r="J188" s="3"/>
      <c r="K188" s="3"/>
      <c r="L188">
        <v>2.2000000000000002</v>
      </c>
      <c r="M188">
        <f t="shared" si="49"/>
        <v>22</v>
      </c>
      <c r="N188" s="4">
        <f t="shared" si="53"/>
        <v>3422117</v>
      </c>
      <c r="O188" s="3">
        <f t="shared" si="54"/>
        <v>4325020</v>
      </c>
      <c r="P188" s="4">
        <f t="shared" si="48"/>
        <v>902903</v>
      </c>
      <c r="R188">
        <f t="shared" si="67"/>
        <v>185000</v>
      </c>
      <c r="S188" s="3">
        <f t="shared" si="50"/>
        <v>185000</v>
      </c>
      <c r="T188" s="3">
        <f t="shared" si="51"/>
        <v>97065</v>
      </c>
      <c r="U188">
        <f t="shared" si="52"/>
        <v>139518</v>
      </c>
      <c r="V188" s="3">
        <f t="shared" si="55"/>
        <v>1506830</v>
      </c>
      <c r="W188">
        <f t="shared" si="56"/>
        <v>291840</v>
      </c>
      <c r="Y188">
        <f t="shared" si="45"/>
        <v>840</v>
      </c>
    </row>
    <row r="189" spans="1:25" x14ac:dyDescent="0.15">
      <c r="A189" s="4">
        <v>186</v>
      </c>
      <c r="B189" s="1">
        <v>6792192</v>
      </c>
      <c r="C189" s="3">
        <v>711728</v>
      </c>
      <c r="D189">
        <v>639977</v>
      </c>
      <c r="E189" s="3">
        <f>INT(SUM(C$4:C188)*$K$2)</f>
        <v>31438913</v>
      </c>
      <c r="F189" s="3">
        <v>0</v>
      </c>
      <c r="G189" s="3">
        <v>0</v>
      </c>
      <c r="H189" s="3">
        <v>0</v>
      </c>
      <c r="I189" s="3">
        <v>0</v>
      </c>
      <c r="J189" s="3"/>
      <c r="K189" s="3"/>
      <c r="L189">
        <v>2.2000000000000002</v>
      </c>
      <c r="M189">
        <f t="shared" si="49"/>
        <v>22</v>
      </c>
      <c r="N189" s="4">
        <f t="shared" si="53"/>
        <v>3459216</v>
      </c>
      <c r="O189" s="3">
        <f t="shared" si="54"/>
        <v>4394960</v>
      </c>
      <c r="P189" s="4">
        <f t="shared" si="48"/>
        <v>935744</v>
      </c>
      <c r="R189">
        <f t="shared" si="67"/>
        <v>186000</v>
      </c>
      <c r="S189" s="3">
        <f t="shared" si="50"/>
        <v>186000</v>
      </c>
      <c r="T189" s="3">
        <f t="shared" si="51"/>
        <v>97806</v>
      </c>
      <c r="U189">
        <f t="shared" si="52"/>
        <v>140333</v>
      </c>
      <c r="V189" s="3">
        <f t="shared" si="55"/>
        <v>1523132</v>
      </c>
      <c r="W189">
        <f t="shared" si="56"/>
        <v>296832</v>
      </c>
      <c r="Y189">
        <f t="shared" ref="Y189" si="80">240+FLOOR((A189-21)/5,1)*144</f>
        <v>4992</v>
      </c>
    </row>
    <row r="190" spans="1:25" x14ac:dyDescent="0.15">
      <c r="A190" s="4">
        <v>187</v>
      </c>
      <c r="B190" s="1">
        <v>6853263</v>
      </c>
      <c r="C190" s="3">
        <v>719940</v>
      </c>
      <c r="D190">
        <v>643895</v>
      </c>
      <c r="E190" s="3">
        <f>INT(SUM(C$4:C189)*$K$2)</f>
        <v>32150641</v>
      </c>
      <c r="F190" s="3">
        <v>0</v>
      </c>
      <c r="G190" s="3">
        <v>0</v>
      </c>
      <c r="H190" s="3">
        <v>0</v>
      </c>
      <c r="I190" s="3">
        <v>0</v>
      </c>
      <c r="J190" s="3"/>
      <c r="K190" s="3"/>
      <c r="L190">
        <v>2.2000000000000002</v>
      </c>
      <c r="M190">
        <f t="shared" si="49"/>
        <v>22</v>
      </c>
      <c r="N190" s="4">
        <f t="shared" si="53"/>
        <v>3496515</v>
      </c>
      <c r="O190" s="3">
        <f t="shared" si="54"/>
        <v>4465650</v>
      </c>
      <c r="P190" s="4">
        <f t="shared" si="48"/>
        <v>969135</v>
      </c>
      <c r="R190">
        <f t="shared" si="67"/>
        <v>187000</v>
      </c>
      <c r="S190" s="3">
        <f t="shared" si="50"/>
        <v>187000</v>
      </c>
      <c r="T190" s="3">
        <f t="shared" si="51"/>
        <v>98551</v>
      </c>
      <c r="U190">
        <f t="shared" si="52"/>
        <v>141152</v>
      </c>
      <c r="V190" s="3">
        <f t="shared" si="55"/>
        <v>1539522</v>
      </c>
      <c r="W190">
        <f t="shared" si="56"/>
        <v>297696</v>
      </c>
      <c r="Y190">
        <f t="shared" ref="Y190" si="81">72+FLOOR((A190-21)/5,1)*24</f>
        <v>864</v>
      </c>
    </row>
    <row r="191" spans="1:25" x14ac:dyDescent="0.15">
      <c r="A191" s="4">
        <v>188</v>
      </c>
      <c r="B191" s="1">
        <v>6925439</v>
      </c>
      <c r="C191" s="3">
        <v>729646</v>
      </c>
      <c r="D191">
        <v>648524</v>
      </c>
      <c r="E191" s="3">
        <f>INT(SUM(C$4:C190)*$K$2)</f>
        <v>32870581</v>
      </c>
      <c r="F191" s="3">
        <v>0</v>
      </c>
      <c r="G191" s="3">
        <v>0</v>
      </c>
      <c r="H191" s="3">
        <v>0</v>
      </c>
      <c r="I191" s="3">
        <v>0</v>
      </c>
      <c r="J191" s="3"/>
      <c r="K191" s="3"/>
      <c r="L191">
        <v>2.2000000000000002</v>
      </c>
      <c r="M191">
        <f t="shared" si="49"/>
        <v>22</v>
      </c>
      <c r="N191" s="4">
        <f t="shared" si="53"/>
        <v>3534014</v>
      </c>
      <c r="O191" s="3">
        <f t="shared" si="54"/>
        <v>4537094</v>
      </c>
      <c r="P191" s="4">
        <f t="shared" si="48"/>
        <v>1003080</v>
      </c>
      <c r="R191">
        <f t="shared" si="67"/>
        <v>188000</v>
      </c>
      <c r="S191" s="3">
        <f t="shared" si="50"/>
        <v>188000</v>
      </c>
      <c r="T191" s="3">
        <f t="shared" si="51"/>
        <v>99300</v>
      </c>
      <c r="U191">
        <f t="shared" si="52"/>
        <v>141975</v>
      </c>
      <c r="V191" s="3">
        <f t="shared" si="55"/>
        <v>1556000</v>
      </c>
      <c r="W191">
        <f t="shared" si="56"/>
        <v>298560</v>
      </c>
      <c r="Y191">
        <f t="shared" si="47"/>
        <v>864</v>
      </c>
    </row>
    <row r="192" spans="1:25" x14ac:dyDescent="0.15">
      <c r="A192" s="4">
        <v>189</v>
      </c>
      <c r="B192" s="1">
        <v>7008718</v>
      </c>
      <c r="C192" s="3">
        <v>740845</v>
      </c>
      <c r="D192">
        <v>653865</v>
      </c>
      <c r="E192" s="3">
        <f>INT(SUM(C$4:C191)*$K$2)</f>
        <v>33600227</v>
      </c>
      <c r="F192" s="3">
        <v>0</v>
      </c>
      <c r="G192" s="3">
        <v>0</v>
      </c>
      <c r="H192" s="3">
        <v>0</v>
      </c>
      <c r="I192" s="3">
        <v>0</v>
      </c>
      <c r="J192" s="3"/>
      <c r="K192" s="3"/>
      <c r="L192">
        <v>2.2000000000000002</v>
      </c>
      <c r="M192">
        <f t="shared" si="49"/>
        <v>22</v>
      </c>
      <c r="N192" s="4">
        <f t="shared" si="53"/>
        <v>3571713</v>
      </c>
      <c r="O192" s="3">
        <f t="shared" si="54"/>
        <v>4609296</v>
      </c>
      <c r="P192" s="4">
        <f t="shared" si="48"/>
        <v>1037583</v>
      </c>
      <c r="R192">
        <f t="shared" si="67"/>
        <v>189000</v>
      </c>
      <c r="S192" s="3">
        <f t="shared" si="50"/>
        <v>189000</v>
      </c>
      <c r="T192" s="3">
        <f t="shared" si="51"/>
        <v>100053</v>
      </c>
      <c r="U192">
        <f t="shared" si="52"/>
        <v>142802</v>
      </c>
      <c r="V192" s="3">
        <f t="shared" si="55"/>
        <v>1572566</v>
      </c>
      <c r="W192">
        <f t="shared" si="56"/>
        <v>299424</v>
      </c>
      <c r="Y192">
        <f t="shared" si="47"/>
        <v>864</v>
      </c>
    </row>
    <row r="193" spans="1:25" x14ac:dyDescent="0.15">
      <c r="A193" s="4">
        <v>190</v>
      </c>
      <c r="B193" s="1">
        <v>7103101</v>
      </c>
      <c r="C193" s="3">
        <v>753538</v>
      </c>
      <c r="D193">
        <v>659919</v>
      </c>
      <c r="E193" s="3">
        <f>INT(SUM(C$4:C192)*$K$2)</f>
        <v>34341072</v>
      </c>
      <c r="F193" s="3">
        <v>0</v>
      </c>
      <c r="G193" s="3">
        <v>0</v>
      </c>
      <c r="H193" s="3">
        <v>0</v>
      </c>
      <c r="I193" s="3">
        <v>0</v>
      </c>
      <c r="J193" s="3"/>
      <c r="K193" s="3"/>
      <c r="L193">
        <v>2.2000000000000002</v>
      </c>
      <c r="M193">
        <f t="shared" si="49"/>
        <v>22</v>
      </c>
      <c r="N193" s="4">
        <f t="shared" si="53"/>
        <v>3609612</v>
      </c>
      <c r="O193" s="3">
        <f t="shared" si="54"/>
        <v>4682260</v>
      </c>
      <c r="P193" s="4">
        <f t="shared" si="48"/>
        <v>1072648</v>
      </c>
      <c r="R193">
        <f t="shared" si="67"/>
        <v>190000</v>
      </c>
      <c r="S193" s="3">
        <f t="shared" si="50"/>
        <v>190000</v>
      </c>
      <c r="T193" s="3">
        <f t="shared" si="51"/>
        <v>100810</v>
      </c>
      <c r="U193">
        <f t="shared" si="52"/>
        <v>144012</v>
      </c>
      <c r="V193" s="3">
        <f t="shared" si="55"/>
        <v>1589220</v>
      </c>
      <c r="W193">
        <f t="shared" si="56"/>
        <v>300288</v>
      </c>
      <c r="Y193">
        <f t="shared" si="47"/>
        <v>864</v>
      </c>
    </row>
    <row r="194" spans="1:25" x14ac:dyDescent="0.15">
      <c r="A194" s="4">
        <v>191</v>
      </c>
      <c r="B194" s="1">
        <v>7208587</v>
      </c>
      <c r="C194" s="3">
        <v>767723</v>
      </c>
      <c r="D194">
        <v>666685</v>
      </c>
      <c r="E194" s="3">
        <f>INT(SUM(C$4:C193)*$K$2)</f>
        <v>35094610</v>
      </c>
      <c r="F194" s="3">
        <v>0</v>
      </c>
      <c r="G194" s="3">
        <v>0</v>
      </c>
      <c r="H194" s="3">
        <v>0</v>
      </c>
      <c r="I194" s="3">
        <v>0</v>
      </c>
      <c r="J194" s="3"/>
      <c r="K194" s="3"/>
      <c r="L194">
        <v>2.2000000000000002</v>
      </c>
      <c r="M194">
        <f t="shared" si="49"/>
        <v>22</v>
      </c>
      <c r="N194" s="4">
        <f t="shared" si="53"/>
        <v>3647711</v>
      </c>
      <c r="O194" s="3">
        <f t="shared" si="54"/>
        <v>4755990</v>
      </c>
      <c r="P194" s="4">
        <f t="shared" si="48"/>
        <v>1108279</v>
      </c>
      <c r="R194">
        <f t="shared" si="67"/>
        <v>191000</v>
      </c>
      <c r="S194" s="3">
        <f t="shared" si="50"/>
        <v>191000</v>
      </c>
      <c r="T194" s="3">
        <f t="shared" si="51"/>
        <v>101571</v>
      </c>
      <c r="U194">
        <f t="shared" si="52"/>
        <v>144849</v>
      </c>
      <c r="V194" s="3">
        <f t="shared" si="55"/>
        <v>1605962</v>
      </c>
      <c r="W194">
        <f t="shared" si="56"/>
        <v>305424</v>
      </c>
      <c r="Y194">
        <f t="shared" ref="Y194" si="82">240+FLOOR((A194-21)/5,1)*144</f>
        <v>5136</v>
      </c>
    </row>
    <row r="195" spans="1:25" x14ac:dyDescent="0.15">
      <c r="A195" s="4">
        <v>192</v>
      </c>
      <c r="B195" s="1">
        <v>7325178</v>
      </c>
      <c r="C195" s="3">
        <v>783402</v>
      </c>
      <c r="D195">
        <v>674163</v>
      </c>
      <c r="E195" s="3">
        <f>INT(SUM(C$4:C194)*$K$2)</f>
        <v>35862333</v>
      </c>
      <c r="F195" s="3">
        <v>0</v>
      </c>
      <c r="G195" s="3">
        <v>0</v>
      </c>
      <c r="H195" s="3">
        <v>0</v>
      </c>
      <c r="I195" s="3">
        <v>0</v>
      </c>
      <c r="J195" s="3"/>
      <c r="K195" s="3"/>
      <c r="L195">
        <v>2.2000000000000002</v>
      </c>
      <c r="M195">
        <f t="shared" si="49"/>
        <v>22</v>
      </c>
      <c r="N195" s="4">
        <f t="shared" si="53"/>
        <v>3686010</v>
      </c>
      <c r="O195" s="3">
        <f t="shared" si="54"/>
        <v>4830490</v>
      </c>
      <c r="P195" s="4">
        <f t="shared" si="48"/>
        <v>1144480</v>
      </c>
      <c r="R195">
        <f t="shared" si="67"/>
        <v>192000</v>
      </c>
      <c r="S195" s="3">
        <f t="shared" si="50"/>
        <v>192000</v>
      </c>
      <c r="T195" s="3">
        <f t="shared" si="51"/>
        <v>102336</v>
      </c>
      <c r="U195">
        <f t="shared" si="52"/>
        <v>145690</v>
      </c>
      <c r="V195" s="3">
        <f t="shared" si="55"/>
        <v>1622792</v>
      </c>
      <c r="W195">
        <f t="shared" si="56"/>
        <v>306312</v>
      </c>
      <c r="Y195">
        <f t="shared" ref="Y195" si="83">72+FLOOR((A195-21)/5,1)*24</f>
        <v>888</v>
      </c>
    </row>
    <row r="196" spans="1:25" x14ac:dyDescent="0.15">
      <c r="A196" s="4">
        <v>193</v>
      </c>
      <c r="B196" s="1">
        <v>7452873</v>
      </c>
      <c r="C196" s="3">
        <v>800574</v>
      </c>
      <c r="D196">
        <v>682354</v>
      </c>
      <c r="E196" s="3">
        <f>INT(SUM(C$4:C195)*$K$2)</f>
        <v>36645735</v>
      </c>
      <c r="F196" s="3">
        <v>0</v>
      </c>
      <c r="G196" s="3">
        <v>0</v>
      </c>
      <c r="H196" s="3">
        <v>0</v>
      </c>
      <c r="I196" s="3">
        <v>0</v>
      </c>
      <c r="J196" s="3"/>
      <c r="K196" s="3"/>
      <c r="L196">
        <v>2.2000000000000002</v>
      </c>
      <c r="M196">
        <f t="shared" si="49"/>
        <v>22</v>
      </c>
      <c r="N196" s="4">
        <f t="shared" si="53"/>
        <v>3724509</v>
      </c>
      <c r="O196" s="3">
        <f t="shared" si="54"/>
        <v>4905764</v>
      </c>
      <c r="P196" s="4">
        <f t="shared" ref="P196:P259" si="84">O196-N196</f>
        <v>1181255</v>
      </c>
      <c r="R196">
        <f t="shared" si="67"/>
        <v>193000</v>
      </c>
      <c r="S196" s="3">
        <f t="shared" si="50"/>
        <v>193000</v>
      </c>
      <c r="T196" s="3">
        <f t="shared" si="51"/>
        <v>105555</v>
      </c>
      <c r="U196">
        <f t="shared" si="52"/>
        <v>151435</v>
      </c>
      <c r="V196" s="3">
        <f t="shared" si="55"/>
        <v>1639710</v>
      </c>
      <c r="W196">
        <f t="shared" si="56"/>
        <v>307200</v>
      </c>
      <c r="Y196">
        <f t="shared" si="58"/>
        <v>888</v>
      </c>
    </row>
    <row r="197" spans="1:25" x14ac:dyDescent="0.15">
      <c r="A197" s="4">
        <v>194</v>
      </c>
      <c r="B197" s="1">
        <v>7591671</v>
      </c>
      <c r="C197" s="3">
        <v>819239</v>
      </c>
      <c r="D197">
        <v>691256</v>
      </c>
      <c r="E197" s="3">
        <f>INT(SUM(C$4:C196)*$K$2)</f>
        <v>37446309</v>
      </c>
      <c r="F197" s="3">
        <v>0</v>
      </c>
      <c r="G197" s="3">
        <v>0</v>
      </c>
      <c r="H197" s="3">
        <v>0</v>
      </c>
      <c r="I197" s="3">
        <v>0</v>
      </c>
      <c r="J197" s="3"/>
      <c r="K197" s="3"/>
      <c r="L197">
        <v>2.2000000000000002</v>
      </c>
      <c r="M197">
        <f t="shared" ref="M197:M260" si="85">(FLOOR(A197/20,1)+1)*L197</f>
        <v>22</v>
      </c>
      <c r="N197" s="4">
        <f t="shared" si="53"/>
        <v>3763208</v>
      </c>
      <c r="O197" s="3">
        <f t="shared" si="54"/>
        <v>4981816</v>
      </c>
      <c r="P197" s="4">
        <f t="shared" si="84"/>
        <v>1218608</v>
      </c>
      <c r="R197">
        <f t="shared" si="67"/>
        <v>194000</v>
      </c>
      <c r="S197" s="3">
        <f t="shared" ref="S197:S260" si="86">R197</f>
        <v>194000</v>
      </c>
      <c r="T197" s="3">
        <f t="shared" ref="T197:T260" si="87">$T$4*POWER(ROUNDUP($A197/8,0),2)+($A197+$A196)*$A197</f>
        <v>106328</v>
      </c>
      <c r="U197">
        <f t="shared" ref="U197:U260" si="88">$U$4*POWER(ROUNDUP($A197/8,0),2)+($A197+$A196)*($A197+INT($A197/5))</f>
        <v>152284</v>
      </c>
      <c r="V197" s="3">
        <f t="shared" si="55"/>
        <v>1656716</v>
      </c>
      <c r="W197">
        <f t="shared" si="56"/>
        <v>308088</v>
      </c>
      <c r="Y197">
        <f t="shared" si="58"/>
        <v>888</v>
      </c>
    </row>
    <row r="198" spans="1:25" x14ac:dyDescent="0.15">
      <c r="A198" s="4">
        <v>195</v>
      </c>
      <c r="B198" s="1">
        <v>7741574</v>
      </c>
      <c r="C198" s="3">
        <v>839397</v>
      </c>
      <c r="D198">
        <v>700871</v>
      </c>
      <c r="E198" s="3">
        <f>INT(SUM(C$4:C197)*$K$2)</f>
        <v>38265548</v>
      </c>
      <c r="F198" s="3">
        <v>0</v>
      </c>
      <c r="G198" s="3">
        <v>0</v>
      </c>
      <c r="H198" s="3">
        <v>0</v>
      </c>
      <c r="I198" s="3">
        <v>0</v>
      </c>
      <c r="J198" s="3"/>
      <c r="K198" s="3"/>
      <c r="L198">
        <v>2.4</v>
      </c>
      <c r="M198">
        <f t="shared" si="85"/>
        <v>24</v>
      </c>
      <c r="N198" s="4">
        <f t="shared" ref="N198:N261" si="89">A198*A197*100+A196*99</f>
        <v>3802107</v>
      </c>
      <c r="O198" s="3">
        <f t="shared" ref="O198:O261" si="90">O197+POWER($A198+2,2)+POWER($A197+1,2)</f>
        <v>5058650</v>
      </c>
      <c r="P198" s="4">
        <f t="shared" si="84"/>
        <v>1256543</v>
      </c>
      <c r="R198">
        <f t="shared" si="67"/>
        <v>195000</v>
      </c>
      <c r="S198" s="3">
        <f t="shared" si="86"/>
        <v>195000</v>
      </c>
      <c r="T198" s="3">
        <f t="shared" si="87"/>
        <v>107105</v>
      </c>
      <c r="U198">
        <f t="shared" si="88"/>
        <v>153526</v>
      </c>
      <c r="V198" s="3">
        <f t="shared" ref="V198:V261" si="91">FLOOR($V$4*POWER(FLOOR($A198/20,1)+1,2)+($A198+$A197)*$A198*M198,1)</f>
        <v>1825520</v>
      </c>
      <c r="W198">
        <f t="shared" ref="W198:W261" si="92">FLOOR(W197+Y198,1)</f>
        <v>308976</v>
      </c>
      <c r="Y198">
        <f t="shared" si="58"/>
        <v>888</v>
      </c>
    </row>
    <row r="199" spans="1:25" x14ac:dyDescent="0.15">
      <c r="A199" s="4">
        <v>196</v>
      </c>
      <c r="B199" s="1">
        <v>7902580</v>
      </c>
      <c r="C199" s="3">
        <v>861049</v>
      </c>
      <c r="D199">
        <v>711198</v>
      </c>
      <c r="E199" s="3">
        <f>INT(SUM(C$4:C198)*$K$2)</f>
        <v>39104945</v>
      </c>
      <c r="F199" s="3">
        <v>0</v>
      </c>
      <c r="G199" s="3">
        <v>0</v>
      </c>
      <c r="H199" s="3">
        <v>0</v>
      </c>
      <c r="I199" s="3">
        <v>0</v>
      </c>
      <c r="J199" s="3"/>
      <c r="K199" s="3"/>
      <c r="L199">
        <v>2.4</v>
      </c>
      <c r="M199">
        <f t="shared" si="85"/>
        <v>24</v>
      </c>
      <c r="N199" s="4">
        <f t="shared" si="89"/>
        <v>3841206</v>
      </c>
      <c r="O199" s="3">
        <f t="shared" si="90"/>
        <v>5136270</v>
      </c>
      <c r="P199" s="4">
        <f t="shared" si="84"/>
        <v>1295064</v>
      </c>
      <c r="R199">
        <f t="shared" si="67"/>
        <v>196000</v>
      </c>
      <c r="S199" s="3">
        <f t="shared" si="86"/>
        <v>196000</v>
      </c>
      <c r="T199" s="3">
        <f t="shared" si="87"/>
        <v>107886</v>
      </c>
      <c r="U199">
        <f t="shared" si="88"/>
        <v>154385</v>
      </c>
      <c r="V199" s="3">
        <f t="shared" si="91"/>
        <v>1844264</v>
      </c>
      <c r="W199">
        <f t="shared" si="92"/>
        <v>314256</v>
      </c>
      <c r="Y199">
        <f t="shared" ref="Y199" si="93">240+FLOOR((A199-21)/5,1)*144</f>
        <v>5280</v>
      </c>
    </row>
    <row r="200" spans="1:25" x14ac:dyDescent="0.15">
      <c r="A200" s="4">
        <v>197</v>
      </c>
      <c r="B200" s="1">
        <v>8074690</v>
      </c>
      <c r="C200" s="3">
        <v>884194</v>
      </c>
      <c r="D200">
        <v>722237</v>
      </c>
      <c r="E200" s="3">
        <f>INT(SUM(C$4:C199)*$K$2)</f>
        <v>39965994</v>
      </c>
      <c r="F200" s="3">
        <v>0</v>
      </c>
      <c r="G200" s="3">
        <v>0</v>
      </c>
      <c r="H200" s="3">
        <v>0</v>
      </c>
      <c r="I200" s="3">
        <v>0</v>
      </c>
      <c r="J200" s="3"/>
      <c r="K200" s="3"/>
      <c r="L200">
        <v>2.4</v>
      </c>
      <c r="M200">
        <f t="shared" si="85"/>
        <v>24</v>
      </c>
      <c r="N200" s="4">
        <f t="shared" si="89"/>
        <v>3880505</v>
      </c>
      <c r="O200" s="3">
        <f t="shared" si="90"/>
        <v>5214680</v>
      </c>
      <c r="P200" s="4">
        <f t="shared" si="84"/>
        <v>1334175</v>
      </c>
      <c r="R200">
        <f t="shared" si="67"/>
        <v>197000</v>
      </c>
      <c r="S200" s="3">
        <f t="shared" si="86"/>
        <v>197000</v>
      </c>
      <c r="T200" s="3">
        <f t="shared" si="87"/>
        <v>108671</v>
      </c>
      <c r="U200">
        <f t="shared" si="88"/>
        <v>155248</v>
      </c>
      <c r="V200" s="3">
        <f t="shared" si="91"/>
        <v>1863104</v>
      </c>
      <c r="W200">
        <f t="shared" si="92"/>
        <v>315168</v>
      </c>
      <c r="Y200">
        <f t="shared" ref="Y200" si="94">72+FLOOR((A200-21)/5,1)*24</f>
        <v>912</v>
      </c>
    </row>
    <row r="201" spans="1:25" x14ac:dyDescent="0.15">
      <c r="A201" s="4">
        <v>198</v>
      </c>
      <c r="B201" s="1">
        <v>8257904</v>
      </c>
      <c r="C201" s="3">
        <v>908832</v>
      </c>
      <c r="D201">
        <v>733989</v>
      </c>
      <c r="E201" s="3">
        <f>INT(SUM(C$4:C200)*$K$2)</f>
        <v>40850188</v>
      </c>
      <c r="F201" s="3">
        <v>0</v>
      </c>
      <c r="G201" s="3">
        <v>0</v>
      </c>
      <c r="H201" s="3">
        <v>0</v>
      </c>
      <c r="I201" s="3">
        <v>0</v>
      </c>
      <c r="J201" s="3"/>
      <c r="K201" s="3"/>
      <c r="L201">
        <v>2.4</v>
      </c>
      <c r="M201">
        <f t="shared" si="85"/>
        <v>24</v>
      </c>
      <c r="N201" s="4">
        <f t="shared" si="89"/>
        <v>3920004</v>
      </c>
      <c r="O201" s="3">
        <f t="shared" si="90"/>
        <v>5293884</v>
      </c>
      <c r="P201" s="4">
        <f t="shared" si="84"/>
        <v>1373880</v>
      </c>
      <c r="R201">
        <f t="shared" si="67"/>
        <v>198000</v>
      </c>
      <c r="S201" s="3">
        <f t="shared" si="86"/>
        <v>198000</v>
      </c>
      <c r="T201" s="3">
        <f t="shared" si="87"/>
        <v>109460</v>
      </c>
      <c r="U201">
        <f t="shared" si="88"/>
        <v>156115</v>
      </c>
      <c r="V201" s="3">
        <f t="shared" si="91"/>
        <v>1882040</v>
      </c>
      <c r="W201">
        <f t="shared" si="92"/>
        <v>316080</v>
      </c>
      <c r="Y201">
        <f t="shared" si="60"/>
        <v>912</v>
      </c>
    </row>
    <row r="202" spans="1:25" x14ac:dyDescent="0.15">
      <c r="A202" s="4">
        <v>199</v>
      </c>
      <c r="B202" s="1">
        <v>8452222</v>
      </c>
      <c r="C202" s="3">
        <v>934963</v>
      </c>
      <c r="D202">
        <v>746453</v>
      </c>
      <c r="E202" s="3">
        <f>INT(SUM(C$4:C201)*$K$2)</f>
        <v>41759020</v>
      </c>
      <c r="F202" s="3">
        <v>0</v>
      </c>
      <c r="G202" s="3">
        <v>0</v>
      </c>
      <c r="H202" s="3">
        <v>0</v>
      </c>
      <c r="I202" s="3">
        <v>0</v>
      </c>
      <c r="J202" s="3"/>
      <c r="K202" s="3"/>
      <c r="L202">
        <v>2.4</v>
      </c>
      <c r="M202">
        <f t="shared" si="85"/>
        <v>24</v>
      </c>
      <c r="N202" s="4">
        <f t="shared" si="89"/>
        <v>3959703</v>
      </c>
      <c r="O202" s="3">
        <f t="shared" si="90"/>
        <v>5373886</v>
      </c>
      <c r="P202" s="4">
        <f t="shared" si="84"/>
        <v>1414183</v>
      </c>
      <c r="R202">
        <f t="shared" si="67"/>
        <v>199000</v>
      </c>
      <c r="S202" s="3">
        <f t="shared" si="86"/>
        <v>199000</v>
      </c>
      <c r="T202" s="3">
        <f t="shared" si="87"/>
        <v>110253</v>
      </c>
      <c r="U202">
        <f t="shared" si="88"/>
        <v>156986</v>
      </c>
      <c r="V202" s="3">
        <f t="shared" si="91"/>
        <v>1901072</v>
      </c>
      <c r="W202">
        <f t="shared" si="92"/>
        <v>316992</v>
      </c>
      <c r="Y202">
        <f t="shared" si="60"/>
        <v>912</v>
      </c>
    </row>
    <row r="203" spans="1:25" x14ac:dyDescent="0.15">
      <c r="A203" s="4">
        <v>200</v>
      </c>
      <c r="B203" s="1">
        <v>8657644</v>
      </c>
      <c r="C203" s="3">
        <v>962588</v>
      </c>
      <c r="D203">
        <v>759628</v>
      </c>
      <c r="E203" s="3">
        <f>INT(SUM(C$4:C202)*$K$2)</f>
        <v>42693983</v>
      </c>
      <c r="F203" s="3">
        <v>0</v>
      </c>
      <c r="G203" s="3">
        <v>0</v>
      </c>
      <c r="H203" s="3">
        <v>0</v>
      </c>
      <c r="I203" s="3">
        <v>0</v>
      </c>
      <c r="J203" s="3"/>
      <c r="K203" s="3"/>
      <c r="L203">
        <v>2.4</v>
      </c>
      <c r="M203">
        <f t="shared" si="85"/>
        <v>26.4</v>
      </c>
      <c r="N203" s="4">
        <f t="shared" si="89"/>
        <v>3999602</v>
      </c>
      <c r="O203" s="3">
        <f t="shared" si="90"/>
        <v>5454690</v>
      </c>
      <c r="P203" s="4">
        <f t="shared" si="84"/>
        <v>1455088</v>
      </c>
      <c r="R203">
        <f t="shared" si="67"/>
        <v>200000</v>
      </c>
      <c r="S203" s="3">
        <f t="shared" si="86"/>
        <v>200000</v>
      </c>
      <c r="T203" s="3">
        <f t="shared" si="87"/>
        <v>111050</v>
      </c>
      <c r="U203">
        <f t="shared" si="88"/>
        <v>158260</v>
      </c>
      <c r="V203" s="3">
        <f t="shared" si="91"/>
        <v>2112770</v>
      </c>
      <c r="W203">
        <f t="shared" si="92"/>
        <v>317904</v>
      </c>
      <c r="Y203">
        <f t="shared" si="60"/>
        <v>912</v>
      </c>
    </row>
    <row r="204" spans="1:25" x14ac:dyDescent="0.15">
      <c r="A204" s="4">
        <v>201</v>
      </c>
      <c r="B204" s="1">
        <v>9177102</v>
      </c>
      <c r="C204" s="3">
        <v>1020343</v>
      </c>
      <c r="D204">
        <v>805205</v>
      </c>
      <c r="E204" s="3">
        <f>INT(SUM(C$4:C203)*$K$2)</f>
        <v>43656571</v>
      </c>
      <c r="F204" s="3">
        <v>0</v>
      </c>
      <c r="G204" s="3">
        <v>0</v>
      </c>
      <c r="H204" s="3">
        <v>0</v>
      </c>
      <c r="I204" s="3">
        <v>0</v>
      </c>
      <c r="J204" s="3"/>
      <c r="K204" s="3"/>
      <c r="L204">
        <v>2.4</v>
      </c>
      <c r="M204">
        <f t="shared" si="85"/>
        <v>26.4</v>
      </c>
      <c r="N204" s="4">
        <f t="shared" si="89"/>
        <v>4039701</v>
      </c>
      <c r="O204" s="3">
        <f t="shared" si="90"/>
        <v>5536300</v>
      </c>
      <c r="P204" s="4">
        <f t="shared" si="84"/>
        <v>1496599</v>
      </c>
      <c r="R204">
        <f t="shared" si="67"/>
        <v>201000</v>
      </c>
      <c r="S204" s="3">
        <f t="shared" si="86"/>
        <v>201000</v>
      </c>
      <c r="T204" s="3">
        <f t="shared" si="87"/>
        <v>114401</v>
      </c>
      <c r="U204">
        <f t="shared" si="88"/>
        <v>164241</v>
      </c>
      <c r="V204" s="3">
        <f t="shared" si="91"/>
        <v>2133916</v>
      </c>
      <c r="W204">
        <f t="shared" si="92"/>
        <v>323328</v>
      </c>
      <c r="Y204">
        <f t="shared" ref="Y204" si="95">240+FLOOR((A204-21)/5,1)*144</f>
        <v>5424</v>
      </c>
    </row>
    <row r="205" spans="1:25" x14ac:dyDescent="0.15">
      <c r="A205" s="4">
        <v>202</v>
      </c>
      <c r="B205" s="1">
        <v>9180260</v>
      </c>
      <c r="C205" s="3">
        <v>1020958</v>
      </c>
      <c r="D205">
        <v>805471</v>
      </c>
      <c r="E205" s="3">
        <f>INT(SUM(C$4:C204)*$K$2)</f>
        <v>44676914</v>
      </c>
      <c r="F205" s="3">
        <v>0</v>
      </c>
      <c r="G205" s="3">
        <v>0</v>
      </c>
      <c r="H205" s="3">
        <v>0</v>
      </c>
      <c r="I205" s="3">
        <v>0</v>
      </c>
      <c r="J205" s="3"/>
      <c r="K205" s="3"/>
      <c r="L205">
        <v>2.4</v>
      </c>
      <c r="M205">
        <f t="shared" si="85"/>
        <v>26.4</v>
      </c>
      <c r="N205" s="4">
        <f t="shared" si="89"/>
        <v>4080000</v>
      </c>
      <c r="O205" s="3">
        <f t="shared" si="90"/>
        <v>5618720</v>
      </c>
      <c r="P205" s="4">
        <f t="shared" si="84"/>
        <v>1538720</v>
      </c>
      <c r="R205">
        <f t="shared" si="67"/>
        <v>202000</v>
      </c>
      <c r="S205" s="3">
        <f t="shared" si="86"/>
        <v>202000</v>
      </c>
      <c r="T205" s="3">
        <f t="shared" si="87"/>
        <v>115206</v>
      </c>
      <c r="U205">
        <f t="shared" si="88"/>
        <v>165126</v>
      </c>
      <c r="V205" s="3">
        <f t="shared" si="91"/>
        <v>2155168</v>
      </c>
      <c r="W205">
        <f t="shared" si="92"/>
        <v>324264</v>
      </c>
      <c r="Y205">
        <f t="shared" ref="Y205:Y268" si="96">72+FLOOR((A205-21)/5,1)*24</f>
        <v>936</v>
      </c>
    </row>
    <row r="206" spans="1:25" x14ac:dyDescent="0.15">
      <c r="A206" s="4">
        <v>203</v>
      </c>
      <c r="B206" s="1">
        <v>9189735</v>
      </c>
      <c r="C206" s="3">
        <v>1022803</v>
      </c>
      <c r="D206">
        <v>806267</v>
      </c>
      <c r="E206" s="3">
        <f>INT(SUM(C$4:C205)*$K$2)</f>
        <v>45697872</v>
      </c>
      <c r="F206" s="3">
        <v>0</v>
      </c>
      <c r="G206" s="3">
        <v>0</v>
      </c>
      <c r="H206" s="3">
        <v>0</v>
      </c>
      <c r="I206" s="3">
        <v>0</v>
      </c>
      <c r="J206" s="3"/>
      <c r="K206" s="3"/>
      <c r="L206">
        <v>2.4</v>
      </c>
      <c r="M206">
        <f t="shared" si="85"/>
        <v>26.4</v>
      </c>
      <c r="N206" s="4">
        <f t="shared" si="89"/>
        <v>4120499</v>
      </c>
      <c r="O206" s="3">
        <f t="shared" si="90"/>
        <v>5701954</v>
      </c>
      <c r="P206" s="4">
        <f t="shared" si="84"/>
        <v>1581455</v>
      </c>
      <c r="R206">
        <f t="shared" si="67"/>
        <v>203000</v>
      </c>
      <c r="S206" s="3">
        <f t="shared" si="86"/>
        <v>203000</v>
      </c>
      <c r="T206" s="3">
        <f t="shared" si="87"/>
        <v>116015</v>
      </c>
      <c r="U206">
        <f t="shared" si="88"/>
        <v>166015</v>
      </c>
      <c r="V206" s="3">
        <f t="shared" si="91"/>
        <v>2176526</v>
      </c>
      <c r="W206">
        <f t="shared" si="92"/>
        <v>325200</v>
      </c>
      <c r="Y206">
        <f t="shared" si="96"/>
        <v>936</v>
      </c>
    </row>
    <row r="207" spans="1:25" x14ac:dyDescent="0.15">
      <c r="A207" s="4">
        <v>204</v>
      </c>
      <c r="B207" s="1">
        <v>9205526</v>
      </c>
      <c r="C207" s="3">
        <v>1025878</v>
      </c>
      <c r="D207">
        <v>807594</v>
      </c>
      <c r="E207" s="3">
        <f>INT(SUM(C$4:C206)*$K$2)</f>
        <v>46720675</v>
      </c>
      <c r="F207" s="3">
        <v>0</v>
      </c>
      <c r="G207" s="3">
        <v>0</v>
      </c>
      <c r="H207" s="3">
        <v>0</v>
      </c>
      <c r="I207" s="3">
        <v>0</v>
      </c>
      <c r="J207" s="3"/>
      <c r="K207" s="3"/>
      <c r="L207">
        <v>2.4</v>
      </c>
      <c r="M207">
        <f t="shared" si="85"/>
        <v>26.4</v>
      </c>
      <c r="N207" s="4">
        <f t="shared" si="89"/>
        <v>4161198</v>
      </c>
      <c r="O207" s="3">
        <f t="shared" si="90"/>
        <v>5786006</v>
      </c>
      <c r="P207" s="4">
        <f t="shared" si="84"/>
        <v>1624808</v>
      </c>
      <c r="R207">
        <f t="shared" si="67"/>
        <v>204000</v>
      </c>
      <c r="S207" s="3">
        <f t="shared" si="86"/>
        <v>204000</v>
      </c>
      <c r="T207" s="3">
        <f t="shared" si="87"/>
        <v>116828</v>
      </c>
      <c r="U207">
        <f t="shared" si="88"/>
        <v>166908</v>
      </c>
      <c r="V207" s="3">
        <f t="shared" si="91"/>
        <v>2197989</v>
      </c>
      <c r="W207">
        <f t="shared" si="92"/>
        <v>326136</v>
      </c>
      <c r="Y207">
        <f t="shared" si="96"/>
        <v>936</v>
      </c>
    </row>
    <row r="208" spans="1:25" x14ac:dyDescent="0.15">
      <c r="A208" s="4">
        <v>205</v>
      </c>
      <c r="B208" s="1">
        <v>9227634</v>
      </c>
      <c r="C208" s="3">
        <v>1030184</v>
      </c>
      <c r="D208">
        <v>809453</v>
      </c>
      <c r="E208" s="3">
        <f>INT(SUM(C$4:C207)*$K$2)</f>
        <v>47746553</v>
      </c>
      <c r="F208" s="3">
        <v>0</v>
      </c>
      <c r="G208" s="3">
        <v>0</v>
      </c>
      <c r="H208" s="3">
        <v>0</v>
      </c>
      <c r="I208" s="3">
        <v>0</v>
      </c>
      <c r="J208" s="3"/>
      <c r="K208" s="3"/>
      <c r="L208">
        <v>2.6</v>
      </c>
      <c r="M208">
        <f t="shared" si="85"/>
        <v>28.6</v>
      </c>
      <c r="N208" s="4">
        <f t="shared" si="89"/>
        <v>4202097</v>
      </c>
      <c r="O208" s="3">
        <f t="shared" si="90"/>
        <v>5870880</v>
      </c>
      <c r="P208" s="4">
        <f t="shared" si="84"/>
        <v>1668783</v>
      </c>
      <c r="R208">
        <f t="shared" si="67"/>
        <v>205000</v>
      </c>
      <c r="S208" s="3">
        <f t="shared" si="86"/>
        <v>205000</v>
      </c>
      <c r="T208" s="3">
        <f t="shared" si="87"/>
        <v>117645</v>
      </c>
      <c r="U208">
        <f t="shared" si="88"/>
        <v>168214</v>
      </c>
      <c r="V208" s="3">
        <f t="shared" si="91"/>
        <v>2404017</v>
      </c>
      <c r="W208">
        <f t="shared" si="92"/>
        <v>327072</v>
      </c>
      <c r="Y208">
        <f t="shared" si="96"/>
        <v>936</v>
      </c>
    </row>
    <row r="209" spans="1:25" x14ac:dyDescent="0.15">
      <c r="A209" s="4">
        <v>206</v>
      </c>
      <c r="B209" s="1">
        <v>9256058</v>
      </c>
      <c r="C209" s="3">
        <v>1035719</v>
      </c>
      <c r="D209">
        <v>811842</v>
      </c>
      <c r="E209" s="3">
        <f>INT(SUM(C$4:C208)*$K$2)</f>
        <v>48776737</v>
      </c>
      <c r="F209" s="3">
        <v>0</v>
      </c>
      <c r="G209" s="3">
        <v>0</v>
      </c>
      <c r="H209" s="3">
        <v>0</v>
      </c>
      <c r="I209" s="3">
        <v>0</v>
      </c>
      <c r="J209" s="3"/>
      <c r="K209" s="3"/>
      <c r="L209">
        <v>2.6</v>
      </c>
      <c r="M209">
        <f t="shared" si="85"/>
        <v>28.6</v>
      </c>
      <c r="N209" s="4">
        <f t="shared" si="89"/>
        <v>4243196</v>
      </c>
      <c r="O209" s="3">
        <f t="shared" si="90"/>
        <v>5956580</v>
      </c>
      <c r="P209" s="4">
        <f t="shared" si="84"/>
        <v>1713384</v>
      </c>
      <c r="R209">
        <f t="shared" si="67"/>
        <v>206000</v>
      </c>
      <c r="S209" s="3">
        <f t="shared" si="86"/>
        <v>206000</v>
      </c>
      <c r="T209" s="3">
        <f t="shared" si="87"/>
        <v>118466</v>
      </c>
      <c r="U209">
        <f t="shared" si="88"/>
        <v>169117</v>
      </c>
      <c r="V209" s="3">
        <f t="shared" si="91"/>
        <v>2427497</v>
      </c>
      <c r="W209">
        <f t="shared" si="92"/>
        <v>332640</v>
      </c>
      <c r="Y209">
        <f t="shared" ref="Y209" si="97">240+FLOOR((A209-21)/5,1)*144</f>
        <v>5568</v>
      </c>
    </row>
    <row r="210" spans="1:25" x14ac:dyDescent="0.15">
      <c r="A210" s="4">
        <v>207</v>
      </c>
      <c r="B210" s="1">
        <v>9290798</v>
      </c>
      <c r="C210" s="3">
        <v>1042485</v>
      </c>
      <c r="D210">
        <v>814762</v>
      </c>
      <c r="E210" s="3">
        <f>INT(SUM(C$4:C209)*$K$2)</f>
        <v>49812456</v>
      </c>
      <c r="F210" s="3">
        <v>0</v>
      </c>
      <c r="G210" s="3">
        <v>0</v>
      </c>
      <c r="H210" s="3">
        <v>0</v>
      </c>
      <c r="I210" s="3">
        <v>0</v>
      </c>
      <c r="J210" s="3"/>
      <c r="K210" s="3"/>
      <c r="L210">
        <v>2.6</v>
      </c>
      <c r="M210">
        <f t="shared" si="85"/>
        <v>28.6</v>
      </c>
      <c r="N210" s="4">
        <f t="shared" si="89"/>
        <v>4284495</v>
      </c>
      <c r="O210" s="3">
        <f t="shared" si="90"/>
        <v>6043110</v>
      </c>
      <c r="P210" s="4">
        <f t="shared" si="84"/>
        <v>1758615</v>
      </c>
      <c r="R210">
        <f t="shared" si="67"/>
        <v>207000</v>
      </c>
      <c r="S210" s="3">
        <f t="shared" si="86"/>
        <v>207000</v>
      </c>
      <c r="T210" s="3">
        <f t="shared" si="87"/>
        <v>119291</v>
      </c>
      <c r="U210">
        <f t="shared" si="88"/>
        <v>170024</v>
      </c>
      <c r="V210" s="3">
        <f t="shared" si="91"/>
        <v>2451092</v>
      </c>
      <c r="W210">
        <f t="shared" si="92"/>
        <v>333600</v>
      </c>
      <c r="Y210">
        <f t="shared" ref="Y210:Y273" si="98">72+FLOOR((A210-21)/5,1)*24</f>
        <v>960</v>
      </c>
    </row>
    <row r="211" spans="1:25" x14ac:dyDescent="0.15">
      <c r="A211" s="4">
        <v>208</v>
      </c>
      <c r="B211" s="1">
        <v>9331855</v>
      </c>
      <c r="C211" s="3">
        <v>1050481</v>
      </c>
      <c r="D211">
        <v>818213</v>
      </c>
      <c r="E211" s="3">
        <f>INT(SUM(C$4:C210)*$K$2)</f>
        <v>50854941</v>
      </c>
      <c r="F211" s="3">
        <v>0</v>
      </c>
      <c r="G211" s="3">
        <v>0</v>
      </c>
      <c r="H211" s="3">
        <v>0</v>
      </c>
      <c r="I211" s="3">
        <v>0</v>
      </c>
      <c r="J211" s="3"/>
      <c r="K211" s="3"/>
      <c r="L211">
        <v>2.6</v>
      </c>
      <c r="M211">
        <f t="shared" si="85"/>
        <v>28.6</v>
      </c>
      <c r="N211" s="4">
        <f t="shared" si="89"/>
        <v>4325994</v>
      </c>
      <c r="O211" s="3">
        <f t="shared" si="90"/>
        <v>6130474</v>
      </c>
      <c r="P211" s="4">
        <f t="shared" si="84"/>
        <v>1804480</v>
      </c>
      <c r="R211">
        <f t="shared" si="67"/>
        <v>208000</v>
      </c>
      <c r="S211" s="3">
        <f t="shared" si="86"/>
        <v>208000</v>
      </c>
      <c r="T211" s="3">
        <f t="shared" si="87"/>
        <v>120120</v>
      </c>
      <c r="U211">
        <f t="shared" si="88"/>
        <v>170935</v>
      </c>
      <c r="V211" s="3">
        <f t="shared" si="91"/>
        <v>2474802</v>
      </c>
      <c r="W211">
        <f t="shared" si="92"/>
        <v>334560</v>
      </c>
      <c r="Y211">
        <f t="shared" si="98"/>
        <v>960</v>
      </c>
    </row>
    <row r="212" spans="1:25" x14ac:dyDescent="0.15">
      <c r="A212" s="4">
        <v>209</v>
      </c>
      <c r="B212" s="1">
        <v>9379228</v>
      </c>
      <c r="C212" s="3">
        <v>1059707</v>
      </c>
      <c r="D212">
        <v>822195</v>
      </c>
      <c r="E212" s="3">
        <f>INT(SUM(C$4:C211)*$K$2)</f>
        <v>51905422</v>
      </c>
      <c r="F212" s="3">
        <v>0</v>
      </c>
      <c r="G212" s="3">
        <v>0</v>
      </c>
      <c r="H212" s="3">
        <v>0</v>
      </c>
      <c r="I212" s="3">
        <v>0</v>
      </c>
      <c r="J212" s="3"/>
      <c r="K212" s="3"/>
      <c r="L212">
        <v>2.6</v>
      </c>
      <c r="M212">
        <f t="shared" si="85"/>
        <v>28.6</v>
      </c>
      <c r="N212" s="4">
        <f t="shared" si="89"/>
        <v>4367693</v>
      </c>
      <c r="O212" s="3">
        <f t="shared" si="90"/>
        <v>6218676</v>
      </c>
      <c r="P212" s="4">
        <f t="shared" si="84"/>
        <v>1850983</v>
      </c>
      <c r="R212">
        <f t="shared" si="67"/>
        <v>209000</v>
      </c>
      <c r="S212" s="3">
        <f t="shared" si="86"/>
        <v>209000</v>
      </c>
      <c r="T212" s="3">
        <f t="shared" si="87"/>
        <v>123603</v>
      </c>
      <c r="U212">
        <f t="shared" si="88"/>
        <v>177150</v>
      </c>
      <c r="V212" s="3">
        <f t="shared" si="91"/>
        <v>2498625</v>
      </c>
      <c r="W212">
        <f t="shared" si="92"/>
        <v>335520</v>
      </c>
      <c r="Y212">
        <f t="shared" si="98"/>
        <v>960</v>
      </c>
    </row>
    <row r="213" spans="1:25" x14ac:dyDescent="0.15">
      <c r="A213" s="4">
        <v>210</v>
      </c>
      <c r="B213" s="1">
        <v>9432918</v>
      </c>
      <c r="C213" s="3">
        <v>1070163</v>
      </c>
      <c r="D213">
        <v>826707</v>
      </c>
      <c r="E213" s="3">
        <f>INT(SUM(C$4:C212)*$K$2)</f>
        <v>52965129</v>
      </c>
      <c r="F213" s="3">
        <v>0</v>
      </c>
      <c r="G213" s="3">
        <v>0</v>
      </c>
      <c r="H213" s="3">
        <v>0</v>
      </c>
      <c r="I213" s="3">
        <v>0</v>
      </c>
      <c r="J213" s="3"/>
      <c r="K213" s="3"/>
      <c r="L213">
        <v>2.6</v>
      </c>
      <c r="M213">
        <f t="shared" si="85"/>
        <v>28.6</v>
      </c>
      <c r="N213" s="4">
        <f t="shared" si="89"/>
        <v>4409592</v>
      </c>
      <c r="O213" s="3">
        <f t="shared" si="90"/>
        <v>6307720</v>
      </c>
      <c r="P213" s="4">
        <f t="shared" si="84"/>
        <v>1898128</v>
      </c>
      <c r="R213">
        <f t="shared" si="67"/>
        <v>210000</v>
      </c>
      <c r="S213" s="3">
        <f t="shared" si="86"/>
        <v>210000</v>
      </c>
      <c r="T213" s="3">
        <f t="shared" si="87"/>
        <v>124440</v>
      </c>
      <c r="U213">
        <f t="shared" si="88"/>
        <v>178488</v>
      </c>
      <c r="V213" s="3">
        <f t="shared" si="91"/>
        <v>2522564</v>
      </c>
      <c r="W213">
        <f t="shared" si="92"/>
        <v>336480</v>
      </c>
      <c r="Y213">
        <f t="shared" si="98"/>
        <v>960</v>
      </c>
    </row>
    <row r="214" spans="1:25" x14ac:dyDescent="0.15">
      <c r="A214" s="4">
        <v>211</v>
      </c>
      <c r="B214" s="1">
        <v>9492924</v>
      </c>
      <c r="C214" s="3">
        <v>1081849</v>
      </c>
      <c r="D214">
        <v>831751</v>
      </c>
      <c r="E214" s="3">
        <f>INT(SUM(C$4:C213)*$K$2)</f>
        <v>54035292</v>
      </c>
      <c r="F214" s="3">
        <v>0</v>
      </c>
      <c r="G214" s="3">
        <v>0</v>
      </c>
      <c r="H214" s="3">
        <v>0</v>
      </c>
      <c r="I214" s="3">
        <v>0</v>
      </c>
      <c r="J214" s="3"/>
      <c r="K214" s="3"/>
      <c r="L214">
        <v>2.6</v>
      </c>
      <c r="M214">
        <f t="shared" si="85"/>
        <v>28.6</v>
      </c>
      <c r="N214" s="4">
        <f t="shared" si="89"/>
        <v>4451691</v>
      </c>
      <c r="O214" s="3">
        <f t="shared" si="90"/>
        <v>6397610</v>
      </c>
      <c r="P214" s="4">
        <f t="shared" si="84"/>
        <v>1945919</v>
      </c>
      <c r="R214">
        <f t="shared" si="67"/>
        <v>211000</v>
      </c>
      <c r="S214" s="3">
        <f t="shared" si="86"/>
        <v>211000</v>
      </c>
      <c r="T214" s="3">
        <f t="shared" si="87"/>
        <v>125281</v>
      </c>
      <c r="U214">
        <f t="shared" si="88"/>
        <v>179413</v>
      </c>
      <c r="V214" s="3">
        <f t="shared" si="91"/>
        <v>2546616</v>
      </c>
      <c r="W214">
        <f t="shared" si="92"/>
        <v>342192</v>
      </c>
      <c r="Y214">
        <f t="shared" ref="Y214" si="99">240+FLOOR((A214-21)/5,1)*144</f>
        <v>5712</v>
      </c>
    </row>
    <row r="215" spans="1:25" x14ac:dyDescent="0.15">
      <c r="A215" s="4">
        <v>212</v>
      </c>
      <c r="B215" s="1">
        <v>9559246</v>
      </c>
      <c r="C215" s="3">
        <v>1094765</v>
      </c>
      <c r="D215">
        <v>837326</v>
      </c>
      <c r="E215" s="3">
        <f>INT(SUM(C$4:C214)*$K$2)</f>
        <v>55117141</v>
      </c>
      <c r="F215" s="3">
        <v>0</v>
      </c>
      <c r="G215" s="3">
        <v>0</v>
      </c>
      <c r="H215" s="3">
        <v>0</v>
      </c>
      <c r="I215" s="3">
        <v>0</v>
      </c>
      <c r="J215" s="3"/>
      <c r="K215" s="3"/>
      <c r="L215">
        <v>2.6</v>
      </c>
      <c r="M215">
        <f t="shared" si="85"/>
        <v>28.6</v>
      </c>
      <c r="N215" s="4">
        <f t="shared" si="89"/>
        <v>4493990</v>
      </c>
      <c r="O215" s="3">
        <f t="shared" si="90"/>
        <v>6488350</v>
      </c>
      <c r="P215" s="4">
        <f t="shared" si="84"/>
        <v>1994360</v>
      </c>
      <c r="R215">
        <f t="shared" si="67"/>
        <v>212000</v>
      </c>
      <c r="S215" s="3">
        <f t="shared" si="86"/>
        <v>212000</v>
      </c>
      <c r="T215" s="3">
        <f t="shared" si="87"/>
        <v>126126</v>
      </c>
      <c r="U215">
        <f t="shared" si="88"/>
        <v>180342</v>
      </c>
      <c r="V215" s="3">
        <f t="shared" si="91"/>
        <v>2570783</v>
      </c>
      <c r="W215">
        <f t="shared" si="92"/>
        <v>343176</v>
      </c>
      <c r="Y215">
        <f t="shared" ref="Y215:Y278" si="100">72+FLOOR((A215-21)/5,1)*24</f>
        <v>984</v>
      </c>
    </row>
    <row r="216" spans="1:25" x14ac:dyDescent="0.15">
      <c r="A216" s="4">
        <v>213</v>
      </c>
      <c r="B216" s="1">
        <v>9631885</v>
      </c>
      <c r="C216" s="3">
        <v>1108912</v>
      </c>
      <c r="D216">
        <v>843431</v>
      </c>
      <c r="E216" s="3">
        <f>INT(SUM(C$4:C215)*$K$2)</f>
        <v>56211906</v>
      </c>
      <c r="F216" s="3">
        <v>0</v>
      </c>
      <c r="G216" s="3">
        <v>0</v>
      </c>
      <c r="H216" s="3">
        <v>0</v>
      </c>
      <c r="I216" s="3">
        <v>0</v>
      </c>
      <c r="J216" s="3"/>
      <c r="K216" s="3"/>
      <c r="L216">
        <v>2.6</v>
      </c>
      <c r="M216">
        <f t="shared" si="85"/>
        <v>28.6</v>
      </c>
      <c r="N216" s="4">
        <f t="shared" si="89"/>
        <v>4536489</v>
      </c>
      <c r="O216" s="3">
        <f t="shared" si="90"/>
        <v>6579944</v>
      </c>
      <c r="P216" s="4">
        <f t="shared" si="84"/>
        <v>2043455</v>
      </c>
      <c r="R216">
        <f t="shared" si="67"/>
        <v>213000</v>
      </c>
      <c r="S216" s="3">
        <f t="shared" si="86"/>
        <v>213000</v>
      </c>
      <c r="T216" s="3">
        <f t="shared" si="87"/>
        <v>126975</v>
      </c>
      <c r="U216">
        <f t="shared" si="88"/>
        <v>181275</v>
      </c>
      <c r="V216" s="3">
        <f t="shared" si="91"/>
        <v>2595065</v>
      </c>
      <c r="W216">
        <f t="shared" si="92"/>
        <v>344160</v>
      </c>
      <c r="Y216">
        <f t="shared" si="100"/>
        <v>984</v>
      </c>
    </row>
    <row r="217" spans="1:25" x14ac:dyDescent="0.15">
      <c r="A217" s="4">
        <v>214</v>
      </c>
      <c r="B217" s="1">
        <v>9710841</v>
      </c>
      <c r="C217" s="3">
        <v>1124288</v>
      </c>
      <c r="D217">
        <v>850068</v>
      </c>
      <c r="E217" s="3">
        <f>INT(SUM(C$4:C216)*$K$2)</f>
        <v>57320818</v>
      </c>
      <c r="F217" s="3">
        <v>0</v>
      </c>
      <c r="G217" s="3">
        <v>0</v>
      </c>
      <c r="H217" s="3">
        <v>0</v>
      </c>
      <c r="I217" s="3">
        <v>0</v>
      </c>
      <c r="J217" s="3"/>
      <c r="K217" s="3"/>
      <c r="L217">
        <v>2.6</v>
      </c>
      <c r="M217">
        <f t="shared" si="85"/>
        <v>28.6</v>
      </c>
      <c r="N217" s="4">
        <f t="shared" si="89"/>
        <v>4579188</v>
      </c>
      <c r="O217" s="3">
        <f t="shared" si="90"/>
        <v>6672396</v>
      </c>
      <c r="P217" s="4">
        <f t="shared" si="84"/>
        <v>2093208</v>
      </c>
      <c r="R217">
        <f t="shared" si="67"/>
        <v>214000</v>
      </c>
      <c r="S217" s="3">
        <f t="shared" si="86"/>
        <v>214000</v>
      </c>
      <c r="T217" s="3">
        <f t="shared" si="87"/>
        <v>127828</v>
      </c>
      <c r="U217">
        <f t="shared" si="88"/>
        <v>182212</v>
      </c>
      <c r="V217" s="3">
        <f t="shared" si="91"/>
        <v>2619460</v>
      </c>
      <c r="W217">
        <f t="shared" si="92"/>
        <v>345144</v>
      </c>
      <c r="Y217">
        <f t="shared" si="100"/>
        <v>984</v>
      </c>
    </row>
    <row r="218" spans="1:25" x14ac:dyDescent="0.15">
      <c r="A218" s="4">
        <v>215</v>
      </c>
      <c r="B218" s="1">
        <v>9796112</v>
      </c>
      <c r="C218" s="3">
        <v>1140895</v>
      </c>
      <c r="D218">
        <v>857235</v>
      </c>
      <c r="E218" s="3">
        <f>INT(SUM(C$4:C217)*$K$2)</f>
        <v>58445106</v>
      </c>
      <c r="F218" s="3">
        <v>0</v>
      </c>
      <c r="G218" s="3">
        <v>0</v>
      </c>
      <c r="H218" s="3">
        <v>0</v>
      </c>
      <c r="I218" s="3">
        <v>0</v>
      </c>
      <c r="J218" s="3"/>
      <c r="K218" s="3"/>
      <c r="L218">
        <v>2.8</v>
      </c>
      <c r="M218">
        <f t="shared" si="85"/>
        <v>30.799999999999997</v>
      </c>
      <c r="N218" s="4">
        <f t="shared" si="89"/>
        <v>4622087</v>
      </c>
      <c r="O218" s="3">
        <f t="shared" si="90"/>
        <v>6765710</v>
      </c>
      <c r="P218" s="4">
        <f t="shared" si="84"/>
        <v>2143623</v>
      </c>
      <c r="R218">
        <f t="shared" si="67"/>
        <v>215000</v>
      </c>
      <c r="S218" s="3">
        <f t="shared" si="86"/>
        <v>215000</v>
      </c>
      <c r="T218" s="3">
        <f t="shared" si="87"/>
        <v>128685</v>
      </c>
      <c r="U218">
        <f t="shared" si="88"/>
        <v>183582</v>
      </c>
      <c r="V218" s="3">
        <f t="shared" si="91"/>
        <v>2846888</v>
      </c>
      <c r="W218">
        <f t="shared" si="92"/>
        <v>346128</v>
      </c>
      <c r="Y218">
        <f t="shared" si="100"/>
        <v>984</v>
      </c>
    </row>
    <row r="219" spans="1:25" x14ac:dyDescent="0.15">
      <c r="A219" s="4">
        <v>216</v>
      </c>
      <c r="B219" s="1">
        <v>9887701</v>
      </c>
      <c r="C219" s="3">
        <v>1158731</v>
      </c>
      <c r="D219">
        <v>864934</v>
      </c>
      <c r="E219" s="3">
        <f>INT(SUM(C$4:C218)*$K$2)</f>
        <v>59586001</v>
      </c>
      <c r="F219" s="3">
        <v>0</v>
      </c>
      <c r="G219" s="3">
        <v>0</v>
      </c>
      <c r="H219" s="3">
        <v>0</v>
      </c>
      <c r="I219" s="3">
        <v>0</v>
      </c>
      <c r="J219" s="3"/>
      <c r="K219" s="3"/>
      <c r="L219">
        <v>2.8</v>
      </c>
      <c r="M219">
        <f t="shared" si="85"/>
        <v>30.799999999999997</v>
      </c>
      <c r="N219" s="4">
        <f t="shared" si="89"/>
        <v>4665186</v>
      </c>
      <c r="O219" s="3">
        <f t="shared" si="90"/>
        <v>6859890</v>
      </c>
      <c r="P219" s="4">
        <f t="shared" si="84"/>
        <v>2194704</v>
      </c>
      <c r="R219">
        <f t="shared" si="67"/>
        <v>216000</v>
      </c>
      <c r="S219" s="3">
        <f t="shared" si="86"/>
        <v>216000</v>
      </c>
      <c r="T219" s="3">
        <f t="shared" si="87"/>
        <v>129546</v>
      </c>
      <c r="U219">
        <f t="shared" si="88"/>
        <v>184529</v>
      </c>
      <c r="V219" s="3">
        <f t="shared" si="91"/>
        <v>2873406</v>
      </c>
      <c r="W219">
        <f t="shared" si="92"/>
        <v>351984</v>
      </c>
      <c r="Y219">
        <f t="shared" ref="Y219" si="101">240+FLOOR((A219-21)/5,1)*144</f>
        <v>5856</v>
      </c>
    </row>
    <row r="220" spans="1:25" x14ac:dyDescent="0.15">
      <c r="A220" s="4">
        <v>217</v>
      </c>
      <c r="B220" s="1">
        <v>9985605</v>
      </c>
      <c r="C220" s="3">
        <v>1177798</v>
      </c>
      <c r="D220">
        <v>873163</v>
      </c>
      <c r="E220" s="3">
        <f>INT(SUM(C$4:C219)*$K$2)</f>
        <v>60744732</v>
      </c>
      <c r="F220" s="3">
        <v>0</v>
      </c>
      <c r="G220" s="3">
        <v>0</v>
      </c>
      <c r="H220" s="3">
        <v>0</v>
      </c>
      <c r="I220" s="3">
        <v>0</v>
      </c>
      <c r="J220" s="3"/>
      <c r="K220" s="3"/>
      <c r="L220">
        <v>2.8</v>
      </c>
      <c r="M220">
        <f t="shared" si="85"/>
        <v>30.799999999999997</v>
      </c>
      <c r="N220" s="4">
        <f t="shared" si="89"/>
        <v>4708485</v>
      </c>
      <c r="O220" s="3">
        <f t="shared" si="90"/>
        <v>6954940</v>
      </c>
      <c r="P220" s="4">
        <f t="shared" si="84"/>
        <v>2246455</v>
      </c>
      <c r="R220">
        <f t="shared" si="67"/>
        <v>217000</v>
      </c>
      <c r="S220" s="3">
        <f t="shared" si="86"/>
        <v>217000</v>
      </c>
      <c r="T220" s="3">
        <f t="shared" si="87"/>
        <v>133161</v>
      </c>
      <c r="U220">
        <f t="shared" si="88"/>
        <v>190980</v>
      </c>
      <c r="V220" s="3">
        <f t="shared" si="91"/>
        <v>2900048</v>
      </c>
      <c r="W220">
        <f t="shared" si="92"/>
        <v>352992</v>
      </c>
      <c r="Y220">
        <f t="shared" ref="Y220:Y283" si="102">72+FLOOR((A220-21)/5,1)*24</f>
        <v>1008</v>
      </c>
    </row>
    <row r="221" spans="1:25" x14ac:dyDescent="0.15">
      <c r="A221" s="4">
        <v>218</v>
      </c>
      <c r="B221" s="1">
        <v>10089827</v>
      </c>
      <c r="C221" s="3">
        <v>1198095</v>
      </c>
      <c r="D221">
        <v>881923</v>
      </c>
      <c r="E221" s="3">
        <f>INT(SUM(C$4:C220)*$K$2)</f>
        <v>61922530</v>
      </c>
      <c r="F221" s="3">
        <v>0</v>
      </c>
      <c r="G221" s="3">
        <v>0</v>
      </c>
      <c r="H221" s="3">
        <v>0</v>
      </c>
      <c r="I221" s="3">
        <v>0</v>
      </c>
      <c r="J221" s="3"/>
      <c r="K221" s="3"/>
      <c r="L221">
        <v>2.8</v>
      </c>
      <c r="M221">
        <f t="shared" si="85"/>
        <v>30.799999999999997</v>
      </c>
      <c r="N221" s="4">
        <f t="shared" si="89"/>
        <v>4751984</v>
      </c>
      <c r="O221" s="3">
        <f t="shared" si="90"/>
        <v>7050864</v>
      </c>
      <c r="P221" s="4">
        <f t="shared" si="84"/>
        <v>2298880</v>
      </c>
      <c r="R221">
        <f t="shared" ref="R221:R284" si="103">A221*1000</f>
        <v>218000</v>
      </c>
      <c r="S221" s="3">
        <f t="shared" si="86"/>
        <v>218000</v>
      </c>
      <c r="T221" s="3">
        <f t="shared" si="87"/>
        <v>134030</v>
      </c>
      <c r="U221">
        <f t="shared" si="88"/>
        <v>191935</v>
      </c>
      <c r="V221" s="3">
        <f t="shared" si="91"/>
        <v>2926814</v>
      </c>
      <c r="W221">
        <f t="shared" si="92"/>
        <v>354000</v>
      </c>
      <c r="Y221">
        <f t="shared" si="102"/>
        <v>1008</v>
      </c>
    </row>
    <row r="222" spans="1:25" x14ac:dyDescent="0.15">
      <c r="A222" s="4">
        <v>219</v>
      </c>
      <c r="B222" s="1">
        <v>10200364</v>
      </c>
      <c r="C222" s="3">
        <v>1219623</v>
      </c>
      <c r="D222">
        <v>891214</v>
      </c>
      <c r="E222" s="3">
        <f>INT(SUM(C$4:C221)*$K$2)</f>
        <v>63120625</v>
      </c>
      <c r="F222" s="3">
        <v>0</v>
      </c>
      <c r="G222" s="3">
        <v>0</v>
      </c>
      <c r="H222" s="3">
        <v>0</v>
      </c>
      <c r="I222" s="3">
        <v>0</v>
      </c>
      <c r="J222" s="3"/>
      <c r="K222" s="3"/>
      <c r="L222">
        <v>2.8</v>
      </c>
      <c r="M222">
        <f t="shared" si="85"/>
        <v>30.799999999999997</v>
      </c>
      <c r="N222" s="4">
        <f t="shared" si="89"/>
        <v>4795683</v>
      </c>
      <c r="O222" s="3">
        <f t="shared" si="90"/>
        <v>7147666</v>
      </c>
      <c r="P222" s="4">
        <f t="shared" si="84"/>
        <v>2351983</v>
      </c>
      <c r="R222">
        <f t="shared" si="103"/>
        <v>219000</v>
      </c>
      <c r="S222" s="3">
        <f t="shared" si="86"/>
        <v>219000</v>
      </c>
      <c r="T222" s="3">
        <f t="shared" si="87"/>
        <v>134903</v>
      </c>
      <c r="U222">
        <f t="shared" si="88"/>
        <v>192894</v>
      </c>
      <c r="V222" s="3">
        <f t="shared" si="91"/>
        <v>2953702</v>
      </c>
      <c r="W222">
        <f t="shared" si="92"/>
        <v>355008</v>
      </c>
      <c r="Y222">
        <f t="shared" si="102"/>
        <v>1008</v>
      </c>
    </row>
    <row r="223" spans="1:25" x14ac:dyDescent="0.15">
      <c r="A223" s="4">
        <v>220</v>
      </c>
      <c r="B223" s="1">
        <v>10317218</v>
      </c>
      <c r="C223" s="3">
        <v>1242380</v>
      </c>
      <c r="D223">
        <v>901036</v>
      </c>
      <c r="E223" s="3">
        <f>INT(SUM(C$4:C222)*$K$2)</f>
        <v>64340248</v>
      </c>
      <c r="F223" s="3">
        <v>0</v>
      </c>
      <c r="G223" s="3">
        <v>0</v>
      </c>
      <c r="H223" s="3">
        <v>0</v>
      </c>
      <c r="I223" s="3">
        <v>0</v>
      </c>
      <c r="J223" s="3"/>
      <c r="K223" s="3"/>
      <c r="L223">
        <v>2.8</v>
      </c>
      <c r="M223">
        <f t="shared" si="85"/>
        <v>33.599999999999994</v>
      </c>
      <c r="N223" s="4">
        <f t="shared" si="89"/>
        <v>4839582</v>
      </c>
      <c r="O223" s="3">
        <f t="shared" si="90"/>
        <v>7245350</v>
      </c>
      <c r="P223" s="4">
        <f t="shared" si="84"/>
        <v>2405768</v>
      </c>
      <c r="R223">
        <f t="shared" si="103"/>
        <v>220000</v>
      </c>
      <c r="S223" s="3">
        <f t="shared" si="86"/>
        <v>220000</v>
      </c>
      <c r="T223" s="3">
        <f t="shared" si="87"/>
        <v>135780</v>
      </c>
      <c r="U223">
        <f t="shared" si="88"/>
        <v>194296</v>
      </c>
      <c r="V223" s="3">
        <f t="shared" si="91"/>
        <v>3252288</v>
      </c>
      <c r="W223">
        <f t="shared" si="92"/>
        <v>356016</v>
      </c>
      <c r="Y223">
        <f t="shared" si="102"/>
        <v>1008</v>
      </c>
    </row>
    <row r="224" spans="1:25" x14ac:dyDescent="0.15">
      <c r="A224" s="4">
        <v>221</v>
      </c>
      <c r="B224" s="1">
        <v>10936251</v>
      </c>
      <c r="C224" s="3">
        <v>1316922</v>
      </c>
      <c r="D224">
        <v>955098</v>
      </c>
      <c r="E224" s="3">
        <f>INT(SUM(C$4:C223)*$K$2)</f>
        <v>65582628</v>
      </c>
      <c r="F224" s="3">
        <v>0</v>
      </c>
      <c r="G224" s="3">
        <v>0</v>
      </c>
      <c r="H224" s="3">
        <v>0</v>
      </c>
      <c r="I224" s="3">
        <v>0</v>
      </c>
      <c r="J224" s="3"/>
      <c r="K224" s="3"/>
      <c r="L224">
        <v>2.8</v>
      </c>
      <c r="M224">
        <f t="shared" si="85"/>
        <v>33.599999999999994</v>
      </c>
      <c r="N224" s="4">
        <f t="shared" si="89"/>
        <v>4883681</v>
      </c>
      <c r="O224" s="3">
        <f t="shared" si="90"/>
        <v>7343920</v>
      </c>
      <c r="P224" s="4">
        <f t="shared" si="84"/>
        <v>2460239</v>
      </c>
      <c r="R224">
        <f t="shared" si="103"/>
        <v>221000</v>
      </c>
      <c r="S224" s="3">
        <f t="shared" si="86"/>
        <v>221000</v>
      </c>
      <c r="T224" s="3">
        <f t="shared" si="87"/>
        <v>136661</v>
      </c>
      <c r="U224">
        <f t="shared" si="88"/>
        <v>195265</v>
      </c>
      <c r="V224" s="3">
        <f t="shared" si="91"/>
        <v>3281889</v>
      </c>
      <c r="W224">
        <f t="shared" si="92"/>
        <v>362016</v>
      </c>
      <c r="Y224">
        <f t="shared" ref="Y224" si="104">240+FLOOR((A224-21)/5,1)*144</f>
        <v>6000</v>
      </c>
    </row>
    <row r="225" spans="1:25" x14ac:dyDescent="0.15">
      <c r="A225" s="4">
        <v>222</v>
      </c>
      <c r="B225" s="1">
        <v>10940240</v>
      </c>
      <c r="C225" s="3">
        <v>1317747</v>
      </c>
      <c r="D225">
        <v>955445</v>
      </c>
      <c r="E225" s="3">
        <f>INT(SUM(C$4:C224)*$K$2)</f>
        <v>66899550</v>
      </c>
      <c r="F225" s="3">
        <v>0</v>
      </c>
      <c r="G225" s="3">
        <v>0</v>
      </c>
      <c r="H225" s="3">
        <v>0</v>
      </c>
      <c r="I225" s="3">
        <v>0</v>
      </c>
      <c r="J225" s="3"/>
      <c r="K225" s="3"/>
      <c r="L225">
        <v>2.8</v>
      </c>
      <c r="M225">
        <f t="shared" si="85"/>
        <v>33.599999999999994</v>
      </c>
      <c r="N225" s="4">
        <f t="shared" si="89"/>
        <v>4927980</v>
      </c>
      <c r="O225" s="3">
        <f t="shared" si="90"/>
        <v>7443380</v>
      </c>
      <c r="P225" s="4">
        <f t="shared" si="84"/>
        <v>2515400</v>
      </c>
      <c r="R225">
        <f t="shared" si="103"/>
        <v>222000</v>
      </c>
      <c r="S225" s="3">
        <f t="shared" si="86"/>
        <v>222000</v>
      </c>
      <c r="T225" s="3">
        <f t="shared" si="87"/>
        <v>137546</v>
      </c>
      <c r="U225">
        <f t="shared" si="88"/>
        <v>196238</v>
      </c>
      <c r="V225" s="3">
        <f t="shared" si="91"/>
        <v>3311625</v>
      </c>
      <c r="W225">
        <f t="shared" si="92"/>
        <v>363048</v>
      </c>
      <c r="Y225">
        <f t="shared" ref="Y225" si="105">72+FLOOR((A225-21)/5,1)*24</f>
        <v>1032</v>
      </c>
    </row>
    <row r="226" spans="1:25" x14ac:dyDescent="0.15">
      <c r="A226" s="4">
        <v>223</v>
      </c>
      <c r="B226" s="1">
        <v>10952207</v>
      </c>
      <c r="C226" s="3">
        <v>1320220</v>
      </c>
      <c r="D226">
        <v>956488</v>
      </c>
      <c r="E226" s="3">
        <f>INT(SUM(C$4:C225)*$K$2)</f>
        <v>68217297</v>
      </c>
      <c r="F226" s="3">
        <v>0</v>
      </c>
      <c r="G226" s="3">
        <v>0</v>
      </c>
      <c r="H226" s="3">
        <v>0</v>
      </c>
      <c r="I226" s="3">
        <v>0</v>
      </c>
      <c r="J226" s="3"/>
      <c r="K226" s="3"/>
      <c r="L226">
        <v>2.8</v>
      </c>
      <c r="M226">
        <f t="shared" si="85"/>
        <v>33.599999999999994</v>
      </c>
      <c r="N226" s="4">
        <f t="shared" si="89"/>
        <v>4972479</v>
      </c>
      <c r="O226" s="3">
        <f t="shared" si="90"/>
        <v>7543734</v>
      </c>
      <c r="P226" s="4">
        <f t="shared" si="84"/>
        <v>2571255</v>
      </c>
      <c r="R226">
        <f t="shared" si="103"/>
        <v>223000</v>
      </c>
      <c r="S226" s="3">
        <f t="shared" si="86"/>
        <v>223000</v>
      </c>
      <c r="T226" s="3">
        <f t="shared" si="87"/>
        <v>138435</v>
      </c>
      <c r="U226">
        <f t="shared" si="88"/>
        <v>197215</v>
      </c>
      <c r="V226" s="3">
        <f t="shared" si="91"/>
        <v>3341496</v>
      </c>
      <c r="W226">
        <f t="shared" si="92"/>
        <v>364080</v>
      </c>
      <c r="Y226">
        <f t="shared" si="96"/>
        <v>1032</v>
      </c>
    </row>
    <row r="227" spans="1:25" x14ac:dyDescent="0.15">
      <c r="A227" s="4">
        <v>224</v>
      </c>
      <c r="B227" s="1">
        <v>10972153</v>
      </c>
      <c r="C227" s="3">
        <v>1324343</v>
      </c>
      <c r="D227">
        <v>958227</v>
      </c>
      <c r="E227" s="3">
        <f>INT(SUM(C$4:C226)*$K$2)</f>
        <v>69537517</v>
      </c>
      <c r="F227" s="3">
        <v>0</v>
      </c>
      <c r="G227" s="3">
        <v>0</v>
      </c>
      <c r="H227" s="3">
        <v>0</v>
      </c>
      <c r="I227" s="3">
        <v>0</v>
      </c>
      <c r="J227" s="3"/>
      <c r="K227" s="3"/>
      <c r="L227">
        <v>2.8</v>
      </c>
      <c r="M227">
        <f t="shared" si="85"/>
        <v>33.599999999999994</v>
      </c>
      <c r="N227" s="4">
        <f t="shared" si="89"/>
        <v>5017178</v>
      </c>
      <c r="O227" s="3">
        <f t="shared" si="90"/>
        <v>7644986</v>
      </c>
      <c r="P227" s="4">
        <f t="shared" si="84"/>
        <v>2627808</v>
      </c>
      <c r="R227">
        <f t="shared" si="103"/>
        <v>224000</v>
      </c>
      <c r="S227" s="3">
        <f t="shared" si="86"/>
        <v>224000</v>
      </c>
      <c r="T227" s="3">
        <f t="shared" si="87"/>
        <v>139328</v>
      </c>
      <c r="U227">
        <f t="shared" si="88"/>
        <v>198196</v>
      </c>
      <c r="V227" s="3">
        <f t="shared" si="91"/>
        <v>3371500</v>
      </c>
      <c r="W227">
        <f t="shared" si="92"/>
        <v>365112</v>
      </c>
      <c r="Y227">
        <f t="shared" si="96"/>
        <v>1032</v>
      </c>
    </row>
    <row r="228" spans="1:25" x14ac:dyDescent="0.15">
      <c r="A228" s="4">
        <v>225</v>
      </c>
      <c r="B228" s="1">
        <v>11000077</v>
      </c>
      <c r="C228" s="3">
        <v>1330114</v>
      </c>
      <c r="D228">
        <v>960661</v>
      </c>
      <c r="E228" s="3">
        <f>INT(SUM(C$4:C227)*$K$2)</f>
        <v>70861860</v>
      </c>
      <c r="F228" s="3">
        <v>0</v>
      </c>
      <c r="G228" s="3">
        <v>0</v>
      </c>
      <c r="H228" s="3">
        <v>0</v>
      </c>
      <c r="I228" s="3">
        <v>0</v>
      </c>
      <c r="J228" s="3"/>
      <c r="K228" s="3"/>
      <c r="L228">
        <v>3</v>
      </c>
      <c r="M228">
        <f t="shared" si="85"/>
        <v>36</v>
      </c>
      <c r="N228" s="4">
        <f t="shared" si="89"/>
        <v>5062077</v>
      </c>
      <c r="O228" s="3">
        <f t="shared" si="90"/>
        <v>7747140</v>
      </c>
      <c r="P228" s="4">
        <f t="shared" si="84"/>
        <v>2685063</v>
      </c>
      <c r="R228">
        <f t="shared" si="103"/>
        <v>225000</v>
      </c>
      <c r="S228" s="3">
        <f t="shared" si="86"/>
        <v>225000</v>
      </c>
      <c r="T228" s="3">
        <f t="shared" si="87"/>
        <v>143075</v>
      </c>
      <c r="U228">
        <f t="shared" si="88"/>
        <v>205330</v>
      </c>
      <c r="V228" s="3">
        <f t="shared" si="91"/>
        <v>3644100</v>
      </c>
      <c r="W228">
        <f t="shared" si="92"/>
        <v>366144</v>
      </c>
      <c r="Y228">
        <f t="shared" si="96"/>
        <v>1032</v>
      </c>
    </row>
    <row r="229" spans="1:25" x14ac:dyDescent="0.15">
      <c r="A229" s="4">
        <v>226</v>
      </c>
      <c r="B229" s="1">
        <v>11035980</v>
      </c>
      <c r="C229" s="3">
        <v>1337534</v>
      </c>
      <c r="D229">
        <v>963790</v>
      </c>
      <c r="E229" s="3">
        <f>INT(SUM(C$4:C228)*$K$2)</f>
        <v>72191974</v>
      </c>
      <c r="F229" s="3">
        <v>0</v>
      </c>
      <c r="G229" s="3">
        <v>0</v>
      </c>
      <c r="H229" s="3">
        <v>0</v>
      </c>
      <c r="I229" s="3">
        <v>0</v>
      </c>
      <c r="J229" s="3"/>
      <c r="K229" s="3"/>
      <c r="L229">
        <v>3</v>
      </c>
      <c r="M229">
        <f t="shared" si="85"/>
        <v>36</v>
      </c>
      <c r="N229" s="4">
        <f t="shared" si="89"/>
        <v>5107176</v>
      </c>
      <c r="O229" s="3">
        <f t="shared" si="90"/>
        <v>7850200</v>
      </c>
      <c r="P229" s="4">
        <f t="shared" si="84"/>
        <v>2743024</v>
      </c>
      <c r="R229">
        <f t="shared" si="103"/>
        <v>226000</v>
      </c>
      <c r="S229" s="3">
        <f t="shared" si="86"/>
        <v>226000</v>
      </c>
      <c r="T229" s="3">
        <f t="shared" si="87"/>
        <v>143976</v>
      </c>
      <c r="U229">
        <f t="shared" si="88"/>
        <v>206321</v>
      </c>
      <c r="V229" s="3">
        <f t="shared" si="91"/>
        <v>3676536</v>
      </c>
      <c r="W229">
        <f t="shared" si="92"/>
        <v>372288</v>
      </c>
      <c r="Y229">
        <f t="shared" ref="Y229" si="106">240+FLOOR((A229-21)/5,1)*144</f>
        <v>6144</v>
      </c>
    </row>
    <row r="230" spans="1:25" x14ac:dyDescent="0.15">
      <c r="A230" s="4">
        <v>227</v>
      </c>
      <c r="B230" s="1">
        <v>11079861</v>
      </c>
      <c r="C230" s="3">
        <v>1346603</v>
      </c>
      <c r="D230">
        <v>967614</v>
      </c>
      <c r="E230" s="3">
        <f>INT(SUM(C$4:C229)*$K$2)</f>
        <v>73529508</v>
      </c>
      <c r="F230" s="3">
        <v>0</v>
      </c>
      <c r="G230" s="3">
        <v>0</v>
      </c>
      <c r="H230" s="3">
        <v>0</v>
      </c>
      <c r="I230" s="3">
        <v>0</v>
      </c>
      <c r="J230" s="3"/>
      <c r="K230" s="3"/>
      <c r="L230">
        <v>3</v>
      </c>
      <c r="M230">
        <f t="shared" si="85"/>
        <v>36</v>
      </c>
      <c r="N230" s="4">
        <f t="shared" si="89"/>
        <v>5152475</v>
      </c>
      <c r="O230" s="3">
        <f t="shared" si="90"/>
        <v>7954170</v>
      </c>
      <c r="P230" s="4">
        <f t="shared" si="84"/>
        <v>2801695</v>
      </c>
      <c r="R230">
        <f t="shared" si="103"/>
        <v>227000</v>
      </c>
      <c r="S230" s="3">
        <f t="shared" si="86"/>
        <v>227000</v>
      </c>
      <c r="T230" s="3">
        <f t="shared" si="87"/>
        <v>144881</v>
      </c>
      <c r="U230">
        <f t="shared" si="88"/>
        <v>207316</v>
      </c>
      <c r="V230" s="3">
        <f t="shared" si="91"/>
        <v>3709116</v>
      </c>
      <c r="W230">
        <f t="shared" si="92"/>
        <v>373344</v>
      </c>
      <c r="Y230">
        <f t="shared" ref="Y230" si="107">72+FLOOR((A230-21)/5,1)*24</f>
        <v>1056</v>
      </c>
    </row>
    <row r="231" spans="1:25" x14ac:dyDescent="0.15">
      <c r="A231" s="4">
        <v>228</v>
      </c>
      <c r="B231" s="1">
        <v>11131720</v>
      </c>
      <c r="C231" s="3">
        <v>1357321</v>
      </c>
      <c r="D231">
        <v>972134</v>
      </c>
      <c r="E231" s="3">
        <f>INT(SUM(C$4:C230)*$K$2)</f>
        <v>74876111</v>
      </c>
      <c r="F231" s="3">
        <v>0</v>
      </c>
      <c r="G231" s="3">
        <v>0</v>
      </c>
      <c r="H231" s="3">
        <v>0</v>
      </c>
      <c r="I231" s="3">
        <v>0</v>
      </c>
      <c r="J231" s="3"/>
      <c r="K231" s="3"/>
      <c r="L231">
        <v>3</v>
      </c>
      <c r="M231">
        <f t="shared" si="85"/>
        <v>36</v>
      </c>
      <c r="N231" s="4">
        <f t="shared" si="89"/>
        <v>5197974</v>
      </c>
      <c r="O231" s="3">
        <f t="shared" si="90"/>
        <v>8059054</v>
      </c>
      <c r="P231" s="4">
        <f t="shared" si="84"/>
        <v>2861080</v>
      </c>
      <c r="R231">
        <f t="shared" si="103"/>
        <v>228000</v>
      </c>
      <c r="S231" s="3">
        <f t="shared" si="86"/>
        <v>228000</v>
      </c>
      <c r="T231" s="3">
        <f t="shared" si="87"/>
        <v>145790</v>
      </c>
      <c r="U231">
        <f t="shared" si="88"/>
        <v>208315</v>
      </c>
      <c r="V231" s="3">
        <f t="shared" si="91"/>
        <v>3741840</v>
      </c>
      <c r="W231">
        <f t="shared" si="92"/>
        <v>374400</v>
      </c>
      <c r="Y231">
        <f t="shared" si="98"/>
        <v>1056</v>
      </c>
    </row>
    <row r="232" spans="1:25" x14ac:dyDescent="0.15">
      <c r="A232" s="4">
        <v>229</v>
      </c>
      <c r="B232" s="1">
        <v>11191558</v>
      </c>
      <c r="C232" s="3">
        <v>1369688</v>
      </c>
      <c r="D232">
        <v>977350</v>
      </c>
      <c r="E232" s="3">
        <f>INT(SUM(C$4:C231)*$K$2)</f>
        <v>76233432</v>
      </c>
      <c r="F232" s="3">
        <v>0</v>
      </c>
      <c r="G232" s="3">
        <v>0</v>
      </c>
      <c r="H232" s="3">
        <v>0</v>
      </c>
      <c r="I232" s="3">
        <v>0</v>
      </c>
      <c r="J232" s="3"/>
      <c r="K232" s="3"/>
      <c r="L232">
        <v>3</v>
      </c>
      <c r="M232">
        <f t="shared" si="85"/>
        <v>36</v>
      </c>
      <c r="N232" s="4">
        <f t="shared" si="89"/>
        <v>5243673</v>
      </c>
      <c r="O232" s="3">
        <f t="shared" si="90"/>
        <v>8164856</v>
      </c>
      <c r="P232" s="4">
        <f t="shared" si="84"/>
        <v>2921183</v>
      </c>
      <c r="R232">
        <f t="shared" si="103"/>
        <v>229000</v>
      </c>
      <c r="S232" s="3">
        <f t="shared" si="86"/>
        <v>229000</v>
      </c>
      <c r="T232" s="3">
        <f t="shared" si="87"/>
        <v>146703</v>
      </c>
      <c r="U232">
        <f t="shared" si="88"/>
        <v>209318</v>
      </c>
      <c r="V232" s="3">
        <f t="shared" si="91"/>
        <v>3774708</v>
      </c>
      <c r="W232">
        <f t="shared" si="92"/>
        <v>375456</v>
      </c>
      <c r="Y232">
        <f t="shared" si="98"/>
        <v>1056</v>
      </c>
    </row>
    <row r="233" spans="1:25" x14ac:dyDescent="0.15">
      <c r="A233" s="4">
        <v>230</v>
      </c>
      <c r="B233" s="1">
        <v>11259374</v>
      </c>
      <c r="C233" s="3">
        <v>1383704</v>
      </c>
      <c r="D233">
        <v>983260</v>
      </c>
      <c r="E233" s="3">
        <f>INT(SUM(C$4:C232)*$K$2)</f>
        <v>77603120</v>
      </c>
      <c r="F233" s="3">
        <v>0</v>
      </c>
      <c r="G233" s="3">
        <v>0</v>
      </c>
      <c r="H233" s="3">
        <v>0</v>
      </c>
      <c r="I233" s="3">
        <v>0</v>
      </c>
      <c r="J233" s="3"/>
      <c r="K233" s="3"/>
      <c r="L233">
        <v>3</v>
      </c>
      <c r="M233">
        <f t="shared" si="85"/>
        <v>36</v>
      </c>
      <c r="N233" s="4">
        <f t="shared" si="89"/>
        <v>5289572</v>
      </c>
      <c r="O233" s="3">
        <f t="shared" si="90"/>
        <v>8271580</v>
      </c>
      <c r="P233" s="4">
        <f t="shared" si="84"/>
        <v>2982008</v>
      </c>
      <c r="R233">
        <f t="shared" si="103"/>
        <v>230000</v>
      </c>
      <c r="S233" s="3">
        <f t="shared" si="86"/>
        <v>230000</v>
      </c>
      <c r="T233" s="3">
        <f t="shared" si="87"/>
        <v>147620</v>
      </c>
      <c r="U233">
        <f t="shared" si="88"/>
        <v>210784</v>
      </c>
      <c r="V233" s="3">
        <f t="shared" si="91"/>
        <v>3807720</v>
      </c>
      <c r="W233">
        <f t="shared" si="92"/>
        <v>376512</v>
      </c>
      <c r="Y233">
        <f t="shared" si="98"/>
        <v>1056</v>
      </c>
    </row>
    <row r="234" spans="1:25" x14ac:dyDescent="0.15">
      <c r="A234" s="4">
        <v>231</v>
      </c>
      <c r="B234" s="1">
        <v>11335169</v>
      </c>
      <c r="C234" s="3">
        <v>1399369</v>
      </c>
      <c r="D234">
        <v>989866</v>
      </c>
      <c r="E234" s="3">
        <f>INT(SUM(C$4:C233)*$K$2)</f>
        <v>78986824</v>
      </c>
      <c r="F234" s="3">
        <v>0</v>
      </c>
      <c r="G234" s="3">
        <v>0</v>
      </c>
      <c r="H234" s="3">
        <v>0</v>
      </c>
      <c r="I234" s="3">
        <v>0</v>
      </c>
      <c r="J234" s="3"/>
      <c r="K234" s="3"/>
      <c r="L234">
        <v>3</v>
      </c>
      <c r="M234">
        <f t="shared" si="85"/>
        <v>36</v>
      </c>
      <c r="N234" s="4">
        <f t="shared" si="89"/>
        <v>5335671</v>
      </c>
      <c r="O234" s="3">
        <f t="shared" si="90"/>
        <v>8379230</v>
      </c>
      <c r="P234" s="4">
        <f t="shared" si="84"/>
        <v>3043559</v>
      </c>
      <c r="R234">
        <f t="shared" si="103"/>
        <v>231000</v>
      </c>
      <c r="S234" s="3">
        <f t="shared" si="86"/>
        <v>231000</v>
      </c>
      <c r="T234" s="3">
        <f t="shared" si="87"/>
        <v>148541</v>
      </c>
      <c r="U234">
        <f t="shared" si="88"/>
        <v>211797</v>
      </c>
      <c r="V234" s="3">
        <f t="shared" si="91"/>
        <v>3840876</v>
      </c>
      <c r="W234">
        <f t="shared" si="92"/>
        <v>382800</v>
      </c>
      <c r="Y234">
        <f t="shared" ref="Y234" si="108">240+FLOOR((A234-21)/5,1)*144</f>
        <v>6288</v>
      </c>
    </row>
    <row r="235" spans="1:25" x14ac:dyDescent="0.15">
      <c r="A235" s="4">
        <v>232</v>
      </c>
      <c r="B235" s="1">
        <v>11418941</v>
      </c>
      <c r="C235" s="3">
        <v>1416683</v>
      </c>
      <c r="D235">
        <v>997168</v>
      </c>
      <c r="E235" s="3">
        <f>INT(SUM(C$4:C234)*$K$2)</f>
        <v>80386193</v>
      </c>
      <c r="F235" s="3">
        <v>0</v>
      </c>
      <c r="G235" s="3">
        <v>0</v>
      </c>
      <c r="H235" s="3">
        <v>0</v>
      </c>
      <c r="I235" s="3">
        <v>0</v>
      </c>
      <c r="J235" s="3"/>
      <c r="K235" s="3"/>
      <c r="L235">
        <v>3</v>
      </c>
      <c r="M235">
        <f t="shared" si="85"/>
        <v>36</v>
      </c>
      <c r="N235" s="4">
        <f t="shared" si="89"/>
        <v>5381970</v>
      </c>
      <c r="O235" s="3">
        <f t="shared" si="90"/>
        <v>8487810</v>
      </c>
      <c r="P235" s="4">
        <f t="shared" si="84"/>
        <v>3105840</v>
      </c>
      <c r="R235">
        <f t="shared" si="103"/>
        <v>232000</v>
      </c>
      <c r="S235" s="3">
        <f t="shared" si="86"/>
        <v>232000</v>
      </c>
      <c r="T235" s="3">
        <f t="shared" si="87"/>
        <v>149466</v>
      </c>
      <c r="U235">
        <f t="shared" si="88"/>
        <v>212814</v>
      </c>
      <c r="V235" s="3">
        <f t="shared" si="91"/>
        <v>3874176</v>
      </c>
      <c r="W235">
        <f t="shared" si="92"/>
        <v>383880</v>
      </c>
      <c r="Y235">
        <f t="shared" ref="Y235" si="109">72+FLOOR((A235-21)/5,1)*24</f>
        <v>1080</v>
      </c>
    </row>
    <row r="236" spans="1:25" x14ac:dyDescent="0.15">
      <c r="A236" s="4">
        <v>233</v>
      </c>
      <c r="B236" s="1">
        <v>11510693</v>
      </c>
      <c r="C236" s="3">
        <v>1435646</v>
      </c>
      <c r="D236">
        <v>1005165</v>
      </c>
      <c r="E236" s="3">
        <f>INT(SUM(C$4:C235)*$K$2)</f>
        <v>81802876</v>
      </c>
      <c r="F236" s="3">
        <v>0</v>
      </c>
      <c r="G236" s="3">
        <v>0</v>
      </c>
      <c r="H236" s="3">
        <v>0</v>
      </c>
      <c r="I236" s="3">
        <v>0</v>
      </c>
      <c r="J236" s="3"/>
      <c r="K236" s="3"/>
      <c r="L236">
        <v>3</v>
      </c>
      <c r="M236">
        <f t="shared" si="85"/>
        <v>36</v>
      </c>
      <c r="N236" s="4">
        <f t="shared" si="89"/>
        <v>5428469</v>
      </c>
      <c r="O236" s="3">
        <f t="shared" si="90"/>
        <v>8597324</v>
      </c>
      <c r="P236" s="4">
        <f t="shared" si="84"/>
        <v>3168855</v>
      </c>
      <c r="R236">
        <f t="shared" si="103"/>
        <v>233000</v>
      </c>
      <c r="S236" s="3">
        <f t="shared" si="86"/>
        <v>233000</v>
      </c>
      <c r="T236" s="3">
        <f t="shared" si="87"/>
        <v>153345</v>
      </c>
      <c r="U236">
        <f t="shared" si="88"/>
        <v>219735</v>
      </c>
      <c r="V236" s="3">
        <f t="shared" si="91"/>
        <v>3907620</v>
      </c>
      <c r="W236">
        <f t="shared" si="92"/>
        <v>384960</v>
      </c>
      <c r="Y236">
        <f t="shared" si="100"/>
        <v>1080</v>
      </c>
    </row>
    <row r="237" spans="1:25" x14ac:dyDescent="0.15">
      <c r="A237" s="4">
        <v>234</v>
      </c>
      <c r="B237" s="1">
        <v>11610422</v>
      </c>
      <c r="C237" s="3">
        <v>1456257</v>
      </c>
      <c r="D237">
        <v>1013857</v>
      </c>
      <c r="E237" s="3">
        <f>INT(SUM(C$4:C236)*$K$2)</f>
        <v>83238522</v>
      </c>
      <c r="F237" s="3">
        <v>0</v>
      </c>
      <c r="G237" s="3">
        <v>0</v>
      </c>
      <c r="H237" s="3">
        <v>0</v>
      </c>
      <c r="I237" s="3">
        <v>0</v>
      </c>
      <c r="J237" s="3"/>
      <c r="K237" s="3"/>
      <c r="L237">
        <v>3</v>
      </c>
      <c r="M237">
        <f t="shared" si="85"/>
        <v>36</v>
      </c>
      <c r="N237" s="4">
        <f t="shared" si="89"/>
        <v>5475168</v>
      </c>
      <c r="O237" s="3">
        <f t="shared" si="90"/>
        <v>8707776</v>
      </c>
      <c r="P237" s="4">
        <f t="shared" si="84"/>
        <v>3232608</v>
      </c>
      <c r="R237">
        <f t="shared" si="103"/>
        <v>234000</v>
      </c>
      <c r="S237" s="3">
        <f t="shared" si="86"/>
        <v>234000</v>
      </c>
      <c r="T237" s="3">
        <f t="shared" si="87"/>
        <v>154278</v>
      </c>
      <c r="U237">
        <f t="shared" si="88"/>
        <v>220760</v>
      </c>
      <c r="V237" s="3">
        <f t="shared" si="91"/>
        <v>3941208</v>
      </c>
      <c r="W237">
        <f t="shared" si="92"/>
        <v>386040</v>
      </c>
      <c r="Y237">
        <f t="shared" si="100"/>
        <v>1080</v>
      </c>
    </row>
    <row r="238" spans="1:25" x14ac:dyDescent="0.15">
      <c r="A238" s="4">
        <v>235</v>
      </c>
      <c r="B238" s="1">
        <v>11718130</v>
      </c>
      <c r="C238" s="3">
        <v>1478518</v>
      </c>
      <c r="D238">
        <v>1023244</v>
      </c>
      <c r="E238" s="3">
        <f>INT(SUM(C$4:C237)*$K$2)</f>
        <v>84694779</v>
      </c>
      <c r="F238" s="3">
        <v>0</v>
      </c>
      <c r="G238" s="3">
        <v>0</v>
      </c>
      <c r="H238" s="3">
        <v>0</v>
      </c>
      <c r="I238" s="3">
        <v>0</v>
      </c>
      <c r="J238" s="3"/>
      <c r="K238" s="3"/>
      <c r="L238">
        <v>3.5</v>
      </c>
      <c r="M238">
        <f t="shared" si="85"/>
        <v>42</v>
      </c>
      <c r="N238" s="4">
        <f t="shared" si="89"/>
        <v>5522067</v>
      </c>
      <c r="O238" s="3">
        <f t="shared" si="90"/>
        <v>8819170</v>
      </c>
      <c r="P238" s="4">
        <f t="shared" si="84"/>
        <v>3297103</v>
      </c>
      <c r="R238">
        <f t="shared" si="103"/>
        <v>235000</v>
      </c>
      <c r="S238" s="3">
        <f t="shared" si="86"/>
        <v>235000</v>
      </c>
      <c r="T238" s="3">
        <f t="shared" si="87"/>
        <v>155215</v>
      </c>
      <c r="U238">
        <f t="shared" si="88"/>
        <v>222258</v>
      </c>
      <c r="V238" s="3">
        <f t="shared" si="91"/>
        <v>4636230</v>
      </c>
      <c r="W238">
        <f t="shared" si="92"/>
        <v>387120</v>
      </c>
      <c r="Y238">
        <f t="shared" si="100"/>
        <v>1080</v>
      </c>
    </row>
    <row r="239" spans="1:25" x14ac:dyDescent="0.15">
      <c r="A239" s="4">
        <v>236</v>
      </c>
      <c r="B239" s="1">
        <v>11833816</v>
      </c>
      <c r="C239" s="3">
        <v>1502427</v>
      </c>
      <c r="D239">
        <v>1033327</v>
      </c>
      <c r="E239" s="3">
        <f>INT(SUM(C$4:C238)*$K$2)</f>
        <v>86173297</v>
      </c>
      <c r="F239" s="3">
        <v>0</v>
      </c>
      <c r="G239" s="3">
        <v>0</v>
      </c>
      <c r="H239" s="3">
        <v>0</v>
      </c>
      <c r="I239" s="3">
        <v>0</v>
      </c>
      <c r="J239" s="3"/>
      <c r="K239" s="3"/>
      <c r="L239">
        <v>3.5</v>
      </c>
      <c r="M239">
        <f t="shared" si="85"/>
        <v>42</v>
      </c>
      <c r="N239" s="4">
        <f t="shared" si="89"/>
        <v>5569166</v>
      </c>
      <c r="O239" s="3">
        <f t="shared" si="90"/>
        <v>8931510</v>
      </c>
      <c r="P239" s="4">
        <f t="shared" si="84"/>
        <v>3362344</v>
      </c>
      <c r="R239">
        <f t="shared" si="103"/>
        <v>236000</v>
      </c>
      <c r="S239" s="3">
        <f t="shared" si="86"/>
        <v>236000</v>
      </c>
      <c r="T239" s="3">
        <f t="shared" si="87"/>
        <v>156156</v>
      </c>
      <c r="U239">
        <f t="shared" si="88"/>
        <v>223293</v>
      </c>
      <c r="V239" s="3">
        <f t="shared" si="91"/>
        <v>4675752</v>
      </c>
      <c r="W239">
        <f t="shared" si="92"/>
        <v>393552</v>
      </c>
      <c r="Y239">
        <f t="shared" ref="Y239" si="110">240+FLOOR((A239-21)/5,1)*144</f>
        <v>6432</v>
      </c>
    </row>
    <row r="240" spans="1:25" x14ac:dyDescent="0.15">
      <c r="A240" s="4">
        <v>237</v>
      </c>
      <c r="B240" s="1">
        <v>11957481</v>
      </c>
      <c r="C240" s="3">
        <v>1527986</v>
      </c>
      <c r="D240">
        <v>1044105</v>
      </c>
      <c r="E240" s="3">
        <f>INT(SUM(C$4:C239)*$K$2)</f>
        <v>87675724</v>
      </c>
      <c r="F240" s="3">
        <v>0</v>
      </c>
      <c r="G240" s="3">
        <v>0</v>
      </c>
      <c r="H240" s="3">
        <v>0</v>
      </c>
      <c r="I240" s="3">
        <v>0</v>
      </c>
      <c r="J240" s="3"/>
      <c r="K240" s="3"/>
      <c r="L240">
        <v>3.5</v>
      </c>
      <c r="M240">
        <f t="shared" si="85"/>
        <v>42</v>
      </c>
      <c r="N240" s="4">
        <f t="shared" si="89"/>
        <v>5616465</v>
      </c>
      <c r="O240" s="3">
        <f t="shared" si="90"/>
        <v>9044800</v>
      </c>
      <c r="P240" s="4">
        <f t="shared" si="84"/>
        <v>3428335</v>
      </c>
      <c r="R240">
        <f t="shared" si="103"/>
        <v>237000</v>
      </c>
      <c r="S240" s="3">
        <f t="shared" si="86"/>
        <v>237000</v>
      </c>
      <c r="T240" s="3">
        <f t="shared" si="87"/>
        <v>157101</v>
      </c>
      <c r="U240">
        <f t="shared" si="88"/>
        <v>224332</v>
      </c>
      <c r="V240" s="3">
        <f t="shared" si="91"/>
        <v>4715442</v>
      </c>
      <c r="W240">
        <f t="shared" si="92"/>
        <v>394656</v>
      </c>
      <c r="Y240">
        <f t="shared" ref="Y240" si="111">72+FLOOR((A240-21)/5,1)*24</f>
        <v>1104</v>
      </c>
    </row>
    <row r="241" spans="1:25" x14ac:dyDescent="0.15">
      <c r="A241" s="4">
        <v>238</v>
      </c>
      <c r="B241" s="1">
        <v>12089124</v>
      </c>
      <c r="C241" s="3">
        <v>1555193</v>
      </c>
      <c r="D241">
        <v>1055579</v>
      </c>
      <c r="E241" s="3">
        <f>INT(SUM(C$4:C240)*$K$2)</f>
        <v>89203710</v>
      </c>
      <c r="F241" s="3">
        <v>0</v>
      </c>
      <c r="G241" s="3">
        <v>0</v>
      </c>
      <c r="H241" s="3">
        <v>0</v>
      </c>
      <c r="I241" s="3">
        <v>0</v>
      </c>
      <c r="J241" s="3"/>
      <c r="K241" s="3"/>
      <c r="L241">
        <v>3.5</v>
      </c>
      <c r="M241">
        <f t="shared" si="85"/>
        <v>42</v>
      </c>
      <c r="N241" s="4">
        <f t="shared" si="89"/>
        <v>5663964</v>
      </c>
      <c r="O241" s="3">
        <f t="shared" si="90"/>
        <v>9159044</v>
      </c>
      <c r="P241" s="4">
        <f t="shared" si="84"/>
        <v>3495080</v>
      </c>
      <c r="R241">
        <f t="shared" si="103"/>
        <v>238000</v>
      </c>
      <c r="S241" s="3">
        <f t="shared" si="86"/>
        <v>238000</v>
      </c>
      <c r="T241" s="3">
        <f t="shared" si="87"/>
        <v>158050</v>
      </c>
      <c r="U241">
        <f t="shared" si="88"/>
        <v>225375</v>
      </c>
      <c r="V241" s="3">
        <f t="shared" si="91"/>
        <v>4755300</v>
      </c>
      <c r="W241">
        <f t="shared" si="92"/>
        <v>395760</v>
      </c>
      <c r="Y241">
        <f t="shared" si="102"/>
        <v>1104</v>
      </c>
    </row>
    <row r="242" spans="1:25" x14ac:dyDescent="0.15">
      <c r="A242" s="4">
        <v>239</v>
      </c>
      <c r="B242" s="1">
        <v>12228745</v>
      </c>
      <c r="C242" s="3">
        <v>1584050</v>
      </c>
      <c r="D242">
        <v>1067748</v>
      </c>
      <c r="E242" s="3">
        <f>INT(SUM(C$4:C241)*$K$2)</f>
        <v>90758903</v>
      </c>
      <c r="F242" s="3">
        <v>0</v>
      </c>
      <c r="G242" s="3">
        <v>0</v>
      </c>
      <c r="H242" s="3">
        <v>0</v>
      </c>
      <c r="I242" s="3">
        <v>0</v>
      </c>
      <c r="J242" s="3"/>
      <c r="K242" s="3"/>
      <c r="L242">
        <v>3.5</v>
      </c>
      <c r="M242">
        <f t="shared" si="85"/>
        <v>42</v>
      </c>
      <c r="N242" s="4">
        <f t="shared" si="89"/>
        <v>5711663</v>
      </c>
      <c r="O242" s="3">
        <f t="shared" si="90"/>
        <v>9274246</v>
      </c>
      <c r="P242" s="4">
        <f t="shared" si="84"/>
        <v>3562583</v>
      </c>
      <c r="R242">
        <f t="shared" si="103"/>
        <v>239000</v>
      </c>
      <c r="S242" s="3">
        <f t="shared" si="86"/>
        <v>239000</v>
      </c>
      <c r="T242" s="3">
        <f t="shared" si="87"/>
        <v>159003</v>
      </c>
      <c r="U242">
        <f t="shared" si="88"/>
        <v>226422</v>
      </c>
      <c r="V242" s="3">
        <f t="shared" si="91"/>
        <v>4795326</v>
      </c>
      <c r="W242">
        <f t="shared" si="92"/>
        <v>396864</v>
      </c>
      <c r="Y242">
        <f t="shared" si="102"/>
        <v>1104</v>
      </c>
    </row>
    <row r="243" spans="1:25" x14ac:dyDescent="0.15">
      <c r="A243" s="4">
        <v>240</v>
      </c>
      <c r="B243" s="1">
        <v>12376345</v>
      </c>
      <c r="C243" s="3">
        <v>1614555</v>
      </c>
      <c r="D243">
        <v>1080613</v>
      </c>
      <c r="E243" s="3">
        <f>INT(SUM(C$4:C242)*$K$2)</f>
        <v>92342953</v>
      </c>
      <c r="F243" s="3">
        <v>0</v>
      </c>
      <c r="G243" s="3">
        <v>0</v>
      </c>
      <c r="H243" s="3">
        <v>0</v>
      </c>
      <c r="I243" s="3">
        <v>0</v>
      </c>
      <c r="J243" s="3"/>
      <c r="K243" s="3"/>
      <c r="L243">
        <v>3.5</v>
      </c>
      <c r="M243">
        <f t="shared" si="85"/>
        <v>45.5</v>
      </c>
      <c r="N243" s="4">
        <f t="shared" si="89"/>
        <v>5759562</v>
      </c>
      <c r="O243" s="3">
        <f t="shared" si="90"/>
        <v>9390410</v>
      </c>
      <c r="P243" s="4">
        <f t="shared" si="84"/>
        <v>3630848</v>
      </c>
      <c r="R243">
        <f t="shared" si="103"/>
        <v>240000</v>
      </c>
      <c r="S243" s="3">
        <f t="shared" si="86"/>
        <v>240000</v>
      </c>
      <c r="T243" s="3">
        <f t="shared" si="87"/>
        <v>159960</v>
      </c>
      <c r="U243">
        <f t="shared" si="88"/>
        <v>227952</v>
      </c>
      <c r="V243" s="3">
        <f t="shared" si="91"/>
        <v>5239130</v>
      </c>
      <c r="W243">
        <f t="shared" si="92"/>
        <v>397968</v>
      </c>
      <c r="Y243">
        <f t="shared" si="102"/>
        <v>1104</v>
      </c>
    </row>
    <row r="244" spans="1:25" x14ac:dyDescent="0.15">
      <c r="A244" s="4">
        <v>241</v>
      </c>
      <c r="B244" s="1">
        <v>13118925</v>
      </c>
      <c r="C244" s="3">
        <v>1711428</v>
      </c>
      <c r="D244">
        <v>1145449</v>
      </c>
      <c r="E244" s="3">
        <f>INT(SUM(C$4:C243)*$K$2)</f>
        <v>93957508</v>
      </c>
      <c r="F244" s="3">
        <v>0</v>
      </c>
      <c r="G244" s="3">
        <v>0</v>
      </c>
      <c r="H244" s="3">
        <v>0</v>
      </c>
      <c r="I244" s="3">
        <v>0</v>
      </c>
      <c r="J244" s="3"/>
      <c r="K244" s="3"/>
      <c r="L244">
        <v>3.5</v>
      </c>
      <c r="M244">
        <f t="shared" si="85"/>
        <v>45.5</v>
      </c>
      <c r="N244" s="4">
        <f t="shared" si="89"/>
        <v>5807661</v>
      </c>
      <c r="O244" s="3">
        <f t="shared" si="90"/>
        <v>9507540</v>
      </c>
      <c r="P244" s="4">
        <f t="shared" si="84"/>
        <v>3699879</v>
      </c>
      <c r="R244">
        <f t="shared" si="103"/>
        <v>241000</v>
      </c>
      <c r="S244" s="3">
        <f t="shared" si="86"/>
        <v>241000</v>
      </c>
      <c r="T244" s="3">
        <f t="shared" si="87"/>
        <v>163971</v>
      </c>
      <c r="U244">
        <f t="shared" si="88"/>
        <v>235109</v>
      </c>
      <c r="V244" s="3">
        <f t="shared" si="91"/>
        <v>5282855</v>
      </c>
      <c r="W244">
        <f t="shared" si="92"/>
        <v>404544</v>
      </c>
      <c r="Y244">
        <f t="shared" ref="Y244" si="112">240+FLOOR((A244-21)/5,1)*144</f>
        <v>6576</v>
      </c>
    </row>
    <row r="245" spans="1:25" x14ac:dyDescent="0.15">
      <c r="A245" s="4">
        <v>242</v>
      </c>
      <c r="B245" s="1">
        <v>13123724</v>
      </c>
      <c r="C245" s="3">
        <v>1712501</v>
      </c>
      <c r="D245">
        <v>1145868</v>
      </c>
      <c r="E245" s="3">
        <f>INT(SUM(C$4:C244)*$K$2)</f>
        <v>95668936</v>
      </c>
      <c r="F245" s="3">
        <v>0</v>
      </c>
      <c r="G245" s="3">
        <v>0</v>
      </c>
      <c r="H245" s="3">
        <v>0</v>
      </c>
      <c r="I245" s="3">
        <v>0</v>
      </c>
      <c r="J245" s="3"/>
      <c r="K245" s="3"/>
      <c r="L245">
        <v>3.5</v>
      </c>
      <c r="M245">
        <f t="shared" si="85"/>
        <v>45.5</v>
      </c>
      <c r="N245" s="4">
        <f t="shared" si="89"/>
        <v>5855960</v>
      </c>
      <c r="O245" s="3">
        <f t="shared" si="90"/>
        <v>9625640</v>
      </c>
      <c r="P245" s="4">
        <f t="shared" si="84"/>
        <v>3769680</v>
      </c>
      <c r="R245">
        <f t="shared" si="103"/>
        <v>242000</v>
      </c>
      <c r="S245" s="3">
        <f t="shared" si="86"/>
        <v>242000</v>
      </c>
      <c r="T245" s="3">
        <f t="shared" si="87"/>
        <v>164936</v>
      </c>
      <c r="U245">
        <f t="shared" si="88"/>
        <v>236170</v>
      </c>
      <c r="V245" s="3">
        <f t="shared" si="91"/>
        <v>5326763</v>
      </c>
      <c r="W245">
        <f t="shared" si="92"/>
        <v>405672</v>
      </c>
      <c r="Y245">
        <f t="shared" ref="Y245" si="113">72+FLOOR((A245-21)/5,1)*24</f>
        <v>1128</v>
      </c>
    </row>
    <row r="246" spans="1:25" x14ac:dyDescent="0.15">
      <c r="A246" s="4">
        <v>243</v>
      </c>
      <c r="B246" s="1">
        <v>13138121</v>
      </c>
      <c r="C246" s="3">
        <v>1715721</v>
      </c>
      <c r="D246">
        <v>1147125</v>
      </c>
      <c r="E246" s="3">
        <f>INT(SUM(C$4:C245)*$K$2)</f>
        <v>97381437</v>
      </c>
      <c r="F246" s="3">
        <v>0</v>
      </c>
      <c r="G246" s="3">
        <v>0</v>
      </c>
      <c r="H246" s="3">
        <v>0</v>
      </c>
      <c r="I246" s="3">
        <v>0</v>
      </c>
      <c r="J246" s="3"/>
      <c r="K246" s="3"/>
      <c r="L246">
        <v>3.5</v>
      </c>
      <c r="M246">
        <f t="shared" si="85"/>
        <v>45.5</v>
      </c>
      <c r="N246" s="4">
        <f t="shared" si="89"/>
        <v>5904459</v>
      </c>
      <c r="O246" s="3">
        <f t="shared" si="90"/>
        <v>9744714</v>
      </c>
      <c r="P246" s="4">
        <f t="shared" si="84"/>
        <v>3840255</v>
      </c>
      <c r="R246">
        <f t="shared" si="103"/>
        <v>243000</v>
      </c>
      <c r="S246" s="3">
        <f t="shared" si="86"/>
        <v>243000</v>
      </c>
      <c r="T246" s="3">
        <f t="shared" si="87"/>
        <v>165905</v>
      </c>
      <c r="U246">
        <f t="shared" si="88"/>
        <v>237235</v>
      </c>
      <c r="V246" s="3">
        <f t="shared" si="91"/>
        <v>5370852</v>
      </c>
      <c r="W246">
        <f t="shared" si="92"/>
        <v>406800</v>
      </c>
      <c r="Y246">
        <f t="shared" si="96"/>
        <v>1128</v>
      </c>
    </row>
    <row r="247" spans="1:25" x14ac:dyDescent="0.15">
      <c r="A247" s="4">
        <v>244</v>
      </c>
      <c r="B247" s="1">
        <v>13162116</v>
      </c>
      <c r="C247" s="3">
        <v>1721087</v>
      </c>
      <c r="D247">
        <v>1149220</v>
      </c>
      <c r="E247" s="3">
        <f>INT(SUM(C$4:C246)*$K$2)</f>
        <v>99097158</v>
      </c>
      <c r="F247" s="3">
        <v>0</v>
      </c>
      <c r="G247" s="3">
        <v>0</v>
      </c>
      <c r="H247" s="3">
        <v>0</v>
      </c>
      <c r="I247" s="3">
        <v>0</v>
      </c>
      <c r="J247" s="3"/>
      <c r="K247" s="3"/>
      <c r="L247">
        <v>3.5</v>
      </c>
      <c r="M247">
        <f t="shared" si="85"/>
        <v>45.5</v>
      </c>
      <c r="N247" s="4">
        <f t="shared" si="89"/>
        <v>5953158</v>
      </c>
      <c r="O247" s="3">
        <f t="shared" si="90"/>
        <v>9864766</v>
      </c>
      <c r="P247" s="4">
        <f t="shared" si="84"/>
        <v>3911608</v>
      </c>
      <c r="R247">
        <f t="shared" si="103"/>
        <v>244000</v>
      </c>
      <c r="S247" s="3">
        <f t="shared" si="86"/>
        <v>244000</v>
      </c>
      <c r="T247" s="3">
        <f t="shared" si="87"/>
        <v>166878</v>
      </c>
      <c r="U247">
        <f t="shared" si="88"/>
        <v>238304</v>
      </c>
      <c r="V247" s="3">
        <f t="shared" si="91"/>
        <v>5415124</v>
      </c>
      <c r="W247">
        <f t="shared" si="92"/>
        <v>407928</v>
      </c>
      <c r="Y247">
        <f t="shared" si="96"/>
        <v>1128</v>
      </c>
    </row>
    <row r="248" spans="1:25" x14ac:dyDescent="0.15">
      <c r="A248" s="4">
        <v>245</v>
      </c>
      <c r="B248" s="1">
        <v>13195709</v>
      </c>
      <c r="C248" s="3">
        <v>1728601</v>
      </c>
      <c r="D248">
        <v>1152153</v>
      </c>
      <c r="E248" s="3">
        <f>INT(SUM(C$4:C247)*$K$2)</f>
        <v>100818245</v>
      </c>
      <c r="F248" s="3">
        <v>0</v>
      </c>
      <c r="G248" s="3">
        <v>0</v>
      </c>
      <c r="H248" s="3">
        <v>0</v>
      </c>
      <c r="I248" s="3">
        <v>0</v>
      </c>
      <c r="J248" s="3"/>
      <c r="K248" s="3"/>
      <c r="L248">
        <v>4</v>
      </c>
      <c r="M248">
        <f t="shared" si="85"/>
        <v>52</v>
      </c>
      <c r="N248" s="4">
        <f t="shared" si="89"/>
        <v>6002057</v>
      </c>
      <c r="O248" s="3">
        <f t="shared" si="90"/>
        <v>9985800</v>
      </c>
      <c r="P248" s="4">
        <f t="shared" si="84"/>
        <v>3983743</v>
      </c>
      <c r="R248">
        <f t="shared" si="103"/>
        <v>245000</v>
      </c>
      <c r="S248" s="3">
        <f t="shared" si="86"/>
        <v>245000</v>
      </c>
      <c r="T248" s="3">
        <f t="shared" si="87"/>
        <v>167855</v>
      </c>
      <c r="U248">
        <f t="shared" si="88"/>
        <v>239866</v>
      </c>
      <c r="V248" s="3">
        <f t="shared" si="91"/>
        <v>6238310</v>
      </c>
      <c r="W248">
        <f t="shared" si="92"/>
        <v>409056</v>
      </c>
      <c r="Y248">
        <f t="shared" si="96"/>
        <v>1128</v>
      </c>
    </row>
    <row r="249" spans="1:25" x14ac:dyDescent="0.15">
      <c r="A249" s="4">
        <v>246</v>
      </c>
      <c r="B249" s="1">
        <v>13238900</v>
      </c>
      <c r="C249" s="3">
        <v>1738260</v>
      </c>
      <c r="D249">
        <v>1155924</v>
      </c>
      <c r="E249" s="3">
        <f>INT(SUM(C$4:C248)*$K$2)</f>
        <v>102546846</v>
      </c>
      <c r="F249" s="3">
        <v>0</v>
      </c>
      <c r="G249" s="3">
        <v>0</v>
      </c>
      <c r="H249" s="3">
        <v>0</v>
      </c>
      <c r="I249" s="3">
        <v>0</v>
      </c>
      <c r="J249" s="3"/>
      <c r="K249" s="3"/>
      <c r="L249">
        <v>4</v>
      </c>
      <c r="M249">
        <f t="shared" si="85"/>
        <v>52</v>
      </c>
      <c r="N249" s="4">
        <f t="shared" si="89"/>
        <v>6051156</v>
      </c>
      <c r="O249" s="3">
        <f t="shared" si="90"/>
        <v>10107820</v>
      </c>
      <c r="P249" s="4">
        <f t="shared" si="84"/>
        <v>4056664</v>
      </c>
      <c r="R249">
        <f t="shared" si="103"/>
        <v>246000</v>
      </c>
      <c r="S249" s="3">
        <f t="shared" si="86"/>
        <v>246000</v>
      </c>
      <c r="T249" s="3">
        <f t="shared" si="87"/>
        <v>168836</v>
      </c>
      <c r="U249">
        <f t="shared" si="88"/>
        <v>240945</v>
      </c>
      <c r="V249" s="3">
        <f t="shared" si="91"/>
        <v>6289322</v>
      </c>
      <c r="W249">
        <f t="shared" si="92"/>
        <v>415776</v>
      </c>
      <c r="Y249">
        <f t="shared" ref="Y249" si="114">240+FLOOR((A249-21)/5,1)*144</f>
        <v>6720</v>
      </c>
    </row>
    <row r="250" spans="1:25" x14ac:dyDescent="0.15">
      <c r="A250" s="4">
        <v>247</v>
      </c>
      <c r="B250" s="1">
        <v>13291688</v>
      </c>
      <c r="C250" s="3">
        <v>1750067</v>
      </c>
      <c r="D250">
        <v>1160532</v>
      </c>
      <c r="E250" s="3">
        <f>INT(SUM(C$4:C249)*$K$2)</f>
        <v>104285106</v>
      </c>
      <c r="F250" s="3">
        <v>0</v>
      </c>
      <c r="G250" s="3">
        <v>0</v>
      </c>
      <c r="H250" s="3">
        <v>0</v>
      </c>
      <c r="I250" s="3">
        <v>0</v>
      </c>
      <c r="J250" s="3"/>
      <c r="K250" s="3"/>
      <c r="L250">
        <v>4</v>
      </c>
      <c r="M250">
        <f t="shared" si="85"/>
        <v>52</v>
      </c>
      <c r="N250" s="4">
        <f t="shared" si="89"/>
        <v>6100455</v>
      </c>
      <c r="O250" s="3">
        <f t="shared" si="90"/>
        <v>10230830</v>
      </c>
      <c r="P250" s="4">
        <f t="shared" si="84"/>
        <v>4130375</v>
      </c>
      <c r="R250">
        <f t="shared" si="103"/>
        <v>247000</v>
      </c>
      <c r="S250" s="3">
        <f t="shared" si="86"/>
        <v>247000</v>
      </c>
      <c r="T250" s="3">
        <f t="shared" si="87"/>
        <v>169821</v>
      </c>
      <c r="U250">
        <f t="shared" si="88"/>
        <v>242028</v>
      </c>
      <c r="V250" s="3">
        <f t="shared" si="91"/>
        <v>6340542</v>
      </c>
      <c r="W250">
        <f t="shared" si="92"/>
        <v>416928</v>
      </c>
      <c r="Y250">
        <f t="shared" ref="Y250" si="115">72+FLOOR((A250-21)/5,1)*24</f>
        <v>1152</v>
      </c>
    </row>
    <row r="251" spans="1:25" x14ac:dyDescent="0.15">
      <c r="A251" s="4">
        <v>248</v>
      </c>
      <c r="B251" s="1">
        <v>13354075</v>
      </c>
      <c r="C251" s="3">
        <v>1764019</v>
      </c>
      <c r="D251">
        <v>1165979</v>
      </c>
      <c r="E251" s="3">
        <f>INT(SUM(C$4:C250)*$K$2)</f>
        <v>106035173</v>
      </c>
      <c r="F251" s="3">
        <v>0</v>
      </c>
      <c r="G251" s="3">
        <v>0</v>
      </c>
      <c r="H251" s="3">
        <v>0</v>
      </c>
      <c r="I251" s="3">
        <v>0</v>
      </c>
      <c r="J251" s="3"/>
      <c r="K251" s="3"/>
      <c r="L251">
        <v>4</v>
      </c>
      <c r="M251">
        <f t="shared" si="85"/>
        <v>52</v>
      </c>
      <c r="N251" s="4">
        <f t="shared" si="89"/>
        <v>6149954</v>
      </c>
      <c r="O251" s="3">
        <f t="shared" si="90"/>
        <v>10354834</v>
      </c>
      <c r="P251" s="4">
        <f t="shared" si="84"/>
        <v>4204880</v>
      </c>
      <c r="R251">
        <f t="shared" si="103"/>
        <v>248000</v>
      </c>
      <c r="S251" s="3">
        <f t="shared" si="86"/>
        <v>248000</v>
      </c>
      <c r="T251" s="3">
        <f t="shared" si="87"/>
        <v>170810</v>
      </c>
      <c r="U251">
        <f t="shared" si="88"/>
        <v>243115</v>
      </c>
      <c r="V251" s="3">
        <f t="shared" si="91"/>
        <v>6391970</v>
      </c>
      <c r="W251">
        <f t="shared" si="92"/>
        <v>418080</v>
      </c>
      <c r="Y251">
        <f t="shared" si="98"/>
        <v>1152</v>
      </c>
    </row>
    <row r="252" spans="1:25" x14ac:dyDescent="0.15">
      <c r="A252" s="4">
        <v>249</v>
      </c>
      <c r="B252" s="1">
        <v>13426059</v>
      </c>
      <c r="C252" s="3">
        <v>1780119</v>
      </c>
      <c r="D252">
        <v>1172263</v>
      </c>
      <c r="E252" s="3">
        <f>INT(SUM(C$4:C251)*$K$2)</f>
        <v>107799192</v>
      </c>
      <c r="F252" s="3">
        <v>0</v>
      </c>
      <c r="G252" s="3">
        <v>0</v>
      </c>
      <c r="H252" s="3">
        <v>0</v>
      </c>
      <c r="I252" s="3">
        <v>0</v>
      </c>
      <c r="J252" s="3"/>
      <c r="K252" s="3"/>
      <c r="L252">
        <v>4</v>
      </c>
      <c r="M252">
        <f t="shared" si="85"/>
        <v>52</v>
      </c>
      <c r="N252" s="4">
        <f t="shared" si="89"/>
        <v>6199653</v>
      </c>
      <c r="O252" s="3">
        <f t="shared" si="90"/>
        <v>10479836</v>
      </c>
      <c r="P252" s="4">
        <f t="shared" si="84"/>
        <v>4280183</v>
      </c>
      <c r="R252">
        <f t="shared" si="103"/>
        <v>249000</v>
      </c>
      <c r="S252" s="3">
        <f t="shared" si="86"/>
        <v>249000</v>
      </c>
      <c r="T252" s="3">
        <f t="shared" si="87"/>
        <v>174953</v>
      </c>
      <c r="U252">
        <f t="shared" si="88"/>
        <v>250506</v>
      </c>
      <c r="V252" s="3">
        <f t="shared" si="91"/>
        <v>6443606</v>
      </c>
      <c r="W252">
        <f t="shared" si="92"/>
        <v>419232</v>
      </c>
      <c r="Y252">
        <f t="shared" si="98"/>
        <v>1152</v>
      </c>
    </row>
    <row r="253" spans="1:25" x14ac:dyDescent="0.15">
      <c r="A253" s="4">
        <v>250</v>
      </c>
      <c r="B253" s="1">
        <v>13507642</v>
      </c>
      <c r="C253" s="3">
        <v>1798365</v>
      </c>
      <c r="D253">
        <v>1179386</v>
      </c>
      <c r="E253" s="3">
        <f>INT(SUM(C$4:C252)*$K$2)</f>
        <v>109579311</v>
      </c>
      <c r="F253" s="3">
        <v>0</v>
      </c>
      <c r="G253" s="3">
        <v>0</v>
      </c>
      <c r="H253" s="3">
        <v>0</v>
      </c>
      <c r="I253" s="3">
        <v>0</v>
      </c>
      <c r="J253" s="3"/>
      <c r="K253" s="3"/>
      <c r="L253">
        <v>4</v>
      </c>
      <c r="M253">
        <f t="shared" si="85"/>
        <v>52</v>
      </c>
      <c r="N253" s="4">
        <f t="shared" si="89"/>
        <v>6249552</v>
      </c>
      <c r="O253" s="3">
        <f t="shared" si="90"/>
        <v>10605840</v>
      </c>
      <c r="P253" s="4">
        <f t="shared" si="84"/>
        <v>4356288</v>
      </c>
      <c r="R253">
        <f t="shared" si="103"/>
        <v>250000</v>
      </c>
      <c r="S253" s="3">
        <f t="shared" si="86"/>
        <v>250000</v>
      </c>
      <c r="T253" s="3">
        <f t="shared" si="87"/>
        <v>175950</v>
      </c>
      <c r="U253">
        <f t="shared" si="88"/>
        <v>252100</v>
      </c>
      <c r="V253" s="3">
        <f t="shared" si="91"/>
        <v>6495450</v>
      </c>
      <c r="W253">
        <f t="shared" si="92"/>
        <v>420384</v>
      </c>
      <c r="Y253">
        <f t="shared" si="98"/>
        <v>1152</v>
      </c>
    </row>
    <row r="254" spans="1:25" x14ac:dyDescent="0.15">
      <c r="A254" s="4">
        <v>251</v>
      </c>
      <c r="B254" s="1">
        <v>13598823</v>
      </c>
      <c r="C254" s="3">
        <v>1818758</v>
      </c>
      <c r="D254">
        <v>1187346</v>
      </c>
      <c r="E254" s="3">
        <f>INT(SUM(C$4:C253)*$K$2)</f>
        <v>111377676</v>
      </c>
      <c r="F254" s="3">
        <v>0</v>
      </c>
      <c r="G254" s="3">
        <v>0</v>
      </c>
      <c r="H254" s="3">
        <v>0</v>
      </c>
      <c r="I254" s="3">
        <v>0</v>
      </c>
      <c r="J254" s="3"/>
      <c r="K254" s="3"/>
      <c r="L254">
        <v>4</v>
      </c>
      <c r="M254">
        <f t="shared" si="85"/>
        <v>52</v>
      </c>
      <c r="N254" s="4">
        <f t="shared" si="89"/>
        <v>6299651</v>
      </c>
      <c r="O254" s="3">
        <f t="shared" si="90"/>
        <v>10732850</v>
      </c>
      <c r="P254" s="4">
        <f t="shared" si="84"/>
        <v>4433199</v>
      </c>
      <c r="R254">
        <f t="shared" si="103"/>
        <v>251000</v>
      </c>
      <c r="S254" s="3">
        <f t="shared" si="86"/>
        <v>251000</v>
      </c>
      <c r="T254" s="3">
        <f t="shared" si="87"/>
        <v>176951</v>
      </c>
      <c r="U254">
        <f t="shared" si="88"/>
        <v>253201</v>
      </c>
      <c r="V254" s="3">
        <f t="shared" si="91"/>
        <v>6547502</v>
      </c>
      <c r="W254">
        <f t="shared" si="92"/>
        <v>427248</v>
      </c>
      <c r="Y254">
        <f t="shared" ref="Y254" si="116">240+FLOOR((A254-21)/5,1)*144</f>
        <v>6864</v>
      </c>
    </row>
    <row r="255" spans="1:25" x14ac:dyDescent="0.15">
      <c r="A255" s="4">
        <v>252</v>
      </c>
      <c r="B255" s="1">
        <v>13699601</v>
      </c>
      <c r="C255" s="3">
        <v>1841297</v>
      </c>
      <c r="D255">
        <v>1196145</v>
      </c>
      <c r="E255" s="3">
        <f>INT(SUM(C$4:C254)*$K$2)</f>
        <v>113196434</v>
      </c>
      <c r="F255" s="3">
        <v>0</v>
      </c>
      <c r="G255" s="3">
        <v>0</v>
      </c>
      <c r="H255" s="3">
        <v>0</v>
      </c>
      <c r="I255" s="3">
        <v>0</v>
      </c>
      <c r="J255" s="3"/>
      <c r="K255" s="3"/>
      <c r="L255">
        <v>4</v>
      </c>
      <c r="M255">
        <f t="shared" si="85"/>
        <v>52</v>
      </c>
      <c r="N255" s="4">
        <f t="shared" si="89"/>
        <v>6349950</v>
      </c>
      <c r="O255" s="3">
        <f t="shared" si="90"/>
        <v>10860870</v>
      </c>
      <c r="P255" s="4">
        <f t="shared" si="84"/>
        <v>4510920</v>
      </c>
      <c r="R255">
        <f t="shared" si="103"/>
        <v>252000</v>
      </c>
      <c r="S255" s="3">
        <f t="shared" si="86"/>
        <v>252000</v>
      </c>
      <c r="T255" s="3">
        <f t="shared" si="87"/>
        <v>177956</v>
      </c>
      <c r="U255">
        <f t="shared" si="88"/>
        <v>254306</v>
      </c>
      <c r="V255" s="3">
        <f t="shared" si="91"/>
        <v>6599762</v>
      </c>
      <c r="W255">
        <f t="shared" si="92"/>
        <v>428424</v>
      </c>
      <c r="Y255">
        <f t="shared" ref="Y255" si="117">72+FLOOR((A255-21)/5,1)*24</f>
        <v>1176</v>
      </c>
    </row>
    <row r="256" spans="1:25" x14ac:dyDescent="0.15">
      <c r="A256" s="4">
        <v>253</v>
      </c>
      <c r="B256" s="1">
        <v>13809977</v>
      </c>
      <c r="C256" s="3">
        <v>1865983</v>
      </c>
      <c r="D256">
        <v>1205781</v>
      </c>
      <c r="E256" s="3">
        <f>INT(SUM(C$4:C255)*$K$2)</f>
        <v>115037731</v>
      </c>
      <c r="F256" s="3">
        <v>0</v>
      </c>
      <c r="G256" s="3">
        <v>0</v>
      </c>
      <c r="H256" s="3">
        <v>0</v>
      </c>
      <c r="I256" s="3">
        <v>0</v>
      </c>
      <c r="J256" s="3"/>
      <c r="K256" s="3"/>
      <c r="L256">
        <v>4</v>
      </c>
      <c r="M256">
        <f t="shared" si="85"/>
        <v>52</v>
      </c>
      <c r="N256" s="4">
        <f t="shared" si="89"/>
        <v>6400449</v>
      </c>
      <c r="O256" s="3">
        <f t="shared" si="90"/>
        <v>10989904</v>
      </c>
      <c r="P256" s="4">
        <f t="shared" si="84"/>
        <v>4589455</v>
      </c>
      <c r="R256">
        <f t="shared" si="103"/>
        <v>253000</v>
      </c>
      <c r="S256" s="3">
        <f t="shared" si="86"/>
        <v>253000</v>
      </c>
      <c r="T256" s="3">
        <f t="shared" si="87"/>
        <v>178965</v>
      </c>
      <c r="U256">
        <f t="shared" si="88"/>
        <v>255415</v>
      </c>
      <c r="V256" s="3">
        <f t="shared" si="91"/>
        <v>6652230</v>
      </c>
      <c r="W256">
        <f t="shared" si="92"/>
        <v>429600</v>
      </c>
      <c r="Y256">
        <f t="shared" si="100"/>
        <v>1176</v>
      </c>
    </row>
    <row r="257" spans="1:25" x14ac:dyDescent="0.15">
      <c r="A257" s="4">
        <v>254</v>
      </c>
      <c r="B257" s="1">
        <v>13929952</v>
      </c>
      <c r="C257" s="3">
        <v>1892815</v>
      </c>
      <c r="D257">
        <v>1216255</v>
      </c>
      <c r="E257" s="3">
        <f>INT(SUM(C$4:C256)*$K$2)</f>
        <v>116903714</v>
      </c>
      <c r="F257" s="3">
        <v>0</v>
      </c>
      <c r="G257" s="3">
        <v>0</v>
      </c>
      <c r="H257" s="3">
        <v>0</v>
      </c>
      <c r="I257" s="3">
        <v>0</v>
      </c>
      <c r="J257" s="3"/>
      <c r="K257" s="3"/>
      <c r="L257">
        <v>4</v>
      </c>
      <c r="M257">
        <f t="shared" si="85"/>
        <v>52</v>
      </c>
      <c r="N257" s="4">
        <f t="shared" si="89"/>
        <v>6451148</v>
      </c>
      <c r="O257" s="3">
        <f t="shared" si="90"/>
        <v>11119956</v>
      </c>
      <c r="P257" s="4">
        <f t="shared" si="84"/>
        <v>4668808</v>
      </c>
      <c r="R257">
        <f t="shared" si="103"/>
        <v>254000</v>
      </c>
      <c r="S257" s="3">
        <f t="shared" si="86"/>
        <v>254000</v>
      </c>
      <c r="T257" s="3">
        <f t="shared" si="87"/>
        <v>179978</v>
      </c>
      <c r="U257">
        <f t="shared" si="88"/>
        <v>256528</v>
      </c>
      <c r="V257" s="3">
        <f t="shared" si="91"/>
        <v>6704906</v>
      </c>
      <c r="W257">
        <f t="shared" si="92"/>
        <v>430776</v>
      </c>
      <c r="Y257">
        <f t="shared" si="100"/>
        <v>1176</v>
      </c>
    </row>
    <row r="258" spans="1:25" x14ac:dyDescent="0.15">
      <c r="A258" s="4">
        <v>255</v>
      </c>
      <c r="B258" s="1">
        <v>14059524</v>
      </c>
      <c r="C258" s="3">
        <v>1921795</v>
      </c>
      <c r="D258">
        <v>1227567</v>
      </c>
      <c r="E258" s="3">
        <f>INT(SUM(C$4:C257)*$K$2)</f>
        <v>118796529</v>
      </c>
      <c r="F258" s="3">
        <v>0</v>
      </c>
      <c r="G258" s="3">
        <v>0</v>
      </c>
      <c r="H258" s="3">
        <v>0</v>
      </c>
      <c r="I258" s="3">
        <v>0</v>
      </c>
      <c r="J258" s="3"/>
      <c r="K258" s="3"/>
      <c r="L258">
        <v>4.5</v>
      </c>
      <c r="M258">
        <f t="shared" si="85"/>
        <v>58.5</v>
      </c>
      <c r="N258" s="4">
        <f t="shared" si="89"/>
        <v>6502047</v>
      </c>
      <c r="O258" s="3">
        <f t="shared" si="90"/>
        <v>11251030</v>
      </c>
      <c r="P258" s="4">
        <f t="shared" si="84"/>
        <v>4748983</v>
      </c>
      <c r="R258">
        <f t="shared" si="103"/>
        <v>255000</v>
      </c>
      <c r="S258" s="3">
        <f t="shared" si="86"/>
        <v>255000</v>
      </c>
      <c r="T258" s="3">
        <f t="shared" si="87"/>
        <v>180995</v>
      </c>
      <c r="U258">
        <f t="shared" si="88"/>
        <v>258154</v>
      </c>
      <c r="V258" s="3">
        <f t="shared" si="91"/>
        <v>7601457</v>
      </c>
      <c r="W258">
        <f t="shared" si="92"/>
        <v>431952</v>
      </c>
      <c r="Y258">
        <f t="shared" si="100"/>
        <v>1176</v>
      </c>
    </row>
    <row r="259" spans="1:25" x14ac:dyDescent="0.15">
      <c r="A259" s="4">
        <v>256</v>
      </c>
      <c r="B259" s="1">
        <v>14198694</v>
      </c>
      <c r="C259" s="3">
        <v>1952920</v>
      </c>
      <c r="D259">
        <v>1239717</v>
      </c>
      <c r="E259" s="3">
        <f>INT(SUM(C$4:C258)*$K$2)</f>
        <v>120718324</v>
      </c>
      <c r="F259" s="3">
        <v>0</v>
      </c>
      <c r="G259" s="3">
        <v>0</v>
      </c>
      <c r="H259" s="3">
        <v>0</v>
      </c>
      <c r="I259" s="3">
        <v>0</v>
      </c>
      <c r="J259" s="3"/>
      <c r="K259" s="3"/>
      <c r="L259">
        <v>4.5</v>
      </c>
      <c r="M259">
        <f t="shared" si="85"/>
        <v>58.5</v>
      </c>
      <c r="N259" s="4">
        <f t="shared" si="89"/>
        <v>6553146</v>
      </c>
      <c r="O259" s="3">
        <f t="shared" si="90"/>
        <v>11383130</v>
      </c>
      <c r="P259" s="4">
        <f t="shared" si="84"/>
        <v>4829984</v>
      </c>
      <c r="R259">
        <f t="shared" si="103"/>
        <v>256000</v>
      </c>
      <c r="S259" s="3">
        <f t="shared" si="86"/>
        <v>256000</v>
      </c>
      <c r="T259" s="3">
        <f t="shared" si="87"/>
        <v>182016</v>
      </c>
      <c r="U259">
        <f t="shared" si="88"/>
        <v>259277</v>
      </c>
      <c r="V259" s="3">
        <f t="shared" si="91"/>
        <v>7661186</v>
      </c>
      <c r="W259">
        <f t="shared" si="92"/>
        <v>438960</v>
      </c>
      <c r="Y259">
        <f t="shared" ref="Y259" si="118">240+FLOOR((A259-21)/5,1)*144</f>
        <v>7008</v>
      </c>
    </row>
    <row r="260" spans="1:25" x14ac:dyDescent="0.15">
      <c r="A260" s="4">
        <v>257</v>
      </c>
      <c r="B260" s="1">
        <v>14347462</v>
      </c>
      <c r="C260" s="3">
        <v>1986193</v>
      </c>
      <c r="D260">
        <v>1252706</v>
      </c>
      <c r="E260" s="3">
        <f>INT(SUM(C$4:C259)*$K$2)</f>
        <v>122671244</v>
      </c>
      <c r="F260" s="3">
        <v>0</v>
      </c>
      <c r="G260" s="3">
        <v>0</v>
      </c>
      <c r="H260" s="3">
        <v>0</v>
      </c>
      <c r="I260" s="3">
        <v>0</v>
      </c>
      <c r="J260" s="3"/>
      <c r="K260" s="3"/>
      <c r="L260">
        <v>4.5</v>
      </c>
      <c r="M260">
        <f t="shared" si="85"/>
        <v>58.5</v>
      </c>
      <c r="N260" s="4">
        <f t="shared" si="89"/>
        <v>6604445</v>
      </c>
      <c r="O260" s="3">
        <f t="shared" si="90"/>
        <v>11516260</v>
      </c>
      <c r="P260" s="4">
        <f t="shared" ref="P260:P303" si="119">O260-N260</f>
        <v>4911815</v>
      </c>
      <c r="R260">
        <f t="shared" si="103"/>
        <v>257000</v>
      </c>
      <c r="S260" s="3">
        <f t="shared" si="86"/>
        <v>257000</v>
      </c>
      <c r="T260" s="3">
        <f t="shared" si="87"/>
        <v>186291</v>
      </c>
      <c r="U260">
        <f t="shared" si="88"/>
        <v>266904</v>
      </c>
      <c r="V260" s="3">
        <f t="shared" si="91"/>
        <v>7721148</v>
      </c>
      <c r="W260">
        <f t="shared" si="92"/>
        <v>440160</v>
      </c>
      <c r="Y260">
        <f t="shared" ref="Y260" si="120">72+FLOOR((A260-21)/5,1)*24</f>
        <v>1200</v>
      </c>
    </row>
    <row r="261" spans="1:25" x14ac:dyDescent="0.15">
      <c r="A261" s="4">
        <v>258</v>
      </c>
      <c r="B261" s="1">
        <v>14505829</v>
      </c>
      <c r="C261" s="3">
        <v>2021611</v>
      </c>
      <c r="D261">
        <v>1266532</v>
      </c>
      <c r="E261" s="3">
        <f>INT(SUM(C$4:C260)*$K$2)</f>
        <v>124657437</v>
      </c>
      <c r="F261" s="3">
        <v>0</v>
      </c>
      <c r="G261" s="3">
        <v>0</v>
      </c>
      <c r="H261" s="3">
        <v>0</v>
      </c>
      <c r="I261" s="3">
        <v>0</v>
      </c>
      <c r="J261" s="3"/>
      <c r="K261" s="3"/>
      <c r="L261">
        <v>4.5</v>
      </c>
      <c r="M261">
        <f t="shared" ref="M261:M303" si="121">(FLOOR(A261/20,1)+1)*L261</f>
        <v>58.5</v>
      </c>
      <c r="N261" s="4">
        <f t="shared" si="89"/>
        <v>6655944</v>
      </c>
      <c r="O261" s="3">
        <f t="shared" si="90"/>
        <v>11650424</v>
      </c>
      <c r="P261" s="4">
        <f t="shared" si="119"/>
        <v>4994480</v>
      </c>
      <c r="R261">
        <f t="shared" si="103"/>
        <v>258000</v>
      </c>
      <c r="S261" s="3">
        <f t="shared" ref="S261:S303" si="122">R261</f>
        <v>258000</v>
      </c>
      <c r="T261" s="3">
        <f t="shared" ref="T261:T303" si="123">$T$4*POWER(ROUNDUP($A261/8,0),2)+($A261+$A260)*$A261</f>
        <v>187320</v>
      </c>
      <c r="U261">
        <f t="shared" ref="U261:U303" si="124">$U$4*POWER(ROUNDUP($A261/8,0),2)+($A261+$A260)*($A261+INT($A261/5))</f>
        <v>268035</v>
      </c>
      <c r="V261" s="3">
        <f t="shared" si="91"/>
        <v>7781345</v>
      </c>
      <c r="W261">
        <f t="shared" si="92"/>
        <v>441360</v>
      </c>
      <c r="Y261">
        <f t="shared" si="102"/>
        <v>1200</v>
      </c>
    </row>
    <row r="262" spans="1:25" x14ac:dyDescent="0.15">
      <c r="A262" s="4">
        <v>259</v>
      </c>
      <c r="B262" s="1">
        <v>14673793</v>
      </c>
      <c r="C262" s="3">
        <v>2059177</v>
      </c>
      <c r="D262">
        <v>1281195</v>
      </c>
      <c r="E262" s="3">
        <f>INT(SUM(C$4:C261)*$K$2)</f>
        <v>126679048</v>
      </c>
      <c r="F262" s="3">
        <v>0</v>
      </c>
      <c r="G262" s="3">
        <v>0</v>
      </c>
      <c r="H262" s="3">
        <v>0</v>
      </c>
      <c r="I262" s="3">
        <v>0</v>
      </c>
      <c r="J262" s="3"/>
      <c r="K262" s="3"/>
      <c r="L262">
        <v>4.5</v>
      </c>
      <c r="M262">
        <f t="shared" si="121"/>
        <v>58.5</v>
      </c>
      <c r="N262" s="4">
        <f t="shared" ref="N262" si="125">A262*A261*100+A260*99</f>
        <v>6707643</v>
      </c>
      <c r="O262" s="3">
        <f t="shared" ref="O262:O303" si="126">O261+POWER($A262+2,2)+POWER($A261+1,2)</f>
        <v>11785626</v>
      </c>
      <c r="P262" s="4">
        <f t="shared" si="119"/>
        <v>5077983</v>
      </c>
      <c r="R262">
        <f t="shared" si="103"/>
        <v>259000</v>
      </c>
      <c r="S262" s="3">
        <f t="shared" si="122"/>
        <v>259000</v>
      </c>
      <c r="T262" s="3">
        <f t="shared" si="123"/>
        <v>188353</v>
      </c>
      <c r="U262">
        <f t="shared" si="124"/>
        <v>269170</v>
      </c>
      <c r="V262" s="3">
        <f t="shared" ref="V262:V303" si="127">FLOOR($V$4*POWER(FLOOR($A262/20,1)+1,2)+($A262+$A261)*$A262*M262,1)</f>
        <v>7841775</v>
      </c>
      <c r="W262">
        <f t="shared" ref="W262:W303" si="128">FLOOR(W261+Y262,1)</f>
        <v>442560</v>
      </c>
      <c r="Y262">
        <f t="shared" si="102"/>
        <v>1200</v>
      </c>
    </row>
    <row r="263" spans="1:25" x14ac:dyDescent="0.15">
      <c r="A263" s="4">
        <v>260</v>
      </c>
      <c r="B263" s="1">
        <v>14851355</v>
      </c>
      <c r="C263" s="3">
        <v>2098889</v>
      </c>
      <c r="D263">
        <v>1296697</v>
      </c>
      <c r="E263" s="3">
        <f>INT(SUM(C$4:C262)*$K$2)</f>
        <v>128738225</v>
      </c>
      <c r="F263" s="3">
        <v>0</v>
      </c>
      <c r="G263" s="3">
        <v>0</v>
      </c>
      <c r="H263" s="3">
        <v>0</v>
      </c>
      <c r="I263" s="3">
        <v>0</v>
      </c>
      <c r="J263" s="3"/>
      <c r="K263" s="3"/>
      <c r="L263">
        <v>4.5</v>
      </c>
      <c r="M263">
        <f t="shared" si="121"/>
        <v>63</v>
      </c>
      <c r="N263" s="4">
        <f t="shared" ref="N263:N303" si="129">A263*A262*100+A261*99</f>
        <v>6759542</v>
      </c>
      <c r="O263" s="3">
        <f t="shared" si="126"/>
        <v>11921870</v>
      </c>
      <c r="P263" s="4">
        <f t="shared" si="119"/>
        <v>5162328</v>
      </c>
      <c r="R263">
        <f t="shared" si="103"/>
        <v>260000</v>
      </c>
      <c r="S263" s="3">
        <f t="shared" si="122"/>
        <v>260000</v>
      </c>
      <c r="T263" s="3">
        <f t="shared" si="123"/>
        <v>189390</v>
      </c>
      <c r="U263">
        <f t="shared" si="124"/>
        <v>270828</v>
      </c>
      <c r="V263" s="3">
        <f t="shared" si="127"/>
        <v>8511020</v>
      </c>
      <c r="W263">
        <f t="shared" si="128"/>
        <v>443760</v>
      </c>
      <c r="Y263">
        <f t="shared" si="102"/>
        <v>1200</v>
      </c>
    </row>
    <row r="264" spans="1:25" x14ac:dyDescent="0.15">
      <c r="A264" s="4">
        <v>261</v>
      </c>
      <c r="B264" s="1">
        <v>15742436</v>
      </c>
      <c r="C264" s="3">
        <v>2224822</v>
      </c>
      <c r="D264">
        <v>1374498</v>
      </c>
      <c r="E264" s="3">
        <f>INT(SUM(C$4:C263)*$K$2)</f>
        <v>130837114</v>
      </c>
      <c r="F264" s="3">
        <v>0</v>
      </c>
      <c r="G264" s="3">
        <v>0</v>
      </c>
      <c r="H264" s="3">
        <v>0</v>
      </c>
      <c r="I264" s="3">
        <v>0</v>
      </c>
      <c r="J264" s="3"/>
      <c r="K264" s="3"/>
      <c r="L264">
        <v>4.5</v>
      </c>
      <c r="M264">
        <f t="shared" si="121"/>
        <v>63</v>
      </c>
      <c r="N264" s="4">
        <f t="shared" si="129"/>
        <v>6811641</v>
      </c>
      <c r="O264" s="3">
        <f t="shared" si="126"/>
        <v>12059160</v>
      </c>
      <c r="P264" s="4">
        <f t="shared" si="119"/>
        <v>5247519</v>
      </c>
      <c r="R264">
        <f t="shared" si="103"/>
        <v>261000</v>
      </c>
      <c r="S264" s="3">
        <f t="shared" si="122"/>
        <v>261000</v>
      </c>
      <c r="T264" s="3">
        <f t="shared" si="123"/>
        <v>190431</v>
      </c>
      <c r="U264">
        <f t="shared" si="124"/>
        <v>271973</v>
      </c>
      <c r="V264" s="3">
        <f t="shared" si="127"/>
        <v>8576603</v>
      </c>
      <c r="W264">
        <f t="shared" si="128"/>
        <v>450912</v>
      </c>
      <c r="Y264">
        <f t="shared" ref="Y264" si="130">240+FLOOR((A264-21)/5,1)*144</f>
        <v>7152</v>
      </c>
    </row>
    <row r="265" spans="1:25" x14ac:dyDescent="0.15">
      <c r="A265" s="4">
        <v>262</v>
      </c>
      <c r="B265" s="1">
        <v>15748195</v>
      </c>
      <c r="C265" s="3">
        <v>2225663</v>
      </c>
      <c r="D265">
        <v>1375001</v>
      </c>
      <c r="E265" s="3">
        <f>INT(SUM(C$4:C264)*$K$2)</f>
        <v>133061936</v>
      </c>
      <c r="F265" s="3">
        <v>0</v>
      </c>
      <c r="G265" s="3">
        <v>0</v>
      </c>
      <c r="H265" s="3">
        <v>0</v>
      </c>
      <c r="I265" s="3">
        <v>0</v>
      </c>
      <c r="J265" s="3"/>
      <c r="K265" s="3"/>
      <c r="L265">
        <v>4.5</v>
      </c>
      <c r="M265">
        <f t="shared" si="121"/>
        <v>63</v>
      </c>
      <c r="N265" s="4">
        <f t="shared" si="129"/>
        <v>6863940</v>
      </c>
      <c r="O265" s="3">
        <f t="shared" si="126"/>
        <v>12197500</v>
      </c>
      <c r="P265" s="4">
        <f t="shared" si="119"/>
        <v>5333560</v>
      </c>
      <c r="R265">
        <f t="shared" si="103"/>
        <v>262000</v>
      </c>
      <c r="S265" s="3">
        <f t="shared" si="122"/>
        <v>262000</v>
      </c>
      <c r="T265" s="3">
        <f t="shared" si="123"/>
        <v>191476</v>
      </c>
      <c r="U265">
        <f t="shared" si="124"/>
        <v>273122</v>
      </c>
      <c r="V265" s="3">
        <f t="shared" si="127"/>
        <v>8642438</v>
      </c>
      <c r="W265">
        <f t="shared" si="128"/>
        <v>452136</v>
      </c>
      <c r="Y265">
        <f t="shared" ref="Y265" si="131">72+FLOOR((A265-21)/5,1)*24</f>
        <v>1224</v>
      </c>
    </row>
    <row r="266" spans="1:25" x14ac:dyDescent="0.15">
      <c r="A266" s="4">
        <v>263</v>
      </c>
      <c r="B266" s="1">
        <v>15765474</v>
      </c>
      <c r="C266" s="3">
        <v>2228185</v>
      </c>
      <c r="D266">
        <v>1376510</v>
      </c>
      <c r="E266" s="3">
        <f>INT(SUM(C$4:C265)*$K$2)</f>
        <v>135287599</v>
      </c>
      <c r="F266" s="3">
        <v>0</v>
      </c>
      <c r="G266" s="3">
        <v>0</v>
      </c>
      <c r="H266" s="3">
        <v>0</v>
      </c>
      <c r="I266" s="3">
        <v>0</v>
      </c>
      <c r="J266" s="3"/>
      <c r="K266" s="3"/>
      <c r="L266">
        <v>4.5</v>
      </c>
      <c r="M266">
        <f t="shared" si="121"/>
        <v>63</v>
      </c>
      <c r="N266" s="4">
        <f t="shared" si="129"/>
        <v>6916439</v>
      </c>
      <c r="O266" s="3">
        <f t="shared" si="126"/>
        <v>12336894</v>
      </c>
      <c r="P266" s="4">
        <f t="shared" si="119"/>
        <v>5420455</v>
      </c>
      <c r="R266">
        <f t="shared" si="103"/>
        <v>263000</v>
      </c>
      <c r="S266" s="3">
        <f t="shared" si="122"/>
        <v>263000</v>
      </c>
      <c r="T266" s="3">
        <f t="shared" si="123"/>
        <v>192525</v>
      </c>
      <c r="U266">
        <f t="shared" si="124"/>
        <v>274275</v>
      </c>
      <c r="V266" s="3">
        <f t="shared" si="127"/>
        <v>8708525</v>
      </c>
      <c r="W266">
        <f t="shared" si="128"/>
        <v>453360</v>
      </c>
      <c r="Y266">
        <f t="shared" si="96"/>
        <v>1224</v>
      </c>
    </row>
    <row r="267" spans="1:25" x14ac:dyDescent="0.15">
      <c r="A267" s="4">
        <v>264</v>
      </c>
      <c r="B267" s="1">
        <v>15794271</v>
      </c>
      <c r="C267" s="3">
        <v>2232389</v>
      </c>
      <c r="D267">
        <v>1379024</v>
      </c>
      <c r="E267" s="3">
        <f>INT(SUM(C$4:C266)*$K$2)</f>
        <v>137515784</v>
      </c>
      <c r="F267" s="3">
        <v>0</v>
      </c>
      <c r="G267" s="3">
        <v>0</v>
      </c>
      <c r="H267" s="3">
        <v>0</v>
      </c>
      <c r="I267" s="3">
        <v>0</v>
      </c>
      <c r="J267" s="3"/>
      <c r="K267" s="3"/>
      <c r="L267">
        <v>4.5</v>
      </c>
      <c r="M267">
        <f t="shared" si="121"/>
        <v>63</v>
      </c>
      <c r="N267" s="4">
        <f t="shared" si="129"/>
        <v>6969138</v>
      </c>
      <c r="O267" s="3">
        <f t="shared" si="126"/>
        <v>12477346</v>
      </c>
      <c r="P267" s="4">
        <f t="shared" si="119"/>
        <v>5508208</v>
      </c>
      <c r="R267">
        <f t="shared" si="103"/>
        <v>264000</v>
      </c>
      <c r="S267" s="3">
        <f t="shared" si="122"/>
        <v>264000</v>
      </c>
      <c r="T267" s="3">
        <f t="shared" si="123"/>
        <v>193578</v>
      </c>
      <c r="U267">
        <f t="shared" si="124"/>
        <v>275432</v>
      </c>
      <c r="V267" s="3">
        <f t="shared" si="127"/>
        <v>8774864</v>
      </c>
      <c r="W267">
        <f t="shared" si="128"/>
        <v>454584</v>
      </c>
      <c r="Y267">
        <f t="shared" si="96"/>
        <v>1224</v>
      </c>
    </row>
    <row r="268" spans="1:25" x14ac:dyDescent="0.15">
      <c r="A268" s="4">
        <v>265</v>
      </c>
      <c r="B268" s="1">
        <v>15834588</v>
      </c>
      <c r="C268" s="3">
        <v>2238275</v>
      </c>
      <c r="D268">
        <v>1382544</v>
      </c>
      <c r="E268" s="3">
        <f>INT(SUM(C$4:C267)*$K$2)</f>
        <v>139748173</v>
      </c>
      <c r="F268" s="3">
        <v>0</v>
      </c>
      <c r="G268" s="3">
        <v>0</v>
      </c>
      <c r="H268" s="3">
        <v>0</v>
      </c>
      <c r="I268" s="3">
        <v>0</v>
      </c>
      <c r="J268" s="3"/>
      <c r="K268" s="3"/>
      <c r="L268">
        <v>5</v>
      </c>
      <c r="M268">
        <f t="shared" si="121"/>
        <v>70</v>
      </c>
      <c r="N268" s="4">
        <f t="shared" si="129"/>
        <v>7022037</v>
      </c>
      <c r="O268" s="3">
        <f t="shared" si="126"/>
        <v>12618860</v>
      </c>
      <c r="P268" s="4">
        <f t="shared" si="119"/>
        <v>5596823</v>
      </c>
      <c r="R268">
        <f t="shared" si="103"/>
        <v>265000</v>
      </c>
      <c r="S268" s="3">
        <f t="shared" si="122"/>
        <v>265000</v>
      </c>
      <c r="T268" s="3">
        <f t="shared" si="123"/>
        <v>197985</v>
      </c>
      <c r="U268">
        <f t="shared" si="124"/>
        <v>283822</v>
      </c>
      <c r="V268" s="3">
        <f t="shared" si="127"/>
        <v>9822750</v>
      </c>
      <c r="W268">
        <f t="shared" si="128"/>
        <v>455808</v>
      </c>
      <c r="Y268">
        <f t="shared" si="96"/>
        <v>1224</v>
      </c>
    </row>
    <row r="269" spans="1:25" x14ac:dyDescent="0.15">
      <c r="A269" s="4">
        <v>266</v>
      </c>
      <c r="B269" s="1">
        <v>15886423</v>
      </c>
      <c r="C269" s="3">
        <v>2245842</v>
      </c>
      <c r="D269">
        <v>1387070</v>
      </c>
      <c r="E269" s="3">
        <f>INT(SUM(C$4:C268)*$K$2)</f>
        <v>141986448</v>
      </c>
      <c r="F269" s="3">
        <v>0</v>
      </c>
      <c r="G269" s="3">
        <v>0</v>
      </c>
      <c r="H269" s="3">
        <v>0</v>
      </c>
      <c r="I269" s="3">
        <v>0</v>
      </c>
      <c r="J269" s="3"/>
      <c r="K269" s="3"/>
      <c r="L269">
        <v>5</v>
      </c>
      <c r="M269">
        <f t="shared" si="121"/>
        <v>70</v>
      </c>
      <c r="N269" s="4">
        <f t="shared" si="129"/>
        <v>7075136</v>
      </c>
      <c r="O269" s="3">
        <f t="shared" si="126"/>
        <v>12761440</v>
      </c>
      <c r="P269" s="4">
        <f t="shared" si="119"/>
        <v>5686304</v>
      </c>
      <c r="R269">
        <f t="shared" si="103"/>
        <v>266000</v>
      </c>
      <c r="S269" s="3">
        <f t="shared" si="122"/>
        <v>266000</v>
      </c>
      <c r="T269" s="3">
        <f t="shared" si="123"/>
        <v>199046</v>
      </c>
      <c r="U269">
        <f t="shared" si="124"/>
        <v>284989</v>
      </c>
      <c r="V269" s="3">
        <f t="shared" si="127"/>
        <v>9897020</v>
      </c>
      <c r="W269">
        <f t="shared" si="128"/>
        <v>463104</v>
      </c>
      <c r="Y269">
        <f t="shared" ref="Y269" si="132">240+FLOOR((A269-21)/5,1)*144</f>
        <v>7296</v>
      </c>
    </row>
    <row r="270" spans="1:25" x14ac:dyDescent="0.15">
      <c r="A270" s="4">
        <v>267</v>
      </c>
      <c r="B270" s="1">
        <v>15949777</v>
      </c>
      <c r="C270" s="3">
        <v>2255091</v>
      </c>
      <c r="D270">
        <v>1392602</v>
      </c>
      <c r="E270" s="3">
        <f>INT(SUM(C$4:C269)*$K$2)</f>
        <v>144232290</v>
      </c>
      <c r="F270" s="3">
        <v>0</v>
      </c>
      <c r="G270" s="3">
        <v>0</v>
      </c>
      <c r="H270" s="3">
        <v>0</v>
      </c>
      <c r="I270" s="3">
        <v>0</v>
      </c>
      <c r="J270" s="3"/>
      <c r="K270" s="3"/>
      <c r="L270">
        <v>5</v>
      </c>
      <c r="M270">
        <f t="shared" si="121"/>
        <v>70</v>
      </c>
      <c r="N270" s="4">
        <f t="shared" si="129"/>
        <v>7128435</v>
      </c>
      <c r="O270" s="3">
        <f t="shared" si="126"/>
        <v>12905090</v>
      </c>
      <c r="P270" s="4">
        <f t="shared" si="119"/>
        <v>5776655</v>
      </c>
      <c r="R270">
        <f t="shared" si="103"/>
        <v>267000</v>
      </c>
      <c r="S270" s="3">
        <f t="shared" si="122"/>
        <v>267000</v>
      </c>
      <c r="T270" s="3">
        <f t="shared" si="123"/>
        <v>200111</v>
      </c>
      <c r="U270">
        <f t="shared" si="124"/>
        <v>286160</v>
      </c>
      <c r="V270" s="3">
        <f t="shared" si="127"/>
        <v>9971570</v>
      </c>
      <c r="W270">
        <f t="shared" si="128"/>
        <v>464352</v>
      </c>
      <c r="Y270">
        <f t="shared" ref="Y270" si="133">72+FLOOR((A270-21)/5,1)*24</f>
        <v>1248</v>
      </c>
    </row>
    <row r="271" spans="1:25" x14ac:dyDescent="0.15">
      <c r="A271" s="4">
        <v>268</v>
      </c>
      <c r="B271" s="1">
        <v>16024651</v>
      </c>
      <c r="C271" s="3">
        <v>2266021</v>
      </c>
      <c r="D271">
        <v>1399139</v>
      </c>
      <c r="E271" s="3">
        <f>INT(SUM(C$4:C270)*$K$2)</f>
        <v>146487381</v>
      </c>
      <c r="F271" s="3">
        <v>0</v>
      </c>
      <c r="G271" s="3">
        <v>0</v>
      </c>
      <c r="H271" s="3">
        <v>0</v>
      </c>
      <c r="I271" s="3">
        <v>0</v>
      </c>
      <c r="J271" s="3"/>
      <c r="K271" s="3"/>
      <c r="L271">
        <v>5</v>
      </c>
      <c r="M271">
        <f t="shared" si="121"/>
        <v>70</v>
      </c>
      <c r="N271" s="4">
        <f t="shared" si="129"/>
        <v>7181934</v>
      </c>
      <c r="O271" s="3">
        <f t="shared" si="126"/>
        <v>13049814</v>
      </c>
      <c r="P271" s="4">
        <f t="shared" si="119"/>
        <v>5867880</v>
      </c>
      <c r="R271">
        <f t="shared" si="103"/>
        <v>268000</v>
      </c>
      <c r="S271" s="3">
        <f t="shared" si="122"/>
        <v>268000</v>
      </c>
      <c r="T271" s="3">
        <f t="shared" si="123"/>
        <v>201180</v>
      </c>
      <c r="U271">
        <f t="shared" si="124"/>
        <v>287335</v>
      </c>
      <c r="V271" s="3">
        <f t="shared" si="127"/>
        <v>10046400</v>
      </c>
      <c r="W271">
        <f t="shared" si="128"/>
        <v>465600</v>
      </c>
      <c r="Y271">
        <f t="shared" si="98"/>
        <v>1248</v>
      </c>
    </row>
    <row r="272" spans="1:25" x14ac:dyDescent="0.15">
      <c r="A272" s="4">
        <v>269</v>
      </c>
      <c r="B272" s="1">
        <v>16111043</v>
      </c>
      <c r="C272" s="3">
        <v>2278633</v>
      </c>
      <c r="D272">
        <v>1406682</v>
      </c>
      <c r="E272" s="3">
        <f>INT(SUM(C$4:C271)*$K$2)</f>
        <v>148753402</v>
      </c>
      <c r="F272" s="3">
        <v>0</v>
      </c>
      <c r="G272" s="3">
        <v>0</v>
      </c>
      <c r="H272" s="3">
        <v>0</v>
      </c>
      <c r="I272" s="3">
        <v>0</v>
      </c>
      <c r="J272" s="3"/>
      <c r="K272" s="3"/>
      <c r="L272">
        <v>5</v>
      </c>
      <c r="M272">
        <f t="shared" si="121"/>
        <v>70</v>
      </c>
      <c r="N272" s="4">
        <f t="shared" si="129"/>
        <v>7235633</v>
      </c>
      <c r="O272" s="3">
        <f t="shared" si="126"/>
        <v>13195616</v>
      </c>
      <c r="P272" s="4">
        <f t="shared" si="119"/>
        <v>5959983</v>
      </c>
      <c r="R272">
        <f t="shared" si="103"/>
        <v>269000</v>
      </c>
      <c r="S272" s="3">
        <f t="shared" si="122"/>
        <v>269000</v>
      </c>
      <c r="T272" s="3">
        <f t="shared" si="123"/>
        <v>202253</v>
      </c>
      <c r="U272">
        <f t="shared" si="124"/>
        <v>288514</v>
      </c>
      <c r="V272" s="3">
        <f t="shared" si="127"/>
        <v>10121510</v>
      </c>
      <c r="W272">
        <f t="shared" si="128"/>
        <v>466848</v>
      </c>
      <c r="Y272">
        <f t="shared" si="98"/>
        <v>1248</v>
      </c>
    </row>
    <row r="273" spans="1:25" x14ac:dyDescent="0.15">
      <c r="A273" s="4">
        <v>270</v>
      </c>
      <c r="B273" s="1">
        <v>16208954</v>
      </c>
      <c r="C273" s="3">
        <v>2292927</v>
      </c>
      <c r="D273">
        <v>1415231</v>
      </c>
      <c r="E273" s="3">
        <f>INT(SUM(C$4:C272)*$K$2)</f>
        <v>151032035</v>
      </c>
      <c r="F273" s="3">
        <v>0</v>
      </c>
      <c r="G273" s="3">
        <v>0</v>
      </c>
      <c r="H273" s="3">
        <v>0</v>
      </c>
      <c r="I273" s="3">
        <v>0</v>
      </c>
      <c r="J273" s="3"/>
      <c r="K273" s="3"/>
      <c r="L273">
        <v>5</v>
      </c>
      <c r="M273">
        <f t="shared" si="121"/>
        <v>70</v>
      </c>
      <c r="N273" s="4">
        <f t="shared" si="129"/>
        <v>7289532</v>
      </c>
      <c r="O273" s="3">
        <f t="shared" si="126"/>
        <v>13342500</v>
      </c>
      <c r="P273" s="4">
        <f t="shared" si="119"/>
        <v>6052968</v>
      </c>
      <c r="R273">
        <f t="shared" si="103"/>
        <v>270000</v>
      </c>
      <c r="S273" s="3">
        <f t="shared" si="122"/>
        <v>270000</v>
      </c>
      <c r="T273" s="3">
        <f t="shared" si="123"/>
        <v>203330</v>
      </c>
      <c r="U273">
        <f t="shared" si="124"/>
        <v>290236</v>
      </c>
      <c r="V273" s="3">
        <f t="shared" si="127"/>
        <v>10196900</v>
      </c>
      <c r="W273">
        <f t="shared" si="128"/>
        <v>468096</v>
      </c>
      <c r="Y273">
        <f t="shared" si="98"/>
        <v>1248</v>
      </c>
    </row>
    <row r="274" spans="1:25" x14ac:dyDescent="0.15">
      <c r="A274" s="4">
        <v>271</v>
      </c>
      <c r="B274" s="1">
        <v>16318384</v>
      </c>
      <c r="C274" s="3">
        <v>2308902</v>
      </c>
      <c r="D274">
        <v>1424785</v>
      </c>
      <c r="E274" s="3">
        <f>INT(SUM(C$4:C273)*$K$2)</f>
        <v>153324962</v>
      </c>
      <c r="F274" s="3">
        <v>0</v>
      </c>
      <c r="G274" s="3">
        <v>0</v>
      </c>
      <c r="H274" s="3">
        <v>0</v>
      </c>
      <c r="I274" s="3">
        <v>0</v>
      </c>
      <c r="J274" s="3"/>
      <c r="K274" s="3"/>
      <c r="L274">
        <v>5</v>
      </c>
      <c r="M274">
        <f t="shared" si="121"/>
        <v>70</v>
      </c>
      <c r="N274" s="4">
        <f t="shared" si="129"/>
        <v>7343631</v>
      </c>
      <c r="O274" s="3">
        <f t="shared" si="126"/>
        <v>13490470</v>
      </c>
      <c r="P274" s="4">
        <f t="shared" si="119"/>
        <v>6146839</v>
      </c>
      <c r="R274">
        <f t="shared" si="103"/>
        <v>271000</v>
      </c>
      <c r="S274" s="3">
        <f t="shared" si="122"/>
        <v>271000</v>
      </c>
      <c r="T274" s="3">
        <f t="shared" si="123"/>
        <v>204411</v>
      </c>
      <c r="U274">
        <f t="shared" si="124"/>
        <v>291425</v>
      </c>
      <c r="V274" s="3">
        <f t="shared" si="127"/>
        <v>10272570</v>
      </c>
      <c r="W274">
        <f t="shared" si="128"/>
        <v>475536</v>
      </c>
      <c r="Y274">
        <f t="shared" ref="Y274" si="134">240+FLOOR((A274-21)/5,1)*144</f>
        <v>7440</v>
      </c>
    </row>
    <row r="275" spans="1:25" x14ac:dyDescent="0.15">
      <c r="A275" s="4">
        <v>272</v>
      </c>
      <c r="B275" s="1">
        <v>16439334</v>
      </c>
      <c r="C275" s="3">
        <v>2326559</v>
      </c>
      <c r="D275">
        <v>1435346</v>
      </c>
      <c r="E275" s="3">
        <f>INT(SUM(C$4:C274)*$K$2)</f>
        <v>155633864</v>
      </c>
      <c r="F275" s="3">
        <v>0</v>
      </c>
      <c r="G275" s="3">
        <v>0</v>
      </c>
      <c r="H275" s="3">
        <v>0</v>
      </c>
      <c r="I275" s="3">
        <v>0</v>
      </c>
      <c r="J275" s="3"/>
      <c r="K275" s="3"/>
      <c r="L275">
        <v>5</v>
      </c>
      <c r="M275">
        <f t="shared" si="121"/>
        <v>70</v>
      </c>
      <c r="N275" s="4">
        <f t="shared" si="129"/>
        <v>7397930</v>
      </c>
      <c r="O275" s="3">
        <f t="shared" si="126"/>
        <v>13639530</v>
      </c>
      <c r="P275" s="4">
        <f t="shared" si="119"/>
        <v>6241600</v>
      </c>
      <c r="R275">
        <f t="shared" si="103"/>
        <v>272000</v>
      </c>
      <c r="S275" s="3">
        <f t="shared" si="122"/>
        <v>272000</v>
      </c>
      <c r="T275" s="3">
        <f t="shared" si="123"/>
        <v>205496</v>
      </c>
      <c r="U275">
        <f t="shared" si="124"/>
        <v>292618</v>
      </c>
      <c r="V275" s="3">
        <f t="shared" si="127"/>
        <v>10348520</v>
      </c>
      <c r="W275">
        <f t="shared" si="128"/>
        <v>476808</v>
      </c>
      <c r="Y275">
        <f t="shared" ref="Y275" si="135">72+FLOOR((A275-21)/5,1)*24</f>
        <v>1272</v>
      </c>
    </row>
    <row r="276" spans="1:25" x14ac:dyDescent="0.15">
      <c r="A276" s="4">
        <v>273</v>
      </c>
      <c r="B276" s="1">
        <v>16571802</v>
      </c>
      <c r="C276" s="3">
        <v>2345898</v>
      </c>
      <c r="D276">
        <v>1446912</v>
      </c>
      <c r="E276" s="3">
        <f>INT(SUM(C$4:C275)*$K$2)</f>
        <v>157960423</v>
      </c>
      <c r="F276" s="3">
        <v>0</v>
      </c>
      <c r="G276" s="3">
        <v>0</v>
      </c>
      <c r="H276" s="3">
        <v>0</v>
      </c>
      <c r="I276" s="3">
        <v>0</v>
      </c>
      <c r="J276" s="3"/>
      <c r="K276" s="3"/>
      <c r="L276">
        <v>5</v>
      </c>
      <c r="M276">
        <f t="shared" si="121"/>
        <v>70</v>
      </c>
      <c r="N276" s="4">
        <f t="shared" si="129"/>
        <v>7452429</v>
      </c>
      <c r="O276" s="3">
        <f t="shared" si="126"/>
        <v>13789684</v>
      </c>
      <c r="P276" s="4">
        <f t="shared" si="119"/>
        <v>6337255</v>
      </c>
      <c r="R276">
        <f t="shared" si="103"/>
        <v>273000</v>
      </c>
      <c r="S276" s="3">
        <f t="shared" si="122"/>
        <v>273000</v>
      </c>
      <c r="T276" s="3">
        <f t="shared" si="123"/>
        <v>210035</v>
      </c>
      <c r="U276">
        <f t="shared" si="124"/>
        <v>300715</v>
      </c>
      <c r="V276" s="3">
        <f t="shared" si="127"/>
        <v>10424750</v>
      </c>
      <c r="W276">
        <f t="shared" si="128"/>
        <v>478080</v>
      </c>
      <c r="Y276">
        <f t="shared" si="100"/>
        <v>1272</v>
      </c>
    </row>
    <row r="277" spans="1:25" x14ac:dyDescent="0.15">
      <c r="A277" s="4">
        <v>274</v>
      </c>
      <c r="B277" s="1">
        <v>16715789</v>
      </c>
      <c r="C277" s="3">
        <v>2366918</v>
      </c>
      <c r="D277">
        <v>1459483</v>
      </c>
      <c r="E277" s="3">
        <f>INT(SUM(C$4:C276)*$K$2)</f>
        <v>160306321</v>
      </c>
      <c r="F277" s="3">
        <v>0</v>
      </c>
      <c r="G277" s="3">
        <v>0</v>
      </c>
      <c r="H277" s="3">
        <v>0</v>
      </c>
      <c r="I277" s="3">
        <v>0</v>
      </c>
      <c r="J277" s="3"/>
      <c r="K277" s="3"/>
      <c r="L277">
        <v>5</v>
      </c>
      <c r="M277">
        <f t="shared" si="121"/>
        <v>70</v>
      </c>
      <c r="N277" s="4">
        <f t="shared" si="129"/>
        <v>7507128</v>
      </c>
      <c r="O277" s="3">
        <f t="shared" si="126"/>
        <v>13940936</v>
      </c>
      <c r="P277" s="4">
        <f t="shared" si="119"/>
        <v>6433808</v>
      </c>
      <c r="R277">
        <f t="shared" si="103"/>
        <v>274000</v>
      </c>
      <c r="S277" s="3">
        <f t="shared" si="122"/>
        <v>274000</v>
      </c>
      <c r="T277" s="3">
        <f t="shared" si="123"/>
        <v>211128</v>
      </c>
      <c r="U277">
        <f t="shared" si="124"/>
        <v>301916</v>
      </c>
      <c r="V277" s="3">
        <f t="shared" si="127"/>
        <v>10501260</v>
      </c>
      <c r="W277">
        <f t="shared" si="128"/>
        <v>479352</v>
      </c>
      <c r="Y277">
        <f t="shared" si="100"/>
        <v>1272</v>
      </c>
    </row>
    <row r="278" spans="1:25" x14ac:dyDescent="0.15">
      <c r="A278" s="4">
        <v>275</v>
      </c>
      <c r="B278" s="1">
        <v>16871295</v>
      </c>
      <c r="C278" s="3">
        <v>2389620</v>
      </c>
      <c r="D278">
        <v>1473061</v>
      </c>
      <c r="E278" s="3">
        <f>INT(SUM(C$4:C277)*$K$2)</f>
        <v>162673239</v>
      </c>
      <c r="F278" s="3">
        <v>0</v>
      </c>
      <c r="G278" s="3">
        <v>0</v>
      </c>
      <c r="H278" s="3">
        <v>0</v>
      </c>
      <c r="I278" s="3">
        <v>0</v>
      </c>
      <c r="J278" s="3"/>
      <c r="K278" s="3"/>
      <c r="L278">
        <v>5.5</v>
      </c>
      <c r="M278">
        <f t="shared" si="121"/>
        <v>77</v>
      </c>
      <c r="N278" s="4">
        <f t="shared" si="129"/>
        <v>7562027</v>
      </c>
      <c r="O278" s="3">
        <f t="shared" si="126"/>
        <v>14093290</v>
      </c>
      <c r="P278" s="4">
        <f t="shared" si="119"/>
        <v>6531263</v>
      </c>
      <c r="R278">
        <f t="shared" si="103"/>
        <v>275000</v>
      </c>
      <c r="S278" s="3">
        <f t="shared" si="122"/>
        <v>275000</v>
      </c>
      <c r="T278" s="3">
        <f t="shared" si="123"/>
        <v>212225</v>
      </c>
      <c r="U278">
        <f t="shared" si="124"/>
        <v>303670</v>
      </c>
      <c r="V278" s="3">
        <f t="shared" si="127"/>
        <v>11634875</v>
      </c>
      <c r="W278">
        <f t="shared" si="128"/>
        <v>480624</v>
      </c>
      <c r="Y278">
        <f t="shared" si="100"/>
        <v>1272</v>
      </c>
    </row>
    <row r="279" spans="1:25" x14ac:dyDescent="0.15">
      <c r="A279" s="4">
        <v>276</v>
      </c>
      <c r="B279" s="1">
        <v>17038320</v>
      </c>
      <c r="C279" s="3">
        <v>2414003</v>
      </c>
      <c r="D279">
        <v>1487644</v>
      </c>
      <c r="E279" s="3">
        <f>INT(SUM(C$4:C278)*$K$2)</f>
        <v>165062859</v>
      </c>
      <c r="F279" s="3">
        <v>0</v>
      </c>
      <c r="G279" s="3">
        <v>0</v>
      </c>
      <c r="H279" s="3">
        <v>0</v>
      </c>
      <c r="I279" s="3">
        <v>0</v>
      </c>
      <c r="J279" s="3"/>
      <c r="K279" s="3"/>
      <c r="L279">
        <v>5.5</v>
      </c>
      <c r="M279">
        <f t="shared" si="121"/>
        <v>77</v>
      </c>
      <c r="N279" s="4">
        <f t="shared" si="129"/>
        <v>7617126</v>
      </c>
      <c r="O279" s="3">
        <f t="shared" si="126"/>
        <v>14246750</v>
      </c>
      <c r="P279" s="4">
        <f t="shared" si="119"/>
        <v>6629624</v>
      </c>
      <c r="R279">
        <f t="shared" si="103"/>
        <v>276000</v>
      </c>
      <c r="S279" s="3">
        <f t="shared" si="122"/>
        <v>276000</v>
      </c>
      <c r="T279" s="3">
        <f t="shared" si="123"/>
        <v>213326</v>
      </c>
      <c r="U279">
        <f t="shared" si="124"/>
        <v>304881</v>
      </c>
      <c r="V279" s="3">
        <f t="shared" si="127"/>
        <v>11719652</v>
      </c>
      <c r="W279">
        <f t="shared" si="128"/>
        <v>488208</v>
      </c>
      <c r="Y279">
        <f t="shared" ref="Y279" si="136">240+FLOOR((A279-21)/5,1)*144</f>
        <v>7584</v>
      </c>
    </row>
    <row r="280" spans="1:25" x14ac:dyDescent="0.15">
      <c r="A280" s="4">
        <v>277</v>
      </c>
      <c r="B280" s="1">
        <v>17216864</v>
      </c>
      <c r="C280" s="3">
        <v>2440068</v>
      </c>
      <c r="D280">
        <v>1503233</v>
      </c>
      <c r="E280" s="3">
        <f>INT(SUM(C$4:C279)*$K$2)</f>
        <v>167476862</v>
      </c>
      <c r="F280" s="3">
        <v>0</v>
      </c>
      <c r="G280" s="3">
        <v>0</v>
      </c>
      <c r="H280" s="3">
        <v>0</v>
      </c>
      <c r="I280" s="3">
        <v>0</v>
      </c>
      <c r="J280" s="3"/>
      <c r="K280" s="3"/>
      <c r="L280">
        <v>5.5</v>
      </c>
      <c r="M280">
        <f t="shared" si="121"/>
        <v>77</v>
      </c>
      <c r="N280" s="4">
        <f t="shared" si="129"/>
        <v>7672425</v>
      </c>
      <c r="O280" s="3">
        <f t="shared" si="126"/>
        <v>14401320</v>
      </c>
      <c r="P280" s="4">
        <f t="shared" si="119"/>
        <v>6728895</v>
      </c>
      <c r="R280">
        <f t="shared" si="103"/>
        <v>277000</v>
      </c>
      <c r="S280" s="3">
        <f t="shared" si="122"/>
        <v>277000</v>
      </c>
      <c r="T280" s="3">
        <f t="shared" si="123"/>
        <v>214431</v>
      </c>
      <c r="U280">
        <f t="shared" si="124"/>
        <v>306096</v>
      </c>
      <c r="V280" s="3">
        <f t="shared" si="127"/>
        <v>11804737</v>
      </c>
      <c r="W280">
        <f t="shared" si="128"/>
        <v>489504</v>
      </c>
      <c r="Y280">
        <f t="shared" ref="Y280" si="137">72+FLOOR((A280-21)/5,1)*24</f>
        <v>1296</v>
      </c>
    </row>
    <row r="281" spans="1:25" x14ac:dyDescent="0.15">
      <c r="A281" s="4">
        <v>278</v>
      </c>
      <c r="B281" s="1">
        <v>17406927</v>
      </c>
      <c r="C281" s="3">
        <v>2467814</v>
      </c>
      <c r="D281">
        <v>1519828</v>
      </c>
      <c r="E281" s="3">
        <f>INT(SUM(C$4:C280)*$K$2)</f>
        <v>169916930</v>
      </c>
      <c r="F281" s="3">
        <v>0</v>
      </c>
      <c r="G281" s="3">
        <v>0</v>
      </c>
      <c r="H281" s="3">
        <v>0</v>
      </c>
      <c r="I281" s="3">
        <v>0</v>
      </c>
      <c r="J281" s="3"/>
      <c r="K281" s="3"/>
      <c r="L281">
        <v>5.5</v>
      </c>
      <c r="M281">
        <f t="shared" si="121"/>
        <v>77</v>
      </c>
      <c r="N281" s="4">
        <f t="shared" si="129"/>
        <v>7727924</v>
      </c>
      <c r="O281" s="3">
        <f t="shared" si="126"/>
        <v>14557004</v>
      </c>
      <c r="P281" s="4">
        <f t="shared" si="119"/>
        <v>6829080</v>
      </c>
      <c r="R281">
        <f t="shared" si="103"/>
        <v>278000</v>
      </c>
      <c r="S281" s="3">
        <f t="shared" si="122"/>
        <v>278000</v>
      </c>
      <c r="T281" s="3">
        <f t="shared" si="123"/>
        <v>215540</v>
      </c>
      <c r="U281">
        <f t="shared" si="124"/>
        <v>307315</v>
      </c>
      <c r="V281" s="3">
        <f t="shared" si="127"/>
        <v>11890130</v>
      </c>
      <c r="W281">
        <f t="shared" si="128"/>
        <v>490800</v>
      </c>
      <c r="Y281">
        <f t="shared" si="102"/>
        <v>1296</v>
      </c>
    </row>
    <row r="282" spans="1:25" x14ac:dyDescent="0.15">
      <c r="A282" s="4">
        <v>279</v>
      </c>
      <c r="B282" s="1">
        <v>17608509</v>
      </c>
      <c r="C282" s="3">
        <v>2497243</v>
      </c>
      <c r="D282">
        <v>1537428</v>
      </c>
      <c r="E282" s="3">
        <f>INT(SUM(C$4:C281)*$K$2)</f>
        <v>172384744</v>
      </c>
      <c r="F282" s="3">
        <v>0</v>
      </c>
      <c r="G282" s="3">
        <v>0</v>
      </c>
      <c r="H282" s="3">
        <v>0</v>
      </c>
      <c r="I282" s="3">
        <v>0</v>
      </c>
      <c r="J282" s="3"/>
      <c r="K282" s="3"/>
      <c r="L282">
        <v>5.5</v>
      </c>
      <c r="M282">
        <f t="shared" si="121"/>
        <v>77</v>
      </c>
      <c r="N282" s="4">
        <f t="shared" si="129"/>
        <v>7783623</v>
      </c>
      <c r="O282" s="3">
        <f t="shared" si="126"/>
        <v>14713806</v>
      </c>
      <c r="P282" s="4">
        <f t="shared" si="119"/>
        <v>6930183</v>
      </c>
      <c r="R282">
        <f t="shared" si="103"/>
        <v>279000</v>
      </c>
      <c r="S282" s="3">
        <f t="shared" si="122"/>
        <v>279000</v>
      </c>
      <c r="T282" s="3">
        <f t="shared" si="123"/>
        <v>216653</v>
      </c>
      <c r="U282">
        <f t="shared" si="124"/>
        <v>308538</v>
      </c>
      <c r="V282" s="3">
        <f t="shared" si="127"/>
        <v>11975831</v>
      </c>
      <c r="W282">
        <f t="shared" si="128"/>
        <v>492096</v>
      </c>
      <c r="Y282">
        <f t="shared" si="102"/>
        <v>1296</v>
      </c>
    </row>
    <row r="283" spans="1:25" x14ac:dyDescent="0.15">
      <c r="A283" s="4">
        <v>280</v>
      </c>
      <c r="B283" s="1">
        <v>17821610</v>
      </c>
      <c r="C283" s="3">
        <v>2528352</v>
      </c>
      <c r="D283">
        <v>1556035</v>
      </c>
      <c r="E283" s="3">
        <f>INT(SUM(C$4:C282)*$K$2)</f>
        <v>174881987</v>
      </c>
      <c r="F283" s="3">
        <v>0</v>
      </c>
      <c r="G283" s="3">
        <v>0</v>
      </c>
      <c r="H283" s="3">
        <v>0</v>
      </c>
      <c r="I283" s="3">
        <v>0</v>
      </c>
      <c r="J283" s="3"/>
      <c r="K283" s="3"/>
      <c r="L283">
        <v>5.5</v>
      </c>
      <c r="M283">
        <f t="shared" si="121"/>
        <v>82.5</v>
      </c>
      <c r="N283" s="4">
        <f t="shared" si="129"/>
        <v>7839522</v>
      </c>
      <c r="O283" s="3">
        <f t="shared" si="126"/>
        <v>14871730</v>
      </c>
      <c r="P283" s="4">
        <f t="shared" si="119"/>
        <v>7032208</v>
      </c>
      <c r="R283">
        <f t="shared" si="103"/>
        <v>280000</v>
      </c>
      <c r="S283" s="3">
        <f t="shared" si="122"/>
        <v>280000</v>
      </c>
      <c r="T283" s="3">
        <f t="shared" si="123"/>
        <v>217770</v>
      </c>
      <c r="U283">
        <f t="shared" si="124"/>
        <v>310324</v>
      </c>
      <c r="V283" s="3">
        <f t="shared" si="127"/>
        <v>12924150</v>
      </c>
      <c r="W283">
        <f t="shared" si="128"/>
        <v>493392</v>
      </c>
      <c r="Y283">
        <f t="shared" si="102"/>
        <v>1296</v>
      </c>
    </row>
    <row r="284" spans="1:25" x14ac:dyDescent="0.15">
      <c r="A284" s="4">
        <v>281</v>
      </c>
      <c r="B284" s="1">
        <v>18890906</v>
      </c>
      <c r="C284" s="3">
        <v>2680053</v>
      </c>
      <c r="D284">
        <v>1649397</v>
      </c>
      <c r="E284" s="3">
        <f>INT(SUM(C$4:C283)*$K$2)</f>
        <v>177410339</v>
      </c>
      <c r="F284" s="3">
        <v>0</v>
      </c>
      <c r="G284" s="3">
        <v>0</v>
      </c>
      <c r="H284" s="3">
        <v>0</v>
      </c>
      <c r="I284" s="3">
        <v>0</v>
      </c>
      <c r="J284" s="3"/>
      <c r="K284" s="3"/>
      <c r="L284">
        <v>5.5</v>
      </c>
      <c r="M284">
        <f t="shared" si="121"/>
        <v>82.5</v>
      </c>
      <c r="N284" s="4">
        <f t="shared" si="129"/>
        <v>7895621</v>
      </c>
      <c r="O284" s="3">
        <f t="shared" si="126"/>
        <v>15030780</v>
      </c>
      <c r="P284" s="4">
        <f t="shared" si="119"/>
        <v>7135159</v>
      </c>
      <c r="R284">
        <f t="shared" si="103"/>
        <v>281000</v>
      </c>
      <c r="S284" s="3">
        <f t="shared" si="122"/>
        <v>281000</v>
      </c>
      <c r="T284" s="3">
        <f t="shared" si="123"/>
        <v>222441</v>
      </c>
      <c r="U284">
        <f t="shared" si="124"/>
        <v>318657</v>
      </c>
      <c r="V284" s="3">
        <f t="shared" si="127"/>
        <v>13016632</v>
      </c>
      <c r="W284">
        <f t="shared" si="128"/>
        <v>501120</v>
      </c>
      <c r="Y284">
        <f t="shared" ref="Y284" si="138">240+FLOOR((A284-21)/5,1)*144</f>
        <v>7728</v>
      </c>
    </row>
    <row r="285" spans="1:25" x14ac:dyDescent="0.15">
      <c r="A285" s="4">
        <v>282</v>
      </c>
      <c r="B285" s="1">
        <v>18897818</v>
      </c>
      <c r="C285" s="3">
        <v>2681035</v>
      </c>
      <c r="D285">
        <v>1650000</v>
      </c>
      <c r="E285" s="3">
        <f>INT(SUM(C$4:C284)*$K$2)</f>
        <v>180090392</v>
      </c>
      <c r="F285" s="3">
        <v>0</v>
      </c>
      <c r="G285" s="3">
        <v>0</v>
      </c>
      <c r="H285" s="3">
        <v>0</v>
      </c>
      <c r="I285" s="3">
        <v>0</v>
      </c>
      <c r="J285" s="3"/>
      <c r="K285" s="3"/>
      <c r="L285">
        <v>5.5</v>
      </c>
      <c r="M285">
        <f t="shared" si="121"/>
        <v>82.5</v>
      </c>
      <c r="N285" s="4">
        <f t="shared" si="129"/>
        <v>7951920</v>
      </c>
      <c r="O285" s="3">
        <f t="shared" si="126"/>
        <v>15190960</v>
      </c>
      <c r="P285" s="4">
        <f t="shared" si="119"/>
        <v>7239040</v>
      </c>
      <c r="R285">
        <f t="shared" ref="R285:R303" si="139">A285*1000</f>
        <v>282000</v>
      </c>
      <c r="S285" s="3">
        <f t="shared" si="122"/>
        <v>282000</v>
      </c>
      <c r="T285" s="3">
        <f t="shared" si="123"/>
        <v>223566</v>
      </c>
      <c r="U285">
        <f t="shared" si="124"/>
        <v>319894</v>
      </c>
      <c r="V285" s="3">
        <f t="shared" si="127"/>
        <v>13109445</v>
      </c>
      <c r="W285">
        <f t="shared" si="128"/>
        <v>502440</v>
      </c>
      <c r="Y285">
        <f t="shared" ref="Y285:Y288" si="140">72+FLOOR((A285-21)/5,1)*24</f>
        <v>1320</v>
      </c>
    </row>
    <row r="286" spans="1:25" x14ac:dyDescent="0.15">
      <c r="A286" s="4">
        <v>283</v>
      </c>
      <c r="B286" s="1">
        <v>18918552</v>
      </c>
      <c r="C286" s="3">
        <v>2683981</v>
      </c>
      <c r="D286">
        <v>1651810</v>
      </c>
      <c r="E286" s="3">
        <f>INT(SUM(C$4:C285)*$K$2)</f>
        <v>182771427</v>
      </c>
      <c r="F286" s="3">
        <v>0</v>
      </c>
      <c r="G286" s="3">
        <v>0</v>
      </c>
      <c r="H286" s="3">
        <v>0</v>
      </c>
      <c r="I286" s="3">
        <v>0</v>
      </c>
      <c r="J286" s="3"/>
      <c r="K286" s="3"/>
      <c r="L286">
        <v>5.5</v>
      </c>
      <c r="M286">
        <f t="shared" si="121"/>
        <v>82.5</v>
      </c>
      <c r="N286" s="4">
        <f t="shared" si="129"/>
        <v>8008419</v>
      </c>
      <c r="O286" s="3">
        <f t="shared" si="126"/>
        <v>15352274</v>
      </c>
      <c r="P286" s="4">
        <f t="shared" si="119"/>
        <v>7343855</v>
      </c>
      <c r="R286">
        <f t="shared" si="139"/>
        <v>283000</v>
      </c>
      <c r="S286" s="3">
        <f t="shared" si="122"/>
        <v>283000</v>
      </c>
      <c r="T286" s="3">
        <f t="shared" si="123"/>
        <v>224695</v>
      </c>
      <c r="U286">
        <f t="shared" si="124"/>
        <v>321135</v>
      </c>
      <c r="V286" s="3">
        <f t="shared" si="127"/>
        <v>13202587</v>
      </c>
      <c r="W286">
        <f t="shared" si="128"/>
        <v>503760</v>
      </c>
      <c r="Y286">
        <f t="shared" si="140"/>
        <v>1320</v>
      </c>
    </row>
    <row r="287" spans="1:25" x14ac:dyDescent="0.15">
      <c r="A287" s="4">
        <v>284</v>
      </c>
      <c r="B287" s="1">
        <v>18953109</v>
      </c>
      <c r="C287" s="3">
        <v>2688892</v>
      </c>
      <c r="D287">
        <v>1654828</v>
      </c>
      <c r="E287" s="3">
        <f>INT(SUM(C$4:C286)*$K$2)</f>
        <v>185455408</v>
      </c>
      <c r="F287" s="3">
        <v>0</v>
      </c>
      <c r="G287" s="3">
        <v>0</v>
      </c>
      <c r="H287" s="3">
        <v>0</v>
      </c>
      <c r="I287" s="3">
        <v>0</v>
      </c>
      <c r="J287" s="3"/>
      <c r="K287" s="3"/>
      <c r="L287">
        <v>5.5</v>
      </c>
      <c r="M287">
        <f t="shared" si="121"/>
        <v>82.5</v>
      </c>
      <c r="N287" s="4">
        <f t="shared" si="129"/>
        <v>8065118</v>
      </c>
      <c r="O287" s="3">
        <f t="shared" si="126"/>
        <v>15514726</v>
      </c>
      <c r="P287" s="4">
        <f t="shared" si="119"/>
        <v>7449608</v>
      </c>
      <c r="R287">
        <f t="shared" si="139"/>
        <v>284000</v>
      </c>
      <c r="S287" s="3">
        <f t="shared" si="122"/>
        <v>284000</v>
      </c>
      <c r="T287" s="3">
        <f t="shared" si="123"/>
        <v>225828</v>
      </c>
      <c r="U287">
        <f t="shared" si="124"/>
        <v>322380</v>
      </c>
      <c r="V287" s="3">
        <f t="shared" si="127"/>
        <v>13296060</v>
      </c>
      <c r="W287">
        <f t="shared" si="128"/>
        <v>505080</v>
      </c>
      <c r="Y287">
        <f t="shared" si="140"/>
        <v>1320</v>
      </c>
    </row>
    <row r="288" spans="1:25" x14ac:dyDescent="0.15">
      <c r="A288" s="4">
        <v>285</v>
      </c>
      <c r="B288" s="1">
        <v>19001489</v>
      </c>
      <c r="C288" s="3">
        <v>2695767</v>
      </c>
      <c r="D288">
        <v>1659052</v>
      </c>
      <c r="E288" s="3">
        <f>INT(SUM(C$4:C287)*$K$2)</f>
        <v>188144300</v>
      </c>
      <c r="F288" s="3">
        <v>0</v>
      </c>
      <c r="G288" s="3">
        <v>0</v>
      </c>
      <c r="H288" s="3">
        <v>0</v>
      </c>
      <c r="I288" s="3">
        <v>0</v>
      </c>
      <c r="J288" s="3"/>
      <c r="K288" s="3"/>
      <c r="L288">
        <v>6</v>
      </c>
      <c r="M288">
        <f t="shared" si="121"/>
        <v>90</v>
      </c>
      <c r="N288" s="4">
        <f t="shared" si="129"/>
        <v>8122017</v>
      </c>
      <c r="O288" s="3">
        <f t="shared" si="126"/>
        <v>15678320</v>
      </c>
      <c r="P288" s="4">
        <f t="shared" si="119"/>
        <v>7556303</v>
      </c>
      <c r="R288">
        <f t="shared" si="139"/>
        <v>285000</v>
      </c>
      <c r="S288" s="3">
        <f t="shared" si="122"/>
        <v>285000</v>
      </c>
      <c r="T288" s="3">
        <f t="shared" si="123"/>
        <v>226965</v>
      </c>
      <c r="U288">
        <f t="shared" si="124"/>
        <v>324198</v>
      </c>
      <c r="V288" s="3">
        <f t="shared" si="127"/>
        <v>14606100</v>
      </c>
      <c r="W288">
        <f t="shared" si="128"/>
        <v>506400</v>
      </c>
      <c r="Y288">
        <f t="shared" si="140"/>
        <v>1320</v>
      </c>
    </row>
    <row r="289" spans="1:25" x14ac:dyDescent="0.15">
      <c r="A289" s="4">
        <v>286</v>
      </c>
      <c r="B289" s="1">
        <v>19063692</v>
      </c>
      <c r="C289" s="3">
        <v>2704606</v>
      </c>
      <c r="D289">
        <v>1664483</v>
      </c>
      <c r="E289" s="3">
        <f>INT(SUM(C$4:C288)*$K$2)</f>
        <v>190840067</v>
      </c>
      <c r="F289" s="3">
        <v>0</v>
      </c>
      <c r="G289" s="3">
        <v>0</v>
      </c>
      <c r="H289" s="3">
        <v>0</v>
      </c>
      <c r="I289" s="3">
        <v>0</v>
      </c>
      <c r="J289" s="3"/>
      <c r="K289" s="3"/>
      <c r="L289">
        <v>6</v>
      </c>
      <c r="M289">
        <f t="shared" si="121"/>
        <v>90</v>
      </c>
      <c r="N289" s="4">
        <f t="shared" si="129"/>
        <v>8179116</v>
      </c>
      <c r="O289" s="3">
        <f t="shared" si="126"/>
        <v>15843060</v>
      </c>
      <c r="P289" s="4">
        <f t="shared" si="119"/>
        <v>7663944</v>
      </c>
      <c r="R289">
        <f t="shared" si="139"/>
        <v>286000</v>
      </c>
      <c r="S289" s="3">
        <f t="shared" si="122"/>
        <v>286000</v>
      </c>
      <c r="T289" s="3">
        <f t="shared" si="123"/>
        <v>228106</v>
      </c>
      <c r="U289">
        <f t="shared" si="124"/>
        <v>325453</v>
      </c>
      <c r="V289" s="3">
        <f t="shared" si="127"/>
        <v>14708790</v>
      </c>
      <c r="W289">
        <f t="shared" si="128"/>
        <v>514272</v>
      </c>
      <c r="Y289">
        <f t="shared" ref="Y289" si="141">240+FLOOR((A289-21)/5,1)*144</f>
        <v>7872</v>
      </c>
    </row>
    <row r="290" spans="1:25" x14ac:dyDescent="0.15">
      <c r="A290" s="4">
        <v>287</v>
      </c>
      <c r="B290" s="1">
        <v>19139717</v>
      </c>
      <c r="C290" s="3">
        <v>2715410</v>
      </c>
      <c r="D290">
        <v>1671121</v>
      </c>
      <c r="E290" s="3">
        <f>INT(SUM(C$4:C289)*$K$2)</f>
        <v>193544673</v>
      </c>
      <c r="F290" s="3">
        <v>0</v>
      </c>
      <c r="G290" s="3">
        <v>0</v>
      </c>
      <c r="H290" s="3">
        <v>0</v>
      </c>
      <c r="I290" s="3">
        <v>0</v>
      </c>
      <c r="J290" s="3"/>
      <c r="K290" s="3"/>
      <c r="L290">
        <v>6</v>
      </c>
      <c r="M290">
        <f t="shared" si="121"/>
        <v>90</v>
      </c>
      <c r="N290" s="4">
        <f t="shared" si="129"/>
        <v>8236415</v>
      </c>
      <c r="O290" s="3">
        <f t="shared" si="126"/>
        <v>16008950</v>
      </c>
      <c r="P290" s="4">
        <f t="shared" si="119"/>
        <v>7772535</v>
      </c>
      <c r="R290">
        <f t="shared" si="139"/>
        <v>287000</v>
      </c>
      <c r="S290" s="3">
        <f t="shared" si="122"/>
        <v>287000</v>
      </c>
      <c r="T290" s="3">
        <f t="shared" si="123"/>
        <v>229251</v>
      </c>
      <c r="U290">
        <f t="shared" si="124"/>
        <v>326712</v>
      </c>
      <c r="V290" s="3">
        <f t="shared" si="127"/>
        <v>14811840</v>
      </c>
      <c r="W290">
        <f t="shared" si="128"/>
        <v>515616</v>
      </c>
      <c r="Y290">
        <f t="shared" ref="Y290:Y293" si="142">72+FLOOR((A290-21)/5,1)*24</f>
        <v>1344</v>
      </c>
    </row>
    <row r="291" spans="1:25" x14ac:dyDescent="0.15">
      <c r="A291" s="4">
        <v>288</v>
      </c>
      <c r="B291" s="1">
        <v>19229566</v>
      </c>
      <c r="C291" s="3">
        <v>2728177</v>
      </c>
      <c r="D291">
        <v>1678966</v>
      </c>
      <c r="E291" s="3">
        <f>INT(SUM(C$4:C290)*$K$2)</f>
        <v>196260083</v>
      </c>
      <c r="F291" s="3">
        <v>0</v>
      </c>
      <c r="G291" s="3">
        <v>0</v>
      </c>
      <c r="H291" s="3">
        <v>0</v>
      </c>
      <c r="I291" s="3">
        <v>0</v>
      </c>
      <c r="J291" s="3"/>
      <c r="K291" s="3"/>
      <c r="L291">
        <v>6</v>
      </c>
      <c r="M291">
        <f t="shared" si="121"/>
        <v>90</v>
      </c>
      <c r="N291" s="4">
        <f t="shared" si="129"/>
        <v>8293914</v>
      </c>
      <c r="O291" s="3">
        <f t="shared" si="126"/>
        <v>16175994</v>
      </c>
      <c r="P291" s="4">
        <f t="shared" si="119"/>
        <v>7882080</v>
      </c>
      <c r="R291">
        <f t="shared" si="139"/>
        <v>288000</v>
      </c>
      <c r="S291" s="3">
        <f t="shared" si="122"/>
        <v>288000</v>
      </c>
      <c r="T291" s="3">
        <f t="shared" si="123"/>
        <v>230400</v>
      </c>
      <c r="U291">
        <f t="shared" si="124"/>
        <v>327975</v>
      </c>
      <c r="V291" s="3">
        <f t="shared" si="127"/>
        <v>14915250</v>
      </c>
      <c r="W291">
        <f t="shared" si="128"/>
        <v>516960</v>
      </c>
      <c r="Y291">
        <f t="shared" si="142"/>
        <v>1344</v>
      </c>
    </row>
    <row r="292" spans="1:25" x14ac:dyDescent="0.15">
      <c r="A292" s="4">
        <v>289</v>
      </c>
      <c r="B292" s="1">
        <v>19333237</v>
      </c>
      <c r="C292" s="3">
        <v>2742909</v>
      </c>
      <c r="D292">
        <v>1688017</v>
      </c>
      <c r="E292" s="3">
        <f>INT(SUM(C$4:C291)*$K$2)</f>
        <v>198988260</v>
      </c>
      <c r="F292" s="3">
        <v>0</v>
      </c>
      <c r="G292" s="3">
        <v>0</v>
      </c>
      <c r="H292" s="3">
        <v>0</v>
      </c>
      <c r="I292" s="3">
        <v>0</v>
      </c>
      <c r="J292" s="3"/>
      <c r="K292" s="3"/>
      <c r="L292">
        <v>6</v>
      </c>
      <c r="M292">
        <f t="shared" si="121"/>
        <v>90</v>
      </c>
      <c r="N292" s="4">
        <f t="shared" si="129"/>
        <v>8351613</v>
      </c>
      <c r="O292" s="3">
        <f t="shared" si="126"/>
        <v>16344196</v>
      </c>
      <c r="P292" s="4">
        <f t="shared" si="119"/>
        <v>7992583</v>
      </c>
      <c r="R292">
        <f t="shared" si="139"/>
        <v>289000</v>
      </c>
      <c r="S292" s="3">
        <f t="shared" si="122"/>
        <v>289000</v>
      </c>
      <c r="T292" s="3">
        <f t="shared" si="123"/>
        <v>235203</v>
      </c>
      <c r="U292">
        <f t="shared" si="124"/>
        <v>336542</v>
      </c>
      <c r="V292" s="3">
        <f t="shared" si="127"/>
        <v>15019020</v>
      </c>
      <c r="W292">
        <f t="shared" si="128"/>
        <v>518304</v>
      </c>
      <c r="Y292">
        <f t="shared" si="142"/>
        <v>1344</v>
      </c>
    </row>
    <row r="293" spans="1:25" x14ac:dyDescent="0.15">
      <c r="A293" s="4">
        <v>290</v>
      </c>
      <c r="B293" s="1">
        <v>19450732</v>
      </c>
      <c r="C293" s="3">
        <v>2759606</v>
      </c>
      <c r="D293">
        <v>1698276</v>
      </c>
      <c r="E293" s="3">
        <f>INT(SUM(C$4:C292)*$K$2)</f>
        <v>201731169</v>
      </c>
      <c r="F293" s="3">
        <v>0</v>
      </c>
      <c r="G293" s="3">
        <v>0</v>
      </c>
      <c r="H293" s="3">
        <v>0</v>
      </c>
      <c r="I293" s="3">
        <v>0</v>
      </c>
      <c r="J293" s="3"/>
      <c r="K293" s="3"/>
      <c r="L293">
        <v>6</v>
      </c>
      <c r="M293">
        <f t="shared" si="121"/>
        <v>90</v>
      </c>
      <c r="N293" s="4">
        <f t="shared" si="129"/>
        <v>8409512</v>
      </c>
      <c r="O293" s="3">
        <f t="shared" si="126"/>
        <v>16513560</v>
      </c>
      <c r="P293" s="4">
        <f t="shared" si="119"/>
        <v>8104048</v>
      </c>
      <c r="R293">
        <f t="shared" si="139"/>
        <v>290000</v>
      </c>
      <c r="S293" s="3">
        <f t="shared" si="122"/>
        <v>290000</v>
      </c>
      <c r="T293" s="3">
        <f t="shared" si="123"/>
        <v>236360</v>
      </c>
      <c r="U293">
        <f t="shared" si="124"/>
        <v>338392</v>
      </c>
      <c r="V293" s="3">
        <f t="shared" si="127"/>
        <v>15123150</v>
      </c>
      <c r="W293">
        <f t="shared" si="128"/>
        <v>519648</v>
      </c>
      <c r="Y293">
        <f t="shared" si="142"/>
        <v>1344</v>
      </c>
    </row>
    <row r="294" spans="1:25" x14ac:dyDescent="0.15">
      <c r="A294" s="4">
        <v>291</v>
      </c>
      <c r="B294" s="1">
        <v>19582049</v>
      </c>
      <c r="C294" s="3">
        <v>2778266</v>
      </c>
      <c r="D294">
        <v>1709741</v>
      </c>
      <c r="E294" s="3">
        <f>INT(SUM(C$4:C293)*$K$2)</f>
        <v>204490775</v>
      </c>
      <c r="F294" s="3">
        <v>0</v>
      </c>
      <c r="G294" s="3">
        <v>0</v>
      </c>
      <c r="H294" s="3">
        <v>0</v>
      </c>
      <c r="I294" s="3">
        <v>0</v>
      </c>
      <c r="J294" s="3"/>
      <c r="K294" s="3"/>
      <c r="L294">
        <v>6</v>
      </c>
      <c r="M294">
        <f t="shared" si="121"/>
        <v>90</v>
      </c>
      <c r="N294" s="4">
        <f t="shared" si="129"/>
        <v>8467611</v>
      </c>
      <c r="O294" s="3">
        <f t="shared" si="126"/>
        <v>16684090</v>
      </c>
      <c r="P294" s="4">
        <f t="shared" si="119"/>
        <v>8216479</v>
      </c>
      <c r="R294">
        <f t="shared" si="139"/>
        <v>291000</v>
      </c>
      <c r="S294" s="3">
        <f t="shared" si="122"/>
        <v>291000</v>
      </c>
      <c r="T294" s="3">
        <f t="shared" si="123"/>
        <v>237521</v>
      </c>
      <c r="U294">
        <f t="shared" si="124"/>
        <v>339669</v>
      </c>
      <c r="V294" s="3">
        <f t="shared" si="127"/>
        <v>15227640</v>
      </c>
      <c r="W294">
        <f t="shared" si="128"/>
        <v>527664</v>
      </c>
      <c r="Y294">
        <f t="shared" ref="Y294" si="143">240+FLOOR((A294-21)/5,1)*144</f>
        <v>8016</v>
      </c>
    </row>
    <row r="295" spans="1:25" x14ac:dyDescent="0.15">
      <c r="A295" s="4">
        <v>292</v>
      </c>
      <c r="B295" s="1">
        <v>19727189</v>
      </c>
      <c r="C295" s="3">
        <v>2798891</v>
      </c>
      <c r="D295">
        <v>1722414</v>
      </c>
      <c r="E295" s="3">
        <f>INT(SUM(C$4:C294)*$K$2)</f>
        <v>207269041</v>
      </c>
      <c r="F295" s="3">
        <v>0</v>
      </c>
      <c r="G295" s="3">
        <v>0</v>
      </c>
      <c r="H295" s="3">
        <v>0</v>
      </c>
      <c r="I295" s="3">
        <v>0</v>
      </c>
      <c r="J295" s="3"/>
      <c r="K295" s="3"/>
      <c r="L295">
        <v>6</v>
      </c>
      <c r="M295">
        <f t="shared" si="121"/>
        <v>90</v>
      </c>
      <c r="N295" s="4">
        <f t="shared" si="129"/>
        <v>8525910</v>
      </c>
      <c r="O295" s="3">
        <f t="shared" si="126"/>
        <v>16855790</v>
      </c>
      <c r="P295" s="4">
        <f t="shared" si="119"/>
        <v>8329880</v>
      </c>
      <c r="R295">
        <f t="shared" si="139"/>
        <v>292000</v>
      </c>
      <c r="S295" s="3">
        <f t="shared" si="122"/>
        <v>292000</v>
      </c>
      <c r="T295" s="3">
        <f t="shared" si="123"/>
        <v>238686</v>
      </c>
      <c r="U295">
        <f t="shared" si="124"/>
        <v>340950</v>
      </c>
      <c r="V295" s="3">
        <f t="shared" si="127"/>
        <v>15332490</v>
      </c>
      <c r="W295">
        <f t="shared" si="128"/>
        <v>529032</v>
      </c>
      <c r="Y295">
        <f t="shared" ref="Y295:Y298" si="144">72+FLOOR((A295-21)/5,1)*24</f>
        <v>1368</v>
      </c>
    </row>
    <row r="296" spans="1:25" x14ac:dyDescent="0.15">
      <c r="A296" s="4">
        <v>293</v>
      </c>
      <c r="B296" s="1">
        <v>19886152</v>
      </c>
      <c r="C296" s="3">
        <v>2821480</v>
      </c>
      <c r="D296">
        <v>1736293</v>
      </c>
      <c r="E296" s="3">
        <f>INT(SUM(C$4:C295)*$K$2)</f>
        <v>210067932</v>
      </c>
      <c r="F296" s="3">
        <v>0</v>
      </c>
      <c r="G296" s="3">
        <v>0</v>
      </c>
      <c r="H296" s="3">
        <v>0</v>
      </c>
      <c r="I296" s="3">
        <v>0</v>
      </c>
      <c r="J296" s="3"/>
      <c r="K296" s="3"/>
      <c r="L296">
        <v>6</v>
      </c>
      <c r="M296">
        <f t="shared" si="121"/>
        <v>90</v>
      </c>
      <c r="N296" s="4">
        <f t="shared" si="129"/>
        <v>8584409</v>
      </c>
      <c r="O296" s="3">
        <f t="shared" si="126"/>
        <v>17028664</v>
      </c>
      <c r="P296" s="4">
        <f t="shared" si="119"/>
        <v>8444255</v>
      </c>
      <c r="R296">
        <f t="shared" si="139"/>
        <v>293000</v>
      </c>
      <c r="S296" s="3">
        <f t="shared" si="122"/>
        <v>293000</v>
      </c>
      <c r="T296" s="3">
        <f t="shared" si="123"/>
        <v>239855</v>
      </c>
      <c r="U296">
        <f t="shared" si="124"/>
        <v>342235</v>
      </c>
      <c r="V296" s="3">
        <f t="shared" si="127"/>
        <v>15437700</v>
      </c>
      <c r="W296">
        <f t="shared" si="128"/>
        <v>530400</v>
      </c>
      <c r="Y296">
        <f t="shared" si="144"/>
        <v>1368</v>
      </c>
    </row>
    <row r="297" spans="1:25" x14ac:dyDescent="0.15">
      <c r="A297" s="4">
        <v>294</v>
      </c>
      <c r="B297" s="1">
        <v>20058937</v>
      </c>
      <c r="C297" s="3">
        <v>2846034</v>
      </c>
      <c r="D297">
        <v>1751379</v>
      </c>
      <c r="E297" s="3">
        <f>INT(SUM(C$4:C296)*$K$2)</f>
        <v>212889412</v>
      </c>
      <c r="F297" s="3">
        <v>0</v>
      </c>
      <c r="G297" s="3">
        <v>0</v>
      </c>
      <c r="H297" s="3">
        <v>0</v>
      </c>
      <c r="I297" s="3">
        <v>0</v>
      </c>
      <c r="J297" s="3"/>
      <c r="K297" s="3"/>
      <c r="L297">
        <v>6</v>
      </c>
      <c r="M297">
        <f t="shared" si="121"/>
        <v>90</v>
      </c>
      <c r="N297" s="4">
        <f t="shared" si="129"/>
        <v>8643108</v>
      </c>
      <c r="O297" s="3">
        <f t="shared" si="126"/>
        <v>17202716</v>
      </c>
      <c r="P297" s="4">
        <f t="shared" si="119"/>
        <v>8559608</v>
      </c>
      <c r="R297">
        <f t="shared" si="139"/>
        <v>294000</v>
      </c>
      <c r="S297" s="3">
        <f t="shared" si="122"/>
        <v>294000</v>
      </c>
      <c r="T297" s="3">
        <f t="shared" si="123"/>
        <v>241028</v>
      </c>
      <c r="U297">
        <f t="shared" si="124"/>
        <v>343524</v>
      </c>
      <c r="V297" s="3">
        <f t="shared" si="127"/>
        <v>15543270</v>
      </c>
      <c r="W297">
        <f t="shared" si="128"/>
        <v>531768</v>
      </c>
      <c r="Y297">
        <f t="shared" si="144"/>
        <v>1368</v>
      </c>
    </row>
    <row r="298" spans="1:25" x14ac:dyDescent="0.15">
      <c r="A298" s="4">
        <v>295</v>
      </c>
      <c r="B298" s="1">
        <v>20245546</v>
      </c>
      <c r="C298" s="3">
        <v>2872551</v>
      </c>
      <c r="D298">
        <v>1767673</v>
      </c>
      <c r="E298" s="3">
        <f>INT(SUM(C$4:C297)*$K$2)</f>
        <v>215735446</v>
      </c>
      <c r="F298" s="3">
        <v>0</v>
      </c>
      <c r="G298" s="3">
        <v>0</v>
      </c>
      <c r="H298" s="3">
        <v>0</v>
      </c>
      <c r="I298" s="3">
        <v>0</v>
      </c>
      <c r="J298" s="3"/>
      <c r="K298" s="3"/>
      <c r="L298">
        <v>6.5</v>
      </c>
      <c r="M298">
        <f t="shared" si="121"/>
        <v>97.5</v>
      </c>
      <c r="N298" s="4">
        <f t="shared" si="129"/>
        <v>8702007</v>
      </c>
      <c r="O298" s="3">
        <f t="shared" si="126"/>
        <v>17377950</v>
      </c>
      <c r="P298" s="4">
        <f t="shared" si="119"/>
        <v>8675943</v>
      </c>
      <c r="R298">
        <f t="shared" si="139"/>
        <v>295000</v>
      </c>
      <c r="S298" s="3">
        <f t="shared" si="122"/>
        <v>295000</v>
      </c>
      <c r="T298" s="3">
        <f t="shared" si="123"/>
        <v>242205</v>
      </c>
      <c r="U298">
        <f t="shared" si="124"/>
        <v>345406</v>
      </c>
      <c r="V298" s="3">
        <f t="shared" si="127"/>
        <v>16952362</v>
      </c>
      <c r="W298">
        <f t="shared" si="128"/>
        <v>533136</v>
      </c>
      <c r="Y298">
        <f t="shared" si="144"/>
        <v>1368</v>
      </c>
    </row>
    <row r="299" spans="1:25" x14ac:dyDescent="0.15">
      <c r="A299" s="4">
        <v>296</v>
      </c>
      <c r="B299" s="1">
        <v>20445977</v>
      </c>
      <c r="C299" s="3">
        <v>2901033</v>
      </c>
      <c r="D299">
        <v>1785173</v>
      </c>
      <c r="E299" s="3">
        <f>INT(SUM(C$4:C298)*$K$2)</f>
        <v>218607997</v>
      </c>
      <c r="F299" s="3">
        <v>0</v>
      </c>
      <c r="G299" s="3">
        <v>0</v>
      </c>
      <c r="H299" s="3">
        <v>0</v>
      </c>
      <c r="I299" s="3">
        <v>0</v>
      </c>
      <c r="J299" s="3"/>
      <c r="K299" s="3"/>
      <c r="L299">
        <v>6.5</v>
      </c>
      <c r="M299">
        <f t="shared" si="121"/>
        <v>97.5</v>
      </c>
      <c r="N299" s="4">
        <f t="shared" si="129"/>
        <v>8761106</v>
      </c>
      <c r="O299" s="3">
        <f t="shared" si="126"/>
        <v>17554370</v>
      </c>
      <c r="P299" s="4">
        <f t="shared" si="119"/>
        <v>8793264</v>
      </c>
      <c r="R299">
        <f t="shared" si="139"/>
        <v>296000</v>
      </c>
      <c r="S299" s="3">
        <f t="shared" si="122"/>
        <v>296000</v>
      </c>
      <c r="T299" s="3">
        <f t="shared" si="123"/>
        <v>243386</v>
      </c>
      <c r="U299">
        <f t="shared" si="124"/>
        <v>346705</v>
      </c>
      <c r="V299" s="3">
        <f t="shared" si="127"/>
        <v>17067510</v>
      </c>
      <c r="W299">
        <f t="shared" si="128"/>
        <v>541296</v>
      </c>
      <c r="Y299">
        <f t="shared" ref="Y299" si="145">240+FLOOR((A299-21)/5,1)*144</f>
        <v>8160</v>
      </c>
    </row>
    <row r="300" spans="1:25" x14ac:dyDescent="0.15">
      <c r="A300" s="4">
        <v>297</v>
      </c>
      <c r="B300" s="1">
        <v>20660231</v>
      </c>
      <c r="C300" s="3">
        <v>2931480</v>
      </c>
      <c r="D300">
        <v>1803879</v>
      </c>
      <c r="E300" s="3">
        <f>INT(SUM(C$4:C299)*$K$2)</f>
        <v>221509030</v>
      </c>
      <c r="F300" s="3">
        <v>0</v>
      </c>
      <c r="G300" s="3">
        <v>0</v>
      </c>
      <c r="H300" s="3">
        <v>0</v>
      </c>
      <c r="I300" s="3">
        <v>0</v>
      </c>
      <c r="J300" s="3"/>
      <c r="K300" s="3"/>
      <c r="L300">
        <v>6.5</v>
      </c>
      <c r="M300">
        <f t="shared" si="121"/>
        <v>97.5</v>
      </c>
      <c r="N300" s="4">
        <f t="shared" si="129"/>
        <v>8820405</v>
      </c>
      <c r="O300" s="3">
        <f t="shared" si="126"/>
        <v>17731980</v>
      </c>
      <c r="P300" s="4">
        <f t="shared" si="119"/>
        <v>8911575</v>
      </c>
      <c r="R300">
        <f t="shared" si="139"/>
        <v>297000</v>
      </c>
      <c r="S300" s="3">
        <f t="shared" si="122"/>
        <v>297000</v>
      </c>
      <c r="T300" s="3">
        <f t="shared" si="123"/>
        <v>248321</v>
      </c>
      <c r="U300">
        <f t="shared" si="124"/>
        <v>355508</v>
      </c>
      <c r="V300" s="3">
        <f t="shared" si="127"/>
        <v>17183047</v>
      </c>
      <c r="W300">
        <f t="shared" si="128"/>
        <v>542688</v>
      </c>
      <c r="Y300">
        <f t="shared" ref="Y300:Y303" si="146">72+FLOOR((A300-21)/5,1)*24</f>
        <v>1392</v>
      </c>
    </row>
    <row r="301" spans="1:25" x14ac:dyDescent="0.15">
      <c r="A301" s="4">
        <v>298</v>
      </c>
      <c r="B301" s="1">
        <v>20888308</v>
      </c>
      <c r="C301" s="3">
        <v>2963890</v>
      </c>
      <c r="D301">
        <v>1823793</v>
      </c>
      <c r="E301" s="3">
        <f>INT(SUM(C$4:C300)*$K$2)</f>
        <v>224440510</v>
      </c>
      <c r="F301" s="3">
        <v>0</v>
      </c>
      <c r="G301" s="3">
        <v>0</v>
      </c>
      <c r="H301" s="3">
        <v>0</v>
      </c>
      <c r="I301" s="3">
        <v>0</v>
      </c>
      <c r="J301" s="3"/>
      <c r="K301" s="3"/>
      <c r="L301">
        <v>6.5</v>
      </c>
      <c r="M301">
        <f t="shared" si="121"/>
        <v>97.5</v>
      </c>
      <c r="N301" s="4">
        <f t="shared" si="129"/>
        <v>8879904</v>
      </c>
      <c r="O301" s="3">
        <f t="shared" si="126"/>
        <v>17910784</v>
      </c>
      <c r="P301" s="4">
        <f t="shared" si="119"/>
        <v>9030880</v>
      </c>
      <c r="R301">
        <f t="shared" si="139"/>
        <v>298000</v>
      </c>
      <c r="S301" s="3">
        <f t="shared" si="122"/>
        <v>298000</v>
      </c>
      <c r="T301" s="3">
        <f t="shared" si="123"/>
        <v>249510</v>
      </c>
      <c r="U301">
        <f t="shared" si="124"/>
        <v>356815</v>
      </c>
      <c r="V301" s="3">
        <f t="shared" si="127"/>
        <v>17298975</v>
      </c>
      <c r="W301">
        <f t="shared" si="128"/>
        <v>544080</v>
      </c>
      <c r="Y301">
        <f t="shared" si="146"/>
        <v>1392</v>
      </c>
    </row>
    <row r="302" spans="1:25" x14ac:dyDescent="0.15">
      <c r="A302" s="4">
        <v>299</v>
      </c>
      <c r="B302" s="1">
        <v>21130208</v>
      </c>
      <c r="C302" s="3">
        <v>2998265</v>
      </c>
      <c r="D302">
        <v>1844914</v>
      </c>
      <c r="E302" s="3">
        <f>INT(SUM(C$4:C301)*$K$2)</f>
        <v>227404400</v>
      </c>
      <c r="F302" s="3">
        <v>0</v>
      </c>
      <c r="G302" s="3">
        <v>0</v>
      </c>
      <c r="H302" s="3">
        <v>0</v>
      </c>
      <c r="I302" s="3">
        <v>0</v>
      </c>
      <c r="J302" s="3"/>
      <c r="K302" s="3"/>
      <c r="L302">
        <v>6.5</v>
      </c>
      <c r="M302">
        <f t="shared" si="121"/>
        <v>97.5</v>
      </c>
      <c r="N302" s="4">
        <f t="shared" si="129"/>
        <v>8939603</v>
      </c>
      <c r="O302" s="3">
        <f t="shared" si="126"/>
        <v>18090786</v>
      </c>
      <c r="P302" s="4">
        <f t="shared" si="119"/>
        <v>9151183</v>
      </c>
      <c r="R302">
        <f t="shared" si="139"/>
        <v>299000</v>
      </c>
      <c r="S302" s="3">
        <f t="shared" si="122"/>
        <v>299000</v>
      </c>
      <c r="T302" s="3">
        <f t="shared" si="123"/>
        <v>250703</v>
      </c>
      <c r="U302">
        <f t="shared" si="124"/>
        <v>358126</v>
      </c>
      <c r="V302" s="3">
        <f t="shared" si="127"/>
        <v>17415292</v>
      </c>
      <c r="W302">
        <f t="shared" si="128"/>
        <v>545472</v>
      </c>
      <c r="Y302">
        <f t="shared" si="146"/>
        <v>1392</v>
      </c>
    </row>
    <row r="303" spans="1:25" x14ac:dyDescent="0.15">
      <c r="A303" s="4">
        <v>300</v>
      </c>
      <c r="B303" s="1">
        <v>21385931</v>
      </c>
      <c r="C303" s="3">
        <v>3034604</v>
      </c>
      <c r="D303">
        <v>1867242</v>
      </c>
      <c r="E303" s="3">
        <f>INT(SUM(C$4:C302)*$K$2)</f>
        <v>230402665</v>
      </c>
      <c r="F303" s="3">
        <v>0</v>
      </c>
      <c r="G303" s="3">
        <v>0</v>
      </c>
      <c r="H303" s="3">
        <v>0</v>
      </c>
      <c r="I303" s="3">
        <v>0</v>
      </c>
      <c r="J303" s="3"/>
      <c r="K303" s="3"/>
      <c r="L303">
        <v>6.5</v>
      </c>
      <c r="M303">
        <f t="shared" si="121"/>
        <v>104</v>
      </c>
      <c r="N303" s="4">
        <f t="shared" si="129"/>
        <v>8999502</v>
      </c>
      <c r="O303" s="3">
        <f t="shared" si="126"/>
        <v>18271990</v>
      </c>
      <c r="P303" s="4">
        <f t="shared" si="119"/>
        <v>9272488</v>
      </c>
      <c r="R303">
        <f t="shared" si="139"/>
        <v>300000</v>
      </c>
      <c r="S303" s="3">
        <f t="shared" si="122"/>
        <v>300000</v>
      </c>
      <c r="T303" s="3">
        <f t="shared" si="123"/>
        <v>251900</v>
      </c>
      <c r="U303">
        <f t="shared" si="124"/>
        <v>360040</v>
      </c>
      <c r="V303" s="3">
        <f t="shared" si="127"/>
        <v>18701600</v>
      </c>
      <c r="W303">
        <f t="shared" si="128"/>
        <v>546864</v>
      </c>
      <c r="Y303">
        <f t="shared" si="146"/>
        <v>1392</v>
      </c>
    </row>
    <row r="304" spans="1:25" x14ac:dyDescent="0.15">
      <c r="A304" s="4">
        <v>301</v>
      </c>
      <c r="B304">
        <v>22241368</v>
      </c>
      <c r="C304" s="3">
        <v>0</v>
      </c>
      <c r="D304">
        <v>0</v>
      </c>
      <c r="E304">
        <v>0</v>
      </c>
      <c r="F304" s="3">
        <v>0</v>
      </c>
      <c r="G304" s="3">
        <v>0</v>
      </c>
      <c r="H304" s="3">
        <v>0</v>
      </c>
      <c r="I304" s="3">
        <v>0</v>
      </c>
    </row>
    <row r="305" spans="1:9" x14ac:dyDescent="0.15">
      <c r="A305" s="4">
        <v>302</v>
      </c>
      <c r="B305">
        <v>22244034</v>
      </c>
      <c r="C305" s="3">
        <v>0</v>
      </c>
      <c r="D305">
        <v>0</v>
      </c>
      <c r="E305">
        <v>0</v>
      </c>
      <c r="F305" s="3">
        <v>0</v>
      </c>
      <c r="G305" s="3">
        <v>0</v>
      </c>
      <c r="H305" s="3">
        <v>0</v>
      </c>
      <c r="I305" s="3">
        <v>0</v>
      </c>
    </row>
    <row r="306" spans="1:9" x14ac:dyDescent="0.15">
      <c r="A306" s="4">
        <v>303</v>
      </c>
      <c r="B306">
        <v>22252031</v>
      </c>
      <c r="C306" s="3">
        <v>0</v>
      </c>
      <c r="D306">
        <v>0</v>
      </c>
      <c r="E306">
        <v>0</v>
      </c>
      <c r="F306" s="3">
        <v>0</v>
      </c>
      <c r="G306" s="3">
        <v>0</v>
      </c>
      <c r="H306" s="3">
        <v>0</v>
      </c>
      <c r="I306" s="3">
        <v>0</v>
      </c>
    </row>
    <row r="307" spans="1:9" x14ac:dyDescent="0.15">
      <c r="A307" s="4">
        <v>304</v>
      </c>
      <c r="B307">
        <v>22265360</v>
      </c>
      <c r="C307" s="3">
        <v>0</v>
      </c>
      <c r="D307">
        <v>0</v>
      </c>
      <c r="E307">
        <v>0</v>
      </c>
      <c r="F307" s="3">
        <v>0</v>
      </c>
      <c r="G307" s="3">
        <v>0</v>
      </c>
      <c r="H307" s="3">
        <v>0</v>
      </c>
      <c r="I307" s="3">
        <v>0</v>
      </c>
    </row>
    <row r="308" spans="1:9" x14ac:dyDescent="0.15">
      <c r="A308" s="4">
        <v>305</v>
      </c>
      <c r="B308">
        <v>22284021</v>
      </c>
      <c r="C308" s="3">
        <v>0</v>
      </c>
      <c r="D308">
        <v>0</v>
      </c>
      <c r="E308">
        <v>0</v>
      </c>
      <c r="F308" s="3">
        <v>0</v>
      </c>
      <c r="G308" s="3">
        <v>0</v>
      </c>
      <c r="H308" s="3">
        <v>0</v>
      </c>
      <c r="I308" s="3">
        <v>0</v>
      </c>
    </row>
    <row r="309" spans="1:9" x14ac:dyDescent="0.15">
      <c r="A309" s="4">
        <v>306</v>
      </c>
      <c r="B309">
        <v>22308014</v>
      </c>
      <c r="C309" s="3">
        <v>0</v>
      </c>
      <c r="D309">
        <v>0</v>
      </c>
      <c r="E309">
        <v>0</v>
      </c>
      <c r="F309" s="3">
        <v>0</v>
      </c>
      <c r="G309" s="3">
        <v>0</v>
      </c>
      <c r="H309" s="3">
        <v>0</v>
      </c>
      <c r="I309" s="3">
        <v>0</v>
      </c>
    </row>
    <row r="310" spans="1:9" x14ac:dyDescent="0.15">
      <c r="A310" s="4">
        <v>307</v>
      </c>
      <c r="B310">
        <v>22337338</v>
      </c>
      <c r="C310" s="3">
        <v>0</v>
      </c>
      <c r="D310">
        <v>0</v>
      </c>
      <c r="E310">
        <v>0</v>
      </c>
      <c r="F310" s="3">
        <v>0</v>
      </c>
      <c r="G310" s="3">
        <v>0</v>
      </c>
      <c r="H310" s="3">
        <v>0</v>
      </c>
      <c r="I310" s="3">
        <v>0</v>
      </c>
    </row>
    <row r="311" spans="1:9" x14ac:dyDescent="0.15">
      <c r="A311" s="4">
        <v>308</v>
      </c>
      <c r="B311">
        <v>22371994</v>
      </c>
      <c r="C311" s="3">
        <v>0</v>
      </c>
      <c r="D311">
        <v>0</v>
      </c>
      <c r="E311">
        <v>0</v>
      </c>
      <c r="F311" s="3">
        <v>0</v>
      </c>
      <c r="G311" s="3">
        <v>0</v>
      </c>
      <c r="H311" s="3">
        <v>0</v>
      </c>
      <c r="I311" s="3">
        <v>0</v>
      </c>
    </row>
    <row r="312" spans="1:9" x14ac:dyDescent="0.15">
      <c r="A312" s="4">
        <v>309</v>
      </c>
      <c r="B312">
        <v>22411981</v>
      </c>
      <c r="C312" s="3">
        <v>0</v>
      </c>
      <c r="D312">
        <v>0</v>
      </c>
      <c r="E312">
        <v>0</v>
      </c>
      <c r="F312" s="3">
        <v>0</v>
      </c>
      <c r="G312" s="3">
        <v>0</v>
      </c>
      <c r="H312" s="3">
        <v>0</v>
      </c>
      <c r="I312" s="3">
        <v>0</v>
      </c>
    </row>
    <row r="313" spans="1:9" x14ac:dyDescent="0.15">
      <c r="A313" s="4">
        <v>310</v>
      </c>
      <c r="B313">
        <v>22457301</v>
      </c>
      <c r="C313" s="3">
        <v>0</v>
      </c>
      <c r="D313">
        <v>0</v>
      </c>
      <c r="E313">
        <v>0</v>
      </c>
      <c r="F313" s="3">
        <v>0</v>
      </c>
      <c r="G313" s="3">
        <v>0</v>
      </c>
      <c r="H313" s="3">
        <v>0</v>
      </c>
      <c r="I313" s="3">
        <v>0</v>
      </c>
    </row>
    <row r="314" spans="1:9" x14ac:dyDescent="0.15">
      <c r="A314" s="4">
        <v>311</v>
      </c>
      <c r="B314">
        <v>22507952</v>
      </c>
      <c r="C314" s="3">
        <v>0</v>
      </c>
      <c r="D314">
        <v>0</v>
      </c>
      <c r="E314">
        <v>0</v>
      </c>
      <c r="F314" s="3">
        <v>0</v>
      </c>
      <c r="G314" s="3">
        <v>0</v>
      </c>
      <c r="H314" s="3">
        <v>0</v>
      </c>
      <c r="I314" s="3">
        <v>0</v>
      </c>
    </row>
    <row r="315" spans="1:9" x14ac:dyDescent="0.15">
      <c r="A315" s="4">
        <v>312</v>
      </c>
      <c r="B315">
        <v>22563934</v>
      </c>
      <c r="C315" s="3">
        <v>0</v>
      </c>
      <c r="D315">
        <v>0</v>
      </c>
      <c r="E315">
        <v>0</v>
      </c>
      <c r="F315" s="3">
        <v>0</v>
      </c>
      <c r="G315" s="3">
        <v>0</v>
      </c>
      <c r="H315" s="3">
        <v>0</v>
      </c>
      <c r="I315" s="3">
        <v>0</v>
      </c>
    </row>
    <row r="316" spans="1:9" x14ac:dyDescent="0.15">
      <c r="A316" s="4">
        <v>313</v>
      </c>
      <c r="B316">
        <v>22625248</v>
      </c>
      <c r="C316" s="3">
        <v>0</v>
      </c>
      <c r="D316">
        <v>0</v>
      </c>
      <c r="E316">
        <v>0</v>
      </c>
      <c r="F316" s="3">
        <v>0</v>
      </c>
      <c r="G316" s="3">
        <v>0</v>
      </c>
      <c r="H316" s="3">
        <v>0</v>
      </c>
      <c r="I316" s="3">
        <v>0</v>
      </c>
    </row>
    <row r="317" spans="1:9" x14ac:dyDescent="0.15">
      <c r="A317" s="4">
        <v>314</v>
      </c>
      <c r="B317">
        <v>22691894</v>
      </c>
      <c r="C317" s="3">
        <v>0</v>
      </c>
      <c r="D317">
        <v>0</v>
      </c>
      <c r="E317">
        <v>0</v>
      </c>
      <c r="F317" s="3">
        <v>0</v>
      </c>
      <c r="G317" s="3">
        <v>0</v>
      </c>
      <c r="H317" s="3">
        <v>0</v>
      </c>
      <c r="I317" s="3">
        <v>0</v>
      </c>
    </row>
    <row r="318" spans="1:9" x14ac:dyDescent="0.15">
      <c r="A318" s="4">
        <v>315</v>
      </c>
      <c r="B318">
        <v>22763872</v>
      </c>
      <c r="C318" s="3">
        <v>0</v>
      </c>
      <c r="D318">
        <v>0</v>
      </c>
      <c r="E318">
        <v>0</v>
      </c>
      <c r="F318" s="3">
        <v>0</v>
      </c>
      <c r="G318" s="3">
        <v>0</v>
      </c>
      <c r="H318" s="3">
        <v>0</v>
      </c>
      <c r="I318" s="3">
        <v>0</v>
      </c>
    </row>
    <row r="319" spans="1:9" x14ac:dyDescent="0.15">
      <c r="A319" s="4">
        <v>316</v>
      </c>
      <c r="B319">
        <v>22841181</v>
      </c>
      <c r="C319" s="3">
        <v>0</v>
      </c>
      <c r="D319">
        <v>0</v>
      </c>
      <c r="E319">
        <v>0</v>
      </c>
      <c r="F319" s="3">
        <v>0</v>
      </c>
      <c r="G319" s="3">
        <v>0</v>
      </c>
      <c r="H319" s="3">
        <v>0</v>
      </c>
      <c r="I319" s="3">
        <v>0</v>
      </c>
    </row>
    <row r="320" spans="1:9" x14ac:dyDescent="0.15">
      <c r="A320" s="4">
        <v>317</v>
      </c>
      <c r="B320">
        <v>22923822</v>
      </c>
      <c r="C320" s="3">
        <v>0</v>
      </c>
      <c r="D320">
        <v>0</v>
      </c>
      <c r="E320">
        <v>0</v>
      </c>
      <c r="F320" s="3">
        <v>0</v>
      </c>
      <c r="G320" s="3">
        <v>0</v>
      </c>
      <c r="H320" s="3">
        <v>0</v>
      </c>
      <c r="I320" s="3">
        <v>0</v>
      </c>
    </row>
    <row r="321" spans="1:9" x14ac:dyDescent="0.15">
      <c r="A321" s="4">
        <v>318</v>
      </c>
      <c r="B321">
        <v>23011795</v>
      </c>
      <c r="C321" s="3">
        <v>0</v>
      </c>
      <c r="D321">
        <v>0</v>
      </c>
      <c r="E321">
        <v>0</v>
      </c>
      <c r="F321" s="3">
        <v>0</v>
      </c>
      <c r="G321" s="3">
        <v>0</v>
      </c>
      <c r="H321" s="3">
        <v>0</v>
      </c>
      <c r="I321" s="3">
        <v>0</v>
      </c>
    </row>
    <row r="322" spans="1:9" x14ac:dyDescent="0.15">
      <c r="A322" s="4">
        <v>319</v>
      </c>
      <c r="B322">
        <v>23105099</v>
      </c>
      <c r="C322" s="3">
        <v>0</v>
      </c>
      <c r="D322">
        <v>0</v>
      </c>
      <c r="E322">
        <v>0</v>
      </c>
      <c r="F322" s="3">
        <v>0</v>
      </c>
      <c r="G322" s="3">
        <v>0</v>
      </c>
      <c r="H322" s="3">
        <v>0</v>
      </c>
      <c r="I322" s="3">
        <v>0</v>
      </c>
    </row>
    <row r="323" spans="1:9" x14ac:dyDescent="0.15">
      <c r="A323" s="4">
        <v>320</v>
      </c>
      <c r="B323">
        <v>23203735</v>
      </c>
      <c r="C323" s="3">
        <v>0</v>
      </c>
      <c r="D323">
        <v>0</v>
      </c>
      <c r="E323">
        <v>0</v>
      </c>
      <c r="F323" s="3">
        <v>0</v>
      </c>
      <c r="G323" s="3">
        <v>0</v>
      </c>
      <c r="H323" s="3">
        <v>0</v>
      </c>
      <c r="I323" s="3">
        <v>0</v>
      </c>
    </row>
    <row r="324" spans="1:9" x14ac:dyDescent="0.15">
      <c r="A324" s="4">
        <v>321</v>
      </c>
      <c r="B324">
        <v>24131884</v>
      </c>
      <c r="C324" s="3">
        <v>0</v>
      </c>
      <c r="D324">
        <v>0</v>
      </c>
      <c r="E324">
        <v>0</v>
      </c>
      <c r="F324" s="3">
        <v>0</v>
      </c>
      <c r="G324" s="3">
        <v>0</v>
      </c>
      <c r="H324" s="3">
        <v>0</v>
      </c>
      <c r="I324" s="3">
        <v>0</v>
      </c>
    </row>
    <row r="325" spans="1:9" x14ac:dyDescent="0.15">
      <c r="A325" s="4">
        <v>322</v>
      </c>
      <c r="B325">
        <v>24135705</v>
      </c>
      <c r="C325" s="3">
        <v>0</v>
      </c>
      <c r="D325">
        <v>0</v>
      </c>
      <c r="E325">
        <v>0</v>
      </c>
      <c r="F325" s="3">
        <v>0</v>
      </c>
      <c r="G325" s="3">
        <v>0</v>
      </c>
      <c r="H325" s="3">
        <v>0</v>
      </c>
      <c r="I325" s="3">
        <v>0</v>
      </c>
    </row>
    <row r="326" spans="1:9" x14ac:dyDescent="0.15">
      <c r="A326" s="4">
        <v>323</v>
      </c>
      <c r="B326">
        <v>24147168</v>
      </c>
      <c r="C326" s="3">
        <v>0</v>
      </c>
      <c r="D326">
        <v>0</v>
      </c>
      <c r="E326">
        <v>0</v>
      </c>
      <c r="F326" s="3">
        <v>0</v>
      </c>
      <c r="G326" s="3">
        <v>0</v>
      </c>
      <c r="H326" s="3">
        <v>0</v>
      </c>
      <c r="I326" s="3">
        <v>0</v>
      </c>
    </row>
    <row r="327" spans="1:9" x14ac:dyDescent="0.15">
      <c r="A327" s="4">
        <v>324</v>
      </c>
      <c r="B327">
        <v>24166273</v>
      </c>
      <c r="C327" s="3">
        <v>0</v>
      </c>
      <c r="D327">
        <v>0</v>
      </c>
      <c r="E327">
        <v>0</v>
      </c>
      <c r="F327" s="3">
        <v>0</v>
      </c>
      <c r="G327" s="3">
        <v>0</v>
      </c>
      <c r="H327" s="3">
        <v>0</v>
      </c>
      <c r="I327" s="3">
        <v>0</v>
      </c>
    </row>
    <row r="328" spans="1:9" x14ac:dyDescent="0.15">
      <c r="A328" s="4">
        <v>325</v>
      </c>
      <c r="B328">
        <v>24193020</v>
      </c>
      <c r="C328" s="3">
        <v>0</v>
      </c>
      <c r="D328">
        <v>0</v>
      </c>
      <c r="E328">
        <v>0</v>
      </c>
      <c r="F328" s="3">
        <v>0</v>
      </c>
      <c r="G328" s="3">
        <v>0</v>
      </c>
      <c r="H328" s="3">
        <v>0</v>
      </c>
      <c r="I328" s="3">
        <v>0</v>
      </c>
    </row>
    <row r="329" spans="1:9" x14ac:dyDescent="0.15">
      <c r="A329" s="4">
        <v>326</v>
      </c>
      <c r="B329">
        <v>24227410</v>
      </c>
      <c r="C329" s="3">
        <v>0</v>
      </c>
      <c r="D329">
        <v>0</v>
      </c>
      <c r="E329">
        <v>0</v>
      </c>
      <c r="F329" s="3">
        <v>0</v>
      </c>
      <c r="G329" s="3">
        <v>0</v>
      </c>
      <c r="H329" s="3">
        <v>0</v>
      </c>
      <c r="I329" s="3">
        <v>0</v>
      </c>
    </row>
    <row r="330" spans="1:9" x14ac:dyDescent="0.15">
      <c r="A330" s="4">
        <v>327</v>
      </c>
      <c r="B330">
        <v>24269441</v>
      </c>
      <c r="C330" s="3">
        <v>0</v>
      </c>
      <c r="D330">
        <v>0</v>
      </c>
      <c r="E330">
        <v>0</v>
      </c>
      <c r="F330" s="3">
        <v>0</v>
      </c>
      <c r="G330" s="3">
        <v>0</v>
      </c>
      <c r="H330" s="3">
        <v>0</v>
      </c>
      <c r="I330" s="3">
        <v>0</v>
      </c>
    </row>
    <row r="331" spans="1:9" x14ac:dyDescent="0.15">
      <c r="A331" s="4">
        <v>328</v>
      </c>
      <c r="B331">
        <v>24319115</v>
      </c>
      <c r="C331" s="3">
        <v>0</v>
      </c>
      <c r="D331">
        <v>0</v>
      </c>
      <c r="E331">
        <v>0</v>
      </c>
      <c r="F331" s="3">
        <v>0</v>
      </c>
      <c r="G331" s="3">
        <v>0</v>
      </c>
      <c r="H331" s="3">
        <v>0</v>
      </c>
      <c r="I331" s="3">
        <v>0</v>
      </c>
    </row>
    <row r="332" spans="1:9" x14ac:dyDescent="0.15">
      <c r="A332" s="4">
        <v>329</v>
      </c>
      <c r="B332">
        <v>24376430</v>
      </c>
      <c r="C332" s="3">
        <v>0</v>
      </c>
      <c r="D332">
        <v>0</v>
      </c>
      <c r="E332">
        <v>0</v>
      </c>
      <c r="F332" s="3">
        <v>0</v>
      </c>
      <c r="G332" s="3">
        <v>0</v>
      </c>
      <c r="H332" s="3">
        <v>0</v>
      </c>
      <c r="I332" s="3">
        <v>0</v>
      </c>
    </row>
    <row r="333" spans="1:9" x14ac:dyDescent="0.15">
      <c r="A333" s="4">
        <v>330</v>
      </c>
      <c r="B333">
        <v>24441388</v>
      </c>
      <c r="C333" s="3">
        <v>0</v>
      </c>
      <c r="D333">
        <v>0</v>
      </c>
      <c r="E333">
        <v>0</v>
      </c>
      <c r="F333" s="3">
        <v>0</v>
      </c>
      <c r="G333" s="3">
        <v>0</v>
      </c>
      <c r="H333" s="3">
        <v>0</v>
      </c>
      <c r="I333" s="3">
        <v>0</v>
      </c>
    </row>
    <row r="334" spans="1:9" x14ac:dyDescent="0.15">
      <c r="A334" s="4">
        <v>331</v>
      </c>
      <c r="B334">
        <v>24513987</v>
      </c>
      <c r="C334" s="3">
        <v>0</v>
      </c>
      <c r="D334">
        <v>0</v>
      </c>
      <c r="E334">
        <v>0</v>
      </c>
      <c r="F334" s="3">
        <v>0</v>
      </c>
      <c r="G334" s="3">
        <v>0</v>
      </c>
      <c r="H334" s="3">
        <v>0</v>
      </c>
      <c r="I334" s="3">
        <v>0</v>
      </c>
    </row>
    <row r="335" spans="1:9" x14ac:dyDescent="0.15">
      <c r="A335" s="4">
        <v>332</v>
      </c>
      <c r="B335">
        <v>24594229</v>
      </c>
      <c r="C335" s="3">
        <v>0</v>
      </c>
      <c r="D335">
        <v>0</v>
      </c>
      <c r="E335">
        <v>0</v>
      </c>
      <c r="F335" s="3">
        <v>0</v>
      </c>
      <c r="G335" s="3">
        <v>0</v>
      </c>
      <c r="H335" s="3">
        <v>0</v>
      </c>
      <c r="I335" s="3">
        <v>0</v>
      </c>
    </row>
    <row r="336" spans="1:9" x14ac:dyDescent="0.15">
      <c r="A336" s="4">
        <v>333</v>
      </c>
      <c r="B336">
        <v>24682113</v>
      </c>
      <c r="C336" s="3">
        <v>0</v>
      </c>
      <c r="D336">
        <v>0</v>
      </c>
      <c r="E336">
        <v>0</v>
      </c>
      <c r="F336" s="3">
        <v>0</v>
      </c>
      <c r="G336" s="3">
        <v>0</v>
      </c>
      <c r="H336" s="3">
        <v>0</v>
      </c>
      <c r="I336" s="3">
        <v>0</v>
      </c>
    </row>
    <row r="337" spans="1:9" x14ac:dyDescent="0.15">
      <c r="A337" s="4">
        <v>334</v>
      </c>
      <c r="B337">
        <v>24777639</v>
      </c>
      <c r="C337" s="3">
        <v>0</v>
      </c>
      <c r="D337">
        <v>0</v>
      </c>
      <c r="E337">
        <v>0</v>
      </c>
      <c r="F337" s="3">
        <v>0</v>
      </c>
      <c r="G337" s="3">
        <v>0</v>
      </c>
      <c r="H337" s="3">
        <v>0</v>
      </c>
      <c r="I337" s="3">
        <v>0</v>
      </c>
    </row>
    <row r="338" spans="1:9" x14ac:dyDescent="0.15">
      <c r="A338" s="4">
        <v>335</v>
      </c>
      <c r="B338">
        <v>24880807</v>
      </c>
      <c r="C338" s="3">
        <v>0</v>
      </c>
      <c r="D338">
        <v>0</v>
      </c>
      <c r="E338">
        <v>0</v>
      </c>
      <c r="F338" s="3">
        <v>0</v>
      </c>
      <c r="G338" s="3">
        <v>0</v>
      </c>
      <c r="H338" s="3">
        <v>0</v>
      </c>
      <c r="I338" s="3">
        <v>0</v>
      </c>
    </row>
    <row r="339" spans="1:9" x14ac:dyDescent="0.15">
      <c r="A339" s="4">
        <v>336</v>
      </c>
      <c r="B339">
        <v>24991617</v>
      </c>
      <c r="C339" s="3">
        <v>0</v>
      </c>
      <c r="D339">
        <v>0</v>
      </c>
      <c r="E339">
        <v>0</v>
      </c>
      <c r="F339" s="3">
        <v>0</v>
      </c>
      <c r="G339" s="3">
        <v>0</v>
      </c>
      <c r="H339" s="3">
        <v>0</v>
      </c>
      <c r="I339" s="3">
        <v>0</v>
      </c>
    </row>
    <row r="340" spans="1:9" x14ac:dyDescent="0.15">
      <c r="A340" s="4">
        <v>337</v>
      </c>
      <c r="B340">
        <v>25110069</v>
      </c>
      <c r="C340" s="3">
        <v>0</v>
      </c>
      <c r="D340">
        <v>0</v>
      </c>
      <c r="E340">
        <v>0</v>
      </c>
      <c r="F340" s="3">
        <v>0</v>
      </c>
      <c r="G340" s="3">
        <v>0</v>
      </c>
      <c r="H340" s="3">
        <v>0</v>
      </c>
      <c r="I340" s="3">
        <v>0</v>
      </c>
    </row>
    <row r="341" spans="1:9" x14ac:dyDescent="0.15">
      <c r="A341" s="4">
        <v>338</v>
      </c>
      <c r="B341">
        <v>25236163</v>
      </c>
      <c r="C341" s="3">
        <v>0</v>
      </c>
      <c r="D341">
        <v>0</v>
      </c>
      <c r="E341">
        <v>0</v>
      </c>
      <c r="F341" s="3">
        <v>0</v>
      </c>
      <c r="G341" s="3">
        <v>0</v>
      </c>
      <c r="H341" s="3">
        <v>0</v>
      </c>
      <c r="I341" s="3">
        <v>0</v>
      </c>
    </row>
    <row r="342" spans="1:9" x14ac:dyDescent="0.15">
      <c r="A342" s="4">
        <v>339</v>
      </c>
      <c r="B342">
        <v>25369899</v>
      </c>
      <c r="C342" s="3">
        <v>0</v>
      </c>
      <c r="D342">
        <v>0</v>
      </c>
      <c r="E342">
        <v>0</v>
      </c>
      <c r="F342" s="3">
        <v>0</v>
      </c>
      <c r="G342" s="3">
        <v>0</v>
      </c>
      <c r="H342" s="3">
        <v>0</v>
      </c>
      <c r="I342" s="3">
        <v>0</v>
      </c>
    </row>
    <row r="343" spans="1:9" x14ac:dyDescent="0.15">
      <c r="A343" s="4">
        <v>340</v>
      </c>
      <c r="B343">
        <v>25511277</v>
      </c>
      <c r="C343" s="3">
        <v>0</v>
      </c>
      <c r="D343">
        <v>0</v>
      </c>
      <c r="E343">
        <v>0</v>
      </c>
      <c r="F343" s="3">
        <v>0</v>
      </c>
      <c r="G343" s="3">
        <v>0</v>
      </c>
      <c r="H343" s="3">
        <v>0</v>
      </c>
      <c r="I343" s="3">
        <v>0</v>
      </c>
    </row>
    <row r="344" spans="1:9" x14ac:dyDescent="0.15">
      <c r="A344" s="4">
        <v>341</v>
      </c>
      <c r="B344">
        <v>26531728</v>
      </c>
      <c r="C344" s="3">
        <v>0</v>
      </c>
      <c r="D344">
        <v>0</v>
      </c>
      <c r="E344">
        <v>0</v>
      </c>
      <c r="F344" s="3">
        <v>0</v>
      </c>
      <c r="G344" s="3">
        <v>0</v>
      </c>
      <c r="H344" s="3">
        <v>0</v>
      </c>
      <c r="I344" s="3">
        <v>0</v>
      </c>
    </row>
    <row r="345" spans="1:9" x14ac:dyDescent="0.15">
      <c r="A345" s="4">
        <v>342</v>
      </c>
      <c r="B345">
        <v>26535966</v>
      </c>
      <c r="C345" s="3">
        <v>0</v>
      </c>
      <c r="D345">
        <v>0</v>
      </c>
      <c r="E345">
        <v>0</v>
      </c>
      <c r="F345" s="3">
        <v>0</v>
      </c>
      <c r="G345" s="3">
        <v>0</v>
      </c>
      <c r="H345" s="3">
        <v>0</v>
      </c>
      <c r="I345" s="3">
        <v>0</v>
      </c>
    </row>
    <row r="346" spans="1:9" x14ac:dyDescent="0.15">
      <c r="A346" s="4">
        <v>343</v>
      </c>
      <c r="B346">
        <v>26548682</v>
      </c>
      <c r="C346" s="3">
        <v>0</v>
      </c>
      <c r="D346">
        <v>0</v>
      </c>
      <c r="E346">
        <v>0</v>
      </c>
      <c r="F346" s="3">
        <v>0</v>
      </c>
      <c r="G346" s="3">
        <v>0</v>
      </c>
      <c r="H346" s="3">
        <v>0</v>
      </c>
      <c r="I346" s="3">
        <v>0</v>
      </c>
    </row>
    <row r="347" spans="1:9" x14ac:dyDescent="0.15">
      <c r="A347" s="4">
        <v>344</v>
      </c>
      <c r="B347">
        <v>26569876</v>
      </c>
      <c r="C347" s="3">
        <v>0</v>
      </c>
      <c r="D347">
        <v>0</v>
      </c>
      <c r="E347">
        <v>0</v>
      </c>
      <c r="F347" s="3">
        <v>0</v>
      </c>
      <c r="G347" s="3">
        <v>0</v>
      </c>
      <c r="H347" s="3">
        <v>0</v>
      </c>
      <c r="I347" s="3">
        <v>0</v>
      </c>
    </row>
    <row r="348" spans="1:9" x14ac:dyDescent="0.15">
      <c r="A348" s="4">
        <v>345</v>
      </c>
      <c r="B348">
        <v>26599546</v>
      </c>
      <c r="C348" s="3">
        <v>0</v>
      </c>
      <c r="D348">
        <v>0</v>
      </c>
      <c r="E348">
        <v>0</v>
      </c>
      <c r="F348" s="3">
        <v>0</v>
      </c>
      <c r="G348" s="3">
        <v>0</v>
      </c>
      <c r="H348" s="3">
        <v>0</v>
      </c>
      <c r="I348" s="3">
        <v>0</v>
      </c>
    </row>
    <row r="349" spans="1:9" x14ac:dyDescent="0.15">
      <c r="A349" s="4">
        <v>346</v>
      </c>
      <c r="B349">
        <v>26637695</v>
      </c>
      <c r="C349" s="3">
        <v>0</v>
      </c>
      <c r="D349">
        <v>0</v>
      </c>
      <c r="E349">
        <v>0</v>
      </c>
      <c r="F349" s="3">
        <v>0</v>
      </c>
      <c r="G349" s="3">
        <v>0</v>
      </c>
      <c r="H349" s="3">
        <v>0</v>
      </c>
      <c r="I349" s="3">
        <v>0</v>
      </c>
    </row>
    <row r="350" spans="1:9" x14ac:dyDescent="0.15">
      <c r="A350" s="4">
        <v>347</v>
      </c>
      <c r="B350">
        <v>26684320</v>
      </c>
      <c r="C350" s="3">
        <v>0</v>
      </c>
      <c r="D350">
        <v>0</v>
      </c>
      <c r="E350">
        <v>0</v>
      </c>
      <c r="F350" s="3">
        <v>0</v>
      </c>
      <c r="G350" s="3">
        <v>0</v>
      </c>
      <c r="H350" s="3">
        <v>0</v>
      </c>
      <c r="I350" s="3">
        <v>0</v>
      </c>
    </row>
    <row r="351" spans="1:9" x14ac:dyDescent="0.15">
      <c r="A351" s="4">
        <v>348</v>
      </c>
      <c r="B351">
        <v>26739423</v>
      </c>
      <c r="C351" s="3">
        <v>0</v>
      </c>
      <c r="D351">
        <v>0</v>
      </c>
      <c r="E351">
        <v>0</v>
      </c>
      <c r="F351" s="3">
        <v>0</v>
      </c>
      <c r="G351" s="3">
        <v>0</v>
      </c>
      <c r="H351" s="3">
        <v>0</v>
      </c>
      <c r="I351" s="3">
        <v>0</v>
      </c>
    </row>
    <row r="352" spans="1:9" x14ac:dyDescent="0.15">
      <c r="A352" s="4">
        <v>349</v>
      </c>
      <c r="B352">
        <v>26803003</v>
      </c>
      <c r="C352" s="3">
        <v>0</v>
      </c>
      <c r="D352">
        <v>0</v>
      </c>
      <c r="E352">
        <v>0</v>
      </c>
      <c r="F352" s="3">
        <v>0</v>
      </c>
      <c r="G352" s="3">
        <v>0</v>
      </c>
      <c r="H352" s="3">
        <v>0</v>
      </c>
      <c r="I352" s="3">
        <v>0</v>
      </c>
    </row>
    <row r="353" spans="1:9" x14ac:dyDescent="0.15">
      <c r="A353" s="4">
        <v>350</v>
      </c>
      <c r="B353">
        <v>26875061</v>
      </c>
      <c r="C353" s="3">
        <v>0</v>
      </c>
      <c r="D353">
        <v>0</v>
      </c>
      <c r="E353">
        <v>0</v>
      </c>
      <c r="F353" s="3">
        <v>0</v>
      </c>
      <c r="G353" s="3">
        <v>0</v>
      </c>
      <c r="H353" s="3">
        <v>0</v>
      </c>
      <c r="I353" s="3">
        <v>0</v>
      </c>
    </row>
    <row r="354" spans="1:9" x14ac:dyDescent="0.15">
      <c r="A354" s="4">
        <v>351</v>
      </c>
      <c r="B354">
        <v>26955596</v>
      </c>
      <c r="C354" s="3">
        <v>0</v>
      </c>
      <c r="D354">
        <v>0</v>
      </c>
      <c r="E354">
        <v>0</v>
      </c>
      <c r="F354" s="3">
        <v>0</v>
      </c>
      <c r="G354" s="3">
        <v>0</v>
      </c>
      <c r="H354" s="3">
        <v>0</v>
      </c>
      <c r="I354" s="3">
        <v>0</v>
      </c>
    </row>
    <row r="355" spans="1:9" x14ac:dyDescent="0.15">
      <c r="A355" s="4">
        <v>352</v>
      </c>
      <c r="B355">
        <v>27044608</v>
      </c>
      <c r="C355" s="3">
        <v>0</v>
      </c>
      <c r="D355">
        <v>0</v>
      </c>
      <c r="E355">
        <v>0</v>
      </c>
      <c r="F355" s="3">
        <v>0</v>
      </c>
      <c r="G355" s="3">
        <v>0</v>
      </c>
      <c r="H355" s="3">
        <v>0</v>
      </c>
      <c r="I355" s="3">
        <v>0</v>
      </c>
    </row>
    <row r="356" spans="1:9" x14ac:dyDescent="0.15">
      <c r="A356" s="4">
        <v>353</v>
      </c>
      <c r="B356">
        <v>27142098</v>
      </c>
      <c r="C356" s="3">
        <v>0</v>
      </c>
      <c r="D356">
        <v>0</v>
      </c>
      <c r="E356">
        <v>0</v>
      </c>
      <c r="F356" s="3">
        <v>0</v>
      </c>
      <c r="G356" s="3">
        <v>0</v>
      </c>
      <c r="H356" s="3">
        <v>0</v>
      </c>
      <c r="I356" s="3">
        <v>0</v>
      </c>
    </row>
    <row r="357" spans="1:9" x14ac:dyDescent="0.15">
      <c r="A357" s="4">
        <v>354</v>
      </c>
      <c r="B357">
        <v>27248065</v>
      </c>
      <c r="C357" s="3">
        <v>0</v>
      </c>
      <c r="D357">
        <v>0</v>
      </c>
      <c r="E357">
        <v>0</v>
      </c>
      <c r="F357" s="3">
        <v>0</v>
      </c>
      <c r="G357" s="3">
        <v>0</v>
      </c>
      <c r="H357" s="3">
        <v>0</v>
      </c>
      <c r="I357" s="3">
        <v>0</v>
      </c>
    </row>
    <row r="358" spans="1:9" x14ac:dyDescent="0.15">
      <c r="A358" s="4">
        <v>355</v>
      </c>
      <c r="B358">
        <v>27362509</v>
      </c>
      <c r="C358" s="3">
        <v>0</v>
      </c>
      <c r="D358">
        <v>0</v>
      </c>
      <c r="E358">
        <v>0</v>
      </c>
      <c r="F358" s="3">
        <v>0</v>
      </c>
      <c r="G358" s="3">
        <v>0</v>
      </c>
      <c r="H358" s="3">
        <v>0</v>
      </c>
      <c r="I358" s="3">
        <v>0</v>
      </c>
    </row>
    <row r="359" spans="1:9" x14ac:dyDescent="0.15">
      <c r="A359" s="4">
        <v>356</v>
      </c>
      <c r="B359">
        <v>27485431</v>
      </c>
      <c r="C359" s="3">
        <v>0</v>
      </c>
      <c r="D359">
        <v>0</v>
      </c>
      <c r="E359">
        <v>0</v>
      </c>
      <c r="F359" s="3">
        <v>0</v>
      </c>
      <c r="G359" s="3">
        <v>0</v>
      </c>
      <c r="H359" s="3">
        <v>0</v>
      </c>
      <c r="I359" s="3">
        <v>0</v>
      </c>
    </row>
    <row r="360" spans="1:9" x14ac:dyDescent="0.15">
      <c r="A360" s="4">
        <v>357</v>
      </c>
      <c r="B360">
        <v>27616830</v>
      </c>
      <c r="C360" s="3">
        <v>0</v>
      </c>
      <c r="D360">
        <v>0</v>
      </c>
      <c r="E360">
        <v>0</v>
      </c>
      <c r="F360" s="3">
        <v>0</v>
      </c>
      <c r="G360" s="3">
        <v>0</v>
      </c>
      <c r="H360" s="3">
        <v>0</v>
      </c>
      <c r="I360" s="3">
        <v>0</v>
      </c>
    </row>
    <row r="361" spans="1:9" x14ac:dyDescent="0.15">
      <c r="A361" s="4">
        <v>358</v>
      </c>
      <c r="B361">
        <v>27756707</v>
      </c>
      <c r="C361" s="3">
        <v>0</v>
      </c>
      <c r="D361">
        <v>0</v>
      </c>
      <c r="E361">
        <v>0</v>
      </c>
      <c r="F361" s="3">
        <v>0</v>
      </c>
      <c r="G361" s="3">
        <v>0</v>
      </c>
      <c r="H361" s="3">
        <v>0</v>
      </c>
      <c r="I361" s="3">
        <v>0</v>
      </c>
    </row>
    <row r="362" spans="1:9" x14ac:dyDescent="0.15">
      <c r="A362" s="4">
        <v>359</v>
      </c>
      <c r="B362">
        <v>27905061</v>
      </c>
      <c r="C362" s="3">
        <v>0</v>
      </c>
      <c r="D362">
        <v>0</v>
      </c>
      <c r="E362">
        <v>0</v>
      </c>
      <c r="F362" s="3">
        <v>0</v>
      </c>
      <c r="G362" s="3">
        <v>0</v>
      </c>
      <c r="H362" s="3">
        <v>0</v>
      </c>
      <c r="I362" s="3">
        <v>0</v>
      </c>
    </row>
    <row r="363" spans="1:9" x14ac:dyDescent="0.15">
      <c r="A363" s="4">
        <v>360</v>
      </c>
      <c r="B363">
        <v>28061892</v>
      </c>
      <c r="C363" s="3">
        <v>0</v>
      </c>
      <c r="D363">
        <v>0</v>
      </c>
      <c r="E363">
        <v>0</v>
      </c>
      <c r="F363" s="3">
        <v>0</v>
      </c>
      <c r="G363" s="3">
        <v>0</v>
      </c>
      <c r="H363" s="3">
        <v>0</v>
      </c>
      <c r="I363" s="3">
        <v>0</v>
      </c>
    </row>
    <row r="364" spans="1:9" x14ac:dyDescent="0.15">
      <c r="A364" s="4">
        <v>361</v>
      </c>
      <c r="B364">
        <v>29184367</v>
      </c>
      <c r="C364" s="3">
        <v>0</v>
      </c>
      <c r="D364">
        <v>0</v>
      </c>
      <c r="E364">
        <v>0</v>
      </c>
      <c r="F364" s="3">
        <v>0</v>
      </c>
      <c r="G364" s="3">
        <v>0</v>
      </c>
      <c r="H364" s="3">
        <v>0</v>
      </c>
      <c r="I364" s="3">
        <v>0</v>
      </c>
    </row>
    <row r="365" spans="1:9" x14ac:dyDescent="0.15">
      <c r="A365" s="4">
        <v>362</v>
      </c>
      <c r="B365">
        <v>29189031</v>
      </c>
      <c r="C365" s="3">
        <v>0</v>
      </c>
      <c r="D365">
        <v>0</v>
      </c>
      <c r="E365">
        <v>0</v>
      </c>
      <c r="F365" s="3">
        <v>0</v>
      </c>
      <c r="G365" s="3">
        <v>0</v>
      </c>
      <c r="H365" s="3">
        <v>0</v>
      </c>
      <c r="I365" s="3">
        <v>0</v>
      </c>
    </row>
    <row r="366" spans="1:9" x14ac:dyDescent="0.15">
      <c r="A366" s="4">
        <v>363</v>
      </c>
      <c r="B366">
        <v>29203023</v>
      </c>
      <c r="C366" s="3">
        <v>0</v>
      </c>
      <c r="D366">
        <v>0</v>
      </c>
      <c r="E366">
        <v>0</v>
      </c>
      <c r="F366" s="3">
        <v>0</v>
      </c>
      <c r="G366" s="3">
        <v>0</v>
      </c>
      <c r="H366" s="3">
        <v>0</v>
      </c>
      <c r="I366" s="3">
        <v>0</v>
      </c>
    </row>
    <row r="367" spans="1:9" x14ac:dyDescent="0.15">
      <c r="A367" s="4">
        <v>364</v>
      </c>
      <c r="B367">
        <v>29226343</v>
      </c>
      <c r="C367" s="3">
        <v>0</v>
      </c>
      <c r="D367">
        <v>0</v>
      </c>
      <c r="E367">
        <v>0</v>
      </c>
      <c r="F367" s="3">
        <v>0</v>
      </c>
      <c r="G367" s="3">
        <v>0</v>
      </c>
      <c r="H367" s="3">
        <v>0</v>
      </c>
      <c r="I367" s="3">
        <v>0</v>
      </c>
    </row>
    <row r="368" spans="1:9" x14ac:dyDescent="0.15">
      <c r="A368" s="4">
        <v>365</v>
      </c>
      <c r="B368">
        <v>29258991</v>
      </c>
      <c r="C368" s="3">
        <v>0</v>
      </c>
      <c r="D368">
        <v>0</v>
      </c>
      <c r="E368">
        <v>0</v>
      </c>
      <c r="F368" s="3">
        <v>0</v>
      </c>
      <c r="G368" s="3">
        <v>0</v>
      </c>
      <c r="H368" s="3">
        <v>0</v>
      </c>
      <c r="I368" s="3">
        <v>0</v>
      </c>
    </row>
    <row r="369" spans="1:9" x14ac:dyDescent="0.15">
      <c r="A369" s="4">
        <v>366</v>
      </c>
      <c r="B369">
        <v>29300966</v>
      </c>
      <c r="C369" s="3">
        <v>0</v>
      </c>
      <c r="D369">
        <v>0</v>
      </c>
      <c r="E369">
        <v>0</v>
      </c>
      <c r="F369" s="3">
        <v>0</v>
      </c>
      <c r="G369" s="3">
        <v>0</v>
      </c>
      <c r="H369" s="3">
        <v>0</v>
      </c>
      <c r="I369" s="3">
        <v>0</v>
      </c>
    </row>
    <row r="370" spans="1:9" x14ac:dyDescent="0.15">
      <c r="A370" s="4">
        <v>367</v>
      </c>
      <c r="B370">
        <v>29352270</v>
      </c>
      <c r="C370" s="3">
        <v>0</v>
      </c>
      <c r="D370">
        <v>0</v>
      </c>
      <c r="E370">
        <v>0</v>
      </c>
      <c r="F370" s="3">
        <v>0</v>
      </c>
      <c r="G370" s="3">
        <v>0</v>
      </c>
      <c r="H370" s="3">
        <v>0</v>
      </c>
      <c r="I370" s="3">
        <v>0</v>
      </c>
    </row>
    <row r="371" spans="1:9" x14ac:dyDescent="0.15">
      <c r="A371" s="4">
        <v>368</v>
      </c>
      <c r="B371">
        <v>29412902</v>
      </c>
      <c r="C371" s="3">
        <v>0</v>
      </c>
      <c r="D371">
        <v>0</v>
      </c>
      <c r="E371">
        <v>0</v>
      </c>
      <c r="F371" s="3">
        <v>0</v>
      </c>
      <c r="G371" s="3">
        <v>0</v>
      </c>
      <c r="H371" s="3">
        <v>0</v>
      </c>
      <c r="I371" s="3">
        <v>0</v>
      </c>
    </row>
    <row r="372" spans="1:9" x14ac:dyDescent="0.15">
      <c r="A372" s="4">
        <v>369</v>
      </c>
      <c r="B372">
        <v>29482861</v>
      </c>
      <c r="C372" s="3">
        <v>0</v>
      </c>
      <c r="D372">
        <v>0</v>
      </c>
      <c r="E372">
        <v>0</v>
      </c>
      <c r="F372" s="3">
        <v>0</v>
      </c>
      <c r="G372" s="3">
        <v>0</v>
      </c>
      <c r="H372" s="3">
        <v>0</v>
      </c>
      <c r="I372" s="3">
        <v>0</v>
      </c>
    </row>
    <row r="373" spans="1:9" x14ac:dyDescent="0.15">
      <c r="A373" s="4">
        <v>370</v>
      </c>
      <c r="B373">
        <v>29562149</v>
      </c>
      <c r="C373" s="3">
        <v>0</v>
      </c>
      <c r="D373">
        <v>0</v>
      </c>
      <c r="E373">
        <v>0</v>
      </c>
      <c r="F373" s="3">
        <v>0</v>
      </c>
      <c r="G373" s="3">
        <v>0</v>
      </c>
      <c r="H373" s="3">
        <v>0</v>
      </c>
      <c r="I373" s="3">
        <v>0</v>
      </c>
    </row>
    <row r="374" spans="1:9" x14ac:dyDescent="0.15">
      <c r="A374" s="4">
        <v>371</v>
      </c>
      <c r="B374">
        <v>29650764</v>
      </c>
      <c r="C374" s="3">
        <v>0</v>
      </c>
      <c r="D374">
        <v>0</v>
      </c>
      <c r="E374">
        <v>0</v>
      </c>
      <c r="F374" s="3">
        <v>0</v>
      </c>
      <c r="G374" s="3">
        <v>0</v>
      </c>
      <c r="H374" s="3">
        <v>0</v>
      </c>
      <c r="I374" s="3">
        <v>0</v>
      </c>
    </row>
    <row r="375" spans="1:9" x14ac:dyDescent="0.15">
      <c r="A375" s="4">
        <v>372</v>
      </c>
      <c r="B375">
        <v>29748708</v>
      </c>
      <c r="C375" s="3">
        <v>0</v>
      </c>
      <c r="D375">
        <v>0</v>
      </c>
      <c r="E375">
        <v>0</v>
      </c>
      <c r="F375" s="3">
        <v>0</v>
      </c>
      <c r="G375" s="3">
        <v>0</v>
      </c>
      <c r="H375" s="3">
        <v>0</v>
      </c>
      <c r="I375" s="3">
        <v>0</v>
      </c>
    </row>
    <row r="376" spans="1:9" x14ac:dyDescent="0.15">
      <c r="A376" s="4">
        <v>373</v>
      </c>
      <c r="B376">
        <v>29855979</v>
      </c>
      <c r="C376" s="3">
        <v>0</v>
      </c>
      <c r="D376">
        <v>0</v>
      </c>
      <c r="E376">
        <v>0</v>
      </c>
      <c r="F376" s="3">
        <v>0</v>
      </c>
      <c r="G376" s="3">
        <v>0</v>
      </c>
      <c r="H376" s="3">
        <v>0</v>
      </c>
      <c r="I376" s="3">
        <v>0</v>
      </c>
    </row>
    <row r="377" spans="1:9" x14ac:dyDescent="0.15">
      <c r="A377" s="4">
        <v>374</v>
      </c>
      <c r="B377">
        <v>29972578</v>
      </c>
      <c r="C377" s="3">
        <v>0</v>
      </c>
      <c r="D377">
        <v>0</v>
      </c>
      <c r="E377">
        <v>0</v>
      </c>
      <c r="F377" s="3">
        <v>0</v>
      </c>
      <c r="G377" s="3">
        <v>0</v>
      </c>
      <c r="H377" s="3">
        <v>0</v>
      </c>
      <c r="I377" s="3">
        <v>0</v>
      </c>
    </row>
    <row r="378" spans="1:9" x14ac:dyDescent="0.15">
      <c r="A378" s="4">
        <v>375</v>
      </c>
      <c r="B378">
        <v>30098505</v>
      </c>
      <c r="C378" s="3">
        <v>0</v>
      </c>
      <c r="D378">
        <v>0</v>
      </c>
      <c r="E378">
        <v>0</v>
      </c>
      <c r="F378" s="3">
        <v>0</v>
      </c>
      <c r="G378" s="3">
        <v>0</v>
      </c>
      <c r="H378" s="3">
        <v>0</v>
      </c>
      <c r="I378" s="3">
        <v>0</v>
      </c>
    </row>
    <row r="379" spans="1:9" x14ac:dyDescent="0.15">
      <c r="A379" s="4">
        <v>376</v>
      </c>
      <c r="B379">
        <v>30233761</v>
      </c>
      <c r="C379" s="3">
        <v>0</v>
      </c>
      <c r="D379">
        <v>0</v>
      </c>
      <c r="E379">
        <v>0</v>
      </c>
      <c r="F379" s="3">
        <v>0</v>
      </c>
      <c r="G379" s="3">
        <v>0</v>
      </c>
      <c r="H379" s="3">
        <v>0</v>
      </c>
      <c r="I379" s="3">
        <v>0</v>
      </c>
    </row>
    <row r="380" spans="1:9" x14ac:dyDescent="0.15">
      <c r="A380" s="4">
        <v>377</v>
      </c>
      <c r="B380">
        <v>30378344</v>
      </c>
      <c r="C380" s="3">
        <v>0</v>
      </c>
      <c r="D380">
        <v>0</v>
      </c>
      <c r="E380">
        <v>0</v>
      </c>
      <c r="F380" s="3">
        <v>0</v>
      </c>
      <c r="G380" s="3">
        <v>0</v>
      </c>
      <c r="H380" s="3">
        <v>0</v>
      </c>
      <c r="I380" s="3">
        <v>0</v>
      </c>
    </row>
    <row r="381" spans="1:9" x14ac:dyDescent="0.15">
      <c r="A381" s="4">
        <v>378</v>
      </c>
      <c r="B381">
        <v>30532255</v>
      </c>
      <c r="C381" s="3">
        <v>0</v>
      </c>
      <c r="D381">
        <v>0</v>
      </c>
      <c r="E381">
        <v>0</v>
      </c>
      <c r="F381" s="3">
        <v>0</v>
      </c>
      <c r="G381" s="3">
        <v>0</v>
      </c>
      <c r="H381" s="3">
        <v>0</v>
      </c>
      <c r="I381" s="3">
        <v>0</v>
      </c>
    </row>
    <row r="382" spans="1:9" x14ac:dyDescent="0.15">
      <c r="A382" s="4">
        <v>379</v>
      </c>
      <c r="B382">
        <v>30695494</v>
      </c>
      <c r="C382" s="3">
        <v>0</v>
      </c>
      <c r="D382">
        <v>0</v>
      </c>
      <c r="E382">
        <v>0</v>
      </c>
      <c r="F382" s="3">
        <v>0</v>
      </c>
      <c r="G382" s="3">
        <v>0</v>
      </c>
      <c r="H382" s="3">
        <v>0</v>
      </c>
      <c r="I382" s="3">
        <v>0</v>
      </c>
    </row>
    <row r="383" spans="1:9" x14ac:dyDescent="0.15">
      <c r="A383" s="4">
        <v>380</v>
      </c>
      <c r="B383">
        <v>30868061</v>
      </c>
      <c r="C383" s="3">
        <v>0</v>
      </c>
      <c r="D383">
        <v>0</v>
      </c>
      <c r="E383">
        <v>0</v>
      </c>
      <c r="F383" s="3">
        <v>0</v>
      </c>
      <c r="G383" s="3">
        <v>0</v>
      </c>
      <c r="H383" s="3">
        <v>0</v>
      </c>
      <c r="I383" s="3">
        <v>0</v>
      </c>
    </row>
    <row r="384" spans="1:9" x14ac:dyDescent="0.15">
      <c r="A384" s="4">
        <v>381</v>
      </c>
      <c r="B384">
        <v>32102783</v>
      </c>
      <c r="C384" s="3">
        <v>0</v>
      </c>
      <c r="D384">
        <v>0</v>
      </c>
      <c r="E384">
        <v>0</v>
      </c>
      <c r="F384" s="3">
        <v>0</v>
      </c>
      <c r="G384" s="3">
        <v>0</v>
      </c>
      <c r="H384" s="3">
        <v>0</v>
      </c>
      <c r="I384" s="3">
        <v>0</v>
      </c>
    </row>
    <row r="385" spans="1:9" x14ac:dyDescent="0.15">
      <c r="A385" s="4">
        <v>382</v>
      </c>
      <c r="B385">
        <v>32107913</v>
      </c>
      <c r="C385" s="3">
        <v>0</v>
      </c>
      <c r="D385">
        <v>0</v>
      </c>
      <c r="E385">
        <v>0</v>
      </c>
      <c r="F385" s="3">
        <v>0</v>
      </c>
      <c r="G385" s="3">
        <v>0</v>
      </c>
      <c r="H385" s="3">
        <v>0</v>
      </c>
      <c r="I385" s="3">
        <v>0</v>
      </c>
    </row>
    <row r="386" spans="1:9" x14ac:dyDescent="0.15">
      <c r="A386" s="4">
        <v>383</v>
      </c>
      <c r="B386">
        <v>32123305</v>
      </c>
      <c r="C386" s="3">
        <v>0</v>
      </c>
      <c r="D386">
        <v>0</v>
      </c>
      <c r="E386">
        <v>0</v>
      </c>
      <c r="F386" s="3">
        <v>0</v>
      </c>
      <c r="G386" s="3">
        <v>0</v>
      </c>
      <c r="H386" s="3">
        <v>0</v>
      </c>
      <c r="I386" s="3">
        <v>0</v>
      </c>
    </row>
    <row r="387" spans="1:9" x14ac:dyDescent="0.15">
      <c r="A387" s="4">
        <v>384</v>
      </c>
      <c r="B387">
        <v>32148957</v>
      </c>
      <c r="C387" s="3">
        <v>0</v>
      </c>
      <c r="D387">
        <v>0</v>
      </c>
      <c r="E387">
        <v>0</v>
      </c>
      <c r="F387" s="3">
        <v>0</v>
      </c>
      <c r="G387" s="3">
        <v>0</v>
      </c>
      <c r="H387" s="3">
        <v>0</v>
      </c>
      <c r="I387" s="3">
        <v>0</v>
      </c>
    </row>
    <row r="388" spans="1:9" x14ac:dyDescent="0.15">
      <c r="A388" s="4">
        <v>385</v>
      </c>
      <c r="B388">
        <v>32184870</v>
      </c>
      <c r="C388" s="3">
        <v>0</v>
      </c>
      <c r="D388">
        <v>0</v>
      </c>
      <c r="E388">
        <v>0</v>
      </c>
      <c r="F388" s="3">
        <v>0</v>
      </c>
      <c r="G388" s="3">
        <v>0</v>
      </c>
      <c r="H388" s="3">
        <v>0</v>
      </c>
      <c r="I388" s="3">
        <v>0</v>
      </c>
    </row>
    <row r="389" spans="1:9" x14ac:dyDescent="0.15">
      <c r="A389" s="4">
        <v>386</v>
      </c>
      <c r="B389">
        <v>32231044</v>
      </c>
      <c r="C389" s="3">
        <v>0</v>
      </c>
      <c r="D389">
        <v>0</v>
      </c>
      <c r="E389">
        <v>0</v>
      </c>
      <c r="F389" s="3">
        <v>0</v>
      </c>
      <c r="G389" s="3">
        <v>0</v>
      </c>
      <c r="H389" s="3">
        <v>0</v>
      </c>
      <c r="I389" s="3">
        <v>0</v>
      </c>
    </row>
    <row r="390" spans="1:9" x14ac:dyDescent="0.15">
      <c r="A390" s="4">
        <v>387</v>
      </c>
      <c r="B390">
        <v>32287478</v>
      </c>
      <c r="C390" s="3">
        <v>0</v>
      </c>
      <c r="D390">
        <v>0</v>
      </c>
      <c r="E390">
        <v>0</v>
      </c>
      <c r="F390" s="3">
        <v>0</v>
      </c>
      <c r="G390" s="3">
        <v>0</v>
      </c>
      <c r="H390" s="3">
        <v>0</v>
      </c>
      <c r="I390" s="3">
        <v>0</v>
      </c>
    </row>
    <row r="391" spans="1:9" x14ac:dyDescent="0.15">
      <c r="A391" s="4">
        <v>388</v>
      </c>
      <c r="B391">
        <v>32354174</v>
      </c>
      <c r="C391" s="3">
        <v>0</v>
      </c>
      <c r="D391">
        <v>0</v>
      </c>
      <c r="E391">
        <v>0</v>
      </c>
      <c r="F391" s="3">
        <v>0</v>
      </c>
      <c r="G391" s="3">
        <v>0</v>
      </c>
      <c r="H391" s="3">
        <v>0</v>
      </c>
      <c r="I391" s="3">
        <v>0</v>
      </c>
    </row>
    <row r="392" spans="1:9" x14ac:dyDescent="0.15">
      <c r="A392" s="4">
        <v>389</v>
      </c>
      <c r="B392">
        <v>32431130</v>
      </c>
      <c r="C392" s="3">
        <v>0</v>
      </c>
      <c r="D392">
        <v>0</v>
      </c>
      <c r="E392">
        <v>0</v>
      </c>
      <c r="F392" s="3">
        <v>0</v>
      </c>
      <c r="G392" s="3">
        <v>0</v>
      </c>
      <c r="H392" s="3">
        <v>0</v>
      </c>
      <c r="I392" s="3">
        <v>0</v>
      </c>
    </row>
    <row r="393" spans="1:9" x14ac:dyDescent="0.15">
      <c r="A393" s="4">
        <v>390</v>
      </c>
      <c r="B393">
        <v>32518347</v>
      </c>
      <c r="C393" s="3">
        <v>0</v>
      </c>
      <c r="D393">
        <v>0</v>
      </c>
      <c r="E393">
        <v>0</v>
      </c>
      <c r="F393" s="3">
        <v>0</v>
      </c>
      <c r="G393" s="3">
        <v>0</v>
      </c>
      <c r="H393" s="3">
        <v>0</v>
      </c>
      <c r="I393" s="3">
        <v>0</v>
      </c>
    </row>
    <row r="394" spans="1:9" x14ac:dyDescent="0.15">
      <c r="A394" s="4">
        <v>391</v>
      </c>
      <c r="B394">
        <v>32615825</v>
      </c>
      <c r="C394" s="3">
        <v>0</v>
      </c>
      <c r="D394">
        <v>0</v>
      </c>
      <c r="E394">
        <v>0</v>
      </c>
      <c r="F394" s="3">
        <v>0</v>
      </c>
      <c r="G394" s="3">
        <v>0</v>
      </c>
      <c r="H394" s="3">
        <v>0</v>
      </c>
      <c r="I394" s="3">
        <v>0</v>
      </c>
    </row>
    <row r="395" spans="1:9" x14ac:dyDescent="0.15">
      <c r="A395" s="4">
        <v>392</v>
      </c>
      <c r="B395">
        <v>32723564</v>
      </c>
      <c r="C395" s="3">
        <v>0</v>
      </c>
      <c r="D395">
        <v>0</v>
      </c>
      <c r="E395">
        <v>0</v>
      </c>
      <c r="F395" s="3">
        <v>0</v>
      </c>
      <c r="G395" s="3">
        <v>0</v>
      </c>
      <c r="H395" s="3">
        <v>0</v>
      </c>
      <c r="I395" s="3">
        <v>0</v>
      </c>
    </row>
    <row r="396" spans="1:9" x14ac:dyDescent="0.15">
      <c r="A396" s="4">
        <v>393</v>
      </c>
      <c r="B396">
        <v>32841564</v>
      </c>
      <c r="C396" s="3">
        <v>0</v>
      </c>
      <c r="D396">
        <v>0</v>
      </c>
      <c r="E396">
        <v>0</v>
      </c>
      <c r="F396" s="3">
        <v>0</v>
      </c>
      <c r="G396" s="3">
        <v>0</v>
      </c>
      <c r="H396" s="3">
        <v>0</v>
      </c>
      <c r="I396" s="3">
        <v>0</v>
      </c>
    </row>
    <row r="397" spans="1:9" x14ac:dyDescent="0.15">
      <c r="A397" s="4">
        <v>394</v>
      </c>
      <c r="B397">
        <v>32969825</v>
      </c>
      <c r="C397" s="3">
        <v>0</v>
      </c>
      <c r="D397">
        <v>0</v>
      </c>
      <c r="E397">
        <v>0</v>
      </c>
      <c r="F397" s="3">
        <v>0</v>
      </c>
      <c r="G397" s="3">
        <v>0</v>
      </c>
      <c r="H397" s="3">
        <v>0</v>
      </c>
      <c r="I397" s="3">
        <v>0</v>
      </c>
    </row>
    <row r="398" spans="1:9" x14ac:dyDescent="0.15">
      <c r="A398" s="4">
        <v>395</v>
      </c>
      <c r="B398">
        <v>33108346</v>
      </c>
      <c r="C398" s="3">
        <v>0</v>
      </c>
      <c r="D398">
        <v>0</v>
      </c>
      <c r="E398">
        <v>0</v>
      </c>
      <c r="F398" s="3">
        <v>0</v>
      </c>
      <c r="G398" s="3">
        <v>0</v>
      </c>
      <c r="H398" s="3">
        <v>0</v>
      </c>
      <c r="I398" s="3">
        <v>0</v>
      </c>
    </row>
    <row r="399" spans="1:9" x14ac:dyDescent="0.15">
      <c r="A399" s="4">
        <v>396</v>
      </c>
      <c r="B399">
        <v>33257128</v>
      </c>
      <c r="C399" s="3">
        <v>0</v>
      </c>
      <c r="D399">
        <v>0</v>
      </c>
      <c r="E399">
        <v>0</v>
      </c>
      <c r="F399" s="3">
        <v>0</v>
      </c>
      <c r="G399" s="3">
        <v>0</v>
      </c>
      <c r="H399" s="3">
        <v>0</v>
      </c>
      <c r="I399" s="3">
        <v>0</v>
      </c>
    </row>
    <row r="400" spans="1:9" x14ac:dyDescent="0.15">
      <c r="A400" s="4">
        <v>397</v>
      </c>
      <c r="B400">
        <v>33416171</v>
      </c>
      <c r="C400" s="3">
        <v>0</v>
      </c>
      <c r="D400">
        <v>0</v>
      </c>
      <c r="E400">
        <v>0</v>
      </c>
      <c r="F400" s="3">
        <v>0</v>
      </c>
      <c r="G400" s="3">
        <v>0</v>
      </c>
      <c r="H400" s="3">
        <v>0</v>
      </c>
      <c r="I400" s="3">
        <v>0</v>
      </c>
    </row>
    <row r="401" spans="1:9" x14ac:dyDescent="0.15">
      <c r="A401" s="4">
        <v>398</v>
      </c>
      <c r="B401">
        <v>33585475</v>
      </c>
      <c r="C401" s="3">
        <v>0</v>
      </c>
      <c r="D401">
        <v>0</v>
      </c>
      <c r="E401">
        <v>0</v>
      </c>
      <c r="F401" s="3">
        <v>0</v>
      </c>
      <c r="G401" s="3">
        <v>0</v>
      </c>
      <c r="H401" s="3">
        <v>0</v>
      </c>
      <c r="I401" s="3">
        <v>0</v>
      </c>
    </row>
    <row r="402" spans="1:9" x14ac:dyDescent="0.15">
      <c r="A402" s="4">
        <v>399</v>
      </c>
      <c r="B402">
        <v>33765040</v>
      </c>
      <c r="C402" s="3">
        <v>0</v>
      </c>
      <c r="D402">
        <v>0</v>
      </c>
      <c r="E402">
        <v>0</v>
      </c>
      <c r="F402" s="3">
        <v>0</v>
      </c>
      <c r="G402" s="3">
        <v>0</v>
      </c>
      <c r="H402" s="3">
        <v>0</v>
      </c>
      <c r="I402" s="3">
        <v>0</v>
      </c>
    </row>
    <row r="403" spans="1:9" x14ac:dyDescent="0.15">
      <c r="A403" s="4">
        <v>400</v>
      </c>
      <c r="B403">
        <v>33954866</v>
      </c>
      <c r="C403" s="3">
        <v>0</v>
      </c>
      <c r="D403">
        <v>0</v>
      </c>
      <c r="E403">
        <v>0</v>
      </c>
      <c r="F403" s="3">
        <v>0</v>
      </c>
      <c r="G403" s="3">
        <v>0</v>
      </c>
      <c r="H403" s="3">
        <v>0</v>
      </c>
      <c r="I403" s="3">
        <v>0</v>
      </c>
    </row>
  </sheetData>
  <phoneticPr fontId="3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upgrade_exp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2021-03-11T09:27:02Z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2052-11.1.0.9912</vt:lpwstr>
  </property>
</Properties>
</file>