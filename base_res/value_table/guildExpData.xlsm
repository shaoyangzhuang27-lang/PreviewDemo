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/>
  <workbookPr defaultThemeVersion="124226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9684AE88-610D-4562-BFE7-8707716FA92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guildExpData" sheetId="1" r:id="rId1"/>
  </sheets>
  <calcPr calcId="191029"/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4" i="1"/>
  <c r="L5" i="1"/>
  <c r="M5" i="1"/>
  <c r="N5" i="1"/>
  <c r="L6" i="1"/>
  <c r="M6" i="1"/>
  <c r="N6" i="1"/>
  <c r="L7" i="1"/>
  <c r="M7" i="1"/>
  <c r="O7" i="1" s="1"/>
  <c r="Q7" i="1" s="1"/>
  <c r="N7" i="1"/>
  <c r="L8" i="1"/>
  <c r="M8" i="1"/>
  <c r="N8" i="1"/>
  <c r="L9" i="1"/>
  <c r="M9" i="1"/>
  <c r="N9" i="1"/>
  <c r="L10" i="1"/>
  <c r="M10" i="1"/>
  <c r="N10" i="1"/>
  <c r="L11" i="1"/>
  <c r="M11" i="1"/>
  <c r="O11" i="1" s="1"/>
  <c r="Q11" i="1" s="1"/>
  <c r="N11" i="1"/>
  <c r="L12" i="1"/>
  <c r="M12" i="1"/>
  <c r="N12" i="1"/>
  <c r="L13" i="1"/>
  <c r="M13" i="1"/>
  <c r="N13" i="1"/>
  <c r="L14" i="1"/>
  <c r="M14" i="1"/>
  <c r="N14" i="1"/>
  <c r="L15" i="1"/>
  <c r="M15" i="1"/>
  <c r="O15" i="1" s="1"/>
  <c r="Q15" i="1" s="1"/>
  <c r="N15" i="1"/>
  <c r="L16" i="1"/>
  <c r="M16" i="1"/>
  <c r="N16" i="1"/>
  <c r="L17" i="1"/>
  <c r="M17" i="1"/>
  <c r="N17" i="1"/>
  <c r="L18" i="1"/>
  <c r="M18" i="1"/>
  <c r="N18" i="1"/>
  <c r="L19" i="1"/>
  <c r="M19" i="1"/>
  <c r="O19" i="1" s="1"/>
  <c r="Q19" i="1" s="1"/>
  <c r="N19" i="1"/>
  <c r="L20" i="1"/>
  <c r="M20" i="1"/>
  <c r="N20" i="1"/>
  <c r="L21" i="1"/>
  <c r="M21" i="1"/>
  <c r="N21" i="1"/>
  <c r="L22" i="1"/>
  <c r="M22" i="1"/>
  <c r="N22" i="1"/>
  <c r="L23" i="1"/>
  <c r="M23" i="1"/>
  <c r="O23" i="1" s="1"/>
  <c r="Q23" i="1" s="1"/>
  <c r="N23" i="1"/>
  <c r="L24" i="1"/>
  <c r="M24" i="1"/>
  <c r="N24" i="1"/>
  <c r="L25" i="1"/>
  <c r="M25" i="1"/>
  <c r="N25" i="1"/>
  <c r="L26" i="1"/>
  <c r="M26" i="1"/>
  <c r="N26" i="1"/>
  <c r="L27" i="1"/>
  <c r="M27" i="1"/>
  <c r="O27" i="1" s="1"/>
  <c r="Q27" i="1" s="1"/>
  <c r="N27" i="1"/>
  <c r="L28" i="1"/>
  <c r="M28" i="1"/>
  <c r="N28" i="1"/>
  <c r="L29" i="1"/>
  <c r="M29" i="1"/>
  <c r="N29" i="1"/>
  <c r="L30" i="1"/>
  <c r="M30" i="1"/>
  <c r="N30" i="1"/>
  <c r="L31" i="1"/>
  <c r="M31" i="1"/>
  <c r="O31" i="1" s="1"/>
  <c r="Q31" i="1" s="1"/>
  <c r="N31" i="1"/>
  <c r="L32" i="1"/>
  <c r="M32" i="1"/>
  <c r="N32" i="1"/>
  <c r="L33" i="1"/>
  <c r="M33" i="1"/>
  <c r="N33" i="1"/>
  <c r="M4" i="1"/>
  <c r="N4" i="1"/>
  <c r="L4" i="1"/>
  <c r="O33" i="1" l="1"/>
  <c r="S33" i="1" s="1"/>
  <c r="O29" i="1"/>
  <c r="S29" i="1" s="1"/>
  <c r="O25" i="1"/>
  <c r="S25" i="1" s="1"/>
  <c r="O21" i="1"/>
  <c r="S21" i="1" s="1"/>
  <c r="O17" i="1"/>
  <c r="S17" i="1" s="1"/>
  <c r="O13" i="1"/>
  <c r="S13" i="1" s="1"/>
  <c r="O9" i="1"/>
  <c r="S9" i="1" s="1"/>
  <c r="O5" i="1"/>
  <c r="S5" i="1" s="1"/>
  <c r="R33" i="1"/>
  <c r="R17" i="1"/>
  <c r="R29" i="1"/>
  <c r="R13" i="1"/>
  <c r="R25" i="1"/>
  <c r="R9" i="1"/>
  <c r="R21" i="1"/>
  <c r="R5" i="1"/>
  <c r="P11" i="1"/>
  <c r="O32" i="1"/>
  <c r="O28" i="1"/>
  <c r="O24" i="1"/>
  <c r="O20" i="1"/>
  <c r="O16" i="1"/>
  <c r="O12" i="1"/>
  <c r="O8" i="1"/>
  <c r="Q33" i="1"/>
  <c r="Q29" i="1"/>
  <c r="Q25" i="1"/>
  <c r="Q21" i="1"/>
  <c r="Q17" i="1"/>
  <c r="Q13" i="1"/>
  <c r="Q9" i="1"/>
  <c r="Q5" i="1"/>
  <c r="S31" i="1"/>
  <c r="S27" i="1"/>
  <c r="S23" i="1"/>
  <c r="S19" i="1"/>
  <c r="S15" i="1"/>
  <c r="S11" i="1"/>
  <c r="S7" i="1"/>
  <c r="P23" i="1"/>
  <c r="P15" i="1"/>
  <c r="P33" i="1"/>
  <c r="R31" i="1"/>
  <c r="P29" i="1"/>
  <c r="R27" i="1"/>
  <c r="P25" i="1"/>
  <c r="R23" i="1"/>
  <c r="P21" i="1"/>
  <c r="R19" i="1"/>
  <c r="P17" i="1"/>
  <c r="R15" i="1"/>
  <c r="P13" i="1"/>
  <c r="R11" i="1"/>
  <c r="P9" i="1"/>
  <c r="R7" i="1"/>
  <c r="P5" i="1"/>
  <c r="P31" i="1"/>
  <c r="P27" i="1"/>
  <c r="P19" i="1"/>
  <c r="P7" i="1"/>
  <c r="O30" i="1"/>
  <c r="O26" i="1"/>
  <c r="O22" i="1"/>
  <c r="O18" i="1"/>
  <c r="O14" i="1"/>
  <c r="O10" i="1"/>
  <c r="O6" i="1"/>
  <c r="O4" i="1"/>
  <c r="P18" i="1" l="1"/>
  <c r="S18" i="1"/>
  <c r="Q18" i="1"/>
  <c r="R18" i="1"/>
  <c r="R24" i="1"/>
  <c r="P24" i="1"/>
  <c r="S24" i="1"/>
  <c r="Q24" i="1"/>
  <c r="P22" i="1"/>
  <c r="S22" i="1"/>
  <c r="Q22" i="1"/>
  <c r="R22" i="1"/>
  <c r="R12" i="1"/>
  <c r="S12" i="1"/>
  <c r="Q12" i="1"/>
  <c r="P12" i="1"/>
  <c r="R28" i="1"/>
  <c r="S28" i="1"/>
  <c r="P28" i="1"/>
  <c r="Q28" i="1"/>
  <c r="R8" i="1"/>
  <c r="P8" i="1"/>
  <c r="S8" i="1"/>
  <c r="Q8" i="1"/>
  <c r="P6" i="1"/>
  <c r="S6" i="1"/>
  <c r="Q6" i="1"/>
  <c r="R6" i="1"/>
  <c r="P10" i="1"/>
  <c r="S10" i="1"/>
  <c r="Q10" i="1"/>
  <c r="R10" i="1"/>
  <c r="P26" i="1"/>
  <c r="S26" i="1"/>
  <c r="Q26" i="1"/>
  <c r="R26" i="1"/>
  <c r="R16" i="1"/>
  <c r="Q16" i="1"/>
  <c r="S16" i="1"/>
  <c r="P16" i="1"/>
  <c r="R32" i="1"/>
  <c r="P32" i="1"/>
  <c r="S32" i="1"/>
  <c r="Q32" i="1"/>
  <c r="P14" i="1"/>
  <c r="S14" i="1"/>
  <c r="Q14" i="1"/>
  <c r="R14" i="1"/>
  <c r="P30" i="1"/>
  <c r="S30" i="1"/>
  <c r="Q30" i="1"/>
  <c r="R30" i="1"/>
  <c r="R20" i="1"/>
  <c r="P20" i="1"/>
  <c r="S20" i="1"/>
  <c r="Q20" i="1"/>
  <c r="P4" i="1"/>
  <c r="S4" i="1"/>
  <c r="Q4" i="1"/>
  <c r="R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微软用户</author>
  </authors>
  <commentList>
    <comment ref="B3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升到当前这个级别需要的经验</t>
        </r>
      </text>
    </comment>
  </commentList>
</comments>
</file>

<file path=xl/sharedStrings.xml><?xml version="1.0" encoding="utf-8"?>
<sst xmlns="http://schemas.openxmlformats.org/spreadsheetml/2006/main" count="49" uniqueCount="47">
  <si>
    <t>id</t>
  </si>
  <si>
    <t>cost</t>
  </si>
  <si>
    <t>int32</t>
  </si>
  <si>
    <t>list&lt;int32&gt;</t>
  </si>
  <si>
    <t>编号</t>
  </si>
  <si>
    <t>member</t>
    <phoneticPr fontId="1" type="noConversion"/>
  </si>
  <si>
    <t>成员数量</t>
    <phoneticPr fontId="1" type="noConversion"/>
  </si>
  <si>
    <t>升级经验</t>
    <phoneticPr fontId="1" type="noConversion"/>
  </si>
  <si>
    <t>110005,450</t>
  </si>
  <si>
    <t>110005,1030</t>
  </si>
  <si>
    <t>110005,1720</t>
  </si>
  <si>
    <t>110005,2600</t>
  </si>
  <si>
    <t>110005,3660</t>
  </si>
  <si>
    <t>110005,5000</t>
  </si>
  <si>
    <t>110005,6610</t>
  </si>
  <si>
    <t>110005,8650</t>
  </si>
  <si>
    <t>110005,11100</t>
  </si>
  <si>
    <t>110005,14200</t>
  </si>
  <si>
    <t>110005,17920</t>
  </si>
  <si>
    <t>110005,22600</t>
  </si>
  <si>
    <t>110005,28220</t>
  </si>
  <si>
    <t>110005,35280</t>
  </si>
  <si>
    <t>110005,43750</t>
  </si>
  <si>
    <t>110005,54380</t>
  </si>
  <si>
    <t>110005,67140</t>
  </si>
  <si>
    <t>110005,83110</t>
  </si>
  <si>
    <t>110005,102280</t>
  </si>
  <si>
    <t>110005,126240</t>
  </si>
  <si>
    <t>110005,154990</t>
  </si>
  <si>
    <t>110005,190870</t>
  </si>
  <si>
    <t>110005,233930</t>
  </si>
  <si>
    <t>110005,287590</t>
  </si>
  <si>
    <t>110005,351980</t>
  </si>
  <si>
    <t>110005,432110</t>
  </si>
  <si>
    <t>110005,528270</t>
  </si>
  <si>
    <t>110005,647780</t>
  </si>
  <si>
    <t>110005,791190</t>
  </si>
  <si>
    <t>110005,0</t>
    <phoneticPr fontId="1" type="noConversion"/>
  </si>
  <si>
    <t>open_monster</t>
    <phoneticPr fontId="1" type="noConversion"/>
  </si>
  <si>
    <t>公会副本开启条件</t>
    <phoneticPr fontId="1" type="noConversion"/>
  </si>
  <si>
    <t>人数</t>
    <phoneticPr fontId="1" type="noConversion"/>
  </si>
  <si>
    <t>捐献1</t>
    <phoneticPr fontId="1" type="noConversion"/>
  </si>
  <si>
    <t>捐献2</t>
  </si>
  <si>
    <t>捐献3</t>
  </si>
  <si>
    <t>只捐1</t>
    <phoneticPr fontId="1" type="noConversion"/>
  </si>
  <si>
    <t>捐1+2</t>
    <phoneticPr fontId="1" type="noConversion"/>
  </si>
  <si>
    <t>捐1+2+3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</si>
</sst>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right"/>
    </xf>
    <xf numFmtId="0" fontId="3" fillId="0" borderId="0" xfId="0" applyFon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33"/>
  <sheetViews>
    <sheetView tabSelected="1" zoomScale="90" zoomScaleNormal="90" workbookViewId="0">
      <pane ySplit="3" topLeftCell="A4" activePane="bottomLeft" state="frozen"/>
      <selection pane="bottomLeft" activeCell="D4" sqref="D4:D33"/>
    </sheetView>
  </sheetViews>
  <sheetFormatPr defaultColWidth="9" defaultRowHeight="13.5" x14ac:dyDescent="0.15"/>
  <cols>
    <col min="1" max="1" width="6.5" customWidth="1"/>
    <col min="2" max="2" width="15" style="1" bestFit="1" customWidth="1"/>
    <col min="3" max="3" width="9" bestFit="1" customWidth="1"/>
    <col min="4" max="4" width="13.875" bestFit="1" customWidth="1"/>
    <col min="14" max="14" width="10.5" bestFit="1" customWidth="1"/>
    <col min="17" max="17" width="4.375" customWidth="1"/>
  </cols>
  <sheetData>
    <row r="1" spans="1:19" x14ac:dyDescent="0.15">
      <c r="A1" t="s">
        <v>0</v>
      </c>
      <c r="B1" s="1" t="s">
        <v>1</v>
      </c>
      <c r="C1" t="s">
        <v>5</v>
      </c>
      <c r="D1" t="s">
        <v>38</v>
      </c>
    </row>
    <row r="2" spans="1:19" x14ac:dyDescent="0.15">
      <c r="A2" t="s">
        <v>2</v>
      </c>
      <c r="B2" s="1" t="s">
        <v>3</v>
      </c>
      <c r="C2" t="s">
        <v>2</v>
      </c>
      <c r="D2" t="s">
        <v>2</v>
      </c>
    </row>
    <row r="3" spans="1:19" x14ac:dyDescent="0.15">
      <c r="A3" t="s">
        <v>4</v>
      </c>
      <c r="B3" s="1" t="s">
        <v>7</v>
      </c>
      <c r="C3" t="s">
        <v>6</v>
      </c>
      <c r="D3" t="s">
        <v>39</v>
      </c>
      <c r="H3" s="3" t="s">
        <v>40</v>
      </c>
      <c r="I3" s="3" t="s">
        <v>41</v>
      </c>
      <c r="J3" s="3" t="s">
        <v>42</v>
      </c>
      <c r="K3" s="3" t="s">
        <v>43</v>
      </c>
      <c r="L3" s="3" t="s">
        <v>44</v>
      </c>
      <c r="M3" s="3" t="s">
        <v>45</v>
      </c>
      <c r="N3" s="3" t="s">
        <v>46</v>
      </c>
      <c r="O3" s="3"/>
      <c r="P3" s="3"/>
      <c r="Q3" s="3"/>
    </row>
    <row r="4" spans="1:19" x14ac:dyDescent="0.15">
      <c r="A4">
        <v>1</v>
      </c>
      <c r="B4" s="2" t="s">
        <v>8</v>
      </c>
      <c r="C4">
        <v>21</v>
      </c>
      <c r="D4">
        <f>S4/2</f>
        <v>420000</v>
      </c>
      <c r="H4">
        <v>21</v>
      </c>
      <c r="I4">
        <v>10000</v>
      </c>
      <c r="J4">
        <v>20000</v>
      </c>
      <c r="K4">
        <v>50000</v>
      </c>
      <c r="L4">
        <f>SUM($I4:I4)*$H4</f>
        <v>210000</v>
      </c>
      <c r="M4">
        <f>SUM($I4:J4)*$H4</f>
        <v>630000</v>
      </c>
      <c r="N4">
        <f>SUM($I4:K4)*$H4</f>
        <v>1680000</v>
      </c>
      <c r="O4">
        <f>AVERAGE(L4:N4)</f>
        <v>840000</v>
      </c>
      <c r="P4">
        <f>$O4/L4</f>
        <v>4</v>
      </c>
      <c r="Q4">
        <f t="shared" ref="Q4:R4" si="0">$O4/M4</f>
        <v>1.3333333333333333</v>
      </c>
      <c r="R4">
        <f t="shared" si="0"/>
        <v>0.5</v>
      </c>
      <c r="S4">
        <f>ROUND(O4,-4)</f>
        <v>840000</v>
      </c>
    </row>
    <row r="5" spans="1:19" x14ac:dyDescent="0.15">
      <c r="A5">
        <v>2</v>
      </c>
      <c r="B5" s="2" t="s">
        <v>9</v>
      </c>
      <c r="C5">
        <v>22</v>
      </c>
      <c r="D5">
        <f t="shared" ref="D5:D33" si="1">S5/2</f>
        <v>440000</v>
      </c>
      <c r="H5">
        <v>22</v>
      </c>
      <c r="I5">
        <v>10000</v>
      </c>
      <c r="J5">
        <v>20000</v>
      </c>
      <c r="K5">
        <v>50000</v>
      </c>
      <c r="L5">
        <f>SUM($I5:I5)*$H5</f>
        <v>220000</v>
      </c>
      <c r="M5">
        <f>SUM($I5:J5)*$H5</f>
        <v>660000</v>
      </c>
      <c r="N5">
        <f>SUM($I5:K5)*$H5</f>
        <v>1760000</v>
      </c>
      <c r="O5">
        <f t="shared" ref="O5:O33" si="2">AVERAGE(L5:N5)</f>
        <v>880000</v>
      </c>
      <c r="P5">
        <f t="shared" ref="P5:P33" si="3">$O5/L5</f>
        <v>4</v>
      </c>
      <c r="Q5">
        <f t="shared" ref="Q5:Q33" si="4">$O5/M5</f>
        <v>1.3333333333333333</v>
      </c>
      <c r="R5">
        <f t="shared" ref="R5:R33" si="5">$O5/N5</f>
        <v>0.5</v>
      </c>
      <c r="S5">
        <f t="shared" ref="S5:S33" si="6">ROUND(O5,-4)</f>
        <v>880000</v>
      </c>
    </row>
    <row r="6" spans="1:19" x14ac:dyDescent="0.15">
      <c r="A6">
        <v>3</v>
      </c>
      <c r="B6" s="2" t="s">
        <v>10</v>
      </c>
      <c r="C6">
        <v>23</v>
      </c>
      <c r="D6">
        <f t="shared" si="1"/>
        <v>460000</v>
      </c>
      <c r="H6">
        <v>23</v>
      </c>
      <c r="I6">
        <v>10000</v>
      </c>
      <c r="J6">
        <v>20000</v>
      </c>
      <c r="K6">
        <v>50000</v>
      </c>
      <c r="L6">
        <f>SUM($I6:I6)*$H6</f>
        <v>230000</v>
      </c>
      <c r="M6">
        <f>SUM($I6:J6)*$H6</f>
        <v>690000</v>
      </c>
      <c r="N6">
        <f>SUM($I6:K6)*$H6</f>
        <v>1840000</v>
      </c>
      <c r="O6">
        <f t="shared" si="2"/>
        <v>920000</v>
      </c>
      <c r="P6">
        <f t="shared" si="3"/>
        <v>4</v>
      </c>
      <c r="Q6">
        <f t="shared" si="4"/>
        <v>1.3333333333333333</v>
      </c>
      <c r="R6">
        <f t="shared" si="5"/>
        <v>0.5</v>
      </c>
      <c r="S6">
        <f t="shared" si="6"/>
        <v>920000</v>
      </c>
    </row>
    <row r="7" spans="1:19" x14ac:dyDescent="0.15">
      <c r="A7">
        <v>4</v>
      </c>
      <c r="B7" s="2" t="s">
        <v>11</v>
      </c>
      <c r="C7">
        <v>24</v>
      </c>
      <c r="D7">
        <f t="shared" si="1"/>
        <v>480000</v>
      </c>
      <c r="H7">
        <v>24</v>
      </c>
      <c r="I7">
        <v>10000</v>
      </c>
      <c r="J7">
        <v>20000</v>
      </c>
      <c r="K7">
        <v>50000</v>
      </c>
      <c r="L7">
        <f>SUM($I7:I7)*$H7</f>
        <v>240000</v>
      </c>
      <c r="M7">
        <f>SUM($I7:J7)*$H7</f>
        <v>720000</v>
      </c>
      <c r="N7">
        <f>SUM($I7:K7)*$H7</f>
        <v>1920000</v>
      </c>
      <c r="O7">
        <f t="shared" si="2"/>
        <v>960000</v>
      </c>
      <c r="P7">
        <f t="shared" si="3"/>
        <v>4</v>
      </c>
      <c r="Q7">
        <f t="shared" si="4"/>
        <v>1.3333333333333333</v>
      </c>
      <c r="R7">
        <f t="shared" si="5"/>
        <v>0.5</v>
      </c>
      <c r="S7">
        <f t="shared" si="6"/>
        <v>960000</v>
      </c>
    </row>
    <row r="8" spans="1:19" x14ac:dyDescent="0.15">
      <c r="A8">
        <v>5</v>
      </c>
      <c r="B8" s="2" t="s">
        <v>12</v>
      </c>
      <c r="C8">
        <v>25</v>
      </c>
      <c r="D8">
        <f t="shared" si="1"/>
        <v>500000</v>
      </c>
      <c r="H8">
        <v>25</v>
      </c>
      <c r="I8">
        <v>10000</v>
      </c>
      <c r="J8">
        <v>20000</v>
      </c>
      <c r="K8">
        <v>50000</v>
      </c>
      <c r="L8">
        <f>SUM($I8:I8)*$H8</f>
        <v>250000</v>
      </c>
      <c r="M8">
        <f>SUM($I8:J8)*$H8</f>
        <v>750000</v>
      </c>
      <c r="N8">
        <f>SUM($I8:K8)*$H8</f>
        <v>2000000</v>
      </c>
      <c r="O8">
        <f t="shared" si="2"/>
        <v>1000000</v>
      </c>
      <c r="P8">
        <f t="shared" si="3"/>
        <v>4</v>
      </c>
      <c r="Q8">
        <f t="shared" si="4"/>
        <v>1.3333333333333333</v>
      </c>
      <c r="R8">
        <f t="shared" si="5"/>
        <v>0.5</v>
      </c>
      <c r="S8">
        <f t="shared" si="6"/>
        <v>1000000</v>
      </c>
    </row>
    <row r="9" spans="1:19" x14ac:dyDescent="0.15">
      <c r="A9">
        <v>6</v>
      </c>
      <c r="B9" s="2" t="s">
        <v>13</v>
      </c>
      <c r="C9">
        <v>26</v>
      </c>
      <c r="D9">
        <f t="shared" si="1"/>
        <v>520000</v>
      </c>
      <c r="H9">
        <v>26</v>
      </c>
      <c r="I9">
        <v>10000</v>
      </c>
      <c r="J9">
        <v>20000</v>
      </c>
      <c r="K9">
        <v>50000</v>
      </c>
      <c r="L9">
        <f>SUM($I9:I9)*$H9</f>
        <v>260000</v>
      </c>
      <c r="M9">
        <f>SUM($I9:J9)*$H9</f>
        <v>780000</v>
      </c>
      <c r="N9">
        <f>SUM($I9:K9)*$H9</f>
        <v>2080000</v>
      </c>
      <c r="O9">
        <f t="shared" si="2"/>
        <v>1040000</v>
      </c>
      <c r="P9">
        <f t="shared" si="3"/>
        <v>4</v>
      </c>
      <c r="Q9">
        <f t="shared" si="4"/>
        <v>1.3333333333333333</v>
      </c>
      <c r="R9">
        <f t="shared" si="5"/>
        <v>0.5</v>
      </c>
      <c r="S9">
        <f t="shared" si="6"/>
        <v>1040000</v>
      </c>
    </row>
    <row r="10" spans="1:19" x14ac:dyDescent="0.15">
      <c r="A10">
        <v>7</v>
      </c>
      <c r="B10" s="2" t="s">
        <v>14</v>
      </c>
      <c r="C10">
        <v>27</v>
      </c>
      <c r="D10">
        <f t="shared" si="1"/>
        <v>540000</v>
      </c>
      <c r="H10">
        <v>27</v>
      </c>
      <c r="I10">
        <v>10000</v>
      </c>
      <c r="J10">
        <v>20000</v>
      </c>
      <c r="K10">
        <v>50000</v>
      </c>
      <c r="L10">
        <f>SUM($I10:I10)*$H10</f>
        <v>270000</v>
      </c>
      <c r="M10">
        <f>SUM($I10:J10)*$H10</f>
        <v>810000</v>
      </c>
      <c r="N10">
        <f>SUM($I10:K10)*$H10</f>
        <v>2160000</v>
      </c>
      <c r="O10">
        <f t="shared" si="2"/>
        <v>1080000</v>
      </c>
      <c r="P10">
        <f t="shared" si="3"/>
        <v>4</v>
      </c>
      <c r="Q10">
        <f t="shared" si="4"/>
        <v>1.3333333333333333</v>
      </c>
      <c r="R10">
        <f t="shared" si="5"/>
        <v>0.5</v>
      </c>
      <c r="S10">
        <f t="shared" si="6"/>
        <v>1080000</v>
      </c>
    </row>
    <row r="11" spans="1:19" x14ac:dyDescent="0.15">
      <c r="A11">
        <v>8</v>
      </c>
      <c r="B11" s="2" t="s">
        <v>15</v>
      </c>
      <c r="C11">
        <v>28</v>
      </c>
      <c r="D11">
        <f t="shared" si="1"/>
        <v>560000</v>
      </c>
      <c r="H11">
        <v>28</v>
      </c>
      <c r="I11">
        <v>10000</v>
      </c>
      <c r="J11">
        <v>20000</v>
      </c>
      <c r="K11">
        <v>50000</v>
      </c>
      <c r="L11">
        <f>SUM($I11:I11)*$H11</f>
        <v>280000</v>
      </c>
      <c r="M11">
        <f>SUM($I11:J11)*$H11</f>
        <v>840000</v>
      </c>
      <c r="N11">
        <f>SUM($I11:K11)*$H11</f>
        <v>2240000</v>
      </c>
      <c r="O11">
        <f t="shared" si="2"/>
        <v>1120000</v>
      </c>
      <c r="P11">
        <f t="shared" si="3"/>
        <v>4</v>
      </c>
      <c r="Q11">
        <f t="shared" si="4"/>
        <v>1.3333333333333333</v>
      </c>
      <c r="R11">
        <f t="shared" si="5"/>
        <v>0.5</v>
      </c>
      <c r="S11">
        <f t="shared" si="6"/>
        <v>1120000</v>
      </c>
    </row>
    <row r="12" spans="1:19" x14ac:dyDescent="0.15">
      <c r="A12">
        <v>9</v>
      </c>
      <c r="B12" s="2" t="s">
        <v>16</v>
      </c>
      <c r="C12">
        <v>29</v>
      </c>
      <c r="D12">
        <f t="shared" si="1"/>
        <v>580000</v>
      </c>
      <c r="H12">
        <v>29</v>
      </c>
      <c r="I12">
        <v>10000</v>
      </c>
      <c r="J12">
        <v>20000</v>
      </c>
      <c r="K12">
        <v>50000</v>
      </c>
      <c r="L12">
        <f>SUM($I12:I12)*$H12</f>
        <v>290000</v>
      </c>
      <c r="M12">
        <f>SUM($I12:J12)*$H12</f>
        <v>870000</v>
      </c>
      <c r="N12">
        <f>SUM($I12:K12)*$H12</f>
        <v>2320000</v>
      </c>
      <c r="O12">
        <f t="shared" si="2"/>
        <v>1160000</v>
      </c>
      <c r="P12">
        <f t="shared" si="3"/>
        <v>4</v>
      </c>
      <c r="Q12">
        <f t="shared" si="4"/>
        <v>1.3333333333333333</v>
      </c>
      <c r="R12">
        <f t="shared" si="5"/>
        <v>0.5</v>
      </c>
      <c r="S12">
        <f t="shared" si="6"/>
        <v>1160000</v>
      </c>
    </row>
    <row r="13" spans="1:19" x14ac:dyDescent="0.15">
      <c r="A13">
        <v>10</v>
      </c>
      <c r="B13" s="2" t="s">
        <v>17</v>
      </c>
      <c r="C13">
        <v>30</v>
      </c>
      <c r="D13">
        <f t="shared" si="1"/>
        <v>600000</v>
      </c>
      <c r="H13">
        <v>30</v>
      </c>
      <c r="I13">
        <v>10000</v>
      </c>
      <c r="J13">
        <v>20000</v>
      </c>
      <c r="K13">
        <v>50000</v>
      </c>
      <c r="L13">
        <f>SUM($I13:I13)*$H13</f>
        <v>300000</v>
      </c>
      <c r="M13">
        <f>SUM($I13:J13)*$H13</f>
        <v>900000</v>
      </c>
      <c r="N13">
        <f>SUM($I13:K13)*$H13</f>
        <v>2400000</v>
      </c>
      <c r="O13">
        <f t="shared" si="2"/>
        <v>1200000</v>
      </c>
      <c r="P13">
        <f t="shared" si="3"/>
        <v>4</v>
      </c>
      <c r="Q13">
        <f t="shared" si="4"/>
        <v>1.3333333333333333</v>
      </c>
      <c r="R13">
        <f t="shared" si="5"/>
        <v>0.5</v>
      </c>
      <c r="S13">
        <f t="shared" si="6"/>
        <v>1200000</v>
      </c>
    </row>
    <row r="14" spans="1:19" x14ac:dyDescent="0.15">
      <c r="A14">
        <v>11</v>
      </c>
      <c r="B14" s="2" t="s">
        <v>18</v>
      </c>
      <c r="C14">
        <v>31</v>
      </c>
      <c r="D14">
        <f t="shared" si="1"/>
        <v>620000</v>
      </c>
      <c r="H14">
        <v>31</v>
      </c>
      <c r="I14">
        <v>10000</v>
      </c>
      <c r="J14">
        <v>20000</v>
      </c>
      <c r="K14">
        <v>50000</v>
      </c>
      <c r="L14">
        <f>SUM($I14:I14)*$H14</f>
        <v>310000</v>
      </c>
      <c r="M14">
        <f>SUM($I14:J14)*$H14</f>
        <v>930000</v>
      </c>
      <c r="N14">
        <f>SUM($I14:K14)*$H14</f>
        <v>2480000</v>
      </c>
      <c r="O14">
        <f t="shared" si="2"/>
        <v>1240000</v>
      </c>
      <c r="P14">
        <f t="shared" si="3"/>
        <v>4</v>
      </c>
      <c r="Q14">
        <f t="shared" si="4"/>
        <v>1.3333333333333333</v>
      </c>
      <c r="R14">
        <f t="shared" si="5"/>
        <v>0.5</v>
      </c>
      <c r="S14">
        <f t="shared" si="6"/>
        <v>1240000</v>
      </c>
    </row>
    <row r="15" spans="1:19" x14ac:dyDescent="0.15">
      <c r="A15">
        <v>12</v>
      </c>
      <c r="B15" s="2" t="s">
        <v>19</v>
      </c>
      <c r="C15">
        <v>32</v>
      </c>
      <c r="D15">
        <f t="shared" si="1"/>
        <v>640000</v>
      </c>
      <c r="H15">
        <v>32</v>
      </c>
      <c r="I15">
        <v>10000</v>
      </c>
      <c r="J15">
        <v>20000</v>
      </c>
      <c r="K15">
        <v>50000</v>
      </c>
      <c r="L15">
        <f>SUM($I15:I15)*$H15</f>
        <v>320000</v>
      </c>
      <c r="M15">
        <f>SUM($I15:J15)*$H15</f>
        <v>960000</v>
      </c>
      <c r="N15">
        <f>SUM($I15:K15)*$H15</f>
        <v>2560000</v>
      </c>
      <c r="O15">
        <f t="shared" si="2"/>
        <v>1280000</v>
      </c>
      <c r="P15">
        <f t="shared" si="3"/>
        <v>4</v>
      </c>
      <c r="Q15">
        <f t="shared" si="4"/>
        <v>1.3333333333333333</v>
      </c>
      <c r="R15">
        <f t="shared" si="5"/>
        <v>0.5</v>
      </c>
      <c r="S15">
        <f t="shared" si="6"/>
        <v>1280000</v>
      </c>
    </row>
    <row r="16" spans="1:19" x14ac:dyDescent="0.15">
      <c r="A16">
        <v>13</v>
      </c>
      <c r="B16" s="2" t="s">
        <v>20</v>
      </c>
      <c r="C16">
        <v>33</v>
      </c>
      <c r="D16">
        <f t="shared" si="1"/>
        <v>660000</v>
      </c>
      <c r="H16">
        <v>33</v>
      </c>
      <c r="I16">
        <v>10000</v>
      </c>
      <c r="J16">
        <v>20000</v>
      </c>
      <c r="K16">
        <v>50000</v>
      </c>
      <c r="L16">
        <f>SUM($I16:I16)*$H16</f>
        <v>330000</v>
      </c>
      <c r="M16">
        <f>SUM($I16:J16)*$H16</f>
        <v>990000</v>
      </c>
      <c r="N16">
        <f>SUM($I16:K16)*$H16</f>
        <v>2640000</v>
      </c>
      <c r="O16">
        <f t="shared" si="2"/>
        <v>1320000</v>
      </c>
      <c r="P16">
        <f t="shared" si="3"/>
        <v>4</v>
      </c>
      <c r="Q16">
        <f t="shared" si="4"/>
        <v>1.3333333333333333</v>
      </c>
      <c r="R16">
        <f t="shared" si="5"/>
        <v>0.5</v>
      </c>
      <c r="S16">
        <f t="shared" si="6"/>
        <v>1320000</v>
      </c>
    </row>
    <row r="17" spans="1:19" x14ac:dyDescent="0.15">
      <c r="A17">
        <v>14</v>
      </c>
      <c r="B17" s="2" t="s">
        <v>21</v>
      </c>
      <c r="C17">
        <v>34</v>
      </c>
      <c r="D17">
        <f t="shared" si="1"/>
        <v>680000</v>
      </c>
      <c r="H17">
        <v>34</v>
      </c>
      <c r="I17">
        <v>10000</v>
      </c>
      <c r="J17">
        <v>20000</v>
      </c>
      <c r="K17">
        <v>50000</v>
      </c>
      <c r="L17">
        <f>SUM($I17:I17)*$H17</f>
        <v>340000</v>
      </c>
      <c r="M17">
        <f>SUM($I17:J17)*$H17</f>
        <v>1020000</v>
      </c>
      <c r="N17">
        <f>SUM($I17:K17)*$H17</f>
        <v>2720000</v>
      </c>
      <c r="O17">
        <f t="shared" si="2"/>
        <v>1360000</v>
      </c>
      <c r="P17">
        <f t="shared" si="3"/>
        <v>4</v>
      </c>
      <c r="Q17">
        <f t="shared" si="4"/>
        <v>1.3333333333333333</v>
      </c>
      <c r="R17">
        <f t="shared" si="5"/>
        <v>0.5</v>
      </c>
      <c r="S17">
        <f t="shared" si="6"/>
        <v>1360000</v>
      </c>
    </row>
    <row r="18" spans="1:19" x14ac:dyDescent="0.15">
      <c r="A18">
        <v>15</v>
      </c>
      <c r="B18" s="2" t="s">
        <v>22</v>
      </c>
      <c r="C18">
        <v>35</v>
      </c>
      <c r="D18">
        <f t="shared" si="1"/>
        <v>700000</v>
      </c>
      <c r="H18">
        <v>35</v>
      </c>
      <c r="I18">
        <v>10000</v>
      </c>
      <c r="J18">
        <v>20000</v>
      </c>
      <c r="K18">
        <v>50000</v>
      </c>
      <c r="L18">
        <f>SUM($I18:I18)*$H18</f>
        <v>350000</v>
      </c>
      <c r="M18">
        <f>SUM($I18:J18)*$H18</f>
        <v>1050000</v>
      </c>
      <c r="N18">
        <f>SUM($I18:K18)*$H18</f>
        <v>2800000</v>
      </c>
      <c r="O18">
        <f t="shared" si="2"/>
        <v>1400000</v>
      </c>
      <c r="P18">
        <f t="shared" si="3"/>
        <v>4</v>
      </c>
      <c r="Q18">
        <f t="shared" si="4"/>
        <v>1.3333333333333333</v>
      </c>
      <c r="R18">
        <f t="shared" si="5"/>
        <v>0.5</v>
      </c>
      <c r="S18">
        <f t="shared" si="6"/>
        <v>1400000</v>
      </c>
    </row>
    <row r="19" spans="1:19" x14ac:dyDescent="0.15">
      <c r="A19">
        <v>16</v>
      </c>
      <c r="B19" s="2" t="s">
        <v>23</v>
      </c>
      <c r="C19">
        <v>36</v>
      </c>
      <c r="D19">
        <f t="shared" si="1"/>
        <v>720000</v>
      </c>
      <c r="H19">
        <v>36</v>
      </c>
      <c r="I19">
        <v>10000</v>
      </c>
      <c r="J19">
        <v>20000</v>
      </c>
      <c r="K19">
        <v>50000</v>
      </c>
      <c r="L19">
        <f>SUM($I19:I19)*$H19</f>
        <v>360000</v>
      </c>
      <c r="M19">
        <f>SUM($I19:J19)*$H19</f>
        <v>1080000</v>
      </c>
      <c r="N19">
        <f>SUM($I19:K19)*$H19</f>
        <v>2880000</v>
      </c>
      <c r="O19">
        <f t="shared" si="2"/>
        <v>1440000</v>
      </c>
      <c r="P19">
        <f t="shared" si="3"/>
        <v>4</v>
      </c>
      <c r="Q19">
        <f t="shared" si="4"/>
        <v>1.3333333333333333</v>
      </c>
      <c r="R19">
        <f t="shared" si="5"/>
        <v>0.5</v>
      </c>
      <c r="S19">
        <f t="shared" si="6"/>
        <v>1440000</v>
      </c>
    </row>
    <row r="20" spans="1:19" x14ac:dyDescent="0.15">
      <c r="A20">
        <v>17</v>
      </c>
      <c r="B20" s="2" t="s">
        <v>24</v>
      </c>
      <c r="C20">
        <v>37</v>
      </c>
      <c r="D20">
        <f t="shared" si="1"/>
        <v>740000</v>
      </c>
      <c r="H20">
        <v>37</v>
      </c>
      <c r="I20">
        <v>10000</v>
      </c>
      <c r="J20">
        <v>20000</v>
      </c>
      <c r="K20">
        <v>50000</v>
      </c>
      <c r="L20">
        <f>SUM($I20:I20)*$H20</f>
        <v>370000</v>
      </c>
      <c r="M20">
        <f>SUM($I20:J20)*$H20</f>
        <v>1110000</v>
      </c>
      <c r="N20">
        <f>SUM($I20:K20)*$H20</f>
        <v>2960000</v>
      </c>
      <c r="O20">
        <f t="shared" si="2"/>
        <v>1480000</v>
      </c>
      <c r="P20">
        <f t="shared" si="3"/>
        <v>4</v>
      </c>
      <c r="Q20">
        <f t="shared" si="4"/>
        <v>1.3333333333333333</v>
      </c>
      <c r="R20">
        <f t="shared" si="5"/>
        <v>0.5</v>
      </c>
      <c r="S20">
        <f t="shared" si="6"/>
        <v>1480000</v>
      </c>
    </row>
    <row r="21" spans="1:19" x14ac:dyDescent="0.15">
      <c r="A21">
        <v>18</v>
      </c>
      <c r="B21" s="2" t="s">
        <v>25</v>
      </c>
      <c r="C21">
        <v>38</v>
      </c>
      <c r="D21">
        <f t="shared" si="1"/>
        <v>760000</v>
      </c>
      <c r="H21">
        <v>38</v>
      </c>
      <c r="I21">
        <v>10000</v>
      </c>
      <c r="J21">
        <v>20000</v>
      </c>
      <c r="K21">
        <v>50000</v>
      </c>
      <c r="L21">
        <f>SUM($I21:I21)*$H21</f>
        <v>380000</v>
      </c>
      <c r="M21">
        <f>SUM($I21:J21)*$H21</f>
        <v>1140000</v>
      </c>
      <c r="N21">
        <f>SUM($I21:K21)*$H21</f>
        <v>3040000</v>
      </c>
      <c r="O21">
        <f t="shared" si="2"/>
        <v>1520000</v>
      </c>
      <c r="P21">
        <f t="shared" si="3"/>
        <v>4</v>
      </c>
      <c r="Q21">
        <f t="shared" si="4"/>
        <v>1.3333333333333333</v>
      </c>
      <c r="R21">
        <f t="shared" si="5"/>
        <v>0.5</v>
      </c>
      <c r="S21">
        <f t="shared" si="6"/>
        <v>1520000</v>
      </c>
    </row>
    <row r="22" spans="1:19" x14ac:dyDescent="0.15">
      <c r="A22">
        <v>19</v>
      </c>
      <c r="B22" s="2" t="s">
        <v>26</v>
      </c>
      <c r="C22">
        <v>39</v>
      </c>
      <c r="D22">
        <f t="shared" si="1"/>
        <v>780000</v>
      </c>
      <c r="H22">
        <v>39</v>
      </c>
      <c r="I22">
        <v>10000</v>
      </c>
      <c r="J22">
        <v>20000</v>
      </c>
      <c r="K22">
        <v>50000</v>
      </c>
      <c r="L22">
        <f>SUM($I22:I22)*$H22</f>
        <v>390000</v>
      </c>
      <c r="M22">
        <f>SUM($I22:J22)*$H22</f>
        <v>1170000</v>
      </c>
      <c r="N22">
        <f>SUM($I22:K22)*$H22</f>
        <v>3120000</v>
      </c>
      <c r="O22">
        <f t="shared" si="2"/>
        <v>1560000</v>
      </c>
      <c r="P22">
        <f t="shared" si="3"/>
        <v>4</v>
      </c>
      <c r="Q22">
        <f t="shared" si="4"/>
        <v>1.3333333333333333</v>
      </c>
      <c r="R22">
        <f t="shared" si="5"/>
        <v>0.5</v>
      </c>
      <c r="S22">
        <f t="shared" si="6"/>
        <v>1560000</v>
      </c>
    </row>
    <row r="23" spans="1:19" x14ac:dyDescent="0.15">
      <c r="A23">
        <v>20</v>
      </c>
      <c r="B23" s="2" t="s">
        <v>27</v>
      </c>
      <c r="C23">
        <v>40</v>
      </c>
      <c r="D23">
        <f t="shared" si="1"/>
        <v>800000</v>
      </c>
      <c r="H23">
        <v>40</v>
      </c>
      <c r="I23">
        <v>10000</v>
      </c>
      <c r="J23">
        <v>20000</v>
      </c>
      <c r="K23">
        <v>50000</v>
      </c>
      <c r="L23">
        <f>SUM($I23:I23)*$H23</f>
        <v>400000</v>
      </c>
      <c r="M23">
        <f>SUM($I23:J23)*$H23</f>
        <v>1200000</v>
      </c>
      <c r="N23">
        <f>SUM($I23:K23)*$H23</f>
        <v>3200000</v>
      </c>
      <c r="O23">
        <f t="shared" si="2"/>
        <v>1600000</v>
      </c>
      <c r="P23">
        <f t="shared" si="3"/>
        <v>4</v>
      </c>
      <c r="Q23">
        <f t="shared" si="4"/>
        <v>1.3333333333333333</v>
      </c>
      <c r="R23">
        <f t="shared" si="5"/>
        <v>0.5</v>
      </c>
      <c r="S23">
        <f t="shared" si="6"/>
        <v>1600000</v>
      </c>
    </row>
    <row r="24" spans="1:19" x14ac:dyDescent="0.15">
      <c r="A24">
        <v>21</v>
      </c>
      <c r="B24" s="2" t="s">
        <v>28</v>
      </c>
      <c r="C24">
        <v>41</v>
      </c>
      <c r="D24">
        <f t="shared" si="1"/>
        <v>820000</v>
      </c>
      <c r="H24">
        <v>41</v>
      </c>
      <c r="I24">
        <v>10000</v>
      </c>
      <c r="J24">
        <v>20000</v>
      </c>
      <c r="K24">
        <v>50000</v>
      </c>
      <c r="L24">
        <f>SUM($I24:I24)*$H24</f>
        <v>410000</v>
      </c>
      <c r="M24">
        <f>SUM($I24:J24)*$H24</f>
        <v>1230000</v>
      </c>
      <c r="N24">
        <f>SUM($I24:K24)*$H24</f>
        <v>3280000</v>
      </c>
      <c r="O24">
        <f t="shared" si="2"/>
        <v>1640000</v>
      </c>
      <c r="P24">
        <f t="shared" si="3"/>
        <v>4</v>
      </c>
      <c r="Q24">
        <f t="shared" si="4"/>
        <v>1.3333333333333333</v>
      </c>
      <c r="R24">
        <f t="shared" si="5"/>
        <v>0.5</v>
      </c>
      <c r="S24">
        <f t="shared" si="6"/>
        <v>1640000</v>
      </c>
    </row>
    <row r="25" spans="1:19" x14ac:dyDescent="0.15">
      <c r="A25">
        <v>22</v>
      </c>
      <c r="B25" s="2" t="s">
        <v>29</v>
      </c>
      <c r="C25">
        <v>42</v>
      </c>
      <c r="D25">
        <f t="shared" si="1"/>
        <v>840000</v>
      </c>
      <c r="H25">
        <v>42</v>
      </c>
      <c r="I25">
        <v>10000</v>
      </c>
      <c r="J25">
        <v>20000</v>
      </c>
      <c r="K25">
        <v>50000</v>
      </c>
      <c r="L25">
        <f>SUM($I25:I25)*$H25</f>
        <v>420000</v>
      </c>
      <c r="M25">
        <f>SUM($I25:J25)*$H25</f>
        <v>1260000</v>
      </c>
      <c r="N25">
        <f>SUM($I25:K25)*$H25</f>
        <v>3360000</v>
      </c>
      <c r="O25">
        <f t="shared" si="2"/>
        <v>1680000</v>
      </c>
      <c r="P25">
        <f t="shared" si="3"/>
        <v>4</v>
      </c>
      <c r="Q25">
        <f t="shared" si="4"/>
        <v>1.3333333333333333</v>
      </c>
      <c r="R25">
        <f t="shared" si="5"/>
        <v>0.5</v>
      </c>
      <c r="S25">
        <f t="shared" si="6"/>
        <v>1680000</v>
      </c>
    </row>
    <row r="26" spans="1:19" x14ac:dyDescent="0.15">
      <c r="A26">
        <v>23</v>
      </c>
      <c r="B26" s="2" t="s">
        <v>30</v>
      </c>
      <c r="C26">
        <v>43</v>
      </c>
      <c r="D26">
        <f t="shared" si="1"/>
        <v>860000</v>
      </c>
      <c r="H26">
        <v>43</v>
      </c>
      <c r="I26">
        <v>10000</v>
      </c>
      <c r="J26">
        <v>20000</v>
      </c>
      <c r="K26">
        <v>50000</v>
      </c>
      <c r="L26">
        <f>SUM($I26:I26)*$H26</f>
        <v>430000</v>
      </c>
      <c r="M26">
        <f>SUM($I26:J26)*$H26</f>
        <v>1290000</v>
      </c>
      <c r="N26">
        <f>SUM($I26:K26)*$H26</f>
        <v>3440000</v>
      </c>
      <c r="O26">
        <f t="shared" si="2"/>
        <v>1720000</v>
      </c>
      <c r="P26">
        <f t="shared" si="3"/>
        <v>4</v>
      </c>
      <c r="Q26">
        <f t="shared" si="4"/>
        <v>1.3333333333333333</v>
      </c>
      <c r="R26">
        <f t="shared" si="5"/>
        <v>0.5</v>
      </c>
      <c r="S26">
        <f t="shared" si="6"/>
        <v>1720000</v>
      </c>
    </row>
    <row r="27" spans="1:19" x14ac:dyDescent="0.15">
      <c r="A27">
        <v>24</v>
      </c>
      <c r="B27" s="2" t="s">
        <v>31</v>
      </c>
      <c r="C27">
        <v>44</v>
      </c>
      <c r="D27">
        <f t="shared" si="1"/>
        <v>880000</v>
      </c>
      <c r="H27">
        <v>44</v>
      </c>
      <c r="I27">
        <v>10000</v>
      </c>
      <c r="J27">
        <v>20000</v>
      </c>
      <c r="K27">
        <v>50000</v>
      </c>
      <c r="L27">
        <f>SUM($I27:I27)*$H27</f>
        <v>440000</v>
      </c>
      <c r="M27">
        <f>SUM($I27:J27)*$H27</f>
        <v>1320000</v>
      </c>
      <c r="N27">
        <f>SUM($I27:K27)*$H27</f>
        <v>3520000</v>
      </c>
      <c r="O27">
        <f t="shared" si="2"/>
        <v>1760000</v>
      </c>
      <c r="P27">
        <f t="shared" si="3"/>
        <v>4</v>
      </c>
      <c r="Q27">
        <f t="shared" si="4"/>
        <v>1.3333333333333333</v>
      </c>
      <c r="R27">
        <f t="shared" si="5"/>
        <v>0.5</v>
      </c>
      <c r="S27">
        <f t="shared" si="6"/>
        <v>1760000</v>
      </c>
    </row>
    <row r="28" spans="1:19" x14ac:dyDescent="0.15">
      <c r="A28">
        <v>25</v>
      </c>
      <c r="B28" s="2" t="s">
        <v>32</v>
      </c>
      <c r="C28">
        <v>45</v>
      </c>
      <c r="D28">
        <f t="shared" si="1"/>
        <v>900000</v>
      </c>
      <c r="H28">
        <v>45</v>
      </c>
      <c r="I28">
        <v>10000</v>
      </c>
      <c r="J28">
        <v>20000</v>
      </c>
      <c r="K28">
        <v>50000</v>
      </c>
      <c r="L28">
        <f>SUM($I28:I28)*$H28</f>
        <v>450000</v>
      </c>
      <c r="M28">
        <f>SUM($I28:J28)*$H28</f>
        <v>1350000</v>
      </c>
      <c r="N28">
        <f>SUM($I28:K28)*$H28</f>
        <v>3600000</v>
      </c>
      <c r="O28">
        <f t="shared" si="2"/>
        <v>1800000</v>
      </c>
      <c r="P28">
        <f t="shared" si="3"/>
        <v>4</v>
      </c>
      <c r="Q28">
        <f t="shared" si="4"/>
        <v>1.3333333333333333</v>
      </c>
      <c r="R28">
        <f t="shared" si="5"/>
        <v>0.5</v>
      </c>
      <c r="S28">
        <f t="shared" si="6"/>
        <v>1800000</v>
      </c>
    </row>
    <row r="29" spans="1:19" x14ac:dyDescent="0.15">
      <c r="A29">
        <v>26</v>
      </c>
      <c r="B29" s="2" t="s">
        <v>33</v>
      </c>
      <c r="C29">
        <v>46</v>
      </c>
      <c r="D29">
        <f t="shared" si="1"/>
        <v>920000</v>
      </c>
      <c r="H29">
        <v>46</v>
      </c>
      <c r="I29">
        <v>10000</v>
      </c>
      <c r="J29">
        <v>20000</v>
      </c>
      <c r="K29">
        <v>50000</v>
      </c>
      <c r="L29">
        <f>SUM($I29:I29)*$H29</f>
        <v>460000</v>
      </c>
      <c r="M29">
        <f>SUM($I29:J29)*$H29</f>
        <v>1380000</v>
      </c>
      <c r="N29">
        <f>SUM($I29:K29)*$H29</f>
        <v>3680000</v>
      </c>
      <c r="O29">
        <f t="shared" si="2"/>
        <v>1840000</v>
      </c>
      <c r="P29">
        <f t="shared" si="3"/>
        <v>4</v>
      </c>
      <c r="Q29">
        <f t="shared" si="4"/>
        <v>1.3333333333333333</v>
      </c>
      <c r="R29">
        <f t="shared" si="5"/>
        <v>0.5</v>
      </c>
      <c r="S29">
        <f t="shared" si="6"/>
        <v>1840000</v>
      </c>
    </row>
    <row r="30" spans="1:19" x14ac:dyDescent="0.15">
      <c r="A30">
        <v>27</v>
      </c>
      <c r="B30" s="2" t="s">
        <v>34</v>
      </c>
      <c r="C30">
        <v>47</v>
      </c>
      <c r="D30">
        <f t="shared" si="1"/>
        <v>940000</v>
      </c>
      <c r="H30">
        <v>47</v>
      </c>
      <c r="I30">
        <v>10000</v>
      </c>
      <c r="J30">
        <v>20000</v>
      </c>
      <c r="K30">
        <v>50000</v>
      </c>
      <c r="L30">
        <f>SUM($I30:I30)*$H30</f>
        <v>470000</v>
      </c>
      <c r="M30">
        <f>SUM($I30:J30)*$H30</f>
        <v>1410000</v>
      </c>
      <c r="N30">
        <f>SUM($I30:K30)*$H30</f>
        <v>3760000</v>
      </c>
      <c r="O30">
        <f t="shared" si="2"/>
        <v>1880000</v>
      </c>
      <c r="P30">
        <f t="shared" si="3"/>
        <v>4</v>
      </c>
      <c r="Q30">
        <f t="shared" si="4"/>
        <v>1.3333333333333333</v>
      </c>
      <c r="R30">
        <f t="shared" si="5"/>
        <v>0.5</v>
      </c>
      <c r="S30">
        <f t="shared" si="6"/>
        <v>1880000</v>
      </c>
    </row>
    <row r="31" spans="1:19" x14ac:dyDescent="0.15">
      <c r="A31">
        <v>28</v>
      </c>
      <c r="B31" s="2" t="s">
        <v>35</v>
      </c>
      <c r="C31">
        <v>48</v>
      </c>
      <c r="D31">
        <f t="shared" si="1"/>
        <v>960000</v>
      </c>
      <c r="H31">
        <v>48</v>
      </c>
      <c r="I31">
        <v>10000</v>
      </c>
      <c r="J31">
        <v>20000</v>
      </c>
      <c r="K31">
        <v>50000</v>
      </c>
      <c r="L31">
        <f>SUM($I31:I31)*$H31</f>
        <v>480000</v>
      </c>
      <c r="M31">
        <f>SUM($I31:J31)*$H31</f>
        <v>1440000</v>
      </c>
      <c r="N31">
        <f>SUM($I31:K31)*$H31</f>
        <v>3840000</v>
      </c>
      <c r="O31">
        <f t="shared" si="2"/>
        <v>1920000</v>
      </c>
      <c r="P31">
        <f t="shared" si="3"/>
        <v>4</v>
      </c>
      <c r="Q31">
        <f t="shared" si="4"/>
        <v>1.3333333333333333</v>
      </c>
      <c r="R31">
        <f t="shared" si="5"/>
        <v>0.5</v>
      </c>
      <c r="S31">
        <f t="shared" si="6"/>
        <v>1920000</v>
      </c>
    </row>
    <row r="32" spans="1:19" x14ac:dyDescent="0.15">
      <c r="A32">
        <v>29</v>
      </c>
      <c r="B32" s="2" t="s">
        <v>36</v>
      </c>
      <c r="C32">
        <v>49</v>
      </c>
      <c r="D32">
        <f t="shared" si="1"/>
        <v>980000</v>
      </c>
      <c r="H32">
        <v>49</v>
      </c>
      <c r="I32">
        <v>10000</v>
      </c>
      <c r="J32">
        <v>20000</v>
      </c>
      <c r="K32">
        <v>50000</v>
      </c>
      <c r="L32">
        <f>SUM($I32:I32)*$H32</f>
        <v>490000</v>
      </c>
      <c r="M32">
        <f>SUM($I32:J32)*$H32</f>
        <v>1470000</v>
      </c>
      <c r="N32">
        <f>SUM($I32:K32)*$H32</f>
        <v>3920000</v>
      </c>
      <c r="O32">
        <f t="shared" si="2"/>
        <v>1960000</v>
      </c>
      <c r="P32">
        <f t="shared" si="3"/>
        <v>4</v>
      </c>
      <c r="Q32">
        <f t="shared" si="4"/>
        <v>1.3333333333333333</v>
      </c>
      <c r="R32">
        <f t="shared" si="5"/>
        <v>0.5</v>
      </c>
      <c r="S32">
        <f t="shared" si="6"/>
        <v>1960000</v>
      </c>
    </row>
    <row r="33" spans="1:19" x14ac:dyDescent="0.15">
      <c r="A33">
        <v>30</v>
      </c>
      <c r="B33" s="2" t="s">
        <v>37</v>
      </c>
      <c r="C33">
        <v>50</v>
      </c>
      <c r="D33">
        <f t="shared" si="1"/>
        <v>1000000</v>
      </c>
      <c r="H33">
        <v>50</v>
      </c>
      <c r="I33">
        <v>10000</v>
      </c>
      <c r="J33">
        <v>20000</v>
      </c>
      <c r="K33">
        <v>50000</v>
      </c>
      <c r="L33">
        <f>SUM($I33:I33)*$H33</f>
        <v>500000</v>
      </c>
      <c r="M33">
        <f>SUM($I33:J33)*$H33</f>
        <v>1500000</v>
      </c>
      <c r="N33">
        <f>SUM($I33:K33)*$H33</f>
        <v>4000000</v>
      </c>
      <c r="O33">
        <f t="shared" si="2"/>
        <v>2000000</v>
      </c>
      <c r="P33">
        <f t="shared" si="3"/>
        <v>4</v>
      </c>
      <c r="Q33">
        <f t="shared" si="4"/>
        <v>1.3333333333333333</v>
      </c>
      <c r="R33">
        <f t="shared" si="5"/>
        <v>0.5</v>
      </c>
      <c r="S33">
        <f t="shared" si="6"/>
        <v>2000000</v>
      </c>
    </row>
  </sheetData>
  <phoneticPr fontId="1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guildExpData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pp</cp:lastModifiedBy>
  <dcterms:created xsi:type="dcterms:W3CDTF">2006-09-16T00:00:00Z</dcterms:created>
  <dcterms:modified xsi:type="dcterms:W3CDTF">2021-01-07T06:04:05Z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