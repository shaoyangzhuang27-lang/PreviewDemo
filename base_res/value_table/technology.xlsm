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/>
  <workbookPr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CBD30251-AF26-4BCA-873E-61B04C8951BD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technology" sheetId="1" r:id="rId1"/>
  </sheets>
  <calcPr calcId="191029"/>
</workbook>
</file>

<file path=xl/calcChain.xml><?xml version="1.0" encoding="utf-8"?>
<calcChain xmlns="http://schemas.openxmlformats.org/spreadsheetml/2006/main">
  <c r="Y4" i="1" l="1"/>
  <c r="Y5" i="1" s="1"/>
  <c r="Y6" i="1" s="1"/>
  <c r="Y7" i="1" s="1"/>
  <c r="Y8" i="1" s="1"/>
  <c r="Y9" i="1" s="1"/>
  <c r="Y10" i="1" s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V10" i="1"/>
  <c r="V7" i="1"/>
  <c r="V6" i="1"/>
  <c r="X4" i="1"/>
  <c r="X5" i="1" l="1"/>
  <c r="X6" i="1" s="1"/>
  <c r="X7" i="1" s="1"/>
  <c r="X8" i="1" s="1"/>
  <c r="X9" i="1" s="1"/>
  <c r="X10" i="1" s="1"/>
  <c r="X11" i="1" s="1"/>
  <c r="X12" i="1" s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4" i="1"/>
  <c r="V8" i="1"/>
  <c r="V5" i="1"/>
  <c r="V11" i="1" l="1"/>
  <c r="B6" i="1" l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C5" i="1"/>
  <c r="B5" i="1"/>
</calcChain>
</file>

<file path=xl/sharedStrings.xml><?xml version="1.0" encoding="utf-8"?>
<sst xmlns="http://schemas.openxmlformats.org/spreadsheetml/2006/main" count="46" uniqueCount="44">
  <si>
    <t>id</t>
  </si>
  <si>
    <t>pro_type</t>
  </si>
  <si>
    <t>pro_num</t>
  </si>
  <si>
    <t>levelup_money</t>
  </si>
  <si>
    <t>levelup_guild_coin</t>
  </si>
  <si>
    <t>int32</t>
  </si>
  <si>
    <t>list&lt;int32&gt;</t>
  </si>
  <si>
    <t>list&lt;float32&gt;</t>
  </si>
  <si>
    <t>ID</t>
  </si>
  <si>
    <t>属性类型列表</t>
  </si>
  <si>
    <t>属性值列表</t>
  </si>
  <si>
    <t>升级所需金币</t>
  </si>
  <si>
    <t>升级所需公会币</t>
  </si>
  <si>
    <t>0</t>
  </si>
  <si>
    <t>属性类型1</t>
    <phoneticPr fontId="1" type="noConversion"/>
  </si>
  <si>
    <t>属性类型2</t>
  </si>
  <si>
    <t>属性值2</t>
  </si>
  <si>
    <t>属性类型3</t>
  </si>
  <si>
    <t>属性值3</t>
  </si>
  <si>
    <t>属性类型4</t>
  </si>
  <si>
    <t>属性值4</t>
  </si>
  <si>
    <t>属性类型5</t>
  </si>
  <si>
    <t>属性值5</t>
  </si>
  <si>
    <t>属性类型6</t>
  </si>
  <si>
    <t>属性值6</t>
  </si>
  <si>
    <t>预期金币总消耗</t>
    <phoneticPr fontId="1" type="noConversion"/>
  </si>
  <si>
    <t>签到</t>
    <phoneticPr fontId="1" type="noConversion"/>
  </si>
  <si>
    <t>磨坊</t>
    <phoneticPr fontId="1" type="noConversion"/>
  </si>
  <si>
    <t>训练场最小</t>
    <phoneticPr fontId="1" type="noConversion"/>
  </si>
  <si>
    <t>训练场最大</t>
    <phoneticPr fontId="1" type="noConversion"/>
  </si>
  <si>
    <t>BOSS</t>
    <phoneticPr fontId="1" type="noConversion"/>
  </si>
  <si>
    <t>BOSS奖励</t>
    <phoneticPr fontId="1" type="noConversion"/>
  </si>
  <si>
    <t>公会币来源</t>
    <phoneticPr fontId="1" type="noConversion"/>
  </si>
  <si>
    <t>数量/周</t>
    <phoneticPr fontId="1" type="noConversion"/>
  </si>
  <si>
    <t>预期8周升满1个</t>
    <phoneticPr fontId="1" type="noConversion"/>
  </si>
  <si>
    <t>公会币消耗</t>
    <phoneticPr fontId="1" type="noConversion"/>
  </si>
  <si>
    <t>金币消耗</t>
    <phoneticPr fontId="1" type="noConversion"/>
  </si>
  <si>
    <t>2*1</t>
    <phoneticPr fontId="1" type="noConversion"/>
  </si>
  <si>
    <t>2*3</t>
    <phoneticPr fontId="1" type="noConversion"/>
  </si>
  <si>
    <t>2*5</t>
    <phoneticPr fontId="1" type="noConversion"/>
  </si>
  <si>
    <t>2*7</t>
    <phoneticPr fontId="1" type="noConversion"/>
  </si>
  <si>
    <t>2*9</t>
    <phoneticPr fontId="1" type="noConversion"/>
  </si>
  <si>
    <t>每周总获得</t>
    <phoneticPr fontId="1" type="noConversion"/>
  </si>
  <si>
    <t>属性值1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</si>
</sst>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0" borderId="0" xfId="0" applyFont="1" applyAlignment="1"/>
    <xf numFmtId="49" fontId="0" fillId="0" borderId="0" xfId="0" applyNumberFormat="1" applyFont="1" applyAlignment="1"/>
    <xf numFmtId="0" fontId="0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/>
    <xf numFmtId="0" fontId="0" fillId="0" borderId="0" xfId="0" applyNumberFormat="1" applyFont="1" applyAlignment="1"/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technology!$X$4:$X$124</c:f>
              <c:numCache>
                <c:formatCode>General</c:formatCode>
                <c:ptCount val="121"/>
                <c:pt idx="0">
                  <c:v>100</c:v>
                </c:pt>
                <c:pt idx="1">
                  <c:v>102</c:v>
                </c:pt>
                <c:pt idx="2">
                  <c:v>104</c:v>
                </c:pt>
                <c:pt idx="3">
                  <c:v>106</c:v>
                </c:pt>
                <c:pt idx="4">
                  <c:v>108</c:v>
                </c:pt>
                <c:pt idx="5">
                  <c:v>110</c:v>
                </c:pt>
                <c:pt idx="6">
                  <c:v>116</c:v>
                </c:pt>
                <c:pt idx="7">
                  <c:v>122</c:v>
                </c:pt>
                <c:pt idx="8">
                  <c:v>128</c:v>
                </c:pt>
                <c:pt idx="9">
                  <c:v>134</c:v>
                </c:pt>
                <c:pt idx="10">
                  <c:v>140</c:v>
                </c:pt>
                <c:pt idx="11">
                  <c:v>146</c:v>
                </c:pt>
                <c:pt idx="12">
                  <c:v>156</c:v>
                </c:pt>
                <c:pt idx="13">
                  <c:v>166</c:v>
                </c:pt>
                <c:pt idx="14">
                  <c:v>176</c:v>
                </c:pt>
                <c:pt idx="15">
                  <c:v>186</c:v>
                </c:pt>
                <c:pt idx="16">
                  <c:v>196</c:v>
                </c:pt>
                <c:pt idx="17">
                  <c:v>206</c:v>
                </c:pt>
                <c:pt idx="18">
                  <c:v>220</c:v>
                </c:pt>
                <c:pt idx="19">
                  <c:v>234</c:v>
                </c:pt>
                <c:pt idx="20">
                  <c:v>248</c:v>
                </c:pt>
                <c:pt idx="21">
                  <c:v>262</c:v>
                </c:pt>
                <c:pt idx="22">
                  <c:v>276</c:v>
                </c:pt>
                <c:pt idx="23">
                  <c:v>290</c:v>
                </c:pt>
                <c:pt idx="24">
                  <c:v>308</c:v>
                </c:pt>
                <c:pt idx="25">
                  <c:v>326</c:v>
                </c:pt>
                <c:pt idx="26">
                  <c:v>344</c:v>
                </c:pt>
                <c:pt idx="27">
                  <c:v>362</c:v>
                </c:pt>
                <c:pt idx="28">
                  <c:v>380</c:v>
                </c:pt>
                <c:pt idx="29">
                  <c:v>398</c:v>
                </c:pt>
                <c:pt idx="30">
                  <c:v>420</c:v>
                </c:pt>
                <c:pt idx="31">
                  <c:v>442</c:v>
                </c:pt>
                <c:pt idx="32">
                  <c:v>464</c:v>
                </c:pt>
                <c:pt idx="33">
                  <c:v>486</c:v>
                </c:pt>
                <c:pt idx="34">
                  <c:v>508</c:v>
                </c:pt>
                <c:pt idx="35">
                  <c:v>530</c:v>
                </c:pt>
                <c:pt idx="36">
                  <c:v>556</c:v>
                </c:pt>
                <c:pt idx="37">
                  <c:v>582</c:v>
                </c:pt>
                <c:pt idx="38">
                  <c:v>608</c:v>
                </c:pt>
                <c:pt idx="39">
                  <c:v>634</c:v>
                </c:pt>
                <c:pt idx="40">
                  <c:v>660</c:v>
                </c:pt>
                <c:pt idx="41">
                  <c:v>686</c:v>
                </c:pt>
                <c:pt idx="42">
                  <c:v>716</c:v>
                </c:pt>
                <c:pt idx="43">
                  <c:v>746</c:v>
                </c:pt>
                <c:pt idx="44">
                  <c:v>776</c:v>
                </c:pt>
                <c:pt idx="45">
                  <c:v>806</c:v>
                </c:pt>
                <c:pt idx="46">
                  <c:v>836</c:v>
                </c:pt>
                <c:pt idx="47">
                  <c:v>866</c:v>
                </c:pt>
                <c:pt idx="48">
                  <c:v>900</c:v>
                </c:pt>
                <c:pt idx="49">
                  <c:v>934</c:v>
                </c:pt>
                <c:pt idx="50">
                  <c:v>968</c:v>
                </c:pt>
                <c:pt idx="51">
                  <c:v>1002</c:v>
                </c:pt>
                <c:pt idx="52">
                  <c:v>1036</c:v>
                </c:pt>
                <c:pt idx="53">
                  <c:v>1070</c:v>
                </c:pt>
                <c:pt idx="54">
                  <c:v>1108</c:v>
                </c:pt>
                <c:pt idx="55">
                  <c:v>1146</c:v>
                </c:pt>
                <c:pt idx="56">
                  <c:v>1184</c:v>
                </c:pt>
                <c:pt idx="57">
                  <c:v>1222</c:v>
                </c:pt>
                <c:pt idx="58">
                  <c:v>1260</c:v>
                </c:pt>
                <c:pt idx="59">
                  <c:v>1298</c:v>
                </c:pt>
                <c:pt idx="60">
                  <c:v>1340</c:v>
                </c:pt>
                <c:pt idx="61">
                  <c:v>1382</c:v>
                </c:pt>
                <c:pt idx="62">
                  <c:v>1424</c:v>
                </c:pt>
                <c:pt idx="63">
                  <c:v>1466</c:v>
                </c:pt>
                <c:pt idx="64">
                  <c:v>1508</c:v>
                </c:pt>
                <c:pt idx="65">
                  <c:v>1550</c:v>
                </c:pt>
                <c:pt idx="66">
                  <c:v>1596</c:v>
                </c:pt>
                <c:pt idx="67">
                  <c:v>1642</c:v>
                </c:pt>
                <c:pt idx="68">
                  <c:v>1688</c:v>
                </c:pt>
                <c:pt idx="69">
                  <c:v>1734</c:v>
                </c:pt>
                <c:pt idx="70">
                  <c:v>1780</c:v>
                </c:pt>
                <c:pt idx="71">
                  <c:v>1826</c:v>
                </c:pt>
                <c:pt idx="72">
                  <c:v>1876</c:v>
                </c:pt>
                <c:pt idx="73">
                  <c:v>1926</c:v>
                </c:pt>
                <c:pt idx="74">
                  <c:v>1976</c:v>
                </c:pt>
                <c:pt idx="75">
                  <c:v>2026</c:v>
                </c:pt>
                <c:pt idx="76">
                  <c:v>2076</c:v>
                </c:pt>
                <c:pt idx="77">
                  <c:v>2126</c:v>
                </c:pt>
                <c:pt idx="78">
                  <c:v>2180</c:v>
                </c:pt>
                <c:pt idx="79">
                  <c:v>2234</c:v>
                </c:pt>
                <c:pt idx="80">
                  <c:v>2288</c:v>
                </c:pt>
                <c:pt idx="81">
                  <c:v>2342</c:v>
                </c:pt>
                <c:pt idx="82">
                  <c:v>2396</c:v>
                </c:pt>
                <c:pt idx="83">
                  <c:v>2450</c:v>
                </c:pt>
                <c:pt idx="84">
                  <c:v>2508</c:v>
                </c:pt>
                <c:pt idx="85">
                  <c:v>2566</c:v>
                </c:pt>
                <c:pt idx="86">
                  <c:v>2624</c:v>
                </c:pt>
                <c:pt idx="87">
                  <c:v>2682</c:v>
                </c:pt>
                <c:pt idx="88">
                  <c:v>2740</c:v>
                </c:pt>
                <c:pt idx="89">
                  <c:v>2798</c:v>
                </c:pt>
                <c:pt idx="90">
                  <c:v>2860</c:v>
                </c:pt>
                <c:pt idx="91">
                  <c:v>2922</c:v>
                </c:pt>
                <c:pt idx="92">
                  <c:v>2984</c:v>
                </c:pt>
                <c:pt idx="93">
                  <c:v>3046</c:v>
                </c:pt>
                <c:pt idx="94">
                  <c:v>3108</c:v>
                </c:pt>
                <c:pt idx="95">
                  <c:v>3170</c:v>
                </c:pt>
                <c:pt idx="96">
                  <c:v>3236</c:v>
                </c:pt>
                <c:pt idx="97">
                  <c:v>3302</c:v>
                </c:pt>
                <c:pt idx="98">
                  <c:v>3368</c:v>
                </c:pt>
                <c:pt idx="99">
                  <c:v>3434</c:v>
                </c:pt>
                <c:pt idx="100">
                  <c:v>3500</c:v>
                </c:pt>
                <c:pt idx="101">
                  <c:v>3566</c:v>
                </c:pt>
                <c:pt idx="102">
                  <c:v>3636</c:v>
                </c:pt>
                <c:pt idx="103">
                  <c:v>3706</c:v>
                </c:pt>
                <c:pt idx="104">
                  <c:v>3776</c:v>
                </c:pt>
                <c:pt idx="105">
                  <c:v>3846</c:v>
                </c:pt>
                <c:pt idx="106">
                  <c:v>3916</c:v>
                </c:pt>
                <c:pt idx="107">
                  <c:v>3986</c:v>
                </c:pt>
                <c:pt idx="108">
                  <c:v>4060</c:v>
                </c:pt>
                <c:pt idx="109">
                  <c:v>4134</c:v>
                </c:pt>
                <c:pt idx="110">
                  <c:v>4208</c:v>
                </c:pt>
                <c:pt idx="111">
                  <c:v>4282</c:v>
                </c:pt>
                <c:pt idx="112">
                  <c:v>4356</c:v>
                </c:pt>
                <c:pt idx="113">
                  <c:v>4430</c:v>
                </c:pt>
                <c:pt idx="114">
                  <c:v>4508</c:v>
                </c:pt>
                <c:pt idx="115">
                  <c:v>4586</c:v>
                </c:pt>
                <c:pt idx="116">
                  <c:v>4664</c:v>
                </c:pt>
                <c:pt idx="117">
                  <c:v>4742</c:v>
                </c:pt>
                <c:pt idx="118">
                  <c:v>4820</c:v>
                </c:pt>
                <c:pt idx="119">
                  <c:v>4898</c:v>
                </c:pt>
                <c:pt idx="120">
                  <c:v>4980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6-4A6F-9485-052119AD4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0081104"/>
        <c:axId val="460081760"/>
      </c:lineChart>
      <c:catAx>
        <c:axId val="4600811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0081760"/>
        <c:crosses val="autoZero"/>
        <c:auto val="1"/>
        <c:lblAlgn val="ctr"/>
        <c:lblOffset val="100"/>
        <c:noMultiLvlLbl val="0"/>
      </c:catAx>
      <c:valAx>
        <c:axId val="46008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008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509587</xdr:colOff>
      <xdr:row>13</xdr:row>
      <xdr:rowOff>152400</xdr:rowOff>
    </xdr:from>
    <xdr:to>
      <xdr:col>38</xdr:col>
      <xdr:colOff>280987</xdr:colOff>
      <xdr:row>29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EAE8AC5-6D89-46F4-AB6B-0147BF24C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N124"/>
  <sheetViews>
    <sheetView tabSelected="1" workbookViewId="0">
      <selection activeCell="J9" sqref="J9"/>
    </sheetView>
  </sheetViews>
  <sheetFormatPr defaultColWidth="9" defaultRowHeight="13.5" x14ac:dyDescent="0.15"/>
  <cols>
    <col min="1" max="1" width="11" customWidth="1"/>
    <col min="2" max="2" width="16.125" bestFit="1" customWidth="1"/>
    <col min="3" max="3" width="37.125" style="1" bestFit="1" customWidth="1"/>
    <col min="4" max="4" width="15" style="1" customWidth="1"/>
    <col min="5" max="5" width="18.375" customWidth="1"/>
    <col min="6" max="6" width="16.375" customWidth="1"/>
    <col min="7" max="7" width="10" bestFit="1" customWidth="1"/>
    <col min="8" max="8" width="8.125" bestFit="1" customWidth="1"/>
    <col min="9" max="9" width="10" bestFit="1" customWidth="1"/>
    <col min="10" max="10" width="8.125" bestFit="1" customWidth="1"/>
    <col min="11" max="11" width="10" bestFit="1" customWidth="1"/>
    <col min="12" max="12" width="8.125" bestFit="1" customWidth="1"/>
    <col min="13" max="13" width="10" bestFit="1" customWidth="1"/>
    <col min="14" max="14" width="8.125" bestFit="1" customWidth="1"/>
    <col min="15" max="15" width="10" bestFit="1" customWidth="1"/>
    <col min="16" max="16" width="8.125" bestFit="1" customWidth="1"/>
    <col min="17" max="17" width="10" bestFit="1" customWidth="1"/>
    <col min="21" max="21" width="15.125" bestFit="1" customWidth="1"/>
  </cols>
  <sheetData>
    <row r="1" spans="1:40" x14ac:dyDescent="0.15">
      <c r="A1" s="2" t="s">
        <v>0</v>
      </c>
      <c r="B1" s="3" t="s">
        <v>1</v>
      </c>
      <c r="C1" s="4" t="s">
        <v>2</v>
      </c>
      <c r="D1" s="4" t="s">
        <v>3</v>
      </c>
      <c r="E1" s="3" t="s">
        <v>4</v>
      </c>
      <c r="F1" s="2"/>
      <c r="G1" s="2"/>
      <c r="H1" s="2"/>
      <c r="I1" s="2"/>
      <c r="M1" s="2"/>
      <c r="N1" s="2"/>
      <c r="O1" s="2"/>
      <c r="P1" s="2"/>
      <c r="Q1" s="3"/>
      <c r="R1" s="2"/>
      <c r="S1" s="6"/>
      <c r="U1" s="9" t="s">
        <v>25</v>
      </c>
    </row>
    <row r="2" spans="1:40" x14ac:dyDescent="0.15">
      <c r="A2" s="2" t="s">
        <v>5</v>
      </c>
      <c r="B2" s="2" t="s">
        <v>6</v>
      </c>
      <c r="C2" s="4" t="s">
        <v>7</v>
      </c>
      <c r="D2" s="4" t="s">
        <v>5</v>
      </c>
      <c r="E2" s="3" t="s">
        <v>5</v>
      </c>
      <c r="F2" s="3"/>
      <c r="G2" s="3"/>
      <c r="H2" s="3"/>
      <c r="I2" s="3"/>
      <c r="M2" s="2"/>
      <c r="O2" s="5"/>
      <c r="P2" s="5"/>
      <c r="Q2" s="5"/>
      <c r="R2" s="5"/>
      <c r="S2" s="5"/>
      <c r="X2">
        <v>98</v>
      </c>
      <c r="Y2">
        <v>9800</v>
      </c>
    </row>
    <row r="3" spans="1:40" x14ac:dyDescent="0.15">
      <c r="A3" s="2" t="s">
        <v>8</v>
      </c>
      <c r="B3" s="3" t="s">
        <v>9</v>
      </c>
      <c r="C3" s="4" t="s">
        <v>10</v>
      </c>
      <c r="D3" s="4" t="s">
        <v>11</v>
      </c>
      <c r="E3" s="3" t="s">
        <v>12</v>
      </c>
      <c r="F3" s="3"/>
      <c r="G3" s="7" t="s">
        <v>14</v>
      </c>
      <c r="H3" s="7" t="s">
        <v>43</v>
      </c>
      <c r="I3" s="7" t="s">
        <v>15</v>
      </c>
      <c r="J3" s="7" t="s">
        <v>16</v>
      </c>
      <c r="K3" s="7" t="s">
        <v>17</v>
      </c>
      <c r="L3" s="7" t="s">
        <v>18</v>
      </c>
      <c r="M3" s="7" t="s">
        <v>19</v>
      </c>
      <c r="N3" s="7" t="s">
        <v>20</v>
      </c>
      <c r="O3" s="7" t="s">
        <v>21</v>
      </c>
      <c r="P3" s="7" t="s">
        <v>22</v>
      </c>
      <c r="Q3" s="7" t="s">
        <v>23</v>
      </c>
      <c r="R3" s="7" t="s">
        <v>24</v>
      </c>
      <c r="U3" s="7" t="s">
        <v>32</v>
      </c>
      <c r="V3" s="7" t="s">
        <v>33</v>
      </c>
      <c r="X3" s="9" t="s">
        <v>35</v>
      </c>
      <c r="Y3" s="9" t="s">
        <v>36</v>
      </c>
      <c r="AB3">
        <v>10</v>
      </c>
      <c r="AC3">
        <v>6000</v>
      </c>
    </row>
    <row r="4" spans="1:40" x14ac:dyDescent="0.15">
      <c r="A4" s="2">
        <v>0</v>
      </c>
      <c r="B4" s="3">
        <v>0</v>
      </c>
      <c r="C4" s="4" t="s">
        <v>13</v>
      </c>
      <c r="D4" s="8">
        <v>10000</v>
      </c>
      <c r="E4" s="3">
        <v>100</v>
      </c>
      <c r="F4" s="3"/>
      <c r="G4" s="3">
        <v>0</v>
      </c>
      <c r="H4" s="2">
        <v>0</v>
      </c>
      <c r="I4" s="3">
        <v>0</v>
      </c>
      <c r="J4" s="2">
        <v>0</v>
      </c>
      <c r="K4" s="3">
        <v>0</v>
      </c>
      <c r="L4" s="2">
        <v>0</v>
      </c>
      <c r="M4" s="3">
        <v>0</v>
      </c>
      <c r="N4" s="2">
        <v>0</v>
      </c>
      <c r="O4" s="3">
        <v>0</v>
      </c>
      <c r="P4" s="2">
        <v>0</v>
      </c>
      <c r="Q4" s="3">
        <v>0</v>
      </c>
      <c r="R4" s="2">
        <v>0</v>
      </c>
      <c r="U4" s="9" t="s">
        <v>26</v>
      </c>
      <c r="V4">
        <v>350</v>
      </c>
      <c r="W4">
        <v>0</v>
      </c>
      <c r="X4">
        <f>X2+(FLOOR(W4/6+1,1)*2-1)*2</f>
        <v>100</v>
      </c>
      <c r="Y4">
        <f>Y2+(FLOOR(W4/6+1,1)*2-1)*200</f>
        <v>10000</v>
      </c>
      <c r="AB4">
        <v>12</v>
      </c>
      <c r="AC4">
        <v>8400</v>
      </c>
      <c r="AD4">
        <f>AB4-AB3</f>
        <v>2</v>
      </c>
      <c r="AE4">
        <f>AC4-AC3</f>
        <v>2400</v>
      </c>
    </row>
    <row r="5" spans="1:40" x14ac:dyDescent="0.15">
      <c r="A5" s="2">
        <v>1</v>
      </c>
      <c r="B5" s="2" t="str">
        <f>G5&amp;","&amp;I5&amp;","&amp;K5&amp;","&amp;M5&amp;","&amp;O5&amp;","&amp;Q5</f>
        <v>1,1,1,1,1,1</v>
      </c>
      <c r="C5" s="2" t="str">
        <f>H5&amp;","&amp;J5&amp;","&amp;L5&amp;","&amp;N5&amp;","&amp;P5&amp;","&amp;R5</f>
        <v>0.5,0.5,0.5,0.5,0.5,0.5</v>
      </c>
      <c r="D5" s="8">
        <v>10100</v>
      </c>
      <c r="E5" s="3">
        <v>102</v>
      </c>
      <c r="G5" s="3">
        <v>1</v>
      </c>
      <c r="H5" s="2">
        <v>0.5</v>
      </c>
      <c r="I5" s="3">
        <v>1</v>
      </c>
      <c r="J5" s="2">
        <v>0.5</v>
      </c>
      <c r="K5" s="3">
        <v>1</v>
      </c>
      <c r="L5" s="2">
        <v>0.5</v>
      </c>
      <c r="M5" s="3">
        <v>1</v>
      </c>
      <c r="N5" s="2">
        <v>0.5</v>
      </c>
      <c r="O5" s="3">
        <v>1</v>
      </c>
      <c r="P5" s="2">
        <v>0.5</v>
      </c>
      <c r="Q5" s="3">
        <v>1</v>
      </c>
      <c r="R5" s="2">
        <v>0.5</v>
      </c>
      <c r="U5" s="9" t="s">
        <v>27</v>
      </c>
      <c r="V5">
        <f>150*7</f>
        <v>1050</v>
      </c>
      <c r="W5">
        <v>1</v>
      </c>
      <c r="X5">
        <f>X4+(FLOOR(W5/6+1,1)*2-1)*2</f>
        <v>102</v>
      </c>
      <c r="Y5">
        <f>Y4+(FLOOR(W5/6+1,1)*2-1)*100+W5*W4</f>
        <v>10100</v>
      </c>
      <c r="AB5">
        <v>14</v>
      </c>
      <c r="AC5">
        <v>8400</v>
      </c>
      <c r="AD5">
        <f t="shared" ref="AD5:AD38" si="0">AB5-AB4</f>
        <v>2</v>
      </c>
      <c r="AE5">
        <f t="shared" ref="AE5:AE38" si="1">AC5-AC4</f>
        <v>0</v>
      </c>
      <c r="AH5">
        <v>1</v>
      </c>
      <c r="AI5">
        <v>2</v>
      </c>
      <c r="AJ5" s="9" t="s">
        <v>37</v>
      </c>
      <c r="AK5">
        <v>1200</v>
      </c>
      <c r="AL5">
        <v>1</v>
      </c>
      <c r="AM5">
        <v>100</v>
      </c>
      <c r="AN5">
        <v>12</v>
      </c>
    </row>
    <row r="6" spans="1:40" x14ac:dyDescent="0.15">
      <c r="A6">
        <v>2</v>
      </c>
      <c r="B6" s="2" t="str">
        <f t="shared" ref="B6:B69" si="2">G6&amp;","&amp;I6&amp;","&amp;K6&amp;","&amp;M6&amp;","&amp;O6&amp;","&amp;Q6</f>
        <v>2,2,2,2,2,2</v>
      </c>
      <c r="C6" s="2" t="str">
        <f t="shared" ref="C6:C69" si="3">H6&amp;","&amp;J6&amp;","&amp;L6&amp;","&amp;N6&amp;","&amp;P6&amp;","&amp;R6</f>
        <v>0.5,0.5,0.5,0.5,0.5,0.5</v>
      </c>
      <c r="D6" s="8">
        <v>10202</v>
      </c>
      <c r="E6" s="3">
        <v>104</v>
      </c>
      <c r="G6" s="3">
        <v>2</v>
      </c>
      <c r="H6" s="2">
        <v>0.5</v>
      </c>
      <c r="I6" s="3">
        <v>2</v>
      </c>
      <c r="J6" s="2">
        <v>0.5</v>
      </c>
      <c r="K6" s="3">
        <v>2</v>
      </c>
      <c r="L6" s="2">
        <v>0.5</v>
      </c>
      <c r="M6" s="3">
        <v>2</v>
      </c>
      <c r="N6" s="2">
        <v>0.5</v>
      </c>
      <c r="O6" s="3">
        <v>2</v>
      </c>
      <c r="P6" s="2">
        <v>0.5</v>
      </c>
      <c r="Q6" s="3">
        <v>2</v>
      </c>
      <c r="R6" s="2">
        <v>0.5</v>
      </c>
      <c r="U6" s="9" t="s">
        <v>28</v>
      </c>
      <c r="V6" s="9">
        <f>270*14</f>
        <v>3780</v>
      </c>
      <c r="W6">
        <v>2</v>
      </c>
      <c r="X6">
        <f t="shared" ref="X6:X69" si="4">X5+(FLOOR(W6/6+1,1)*2-1)*2</f>
        <v>104</v>
      </c>
      <c r="Y6">
        <f t="shared" ref="Y6:Y69" si="5">Y5+(FLOOR(W6/6+1,1)*2-1)*100+W6*W5</f>
        <v>10202</v>
      </c>
      <c r="AB6">
        <v>16</v>
      </c>
      <c r="AC6">
        <v>9600</v>
      </c>
      <c r="AD6">
        <f t="shared" si="0"/>
        <v>2</v>
      </c>
      <c r="AE6">
        <f t="shared" si="1"/>
        <v>1200</v>
      </c>
      <c r="AH6">
        <v>2</v>
      </c>
      <c r="AI6">
        <v>6</v>
      </c>
      <c r="AJ6" s="9" t="s">
        <v>38</v>
      </c>
      <c r="AK6">
        <v>3600</v>
      </c>
      <c r="AL6">
        <v>3</v>
      </c>
      <c r="AM6">
        <v>100</v>
      </c>
      <c r="AN6">
        <v>12</v>
      </c>
    </row>
    <row r="7" spans="1:40" x14ac:dyDescent="0.15">
      <c r="A7" s="2">
        <v>3</v>
      </c>
      <c r="B7" s="2" t="str">
        <f t="shared" si="2"/>
        <v>3,8,8,5,6,3</v>
      </c>
      <c r="C7" s="2" t="str">
        <f t="shared" si="3"/>
        <v>0.5,0.5,0.5,0.5,1,0.5</v>
      </c>
      <c r="D7" s="8">
        <v>10308</v>
      </c>
      <c r="E7" s="3">
        <v>106</v>
      </c>
      <c r="G7" s="3">
        <v>3</v>
      </c>
      <c r="H7" s="2">
        <v>0.5</v>
      </c>
      <c r="I7" s="3">
        <v>8</v>
      </c>
      <c r="J7" s="2">
        <v>0.5</v>
      </c>
      <c r="K7" s="3">
        <v>8</v>
      </c>
      <c r="L7" s="2">
        <v>0.5</v>
      </c>
      <c r="M7" s="3">
        <v>5</v>
      </c>
      <c r="N7" s="2">
        <v>0.5</v>
      </c>
      <c r="O7" s="3">
        <v>6</v>
      </c>
      <c r="P7" s="2">
        <v>1</v>
      </c>
      <c r="Q7" s="3">
        <v>3</v>
      </c>
      <c r="R7" s="2">
        <v>0.5</v>
      </c>
      <c r="U7" s="9" t="s">
        <v>29</v>
      </c>
      <c r="V7" s="9">
        <f>2700*14</f>
        <v>37800</v>
      </c>
      <c r="W7">
        <v>3</v>
      </c>
      <c r="X7">
        <f t="shared" si="4"/>
        <v>106</v>
      </c>
      <c r="Y7">
        <f t="shared" si="5"/>
        <v>10308</v>
      </c>
      <c r="AB7">
        <v>18</v>
      </c>
      <c r="AC7">
        <v>10800</v>
      </c>
      <c r="AD7">
        <f t="shared" si="0"/>
        <v>2</v>
      </c>
      <c r="AE7">
        <f t="shared" si="1"/>
        <v>1200</v>
      </c>
      <c r="AH7">
        <v>3</v>
      </c>
      <c r="AI7">
        <v>10</v>
      </c>
      <c r="AJ7" s="9" t="s">
        <v>39</v>
      </c>
      <c r="AK7">
        <v>6000</v>
      </c>
      <c r="AL7">
        <v>5</v>
      </c>
      <c r="AM7">
        <v>100</v>
      </c>
      <c r="AN7">
        <v>12</v>
      </c>
    </row>
    <row r="8" spans="1:40" x14ac:dyDescent="0.15">
      <c r="A8">
        <v>4</v>
      </c>
      <c r="B8" s="2" t="str">
        <f t="shared" si="2"/>
        <v>1,3,5,7,5,11</v>
      </c>
      <c r="C8" s="2" t="str">
        <f t="shared" si="3"/>
        <v>0.5,0.5,0.5,0.5,0.5,0.5</v>
      </c>
      <c r="D8" s="8">
        <v>10420</v>
      </c>
      <c r="E8" s="3">
        <v>108</v>
      </c>
      <c r="F8" s="3"/>
      <c r="G8" s="3">
        <v>1</v>
      </c>
      <c r="H8" s="2">
        <v>0.5</v>
      </c>
      <c r="I8" s="3">
        <v>3</v>
      </c>
      <c r="J8" s="2">
        <v>0.5</v>
      </c>
      <c r="K8" s="3">
        <v>5</v>
      </c>
      <c r="L8" s="2">
        <v>0.5</v>
      </c>
      <c r="M8" s="3">
        <v>7</v>
      </c>
      <c r="N8" s="2">
        <v>0.5</v>
      </c>
      <c r="O8" s="3">
        <v>5</v>
      </c>
      <c r="P8" s="2">
        <v>0.5</v>
      </c>
      <c r="Q8" s="3">
        <v>11</v>
      </c>
      <c r="R8" s="2">
        <v>0.5</v>
      </c>
      <c r="U8" s="9" t="s">
        <v>30</v>
      </c>
      <c r="V8" s="9">
        <f>500*7</f>
        <v>3500</v>
      </c>
      <c r="W8">
        <v>4</v>
      </c>
      <c r="X8">
        <f t="shared" si="4"/>
        <v>108</v>
      </c>
      <c r="Y8">
        <f t="shared" si="5"/>
        <v>10420</v>
      </c>
      <c r="AB8">
        <v>20</v>
      </c>
      <c r="AC8">
        <v>12000</v>
      </c>
      <c r="AD8">
        <f t="shared" si="0"/>
        <v>2</v>
      </c>
      <c r="AE8">
        <f t="shared" si="1"/>
        <v>1200</v>
      </c>
      <c r="AH8">
        <v>4</v>
      </c>
      <c r="AI8">
        <v>14</v>
      </c>
      <c r="AJ8" s="9" t="s">
        <v>40</v>
      </c>
      <c r="AK8">
        <v>8400</v>
      </c>
      <c r="AL8">
        <v>7</v>
      </c>
      <c r="AM8">
        <v>100</v>
      </c>
      <c r="AN8">
        <v>12</v>
      </c>
    </row>
    <row r="9" spans="1:40" x14ac:dyDescent="0.15">
      <c r="A9" s="2">
        <v>5</v>
      </c>
      <c r="B9" s="2" t="str">
        <f t="shared" si="2"/>
        <v>2,4,4,4,4,4</v>
      </c>
      <c r="C9" s="2" t="str">
        <f t="shared" si="3"/>
        <v>0.5,0.5,0.5,0.5,0.5,0.5</v>
      </c>
      <c r="D9" s="8">
        <v>10540</v>
      </c>
      <c r="E9" s="3">
        <v>110</v>
      </c>
      <c r="F9" s="3"/>
      <c r="G9" s="3">
        <v>2</v>
      </c>
      <c r="H9" s="2">
        <v>0.5</v>
      </c>
      <c r="I9" s="3">
        <v>4</v>
      </c>
      <c r="J9" s="2">
        <v>0.5</v>
      </c>
      <c r="K9" s="3">
        <v>4</v>
      </c>
      <c r="L9" s="2">
        <v>0.5</v>
      </c>
      <c r="M9" s="3">
        <v>4</v>
      </c>
      <c r="N9" s="2">
        <v>0.5</v>
      </c>
      <c r="O9" s="3">
        <v>4</v>
      </c>
      <c r="P9" s="2">
        <v>0.5</v>
      </c>
      <c r="Q9" s="3">
        <v>4</v>
      </c>
      <c r="R9" s="2">
        <v>0.5</v>
      </c>
      <c r="U9" s="9" t="s">
        <v>31</v>
      </c>
      <c r="V9" s="9">
        <v>3000</v>
      </c>
      <c r="W9">
        <v>5</v>
      </c>
      <c r="X9">
        <f t="shared" si="4"/>
        <v>110</v>
      </c>
      <c r="Y9">
        <f t="shared" si="5"/>
        <v>10540</v>
      </c>
      <c r="AB9">
        <v>30</v>
      </c>
      <c r="AC9">
        <v>18000</v>
      </c>
      <c r="AD9">
        <f t="shared" si="0"/>
        <v>10</v>
      </c>
      <c r="AE9">
        <f t="shared" si="1"/>
        <v>6000</v>
      </c>
      <c r="AH9">
        <v>5</v>
      </c>
      <c r="AI9">
        <v>18</v>
      </c>
      <c r="AJ9" s="9" t="s">
        <v>41</v>
      </c>
      <c r="AK9">
        <v>10800</v>
      </c>
      <c r="AL9">
        <v>9</v>
      </c>
      <c r="AM9">
        <v>100</v>
      </c>
      <c r="AN9">
        <v>12</v>
      </c>
    </row>
    <row r="10" spans="1:40" x14ac:dyDescent="0.15">
      <c r="A10">
        <v>6</v>
      </c>
      <c r="B10" s="2" t="str">
        <f t="shared" si="2"/>
        <v>3,10,9,11,8,10</v>
      </c>
      <c r="C10" s="2" t="str">
        <f t="shared" si="3"/>
        <v>0.5,0.5,0.5,1,0.5,0.5</v>
      </c>
      <c r="D10" s="8">
        <v>10870</v>
      </c>
      <c r="E10" s="3">
        <v>116</v>
      </c>
      <c r="F10" s="3"/>
      <c r="G10" s="3">
        <v>3</v>
      </c>
      <c r="H10" s="2">
        <v>0.5</v>
      </c>
      <c r="I10" s="3">
        <v>10</v>
      </c>
      <c r="J10" s="2">
        <v>0.5</v>
      </c>
      <c r="K10" s="3">
        <v>9</v>
      </c>
      <c r="L10" s="2">
        <v>0.5</v>
      </c>
      <c r="M10" s="3">
        <v>11</v>
      </c>
      <c r="N10" s="2">
        <v>1</v>
      </c>
      <c r="O10" s="3">
        <v>8</v>
      </c>
      <c r="P10" s="2">
        <v>0.5</v>
      </c>
      <c r="Q10" s="3">
        <v>10</v>
      </c>
      <c r="R10" s="2">
        <v>0.5</v>
      </c>
      <c r="U10" s="9" t="s">
        <v>42</v>
      </c>
      <c r="V10">
        <f>V4+V5+AVERAGE(V6:V7)+V8+V9</f>
        <v>28690</v>
      </c>
      <c r="W10">
        <v>6</v>
      </c>
      <c r="X10">
        <f t="shared" si="4"/>
        <v>116</v>
      </c>
      <c r="Y10">
        <f t="shared" si="5"/>
        <v>10870</v>
      </c>
      <c r="AB10">
        <v>36</v>
      </c>
      <c r="AC10">
        <v>25200</v>
      </c>
      <c r="AD10">
        <f t="shared" si="0"/>
        <v>6</v>
      </c>
      <c r="AE10">
        <f t="shared" si="1"/>
        <v>7200</v>
      </c>
      <c r="AH10">
        <v>6</v>
      </c>
      <c r="AL10">
        <v>11</v>
      </c>
    </row>
    <row r="11" spans="1:40" x14ac:dyDescent="0.15">
      <c r="A11" s="2">
        <v>7</v>
      </c>
      <c r="B11" s="2" t="str">
        <f t="shared" si="2"/>
        <v>1,1,1,1,1,1</v>
      </c>
      <c r="C11" s="2" t="str">
        <f t="shared" si="3"/>
        <v>0.5,0.5,0.5,0.5,0.5,0.5</v>
      </c>
      <c r="D11" s="8">
        <v>11212</v>
      </c>
      <c r="E11" s="3">
        <v>122</v>
      </c>
      <c r="F11" s="3"/>
      <c r="G11" s="3">
        <v>1</v>
      </c>
      <c r="H11" s="2">
        <v>0.5</v>
      </c>
      <c r="I11" s="3">
        <v>1</v>
      </c>
      <c r="J11" s="2">
        <v>0.5</v>
      </c>
      <c r="K11" s="3">
        <v>1</v>
      </c>
      <c r="L11" s="2">
        <v>0.5</v>
      </c>
      <c r="M11" s="3">
        <v>1</v>
      </c>
      <c r="N11" s="2">
        <v>0.5</v>
      </c>
      <c r="O11" s="3">
        <v>1</v>
      </c>
      <c r="P11" s="2">
        <v>0.5</v>
      </c>
      <c r="Q11" s="3">
        <v>1</v>
      </c>
      <c r="R11" s="2">
        <v>0.5</v>
      </c>
      <c r="U11" s="9" t="s">
        <v>34</v>
      </c>
      <c r="V11">
        <f>V10*8</f>
        <v>229520</v>
      </c>
      <c r="W11">
        <v>7</v>
      </c>
      <c r="X11">
        <f t="shared" si="4"/>
        <v>122</v>
      </c>
      <c r="Y11">
        <f t="shared" si="5"/>
        <v>11212</v>
      </c>
      <c r="AB11">
        <v>42</v>
      </c>
      <c r="AC11">
        <v>25200</v>
      </c>
      <c r="AD11">
        <f t="shared" si="0"/>
        <v>6</v>
      </c>
      <c r="AE11">
        <f t="shared" si="1"/>
        <v>0</v>
      </c>
      <c r="AH11">
        <v>7</v>
      </c>
      <c r="AL11">
        <v>13</v>
      </c>
    </row>
    <row r="12" spans="1:40" x14ac:dyDescent="0.15">
      <c r="A12">
        <v>8</v>
      </c>
      <c r="B12" s="2" t="str">
        <f t="shared" si="2"/>
        <v>2,2,2,2,2,2</v>
      </c>
      <c r="C12" s="2" t="str">
        <f t="shared" si="3"/>
        <v>0.5,0.5,0.5,0.5,0.5,0.5</v>
      </c>
      <c r="D12" s="8">
        <v>11568</v>
      </c>
      <c r="E12" s="3">
        <v>128</v>
      </c>
      <c r="F12" s="3"/>
      <c r="G12" s="3">
        <v>2</v>
      </c>
      <c r="H12" s="2">
        <v>0.5</v>
      </c>
      <c r="I12" s="3">
        <v>2</v>
      </c>
      <c r="J12" s="2">
        <v>0.5</v>
      </c>
      <c r="K12" s="3">
        <v>2</v>
      </c>
      <c r="L12" s="2">
        <v>0.5</v>
      </c>
      <c r="M12" s="3">
        <v>2</v>
      </c>
      <c r="N12" s="2">
        <v>0.5</v>
      </c>
      <c r="O12" s="3">
        <v>2</v>
      </c>
      <c r="P12" s="2">
        <v>0.5</v>
      </c>
      <c r="Q12" s="3">
        <v>2</v>
      </c>
      <c r="R12" s="2">
        <v>0.5</v>
      </c>
      <c r="W12">
        <v>8</v>
      </c>
      <c r="X12">
        <f t="shared" si="4"/>
        <v>128</v>
      </c>
      <c r="Y12">
        <f t="shared" si="5"/>
        <v>11568</v>
      </c>
      <c r="AB12">
        <v>48</v>
      </c>
      <c r="AC12">
        <v>28800</v>
      </c>
      <c r="AD12">
        <f t="shared" si="0"/>
        <v>6</v>
      </c>
      <c r="AE12">
        <f t="shared" si="1"/>
        <v>3600</v>
      </c>
    </row>
    <row r="13" spans="1:40" x14ac:dyDescent="0.15">
      <c r="A13" s="2">
        <v>9</v>
      </c>
      <c r="B13" s="2" t="str">
        <f t="shared" si="2"/>
        <v>3,8,8,5,6,3</v>
      </c>
      <c r="C13" s="2" t="str">
        <f t="shared" si="3"/>
        <v>0.5,0.5,0.5,0.5,1,0.5</v>
      </c>
      <c r="D13" s="8">
        <v>11940</v>
      </c>
      <c r="E13" s="3">
        <v>134</v>
      </c>
      <c r="F13" s="3"/>
      <c r="G13" s="3">
        <v>3</v>
      </c>
      <c r="H13" s="2">
        <v>0.5</v>
      </c>
      <c r="I13" s="3">
        <v>8</v>
      </c>
      <c r="J13" s="2">
        <v>0.5</v>
      </c>
      <c r="K13" s="3">
        <v>8</v>
      </c>
      <c r="L13" s="2">
        <v>0.5</v>
      </c>
      <c r="M13" s="3">
        <v>5</v>
      </c>
      <c r="N13" s="2">
        <v>0.5</v>
      </c>
      <c r="O13" s="3">
        <v>6</v>
      </c>
      <c r="P13" s="2">
        <v>1</v>
      </c>
      <c r="Q13" s="3">
        <v>3</v>
      </c>
      <c r="R13" s="2">
        <v>0.5</v>
      </c>
      <c r="W13">
        <v>9</v>
      </c>
      <c r="X13">
        <f t="shared" si="4"/>
        <v>134</v>
      </c>
      <c r="Y13">
        <f t="shared" si="5"/>
        <v>11940</v>
      </c>
      <c r="AB13">
        <v>54</v>
      </c>
      <c r="AC13">
        <v>32400</v>
      </c>
      <c r="AD13">
        <f t="shared" si="0"/>
        <v>6</v>
      </c>
      <c r="AE13">
        <f t="shared" si="1"/>
        <v>3600</v>
      </c>
    </row>
    <row r="14" spans="1:40" x14ac:dyDescent="0.15">
      <c r="A14">
        <v>10</v>
      </c>
      <c r="B14" s="2" t="str">
        <f t="shared" si="2"/>
        <v>1,3,5,7,5,11</v>
      </c>
      <c r="C14" s="2" t="str">
        <f t="shared" si="3"/>
        <v>0.5,0.5,0.5,0.5,0.5,0.5</v>
      </c>
      <c r="D14" s="8">
        <v>12330</v>
      </c>
      <c r="E14" s="3">
        <v>140</v>
      </c>
      <c r="F14" s="3"/>
      <c r="G14" s="3">
        <v>1</v>
      </c>
      <c r="H14" s="2">
        <v>0.5</v>
      </c>
      <c r="I14" s="3">
        <v>3</v>
      </c>
      <c r="J14" s="2">
        <v>0.5</v>
      </c>
      <c r="K14" s="3">
        <v>5</v>
      </c>
      <c r="L14" s="2">
        <v>0.5</v>
      </c>
      <c r="M14" s="3">
        <v>7</v>
      </c>
      <c r="N14" s="2">
        <v>0.5</v>
      </c>
      <c r="O14" s="3">
        <v>5</v>
      </c>
      <c r="P14" s="2">
        <v>0.5</v>
      </c>
      <c r="Q14" s="3">
        <v>11</v>
      </c>
      <c r="R14" s="2">
        <v>0.5</v>
      </c>
      <c r="W14">
        <v>10</v>
      </c>
      <c r="X14">
        <f t="shared" si="4"/>
        <v>140</v>
      </c>
      <c r="Y14">
        <f t="shared" si="5"/>
        <v>12330</v>
      </c>
      <c r="AB14">
        <v>60</v>
      </c>
      <c r="AC14">
        <v>36000</v>
      </c>
      <c r="AD14">
        <f t="shared" si="0"/>
        <v>6</v>
      </c>
      <c r="AE14">
        <f t="shared" si="1"/>
        <v>3600</v>
      </c>
    </row>
    <row r="15" spans="1:40" x14ac:dyDescent="0.15">
      <c r="A15" s="2">
        <v>11</v>
      </c>
      <c r="B15" s="2" t="str">
        <f t="shared" si="2"/>
        <v>2,4,4,4,4,4</v>
      </c>
      <c r="C15" s="2" t="str">
        <f t="shared" si="3"/>
        <v>0.5,0.5,0.5,0.5,0.5,0.5</v>
      </c>
      <c r="D15" s="8">
        <v>12740</v>
      </c>
      <c r="E15" s="3">
        <v>146</v>
      </c>
      <c r="F15" s="3"/>
      <c r="G15" s="3">
        <v>2</v>
      </c>
      <c r="H15" s="2">
        <v>0.5</v>
      </c>
      <c r="I15" s="3">
        <v>4</v>
      </c>
      <c r="J15" s="2">
        <v>0.5</v>
      </c>
      <c r="K15" s="3">
        <v>4</v>
      </c>
      <c r="L15" s="2">
        <v>0.5</v>
      </c>
      <c r="M15" s="3">
        <v>4</v>
      </c>
      <c r="N15" s="2">
        <v>0.5</v>
      </c>
      <c r="O15" s="3">
        <v>4</v>
      </c>
      <c r="P15" s="2">
        <v>0.5</v>
      </c>
      <c r="Q15" s="3">
        <v>4</v>
      </c>
      <c r="R15" s="2">
        <v>0.5</v>
      </c>
      <c r="W15">
        <v>11</v>
      </c>
      <c r="X15">
        <f t="shared" si="4"/>
        <v>146</v>
      </c>
      <c r="Y15">
        <f t="shared" si="5"/>
        <v>12740</v>
      </c>
      <c r="AB15">
        <v>50</v>
      </c>
      <c r="AC15">
        <v>30000</v>
      </c>
      <c r="AD15">
        <f t="shared" si="0"/>
        <v>-10</v>
      </c>
      <c r="AE15">
        <f t="shared" si="1"/>
        <v>-6000</v>
      </c>
    </row>
    <row r="16" spans="1:40" x14ac:dyDescent="0.15">
      <c r="A16">
        <v>12</v>
      </c>
      <c r="B16" s="2" t="str">
        <f t="shared" si="2"/>
        <v>3,10,9,11,8,10</v>
      </c>
      <c r="C16" s="2" t="str">
        <f t="shared" si="3"/>
        <v>0.5,0.5,0.5,1,0.5,0.5</v>
      </c>
      <c r="D16" s="8">
        <v>13372</v>
      </c>
      <c r="E16" s="3">
        <v>156</v>
      </c>
      <c r="F16" s="3"/>
      <c r="G16" s="3">
        <v>3</v>
      </c>
      <c r="H16" s="2">
        <v>0.5</v>
      </c>
      <c r="I16" s="3">
        <v>10</v>
      </c>
      <c r="J16" s="2">
        <v>0.5</v>
      </c>
      <c r="K16" s="3">
        <v>9</v>
      </c>
      <c r="L16" s="2">
        <v>0.5</v>
      </c>
      <c r="M16" s="3">
        <v>11</v>
      </c>
      <c r="N16" s="2">
        <v>1</v>
      </c>
      <c r="O16" s="3">
        <v>8</v>
      </c>
      <c r="P16" s="2">
        <v>0.5</v>
      </c>
      <c r="Q16" s="3">
        <v>10</v>
      </c>
      <c r="R16" s="2">
        <v>0.5</v>
      </c>
      <c r="W16">
        <v>12</v>
      </c>
      <c r="X16">
        <f t="shared" si="4"/>
        <v>156</v>
      </c>
      <c r="Y16">
        <f t="shared" si="5"/>
        <v>13372</v>
      </c>
      <c r="AB16">
        <v>60</v>
      </c>
      <c r="AC16">
        <v>42000</v>
      </c>
      <c r="AD16">
        <f t="shared" si="0"/>
        <v>10</v>
      </c>
      <c r="AE16">
        <f t="shared" si="1"/>
        <v>12000</v>
      </c>
    </row>
    <row r="17" spans="1:31" x14ac:dyDescent="0.15">
      <c r="A17" s="2">
        <v>13</v>
      </c>
      <c r="B17" s="2" t="str">
        <f t="shared" si="2"/>
        <v>1,1,1,1,1,1</v>
      </c>
      <c r="C17" s="2" t="str">
        <f t="shared" si="3"/>
        <v>0.5,0.5,0.5,0.5,0.5,0.5</v>
      </c>
      <c r="D17" s="8">
        <v>14028</v>
      </c>
      <c r="E17" s="3">
        <v>166</v>
      </c>
      <c r="F17" s="3"/>
      <c r="G17" s="3">
        <v>1</v>
      </c>
      <c r="H17" s="2">
        <v>0.5</v>
      </c>
      <c r="I17" s="3">
        <v>1</v>
      </c>
      <c r="J17" s="2">
        <v>0.5</v>
      </c>
      <c r="K17" s="3">
        <v>1</v>
      </c>
      <c r="L17" s="2">
        <v>0.5</v>
      </c>
      <c r="M17" s="3">
        <v>1</v>
      </c>
      <c r="N17" s="2">
        <v>0.5</v>
      </c>
      <c r="O17" s="3">
        <v>1</v>
      </c>
      <c r="P17" s="2">
        <v>0.5</v>
      </c>
      <c r="Q17" s="3">
        <v>1</v>
      </c>
      <c r="R17" s="2">
        <v>0.5</v>
      </c>
      <c r="W17">
        <v>13</v>
      </c>
      <c r="X17">
        <f t="shared" si="4"/>
        <v>166</v>
      </c>
      <c r="Y17">
        <f t="shared" si="5"/>
        <v>14028</v>
      </c>
      <c r="AB17">
        <v>70</v>
      </c>
      <c r="AC17">
        <v>42000</v>
      </c>
      <c r="AD17">
        <f t="shared" si="0"/>
        <v>10</v>
      </c>
      <c r="AE17">
        <f t="shared" si="1"/>
        <v>0</v>
      </c>
    </row>
    <row r="18" spans="1:31" x14ac:dyDescent="0.15">
      <c r="A18">
        <v>14</v>
      </c>
      <c r="B18" s="2" t="str">
        <f t="shared" si="2"/>
        <v>2,2,2,2,2,2</v>
      </c>
      <c r="C18" s="2" t="str">
        <f t="shared" si="3"/>
        <v>0.5,0.5,0.5,0.5,0.5,0.5</v>
      </c>
      <c r="D18" s="8">
        <v>14710</v>
      </c>
      <c r="E18" s="3">
        <v>176</v>
      </c>
      <c r="F18" s="3"/>
      <c r="G18" s="3">
        <v>2</v>
      </c>
      <c r="H18" s="2">
        <v>0.5</v>
      </c>
      <c r="I18" s="3">
        <v>2</v>
      </c>
      <c r="J18" s="2">
        <v>0.5</v>
      </c>
      <c r="K18" s="3">
        <v>2</v>
      </c>
      <c r="L18" s="2">
        <v>0.5</v>
      </c>
      <c r="M18" s="3">
        <v>2</v>
      </c>
      <c r="N18" s="2">
        <v>0.5</v>
      </c>
      <c r="O18" s="3">
        <v>2</v>
      </c>
      <c r="P18" s="2">
        <v>0.5</v>
      </c>
      <c r="Q18" s="3">
        <v>2</v>
      </c>
      <c r="R18" s="2">
        <v>0.5</v>
      </c>
      <c r="W18">
        <v>14</v>
      </c>
      <c r="X18">
        <f t="shared" si="4"/>
        <v>176</v>
      </c>
      <c r="Y18">
        <f t="shared" si="5"/>
        <v>14710</v>
      </c>
      <c r="AB18">
        <v>80</v>
      </c>
      <c r="AC18">
        <v>48000</v>
      </c>
      <c r="AD18">
        <f t="shared" si="0"/>
        <v>10</v>
      </c>
      <c r="AE18">
        <f t="shared" si="1"/>
        <v>6000</v>
      </c>
    </row>
    <row r="19" spans="1:31" x14ac:dyDescent="0.15">
      <c r="A19" s="2">
        <v>15</v>
      </c>
      <c r="B19" s="2" t="str">
        <f t="shared" si="2"/>
        <v>3,8,8,5,6,3</v>
      </c>
      <c r="C19" s="2" t="str">
        <f t="shared" si="3"/>
        <v>0.5,0.5,0.5,0.5,1,0.5</v>
      </c>
      <c r="D19" s="8">
        <v>15420</v>
      </c>
      <c r="E19" s="3">
        <v>186</v>
      </c>
      <c r="F19" s="3"/>
      <c r="G19" s="3">
        <v>3</v>
      </c>
      <c r="H19" s="2">
        <v>0.5</v>
      </c>
      <c r="I19" s="3">
        <v>8</v>
      </c>
      <c r="J19" s="2">
        <v>0.5</v>
      </c>
      <c r="K19" s="3">
        <v>8</v>
      </c>
      <c r="L19" s="2">
        <v>0.5</v>
      </c>
      <c r="M19" s="3">
        <v>5</v>
      </c>
      <c r="N19" s="2">
        <v>0.5</v>
      </c>
      <c r="O19" s="3">
        <v>6</v>
      </c>
      <c r="P19" s="2">
        <v>1</v>
      </c>
      <c r="Q19" s="3">
        <v>3</v>
      </c>
      <c r="R19" s="2">
        <v>0.5</v>
      </c>
      <c r="W19">
        <v>15</v>
      </c>
      <c r="X19">
        <f t="shared" si="4"/>
        <v>186</v>
      </c>
      <c r="Y19">
        <f t="shared" si="5"/>
        <v>15420</v>
      </c>
      <c r="AB19">
        <v>90</v>
      </c>
      <c r="AC19">
        <v>54000</v>
      </c>
      <c r="AD19">
        <f t="shared" si="0"/>
        <v>10</v>
      </c>
      <c r="AE19">
        <f t="shared" si="1"/>
        <v>6000</v>
      </c>
    </row>
    <row r="20" spans="1:31" x14ac:dyDescent="0.15">
      <c r="A20">
        <v>16</v>
      </c>
      <c r="B20" s="2" t="str">
        <f t="shared" si="2"/>
        <v>1,3,5,7,5,11</v>
      </c>
      <c r="C20" s="2" t="str">
        <f t="shared" si="3"/>
        <v>0.5,0.5,0.5,0.5,0.5,0.5</v>
      </c>
      <c r="D20" s="8">
        <v>16160</v>
      </c>
      <c r="E20" s="3">
        <v>196</v>
      </c>
      <c r="F20" s="3"/>
      <c r="G20" s="3">
        <v>1</v>
      </c>
      <c r="H20" s="2">
        <v>0.5</v>
      </c>
      <c r="I20" s="3">
        <v>3</v>
      </c>
      <c r="J20" s="2">
        <v>0.5</v>
      </c>
      <c r="K20" s="3">
        <v>5</v>
      </c>
      <c r="L20" s="2">
        <v>0.5</v>
      </c>
      <c r="M20" s="3">
        <v>7</v>
      </c>
      <c r="N20" s="2">
        <v>0.5</v>
      </c>
      <c r="O20" s="3">
        <v>5</v>
      </c>
      <c r="P20" s="2">
        <v>0.5</v>
      </c>
      <c r="Q20" s="3">
        <v>11</v>
      </c>
      <c r="R20" s="2">
        <v>0.5</v>
      </c>
      <c r="W20">
        <v>16</v>
      </c>
      <c r="X20">
        <f t="shared" si="4"/>
        <v>196</v>
      </c>
      <c r="Y20">
        <f t="shared" si="5"/>
        <v>16160</v>
      </c>
      <c r="AB20">
        <v>100</v>
      </c>
      <c r="AC20">
        <v>60000</v>
      </c>
      <c r="AD20">
        <f t="shared" si="0"/>
        <v>10</v>
      </c>
      <c r="AE20">
        <f t="shared" si="1"/>
        <v>6000</v>
      </c>
    </row>
    <row r="21" spans="1:31" x14ac:dyDescent="0.15">
      <c r="A21" s="2">
        <v>17</v>
      </c>
      <c r="B21" s="2" t="str">
        <f t="shared" si="2"/>
        <v>2,4,4,4,4,4</v>
      </c>
      <c r="C21" s="2" t="str">
        <f t="shared" si="3"/>
        <v>0.5,0.5,0.5,0.5,0.5,0.5</v>
      </c>
      <c r="D21" s="8">
        <v>16932</v>
      </c>
      <c r="E21" s="3">
        <v>206</v>
      </c>
      <c r="F21" s="3"/>
      <c r="G21" s="3">
        <v>2</v>
      </c>
      <c r="H21" s="2">
        <v>0.5</v>
      </c>
      <c r="I21" s="3">
        <v>4</v>
      </c>
      <c r="J21" s="2">
        <v>0.5</v>
      </c>
      <c r="K21" s="3">
        <v>4</v>
      </c>
      <c r="L21" s="2">
        <v>0.5</v>
      </c>
      <c r="M21" s="3">
        <v>4</v>
      </c>
      <c r="N21" s="2">
        <v>0.5</v>
      </c>
      <c r="O21" s="3">
        <v>4</v>
      </c>
      <c r="P21" s="2">
        <v>0.5</v>
      </c>
      <c r="Q21" s="3">
        <v>4</v>
      </c>
      <c r="R21" s="2">
        <v>0.5</v>
      </c>
      <c r="W21">
        <v>17</v>
      </c>
      <c r="X21">
        <f t="shared" si="4"/>
        <v>206</v>
      </c>
      <c r="Y21">
        <f t="shared" si="5"/>
        <v>16932</v>
      </c>
      <c r="AB21">
        <v>70</v>
      </c>
      <c r="AC21">
        <v>42000</v>
      </c>
      <c r="AD21">
        <f t="shared" si="0"/>
        <v>-30</v>
      </c>
      <c r="AE21">
        <f t="shared" si="1"/>
        <v>-18000</v>
      </c>
    </row>
    <row r="22" spans="1:31" x14ac:dyDescent="0.15">
      <c r="A22">
        <v>18</v>
      </c>
      <c r="B22" s="2" t="str">
        <f t="shared" si="2"/>
        <v>3,10,9,11,8,10</v>
      </c>
      <c r="C22" s="2" t="str">
        <f t="shared" si="3"/>
        <v>0.5,0.5,0.5,1,0.5,0.5</v>
      </c>
      <c r="D22" s="8">
        <v>17938</v>
      </c>
      <c r="E22" s="3">
        <v>220</v>
      </c>
      <c r="F22" s="3"/>
      <c r="G22" s="3">
        <v>3</v>
      </c>
      <c r="H22" s="2">
        <v>0.5</v>
      </c>
      <c r="I22" s="3">
        <v>10</v>
      </c>
      <c r="J22" s="2">
        <v>0.5</v>
      </c>
      <c r="K22" s="3">
        <v>9</v>
      </c>
      <c r="L22" s="2">
        <v>0.5</v>
      </c>
      <c r="M22" s="3">
        <v>11</v>
      </c>
      <c r="N22" s="2">
        <v>1</v>
      </c>
      <c r="O22" s="3">
        <v>8</v>
      </c>
      <c r="P22" s="2">
        <v>0.5</v>
      </c>
      <c r="Q22" s="3">
        <v>10</v>
      </c>
      <c r="R22" s="2">
        <v>0.5</v>
      </c>
      <c r="W22">
        <v>18</v>
      </c>
      <c r="X22">
        <f t="shared" si="4"/>
        <v>220</v>
      </c>
      <c r="Y22">
        <f t="shared" si="5"/>
        <v>17938</v>
      </c>
      <c r="AB22">
        <v>84</v>
      </c>
      <c r="AC22">
        <v>58800</v>
      </c>
      <c r="AD22">
        <f t="shared" si="0"/>
        <v>14</v>
      </c>
      <c r="AE22">
        <f t="shared" si="1"/>
        <v>16800</v>
      </c>
    </row>
    <row r="23" spans="1:31" x14ac:dyDescent="0.15">
      <c r="A23" s="2">
        <v>19</v>
      </c>
      <c r="B23" s="2" t="str">
        <f t="shared" si="2"/>
        <v>1,1,1,1,1,1</v>
      </c>
      <c r="C23" s="2" t="str">
        <f t="shared" si="3"/>
        <v>0.5,0.5,0.5,0.5,0.5,0.5</v>
      </c>
      <c r="D23" s="8">
        <v>18980</v>
      </c>
      <c r="E23" s="3">
        <v>234</v>
      </c>
      <c r="G23" s="3">
        <v>1</v>
      </c>
      <c r="H23" s="2">
        <v>0.5</v>
      </c>
      <c r="I23" s="3">
        <v>1</v>
      </c>
      <c r="J23" s="2">
        <v>0.5</v>
      </c>
      <c r="K23" s="3">
        <v>1</v>
      </c>
      <c r="L23" s="2">
        <v>0.5</v>
      </c>
      <c r="M23" s="3">
        <v>1</v>
      </c>
      <c r="N23" s="2">
        <v>0.5</v>
      </c>
      <c r="O23" s="3">
        <v>1</v>
      </c>
      <c r="P23" s="2">
        <v>0.5</v>
      </c>
      <c r="Q23" s="3">
        <v>1</v>
      </c>
      <c r="R23" s="2">
        <v>0.5</v>
      </c>
      <c r="W23">
        <v>19</v>
      </c>
      <c r="X23">
        <f t="shared" si="4"/>
        <v>234</v>
      </c>
      <c r="Y23">
        <f t="shared" si="5"/>
        <v>18980</v>
      </c>
      <c r="AB23">
        <v>98</v>
      </c>
      <c r="AC23">
        <v>58800</v>
      </c>
      <c r="AD23">
        <f t="shared" si="0"/>
        <v>14</v>
      </c>
      <c r="AE23">
        <f t="shared" si="1"/>
        <v>0</v>
      </c>
    </row>
    <row r="24" spans="1:31" x14ac:dyDescent="0.15">
      <c r="A24">
        <v>20</v>
      </c>
      <c r="B24" s="2" t="str">
        <f t="shared" si="2"/>
        <v>2,2,2,2,2,2</v>
      </c>
      <c r="C24" s="2" t="str">
        <f t="shared" si="3"/>
        <v>0.5,0.5,0.5,0.5,0.5,0.5</v>
      </c>
      <c r="D24" s="8">
        <v>20060</v>
      </c>
      <c r="E24" s="3">
        <v>248</v>
      </c>
      <c r="G24" s="3">
        <v>2</v>
      </c>
      <c r="H24" s="2">
        <v>0.5</v>
      </c>
      <c r="I24" s="3">
        <v>2</v>
      </c>
      <c r="J24" s="2">
        <v>0.5</v>
      </c>
      <c r="K24" s="3">
        <v>2</v>
      </c>
      <c r="L24" s="2">
        <v>0.5</v>
      </c>
      <c r="M24" s="3">
        <v>2</v>
      </c>
      <c r="N24" s="2">
        <v>0.5</v>
      </c>
      <c r="O24" s="3">
        <v>2</v>
      </c>
      <c r="P24" s="2">
        <v>0.5</v>
      </c>
      <c r="Q24" s="3">
        <v>2</v>
      </c>
      <c r="R24" s="2">
        <v>0.5</v>
      </c>
      <c r="W24">
        <v>20</v>
      </c>
      <c r="X24">
        <f t="shared" si="4"/>
        <v>248</v>
      </c>
      <c r="Y24">
        <f t="shared" si="5"/>
        <v>20060</v>
      </c>
      <c r="AB24">
        <v>112</v>
      </c>
      <c r="AC24">
        <v>67200</v>
      </c>
      <c r="AD24">
        <f t="shared" si="0"/>
        <v>14</v>
      </c>
      <c r="AE24">
        <f t="shared" si="1"/>
        <v>8400</v>
      </c>
    </row>
    <row r="25" spans="1:31" x14ac:dyDescent="0.15">
      <c r="A25" s="2">
        <v>21</v>
      </c>
      <c r="B25" s="2" t="str">
        <f t="shared" si="2"/>
        <v>3,8,8,5,6,3</v>
      </c>
      <c r="C25" s="2" t="str">
        <f t="shared" si="3"/>
        <v>0.5,0.5,0.5,0.5,1,0.5</v>
      </c>
      <c r="D25" s="8">
        <v>21180</v>
      </c>
      <c r="E25" s="3">
        <v>262</v>
      </c>
      <c r="G25" s="3">
        <v>3</v>
      </c>
      <c r="H25" s="2">
        <v>0.5</v>
      </c>
      <c r="I25" s="3">
        <v>8</v>
      </c>
      <c r="J25" s="2">
        <v>0.5</v>
      </c>
      <c r="K25" s="3">
        <v>8</v>
      </c>
      <c r="L25" s="2">
        <v>0.5</v>
      </c>
      <c r="M25" s="3">
        <v>5</v>
      </c>
      <c r="N25" s="2">
        <v>0.5</v>
      </c>
      <c r="O25" s="3">
        <v>6</v>
      </c>
      <c r="P25" s="2">
        <v>1</v>
      </c>
      <c r="Q25" s="3">
        <v>3</v>
      </c>
      <c r="R25" s="2">
        <v>0.5</v>
      </c>
      <c r="W25">
        <v>21</v>
      </c>
      <c r="X25">
        <f t="shared" si="4"/>
        <v>262</v>
      </c>
      <c r="Y25">
        <f t="shared" si="5"/>
        <v>21180</v>
      </c>
      <c r="AB25">
        <v>126</v>
      </c>
      <c r="AC25">
        <v>75600</v>
      </c>
      <c r="AD25">
        <f t="shared" si="0"/>
        <v>14</v>
      </c>
      <c r="AE25">
        <f t="shared" si="1"/>
        <v>8400</v>
      </c>
    </row>
    <row r="26" spans="1:31" x14ac:dyDescent="0.15">
      <c r="A26">
        <v>22</v>
      </c>
      <c r="B26" s="2" t="str">
        <f t="shared" si="2"/>
        <v>1,3,5,7,5,11</v>
      </c>
      <c r="C26" s="2" t="str">
        <f t="shared" si="3"/>
        <v>0.5,0.5,0.5,0.5,0.5,0.5</v>
      </c>
      <c r="D26" s="8">
        <v>22342</v>
      </c>
      <c r="E26" s="3">
        <v>276</v>
      </c>
      <c r="G26" s="3">
        <v>1</v>
      </c>
      <c r="H26" s="2">
        <v>0.5</v>
      </c>
      <c r="I26" s="3">
        <v>3</v>
      </c>
      <c r="J26" s="2">
        <v>0.5</v>
      </c>
      <c r="K26" s="3">
        <v>5</v>
      </c>
      <c r="L26" s="2">
        <v>0.5</v>
      </c>
      <c r="M26" s="3">
        <v>7</v>
      </c>
      <c r="N26" s="2">
        <v>0.5</v>
      </c>
      <c r="O26" s="3">
        <v>5</v>
      </c>
      <c r="P26" s="2">
        <v>0.5</v>
      </c>
      <c r="Q26" s="3">
        <v>11</v>
      </c>
      <c r="R26" s="2">
        <v>0.5</v>
      </c>
      <c r="W26">
        <v>22</v>
      </c>
      <c r="X26">
        <f t="shared" si="4"/>
        <v>276</v>
      </c>
      <c r="Y26">
        <f t="shared" si="5"/>
        <v>22342</v>
      </c>
      <c r="AB26">
        <v>140</v>
      </c>
      <c r="AC26">
        <v>84000</v>
      </c>
      <c r="AD26">
        <f t="shared" si="0"/>
        <v>14</v>
      </c>
      <c r="AE26">
        <f t="shared" si="1"/>
        <v>8400</v>
      </c>
    </row>
    <row r="27" spans="1:31" x14ac:dyDescent="0.15">
      <c r="A27" s="2">
        <v>23</v>
      </c>
      <c r="B27" s="2" t="str">
        <f t="shared" si="2"/>
        <v>2,4,4,4,4,4</v>
      </c>
      <c r="C27" s="2" t="str">
        <f t="shared" si="3"/>
        <v>0.5,0.5,0.5,0.5,0.5,0.5</v>
      </c>
      <c r="D27" s="8">
        <v>23548</v>
      </c>
      <c r="E27" s="3">
        <v>290</v>
      </c>
      <c r="G27" s="3">
        <v>2</v>
      </c>
      <c r="H27" s="2">
        <v>0.5</v>
      </c>
      <c r="I27" s="3">
        <v>4</v>
      </c>
      <c r="J27" s="2">
        <v>0.5</v>
      </c>
      <c r="K27" s="3">
        <v>4</v>
      </c>
      <c r="L27" s="2">
        <v>0.5</v>
      </c>
      <c r="M27" s="3">
        <v>4</v>
      </c>
      <c r="N27" s="2">
        <v>0.5</v>
      </c>
      <c r="O27" s="3">
        <v>4</v>
      </c>
      <c r="P27" s="2">
        <v>0.5</v>
      </c>
      <c r="Q27" s="3">
        <v>4</v>
      </c>
      <c r="R27" s="2">
        <v>0.5</v>
      </c>
      <c r="W27">
        <v>23</v>
      </c>
      <c r="X27">
        <f t="shared" si="4"/>
        <v>290</v>
      </c>
      <c r="Y27">
        <f t="shared" si="5"/>
        <v>23548</v>
      </c>
      <c r="AB27">
        <v>90</v>
      </c>
      <c r="AC27">
        <v>54000</v>
      </c>
      <c r="AD27">
        <f t="shared" si="0"/>
        <v>-50</v>
      </c>
      <c r="AE27">
        <f t="shared" si="1"/>
        <v>-30000</v>
      </c>
    </row>
    <row r="28" spans="1:31" x14ac:dyDescent="0.15">
      <c r="A28">
        <v>24</v>
      </c>
      <c r="B28" s="2" t="str">
        <f t="shared" si="2"/>
        <v>3,10,9,11,8,10</v>
      </c>
      <c r="C28" s="2" t="str">
        <f t="shared" si="3"/>
        <v>0.5,0.5,0.5,1,0.5,0.5</v>
      </c>
      <c r="D28" s="8">
        <v>25000</v>
      </c>
      <c r="E28" s="3">
        <v>308</v>
      </c>
      <c r="G28" s="3">
        <v>3</v>
      </c>
      <c r="H28" s="2">
        <v>0.5</v>
      </c>
      <c r="I28" s="3">
        <v>10</v>
      </c>
      <c r="J28" s="2">
        <v>0.5</v>
      </c>
      <c r="K28" s="3">
        <v>9</v>
      </c>
      <c r="L28" s="2">
        <v>0.5</v>
      </c>
      <c r="M28" s="3">
        <v>11</v>
      </c>
      <c r="N28" s="2">
        <v>1</v>
      </c>
      <c r="O28" s="3">
        <v>8</v>
      </c>
      <c r="P28" s="2">
        <v>0.5</v>
      </c>
      <c r="Q28" s="3">
        <v>10</v>
      </c>
      <c r="R28" s="2">
        <v>0.5</v>
      </c>
      <c r="W28">
        <v>24</v>
      </c>
      <c r="X28">
        <f t="shared" si="4"/>
        <v>308</v>
      </c>
      <c r="Y28">
        <f t="shared" si="5"/>
        <v>25000</v>
      </c>
      <c r="AB28">
        <v>108</v>
      </c>
      <c r="AC28">
        <v>75600</v>
      </c>
      <c r="AD28">
        <f t="shared" si="0"/>
        <v>18</v>
      </c>
      <c r="AE28">
        <f t="shared" si="1"/>
        <v>21600</v>
      </c>
    </row>
    <row r="29" spans="1:31" x14ac:dyDescent="0.15">
      <c r="A29" s="2">
        <v>25</v>
      </c>
      <c r="B29" s="2" t="str">
        <f t="shared" si="2"/>
        <v>1,1,1,1,1,1</v>
      </c>
      <c r="C29" s="2" t="str">
        <f t="shared" si="3"/>
        <v>0.5,0.5,0.5,0.5,0.5,0.5</v>
      </c>
      <c r="D29" s="8">
        <v>26500</v>
      </c>
      <c r="E29" s="3">
        <v>326</v>
      </c>
      <c r="G29" s="3">
        <v>1</v>
      </c>
      <c r="H29" s="2">
        <v>0.5</v>
      </c>
      <c r="I29" s="3">
        <v>1</v>
      </c>
      <c r="J29" s="2">
        <v>0.5</v>
      </c>
      <c r="K29" s="3">
        <v>1</v>
      </c>
      <c r="L29" s="2">
        <v>0.5</v>
      </c>
      <c r="M29" s="3">
        <v>1</v>
      </c>
      <c r="N29" s="2">
        <v>0.5</v>
      </c>
      <c r="O29" s="3">
        <v>1</v>
      </c>
      <c r="P29" s="2">
        <v>0.5</v>
      </c>
      <c r="Q29" s="3">
        <v>1</v>
      </c>
      <c r="R29" s="2">
        <v>0.5</v>
      </c>
      <c r="W29">
        <v>25</v>
      </c>
      <c r="X29">
        <f t="shared" si="4"/>
        <v>326</v>
      </c>
      <c r="Y29">
        <f t="shared" si="5"/>
        <v>26500</v>
      </c>
      <c r="AB29">
        <v>126</v>
      </c>
      <c r="AC29">
        <v>75600</v>
      </c>
      <c r="AD29">
        <f t="shared" si="0"/>
        <v>18</v>
      </c>
      <c r="AE29">
        <f t="shared" si="1"/>
        <v>0</v>
      </c>
    </row>
    <row r="30" spans="1:31" x14ac:dyDescent="0.15">
      <c r="A30">
        <v>26</v>
      </c>
      <c r="B30" s="2" t="str">
        <f t="shared" si="2"/>
        <v>2,2,2,2,2,2</v>
      </c>
      <c r="C30" s="2" t="str">
        <f t="shared" si="3"/>
        <v>0.5,0.5,0.5,0.5,0.5,0.5</v>
      </c>
      <c r="D30" s="8">
        <v>28050</v>
      </c>
      <c r="E30" s="3">
        <v>344</v>
      </c>
      <c r="G30" s="3">
        <v>2</v>
      </c>
      <c r="H30" s="2">
        <v>0.5</v>
      </c>
      <c r="I30" s="3">
        <v>2</v>
      </c>
      <c r="J30" s="2">
        <v>0.5</v>
      </c>
      <c r="K30" s="3">
        <v>2</v>
      </c>
      <c r="L30" s="2">
        <v>0.5</v>
      </c>
      <c r="M30" s="3">
        <v>2</v>
      </c>
      <c r="N30" s="2">
        <v>0.5</v>
      </c>
      <c r="O30" s="3">
        <v>2</v>
      </c>
      <c r="P30" s="2">
        <v>0.5</v>
      </c>
      <c r="Q30" s="3">
        <v>2</v>
      </c>
      <c r="R30" s="2">
        <v>0.5</v>
      </c>
      <c r="W30">
        <v>26</v>
      </c>
      <c r="X30">
        <f t="shared" si="4"/>
        <v>344</v>
      </c>
      <c r="Y30">
        <f t="shared" si="5"/>
        <v>28050</v>
      </c>
      <c r="AB30">
        <v>144</v>
      </c>
      <c r="AC30">
        <v>86400</v>
      </c>
      <c r="AD30">
        <f t="shared" si="0"/>
        <v>18</v>
      </c>
      <c r="AE30">
        <f t="shared" si="1"/>
        <v>10800</v>
      </c>
    </row>
    <row r="31" spans="1:31" x14ac:dyDescent="0.15">
      <c r="A31" s="2">
        <v>27</v>
      </c>
      <c r="B31" s="2" t="str">
        <f t="shared" si="2"/>
        <v>3,8,8,5,6,3</v>
      </c>
      <c r="C31" s="2" t="str">
        <f t="shared" si="3"/>
        <v>0.5,0.5,0.5,0.5,1,0.5</v>
      </c>
      <c r="D31" s="8">
        <v>29652</v>
      </c>
      <c r="E31" s="3">
        <v>362</v>
      </c>
      <c r="G31" s="3">
        <v>3</v>
      </c>
      <c r="H31" s="2">
        <v>0.5</v>
      </c>
      <c r="I31" s="3">
        <v>8</v>
      </c>
      <c r="J31" s="2">
        <v>0.5</v>
      </c>
      <c r="K31" s="3">
        <v>8</v>
      </c>
      <c r="L31" s="2">
        <v>0.5</v>
      </c>
      <c r="M31" s="3">
        <v>5</v>
      </c>
      <c r="N31" s="2">
        <v>0.5</v>
      </c>
      <c r="O31" s="3">
        <v>6</v>
      </c>
      <c r="P31" s="2">
        <v>1</v>
      </c>
      <c r="Q31" s="3">
        <v>3</v>
      </c>
      <c r="R31" s="2">
        <v>0.5</v>
      </c>
      <c r="W31">
        <v>27</v>
      </c>
      <c r="X31">
        <f t="shared" si="4"/>
        <v>362</v>
      </c>
      <c r="Y31">
        <f t="shared" si="5"/>
        <v>29652</v>
      </c>
      <c r="AB31">
        <v>162</v>
      </c>
      <c r="AC31">
        <v>97200</v>
      </c>
      <c r="AD31">
        <f t="shared" si="0"/>
        <v>18</v>
      </c>
      <c r="AE31">
        <f t="shared" si="1"/>
        <v>10800</v>
      </c>
    </row>
    <row r="32" spans="1:31" x14ac:dyDescent="0.15">
      <c r="A32">
        <v>28</v>
      </c>
      <c r="B32" s="2" t="str">
        <f t="shared" si="2"/>
        <v>1,3,5,7,5,11</v>
      </c>
      <c r="C32" s="2" t="str">
        <f t="shared" si="3"/>
        <v>0.5,0.5,0.5,0.5,0.5,0.5</v>
      </c>
      <c r="D32" s="8">
        <v>31308</v>
      </c>
      <c r="E32" s="3">
        <v>380</v>
      </c>
      <c r="G32" s="3">
        <v>1</v>
      </c>
      <c r="H32" s="2">
        <v>0.5</v>
      </c>
      <c r="I32" s="3">
        <v>3</v>
      </c>
      <c r="J32" s="2">
        <v>0.5</v>
      </c>
      <c r="K32" s="3">
        <v>5</v>
      </c>
      <c r="L32" s="2">
        <v>0.5</v>
      </c>
      <c r="M32" s="3">
        <v>7</v>
      </c>
      <c r="N32" s="2">
        <v>0.5</v>
      </c>
      <c r="O32" s="3">
        <v>5</v>
      </c>
      <c r="P32" s="2">
        <v>0.5</v>
      </c>
      <c r="Q32" s="3">
        <v>11</v>
      </c>
      <c r="R32" s="2">
        <v>0.5</v>
      </c>
      <c r="W32">
        <v>28</v>
      </c>
      <c r="X32">
        <f t="shared" si="4"/>
        <v>380</v>
      </c>
      <c r="Y32">
        <f t="shared" si="5"/>
        <v>31308</v>
      </c>
      <c r="AB32">
        <v>180</v>
      </c>
      <c r="AC32">
        <v>108000</v>
      </c>
      <c r="AD32">
        <f t="shared" si="0"/>
        <v>18</v>
      </c>
      <c r="AE32">
        <f t="shared" si="1"/>
        <v>10800</v>
      </c>
    </row>
    <row r="33" spans="1:31" x14ac:dyDescent="0.15">
      <c r="A33" s="2">
        <v>29</v>
      </c>
      <c r="B33" s="2" t="str">
        <f t="shared" si="2"/>
        <v>2,4,4,4,4,4</v>
      </c>
      <c r="C33" s="2" t="str">
        <f t="shared" si="3"/>
        <v>0.5,0.5,0.5,0.5,0.5,0.5</v>
      </c>
      <c r="D33" s="8">
        <v>33020</v>
      </c>
      <c r="E33" s="3">
        <v>398</v>
      </c>
      <c r="G33" s="3">
        <v>2</v>
      </c>
      <c r="H33" s="2">
        <v>0.5</v>
      </c>
      <c r="I33" s="3">
        <v>4</v>
      </c>
      <c r="J33" s="2">
        <v>0.5</v>
      </c>
      <c r="K33" s="3">
        <v>4</v>
      </c>
      <c r="L33" s="2">
        <v>0.5</v>
      </c>
      <c r="M33" s="3">
        <v>4</v>
      </c>
      <c r="N33" s="2">
        <v>0.5</v>
      </c>
      <c r="O33" s="3">
        <v>4</v>
      </c>
      <c r="P33" s="2">
        <v>0.5</v>
      </c>
      <c r="Q33" s="3">
        <v>4</v>
      </c>
      <c r="R33" s="2">
        <v>0.5</v>
      </c>
      <c r="W33">
        <v>29</v>
      </c>
      <c r="X33">
        <f t="shared" si="4"/>
        <v>398</v>
      </c>
      <c r="Y33">
        <f t="shared" si="5"/>
        <v>33020</v>
      </c>
      <c r="AB33">
        <v>110</v>
      </c>
      <c r="AC33">
        <v>66000</v>
      </c>
      <c r="AD33">
        <f t="shared" si="0"/>
        <v>-70</v>
      </c>
      <c r="AE33">
        <f t="shared" si="1"/>
        <v>-42000</v>
      </c>
    </row>
    <row r="34" spans="1:31" x14ac:dyDescent="0.15">
      <c r="A34">
        <v>30</v>
      </c>
      <c r="B34" s="2" t="str">
        <f t="shared" si="2"/>
        <v>3,10,9,11,8,10</v>
      </c>
      <c r="C34" s="2" t="str">
        <f t="shared" si="3"/>
        <v>0.5,0.5,0.5,1,0.5,0.5</v>
      </c>
      <c r="D34" s="8">
        <v>34990</v>
      </c>
      <c r="E34" s="3">
        <v>420</v>
      </c>
      <c r="G34" s="3">
        <v>3</v>
      </c>
      <c r="H34" s="2">
        <v>0.5</v>
      </c>
      <c r="I34" s="3">
        <v>10</v>
      </c>
      <c r="J34" s="2">
        <v>0.5</v>
      </c>
      <c r="K34" s="3">
        <v>9</v>
      </c>
      <c r="L34" s="2">
        <v>0.5</v>
      </c>
      <c r="M34" s="3">
        <v>11</v>
      </c>
      <c r="N34" s="2">
        <v>1</v>
      </c>
      <c r="O34" s="3">
        <v>8</v>
      </c>
      <c r="P34" s="2">
        <v>0.5</v>
      </c>
      <c r="Q34" s="3">
        <v>10</v>
      </c>
      <c r="R34" s="2">
        <v>0.5</v>
      </c>
      <c r="W34">
        <v>30</v>
      </c>
      <c r="X34">
        <f t="shared" si="4"/>
        <v>420</v>
      </c>
      <c r="Y34">
        <f t="shared" si="5"/>
        <v>34990</v>
      </c>
      <c r="AB34">
        <v>132</v>
      </c>
      <c r="AC34">
        <v>92400</v>
      </c>
      <c r="AD34">
        <f t="shared" si="0"/>
        <v>22</v>
      </c>
      <c r="AE34">
        <f t="shared" si="1"/>
        <v>26400</v>
      </c>
    </row>
    <row r="35" spans="1:31" x14ac:dyDescent="0.15">
      <c r="A35" s="2">
        <v>31</v>
      </c>
      <c r="B35" s="2" t="str">
        <f t="shared" si="2"/>
        <v>1,1,1,1,1,1</v>
      </c>
      <c r="C35" s="2" t="str">
        <f t="shared" si="3"/>
        <v>0.5,0.5,0.5,0.5,0.5,0.5</v>
      </c>
      <c r="D35" s="8">
        <v>37020</v>
      </c>
      <c r="E35" s="3">
        <v>442</v>
      </c>
      <c r="G35" s="3">
        <v>1</v>
      </c>
      <c r="H35" s="2">
        <v>0.5</v>
      </c>
      <c r="I35" s="3">
        <v>1</v>
      </c>
      <c r="J35" s="2">
        <v>0.5</v>
      </c>
      <c r="K35" s="3">
        <v>1</v>
      </c>
      <c r="L35" s="2">
        <v>0.5</v>
      </c>
      <c r="M35" s="3">
        <v>1</v>
      </c>
      <c r="N35" s="2">
        <v>0.5</v>
      </c>
      <c r="O35" s="3">
        <v>1</v>
      </c>
      <c r="P35" s="2">
        <v>0.5</v>
      </c>
      <c r="Q35" s="3">
        <v>1</v>
      </c>
      <c r="R35" s="2">
        <v>0.5</v>
      </c>
      <c r="W35">
        <v>31</v>
      </c>
      <c r="X35">
        <f t="shared" si="4"/>
        <v>442</v>
      </c>
      <c r="Y35">
        <f t="shared" si="5"/>
        <v>37020</v>
      </c>
      <c r="AB35">
        <v>154</v>
      </c>
      <c r="AC35">
        <v>92400</v>
      </c>
      <c r="AD35">
        <f t="shared" si="0"/>
        <v>22</v>
      </c>
      <c r="AE35">
        <f t="shared" si="1"/>
        <v>0</v>
      </c>
    </row>
    <row r="36" spans="1:31" x14ac:dyDescent="0.15">
      <c r="A36">
        <v>32</v>
      </c>
      <c r="B36" s="2" t="str">
        <f t="shared" si="2"/>
        <v>2,2,2,2,2,2</v>
      </c>
      <c r="C36" s="2" t="str">
        <f t="shared" si="3"/>
        <v>0.5,0.5,0.5,0.5,0.5,0.5</v>
      </c>
      <c r="D36" s="8">
        <v>39112</v>
      </c>
      <c r="E36" s="3">
        <v>464</v>
      </c>
      <c r="G36" s="3">
        <v>2</v>
      </c>
      <c r="H36" s="2">
        <v>0.5</v>
      </c>
      <c r="I36" s="3">
        <v>2</v>
      </c>
      <c r="J36" s="2">
        <v>0.5</v>
      </c>
      <c r="K36" s="3">
        <v>2</v>
      </c>
      <c r="L36" s="2">
        <v>0.5</v>
      </c>
      <c r="M36" s="3">
        <v>2</v>
      </c>
      <c r="N36" s="2">
        <v>0.5</v>
      </c>
      <c r="O36" s="3">
        <v>2</v>
      </c>
      <c r="P36" s="2">
        <v>0.5</v>
      </c>
      <c r="Q36" s="3">
        <v>2</v>
      </c>
      <c r="R36" s="2">
        <v>0.5</v>
      </c>
      <c r="W36">
        <v>32</v>
      </c>
      <c r="X36">
        <f t="shared" si="4"/>
        <v>464</v>
      </c>
      <c r="Y36">
        <f t="shared" si="5"/>
        <v>39112</v>
      </c>
      <c r="AB36">
        <v>176</v>
      </c>
      <c r="AD36">
        <f t="shared" si="0"/>
        <v>22</v>
      </c>
      <c r="AE36">
        <f t="shared" si="1"/>
        <v>-92400</v>
      </c>
    </row>
    <row r="37" spans="1:31" x14ac:dyDescent="0.15">
      <c r="A37" s="2">
        <v>33</v>
      </c>
      <c r="B37" s="2" t="str">
        <f t="shared" si="2"/>
        <v>3,8,8,5,6,3</v>
      </c>
      <c r="C37" s="2" t="str">
        <f t="shared" si="3"/>
        <v>0.5,0.5,0.5,0.5,1,0.5</v>
      </c>
      <c r="D37" s="8">
        <v>41268</v>
      </c>
      <c r="E37" s="3">
        <v>486</v>
      </c>
      <c r="G37" s="3">
        <v>3</v>
      </c>
      <c r="H37" s="2">
        <v>0.5</v>
      </c>
      <c r="I37" s="3">
        <v>8</v>
      </c>
      <c r="J37" s="2">
        <v>0.5</v>
      </c>
      <c r="K37" s="3">
        <v>8</v>
      </c>
      <c r="L37" s="2">
        <v>0.5</v>
      </c>
      <c r="M37" s="3">
        <v>5</v>
      </c>
      <c r="N37" s="2">
        <v>0.5</v>
      </c>
      <c r="O37" s="3">
        <v>6</v>
      </c>
      <c r="P37" s="2">
        <v>1</v>
      </c>
      <c r="Q37" s="3">
        <v>3</v>
      </c>
      <c r="R37" s="2">
        <v>0.5</v>
      </c>
      <c r="W37">
        <v>33</v>
      </c>
      <c r="X37">
        <f t="shared" si="4"/>
        <v>486</v>
      </c>
      <c r="Y37">
        <f t="shared" si="5"/>
        <v>41268</v>
      </c>
      <c r="AB37">
        <v>198</v>
      </c>
      <c r="AD37">
        <f t="shared" si="0"/>
        <v>22</v>
      </c>
      <c r="AE37">
        <f t="shared" si="1"/>
        <v>0</v>
      </c>
    </row>
    <row r="38" spans="1:31" x14ac:dyDescent="0.15">
      <c r="A38">
        <v>34</v>
      </c>
      <c r="B38" s="2" t="str">
        <f t="shared" si="2"/>
        <v>1,3,5,7,5,11</v>
      </c>
      <c r="C38" s="2" t="str">
        <f t="shared" si="3"/>
        <v>0.5,0.5,0.5,0.5,0.5,0.5</v>
      </c>
      <c r="D38" s="8">
        <v>43490</v>
      </c>
      <c r="E38" s="3">
        <v>508</v>
      </c>
      <c r="G38" s="3">
        <v>1</v>
      </c>
      <c r="H38" s="2">
        <v>0.5</v>
      </c>
      <c r="I38" s="3">
        <v>3</v>
      </c>
      <c r="J38" s="2">
        <v>0.5</v>
      </c>
      <c r="K38" s="3">
        <v>5</v>
      </c>
      <c r="L38" s="2">
        <v>0.5</v>
      </c>
      <c r="M38" s="3">
        <v>7</v>
      </c>
      <c r="N38" s="2">
        <v>0.5</v>
      </c>
      <c r="O38" s="3">
        <v>5</v>
      </c>
      <c r="P38" s="2">
        <v>0.5</v>
      </c>
      <c r="Q38" s="3">
        <v>11</v>
      </c>
      <c r="R38" s="2">
        <v>0.5</v>
      </c>
      <c r="W38">
        <v>34</v>
      </c>
      <c r="X38">
        <f t="shared" si="4"/>
        <v>508</v>
      </c>
      <c r="Y38">
        <f t="shared" si="5"/>
        <v>43490</v>
      </c>
      <c r="AB38">
        <v>220</v>
      </c>
      <c r="AD38">
        <f t="shared" si="0"/>
        <v>22</v>
      </c>
      <c r="AE38">
        <f t="shared" si="1"/>
        <v>0</v>
      </c>
    </row>
    <row r="39" spans="1:31" x14ac:dyDescent="0.15">
      <c r="A39" s="2">
        <v>35</v>
      </c>
      <c r="B39" s="2" t="str">
        <f t="shared" si="2"/>
        <v>2,4,4,4,4,4</v>
      </c>
      <c r="C39" s="2" t="str">
        <f t="shared" si="3"/>
        <v>0.5,0.5,0.5,0.5,0.5,0.5</v>
      </c>
      <c r="D39" s="8">
        <v>45780</v>
      </c>
      <c r="E39" s="3">
        <v>530</v>
      </c>
      <c r="G39" s="3">
        <v>2</v>
      </c>
      <c r="H39" s="2">
        <v>0.5</v>
      </c>
      <c r="I39" s="3">
        <v>4</v>
      </c>
      <c r="J39" s="2">
        <v>0.5</v>
      </c>
      <c r="K39" s="3">
        <v>4</v>
      </c>
      <c r="L39" s="2">
        <v>0.5</v>
      </c>
      <c r="M39" s="3">
        <v>4</v>
      </c>
      <c r="N39" s="2">
        <v>0.5</v>
      </c>
      <c r="O39" s="3">
        <v>4</v>
      </c>
      <c r="P39" s="2">
        <v>0.5</v>
      </c>
      <c r="Q39" s="3">
        <v>4</v>
      </c>
      <c r="R39" s="2">
        <v>0.5</v>
      </c>
      <c r="W39">
        <v>35</v>
      </c>
      <c r="X39">
        <f t="shared" si="4"/>
        <v>530</v>
      </c>
      <c r="Y39">
        <f t="shared" si="5"/>
        <v>45780</v>
      </c>
    </row>
    <row r="40" spans="1:31" x14ac:dyDescent="0.15">
      <c r="A40">
        <v>36</v>
      </c>
      <c r="B40" s="2" t="str">
        <f t="shared" si="2"/>
        <v>3,10,9,11,8,10</v>
      </c>
      <c r="C40" s="2" t="str">
        <f t="shared" si="3"/>
        <v>0.5,0.5,0.5,1,0.5,0.5</v>
      </c>
      <c r="D40" s="8">
        <v>48340</v>
      </c>
      <c r="E40" s="3">
        <v>556</v>
      </c>
      <c r="G40" s="3">
        <v>3</v>
      </c>
      <c r="H40" s="2">
        <v>0.5</v>
      </c>
      <c r="I40" s="3">
        <v>10</v>
      </c>
      <c r="J40" s="2">
        <v>0.5</v>
      </c>
      <c r="K40" s="3">
        <v>9</v>
      </c>
      <c r="L40" s="2">
        <v>0.5</v>
      </c>
      <c r="M40" s="3">
        <v>11</v>
      </c>
      <c r="N40" s="2">
        <v>1</v>
      </c>
      <c r="O40" s="3">
        <v>8</v>
      </c>
      <c r="P40" s="2">
        <v>0.5</v>
      </c>
      <c r="Q40" s="3">
        <v>10</v>
      </c>
      <c r="R40" s="2">
        <v>0.5</v>
      </c>
      <c r="W40">
        <v>36</v>
      </c>
      <c r="X40">
        <f t="shared" si="4"/>
        <v>556</v>
      </c>
      <c r="Y40">
        <f t="shared" si="5"/>
        <v>48340</v>
      </c>
    </row>
    <row r="41" spans="1:31" x14ac:dyDescent="0.15">
      <c r="A41" s="2">
        <v>37</v>
      </c>
      <c r="B41" s="2" t="str">
        <f t="shared" si="2"/>
        <v>1,1,1,1,1,1</v>
      </c>
      <c r="C41" s="2" t="str">
        <f t="shared" si="3"/>
        <v>0.5,0.5,0.5,0.5,0.5,0.5</v>
      </c>
      <c r="D41" s="8">
        <v>50972</v>
      </c>
      <c r="E41" s="3">
        <v>582</v>
      </c>
      <c r="G41" s="3">
        <v>1</v>
      </c>
      <c r="H41" s="2">
        <v>0.5</v>
      </c>
      <c r="I41" s="3">
        <v>1</v>
      </c>
      <c r="J41" s="2">
        <v>0.5</v>
      </c>
      <c r="K41" s="3">
        <v>1</v>
      </c>
      <c r="L41" s="2">
        <v>0.5</v>
      </c>
      <c r="M41" s="3">
        <v>1</v>
      </c>
      <c r="N41" s="2">
        <v>0.5</v>
      </c>
      <c r="O41" s="3">
        <v>1</v>
      </c>
      <c r="P41" s="2">
        <v>0.5</v>
      </c>
      <c r="Q41" s="3">
        <v>1</v>
      </c>
      <c r="R41" s="2">
        <v>0.5</v>
      </c>
      <c r="W41">
        <v>37</v>
      </c>
      <c r="X41">
        <f t="shared" si="4"/>
        <v>582</v>
      </c>
      <c r="Y41">
        <f t="shared" si="5"/>
        <v>50972</v>
      </c>
    </row>
    <row r="42" spans="1:31" x14ac:dyDescent="0.15">
      <c r="A42">
        <v>38</v>
      </c>
      <c r="B42" s="2" t="str">
        <f t="shared" si="2"/>
        <v>2,2,2,2,2,2</v>
      </c>
      <c r="C42" s="2" t="str">
        <f t="shared" si="3"/>
        <v>0.5,0.5,0.5,0.5,0.5,0.5</v>
      </c>
      <c r="D42" s="8">
        <v>53678</v>
      </c>
      <c r="E42" s="3">
        <v>608</v>
      </c>
      <c r="G42" s="3">
        <v>2</v>
      </c>
      <c r="H42" s="2">
        <v>0.5</v>
      </c>
      <c r="I42" s="3">
        <v>2</v>
      </c>
      <c r="J42" s="2">
        <v>0.5</v>
      </c>
      <c r="K42" s="3">
        <v>2</v>
      </c>
      <c r="L42" s="2">
        <v>0.5</v>
      </c>
      <c r="M42" s="3">
        <v>2</v>
      </c>
      <c r="N42" s="2">
        <v>0.5</v>
      </c>
      <c r="O42" s="3">
        <v>2</v>
      </c>
      <c r="P42" s="2">
        <v>0.5</v>
      </c>
      <c r="Q42" s="3">
        <v>2</v>
      </c>
      <c r="R42" s="2">
        <v>0.5</v>
      </c>
      <c r="W42">
        <v>38</v>
      </c>
      <c r="X42">
        <f t="shared" si="4"/>
        <v>608</v>
      </c>
      <c r="Y42">
        <f t="shared" si="5"/>
        <v>53678</v>
      </c>
    </row>
    <row r="43" spans="1:31" x14ac:dyDescent="0.15">
      <c r="A43" s="2">
        <v>39</v>
      </c>
      <c r="B43" s="2" t="str">
        <f t="shared" si="2"/>
        <v>3,8,8,5,6,3</v>
      </c>
      <c r="C43" s="2" t="str">
        <f t="shared" si="3"/>
        <v>0.5,0.5,0.5,0.5,1,0.5</v>
      </c>
      <c r="D43" s="8">
        <v>56460</v>
      </c>
      <c r="E43" s="3">
        <v>634</v>
      </c>
      <c r="G43" s="3">
        <v>3</v>
      </c>
      <c r="H43" s="2">
        <v>0.5</v>
      </c>
      <c r="I43" s="3">
        <v>8</v>
      </c>
      <c r="J43" s="2">
        <v>0.5</v>
      </c>
      <c r="K43" s="3">
        <v>8</v>
      </c>
      <c r="L43" s="2">
        <v>0.5</v>
      </c>
      <c r="M43" s="3">
        <v>5</v>
      </c>
      <c r="N43" s="2">
        <v>0.5</v>
      </c>
      <c r="O43" s="3">
        <v>6</v>
      </c>
      <c r="P43" s="2">
        <v>1</v>
      </c>
      <c r="Q43" s="3">
        <v>3</v>
      </c>
      <c r="R43" s="2">
        <v>0.5</v>
      </c>
      <c r="W43">
        <v>39</v>
      </c>
      <c r="X43">
        <f t="shared" si="4"/>
        <v>634</v>
      </c>
      <c r="Y43">
        <f t="shared" si="5"/>
        <v>56460</v>
      </c>
    </row>
    <row r="44" spans="1:31" x14ac:dyDescent="0.15">
      <c r="A44">
        <v>40</v>
      </c>
      <c r="B44" s="2" t="str">
        <f t="shared" si="2"/>
        <v>1,3,5,7,5,11</v>
      </c>
      <c r="C44" s="2" t="str">
        <f t="shared" si="3"/>
        <v>0.5,0.5,0.5,0.5,0.5,0.5</v>
      </c>
      <c r="D44" s="8">
        <v>59320</v>
      </c>
      <c r="E44" s="3">
        <v>660</v>
      </c>
      <c r="G44" s="3">
        <v>1</v>
      </c>
      <c r="H44" s="2">
        <v>0.5</v>
      </c>
      <c r="I44" s="3">
        <v>3</v>
      </c>
      <c r="J44" s="2">
        <v>0.5</v>
      </c>
      <c r="K44" s="3">
        <v>5</v>
      </c>
      <c r="L44" s="2">
        <v>0.5</v>
      </c>
      <c r="M44" s="3">
        <v>7</v>
      </c>
      <c r="N44" s="2">
        <v>0.5</v>
      </c>
      <c r="O44" s="3">
        <v>5</v>
      </c>
      <c r="P44" s="2">
        <v>0.5</v>
      </c>
      <c r="Q44" s="3">
        <v>11</v>
      </c>
      <c r="R44" s="2">
        <v>0.5</v>
      </c>
      <c r="W44">
        <v>40</v>
      </c>
      <c r="X44">
        <f t="shared" si="4"/>
        <v>660</v>
      </c>
      <c r="Y44">
        <f t="shared" si="5"/>
        <v>59320</v>
      </c>
    </row>
    <row r="45" spans="1:31" x14ac:dyDescent="0.15">
      <c r="A45" s="2">
        <v>41</v>
      </c>
      <c r="B45" s="2" t="str">
        <f t="shared" si="2"/>
        <v>2,4,4,4,4,4</v>
      </c>
      <c r="C45" s="2" t="str">
        <f t="shared" si="3"/>
        <v>0.5,0.5,0.5,0.5,0.5,0.5</v>
      </c>
      <c r="D45" s="8">
        <v>62260</v>
      </c>
      <c r="E45" s="3">
        <v>686</v>
      </c>
      <c r="G45" s="3">
        <v>2</v>
      </c>
      <c r="H45" s="2">
        <v>0.5</v>
      </c>
      <c r="I45" s="3">
        <v>4</v>
      </c>
      <c r="J45" s="2">
        <v>0.5</v>
      </c>
      <c r="K45" s="3">
        <v>4</v>
      </c>
      <c r="L45" s="2">
        <v>0.5</v>
      </c>
      <c r="M45" s="3">
        <v>4</v>
      </c>
      <c r="N45" s="2">
        <v>0.5</v>
      </c>
      <c r="O45" s="3">
        <v>4</v>
      </c>
      <c r="P45" s="2">
        <v>0.5</v>
      </c>
      <c r="Q45" s="3">
        <v>4</v>
      </c>
      <c r="R45" s="2">
        <v>0.5</v>
      </c>
      <c r="W45">
        <v>41</v>
      </c>
      <c r="X45">
        <f t="shared" si="4"/>
        <v>686</v>
      </c>
      <c r="Y45">
        <f t="shared" si="5"/>
        <v>62260</v>
      </c>
    </row>
    <row r="46" spans="1:31" x14ac:dyDescent="0.15">
      <c r="A46">
        <v>42</v>
      </c>
      <c r="B46" s="2" t="str">
        <f t="shared" si="2"/>
        <v>3,10,9,11,8,10</v>
      </c>
      <c r="C46" s="2" t="str">
        <f t="shared" si="3"/>
        <v>0.5,0.5,0.5,1,0.5,0.5</v>
      </c>
      <c r="D46" s="8">
        <v>65482</v>
      </c>
      <c r="E46" s="3">
        <v>716</v>
      </c>
      <c r="G46" s="3">
        <v>3</v>
      </c>
      <c r="H46" s="2">
        <v>0.5</v>
      </c>
      <c r="I46" s="3">
        <v>10</v>
      </c>
      <c r="J46" s="2">
        <v>0.5</v>
      </c>
      <c r="K46" s="3">
        <v>9</v>
      </c>
      <c r="L46" s="2">
        <v>0.5</v>
      </c>
      <c r="M46" s="3">
        <v>11</v>
      </c>
      <c r="N46" s="2">
        <v>1</v>
      </c>
      <c r="O46" s="3">
        <v>8</v>
      </c>
      <c r="P46" s="2">
        <v>0.5</v>
      </c>
      <c r="Q46" s="3">
        <v>10</v>
      </c>
      <c r="R46" s="2">
        <v>0.5</v>
      </c>
      <c r="W46">
        <v>42</v>
      </c>
      <c r="X46">
        <f t="shared" si="4"/>
        <v>716</v>
      </c>
      <c r="Y46">
        <f t="shared" si="5"/>
        <v>65482</v>
      </c>
    </row>
    <row r="47" spans="1:31" x14ac:dyDescent="0.15">
      <c r="A47" s="2">
        <v>43</v>
      </c>
      <c r="B47" s="2" t="str">
        <f t="shared" si="2"/>
        <v>1,1,1,1,1,1</v>
      </c>
      <c r="C47" s="2" t="str">
        <f t="shared" si="3"/>
        <v>0.5,0.5,0.5,0.5,0.5,0.5</v>
      </c>
      <c r="D47" s="8">
        <v>68788</v>
      </c>
      <c r="E47" s="3">
        <v>746</v>
      </c>
      <c r="G47" s="3">
        <v>1</v>
      </c>
      <c r="H47" s="2">
        <v>0.5</v>
      </c>
      <c r="I47" s="3">
        <v>1</v>
      </c>
      <c r="J47" s="2">
        <v>0.5</v>
      </c>
      <c r="K47" s="3">
        <v>1</v>
      </c>
      <c r="L47" s="2">
        <v>0.5</v>
      </c>
      <c r="M47" s="3">
        <v>1</v>
      </c>
      <c r="N47" s="2">
        <v>0.5</v>
      </c>
      <c r="O47" s="3">
        <v>1</v>
      </c>
      <c r="P47" s="2">
        <v>0.5</v>
      </c>
      <c r="Q47" s="3">
        <v>1</v>
      </c>
      <c r="R47" s="2">
        <v>0.5</v>
      </c>
      <c r="W47">
        <v>43</v>
      </c>
      <c r="X47">
        <f t="shared" si="4"/>
        <v>746</v>
      </c>
      <c r="Y47">
        <f t="shared" si="5"/>
        <v>68788</v>
      </c>
    </row>
    <row r="48" spans="1:31" x14ac:dyDescent="0.15">
      <c r="A48">
        <v>44</v>
      </c>
      <c r="B48" s="2" t="str">
        <f t="shared" si="2"/>
        <v>2,2,2,2,2,2</v>
      </c>
      <c r="C48" s="2" t="str">
        <f t="shared" si="3"/>
        <v>0.5,0.5,0.5,0.5,0.5,0.5</v>
      </c>
      <c r="D48" s="8">
        <v>72180</v>
      </c>
      <c r="E48" s="3">
        <v>776</v>
      </c>
      <c r="G48" s="3">
        <v>2</v>
      </c>
      <c r="H48" s="2">
        <v>0.5</v>
      </c>
      <c r="I48" s="3">
        <v>2</v>
      </c>
      <c r="J48" s="2">
        <v>0.5</v>
      </c>
      <c r="K48" s="3">
        <v>2</v>
      </c>
      <c r="L48" s="2">
        <v>0.5</v>
      </c>
      <c r="M48" s="3">
        <v>2</v>
      </c>
      <c r="N48" s="2">
        <v>0.5</v>
      </c>
      <c r="O48" s="3">
        <v>2</v>
      </c>
      <c r="P48" s="2">
        <v>0.5</v>
      </c>
      <c r="Q48" s="3">
        <v>2</v>
      </c>
      <c r="R48" s="2">
        <v>0.5</v>
      </c>
      <c r="W48">
        <v>44</v>
      </c>
      <c r="X48">
        <f t="shared" si="4"/>
        <v>776</v>
      </c>
      <c r="Y48">
        <f t="shared" si="5"/>
        <v>72180</v>
      </c>
    </row>
    <row r="49" spans="1:25" x14ac:dyDescent="0.15">
      <c r="A49" s="2">
        <v>45</v>
      </c>
      <c r="B49" s="2" t="str">
        <f t="shared" si="2"/>
        <v>3,8,8,5,6,3</v>
      </c>
      <c r="C49" s="2" t="str">
        <f t="shared" si="3"/>
        <v>0.5,0.5,0.5,0.5,1,0.5</v>
      </c>
      <c r="D49" s="8">
        <v>75660</v>
      </c>
      <c r="E49" s="3">
        <v>806</v>
      </c>
      <c r="G49" s="3">
        <v>3</v>
      </c>
      <c r="H49" s="2">
        <v>0.5</v>
      </c>
      <c r="I49" s="3">
        <v>8</v>
      </c>
      <c r="J49" s="2">
        <v>0.5</v>
      </c>
      <c r="K49" s="3">
        <v>8</v>
      </c>
      <c r="L49" s="2">
        <v>0.5</v>
      </c>
      <c r="M49" s="3">
        <v>5</v>
      </c>
      <c r="N49" s="2">
        <v>0.5</v>
      </c>
      <c r="O49" s="3">
        <v>6</v>
      </c>
      <c r="P49" s="2">
        <v>1</v>
      </c>
      <c r="Q49" s="3">
        <v>3</v>
      </c>
      <c r="R49" s="2">
        <v>0.5</v>
      </c>
      <c r="W49">
        <v>45</v>
      </c>
      <c r="X49">
        <f t="shared" si="4"/>
        <v>806</v>
      </c>
      <c r="Y49">
        <f t="shared" si="5"/>
        <v>75660</v>
      </c>
    </row>
    <row r="50" spans="1:25" x14ac:dyDescent="0.15">
      <c r="A50">
        <v>46</v>
      </c>
      <c r="B50" s="2" t="str">
        <f t="shared" si="2"/>
        <v>1,3,5,7,5,11</v>
      </c>
      <c r="C50" s="2" t="str">
        <f t="shared" si="3"/>
        <v>0.5,0.5,0.5,0.5,0.5,0.5</v>
      </c>
      <c r="D50" s="8">
        <v>79230</v>
      </c>
      <c r="E50" s="3">
        <v>836</v>
      </c>
      <c r="G50" s="3">
        <v>1</v>
      </c>
      <c r="H50" s="2">
        <v>0.5</v>
      </c>
      <c r="I50" s="3">
        <v>3</v>
      </c>
      <c r="J50" s="2">
        <v>0.5</v>
      </c>
      <c r="K50" s="3">
        <v>5</v>
      </c>
      <c r="L50" s="2">
        <v>0.5</v>
      </c>
      <c r="M50" s="3">
        <v>7</v>
      </c>
      <c r="N50" s="2">
        <v>0.5</v>
      </c>
      <c r="O50" s="3">
        <v>5</v>
      </c>
      <c r="P50" s="2">
        <v>0.5</v>
      </c>
      <c r="Q50" s="3">
        <v>11</v>
      </c>
      <c r="R50" s="2">
        <v>0.5</v>
      </c>
      <c r="W50">
        <v>46</v>
      </c>
      <c r="X50">
        <f t="shared" si="4"/>
        <v>836</v>
      </c>
      <c r="Y50">
        <f t="shared" si="5"/>
        <v>79230</v>
      </c>
    </row>
    <row r="51" spans="1:25" x14ac:dyDescent="0.15">
      <c r="A51" s="2">
        <v>47</v>
      </c>
      <c r="B51" s="2" t="str">
        <f t="shared" si="2"/>
        <v>2,4,4,4,4,4</v>
      </c>
      <c r="C51" s="2" t="str">
        <f t="shared" si="3"/>
        <v>0.5,0.5,0.5,0.5,0.5,0.5</v>
      </c>
      <c r="D51" s="8">
        <v>82892</v>
      </c>
      <c r="E51" s="3">
        <v>866</v>
      </c>
      <c r="G51" s="3">
        <v>2</v>
      </c>
      <c r="H51" s="2">
        <v>0.5</v>
      </c>
      <c r="I51" s="3">
        <v>4</v>
      </c>
      <c r="J51" s="2">
        <v>0.5</v>
      </c>
      <c r="K51" s="3">
        <v>4</v>
      </c>
      <c r="L51" s="2">
        <v>0.5</v>
      </c>
      <c r="M51" s="3">
        <v>4</v>
      </c>
      <c r="N51" s="2">
        <v>0.5</v>
      </c>
      <c r="O51" s="3">
        <v>4</v>
      </c>
      <c r="P51" s="2">
        <v>0.5</v>
      </c>
      <c r="Q51" s="3">
        <v>4</v>
      </c>
      <c r="R51" s="2">
        <v>0.5</v>
      </c>
      <c r="W51">
        <v>47</v>
      </c>
      <c r="X51">
        <f t="shared" si="4"/>
        <v>866</v>
      </c>
      <c r="Y51">
        <f t="shared" si="5"/>
        <v>82892</v>
      </c>
    </row>
    <row r="52" spans="1:25" x14ac:dyDescent="0.15">
      <c r="A52">
        <v>48</v>
      </c>
      <c r="B52" s="2" t="str">
        <f t="shared" si="2"/>
        <v>3,10,9,11,8,10</v>
      </c>
      <c r="C52" s="2" t="str">
        <f t="shared" si="3"/>
        <v>0.5,0.5,0.5,1,0.5,0.5</v>
      </c>
      <c r="D52" s="8">
        <v>86848</v>
      </c>
      <c r="E52" s="3">
        <v>900</v>
      </c>
      <c r="G52" s="3">
        <v>3</v>
      </c>
      <c r="H52" s="2">
        <v>0.5</v>
      </c>
      <c r="I52" s="3">
        <v>10</v>
      </c>
      <c r="J52" s="2">
        <v>0.5</v>
      </c>
      <c r="K52" s="3">
        <v>9</v>
      </c>
      <c r="L52" s="2">
        <v>0.5</v>
      </c>
      <c r="M52" s="3">
        <v>11</v>
      </c>
      <c r="N52" s="2">
        <v>1</v>
      </c>
      <c r="O52" s="3">
        <v>8</v>
      </c>
      <c r="P52" s="2">
        <v>0.5</v>
      </c>
      <c r="Q52" s="3">
        <v>10</v>
      </c>
      <c r="R52" s="2">
        <v>0.5</v>
      </c>
      <c r="W52">
        <v>48</v>
      </c>
      <c r="X52">
        <f t="shared" si="4"/>
        <v>900</v>
      </c>
      <c r="Y52">
        <f t="shared" si="5"/>
        <v>86848</v>
      </c>
    </row>
    <row r="53" spans="1:25" x14ac:dyDescent="0.15">
      <c r="A53" s="2">
        <v>49</v>
      </c>
      <c r="B53" s="2" t="str">
        <f t="shared" si="2"/>
        <v>1,1,1,1,1,1</v>
      </c>
      <c r="C53" s="2" t="str">
        <f t="shared" si="3"/>
        <v>0.5,0.5,0.5,0.5,0.5,0.5</v>
      </c>
      <c r="D53" s="8">
        <v>90900</v>
      </c>
      <c r="E53" s="3">
        <v>934</v>
      </c>
      <c r="G53" s="3">
        <v>1</v>
      </c>
      <c r="H53" s="2">
        <v>0.5</v>
      </c>
      <c r="I53" s="3">
        <v>1</v>
      </c>
      <c r="J53" s="2">
        <v>0.5</v>
      </c>
      <c r="K53" s="3">
        <v>1</v>
      </c>
      <c r="L53" s="2">
        <v>0.5</v>
      </c>
      <c r="M53" s="3">
        <v>1</v>
      </c>
      <c r="N53" s="2">
        <v>0.5</v>
      </c>
      <c r="O53" s="3">
        <v>1</v>
      </c>
      <c r="P53" s="2">
        <v>0.5</v>
      </c>
      <c r="Q53" s="3">
        <v>1</v>
      </c>
      <c r="R53" s="2">
        <v>0.5</v>
      </c>
      <c r="W53">
        <v>49</v>
      </c>
      <c r="X53">
        <f t="shared" si="4"/>
        <v>934</v>
      </c>
      <c r="Y53">
        <f t="shared" si="5"/>
        <v>90900</v>
      </c>
    </row>
    <row r="54" spans="1:25" x14ac:dyDescent="0.15">
      <c r="A54">
        <v>50</v>
      </c>
      <c r="B54" s="2" t="str">
        <f t="shared" si="2"/>
        <v>2,2,2,2,2,2</v>
      </c>
      <c r="C54" s="2" t="str">
        <f t="shared" si="3"/>
        <v>0.5,0.5,0.5,0.5,0.5,0.5</v>
      </c>
      <c r="D54" s="8">
        <v>95050</v>
      </c>
      <c r="E54" s="3">
        <v>968</v>
      </c>
      <c r="G54" s="3">
        <v>2</v>
      </c>
      <c r="H54" s="2">
        <v>0.5</v>
      </c>
      <c r="I54" s="3">
        <v>2</v>
      </c>
      <c r="J54" s="2">
        <v>0.5</v>
      </c>
      <c r="K54" s="3">
        <v>2</v>
      </c>
      <c r="L54" s="2">
        <v>0.5</v>
      </c>
      <c r="M54" s="3">
        <v>2</v>
      </c>
      <c r="N54" s="2">
        <v>0.5</v>
      </c>
      <c r="O54" s="3">
        <v>2</v>
      </c>
      <c r="P54" s="2">
        <v>0.5</v>
      </c>
      <c r="Q54" s="3">
        <v>2</v>
      </c>
      <c r="R54" s="2">
        <v>0.5</v>
      </c>
      <c r="W54">
        <v>50</v>
      </c>
      <c r="X54">
        <f t="shared" si="4"/>
        <v>968</v>
      </c>
      <c r="Y54">
        <f t="shared" si="5"/>
        <v>95050</v>
      </c>
    </row>
    <row r="55" spans="1:25" x14ac:dyDescent="0.15">
      <c r="A55" s="2">
        <v>51</v>
      </c>
      <c r="B55" s="2" t="str">
        <f t="shared" si="2"/>
        <v>3,8,8,5,6,3</v>
      </c>
      <c r="C55" s="2" t="str">
        <f t="shared" si="3"/>
        <v>0.5,0.5,0.5,0.5,1,0.5</v>
      </c>
      <c r="D55" s="8">
        <v>99300</v>
      </c>
      <c r="E55" s="3">
        <v>1002</v>
      </c>
      <c r="G55" s="3">
        <v>3</v>
      </c>
      <c r="H55" s="2">
        <v>0.5</v>
      </c>
      <c r="I55" s="3">
        <v>8</v>
      </c>
      <c r="J55" s="2">
        <v>0.5</v>
      </c>
      <c r="K55" s="3">
        <v>8</v>
      </c>
      <c r="L55" s="2">
        <v>0.5</v>
      </c>
      <c r="M55" s="3">
        <v>5</v>
      </c>
      <c r="N55" s="2">
        <v>0.5</v>
      </c>
      <c r="O55" s="3">
        <v>6</v>
      </c>
      <c r="P55" s="2">
        <v>1</v>
      </c>
      <c r="Q55" s="3">
        <v>3</v>
      </c>
      <c r="R55" s="2">
        <v>0.5</v>
      </c>
      <c r="W55">
        <v>51</v>
      </c>
      <c r="X55">
        <f t="shared" si="4"/>
        <v>1002</v>
      </c>
      <c r="Y55">
        <f t="shared" si="5"/>
        <v>99300</v>
      </c>
    </row>
    <row r="56" spans="1:25" x14ac:dyDescent="0.15">
      <c r="A56">
        <v>52</v>
      </c>
      <c r="B56" s="2" t="str">
        <f t="shared" si="2"/>
        <v>1,3,5,7,5,11</v>
      </c>
      <c r="C56" s="2" t="str">
        <f t="shared" si="3"/>
        <v>0.5,0.5,0.5,0.5,0.5,0.5</v>
      </c>
      <c r="D56" s="8">
        <v>103652</v>
      </c>
      <c r="E56" s="3">
        <v>1036</v>
      </c>
      <c r="G56" s="3">
        <v>1</v>
      </c>
      <c r="H56" s="2">
        <v>0.5</v>
      </c>
      <c r="I56" s="3">
        <v>3</v>
      </c>
      <c r="J56" s="2">
        <v>0.5</v>
      </c>
      <c r="K56" s="3">
        <v>5</v>
      </c>
      <c r="L56" s="2">
        <v>0.5</v>
      </c>
      <c r="M56" s="3">
        <v>7</v>
      </c>
      <c r="N56" s="2">
        <v>0.5</v>
      </c>
      <c r="O56" s="3">
        <v>5</v>
      </c>
      <c r="P56" s="2">
        <v>0.5</v>
      </c>
      <c r="Q56" s="3">
        <v>11</v>
      </c>
      <c r="R56" s="2">
        <v>0.5</v>
      </c>
      <c r="W56">
        <v>52</v>
      </c>
      <c r="X56">
        <f t="shared" si="4"/>
        <v>1036</v>
      </c>
      <c r="Y56">
        <f t="shared" si="5"/>
        <v>103652</v>
      </c>
    </row>
    <row r="57" spans="1:25" x14ac:dyDescent="0.15">
      <c r="A57" s="2">
        <v>53</v>
      </c>
      <c r="B57" s="2" t="str">
        <f t="shared" si="2"/>
        <v>2,4,4,4,4,4</v>
      </c>
      <c r="C57" s="2" t="str">
        <f t="shared" si="3"/>
        <v>0.5,0.5,0.5,0.5,0.5,0.5</v>
      </c>
      <c r="D57" s="8">
        <v>108108</v>
      </c>
      <c r="E57" s="3">
        <v>1070</v>
      </c>
      <c r="G57" s="3">
        <v>2</v>
      </c>
      <c r="H57" s="2">
        <v>0.5</v>
      </c>
      <c r="I57" s="3">
        <v>4</v>
      </c>
      <c r="J57" s="2">
        <v>0.5</v>
      </c>
      <c r="K57" s="3">
        <v>4</v>
      </c>
      <c r="L57" s="2">
        <v>0.5</v>
      </c>
      <c r="M57" s="3">
        <v>4</v>
      </c>
      <c r="N57" s="2">
        <v>0.5</v>
      </c>
      <c r="O57" s="3">
        <v>4</v>
      </c>
      <c r="P57" s="2">
        <v>0.5</v>
      </c>
      <c r="Q57" s="3">
        <v>4</v>
      </c>
      <c r="R57" s="2">
        <v>0.5</v>
      </c>
      <c r="W57">
        <v>53</v>
      </c>
      <c r="X57">
        <f t="shared" si="4"/>
        <v>1070</v>
      </c>
      <c r="Y57">
        <f t="shared" si="5"/>
        <v>108108</v>
      </c>
    </row>
    <row r="58" spans="1:25" x14ac:dyDescent="0.15">
      <c r="A58">
        <v>54</v>
      </c>
      <c r="B58" s="2" t="str">
        <f t="shared" si="2"/>
        <v>3,10,9,11,8,10</v>
      </c>
      <c r="C58" s="2" t="str">
        <f t="shared" si="3"/>
        <v>0.5,0.5,0.5,1,0.5,0.5</v>
      </c>
      <c r="D58" s="8">
        <v>112870</v>
      </c>
      <c r="E58" s="3">
        <v>1108</v>
      </c>
      <c r="G58" s="3">
        <v>3</v>
      </c>
      <c r="H58" s="2">
        <v>0.5</v>
      </c>
      <c r="I58" s="3">
        <v>10</v>
      </c>
      <c r="J58" s="2">
        <v>0.5</v>
      </c>
      <c r="K58" s="3">
        <v>9</v>
      </c>
      <c r="L58" s="2">
        <v>0.5</v>
      </c>
      <c r="M58" s="3">
        <v>11</v>
      </c>
      <c r="N58" s="2">
        <v>1</v>
      </c>
      <c r="O58" s="3">
        <v>8</v>
      </c>
      <c r="P58" s="2">
        <v>0.5</v>
      </c>
      <c r="Q58" s="3">
        <v>10</v>
      </c>
      <c r="R58" s="2">
        <v>0.5</v>
      </c>
      <c r="W58">
        <v>54</v>
      </c>
      <c r="X58">
        <f t="shared" si="4"/>
        <v>1108</v>
      </c>
      <c r="Y58">
        <f t="shared" si="5"/>
        <v>112870</v>
      </c>
    </row>
    <row r="59" spans="1:25" x14ac:dyDescent="0.15">
      <c r="A59" s="2">
        <v>55</v>
      </c>
      <c r="B59" s="2" t="str">
        <f t="shared" si="2"/>
        <v>1,1,1,1,1,1</v>
      </c>
      <c r="C59" s="2" t="str">
        <f t="shared" si="3"/>
        <v>0.5,0.5,0.5,0.5,0.5,0.5</v>
      </c>
      <c r="D59" s="8">
        <v>117740</v>
      </c>
      <c r="E59" s="3">
        <v>1146</v>
      </c>
      <c r="G59" s="3">
        <v>1</v>
      </c>
      <c r="H59" s="2">
        <v>0.5</v>
      </c>
      <c r="I59" s="3">
        <v>1</v>
      </c>
      <c r="J59" s="2">
        <v>0.5</v>
      </c>
      <c r="K59" s="3">
        <v>1</v>
      </c>
      <c r="L59" s="2">
        <v>0.5</v>
      </c>
      <c r="M59" s="3">
        <v>1</v>
      </c>
      <c r="N59" s="2">
        <v>0.5</v>
      </c>
      <c r="O59" s="3">
        <v>1</v>
      </c>
      <c r="P59" s="2">
        <v>0.5</v>
      </c>
      <c r="Q59" s="3">
        <v>1</v>
      </c>
      <c r="R59" s="2">
        <v>0.5</v>
      </c>
      <c r="W59">
        <v>55</v>
      </c>
      <c r="X59">
        <f t="shared" si="4"/>
        <v>1146</v>
      </c>
      <c r="Y59">
        <f t="shared" si="5"/>
        <v>117740</v>
      </c>
    </row>
    <row r="60" spans="1:25" x14ac:dyDescent="0.15">
      <c r="A60">
        <v>56</v>
      </c>
      <c r="B60" s="2" t="str">
        <f t="shared" si="2"/>
        <v>2,2,2,2,2,2</v>
      </c>
      <c r="C60" s="2" t="str">
        <f t="shared" si="3"/>
        <v>0.5,0.5,0.5,0.5,0.5,0.5</v>
      </c>
      <c r="D60" s="8">
        <v>122720</v>
      </c>
      <c r="E60" s="3">
        <v>1184</v>
      </c>
      <c r="G60" s="3">
        <v>2</v>
      </c>
      <c r="H60" s="2">
        <v>0.5</v>
      </c>
      <c r="I60" s="3">
        <v>2</v>
      </c>
      <c r="J60" s="2">
        <v>0.5</v>
      </c>
      <c r="K60" s="3">
        <v>2</v>
      </c>
      <c r="L60" s="2">
        <v>0.5</v>
      </c>
      <c r="M60" s="3">
        <v>2</v>
      </c>
      <c r="N60" s="2">
        <v>0.5</v>
      </c>
      <c r="O60" s="3">
        <v>2</v>
      </c>
      <c r="P60" s="2">
        <v>0.5</v>
      </c>
      <c r="Q60" s="3">
        <v>2</v>
      </c>
      <c r="R60" s="2">
        <v>0.5</v>
      </c>
      <c r="W60">
        <v>56</v>
      </c>
      <c r="X60">
        <f t="shared" si="4"/>
        <v>1184</v>
      </c>
      <c r="Y60">
        <f t="shared" si="5"/>
        <v>122720</v>
      </c>
    </row>
    <row r="61" spans="1:25" x14ac:dyDescent="0.15">
      <c r="A61" s="2">
        <v>57</v>
      </c>
      <c r="B61" s="2" t="str">
        <f t="shared" si="2"/>
        <v>3,8,8,5,6,3</v>
      </c>
      <c r="C61" s="2" t="str">
        <f t="shared" si="3"/>
        <v>0.5,0.5,0.5,0.5,1,0.5</v>
      </c>
      <c r="D61" s="8">
        <v>127812</v>
      </c>
      <c r="E61" s="3">
        <v>1222</v>
      </c>
      <c r="G61" s="3">
        <v>3</v>
      </c>
      <c r="H61" s="2">
        <v>0.5</v>
      </c>
      <c r="I61" s="3">
        <v>8</v>
      </c>
      <c r="J61" s="2">
        <v>0.5</v>
      </c>
      <c r="K61" s="3">
        <v>8</v>
      </c>
      <c r="L61" s="2">
        <v>0.5</v>
      </c>
      <c r="M61" s="3">
        <v>5</v>
      </c>
      <c r="N61" s="2">
        <v>0.5</v>
      </c>
      <c r="O61" s="3">
        <v>6</v>
      </c>
      <c r="P61" s="2">
        <v>1</v>
      </c>
      <c r="Q61" s="3">
        <v>3</v>
      </c>
      <c r="R61" s="2">
        <v>0.5</v>
      </c>
      <c r="W61">
        <v>57</v>
      </c>
      <c r="X61">
        <f t="shared" si="4"/>
        <v>1222</v>
      </c>
      <c r="Y61">
        <f t="shared" si="5"/>
        <v>127812</v>
      </c>
    </row>
    <row r="62" spans="1:25" x14ac:dyDescent="0.15">
      <c r="A62">
        <v>58</v>
      </c>
      <c r="B62" s="2" t="str">
        <f t="shared" si="2"/>
        <v>1,3,5,7,5,11</v>
      </c>
      <c r="C62" s="2" t="str">
        <f t="shared" si="3"/>
        <v>0.5,0.5,0.5,0.5,0.5,0.5</v>
      </c>
      <c r="D62" s="8">
        <v>133018</v>
      </c>
      <c r="E62" s="3">
        <v>1260</v>
      </c>
      <c r="G62" s="3">
        <v>1</v>
      </c>
      <c r="H62" s="2">
        <v>0.5</v>
      </c>
      <c r="I62" s="3">
        <v>3</v>
      </c>
      <c r="J62" s="2">
        <v>0.5</v>
      </c>
      <c r="K62" s="3">
        <v>5</v>
      </c>
      <c r="L62" s="2">
        <v>0.5</v>
      </c>
      <c r="M62" s="3">
        <v>7</v>
      </c>
      <c r="N62" s="2">
        <v>0.5</v>
      </c>
      <c r="O62" s="3">
        <v>5</v>
      </c>
      <c r="P62" s="2">
        <v>0.5</v>
      </c>
      <c r="Q62" s="3">
        <v>11</v>
      </c>
      <c r="R62" s="2">
        <v>0.5</v>
      </c>
      <c r="W62">
        <v>58</v>
      </c>
      <c r="X62">
        <f t="shared" si="4"/>
        <v>1260</v>
      </c>
      <c r="Y62">
        <f t="shared" si="5"/>
        <v>133018</v>
      </c>
    </row>
    <row r="63" spans="1:25" x14ac:dyDescent="0.15">
      <c r="A63" s="2">
        <v>59</v>
      </c>
      <c r="B63" s="2" t="str">
        <f t="shared" si="2"/>
        <v>2,4,4,4,4,4</v>
      </c>
      <c r="C63" s="2" t="str">
        <f t="shared" si="3"/>
        <v>0.5,0.5,0.5,0.5,0.5,0.5</v>
      </c>
      <c r="D63" s="8">
        <v>138340</v>
      </c>
      <c r="E63" s="3">
        <v>1298</v>
      </c>
      <c r="G63" s="3">
        <v>2</v>
      </c>
      <c r="H63" s="2">
        <v>0.5</v>
      </c>
      <c r="I63" s="3">
        <v>4</v>
      </c>
      <c r="J63" s="2">
        <v>0.5</v>
      </c>
      <c r="K63" s="3">
        <v>4</v>
      </c>
      <c r="L63" s="2">
        <v>0.5</v>
      </c>
      <c r="M63" s="3">
        <v>4</v>
      </c>
      <c r="N63" s="2">
        <v>0.5</v>
      </c>
      <c r="O63" s="3">
        <v>4</v>
      </c>
      <c r="P63" s="2">
        <v>0.5</v>
      </c>
      <c r="Q63" s="3">
        <v>4</v>
      </c>
      <c r="R63" s="2">
        <v>0.5</v>
      </c>
      <c r="W63">
        <v>59</v>
      </c>
      <c r="X63">
        <f t="shared" si="4"/>
        <v>1298</v>
      </c>
      <c r="Y63">
        <f t="shared" si="5"/>
        <v>138340</v>
      </c>
    </row>
    <row r="64" spans="1:25" x14ac:dyDescent="0.15">
      <c r="A64">
        <v>60</v>
      </c>
      <c r="B64" s="2" t="str">
        <f t="shared" si="2"/>
        <v>3,10,9,11,8,10</v>
      </c>
      <c r="C64" s="2" t="str">
        <f t="shared" si="3"/>
        <v>0.5,0.5,0.5,1,0.5,0.5</v>
      </c>
      <c r="D64" s="8">
        <v>143980</v>
      </c>
      <c r="E64" s="3">
        <v>1340</v>
      </c>
      <c r="G64" s="3">
        <v>3</v>
      </c>
      <c r="H64" s="2">
        <v>0.5</v>
      </c>
      <c r="I64" s="3">
        <v>10</v>
      </c>
      <c r="J64" s="2">
        <v>0.5</v>
      </c>
      <c r="K64" s="3">
        <v>9</v>
      </c>
      <c r="L64" s="2">
        <v>0.5</v>
      </c>
      <c r="M64" s="3">
        <v>11</v>
      </c>
      <c r="N64" s="2">
        <v>1</v>
      </c>
      <c r="O64" s="3">
        <v>8</v>
      </c>
      <c r="P64" s="2">
        <v>0.5</v>
      </c>
      <c r="Q64" s="3">
        <v>10</v>
      </c>
      <c r="R64" s="2">
        <v>0.5</v>
      </c>
      <c r="W64">
        <v>60</v>
      </c>
      <c r="X64">
        <f t="shared" si="4"/>
        <v>1340</v>
      </c>
      <c r="Y64">
        <f t="shared" si="5"/>
        <v>143980</v>
      </c>
    </row>
    <row r="65" spans="1:25" x14ac:dyDescent="0.15">
      <c r="A65" s="2">
        <v>61</v>
      </c>
      <c r="B65" s="2" t="str">
        <f t="shared" si="2"/>
        <v>1,1,1,1,1,1</v>
      </c>
      <c r="C65" s="2" t="str">
        <f t="shared" si="3"/>
        <v>0.5,0.5,0.5,0.5,0.5,0.5</v>
      </c>
      <c r="D65" s="8">
        <v>149740</v>
      </c>
      <c r="E65" s="3">
        <v>1382</v>
      </c>
      <c r="G65" s="3">
        <v>1</v>
      </c>
      <c r="H65" s="2">
        <v>0.5</v>
      </c>
      <c r="I65" s="3">
        <v>1</v>
      </c>
      <c r="J65" s="2">
        <v>0.5</v>
      </c>
      <c r="K65" s="3">
        <v>1</v>
      </c>
      <c r="L65" s="2">
        <v>0.5</v>
      </c>
      <c r="M65" s="3">
        <v>1</v>
      </c>
      <c r="N65" s="2">
        <v>0.5</v>
      </c>
      <c r="O65" s="3">
        <v>1</v>
      </c>
      <c r="P65" s="2">
        <v>0.5</v>
      </c>
      <c r="Q65" s="3">
        <v>1</v>
      </c>
      <c r="R65" s="2">
        <v>0.5</v>
      </c>
      <c r="W65">
        <v>61</v>
      </c>
      <c r="X65">
        <f t="shared" si="4"/>
        <v>1382</v>
      </c>
      <c r="Y65">
        <f t="shared" si="5"/>
        <v>149740</v>
      </c>
    </row>
    <row r="66" spans="1:25" x14ac:dyDescent="0.15">
      <c r="A66">
        <v>62</v>
      </c>
      <c r="B66" s="2" t="str">
        <f t="shared" si="2"/>
        <v>2,2,2,2,2,2</v>
      </c>
      <c r="C66" s="2" t="str">
        <f t="shared" si="3"/>
        <v>0.5,0.5,0.5,0.5,0.5,0.5</v>
      </c>
      <c r="D66" s="8">
        <v>155622</v>
      </c>
      <c r="E66" s="3">
        <v>1424</v>
      </c>
      <c r="G66" s="3">
        <v>2</v>
      </c>
      <c r="H66" s="2">
        <v>0.5</v>
      </c>
      <c r="I66" s="3">
        <v>2</v>
      </c>
      <c r="J66" s="2">
        <v>0.5</v>
      </c>
      <c r="K66" s="3">
        <v>2</v>
      </c>
      <c r="L66" s="2">
        <v>0.5</v>
      </c>
      <c r="M66" s="3">
        <v>2</v>
      </c>
      <c r="N66" s="2">
        <v>0.5</v>
      </c>
      <c r="O66" s="3">
        <v>2</v>
      </c>
      <c r="P66" s="2">
        <v>0.5</v>
      </c>
      <c r="Q66" s="3">
        <v>2</v>
      </c>
      <c r="R66" s="2">
        <v>0.5</v>
      </c>
      <c r="W66">
        <v>62</v>
      </c>
      <c r="X66">
        <f t="shared" si="4"/>
        <v>1424</v>
      </c>
      <c r="Y66">
        <f t="shared" si="5"/>
        <v>155622</v>
      </c>
    </row>
    <row r="67" spans="1:25" x14ac:dyDescent="0.15">
      <c r="A67" s="2">
        <v>63</v>
      </c>
      <c r="B67" s="2" t="str">
        <f t="shared" si="2"/>
        <v>3,8,8,5,6,3</v>
      </c>
      <c r="C67" s="2" t="str">
        <f t="shared" si="3"/>
        <v>0.5,0.5,0.5,0.5,1,0.5</v>
      </c>
      <c r="D67" s="8">
        <v>161628</v>
      </c>
      <c r="E67" s="3">
        <v>1466</v>
      </c>
      <c r="G67" s="3">
        <v>3</v>
      </c>
      <c r="H67" s="2">
        <v>0.5</v>
      </c>
      <c r="I67" s="3">
        <v>8</v>
      </c>
      <c r="J67" s="2">
        <v>0.5</v>
      </c>
      <c r="K67" s="3">
        <v>8</v>
      </c>
      <c r="L67" s="2">
        <v>0.5</v>
      </c>
      <c r="M67" s="3">
        <v>5</v>
      </c>
      <c r="N67" s="2">
        <v>0.5</v>
      </c>
      <c r="O67" s="3">
        <v>6</v>
      </c>
      <c r="P67" s="2">
        <v>1</v>
      </c>
      <c r="Q67" s="3">
        <v>3</v>
      </c>
      <c r="R67" s="2">
        <v>0.5</v>
      </c>
      <c r="W67">
        <v>63</v>
      </c>
      <c r="X67">
        <f t="shared" si="4"/>
        <v>1466</v>
      </c>
      <c r="Y67">
        <f t="shared" si="5"/>
        <v>161628</v>
      </c>
    </row>
    <row r="68" spans="1:25" x14ac:dyDescent="0.15">
      <c r="A68">
        <v>64</v>
      </c>
      <c r="B68" s="2" t="str">
        <f t="shared" si="2"/>
        <v>1,3,5,7,5,11</v>
      </c>
      <c r="C68" s="2" t="str">
        <f t="shared" si="3"/>
        <v>0.5,0.5,0.5,0.5,0.5,0.5</v>
      </c>
      <c r="D68" s="8">
        <v>167760</v>
      </c>
      <c r="E68" s="3">
        <v>1508</v>
      </c>
      <c r="G68" s="3">
        <v>1</v>
      </c>
      <c r="H68" s="2">
        <v>0.5</v>
      </c>
      <c r="I68" s="3">
        <v>3</v>
      </c>
      <c r="J68" s="2">
        <v>0.5</v>
      </c>
      <c r="K68" s="3">
        <v>5</v>
      </c>
      <c r="L68" s="2">
        <v>0.5</v>
      </c>
      <c r="M68" s="3">
        <v>7</v>
      </c>
      <c r="N68" s="2">
        <v>0.5</v>
      </c>
      <c r="O68" s="3">
        <v>5</v>
      </c>
      <c r="P68" s="2">
        <v>0.5</v>
      </c>
      <c r="Q68" s="3">
        <v>11</v>
      </c>
      <c r="R68" s="2">
        <v>0.5</v>
      </c>
      <c r="W68">
        <v>64</v>
      </c>
      <c r="X68">
        <f t="shared" si="4"/>
        <v>1508</v>
      </c>
      <c r="Y68">
        <f t="shared" si="5"/>
        <v>167760</v>
      </c>
    </row>
    <row r="69" spans="1:25" x14ac:dyDescent="0.15">
      <c r="A69" s="2">
        <v>65</v>
      </c>
      <c r="B69" s="2" t="str">
        <f t="shared" si="2"/>
        <v>2,4,4,4,4,4</v>
      </c>
      <c r="C69" s="2" t="str">
        <f t="shared" si="3"/>
        <v>0.5,0.5,0.5,0.5,0.5,0.5</v>
      </c>
      <c r="D69" s="8">
        <v>174020</v>
      </c>
      <c r="E69" s="3">
        <v>1550</v>
      </c>
      <c r="G69" s="3">
        <v>2</v>
      </c>
      <c r="H69" s="2">
        <v>0.5</v>
      </c>
      <c r="I69" s="3">
        <v>4</v>
      </c>
      <c r="J69" s="2">
        <v>0.5</v>
      </c>
      <c r="K69" s="3">
        <v>4</v>
      </c>
      <c r="L69" s="2">
        <v>0.5</v>
      </c>
      <c r="M69" s="3">
        <v>4</v>
      </c>
      <c r="N69" s="2">
        <v>0.5</v>
      </c>
      <c r="O69" s="3">
        <v>4</v>
      </c>
      <c r="P69" s="2">
        <v>0.5</v>
      </c>
      <c r="Q69" s="3">
        <v>4</v>
      </c>
      <c r="R69" s="2">
        <v>0.5</v>
      </c>
      <c r="W69">
        <v>65</v>
      </c>
      <c r="X69">
        <f t="shared" si="4"/>
        <v>1550</v>
      </c>
      <c r="Y69">
        <f t="shared" si="5"/>
        <v>174020</v>
      </c>
    </row>
    <row r="70" spans="1:25" x14ac:dyDescent="0.15">
      <c r="A70">
        <v>66</v>
      </c>
      <c r="B70" s="2" t="str">
        <f t="shared" ref="B70:B124" si="6">G70&amp;","&amp;I70&amp;","&amp;K70&amp;","&amp;M70&amp;","&amp;O70&amp;","&amp;Q70</f>
        <v>3,10,9,11,8,10</v>
      </c>
      <c r="C70" s="2" t="str">
        <f t="shared" ref="C70:C124" si="7">H70&amp;","&amp;J70&amp;","&amp;L70&amp;","&amp;N70&amp;","&amp;P70&amp;","&amp;R70</f>
        <v>0.5,0.5,0.5,1,0.5,0.5</v>
      </c>
      <c r="D70" s="8">
        <v>180610</v>
      </c>
      <c r="E70" s="3">
        <v>1596</v>
      </c>
      <c r="G70" s="3">
        <v>3</v>
      </c>
      <c r="H70" s="2">
        <v>0.5</v>
      </c>
      <c r="I70" s="3">
        <v>10</v>
      </c>
      <c r="J70" s="2">
        <v>0.5</v>
      </c>
      <c r="K70" s="3">
        <v>9</v>
      </c>
      <c r="L70" s="2">
        <v>0.5</v>
      </c>
      <c r="M70" s="3">
        <v>11</v>
      </c>
      <c r="N70" s="2">
        <v>1</v>
      </c>
      <c r="O70" s="3">
        <v>8</v>
      </c>
      <c r="P70" s="2">
        <v>0.5</v>
      </c>
      <c r="Q70" s="3">
        <v>10</v>
      </c>
      <c r="R70" s="2">
        <v>0.5</v>
      </c>
      <c r="W70">
        <v>66</v>
      </c>
      <c r="X70">
        <f t="shared" ref="X70:X124" si="8">X69+(FLOOR(W70/6+1,1)*2-1)*2</f>
        <v>1596</v>
      </c>
      <c r="Y70">
        <f t="shared" ref="Y70:Y124" si="9">Y69+(FLOOR(W70/6+1,1)*2-1)*100+W70*W69</f>
        <v>180610</v>
      </c>
    </row>
    <row r="71" spans="1:25" x14ac:dyDescent="0.15">
      <c r="A71" s="2">
        <v>67</v>
      </c>
      <c r="B71" s="2" t="str">
        <f t="shared" si="6"/>
        <v>1,1,1,1,1,1</v>
      </c>
      <c r="C71" s="2" t="str">
        <f t="shared" si="7"/>
        <v>0.5,0.5,0.5,0.5,0.5,0.5</v>
      </c>
      <c r="D71" s="8">
        <v>187332</v>
      </c>
      <c r="E71" s="3">
        <v>1642</v>
      </c>
      <c r="G71" s="3">
        <v>1</v>
      </c>
      <c r="H71" s="2">
        <v>0.5</v>
      </c>
      <c r="I71" s="3">
        <v>1</v>
      </c>
      <c r="J71" s="2">
        <v>0.5</v>
      </c>
      <c r="K71" s="3">
        <v>1</v>
      </c>
      <c r="L71" s="2">
        <v>0.5</v>
      </c>
      <c r="M71" s="3">
        <v>1</v>
      </c>
      <c r="N71" s="2">
        <v>0.5</v>
      </c>
      <c r="O71" s="3">
        <v>1</v>
      </c>
      <c r="P71" s="2">
        <v>0.5</v>
      </c>
      <c r="Q71" s="3">
        <v>1</v>
      </c>
      <c r="R71" s="2">
        <v>0.5</v>
      </c>
      <c r="W71">
        <v>67</v>
      </c>
      <c r="X71">
        <f t="shared" si="8"/>
        <v>1642</v>
      </c>
      <c r="Y71">
        <f t="shared" si="9"/>
        <v>187332</v>
      </c>
    </row>
    <row r="72" spans="1:25" x14ac:dyDescent="0.15">
      <c r="A72">
        <v>68</v>
      </c>
      <c r="B72" s="2" t="str">
        <f t="shared" si="6"/>
        <v>2,2,2,2,2,2</v>
      </c>
      <c r="C72" s="2" t="str">
        <f t="shared" si="7"/>
        <v>0.5,0.5,0.5,0.5,0.5,0.5</v>
      </c>
      <c r="D72" s="8">
        <v>194188</v>
      </c>
      <c r="E72" s="3">
        <v>1688</v>
      </c>
      <c r="G72" s="3">
        <v>2</v>
      </c>
      <c r="H72" s="2">
        <v>0.5</v>
      </c>
      <c r="I72" s="3">
        <v>2</v>
      </c>
      <c r="J72" s="2">
        <v>0.5</v>
      </c>
      <c r="K72" s="3">
        <v>2</v>
      </c>
      <c r="L72" s="2">
        <v>0.5</v>
      </c>
      <c r="M72" s="3">
        <v>2</v>
      </c>
      <c r="N72" s="2">
        <v>0.5</v>
      </c>
      <c r="O72" s="3">
        <v>2</v>
      </c>
      <c r="P72" s="2">
        <v>0.5</v>
      </c>
      <c r="Q72" s="3">
        <v>2</v>
      </c>
      <c r="R72" s="2">
        <v>0.5</v>
      </c>
      <c r="W72">
        <v>68</v>
      </c>
      <c r="X72">
        <f t="shared" si="8"/>
        <v>1688</v>
      </c>
      <c r="Y72">
        <f t="shared" si="9"/>
        <v>194188</v>
      </c>
    </row>
    <row r="73" spans="1:25" x14ac:dyDescent="0.15">
      <c r="A73" s="2">
        <v>69</v>
      </c>
      <c r="B73" s="2" t="str">
        <f t="shared" si="6"/>
        <v>3,8,8,5,6,3</v>
      </c>
      <c r="C73" s="2" t="str">
        <f t="shared" si="7"/>
        <v>0.5,0.5,0.5,0.5,1,0.5</v>
      </c>
      <c r="D73" s="8">
        <v>201180</v>
      </c>
      <c r="E73" s="3">
        <v>1734</v>
      </c>
      <c r="G73" s="3">
        <v>3</v>
      </c>
      <c r="H73" s="2">
        <v>0.5</v>
      </c>
      <c r="I73" s="3">
        <v>8</v>
      </c>
      <c r="J73" s="2">
        <v>0.5</v>
      </c>
      <c r="K73" s="3">
        <v>8</v>
      </c>
      <c r="L73" s="2">
        <v>0.5</v>
      </c>
      <c r="M73" s="3">
        <v>5</v>
      </c>
      <c r="N73" s="2">
        <v>0.5</v>
      </c>
      <c r="O73" s="3">
        <v>6</v>
      </c>
      <c r="P73" s="2">
        <v>1</v>
      </c>
      <c r="Q73" s="3">
        <v>3</v>
      </c>
      <c r="R73" s="2">
        <v>0.5</v>
      </c>
      <c r="W73">
        <v>69</v>
      </c>
      <c r="X73">
        <f t="shared" si="8"/>
        <v>1734</v>
      </c>
      <c r="Y73">
        <f t="shared" si="9"/>
        <v>201180</v>
      </c>
    </row>
    <row r="74" spans="1:25" x14ac:dyDescent="0.15">
      <c r="A74">
        <v>70</v>
      </c>
      <c r="B74" s="2" t="str">
        <f t="shared" si="6"/>
        <v>1,3,5,7,5,11</v>
      </c>
      <c r="C74" s="2" t="str">
        <f t="shared" si="7"/>
        <v>0.5,0.5,0.5,0.5,0.5,0.5</v>
      </c>
      <c r="D74" s="8">
        <v>208310</v>
      </c>
      <c r="E74" s="3">
        <v>1780</v>
      </c>
      <c r="G74" s="3">
        <v>1</v>
      </c>
      <c r="H74" s="2">
        <v>0.5</v>
      </c>
      <c r="I74" s="3">
        <v>3</v>
      </c>
      <c r="J74" s="2">
        <v>0.5</v>
      </c>
      <c r="K74" s="3">
        <v>5</v>
      </c>
      <c r="L74" s="2">
        <v>0.5</v>
      </c>
      <c r="M74" s="3">
        <v>7</v>
      </c>
      <c r="N74" s="2">
        <v>0.5</v>
      </c>
      <c r="O74" s="3">
        <v>5</v>
      </c>
      <c r="P74" s="2">
        <v>0.5</v>
      </c>
      <c r="Q74" s="3">
        <v>11</v>
      </c>
      <c r="R74" s="2">
        <v>0.5</v>
      </c>
      <c r="W74">
        <v>70</v>
      </c>
      <c r="X74">
        <f t="shared" si="8"/>
        <v>1780</v>
      </c>
      <c r="Y74">
        <f t="shared" si="9"/>
        <v>208310</v>
      </c>
    </row>
    <row r="75" spans="1:25" x14ac:dyDescent="0.15">
      <c r="A75" s="2">
        <v>71</v>
      </c>
      <c r="B75" s="2" t="str">
        <f t="shared" si="6"/>
        <v>2,4,4,4,4,4</v>
      </c>
      <c r="C75" s="2" t="str">
        <f t="shared" si="7"/>
        <v>0.5,0.5,0.5,0.5,0.5,0.5</v>
      </c>
      <c r="D75" s="8">
        <v>215580</v>
      </c>
      <c r="E75" s="3">
        <v>1826</v>
      </c>
      <c r="G75" s="3">
        <v>2</v>
      </c>
      <c r="H75" s="2">
        <v>0.5</v>
      </c>
      <c r="I75" s="3">
        <v>4</v>
      </c>
      <c r="J75" s="2">
        <v>0.5</v>
      </c>
      <c r="K75" s="3">
        <v>4</v>
      </c>
      <c r="L75" s="2">
        <v>0.5</v>
      </c>
      <c r="M75" s="3">
        <v>4</v>
      </c>
      <c r="N75" s="2">
        <v>0.5</v>
      </c>
      <c r="O75" s="3">
        <v>4</v>
      </c>
      <c r="P75" s="2">
        <v>0.5</v>
      </c>
      <c r="Q75" s="3">
        <v>4</v>
      </c>
      <c r="R75" s="2">
        <v>0.5</v>
      </c>
      <c r="W75">
        <v>71</v>
      </c>
      <c r="X75">
        <f t="shared" si="8"/>
        <v>1826</v>
      </c>
      <c r="Y75">
        <f t="shared" si="9"/>
        <v>215580</v>
      </c>
    </row>
    <row r="76" spans="1:25" x14ac:dyDescent="0.15">
      <c r="A76">
        <v>72</v>
      </c>
      <c r="B76" s="2" t="str">
        <f t="shared" si="6"/>
        <v>3,10,9,11,8,10</v>
      </c>
      <c r="C76" s="2" t="str">
        <f t="shared" si="7"/>
        <v>0.5,0.5,0.5,1,0.5,0.5</v>
      </c>
      <c r="D76" s="8">
        <v>223192</v>
      </c>
      <c r="E76" s="3">
        <v>1876</v>
      </c>
      <c r="G76" s="3">
        <v>3</v>
      </c>
      <c r="H76" s="2">
        <v>0.5</v>
      </c>
      <c r="I76" s="3">
        <v>10</v>
      </c>
      <c r="J76" s="2">
        <v>0.5</v>
      </c>
      <c r="K76" s="3">
        <v>9</v>
      </c>
      <c r="L76" s="2">
        <v>0.5</v>
      </c>
      <c r="M76" s="3">
        <v>11</v>
      </c>
      <c r="N76" s="2">
        <v>1</v>
      </c>
      <c r="O76" s="3">
        <v>8</v>
      </c>
      <c r="P76" s="2">
        <v>0.5</v>
      </c>
      <c r="Q76" s="3">
        <v>10</v>
      </c>
      <c r="R76" s="2">
        <v>0.5</v>
      </c>
      <c r="W76">
        <v>72</v>
      </c>
      <c r="X76">
        <f t="shared" si="8"/>
        <v>1876</v>
      </c>
      <c r="Y76">
        <f t="shared" si="9"/>
        <v>223192</v>
      </c>
    </row>
    <row r="77" spans="1:25" x14ac:dyDescent="0.15">
      <c r="A77" s="2">
        <v>73</v>
      </c>
      <c r="B77" s="2" t="str">
        <f t="shared" si="6"/>
        <v>1,1,1,1,1,1</v>
      </c>
      <c r="C77" s="2" t="str">
        <f t="shared" si="7"/>
        <v>0.5,0.5,0.5,0.5,0.5,0.5</v>
      </c>
      <c r="D77" s="8">
        <v>230948</v>
      </c>
      <c r="E77" s="3">
        <v>1926</v>
      </c>
      <c r="G77" s="3">
        <v>1</v>
      </c>
      <c r="H77" s="2">
        <v>0.5</v>
      </c>
      <c r="I77" s="3">
        <v>1</v>
      </c>
      <c r="J77" s="2">
        <v>0.5</v>
      </c>
      <c r="K77" s="3">
        <v>1</v>
      </c>
      <c r="L77" s="2">
        <v>0.5</v>
      </c>
      <c r="M77" s="3">
        <v>1</v>
      </c>
      <c r="N77" s="2">
        <v>0.5</v>
      </c>
      <c r="O77" s="3">
        <v>1</v>
      </c>
      <c r="P77" s="2">
        <v>0.5</v>
      </c>
      <c r="Q77" s="3">
        <v>1</v>
      </c>
      <c r="R77" s="2">
        <v>0.5</v>
      </c>
      <c r="W77">
        <v>73</v>
      </c>
      <c r="X77">
        <f t="shared" si="8"/>
        <v>1926</v>
      </c>
      <c r="Y77">
        <f t="shared" si="9"/>
        <v>230948</v>
      </c>
    </row>
    <row r="78" spans="1:25" x14ac:dyDescent="0.15">
      <c r="A78">
        <v>74</v>
      </c>
      <c r="B78" s="2" t="str">
        <f t="shared" si="6"/>
        <v>2,2,2,2,2,2</v>
      </c>
      <c r="C78" s="2" t="str">
        <f t="shared" si="7"/>
        <v>0.5,0.5,0.5,0.5,0.5,0.5</v>
      </c>
      <c r="D78" s="8">
        <v>238850</v>
      </c>
      <c r="E78" s="3">
        <v>1976</v>
      </c>
      <c r="G78" s="3">
        <v>2</v>
      </c>
      <c r="H78" s="2">
        <v>0.5</v>
      </c>
      <c r="I78" s="3">
        <v>2</v>
      </c>
      <c r="J78" s="2">
        <v>0.5</v>
      </c>
      <c r="K78" s="3">
        <v>2</v>
      </c>
      <c r="L78" s="2">
        <v>0.5</v>
      </c>
      <c r="M78" s="3">
        <v>2</v>
      </c>
      <c r="N78" s="2">
        <v>0.5</v>
      </c>
      <c r="O78" s="3">
        <v>2</v>
      </c>
      <c r="P78" s="2">
        <v>0.5</v>
      </c>
      <c r="Q78" s="3">
        <v>2</v>
      </c>
      <c r="R78" s="2">
        <v>0.5</v>
      </c>
      <c r="W78">
        <v>74</v>
      </c>
      <c r="X78">
        <f t="shared" si="8"/>
        <v>1976</v>
      </c>
      <c r="Y78">
        <f t="shared" si="9"/>
        <v>238850</v>
      </c>
    </row>
    <row r="79" spans="1:25" x14ac:dyDescent="0.15">
      <c r="A79" s="2">
        <v>75</v>
      </c>
      <c r="B79" s="2" t="str">
        <f t="shared" si="6"/>
        <v>3,8,8,5,6,3</v>
      </c>
      <c r="C79" s="2" t="str">
        <f t="shared" si="7"/>
        <v>0.5,0.5,0.5,0.5,1,0.5</v>
      </c>
      <c r="D79" s="8">
        <v>246900</v>
      </c>
      <c r="E79" s="3">
        <v>2026</v>
      </c>
      <c r="G79" s="3">
        <v>3</v>
      </c>
      <c r="H79" s="2">
        <v>0.5</v>
      </c>
      <c r="I79" s="3">
        <v>8</v>
      </c>
      <c r="J79" s="2">
        <v>0.5</v>
      </c>
      <c r="K79" s="3">
        <v>8</v>
      </c>
      <c r="L79" s="2">
        <v>0.5</v>
      </c>
      <c r="M79" s="3">
        <v>5</v>
      </c>
      <c r="N79" s="2">
        <v>0.5</v>
      </c>
      <c r="O79" s="3">
        <v>6</v>
      </c>
      <c r="P79" s="2">
        <v>1</v>
      </c>
      <c r="Q79" s="3">
        <v>3</v>
      </c>
      <c r="R79" s="2">
        <v>0.5</v>
      </c>
      <c r="W79">
        <v>75</v>
      </c>
      <c r="X79">
        <f t="shared" si="8"/>
        <v>2026</v>
      </c>
      <c r="Y79">
        <f t="shared" si="9"/>
        <v>246900</v>
      </c>
    </row>
    <row r="80" spans="1:25" x14ac:dyDescent="0.15">
      <c r="A80">
        <v>76</v>
      </c>
      <c r="B80" s="2" t="str">
        <f t="shared" si="6"/>
        <v>1,3,5,7,5,11</v>
      </c>
      <c r="C80" s="2" t="str">
        <f t="shared" si="7"/>
        <v>0.5,0.5,0.5,0.5,0.5,0.5</v>
      </c>
      <c r="D80" s="8">
        <v>255100</v>
      </c>
      <c r="E80" s="3">
        <v>2076</v>
      </c>
      <c r="G80" s="3">
        <v>1</v>
      </c>
      <c r="H80" s="2">
        <v>0.5</v>
      </c>
      <c r="I80" s="3">
        <v>3</v>
      </c>
      <c r="J80" s="2">
        <v>0.5</v>
      </c>
      <c r="K80" s="3">
        <v>5</v>
      </c>
      <c r="L80" s="2">
        <v>0.5</v>
      </c>
      <c r="M80" s="3">
        <v>7</v>
      </c>
      <c r="N80" s="2">
        <v>0.5</v>
      </c>
      <c r="O80" s="3">
        <v>5</v>
      </c>
      <c r="P80" s="2">
        <v>0.5</v>
      </c>
      <c r="Q80" s="3">
        <v>11</v>
      </c>
      <c r="R80" s="2">
        <v>0.5</v>
      </c>
      <c r="W80">
        <v>76</v>
      </c>
      <c r="X80">
        <f t="shared" si="8"/>
        <v>2076</v>
      </c>
      <c r="Y80">
        <f t="shared" si="9"/>
        <v>255100</v>
      </c>
    </row>
    <row r="81" spans="1:25" x14ac:dyDescent="0.15">
      <c r="A81" s="2">
        <v>77</v>
      </c>
      <c r="B81" s="2" t="str">
        <f t="shared" si="6"/>
        <v>2,4,4,4,4,4</v>
      </c>
      <c r="C81" s="2" t="str">
        <f t="shared" si="7"/>
        <v>0.5,0.5,0.5,0.5,0.5,0.5</v>
      </c>
      <c r="D81" s="8">
        <v>263452</v>
      </c>
      <c r="E81" s="3">
        <v>2126</v>
      </c>
      <c r="G81" s="3">
        <v>2</v>
      </c>
      <c r="H81" s="2">
        <v>0.5</v>
      </c>
      <c r="I81" s="3">
        <v>4</v>
      </c>
      <c r="J81" s="2">
        <v>0.5</v>
      </c>
      <c r="K81" s="3">
        <v>4</v>
      </c>
      <c r="L81" s="2">
        <v>0.5</v>
      </c>
      <c r="M81" s="3">
        <v>4</v>
      </c>
      <c r="N81" s="2">
        <v>0.5</v>
      </c>
      <c r="O81" s="3">
        <v>4</v>
      </c>
      <c r="P81" s="2">
        <v>0.5</v>
      </c>
      <c r="Q81" s="3">
        <v>4</v>
      </c>
      <c r="R81" s="2">
        <v>0.5</v>
      </c>
      <c r="W81">
        <v>77</v>
      </c>
      <c r="X81">
        <f t="shared" si="8"/>
        <v>2126</v>
      </c>
      <c r="Y81">
        <f t="shared" si="9"/>
        <v>263452</v>
      </c>
    </row>
    <row r="82" spans="1:25" x14ac:dyDescent="0.15">
      <c r="A82">
        <v>78</v>
      </c>
      <c r="B82" s="2" t="str">
        <f t="shared" si="6"/>
        <v>3,10,9,11,8,10</v>
      </c>
      <c r="C82" s="2" t="str">
        <f t="shared" si="7"/>
        <v>0.5,0.5,0.5,1,0.5,0.5</v>
      </c>
      <c r="D82" s="8">
        <v>272158</v>
      </c>
      <c r="E82" s="3">
        <v>2180</v>
      </c>
      <c r="G82" s="3">
        <v>3</v>
      </c>
      <c r="H82" s="2">
        <v>0.5</v>
      </c>
      <c r="I82" s="3">
        <v>10</v>
      </c>
      <c r="J82" s="2">
        <v>0.5</v>
      </c>
      <c r="K82" s="3">
        <v>9</v>
      </c>
      <c r="L82" s="2">
        <v>0.5</v>
      </c>
      <c r="M82" s="3">
        <v>11</v>
      </c>
      <c r="N82" s="2">
        <v>1</v>
      </c>
      <c r="O82" s="3">
        <v>8</v>
      </c>
      <c r="P82" s="2">
        <v>0.5</v>
      </c>
      <c r="Q82" s="3">
        <v>10</v>
      </c>
      <c r="R82" s="2">
        <v>0.5</v>
      </c>
      <c r="W82">
        <v>78</v>
      </c>
      <c r="X82">
        <f t="shared" si="8"/>
        <v>2180</v>
      </c>
      <c r="Y82">
        <f t="shared" si="9"/>
        <v>272158</v>
      </c>
    </row>
    <row r="83" spans="1:25" x14ac:dyDescent="0.15">
      <c r="A83" s="2">
        <v>79</v>
      </c>
      <c r="B83" s="2" t="str">
        <f t="shared" si="6"/>
        <v>1,1,1,1,1,1</v>
      </c>
      <c r="C83" s="2" t="str">
        <f t="shared" si="7"/>
        <v>0.5,0.5,0.5,0.5,0.5,0.5</v>
      </c>
      <c r="D83" s="8">
        <v>281020</v>
      </c>
      <c r="E83" s="3">
        <v>2234</v>
      </c>
      <c r="G83" s="3">
        <v>1</v>
      </c>
      <c r="H83" s="2">
        <v>0.5</v>
      </c>
      <c r="I83" s="3">
        <v>1</v>
      </c>
      <c r="J83" s="2">
        <v>0.5</v>
      </c>
      <c r="K83" s="3">
        <v>1</v>
      </c>
      <c r="L83" s="2">
        <v>0.5</v>
      </c>
      <c r="M83" s="3">
        <v>1</v>
      </c>
      <c r="N83" s="2">
        <v>0.5</v>
      </c>
      <c r="O83" s="3">
        <v>1</v>
      </c>
      <c r="P83" s="2">
        <v>0.5</v>
      </c>
      <c r="Q83" s="3">
        <v>1</v>
      </c>
      <c r="R83" s="2">
        <v>0.5</v>
      </c>
      <c r="W83">
        <v>79</v>
      </c>
      <c r="X83">
        <f t="shared" si="8"/>
        <v>2234</v>
      </c>
      <c r="Y83">
        <f t="shared" si="9"/>
        <v>281020</v>
      </c>
    </row>
    <row r="84" spans="1:25" x14ac:dyDescent="0.15">
      <c r="A84">
        <v>80</v>
      </c>
      <c r="B84" s="2" t="str">
        <f t="shared" si="6"/>
        <v>2,2,2,2,2,2</v>
      </c>
      <c r="C84" s="2" t="str">
        <f t="shared" si="7"/>
        <v>0.5,0.5,0.5,0.5,0.5,0.5</v>
      </c>
      <c r="D84" s="8">
        <v>290040</v>
      </c>
      <c r="E84" s="3">
        <v>2288</v>
      </c>
      <c r="G84" s="3">
        <v>2</v>
      </c>
      <c r="H84" s="2">
        <v>0.5</v>
      </c>
      <c r="I84" s="3">
        <v>2</v>
      </c>
      <c r="J84" s="2">
        <v>0.5</v>
      </c>
      <c r="K84" s="3">
        <v>2</v>
      </c>
      <c r="L84" s="2">
        <v>0.5</v>
      </c>
      <c r="M84" s="3">
        <v>2</v>
      </c>
      <c r="N84" s="2">
        <v>0.5</v>
      </c>
      <c r="O84" s="3">
        <v>2</v>
      </c>
      <c r="P84" s="2">
        <v>0.5</v>
      </c>
      <c r="Q84" s="3">
        <v>2</v>
      </c>
      <c r="R84" s="2">
        <v>0.5</v>
      </c>
      <c r="W84">
        <v>80</v>
      </c>
      <c r="X84">
        <f t="shared" si="8"/>
        <v>2288</v>
      </c>
      <c r="Y84">
        <f t="shared" si="9"/>
        <v>290040</v>
      </c>
    </row>
    <row r="85" spans="1:25" x14ac:dyDescent="0.15">
      <c r="A85" s="2">
        <v>81</v>
      </c>
      <c r="B85" s="2" t="str">
        <f t="shared" si="6"/>
        <v>3,8,8,5,6,3</v>
      </c>
      <c r="C85" s="2" t="str">
        <f t="shared" si="7"/>
        <v>0.5,0.5,0.5,0.5,1,0.5</v>
      </c>
      <c r="D85" s="8">
        <v>299220</v>
      </c>
      <c r="E85" s="3">
        <v>2342</v>
      </c>
      <c r="G85" s="3">
        <v>3</v>
      </c>
      <c r="H85" s="2">
        <v>0.5</v>
      </c>
      <c r="I85" s="3">
        <v>8</v>
      </c>
      <c r="J85" s="2">
        <v>0.5</v>
      </c>
      <c r="K85" s="3">
        <v>8</v>
      </c>
      <c r="L85" s="2">
        <v>0.5</v>
      </c>
      <c r="M85" s="3">
        <v>5</v>
      </c>
      <c r="N85" s="2">
        <v>0.5</v>
      </c>
      <c r="O85" s="3">
        <v>6</v>
      </c>
      <c r="P85" s="2">
        <v>1</v>
      </c>
      <c r="Q85" s="3">
        <v>3</v>
      </c>
      <c r="R85" s="2">
        <v>0.5</v>
      </c>
      <c r="W85">
        <v>81</v>
      </c>
      <c r="X85">
        <f t="shared" si="8"/>
        <v>2342</v>
      </c>
      <c r="Y85">
        <f t="shared" si="9"/>
        <v>299220</v>
      </c>
    </row>
    <row r="86" spans="1:25" x14ac:dyDescent="0.15">
      <c r="A86">
        <v>82</v>
      </c>
      <c r="B86" s="2" t="str">
        <f t="shared" si="6"/>
        <v>1,3,5,7,5,11</v>
      </c>
      <c r="C86" s="2" t="str">
        <f t="shared" si="7"/>
        <v>0.5,0.5,0.5,0.5,0.5,0.5</v>
      </c>
      <c r="D86" s="8">
        <v>308562</v>
      </c>
      <c r="E86" s="3">
        <v>2396</v>
      </c>
      <c r="G86" s="3">
        <v>1</v>
      </c>
      <c r="H86" s="2">
        <v>0.5</v>
      </c>
      <c r="I86" s="3">
        <v>3</v>
      </c>
      <c r="J86" s="2">
        <v>0.5</v>
      </c>
      <c r="K86" s="3">
        <v>5</v>
      </c>
      <c r="L86" s="2">
        <v>0.5</v>
      </c>
      <c r="M86" s="3">
        <v>7</v>
      </c>
      <c r="N86" s="2">
        <v>0.5</v>
      </c>
      <c r="O86" s="3">
        <v>5</v>
      </c>
      <c r="P86" s="2">
        <v>0.5</v>
      </c>
      <c r="Q86" s="3">
        <v>11</v>
      </c>
      <c r="R86" s="2">
        <v>0.5</v>
      </c>
      <c r="W86">
        <v>82</v>
      </c>
      <c r="X86">
        <f t="shared" si="8"/>
        <v>2396</v>
      </c>
      <c r="Y86">
        <f t="shared" si="9"/>
        <v>308562</v>
      </c>
    </row>
    <row r="87" spans="1:25" x14ac:dyDescent="0.15">
      <c r="A87" s="2">
        <v>83</v>
      </c>
      <c r="B87" s="2" t="str">
        <f t="shared" si="6"/>
        <v>2,4,4,4,4,4</v>
      </c>
      <c r="C87" s="2" t="str">
        <f t="shared" si="7"/>
        <v>0.5,0.5,0.5,0.5,0.5,0.5</v>
      </c>
      <c r="D87" s="8">
        <v>318068</v>
      </c>
      <c r="E87" s="3">
        <v>2450</v>
      </c>
      <c r="G87" s="3">
        <v>2</v>
      </c>
      <c r="H87" s="2">
        <v>0.5</v>
      </c>
      <c r="I87" s="3">
        <v>4</v>
      </c>
      <c r="J87" s="2">
        <v>0.5</v>
      </c>
      <c r="K87" s="3">
        <v>4</v>
      </c>
      <c r="L87" s="2">
        <v>0.5</v>
      </c>
      <c r="M87" s="3">
        <v>4</v>
      </c>
      <c r="N87" s="2">
        <v>0.5</v>
      </c>
      <c r="O87" s="3">
        <v>4</v>
      </c>
      <c r="P87" s="2">
        <v>0.5</v>
      </c>
      <c r="Q87" s="3">
        <v>4</v>
      </c>
      <c r="R87" s="2">
        <v>0.5</v>
      </c>
      <c r="W87">
        <v>83</v>
      </c>
      <c r="X87">
        <f t="shared" si="8"/>
        <v>2450</v>
      </c>
      <c r="Y87">
        <f t="shared" si="9"/>
        <v>318068</v>
      </c>
    </row>
    <row r="88" spans="1:25" x14ac:dyDescent="0.15">
      <c r="A88">
        <v>84</v>
      </c>
      <c r="B88" s="2" t="str">
        <f t="shared" si="6"/>
        <v>3,10,9,11,8,10</v>
      </c>
      <c r="C88" s="2" t="str">
        <f t="shared" si="7"/>
        <v>0.5,0.5,0.5,1,0.5,0.5</v>
      </c>
      <c r="D88" s="8">
        <v>327940</v>
      </c>
      <c r="E88" s="3">
        <v>2508</v>
      </c>
      <c r="G88" s="3">
        <v>3</v>
      </c>
      <c r="H88" s="2">
        <v>0.5</v>
      </c>
      <c r="I88" s="3">
        <v>10</v>
      </c>
      <c r="J88" s="2">
        <v>0.5</v>
      </c>
      <c r="K88" s="3">
        <v>9</v>
      </c>
      <c r="L88" s="2">
        <v>0.5</v>
      </c>
      <c r="M88" s="3">
        <v>11</v>
      </c>
      <c r="N88" s="2">
        <v>1</v>
      </c>
      <c r="O88" s="3">
        <v>8</v>
      </c>
      <c r="P88" s="2">
        <v>0.5</v>
      </c>
      <c r="Q88" s="3">
        <v>10</v>
      </c>
      <c r="R88" s="2">
        <v>0.5</v>
      </c>
      <c r="W88">
        <v>84</v>
      </c>
      <c r="X88">
        <f t="shared" si="8"/>
        <v>2508</v>
      </c>
      <c r="Y88">
        <f t="shared" si="9"/>
        <v>327940</v>
      </c>
    </row>
    <row r="89" spans="1:25" x14ac:dyDescent="0.15">
      <c r="A89" s="2">
        <v>85</v>
      </c>
      <c r="B89" s="2" t="str">
        <f t="shared" si="6"/>
        <v>1,1,1,1,1,1</v>
      </c>
      <c r="C89" s="2" t="str">
        <f t="shared" si="7"/>
        <v>0.5,0.5,0.5,0.5,0.5,0.5</v>
      </c>
      <c r="D89" s="8">
        <v>337980</v>
      </c>
      <c r="E89" s="3">
        <v>2566</v>
      </c>
      <c r="G89" s="3">
        <v>1</v>
      </c>
      <c r="H89" s="2">
        <v>0.5</v>
      </c>
      <c r="I89" s="3">
        <v>1</v>
      </c>
      <c r="J89" s="2">
        <v>0.5</v>
      </c>
      <c r="K89" s="3">
        <v>1</v>
      </c>
      <c r="L89" s="2">
        <v>0.5</v>
      </c>
      <c r="M89" s="3">
        <v>1</v>
      </c>
      <c r="N89" s="2">
        <v>0.5</v>
      </c>
      <c r="O89" s="3">
        <v>1</v>
      </c>
      <c r="P89" s="2">
        <v>0.5</v>
      </c>
      <c r="Q89" s="3">
        <v>1</v>
      </c>
      <c r="R89" s="2">
        <v>0.5</v>
      </c>
      <c r="W89">
        <v>85</v>
      </c>
      <c r="X89">
        <f t="shared" si="8"/>
        <v>2566</v>
      </c>
      <c r="Y89">
        <f t="shared" si="9"/>
        <v>337980</v>
      </c>
    </row>
    <row r="90" spans="1:25" x14ac:dyDescent="0.15">
      <c r="A90">
        <v>86</v>
      </c>
      <c r="B90" s="2" t="str">
        <f t="shared" si="6"/>
        <v>2,2,2,2,2,2</v>
      </c>
      <c r="C90" s="2" t="str">
        <f t="shared" si="7"/>
        <v>0.5,0.5,0.5,0.5,0.5,0.5</v>
      </c>
      <c r="D90" s="8">
        <v>348190</v>
      </c>
      <c r="E90" s="3">
        <v>2624</v>
      </c>
      <c r="G90" s="3">
        <v>2</v>
      </c>
      <c r="H90" s="2">
        <v>0.5</v>
      </c>
      <c r="I90" s="3">
        <v>2</v>
      </c>
      <c r="J90" s="2">
        <v>0.5</v>
      </c>
      <c r="K90" s="3">
        <v>2</v>
      </c>
      <c r="L90" s="2">
        <v>0.5</v>
      </c>
      <c r="M90" s="3">
        <v>2</v>
      </c>
      <c r="N90" s="2">
        <v>0.5</v>
      </c>
      <c r="O90" s="3">
        <v>2</v>
      </c>
      <c r="P90" s="2">
        <v>0.5</v>
      </c>
      <c r="Q90" s="3">
        <v>2</v>
      </c>
      <c r="R90" s="2">
        <v>0.5</v>
      </c>
      <c r="W90">
        <v>86</v>
      </c>
      <c r="X90">
        <f t="shared" si="8"/>
        <v>2624</v>
      </c>
      <c r="Y90">
        <f t="shared" si="9"/>
        <v>348190</v>
      </c>
    </row>
    <row r="91" spans="1:25" x14ac:dyDescent="0.15">
      <c r="A91" s="2">
        <v>87</v>
      </c>
      <c r="B91" s="2" t="str">
        <f t="shared" si="6"/>
        <v>3,8,8,5,6,3</v>
      </c>
      <c r="C91" s="2" t="str">
        <f t="shared" si="7"/>
        <v>0.5,0.5,0.5,0.5,1,0.5</v>
      </c>
      <c r="D91" s="8">
        <v>358572</v>
      </c>
      <c r="E91" s="3">
        <v>2682</v>
      </c>
      <c r="G91" s="3">
        <v>3</v>
      </c>
      <c r="H91" s="2">
        <v>0.5</v>
      </c>
      <c r="I91" s="3">
        <v>8</v>
      </c>
      <c r="J91" s="2">
        <v>0.5</v>
      </c>
      <c r="K91" s="3">
        <v>8</v>
      </c>
      <c r="L91" s="2">
        <v>0.5</v>
      </c>
      <c r="M91" s="3">
        <v>5</v>
      </c>
      <c r="N91" s="2">
        <v>0.5</v>
      </c>
      <c r="O91" s="3">
        <v>6</v>
      </c>
      <c r="P91" s="2">
        <v>1</v>
      </c>
      <c r="Q91" s="3">
        <v>3</v>
      </c>
      <c r="R91" s="2">
        <v>0.5</v>
      </c>
      <c r="W91">
        <v>87</v>
      </c>
      <c r="X91">
        <f t="shared" si="8"/>
        <v>2682</v>
      </c>
      <c r="Y91">
        <f t="shared" si="9"/>
        <v>358572</v>
      </c>
    </row>
    <row r="92" spans="1:25" x14ac:dyDescent="0.15">
      <c r="A92">
        <v>88</v>
      </c>
      <c r="B92" s="2" t="str">
        <f t="shared" si="6"/>
        <v>1,3,5,7,5,11</v>
      </c>
      <c r="C92" s="2" t="str">
        <f t="shared" si="7"/>
        <v>0.5,0.5,0.5,0.5,0.5,0.5</v>
      </c>
      <c r="D92" s="8">
        <v>369128</v>
      </c>
      <c r="E92" s="3">
        <v>2740</v>
      </c>
      <c r="G92" s="3">
        <v>1</v>
      </c>
      <c r="H92" s="2">
        <v>0.5</v>
      </c>
      <c r="I92" s="3">
        <v>3</v>
      </c>
      <c r="J92" s="2">
        <v>0.5</v>
      </c>
      <c r="K92" s="3">
        <v>5</v>
      </c>
      <c r="L92" s="2">
        <v>0.5</v>
      </c>
      <c r="M92" s="3">
        <v>7</v>
      </c>
      <c r="N92" s="2">
        <v>0.5</v>
      </c>
      <c r="O92" s="3">
        <v>5</v>
      </c>
      <c r="P92" s="2">
        <v>0.5</v>
      </c>
      <c r="Q92" s="3">
        <v>11</v>
      </c>
      <c r="R92" s="2">
        <v>0.5</v>
      </c>
      <c r="W92">
        <v>88</v>
      </c>
      <c r="X92">
        <f t="shared" si="8"/>
        <v>2740</v>
      </c>
      <c r="Y92">
        <f t="shared" si="9"/>
        <v>369128</v>
      </c>
    </row>
    <row r="93" spans="1:25" x14ac:dyDescent="0.15">
      <c r="A93" s="2">
        <v>89</v>
      </c>
      <c r="B93" s="2" t="str">
        <f t="shared" si="6"/>
        <v>2,4,4,4,4,4</v>
      </c>
      <c r="C93" s="2" t="str">
        <f t="shared" si="7"/>
        <v>0.5,0.5,0.5,0.5,0.5,0.5</v>
      </c>
      <c r="D93" s="8">
        <v>379860</v>
      </c>
      <c r="E93" s="3">
        <v>2798</v>
      </c>
      <c r="G93" s="3">
        <v>2</v>
      </c>
      <c r="H93" s="2">
        <v>0.5</v>
      </c>
      <c r="I93" s="3">
        <v>4</v>
      </c>
      <c r="J93" s="2">
        <v>0.5</v>
      </c>
      <c r="K93" s="3">
        <v>4</v>
      </c>
      <c r="L93" s="2">
        <v>0.5</v>
      </c>
      <c r="M93" s="3">
        <v>4</v>
      </c>
      <c r="N93" s="2">
        <v>0.5</v>
      </c>
      <c r="O93" s="3">
        <v>4</v>
      </c>
      <c r="P93" s="2">
        <v>0.5</v>
      </c>
      <c r="Q93" s="3">
        <v>4</v>
      </c>
      <c r="R93" s="2">
        <v>0.5</v>
      </c>
      <c r="W93">
        <v>89</v>
      </c>
      <c r="X93">
        <f t="shared" si="8"/>
        <v>2798</v>
      </c>
      <c r="Y93">
        <f t="shared" si="9"/>
        <v>379860</v>
      </c>
    </row>
    <row r="94" spans="1:25" x14ac:dyDescent="0.15">
      <c r="A94">
        <v>90</v>
      </c>
      <c r="B94" s="2" t="str">
        <f t="shared" si="6"/>
        <v>3,10,9,11,8,10</v>
      </c>
      <c r="C94" s="2" t="str">
        <f t="shared" si="7"/>
        <v>0.5,0.5,0.5,1,0.5,0.5</v>
      </c>
      <c r="D94" s="8">
        <v>390970</v>
      </c>
      <c r="E94" s="3">
        <v>2860</v>
      </c>
      <c r="G94" s="3">
        <v>3</v>
      </c>
      <c r="H94" s="2">
        <v>0.5</v>
      </c>
      <c r="I94" s="3">
        <v>10</v>
      </c>
      <c r="J94" s="2">
        <v>0.5</v>
      </c>
      <c r="K94" s="3">
        <v>9</v>
      </c>
      <c r="L94" s="2">
        <v>0.5</v>
      </c>
      <c r="M94" s="3">
        <v>11</v>
      </c>
      <c r="N94" s="2">
        <v>1</v>
      </c>
      <c r="O94" s="3">
        <v>8</v>
      </c>
      <c r="P94" s="2">
        <v>0.5</v>
      </c>
      <c r="Q94" s="3">
        <v>10</v>
      </c>
      <c r="R94" s="2">
        <v>0.5</v>
      </c>
      <c r="W94">
        <v>90</v>
      </c>
      <c r="X94">
        <f t="shared" si="8"/>
        <v>2860</v>
      </c>
      <c r="Y94">
        <f t="shared" si="9"/>
        <v>390970</v>
      </c>
    </row>
    <row r="95" spans="1:25" x14ac:dyDescent="0.15">
      <c r="A95" s="2">
        <v>91</v>
      </c>
      <c r="B95" s="2" t="str">
        <f t="shared" si="6"/>
        <v>1,1,1,1,1,1</v>
      </c>
      <c r="C95" s="2" t="str">
        <f t="shared" si="7"/>
        <v>0.5,0.5,0.5,0.5,0.5,0.5</v>
      </c>
      <c r="D95" s="8">
        <v>402260</v>
      </c>
      <c r="E95" s="3">
        <v>2922</v>
      </c>
      <c r="G95" s="3">
        <v>1</v>
      </c>
      <c r="H95" s="2">
        <v>0.5</v>
      </c>
      <c r="I95" s="3">
        <v>1</v>
      </c>
      <c r="J95" s="2">
        <v>0.5</v>
      </c>
      <c r="K95" s="3">
        <v>1</v>
      </c>
      <c r="L95" s="2">
        <v>0.5</v>
      </c>
      <c r="M95" s="3">
        <v>1</v>
      </c>
      <c r="N95" s="2">
        <v>0.5</v>
      </c>
      <c r="O95" s="3">
        <v>1</v>
      </c>
      <c r="P95" s="2">
        <v>0.5</v>
      </c>
      <c r="Q95" s="3">
        <v>1</v>
      </c>
      <c r="R95" s="2">
        <v>0.5</v>
      </c>
      <c r="W95">
        <v>91</v>
      </c>
      <c r="X95">
        <f t="shared" si="8"/>
        <v>2922</v>
      </c>
      <c r="Y95">
        <f t="shared" si="9"/>
        <v>402260</v>
      </c>
    </row>
    <row r="96" spans="1:25" x14ac:dyDescent="0.15">
      <c r="A96">
        <v>92</v>
      </c>
      <c r="B96" s="2" t="str">
        <f t="shared" si="6"/>
        <v>2,2,2,2,2,2</v>
      </c>
      <c r="C96" s="2" t="str">
        <f t="shared" si="7"/>
        <v>0.5,0.5,0.5,0.5,0.5,0.5</v>
      </c>
      <c r="D96" s="8">
        <v>413732</v>
      </c>
      <c r="E96" s="3">
        <v>2984</v>
      </c>
      <c r="G96" s="3">
        <v>2</v>
      </c>
      <c r="H96" s="2">
        <v>0.5</v>
      </c>
      <c r="I96" s="3">
        <v>2</v>
      </c>
      <c r="J96" s="2">
        <v>0.5</v>
      </c>
      <c r="K96" s="3">
        <v>2</v>
      </c>
      <c r="L96" s="2">
        <v>0.5</v>
      </c>
      <c r="M96" s="3">
        <v>2</v>
      </c>
      <c r="N96" s="2">
        <v>0.5</v>
      </c>
      <c r="O96" s="3">
        <v>2</v>
      </c>
      <c r="P96" s="2">
        <v>0.5</v>
      </c>
      <c r="Q96" s="3">
        <v>2</v>
      </c>
      <c r="R96" s="2">
        <v>0.5</v>
      </c>
      <c r="W96">
        <v>92</v>
      </c>
      <c r="X96">
        <f t="shared" si="8"/>
        <v>2984</v>
      </c>
      <c r="Y96">
        <f t="shared" si="9"/>
        <v>413732</v>
      </c>
    </row>
    <row r="97" spans="1:25" x14ac:dyDescent="0.15">
      <c r="A97" s="2">
        <v>93</v>
      </c>
      <c r="B97" s="2" t="str">
        <f t="shared" si="6"/>
        <v>3,8,8,5,6,3</v>
      </c>
      <c r="C97" s="2" t="str">
        <f t="shared" si="7"/>
        <v>0.5,0.5,0.5,0.5,1,0.5</v>
      </c>
      <c r="D97" s="8">
        <v>425388</v>
      </c>
      <c r="E97" s="3">
        <v>3046</v>
      </c>
      <c r="G97" s="3">
        <v>3</v>
      </c>
      <c r="H97" s="2">
        <v>0.5</v>
      </c>
      <c r="I97" s="3">
        <v>8</v>
      </c>
      <c r="J97" s="2">
        <v>0.5</v>
      </c>
      <c r="K97" s="3">
        <v>8</v>
      </c>
      <c r="L97" s="2">
        <v>0.5</v>
      </c>
      <c r="M97" s="3">
        <v>5</v>
      </c>
      <c r="N97" s="2">
        <v>0.5</v>
      </c>
      <c r="O97" s="3">
        <v>6</v>
      </c>
      <c r="P97" s="2">
        <v>1</v>
      </c>
      <c r="Q97" s="3">
        <v>3</v>
      </c>
      <c r="R97" s="2">
        <v>0.5</v>
      </c>
      <c r="W97">
        <v>93</v>
      </c>
      <c r="X97">
        <f t="shared" si="8"/>
        <v>3046</v>
      </c>
      <c r="Y97">
        <f t="shared" si="9"/>
        <v>425388</v>
      </c>
    </row>
    <row r="98" spans="1:25" x14ac:dyDescent="0.15">
      <c r="A98">
        <v>94</v>
      </c>
      <c r="B98" s="2" t="str">
        <f t="shared" si="6"/>
        <v>1,3,5,7,5,11</v>
      </c>
      <c r="C98" s="2" t="str">
        <f t="shared" si="7"/>
        <v>0.5,0.5,0.5,0.5,0.5,0.5</v>
      </c>
      <c r="D98" s="8">
        <v>437230</v>
      </c>
      <c r="E98" s="3">
        <v>3108</v>
      </c>
      <c r="G98" s="3">
        <v>1</v>
      </c>
      <c r="H98" s="2">
        <v>0.5</v>
      </c>
      <c r="I98" s="3">
        <v>3</v>
      </c>
      <c r="J98" s="2">
        <v>0.5</v>
      </c>
      <c r="K98" s="3">
        <v>5</v>
      </c>
      <c r="L98" s="2">
        <v>0.5</v>
      </c>
      <c r="M98" s="3">
        <v>7</v>
      </c>
      <c r="N98" s="2">
        <v>0.5</v>
      </c>
      <c r="O98" s="3">
        <v>5</v>
      </c>
      <c r="P98" s="2">
        <v>0.5</v>
      </c>
      <c r="Q98" s="3">
        <v>11</v>
      </c>
      <c r="R98" s="2">
        <v>0.5</v>
      </c>
      <c r="W98">
        <v>94</v>
      </c>
      <c r="X98">
        <f t="shared" si="8"/>
        <v>3108</v>
      </c>
      <c r="Y98">
        <f t="shared" si="9"/>
        <v>437230</v>
      </c>
    </row>
    <row r="99" spans="1:25" x14ac:dyDescent="0.15">
      <c r="A99" s="2">
        <v>95</v>
      </c>
      <c r="B99" s="2" t="str">
        <f t="shared" si="6"/>
        <v>2,4,4,4,4,4</v>
      </c>
      <c r="C99" s="2" t="str">
        <f t="shared" si="7"/>
        <v>0.5,0.5,0.5,0.5,0.5,0.5</v>
      </c>
      <c r="D99" s="8">
        <v>449260</v>
      </c>
      <c r="E99" s="3">
        <v>3170</v>
      </c>
      <c r="G99" s="3">
        <v>2</v>
      </c>
      <c r="H99" s="2">
        <v>0.5</v>
      </c>
      <c r="I99" s="3">
        <v>4</v>
      </c>
      <c r="J99" s="2">
        <v>0.5</v>
      </c>
      <c r="K99" s="3">
        <v>4</v>
      </c>
      <c r="L99" s="2">
        <v>0.5</v>
      </c>
      <c r="M99" s="3">
        <v>4</v>
      </c>
      <c r="N99" s="2">
        <v>0.5</v>
      </c>
      <c r="O99" s="3">
        <v>4</v>
      </c>
      <c r="P99" s="2">
        <v>0.5</v>
      </c>
      <c r="Q99" s="3">
        <v>4</v>
      </c>
      <c r="R99" s="2">
        <v>0.5</v>
      </c>
      <c r="W99">
        <v>95</v>
      </c>
      <c r="X99">
        <f t="shared" si="8"/>
        <v>3170</v>
      </c>
      <c r="Y99">
        <f t="shared" si="9"/>
        <v>449260</v>
      </c>
    </row>
    <row r="100" spans="1:25" x14ac:dyDescent="0.15">
      <c r="A100">
        <v>96</v>
      </c>
      <c r="B100" s="2" t="str">
        <f t="shared" si="6"/>
        <v>3,10,9,11,8,10</v>
      </c>
      <c r="C100" s="2" t="str">
        <f t="shared" si="7"/>
        <v>0.5,0.5,0.5,1,0.5,0.5</v>
      </c>
      <c r="D100" s="8">
        <v>461680</v>
      </c>
      <c r="E100" s="3">
        <v>3236</v>
      </c>
      <c r="G100" s="3">
        <v>3</v>
      </c>
      <c r="H100" s="2">
        <v>0.5</v>
      </c>
      <c r="I100" s="3">
        <v>10</v>
      </c>
      <c r="J100" s="2">
        <v>0.5</v>
      </c>
      <c r="K100" s="3">
        <v>9</v>
      </c>
      <c r="L100" s="2">
        <v>0.5</v>
      </c>
      <c r="M100" s="3">
        <v>11</v>
      </c>
      <c r="N100" s="2">
        <v>1</v>
      </c>
      <c r="O100" s="3">
        <v>8</v>
      </c>
      <c r="P100" s="2">
        <v>0.5</v>
      </c>
      <c r="Q100" s="3">
        <v>10</v>
      </c>
      <c r="R100" s="2">
        <v>0.5</v>
      </c>
      <c r="W100">
        <v>96</v>
      </c>
      <c r="X100">
        <f t="shared" si="8"/>
        <v>3236</v>
      </c>
      <c r="Y100">
        <f t="shared" si="9"/>
        <v>461680</v>
      </c>
    </row>
    <row r="101" spans="1:25" x14ac:dyDescent="0.15">
      <c r="A101" s="2">
        <v>97</v>
      </c>
      <c r="B101" s="2" t="str">
        <f t="shared" si="6"/>
        <v>1,1,1,1,1,1</v>
      </c>
      <c r="C101" s="2" t="str">
        <f t="shared" si="7"/>
        <v>0.5,0.5,0.5,0.5,0.5,0.5</v>
      </c>
      <c r="D101" s="8">
        <v>474292</v>
      </c>
      <c r="E101" s="3">
        <v>3302</v>
      </c>
      <c r="G101" s="3">
        <v>1</v>
      </c>
      <c r="H101" s="2">
        <v>0.5</v>
      </c>
      <c r="I101" s="3">
        <v>1</v>
      </c>
      <c r="J101" s="2">
        <v>0.5</v>
      </c>
      <c r="K101" s="3">
        <v>1</v>
      </c>
      <c r="L101" s="2">
        <v>0.5</v>
      </c>
      <c r="M101" s="3">
        <v>1</v>
      </c>
      <c r="N101" s="2">
        <v>0.5</v>
      </c>
      <c r="O101" s="3">
        <v>1</v>
      </c>
      <c r="P101" s="2">
        <v>0.5</v>
      </c>
      <c r="Q101" s="3">
        <v>1</v>
      </c>
      <c r="R101" s="2">
        <v>0.5</v>
      </c>
      <c r="W101">
        <v>97</v>
      </c>
      <c r="X101">
        <f t="shared" si="8"/>
        <v>3302</v>
      </c>
      <c r="Y101">
        <f t="shared" si="9"/>
        <v>474292</v>
      </c>
    </row>
    <row r="102" spans="1:25" x14ac:dyDescent="0.15">
      <c r="A102">
        <v>98</v>
      </c>
      <c r="B102" s="2" t="str">
        <f t="shared" si="6"/>
        <v>2,2,2,2,2,2</v>
      </c>
      <c r="C102" s="2" t="str">
        <f t="shared" si="7"/>
        <v>0.5,0.5,0.5,0.5,0.5,0.5</v>
      </c>
      <c r="D102" s="8">
        <v>487098</v>
      </c>
      <c r="E102" s="3">
        <v>3368</v>
      </c>
      <c r="G102" s="3">
        <v>2</v>
      </c>
      <c r="H102" s="2">
        <v>0.5</v>
      </c>
      <c r="I102" s="3">
        <v>2</v>
      </c>
      <c r="J102" s="2">
        <v>0.5</v>
      </c>
      <c r="K102" s="3">
        <v>2</v>
      </c>
      <c r="L102" s="2">
        <v>0.5</v>
      </c>
      <c r="M102" s="3">
        <v>2</v>
      </c>
      <c r="N102" s="2">
        <v>0.5</v>
      </c>
      <c r="O102" s="3">
        <v>2</v>
      </c>
      <c r="P102" s="2">
        <v>0.5</v>
      </c>
      <c r="Q102" s="3">
        <v>2</v>
      </c>
      <c r="R102" s="2">
        <v>0.5</v>
      </c>
      <c r="W102">
        <v>98</v>
      </c>
      <c r="X102">
        <f t="shared" si="8"/>
        <v>3368</v>
      </c>
      <c r="Y102">
        <f t="shared" si="9"/>
        <v>487098</v>
      </c>
    </row>
    <row r="103" spans="1:25" x14ac:dyDescent="0.15">
      <c r="A103" s="2">
        <v>99</v>
      </c>
      <c r="B103" s="2" t="str">
        <f t="shared" si="6"/>
        <v>3,8,8,5,6,3</v>
      </c>
      <c r="C103" s="2" t="str">
        <f t="shared" si="7"/>
        <v>0.5,0.5,0.5,0.5,1,0.5</v>
      </c>
      <c r="D103" s="8">
        <v>500100</v>
      </c>
      <c r="E103" s="3">
        <v>3434</v>
      </c>
      <c r="G103" s="3">
        <v>3</v>
      </c>
      <c r="H103" s="2">
        <v>0.5</v>
      </c>
      <c r="I103" s="3">
        <v>8</v>
      </c>
      <c r="J103" s="2">
        <v>0.5</v>
      </c>
      <c r="K103" s="3">
        <v>8</v>
      </c>
      <c r="L103" s="2">
        <v>0.5</v>
      </c>
      <c r="M103" s="3">
        <v>5</v>
      </c>
      <c r="N103" s="2">
        <v>0.5</v>
      </c>
      <c r="O103" s="3">
        <v>6</v>
      </c>
      <c r="P103" s="2">
        <v>1</v>
      </c>
      <c r="Q103" s="3">
        <v>3</v>
      </c>
      <c r="R103" s="2">
        <v>0.5</v>
      </c>
      <c r="W103">
        <v>99</v>
      </c>
      <c r="X103">
        <f t="shared" si="8"/>
        <v>3434</v>
      </c>
      <c r="Y103">
        <f t="shared" si="9"/>
        <v>500100</v>
      </c>
    </row>
    <row r="104" spans="1:25" x14ac:dyDescent="0.15">
      <c r="A104">
        <v>100</v>
      </c>
      <c r="B104" s="2" t="str">
        <f t="shared" si="6"/>
        <v>1,3,5,7,5,11</v>
      </c>
      <c r="C104" s="2" t="str">
        <f t="shared" si="7"/>
        <v>0.5,0.5,0.5,0.5,0.5,0.5</v>
      </c>
      <c r="D104" s="8">
        <v>513300</v>
      </c>
      <c r="E104" s="3">
        <v>3500</v>
      </c>
      <c r="G104" s="3">
        <v>1</v>
      </c>
      <c r="H104" s="2">
        <v>0.5</v>
      </c>
      <c r="I104" s="3">
        <v>3</v>
      </c>
      <c r="J104" s="2">
        <v>0.5</v>
      </c>
      <c r="K104" s="3">
        <v>5</v>
      </c>
      <c r="L104" s="2">
        <v>0.5</v>
      </c>
      <c r="M104" s="3">
        <v>7</v>
      </c>
      <c r="N104" s="2">
        <v>0.5</v>
      </c>
      <c r="O104" s="3">
        <v>5</v>
      </c>
      <c r="P104" s="2">
        <v>0.5</v>
      </c>
      <c r="Q104" s="3">
        <v>11</v>
      </c>
      <c r="R104" s="2">
        <v>0.5</v>
      </c>
      <c r="W104">
        <v>100</v>
      </c>
      <c r="X104">
        <f t="shared" si="8"/>
        <v>3500</v>
      </c>
      <c r="Y104">
        <f t="shared" si="9"/>
        <v>513300</v>
      </c>
    </row>
    <row r="105" spans="1:25" x14ac:dyDescent="0.15">
      <c r="A105" s="2">
        <v>101</v>
      </c>
      <c r="B105" s="2" t="str">
        <f t="shared" si="6"/>
        <v>2,4,4,4,4,4</v>
      </c>
      <c r="C105" s="2" t="str">
        <f t="shared" si="7"/>
        <v>0.5,0.5,0.5,0.5,0.5,0.5</v>
      </c>
      <c r="D105" s="8">
        <v>526700</v>
      </c>
      <c r="E105" s="3">
        <v>3566</v>
      </c>
      <c r="G105" s="3">
        <v>2</v>
      </c>
      <c r="H105" s="2">
        <v>0.5</v>
      </c>
      <c r="I105" s="3">
        <v>4</v>
      </c>
      <c r="J105" s="2">
        <v>0.5</v>
      </c>
      <c r="K105" s="3">
        <v>4</v>
      </c>
      <c r="L105" s="2">
        <v>0.5</v>
      </c>
      <c r="M105" s="3">
        <v>4</v>
      </c>
      <c r="N105" s="2">
        <v>0.5</v>
      </c>
      <c r="O105" s="3">
        <v>4</v>
      </c>
      <c r="P105" s="2">
        <v>0.5</v>
      </c>
      <c r="Q105" s="3">
        <v>4</v>
      </c>
      <c r="R105" s="2">
        <v>0.5</v>
      </c>
      <c r="W105">
        <v>101</v>
      </c>
      <c r="X105">
        <f t="shared" si="8"/>
        <v>3566</v>
      </c>
      <c r="Y105">
        <f t="shared" si="9"/>
        <v>526700</v>
      </c>
    </row>
    <row r="106" spans="1:25" x14ac:dyDescent="0.15">
      <c r="A106">
        <v>102</v>
      </c>
      <c r="B106" s="2" t="str">
        <f t="shared" si="6"/>
        <v>3,10,9,11,8,10</v>
      </c>
      <c r="C106" s="2" t="str">
        <f t="shared" si="7"/>
        <v>0.5,0.5,0.5,1,0.5,0.5</v>
      </c>
      <c r="D106" s="8">
        <v>540502</v>
      </c>
      <c r="E106" s="3">
        <v>3636</v>
      </c>
      <c r="G106" s="3">
        <v>3</v>
      </c>
      <c r="H106" s="2">
        <v>0.5</v>
      </c>
      <c r="I106" s="3">
        <v>10</v>
      </c>
      <c r="J106" s="2">
        <v>0.5</v>
      </c>
      <c r="K106" s="3">
        <v>9</v>
      </c>
      <c r="L106" s="2">
        <v>0.5</v>
      </c>
      <c r="M106" s="3">
        <v>11</v>
      </c>
      <c r="N106" s="2">
        <v>1</v>
      </c>
      <c r="O106" s="3">
        <v>8</v>
      </c>
      <c r="P106" s="2">
        <v>0.5</v>
      </c>
      <c r="Q106" s="3">
        <v>10</v>
      </c>
      <c r="R106" s="2">
        <v>0.5</v>
      </c>
      <c r="W106">
        <v>102</v>
      </c>
      <c r="X106">
        <f t="shared" si="8"/>
        <v>3636</v>
      </c>
      <c r="Y106">
        <f t="shared" si="9"/>
        <v>540502</v>
      </c>
    </row>
    <row r="107" spans="1:25" x14ac:dyDescent="0.15">
      <c r="A107" s="2">
        <v>103</v>
      </c>
      <c r="B107" s="2" t="str">
        <f t="shared" si="6"/>
        <v>1,1,1,1,1,1</v>
      </c>
      <c r="C107" s="2" t="str">
        <f t="shared" si="7"/>
        <v>0.5,0.5,0.5,0.5,0.5,0.5</v>
      </c>
      <c r="D107" s="8">
        <v>554508</v>
      </c>
      <c r="E107" s="3">
        <v>3706</v>
      </c>
      <c r="G107" s="3">
        <v>1</v>
      </c>
      <c r="H107" s="2">
        <v>0.5</v>
      </c>
      <c r="I107" s="3">
        <v>1</v>
      </c>
      <c r="J107" s="2">
        <v>0.5</v>
      </c>
      <c r="K107" s="3">
        <v>1</v>
      </c>
      <c r="L107" s="2">
        <v>0.5</v>
      </c>
      <c r="M107" s="3">
        <v>1</v>
      </c>
      <c r="N107" s="2">
        <v>0.5</v>
      </c>
      <c r="O107" s="3">
        <v>1</v>
      </c>
      <c r="P107" s="2">
        <v>0.5</v>
      </c>
      <c r="Q107" s="3">
        <v>1</v>
      </c>
      <c r="R107" s="2">
        <v>0.5</v>
      </c>
      <c r="W107">
        <v>103</v>
      </c>
      <c r="X107">
        <f t="shared" si="8"/>
        <v>3706</v>
      </c>
      <c r="Y107">
        <f t="shared" si="9"/>
        <v>554508</v>
      </c>
    </row>
    <row r="108" spans="1:25" x14ac:dyDescent="0.15">
      <c r="A108">
        <v>104</v>
      </c>
      <c r="B108" s="2" t="str">
        <f t="shared" si="6"/>
        <v>2,2,2,2,2,2</v>
      </c>
      <c r="C108" s="2" t="str">
        <f t="shared" si="7"/>
        <v>0.5,0.5,0.5,0.5,0.5,0.5</v>
      </c>
      <c r="D108" s="8">
        <v>568720</v>
      </c>
      <c r="E108" s="3">
        <v>3776</v>
      </c>
      <c r="G108" s="3">
        <v>2</v>
      </c>
      <c r="H108" s="2">
        <v>0.5</v>
      </c>
      <c r="I108" s="3">
        <v>2</v>
      </c>
      <c r="J108" s="2">
        <v>0.5</v>
      </c>
      <c r="K108" s="3">
        <v>2</v>
      </c>
      <c r="L108" s="2">
        <v>0.5</v>
      </c>
      <c r="M108" s="3">
        <v>2</v>
      </c>
      <c r="N108" s="2">
        <v>0.5</v>
      </c>
      <c r="O108" s="3">
        <v>2</v>
      </c>
      <c r="P108" s="2">
        <v>0.5</v>
      </c>
      <c r="Q108" s="3">
        <v>2</v>
      </c>
      <c r="R108" s="2">
        <v>0.5</v>
      </c>
      <c r="W108">
        <v>104</v>
      </c>
      <c r="X108">
        <f t="shared" si="8"/>
        <v>3776</v>
      </c>
      <c r="Y108">
        <f t="shared" si="9"/>
        <v>568720</v>
      </c>
    </row>
    <row r="109" spans="1:25" x14ac:dyDescent="0.15">
      <c r="A109" s="2">
        <v>105</v>
      </c>
      <c r="B109" s="2" t="str">
        <f t="shared" si="6"/>
        <v>3,8,8,5,6,3</v>
      </c>
      <c r="C109" s="2" t="str">
        <f t="shared" si="7"/>
        <v>0.5,0.5,0.5,0.5,1,0.5</v>
      </c>
      <c r="D109" s="8">
        <v>583140</v>
      </c>
      <c r="E109" s="3">
        <v>3846</v>
      </c>
      <c r="G109" s="3">
        <v>3</v>
      </c>
      <c r="H109" s="2">
        <v>0.5</v>
      </c>
      <c r="I109" s="3">
        <v>8</v>
      </c>
      <c r="J109" s="2">
        <v>0.5</v>
      </c>
      <c r="K109" s="3">
        <v>8</v>
      </c>
      <c r="L109" s="2">
        <v>0.5</v>
      </c>
      <c r="M109" s="3">
        <v>5</v>
      </c>
      <c r="N109" s="2">
        <v>0.5</v>
      </c>
      <c r="O109" s="3">
        <v>6</v>
      </c>
      <c r="P109" s="2">
        <v>1</v>
      </c>
      <c r="Q109" s="3">
        <v>3</v>
      </c>
      <c r="R109" s="2">
        <v>0.5</v>
      </c>
      <c r="W109">
        <v>105</v>
      </c>
      <c r="X109">
        <f t="shared" si="8"/>
        <v>3846</v>
      </c>
      <c r="Y109">
        <f t="shared" si="9"/>
        <v>583140</v>
      </c>
    </row>
    <row r="110" spans="1:25" x14ac:dyDescent="0.15">
      <c r="A110">
        <v>106</v>
      </c>
      <c r="B110" s="2" t="str">
        <f t="shared" si="6"/>
        <v>1,3,5,7,5,11</v>
      </c>
      <c r="C110" s="2" t="str">
        <f t="shared" si="7"/>
        <v>0.5,0.5,0.5,0.5,0.5,0.5</v>
      </c>
      <c r="D110" s="8">
        <v>597770</v>
      </c>
      <c r="E110" s="3">
        <v>3916</v>
      </c>
      <c r="G110" s="3">
        <v>1</v>
      </c>
      <c r="H110" s="2">
        <v>0.5</v>
      </c>
      <c r="I110" s="3">
        <v>3</v>
      </c>
      <c r="J110" s="2">
        <v>0.5</v>
      </c>
      <c r="K110" s="3">
        <v>5</v>
      </c>
      <c r="L110" s="2">
        <v>0.5</v>
      </c>
      <c r="M110" s="3">
        <v>7</v>
      </c>
      <c r="N110" s="2">
        <v>0.5</v>
      </c>
      <c r="O110" s="3">
        <v>5</v>
      </c>
      <c r="P110" s="2">
        <v>0.5</v>
      </c>
      <c r="Q110" s="3">
        <v>11</v>
      </c>
      <c r="R110" s="2">
        <v>0.5</v>
      </c>
      <c r="W110">
        <v>106</v>
      </c>
      <c r="X110">
        <f t="shared" si="8"/>
        <v>3916</v>
      </c>
      <c r="Y110">
        <f t="shared" si="9"/>
        <v>597770</v>
      </c>
    </row>
    <row r="111" spans="1:25" x14ac:dyDescent="0.15">
      <c r="A111" s="2">
        <v>107</v>
      </c>
      <c r="B111" s="2" t="str">
        <f t="shared" si="6"/>
        <v>2,4,4,4,4,4</v>
      </c>
      <c r="C111" s="2" t="str">
        <f t="shared" si="7"/>
        <v>0.5,0.5,0.5,0.5,0.5,0.5</v>
      </c>
      <c r="D111" s="8">
        <v>612612</v>
      </c>
      <c r="E111" s="3">
        <v>3986</v>
      </c>
      <c r="G111" s="3">
        <v>2</v>
      </c>
      <c r="H111" s="2">
        <v>0.5</v>
      </c>
      <c r="I111" s="3">
        <v>4</v>
      </c>
      <c r="J111" s="2">
        <v>0.5</v>
      </c>
      <c r="K111" s="3">
        <v>4</v>
      </c>
      <c r="L111" s="2">
        <v>0.5</v>
      </c>
      <c r="M111" s="3">
        <v>4</v>
      </c>
      <c r="N111" s="2">
        <v>0.5</v>
      </c>
      <c r="O111" s="3">
        <v>4</v>
      </c>
      <c r="P111" s="2">
        <v>0.5</v>
      </c>
      <c r="Q111" s="3">
        <v>4</v>
      </c>
      <c r="R111" s="2">
        <v>0.5</v>
      </c>
      <c r="W111">
        <v>107</v>
      </c>
      <c r="X111">
        <f t="shared" si="8"/>
        <v>3986</v>
      </c>
      <c r="Y111">
        <f t="shared" si="9"/>
        <v>612612</v>
      </c>
    </row>
    <row r="112" spans="1:25" x14ac:dyDescent="0.15">
      <c r="A112">
        <v>108</v>
      </c>
      <c r="B112" s="2" t="str">
        <f t="shared" si="6"/>
        <v>3,10,9,11,8,10</v>
      </c>
      <c r="C112" s="2" t="str">
        <f t="shared" si="7"/>
        <v>0.5,0.5,0.5,1,0.5,0.5</v>
      </c>
      <c r="D112" s="8">
        <v>627868</v>
      </c>
      <c r="E112" s="3">
        <v>4060</v>
      </c>
      <c r="G112" s="3">
        <v>3</v>
      </c>
      <c r="H112" s="2">
        <v>0.5</v>
      </c>
      <c r="I112" s="3">
        <v>10</v>
      </c>
      <c r="J112" s="2">
        <v>0.5</v>
      </c>
      <c r="K112" s="3">
        <v>9</v>
      </c>
      <c r="L112" s="2">
        <v>0.5</v>
      </c>
      <c r="M112" s="3">
        <v>11</v>
      </c>
      <c r="N112" s="2">
        <v>1</v>
      </c>
      <c r="O112" s="3">
        <v>8</v>
      </c>
      <c r="P112" s="2">
        <v>0.5</v>
      </c>
      <c r="Q112" s="3">
        <v>10</v>
      </c>
      <c r="R112" s="2">
        <v>0.5</v>
      </c>
      <c r="W112">
        <v>108</v>
      </c>
      <c r="X112">
        <f t="shared" si="8"/>
        <v>4060</v>
      </c>
      <c r="Y112">
        <f t="shared" si="9"/>
        <v>627868</v>
      </c>
    </row>
    <row r="113" spans="1:25" x14ac:dyDescent="0.15">
      <c r="A113" s="2">
        <v>109</v>
      </c>
      <c r="B113" s="2" t="str">
        <f t="shared" si="6"/>
        <v>1,1,1,1,1,1</v>
      </c>
      <c r="C113" s="2" t="str">
        <f t="shared" si="7"/>
        <v>0.5,0.5,0.5,0.5,0.5,0.5</v>
      </c>
      <c r="D113" s="8">
        <v>643340</v>
      </c>
      <c r="E113" s="3">
        <v>4134</v>
      </c>
      <c r="G113" s="3">
        <v>1</v>
      </c>
      <c r="H113" s="2">
        <v>0.5</v>
      </c>
      <c r="I113" s="3">
        <v>1</v>
      </c>
      <c r="J113" s="2">
        <v>0.5</v>
      </c>
      <c r="K113" s="3">
        <v>1</v>
      </c>
      <c r="L113" s="2">
        <v>0.5</v>
      </c>
      <c r="M113" s="3">
        <v>1</v>
      </c>
      <c r="N113" s="2">
        <v>0.5</v>
      </c>
      <c r="O113" s="3">
        <v>1</v>
      </c>
      <c r="P113" s="2">
        <v>0.5</v>
      </c>
      <c r="Q113" s="3">
        <v>1</v>
      </c>
      <c r="R113" s="2">
        <v>0.5</v>
      </c>
      <c r="W113">
        <v>109</v>
      </c>
      <c r="X113">
        <f t="shared" si="8"/>
        <v>4134</v>
      </c>
      <c r="Y113">
        <f t="shared" si="9"/>
        <v>643340</v>
      </c>
    </row>
    <row r="114" spans="1:25" x14ac:dyDescent="0.15">
      <c r="A114">
        <v>110</v>
      </c>
      <c r="B114" s="2" t="str">
        <f t="shared" si="6"/>
        <v>2,2,2,2,2,2</v>
      </c>
      <c r="C114" s="2" t="str">
        <f t="shared" si="7"/>
        <v>0.5,0.5,0.5,0.5,0.5,0.5</v>
      </c>
      <c r="D114" s="8">
        <v>659030</v>
      </c>
      <c r="E114" s="3">
        <v>4208</v>
      </c>
      <c r="G114" s="3">
        <v>2</v>
      </c>
      <c r="H114" s="2">
        <v>0.5</v>
      </c>
      <c r="I114" s="3">
        <v>2</v>
      </c>
      <c r="J114" s="2">
        <v>0.5</v>
      </c>
      <c r="K114" s="3">
        <v>2</v>
      </c>
      <c r="L114" s="2">
        <v>0.5</v>
      </c>
      <c r="M114" s="3">
        <v>2</v>
      </c>
      <c r="N114" s="2">
        <v>0.5</v>
      </c>
      <c r="O114" s="3">
        <v>2</v>
      </c>
      <c r="P114" s="2">
        <v>0.5</v>
      </c>
      <c r="Q114" s="3">
        <v>2</v>
      </c>
      <c r="R114" s="2">
        <v>0.5</v>
      </c>
      <c r="W114">
        <v>110</v>
      </c>
      <c r="X114">
        <f t="shared" si="8"/>
        <v>4208</v>
      </c>
      <c r="Y114">
        <f t="shared" si="9"/>
        <v>659030</v>
      </c>
    </row>
    <row r="115" spans="1:25" x14ac:dyDescent="0.15">
      <c r="A115" s="2">
        <v>111</v>
      </c>
      <c r="B115" s="2" t="str">
        <f t="shared" si="6"/>
        <v>3,8,8,5,6,3</v>
      </c>
      <c r="C115" s="2" t="str">
        <f t="shared" si="7"/>
        <v>0.5,0.5,0.5,0.5,1,0.5</v>
      </c>
      <c r="D115" s="8">
        <v>674940</v>
      </c>
      <c r="E115" s="3">
        <v>4282</v>
      </c>
      <c r="G115" s="3">
        <v>3</v>
      </c>
      <c r="H115" s="2">
        <v>0.5</v>
      </c>
      <c r="I115" s="3">
        <v>8</v>
      </c>
      <c r="J115" s="2">
        <v>0.5</v>
      </c>
      <c r="K115" s="3">
        <v>8</v>
      </c>
      <c r="L115" s="2">
        <v>0.5</v>
      </c>
      <c r="M115" s="3">
        <v>5</v>
      </c>
      <c r="N115" s="2">
        <v>0.5</v>
      </c>
      <c r="O115" s="3">
        <v>6</v>
      </c>
      <c r="P115" s="2">
        <v>1</v>
      </c>
      <c r="Q115" s="3">
        <v>3</v>
      </c>
      <c r="R115" s="2">
        <v>0.5</v>
      </c>
      <c r="W115">
        <v>111</v>
      </c>
      <c r="X115">
        <f t="shared" si="8"/>
        <v>4282</v>
      </c>
      <c r="Y115">
        <f t="shared" si="9"/>
        <v>674940</v>
      </c>
    </row>
    <row r="116" spans="1:25" x14ac:dyDescent="0.15">
      <c r="A116">
        <v>112</v>
      </c>
      <c r="B116" s="2" t="str">
        <f t="shared" si="6"/>
        <v>1,3,5,7,5,11</v>
      </c>
      <c r="C116" s="2" t="str">
        <f t="shared" si="7"/>
        <v>0.5,0.5,0.5,0.5,0.5,0.5</v>
      </c>
      <c r="D116" s="8">
        <v>691072</v>
      </c>
      <c r="E116" s="3">
        <v>4356</v>
      </c>
      <c r="G116" s="3">
        <v>1</v>
      </c>
      <c r="H116" s="2">
        <v>0.5</v>
      </c>
      <c r="I116" s="3">
        <v>3</v>
      </c>
      <c r="J116" s="2">
        <v>0.5</v>
      </c>
      <c r="K116" s="3">
        <v>5</v>
      </c>
      <c r="L116" s="2">
        <v>0.5</v>
      </c>
      <c r="M116" s="3">
        <v>7</v>
      </c>
      <c r="N116" s="2">
        <v>0.5</v>
      </c>
      <c r="O116" s="3">
        <v>5</v>
      </c>
      <c r="P116" s="2">
        <v>0.5</v>
      </c>
      <c r="Q116" s="3">
        <v>11</v>
      </c>
      <c r="R116" s="2">
        <v>0.5</v>
      </c>
      <c r="W116">
        <v>112</v>
      </c>
      <c r="X116">
        <f t="shared" si="8"/>
        <v>4356</v>
      </c>
      <c r="Y116">
        <f t="shared" si="9"/>
        <v>691072</v>
      </c>
    </row>
    <row r="117" spans="1:25" x14ac:dyDescent="0.15">
      <c r="A117" s="2">
        <v>113</v>
      </c>
      <c r="B117" s="2" t="str">
        <f t="shared" si="6"/>
        <v>2,4,4,4,4,4</v>
      </c>
      <c r="C117" s="2" t="str">
        <f t="shared" si="7"/>
        <v>0.5,0.5,0.5,0.5,0.5,0.5</v>
      </c>
      <c r="D117" s="8">
        <v>707428</v>
      </c>
      <c r="E117" s="3">
        <v>4430</v>
      </c>
      <c r="G117" s="3">
        <v>2</v>
      </c>
      <c r="H117" s="2">
        <v>0.5</v>
      </c>
      <c r="I117" s="3">
        <v>4</v>
      </c>
      <c r="J117" s="2">
        <v>0.5</v>
      </c>
      <c r="K117" s="3">
        <v>4</v>
      </c>
      <c r="L117" s="2">
        <v>0.5</v>
      </c>
      <c r="M117" s="3">
        <v>4</v>
      </c>
      <c r="N117" s="2">
        <v>0.5</v>
      </c>
      <c r="O117" s="3">
        <v>4</v>
      </c>
      <c r="P117" s="2">
        <v>0.5</v>
      </c>
      <c r="Q117" s="3">
        <v>4</v>
      </c>
      <c r="R117" s="2">
        <v>0.5</v>
      </c>
      <c r="W117">
        <v>113</v>
      </c>
      <c r="X117">
        <f t="shared" si="8"/>
        <v>4430</v>
      </c>
      <c r="Y117">
        <f t="shared" si="9"/>
        <v>707428</v>
      </c>
    </row>
    <row r="118" spans="1:25" x14ac:dyDescent="0.15">
      <c r="A118">
        <v>114</v>
      </c>
      <c r="B118" s="2" t="str">
        <f t="shared" si="6"/>
        <v>3,10,9,11,8,10</v>
      </c>
      <c r="C118" s="2" t="str">
        <f t="shared" si="7"/>
        <v>0.5,0.5,0.5,1,0.5,0.5</v>
      </c>
      <c r="D118" s="8">
        <v>724210</v>
      </c>
      <c r="E118" s="3">
        <v>4508</v>
      </c>
      <c r="G118" s="3">
        <v>3</v>
      </c>
      <c r="H118" s="2">
        <v>0.5</v>
      </c>
      <c r="I118" s="3">
        <v>10</v>
      </c>
      <c r="J118" s="2">
        <v>0.5</v>
      </c>
      <c r="K118" s="3">
        <v>9</v>
      </c>
      <c r="L118" s="2">
        <v>0.5</v>
      </c>
      <c r="M118" s="3">
        <v>11</v>
      </c>
      <c r="N118" s="2">
        <v>1</v>
      </c>
      <c r="O118" s="3">
        <v>8</v>
      </c>
      <c r="P118" s="2">
        <v>0.5</v>
      </c>
      <c r="Q118" s="3">
        <v>10</v>
      </c>
      <c r="R118" s="2">
        <v>0.5</v>
      </c>
      <c r="W118">
        <v>114</v>
      </c>
      <c r="X118">
        <f t="shared" si="8"/>
        <v>4508</v>
      </c>
      <c r="Y118">
        <f t="shared" si="9"/>
        <v>724210</v>
      </c>
    </row>
    <row r="119" spans="1:25" x14ac:dyDescent="0.15">
      <c r="A119" s="2">
        <v>115</v>
      </c>
      <c r="B119" s="2" t="str">
        <f t="shared" si="6"/>
        <v>1,1,1,1,1,1</v>
      </c>
      <c r="C119" s="2" t="str">
        <f t="shared" si="7"/>
        <v>0.5,0.5,0.5,0.5,0.5,0.5</v>
      </c>
      <c r="D119" s="8">
        <v>741220</v>
      </c>
      <c r="E119" s="3">
        <v>4586</v>
      </c>
      <c r="G119" s="3">
        <v>1</v>
      </c>
      <c r="H119" s="2">
        <v>0.5</v>
      </c>
      <c r="I119" s="3">
        <v>1</v>
      </c>
      <c r="J119" s="2">
        <v>0.5</v>
      </c>
      <c r="K119" s="3">
        <v>1</v>
      </c>
      <c r="L119" s="2">
        <v>0.5</v>
      </c>
      <c r="M119" s="3">
        <v>1</v>
      </c>
      <c r="N119" s="2">
        <v>0.5</v>
      </c>
      <c r="O119" s="3">
        <v>1</v>
      </c>
      <c r="P119" s="2">
        <v>0.5</v>
      </c>
      <c r="Q119" s="3">
        <v>1</v>
      </c>
      <c r="R119" s="2">
        <v>0.5</v>
      </c>
      <c r="W119">
        <v>115</v>
      </c>
      <c r="X119">
        <f t="shared" si="8"/>
        <v>4586</v>
      </c>
      <c r="Y119">
        <f t="shared" si="9"/>
        <v>741220</v>
      </c>
    </row>
    <row r="120" spans="1:25" x14ac:dyDescent="0.15">
      <c r="A120">
        <v>116</v>
      </c>
      <c r="B120" s="2" t="str">
        <f t="shared" si="6"/>
        <v>2,2,2,2,2,2</v>
      </c>
      <c r="C120" s="2" t="str">
        <f t="shared" si="7"/>
        <v>0.5,0.5,0.5,0.5,0.5,0.5</v>
      </c>
      <c r="D120" s="8">
        <v>758460</v>
      </c>
      <c r="E120" s="3">
        <v>4664</v>
      </c>
      <c r="G120" s="3">
        <v>2</v>
      </c>
      <c r="H120" s="2">
        <v>0.5</v>
      </c>
      <c r="I120" s="3">
        <v>2</v>
      </c>
      <c r="J120" s="2">
        <v>0.5</v>
      </c>
      <c r="K120" s="3">
        <v>2</v>
      </c>
      <c r="L120" s="2">
        <v>0.5</v>
      </c>
      <c r="M120" s="3">
        <v>2</v>
      </c>
      <c r="N120" s="2">
        <v>0.5</v>
      </c>
      <c r="O120" s="3">
        <v>2</v>
      </c>
      <c r="P120" s="2">
        <v>0.5</v>
      </c>
      <c r="Q120" s="3">
        <v>2</v>
      </c>
      <c r="R120" s="2">
        <v>0.5</v>
      </c>
      <c r="W120">
        <v>116</v>
      </c>
      <c r="X120">
        <f t="shared" si="8"/>
        <v>4664</v>
      </c>
      <c r="Y120">
        <f t="shared" si="9"/>
        <v>758460</v>
      </c>
    </row>
    <row r="121" spans="1:25" x14ac:dyDescent="0.15">
      <c r="A121" s="2">
        <v>117</v>
      </c>
      <c r="B121" s="2" t="str">
        <f t="shared" si="6"/>
        <v>3,8,8,5,6,3</v>
      </c>
      <c r="C121" s="2" t="str">
        <f t="shared" si="7"/>
        <v>0.5,0.5,0.5,0.5,1,0.5</v>
      </c>
      <c r="D121" s="8">
        <v>775932</v>
      </c>
      <c r="E121" s="3">
        <v>4742</v>
      </c>
      <c r="G121" s="3">
        <v>3</v>
      </c>
      <c r="H121" s="2">
        <v>0.5</v>
      </c>
      <c r="I121" s="3">
        <v>8</v>
      </c>
      <c r="J121" s="2">
        <v>0.5</v>
      </c>
      <c r="K121" s="3">
        <v>8</v>
      </c>
      <c r="L121" s="2">
        <v>0.5</v>
      </c>
      <c r="M121" s="3">
        <v>5</v>
      </c>
      <c r="N121" s="2">
        <v>0.5</v>
      </c>
      <c r="O121" s="3">
        <v>6</v>
      </c>
      <c r="P121" s="2">
        <v>1</v>
      </c>
      <c r="Q121" s="3">
        <v>3</v>
      </c>
      <c r="R121" s="2">
        <v>0.5</v>
      </c>
      <c r="W121">
        <v>117</v>
      </c>
      <c r="X121">
        <f t="shared" si="8"/>
        <v>4742</v>
      </c>
      <c r="Y121">
        <f t="shared" si="9"/>
        <v>775932</v>
      </c>
    </row>
    <row r="122" spans="1:25" x14ac:dyDescent="0.15">
      <c r="A122">
        <v>118</v>
      </c>
      <c r="B122" s="2" t="str">
        <f t="shared" si="6"/>
        <v>1,3,5,7,5,11</v>
      </c>
      <c r="C122" s="2" t="str">
        <f t="shared" si="7"/>
        <v>0.5,0.5,0.5,0.5,0.5,0.5</v>
      </c>
      <c r="D122" s="8">
        <v>793638</v>
      </c>
      <c r="E122" s="3">
        <v>4820</v>
      </c>
      <c r="G122" s="3">
        <v>1</v>
      </c>
      <c r="H122" s="2">
        <v>0.5</v>
      </c>
      <c r="I122" s="3">
        <v>3</v>
      </c>
      <c r="J122" s="2">
        <v>0.5</v>
      </c>
      <c r="K122" s="3">
        <v>5</v>
      </c>
      <c r="L122" s="2">
        <v>0.5</v>
      </c>
      <c r="M122" s="3">
        <v>7</v>
      </c>
      <c r="N122" s="2">
        <v>0.5</v>
      </c>
      <c r="O122" s="3">
        <v>5</v>
      </c>
      <c r="P122" s="2">
        <v>0.5</v>
      </c>
      <c r="Q122" s="3">
        <v>11</v>
      </c>
      <c r="R122" s="2">
        <v>0.5</v>
      </c>
      <c r="W122">
        <v>118</v>
      </c>
      <c r="X122">
        <f t="shared" si="8"/>
        <v>4820</v>
      </c>
      <c r="Y122">
        <f t="shared" si="9"/>
        <v>793638</v>
      </c>
    </row>
    <row r="123" spans="1:25" x14ac:dyDescent="0.15">
      <c r="A123" s="2">
        <v>119</v>
      </c>
      <c r="B123" s="2" t="str">
        <f t="shared" si="6"/>
        <v>2,4,4,4,4,4</v>
      </c>
      <c r="C123" s="2" t="str">
        <f t="shared" si="7"/>
        <v>0.5,0.5,0.5,0.5,0.5,0.5</v>
      </c>
      <c r="D123" s="8">
        <v>811580</v>
      </c>
      <c r="E123" s="3">
        <v>4898</v>
      </c>
      <c r="G123" s="3">
        <v>2</v>
      </c>
      <c r="H123" s="2">
        <v>0.5</v>
      </c>
      <c r="I123" s="3">
        <v>4</v>
      </c>
      <c r="J123" s="2">
        <v>0.5</v>
      </c>
      <c r="K123" s="3">
        <v>4</v>
      </c>
      <c r="L123" s="2">
        <v>0.5</v>
      </c>
      <c r="M123" s="3">
        <v>4</v>
      </c>
      <c r="N123" s="2">
        <v>0.5</v>
      </c>
      <c r="O123" s="3">
        <v>4</v>
      </c>
      <c r="P123" s="2">
        <v>0.5</v>
      </c>
      <c r="Q123" s="3">
        <v>4</v>
      </c>
      <c r="R123" s="2">
        <v>0.5</v>
      </c>
      <c r="W123">
        <v>119</v>
      </c>
      <c r="X123">
        <f t="shared" si="8"/>
        <v>4898</v>
      </c>
      <c r="Y123">
        <f t="shared" si="9"/>
        <v>811580</v>
      </c>
    </row>
    <row r="124" spans="1:25" x14ac:dyDescent="0.15">
      <c r="A124">
        <v>120</v>
      </c>
      <c r="B124" s="2" t="str">
        <f t="shared" si="6"/>
        <v>3,10,9,11,8,10</v>
      </c>
      <c r="C124" s="2" t="str">
        <f t="shared" si="7"/>
        <v>0.5,0.5,0.5,1,0.5,0.5</v>
      </c>
      <c r="D124" s="8">
        <v>829960</v>
      </c>
      <c r="E124" s="3">
        <v>4980</v>
      </c>
      <c r="G124" s="3">
        <v>3</v>
      </c>
      <c r="H124" s="2">
        <v>0.5</v>
      </c>
      <c r="I124" s="3">
        <v>10</v>
      </c>
      <c r="J124" s="2">
        <v>0.5</v>
      </c>
      <c r="K124" s="3">
        <v>9</v>
      </c>
      <c r="L124" s="2">
        <v>0.5</v>
      </c>
      <c r="M124" s="3">
        <v>11</v>
      </c>
      <c r="N124" s="2">
        <v>1</v>
      </c>
      <c r="O124" s="3">
        <v>8</v>
      </c>
      <c r="P124" s="2">
        <v>0.5</v>
      </c>
      <c r="Q124" s="3">
        <v>10</v>
      </c>
      <c r="R124" s="2">
        <v>0.5</v>
      </c>
      <c r="W124">
        <v>120</v>
      </c>
      <c r="X124">
        <f t="shared" si="8"/>
        <v>4980</v>
      </c>
      <c r="Y124">
        <f t="shared" si="9"/>
        <v>829960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technology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2021-01-20T01:18:10Z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